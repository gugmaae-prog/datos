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January 2019" sheetId="1" r:id="rId3"/>
    <sheet state="visible" name="November " sheetId="2" r:id="rId4"/>
    <sheet state="visible" name="December " sheetId="3" r:id="rId5"/>
    <sheet state="visible" name="calls" sheetId="4" r:id="rId6"/>
    <sheet state="visible" name="October" sheetId="5" r:id="rId7"/>
    <sheet state="visible" name="September" sheetId="6" r:id="rId8"/>
    <sheet state="visible" name="August" sheetId="7" r:id="rId9"/>
    <sheet state="visible" name="July" sheetId="8" r:id="rId10"/>
    <sheet state="visible" name="June 2018" sheetId="9" r:id="rId11"/>
    <sheet state="visible" name="May 2018" sheetId="10" r:id="rId12"/>
    <sheet state="visible" name="April 2018" sheetId="11" r:id="rId13"/>
    <sheet state="visible" name="March 2018" sheetId="12" r:id="rId14"/>
    <sheet state="visible" name="February 2018" sheetId="13" r:id="rId15"/>
    <sheet state="visible" name="January 2018" sheetId="14" r:id="rId16"/>
  </sheets>
  <definedNames>
    <definedName hidden="1" localSheetId="0" name="_xlnm._FilterDatabase">'January 2019'!$A$1:$AG$249</definedName>
    <definedName hidden="1" localSheetId="9" name="_xlnm._FilterDatabase">'May 2018'!$D$1:$D$1001</definedName>
    <definedName hidden="1" localSheetId="10" name="_xlnm._FilterDatabase">'April 2018'!$D$1:$D$1005</definedName>
    <definedName hidden="1" localSheetId="13" name="_xlnm._FilterDatabase">'January 2018'!$D$1:$D$1000</definedName>
    <definedName hidden="1" localSheetId="12" name="_xlnm._FilterDatabase">'February 2018'!$D$1:$D$1009</definedName>
    <definedName hidden="1" localSheetId="1" name="Z_1A0EF219_A6AE_4F07_8056_7B247C03A825_.wvu.FilterData">'November '!$J$1:$J$1999</definedName>
    <definedName hidden="1" localSheetId="0" name="Z_1A0EF219_A6AE_4F07_8056_7B247C03A825_.wvu.FilterData">'January 2019'!$E$1:$E$1000</definedName>
    <definedName hidden="1" localSheetId="1" name="Z_A8C68EB6_DAE4_4041_A6FD_1114D53CF2C0_.wvu.FilterData">'November '!$J$1:$J$1999</definedName>
    <definedName hidden="1" localSheetId="1" name="Z_D922055A_293D_4CC4_9B40_992455D3C7E4_.wvu.FilterData">'November '!$A$1:$AG$88</definedName>
    <definedName hidden="1" localSheetId="1" name="Z_44FC87AE_5319_4287_B929_2AD1A2A4249D_.wvu.FilterData">'November '!$F$1:$F$1999</definedName>
    <definedName hidden="1" localSheetId="2" name="Z_3F517011_DA5E_46BD_A2D4_296A5DF083B2_.wvu.FilterData">'December '!$F$1:$F$1000</definedName>
    <definedName hidden="1" localSheetId="1" name="Z_3F517011_DA5E_46BD_A2D4_296A5DF083B2_.wvu.FilterData">'November '!$J$1:$J$999</definedName>
    <definedName hidden="1" localSheetId="0" name="Z_3F517011_DA5E_46BD_A2D4_296A5DF083B2_.wvu.FilterData">'January 2019'!$A$1:$AG$249</definedName>
    <definedName hidden="1" localSheetId="7" name="Z_3F517011_DA5E_46BD_A2D4_296A5DF083B2_.wvu.FilterData">July!$D$1:$D$1005</definedName>
    <definedName hidden="1" localSheetId="13" name="Z_3F517011_DA5E_46BD_A2D4_296A5DF083B2_.wvu.FilterData">'January 2018'!$D$1:$D$1000</definedName>
    <definedName hidden="1" localSheetId="1" name="Z_CC23A891_D95F_4582_8EE6_90FE54A6989D_.wvu.FilterData">'November '!$J$1:$J$1999</definedName>
    <definedName hidden="1" localSheetId="0" name="Z_CC23A891_D95F_4582_8EE6_90FE54A6989D_.wvu.FilterData">'January 2019'!$E$1:$E$1000</definedName>
    <definedName hidden="1" localSheetId="1" name="Z_E5144974_1149_41D1_8936_498D1C9FCAF8_.wvu.FilterData">'November '!$B$1:$B$1999</definedName>
    <definedName hidden="1" localSheetId="2" name="Z_9D2F5B4C_BA7D_479C_B7FF_4F2FBA79609E_.wvu.FilterData">'December '!$K$1:$K$1000</definedName>
    <definedName hidden="1" localSheetId="3" name="Z_9D2F5B4C_BA7D_479C_B7FF_4F2FBA79609E_.wvu.FilterData">calls!$A$1:$W$42</definedName>
    <definedName hidden="1" localSheetId="4" name="Z_9D2F5B4C_BA7D_479C_B7FF_4F2FBA79609E_.wvu.FilterData">October!$D$1:$D$990</definedName>
    <definedName hidden="1" localSheetId="0" name="Z_9D2F5B4C_BA7D_479C_B7FF_4F2FBA79609E_.wvu.FilterData">'January 2019'!$A$1:$AG$249</definedName>
    <definedName hidden="1" localSheetId="1" name="Z_9D2F5B4C_BA7D_479C_B7FF_4F2FBA79609E_.wvu.FilterData">'November '!$E$1:$E$999</definedName>
    <definedName hidden="1" localSheetId="7" name="Z_9D2F5B4C_BA7D_479C_B7FF_4F2FBA79609E_.wvu.FilterData">July!$D$1:$D$1005</definedName>
    <definedName hidden="1" localSheetId="8" name="Z_9D2F5B4C_BA7D_479C_B7FF_4F2FBA79609E_.wvu.FilterData">'June 2018'!$D$1:$D$1001</definedName>
    <definedName hidden="1" localSheetId="11" name="Z_9D2F5B4C_BA7D_479C_B7FF_4F2FBA79609E_.wvu.FilterData">'March 2018'!$D$1:$D$1005</definedName>
    <definedName hidden="1" localSheetId="13" name="Z_9D2F5B4C_BA7D_479C_B7FF_4F2FBA79609E_.wvu.FilterData">'January 2018'!$D$1:$D$1000</definedName>
    <definedName hidden="1" localSheetId="1" name="Z_5EF3A18D_569B_44D4_9767_C569FEAD10CA_.wvu.FilterData">'November '!$F$1:$F$1999</definedName>
  </definedNames>
  <calcPr/>
  <customWorkbookViews>
    <customWorkbookView activeSheetId="0" maximized="1" tabRatio="600" windowHeight="0" windowWidth="0" guid="{5EF3A18D-569B-44D4-9767-C569FEAD10CA}" name="Filter 6"/>
    <customWorkbookView activeSheetId="0" maximized="1" tabRatio="600" windowHeight="0" windowWidth="0" guid="{44FC87AE-5319-4287-B929-2AD1A2A4249D}" name="Filter 7"/>
    <customWorkbookView activeSheetId="0" maximized="1" tabRatio="600" windowHeight="0" windowWidth="0" guid="{1A0EF219-A6AE-4F07-8056-7B247C03A825}" name="Filter 4"/>
    <customWorkbookView activeSheetId="0" maximized="1" tabRatio="600" windowHeight="0" windowWidth="0" guid="{A8C68EB6-DAE4-4041-A6FD-1114D53CF2C0}" name="Filter 5"/>
    <customWorkbookView activeSheetId="0" maximized="1" tabRatio="600" windowHeight="0" windowWidth="0" guid="{3F517011-DA5E-46BD-A2D4-296A5DF083B2}" name="Filter 2"/>
    <customWorkbookView activeSheetId="0" maximized="1" tabRatio="600" windowHeight="0" windowWidth="0" guid="{CC23A891-D95F-4582-8EE6-90FE54A6989D}" name="Filter 3"/>
    <customWorkbookView activeSheetId="0" maximized="1" tabRatio="600" windowHeight="0" windowWidth="0" guid="{9D2F5B4C-BA7D-479C-B7FF-4F2FBA79609E}" name="Filter 1"/>
    <customWorkbookView activeSheetId="0" maximized="1" tabRatio="600" windowHeight="0" windowWidth="0" guid="{E5144974-1149-41D1-8936-498D1C9FCAF8}" name="Filter 8"/>
    <customWorkbookView activeSheetId="0" maximized="1" tabRatio="600" windowHeight="0" windowWidth="0" guid="{D922055A-293D-4CC4-9B40-992455D3C7E4}" name="Filter 9"/>
  </customWorkbookViews>
</workbook>
</file>

<file path=xl/sharedStrings.xml><?xml version="1.0" encoding="utf-8"?>
<sst xmlns="http://schemas.openxmlformats.org/spreadsheetml/2006/main" count="7353" uniqueCount="4302">
  <si>
    <t>Date</t>
  </si>
  <si>
    <t>Name</t>
  </si>
  <si>
    <t>Contact</t>
  </si>
  <si>
    <t>Email</t>
  </si>
  <si>
    <t>Portal</t>
  </si>
  <si>
    <t>Message</t>
  </si>
  <si>
    <t>Ref. #</t>
  </si>
  <si>
    <t>Date:</t>
  </si>
  <si>
    <t>Requirement</t>
  </si>
  <si>
    <t>Agent</t>
  </si>
  <si>
    <t>Dr. maya Bose</t>
  </si>
  <si>
    <t>+919437199013</t>
  </si>
  <si>
    <t>bosemaya@rediffmail.com</t>
  </si>
  <si>
    <t>Just Property</t>
  </si>
  <si>
    <t>Message: Please send me more information about this property. Thank you</t>
  </si>
  <si>
    <t>Inam</t>
  </si>
  <si>
    <t>Mr or Mrs. Gregory Honeyman</t>
  </si>
  <si>
    <t>+18095711184</t>
  </si>
  <si>
    <t>beachsiderentalsdr@yahoo.com</t>
  </si>
  <si>
    <t>Ae.Green-Acres.Com</t>
  </si>
  <si>
    <t>Someone</t>
  </si>
  <si>
    <t>0588770878</t>
  </si>
  <si>
    <t>amilar.jayasena@gmail.com</t>
  </si>
  <si>
    <t>Maciek Jarawski</t>
  </si>
  <si>
    <t>+48602270777</t>
  </si>
  <si>
    <t>maciekjarawski@gmail.com</t>
  </si>
  <si>
    <t>Propertyfinder</t>
  </si>
  <si>
    <t>waterfront Apt. at Beach Vista</t>
  </si>
  <si>
    <t>S-1197</t>
  </si>
  <si>
    <t>please forward details and I will forward our details........Best Wishes</t>
  </si>
  <si>
    <t>hediyeh</t>
  </si>
  <si>
    <t>Luxury 2Br with Overlooking a New Championship Golf Course</t>
  </si>
  <si>
    <t>Shane</t>
  </si>
  <si>
    <t>Hassen &amp; Ilaria</t>
  </si>
  <si>
    <t>Sonia</t>
  </si>
  <si>
    <t>0503501608</t>
  </si>
  <si>
    <t>+971 527925825</t>
  </si>
  <si>
    <t>Direct Call:  Dubizzle</t>
  </si>
  <si>
    <t>Semi Furnished 1 Bedroom in Building 60 Discovery Garden /Interested : In Discovery Building</t>
  </si>
  <si>
    <t>benothmanh@gmail.com</t>
  </si>
  <si>
    <t>Amanda</t>
  </si>
  <si>
    <t xml:space="preserve"> +971507793147.</t>
  </si>
  <si>
    <t>Sparkle Towers, Dubai Marina</t>
  </si>
  <si>
    <t>Amanda.fox-pryke@volkswagen.avme.ae</t>
  </si>
  <si>
    <t>Al Anbara, Shoreline Apartments /Message: Please contact me. Thank you.</t>
  </si>
  <si>
    <t>victoria</t>
  </si>
  <si>
    <t>S-1607</t>
  </si>
  <si>
    <t>Asma omair</t>
  </si>
  <si>
    <t xml:space="preserve"> '00966542221042.</t>
  </si>
  <si>
    <t>maciek jarawski</t>
  </si>
  <si>
    <t>Dubizzle</t>
  </si>
  <si>
    <t>Message: Please contact me. Thank /Sea View| Beach Access| Best Location</t>
  </si>
  <si>
    <t>Luxury Studio| Vacant| Flexible Viewings. Is it available for viewing Today, Nov 30 in the Afternoon? Thanks</t>
  </si>
  <si>
    <t>R-1298</t>
  </si>
  <si>
    <t>Victoria</t>
  </si>
  <si>
    <t>Dubai Harbour / Beach vista</t>
  </si>
  <si>
    <t>R-1814</t>
  </si>
  <si>
    <t>Fathia</t>
  </si>
  <si>
    <t>Fadi Riachi</t>
  </si>
  <si>
    <t>0506586736</t>
  </si>
  <si>
    <t>fadi@layoutconsultants.com</t>
  </si>
  <si>
    <t xml:space="preserve"> +966549088023</t>
  </si>
  <si>
    <t>Oceana Aegean, Oceana</t>
  </si>
  <si>
    <t>fksadder@uqu.edu.sa</t>
  </si>
  <si>
    <t>R-1283</t>
  </si>
  <si>
    <t>Bilal</t>
  </si>
  <si>
    <t xml:space="preserve"> +971555559169.</t>
  </si>
  <si>
    <t>bkarabash@gmail.com</t>
  </si>
  <si>
    <t>Gosia</t>
  </si>
  <si>
    <t xml:space="preserve"> Cayan Tower, Dubai Marina.</t>
  </si>
  <si>
    <t xml:space="preserve"> Unfurnished | Sea view| Ready to move in</t>
  </si>
  <si>
    <t>+971551230239</t>
  </si>
  <si>
    <t>R-1293</t>
  </si>
  <si>
    <t>Jey</t>
  </si>
  <si>
    <t>gosiawajchert@msn.com</t>
  </si>
  <si>
    <t>+971-559-210889</t>
  </si>
  <si>
    <t>jeyran@ajdistributions.com</t>
  </si>
  <si>
    <t>Bayut /Rent</t>
  </si>
  <si>
    <t>Luna</t>
  </si>
  <si>
    <t>Diamond, Tiara Residences</t>
  </si>
  <si>
    <t>R-1258</t>
  </si>
  <si>
    <t xml:space="preserve"> I am looking for Apartments to rent in Golden Mile, Palm Jumeirah unfurnished only. Move in within month. We are ready to rent for 100,000-105,000Please let me know about any suitable properties you have. Thank you</t>
  </si>
  <si>
    <t>Fahad</t>
  </si>
  <si>
    <t>Mr. امجد</t>
  </si>
  <si>
    <t>Khaled</t>
  </si>
  <si>
    <t>0552048666.</t>
  </si>
  <si>
    <t>kbeshir@outlook.com</t>
  </si>
  <si>
    <t xml:space="preserve"> Propertyfinder /Sale</t>
  </si>
  <si>
    <t>Maple at Dubai Hills Estatec/Message: Plse send me location of this unit. Payment breakdown and floor layout. when is the handover ? Thank you.</t>
  </si>
  <si>
    <t>971507762802</t>
  </si>
  <si>
    <t>Lunaiknainish@hotmail.com</t>
  </si>
  <si>
    <t>S-1561</t>
  </si>
  <si>
    <t>amjadpower1@yahoo.com</t>
  </si>
  <si>
    <t>Mira Oasis 3, Reem</t>
  </si>
  <si>
    <t>Properwifi</t>
  </si>
  <si>
    <t>S-1600</t>
  </si>
  <si>
    <t xml:space="preserve"> Li Peng</t>
  </si>
  <si>
    <t>Aylar</t>
  </si>
  <si>
    <t>Looking to Buy</t>
  </si>
  <si>
    <t>0523249708</t>
  </si>
  <si>
    <t xml:space="preserve"> earthmansion@icloud.com</t>
  </si>
  <si>
    <t>Sea Sunset View | Jacuzzi | Big Terrace</t>
  </si>
  <si>
    <t>Sharjah</t>
  </si>
  <si>
    <t>John</t>
  </si>
  <si>
    <t>-</t>
  </si>
  <si>
    <t>SIDRAH</t>
  </si>
  <si>
    <t>00971568249420</t>
  </si>
  <si>
    <t xml:space="preserve"> sidrahkhalid_mir@hotmail.com</t>
  </si>
  <si>
    <t>Reem Townhouse</t>
  </si>
  <si>
    <t>S-1596</t>
  </si>
  <si>
    <t>Haresh kodwani</t>
  </si>
  <si>
    <t>971-050-6553891</t>
  </si>
  <si>
    <t>Alex</t>
  </si>
  <si>
    <t>+971-050-5251121</t>
  </si>
  <si>
    <t>sunnykodwani@gmail.com</t>
  </si>
  <si>
    <t>Bayut</t>
  </si>
  <si>
    <t>+79883303099</t>
  </si>
  <si>
    <t>I would like to find out more about your agency and properties. Please contact me at your earliest convenience.</t>
  </si>
  <si>
    <t>Harrojah@gmail.com</t>
  </si>
  <si>
    <t>dual2207@gmail.com</t>
  </si>
  <si>
    <t>(Infinity Tower), Dubai Marina, Dubai</t>
  </si>
  <si>
    <t>Theresa Gerald</t>
  </si>
  <si>
    <t>+233279145510</t>
  </si>
  <si>
    <t>teresa4151@yahoo.com</t>
  </si>
  <si>
    <t xml:space="preserve"> I am looking to buy</t>
  </si>
  <si>
    <t xml:space="preserve"> +96897828701</t>
  </si>
  <si>
    <t>H/N 218, Ave. Abedi Pele, East Legon, P.B 3569 Greater Accra, Ghana. Compliment of the season. I am Mrs Theresa Gerald I would like to apply through this medium for your co-operation to secure an opportunity to invest and to go into joint business partnership with you. venture based on your advice and directive. Please feel free to call me or email me through my private box teresa4151@yahoo.com for further information about this Joint Venture with you God Bless you as I will be looking forward to hear from you urgently.</t>
  </si>
  <si>
    <t>alex.cauet@gmail.com</t>
  </si>
  <si>
    <t>Running Multi-Cuisine &amp; Coffee Shop in Deira</t>
  </si>
  <si>
    <t>R-1078</t>
  </si>
  <si>
    <t>Добрый день. У меня в собственности одна квартира 83 кв. м. в Plaza Residences JVC. У моего агента в Дубае есть доверенность и ключи для показа, но сдать в аренду пока не получается у него. Может у вас появятся клиенты, которые захотят жить в этом доме. Комиссия ваша. Агента зовут Игорь. Его телефон +971559392163. Живет он в этом же доме, так что с показом проблем не будет. Стоимость аренды 56000 AED. Спасибо. Алексей +79883303099</t>
  </si>
  <si>
    <t>Michael Defauw</t>
  </si>
  <si>
    <t xml:space="preserve"> ياسمين فؤاد نصرالله عوض محمد</t>
  </si>
  <si>
    <t>Yuri</t>
  </si>
  <si>
    <t>0581533070.</t>
  </si>
  <si>
    <t xml:space="preserve"> +96569988711</t>
  </si>
  <si>
    <t>yurigriscenco@hotmail.com</t>
  </si>
  <si>
    <t>/Damac Hills, Topanga *</t>
  </si>
  <si>
    <t>yato4ever@gmail.com</t>
  </si>
  <si>
    <t>PropertyWifi</t>
  </si>
  <si>
    <t>Interested in: Rent in Sharjah</t>
  </si>
  <si>
    <t>Hazel</t>
  </si>
  <si>
    <t>0553669906</t>
  </si>
  <si>
    <t>N/A</t>
  </si>
  <si>
    <t>971503805217</t>
  </si>
  <si>
    <t>Ravi Kiran</t>
  </si>
  <si>
    <t>hazel@axiomatic.co.za</t>
  </si>
  <si>
    <t>+971506788507</t>
  </si>
  <si>
    <t>ravikiran02us@yahoo.com</t>
  </si>
  <si>
    <t>michael.defauw@essec.edu</t>
  </si>
  <si>
    <t>hi I have a J Type apartment for rent at Palm Jumeirah.</t>
  </si>
  <si>
    <t>Message: Marhaba! I saw your ad on dubizzle. When is it available for viewing? which floor is it located ? Thanks.</t>
  </si>
  <si>
    <t>Manish Luthra</t>
  </si>
  <si>
    <t>+971-565-303240</t>
  </si>
  <si>
    <t>luthramanish5@gmail.com</t>
  </si>
  <si>
    <t>R-1295</t>
  </si>
  <si>
    <t>I am looking for Hotel Apartments to rent in Dubai, UAE. Please let me know about any suitable properties you have. Thank you.</t>
  </si>
  <si>
    <t>Inquiries</t>
  </si>
  <si>
    <t>Jamiel</t>
  </si>
  <si>
    <t>Stéphane Harrouch</t>
  </si>
  <si>
    <t>Faiq Azam</t>
  </si>
  <si>
    <t>+971581189454</t>
  </si>
  <si>
    <t>+923442244066</t>
  </si>
  <si>
    <t>azamwiseguy@yahoo.com</t>
  </si>
  <si>
    <t>Fresh listing | Sea view| Ready to move</t>
  </si>
  <si>
    <t>Marina Diamond 5, Marina Diamonds</t>
  </si>
  <si>
    <t>Stephane.harrouch@gmail.com</t>
  </si>
  <si>
    <t>Prestigious 1 Bedroom in Tiara Sea view</t>
  </si>
  <si>
    <t>Teso Roberto</t>
  </si>
  <si>
    <t>Laura Mihael</t>
  </si>
  <si>
    <t>+971505931690</t>
  </si>
  <si>
    <t>lauraalaura@hotmail.com</t>
  </si>
  <si>
    <t>+393346634696</t>
  </si>
  <si>
    <t>Roberto.teso@ymail.com</t>
  </si>
  <si>
    <t>Fresh listing |Sea view| Ready to move</t>
  </si>
  <si>
    <t>Talgat</t>
  </si>
  <si>
    <t>+971557770790</t>
  </si>
  <si>
    <t>tkalymbetov@emaar.ae</t>
  </si>
  <si>
    <t>R-1296</t>
  </si>
  <si>
    <t>Building 6, Bluewaters Residences</t>
  </si>
  <si>
    <t>Haidi</t>
  </si>
  <si>
    <t>Zaakir</t>
  </si>
  <si>
    <t>+971557352933</t>
  </si>
  <si>
    <t>zaakir.hajee@gmail.com</t>
  </si>
  <si>
    <t>+919643010959</t>
  </si>
  <si>
    <t>Luxury Studio| Vacant| Flexible Viewings</t>
  </si>
  <si>
    <t>jewelsgalaxyofficial@gmail.com</t>
  </si>
  <si>
    <t>Ready retail corner shop for sale in DIFC.</t>
  </si>
  <si>
    <t>Anna</t>
  </si>
  <si>
    <t>When is it available for viewing? Thanks.</t>
  </si>
  <si>
    <t>+4792122309</t>
  </si>
  <si>
    <t>Ansa.m.jorgensen@gmail.com</t>
  </si>
  <si>
    <t>S-1009</t>
  </si>
  <si>
    <t>Interested In: Arabella 2, Mudon</t>
  </si>
  <si>
    <t>S-1612</t>
  </si>
  <si>
    <t>Miguel</t>
  </si>
  <si>
    <t xml:space="preserve"> 0502547024.</t>
  </si>
  <si>
    <t>Goran Tololeski</t>
  </si>
  <si>
    <t xml:space="preserve"> mcfsting@gmail.com</t>
  </si>
  <si>
    <t>Khaled elhadidy</t>
  </si>
  <si>
    <t>Rent in Damac Hills, Topanga * 3 Bedrooms</t>
  </si>
  <si>
    <t>971-564-215271</t>
  </si>
  <si>
    <t>gtololeski@gmail.com</t>
  </si>
  <si>
    <t>aylar</t>
  </si>
  <si>
    <t>0526534267.</t>
  </si>
  <si>
    <t>Apartment for Rent in Park Towers, DIFC</t>
  </si>
  <si>
    <t>Pornsiri Supanya</t>
  </si>
  <si>
    <t>+66841464269</t>
  </si>
  <si>
    <t>Khadidy76@gmail.com</t>
  </si>
  <si>
    <t>Brando Moros</t>
  </si>
  <si>
    <t>psupanya@gmail.com</t>
  </si>
  <si>
    <t>0555434039</t>
  </si>
  <si>
    <t>brandomoros@gmail.com</t>
  </si>
  <si>
    <t>Mira 2, Reem</t>
  </si>
  <si>
    <t>Dubai DIFC Park Towers Studio Apartment for rent /Please send me additional information about this property. Thank you</t>
  </si>
  <si>
    <t>R-1291</t>
  </si>
  <si>
    <t>Paul Lane</t>
  </si>
  <si>
    <t>050 5511639.</t>
  </si>
  <si>
    <t>Mr. عثمان</t>
  </si>
  <si>
    <t>mrpaullane@hotmail.com</t>
  </si>
  <si>
    <t>Mira Oasis 1, Reem * 4 BR + Maids * Type J</t>
  </si>
  <si>
    <t>S-1624</t>
  </si>
  <si>
    <t>971565420893</t>
  </si>
  <si>
    <t>Amar Bait</t>
  </si>
  <si>
    <t>+971503645824</t>
  </si>
  <si>
    <t>osm.abdo@gmail.com</t>
  </si>
  <si>
    <t>nadjibus@gmail.com</t>
  </si>
  <si>
    <t>Propertywifi</t>
  </si>
  <si>
    <t>hi it is an urgent sale of a 5 bedroom off plan villa in Akoya Oxygen.Thank you</t>
  </si>
  <si>
    <t>Looking to Rent</t>
  </si>
  <si>
    <t>Johann de Bod</t>
  </si>
  <si>
    <t>?</t>
  </si>
  <si>
    <t>HSR-R-1021</t>
  </si>
  <si>
    <t>0504766474</t>
  </si>
  <si>
    <t>0545563395</t>
  </si>
  <si>
    <t>Johanndebod1001@gmail.com</t>
  </si>
  <si>
    <t>dubaiwide@gmail.com</t>
  </si>
  <si>
    <t>SINGLE ROW / 4 BEDROOMS / TYPE 2E  Mira2 Reem</t>
  </si>
  <si>
    <t>Amazing 4BR-Villa in Mira Oasis!.</t>
  </si>
  <si>
    <t>Enquiry: Hello, I found your property on justproperty.com. Please send me more information about this property. We are very interested. Are they willing to accept 12 or 6 cheques? Thank you</t>
  </si>
  <si>
    <t>Amazing Mira Oasis3 minus 26% 4 Beds + Maids Type G Good location single row OP: AED 2,13M BUA- 2551 sq.ft SP: 1.66M Full commission yours! Finance available from DIB</t>
  </si>
  <si>
    <t>S-1341</t>
  </si>
  <si>
    <t>971568030666</t>
  </si>
  <si>
    <t>alexsaoud@gmail.com</t>
  </si>
  <si>
    <t>Looking for rent Inquiry: I have a friend arriving from overseas on Dec 11th. She's looking for a short-term studio rental 1 month, might extend to 2 months. Her max monthly budget is AED 6500. Please let me know if you can help. Thanks, Alex</t>
  </si>
  <si>
    <t>Jeetender lala</t>
  </si>
  <si>
    <t>0553452344.</t>
  </si>
  <si>
    <t>Jeetenderlala@gmail.com</t>
  </si>
  <si>
    <t>Mary  (from other Real Esate )</t>
  </si>
  <si>
    <t>Well Known Restaurant in Prime of Marina</t>
  </si>
  <si>
    <t>0557747211</t>
  </si>
  <si>
    <t>S-1188</t>
  </si>
  <si>
    <t>Direct Call</t>
  </si>
  <si>
    <t>0508221422</t>
  </si>
  <si>
    <t>Looking for Agent to speak to</t>
  </si>
  <si>
    <t>amalawahab@hotmail.com</t>
  </si>
  <si>
    <t>Raj</t>
  </si>
  <si>
    <t>Inquiry:  Nshama</t>
  </si>
  <si>
    <t>+919822907812.</t>
  </si>
  <si>
    <t>Prajan8558@yahoo.in</t>
  </si>
  <si>
    <t>When is it available for viewing? Thanks</t>
  </si>
  <si>
    <t>/Sea Sunset View | Jacuzzi | Big Terrace</t>
  </si>
  <si>
    <t>HSR-S-1188</t>
  </si>
  <si>
    <t>Walid</t>
  </si>
  <si>
    <t>S-1483</t>
  </si>
  <si>
    <t>waqas</t>
  </si>
  <si>
    <t xml:space="preserve"> +971585100555</t>
  </si>
  <si>
    <t>wtddotcom@gmail.com</t>
  </si>
  <si>
    <t>Sofie Jemel</t>
  </si>
  <si>
    <t xml:space="preserve"> Signature Villas</t>
  </si>
  <si>
    <t>+420604200278</t>
  </si>
  <si>
    <t>yemel.sofie@gmail.com</t>
  </si>
  <si>
    <t>Irene</t>
  </si>
  <si>
    <t>971-523-592284</t>
  </si>
  <si>
    <t>mirembeirene23@gmail.com</t>
  </si>
  <si>
    <t>Project: Residences, Bluewaters</t>
  </si>
  <si>
    <t>Huge 1 BR Marina View</t>
  </si>
  <si>
    <t>S-1644</t>
  </si>
  <si>
    <t>Shahrzad</t>
  </si>
  <si>
    <t>+971507955786</t>
  </si>
  <si>
    <t>asifmerchant@hotmail.com</t>
  </si>
  <si>
    <t xml:space="preserve"> Samara- Ready Villas in Arabian Ranches with 3 Yrs Payment Plan.</t>
  </si>
  <si>
    <t>S-1351</t>
  </si>
  <si>
    <t>Hanan</t>
  </si>
  <si>
    <t>+971557618355.</t>
  </si>
  <si>
    <t>Alice</t>
  </si>
  <si>
    <t>hananechehimi@yahoo.com</t>
  </si>
  <si>
    <t>+971585809616</t>
  </si>
  <si>
    <t>aliceongshuhui@gmail.com</t>
  </si>
  <si>
    <t>prestigious 1 Bedroom in Tiara Sea view</t>
  </si>
  <si>
    <t>Luxury Studio| Vacant| Flexible Viewings.</t>
  </si>
  <si>
    <t>Suleman Anwar</t>
  </si>
  <si>
    <t>0508719409.</t>
  </si>
  <si>
    <t>suleman.anwar@hotmail.com</t>
  </si>
  <si>
    <t xml:space="preserve">Laura    </t>
  </si>
  <si>
    <t>Perfect Location for Restaurant , Supermarket Business</t>
  </si>
  <si>
    <t>0505931690.</t>
  </si>
  <si>
    <t>R-1271</t>
  </si>
  <si>
    <t xml:space="preserve"> Sadaf 6, Sadaf</t>
  </si>
  <si>
    <t>Shiwani</t>
  </si>
  <si>
    <t>R-1279</t>
  </si>
  <si>
    <t>+971552223911.</t>
  </si>
  <si>
    <t>ishiwani@hotmail.com</t>
  </si>
  <si>
    <t>2 Restaurant Concept with shisha license</t>
  </si>
  <si>
    <t>Build Your Own Villa | Dubai Hills Estate</t>
  </si>
  <si>
    <t>R-1062</t>
  </si>
  <si>
    <t>DR NADEEM LEHRASAB</t>
  </si>
  <si>
    <t>+971568095688</t>
  </si>
  <si>
    <t>M K Arya ,</t>
  </si>
  <si>
    <t>Engin Deveci</t>
  </si>
  <si>
    <t>nadeem@lehrasab.net</t>
  </si>
  <si>
    <t xml:space="preserve"> +9560603999,</t>
  </si>
  <si>
    <t>mk.arya@hotmail.com</t>
  </si>
  <si>
    <t>+971508141575</t>
  </si>
  <si>
    <t xml:space="preserve">Propspace </t>
  </si>
  <si>
    <t>Executive Bay 1401</t>
  </si>
  <si>
    <t>engin.deveci@gmail.com</t>
  </si>
  <si>
    <t xml:space="preserve"> Budget 90000 / 2Bedrooms</t>
  </si>
  <si>
    <t>Al Msalli, Shoreline Apartments</t>
  </si>
  <si>
    <t>The Best Deal in the Area | Rented | Marina View</t>
  </si>
  <si>
    <t>R-1269</t>
  </si>
  <si>
    <t xml:space="preserve"> Mohamed Shaker</t>
  </si>
  <si>
    <t>Please contact me. PLEASE SMS ME IF NOT PICKING THE PHONE Thank you.</t>
  </si>
  <si>
    <t>S-1627</t>
  </si>
  <si>
    <t xml:space="preserve"> Mr. Hassan</t>
  </si>
  <si>
    <t>+971505855775</t>
  </si>
  <si>
    <t>Ella Art</t>
  </si>
  <si>
    <t>hahassan57@hotmail.com</t>
  </si>
  <si>
    <t>Property wifi</t>
  </si>
  <si>
    <t>0501006576</t>
  </si>
  <si>
    <t>looking for farm to raise birds in Dubai, Sharjah, umul Quwein.</t>
  </si>
  <si>
    <t>emma.artins@gmail.com</t>
  </si>
  <si>
    <t>Shane / Jamiel</t>
  </si>
  <si>
    <t>Shoreline Apt. - Nabat</t>
  </si>
  <si>
    <t>Dawut</t>
  </si>
  <si>
    <t>0562178896.</t>
  </si>
  <si>
    <t>Dawutnazaryusuf@gmail.com</t>
  </si>
  <si>
    <t>Sparkle Towers | Most Luxurious in Marina</t>
  </si>
  <si>
    <t>Baryam</t>
  </si>
  <si>
    <t>+33617605236</t>
  </si>
  <si>
    <t>m.bayram60@laposte.net</t>
  </si>
  <si>
    <t>Mohamed</t>
  </si>
  <si>
    <t>Green-Acres</t>
  </si>
  <si>
    <t>0556008551</t>
  </si>
  <si>
    <t>Safi-Town SQUARE4 Bedrooms MaidsType</t>
  </si>
  <si>
    <t>alkfrawy17@yahoo.com</t>
  </si>
  <si>
    <t>لدي ڤيلا في اكويا اكسوجين (سنتوري) و ارغب في بيعها . الرجاء الاتصال بي في أقرب وقت ممكن</t>
  </si>
  <si>
    <t>S-1616</t>
  </si>
  <si>
    <t>Interested in: Mira</t>
  </si>
  <si>
    <t>Ahsan Saboo</t>
  </si>
  <si>
    <t>I have a Villa in Akoya Exogen (Centauri) and I want to sell it. Please contact me as soon as possible</t>
  </si>
  <si>
    <t>Emira</t>
  </si>
  <si>
    <t>+447-930-490389</t>
  </si>
  <si>
    <t>0503610300</t>
  </si>
  <si>
    <t xml:space="preserve"> ahsans29@live.com</t>
  </si>
  <si>
    <t>beauty salon</t>
  </si>
  <si>
    <t>Savana</t>
  </si>
  <si>
    <t>0556357326</t>
  </si>
  <si>
    <t>I am looking to my Apartments sale in Dubai, UAE. Please let me know about this property we have</t>
  </si>
  <si>
    <t>Direct Inquiry</t>
  </si>
  <si>
    <t>Looking for  3 BR in Mudon Budget 1million  1900 sq. ft.</t>
  </si>
  <si>
    <t>waiting for  response ASAP.</t>
  </si>
  <si>
    <t>jamiel</t>
  </si>
  <si>
    <t>Priyan</t>
  </si>
  <si>
    <t>sidrahkhalid_mir@hotmail.com</t>
  </si>
  <si>
    <t>Alexandru Gabriel</t>
  </si>
  <si>
    <t>I have a property to let</t>
  </si>
  <si>
    <t>0506410271</t>
  </si>
  <si>
    <t>no  have</t>
  </si>
  <si>
    <t>alexandru@cavalliclubdubai.com</t>
  </si>
  <si>
    <t>priyango@yahoo.com</t>
  </si>
  <si>
    <t>1Bedroom Apartment in Burj Khalifa Dubai</t>
  </si>
  <si>
    <t>S-1632</t>
  </si>
  <si>
    <t>Aysel</t>
  </si>
  <si>
    <t>Mr. عامر سيد المرزوقي</t>
  </si>
  <si>
    <t>+971507476242</t>
  </si>
  <si>
    <t>amer@mlegal.ae</t>
  </si>
  <si>
    <t>Maruf</t>
  </si>
  <si>
    <t xml:space="preserve"> Добрый день. У меня в собственности одна квартира 83 кв. м. в Plaza Residences JVC. У моего агента в Дубае есть доверенность и ключи для показа, но сдать в аренду пока не получается у него. Может у вас появятся клиенты, которые захотят жить в этом доме. Комиссия ваша. Агента зовут Игорь. Его телефон +971559392163. Живет он в этом же доме, так что с показом проблем не будет. Стоимость аренды 56000 AED. Спасибо. Алексей +79883303099</t>
  </si>
  <si>
    <t>+8801713388777</t>
  </si>
  <si>
    <t>Property to Rent</t>
  </si>
  <si>
    <t>maruf@omc-usa.com</t>
  </si>
  <si>
    <t>Best Price for 1BR Apartment in Burj Khalifa</t>
  </si>
  <si>
    <t>Mr. إبراهيم بوعمار</t>
  </si>
  <si>
    <t>. Is this property available now? As mentioned, it is rented now. How much is the rent contract value now? What is the current selling price? Thank you.</t>
  </si>
  <si>
    <t>Moahemd adel</t>
  </si>
  <si>
    <t>0556002225</t>
  </si>
  <si>
    <t>S-1590</t>
  </si>
  <si>
    <t>adel@aljaber.ae</t>
  </si>
  <si>
    <t>Shamsiddin</t>
  </si>
  <si>
    <t>971553976354</t>
  </si>
  <si>
    <t>shams.n@armsmcgregor.com</t>
  </si>
  <si>
    <t>message:  i have properties for rent and sale belong to the company i work for , please text me on whats app 0556002225 if you interested , i will forward to you the title deeds and the info reuired</t>
  </si>
  <si>
    <t xml:space="preserve"> Marina Diamond 5, Marina Diamonds</t>
  </si>
  <si>
    <t>Please contact me for viewing today. Thank you.</t>
  </si>
  <si>
    <t>S-1626</t>
  </si>
  <si>
    <t>ibrahim.43338@hotmail.com</t>
  </si>
  <si>
    <t>Kamlin Moodley</t>
  </si>
  <si>
    <t>Message: Dear Sir / Madam,As you are currently marketing Properties To Rent in Sharjah, I believe you would be able to assist me with my enquiry.Please Reply any day, Reply any time by Email, WhatsApp, SMS or Phone Kindly assign me an agent who speaks my preferred language in Arabic.</t>
  </si>
  <si>
    <t>27824909924</t>
  </si>
  <si>
    <t xml:space="preserve"> OMAR AL GAILANI</t>
  </si>
  <si>
    <t>Name: May</t>
  </si>
  <si>
    <t>0551678351</t>
  </si>
  <si>
    <t>Direct Call: Looking for a property.</t>
  </si>
  <si>
    <t>+14168271966</t>
  </si>
  <si>
    <t>gailani2010@gmail.com</t>
  </si>
  <si>
    <t>kamlinmoodley@gmail.com</t>
  </si>
  <si>
    <t>EMAAR Palace Residences</t>
  </si>
  <si>
    <t>Mr. عبدالوهاب</t>
  </si>
  <si>
    <t>emily</t>
  </si>
  <si>
    <t>aakhdr@hotmail.com</t>
  </si>
  <si>
    <t xml:space="preserve"> As you are currently marketing Properties To Rent in Sharjah, I believe you would be able to assist me with my enquiry. Please Reply any day, Reply any time by Email, WhatsApp, SMS or Phone.  Kindly assign me an agent who speaks my preferred language in Arabic. I look forward to hearing from you soon</t>
  </si>
  <si>
    <t>Mohammed A</t>
  </si>
  <si>
    <t>+971543488161</t>
  </si>
  <si>
    <t>albaadanim@gmail.com</t>
  </si>
  <si>
    <t>Sadeeq</t>
  </si>
  <si>
    <t>Downtown Dubai</t>
  </si>
  <si>
    <t>Executive bay</t>
  </si>
  <si>
    <t>Message: Hi could you please send me a full details about this listing to my email thank you</t>
  </si>
  <si>
    <t>2bedroom</t>
  </si>
  <si>
    <t>R-1164</t>
  </si>
  <si>
    <t>S-1527</t>
  </si>
  <si>
    <t>shahrzad</t>
  </si>
  <si>
    <t>Eva  (other real estate Agent)</t>
  </si>
  <si>
    <t>Interested in  Opera Burj Khalifa</t>
  </si>
  <si>
    <t>0525561815</t>
  </si>
  <si>
    <t>HRO</t>
  </si>
  <si>
    <t>City Walk</t>
  </si>
  <si>
    <t>+971559897465</t>
  </si>
  <si>
    <t>ewhfoi@ewf.com</t>
  </si>
  <si>
    <t>Name: Amar Bait</t>
  </si>
  <si>
    <t>JustProperty</t>
  </si>
  <si>
    <t>Bluewaters Island Apartment Building 3</t>
  </si>
  <si>
    <t>Email: nadjibus@gmail.com</t>
  </si>
  <si>
    <t>Message: hi it is an urgent sale of a 5 bedroom off plan villa in Akoya Oxygen.Thank you</t>
  </si>
  <si>
    <t xml:space="preserve"> Please send me more information about this property.</t>
  </si>
  <si>
    <t>R-1310</t>
  </si>
  <si>
    <t xml:space="preserve"> Katrina</t>
  </si>
  <si>
    <t>https://www.justproperty.com/en/rent/brand-new-bluewaters-sea-and-garden-view-2415024/</t>
  </si>
  <si>
    <t>Residence Palm Jumiera</t>
  </si>
  <si>
    <t xml:space="preserve"> Dave Hafer</t>
  </si>
  <si>
    <t>+19179796999</t>
  </si>
  <si>
    <t>E-mail</t>
  </si>
  <si>
    <t>Good day, I am interested in purchasing a home in singapore but I need to know if there are other requirements for foreign buyers. Please give further information on tax requirements and any other fees I should be looking at..</t>
  </si>
  <si>
    <t>+971568030666</t>
  </si>
  <si>
    <t>Interested in: Looking for rent</t>
  </si>
  <si>
    <t>+971552223911</t>
  </si>
  <si>
    <t>Inquiry: I have a friend arriving from overseas on Dec 11th.She's looking for a short-term studio rental 1 month, might extend to 2 months. Her max monthly budget is AED 6500. Please let me know if you can help. Thanks, Alex</t>
  </si>
  <si>
    <t>Dubai Hills Estate</t>
  </si>
  <si>
    <t>+27824909924</t>
  </si>
  <si>
    <t>Mona Chehabi</t>
  </si>
  <si>
    <t>9054835263</t>
  </si>
  <si>
    <t>monakchehabi@gmail.com</t>
  </si>
  <si>
    <t xml:space="preserve"> Dubizzle /</t>
  </si>
  <si>
    <t>Fully Furnished 4beds + Maids Townhouse!.</t>
  </si>
  <si>
    <t>executive bay 2BR</t>
  </si>
  <si>
    <t>Has this furnished house b</t>
  </si>
  <si>
    <t xml:space="preserve"> Jamiel</t>
  </si>
  <si>
    <t>Direct Call: Dubizzle</t>
  </si>
  <si>
    <t>La Mer on Jumeirah Beach</t>
  </si>
  <si>
    <t>Wafaa</t>
  </si>
  <si>
    <t>Interested in: City Walk</t>
  </si>
  <si>
    <t>Sara</t>
  </si>
  <si>
    <t>971-558-844939</t>
  </si>
  <si>
    <t>Sara_simah@yahoo.com</t>
  </si>
  <si>
    <t>Sadaf, Jumeirah Beach Residence (JBR), Dubai</t>
  </si>
  <si>
    <t>HellonI have a 1 bed room fully furnished in JBR Sadaf 7.nI want to rent it . If you have any agent working in JBr area please whatsapp me to send you the details and photos of flat. nWhatsApp onlyn0558844939</t>
  </si>
  <si>
    <t>zohab</t>
  </si>
  <si>
    <t>Mark Butler</t>
  </si>
  <si>
    <t>Pooja</t>
  </si>
  <si>
    <t>971568348485</t>
  </si>
  <si>
    <t>0506362144</t>
  </si>
  <si>
    <t>hitesh_v_shah@yahoo.com</t>
  </si>
  <si>
    <t>mark@flowsolutions.ae</t>
  </si>
  <si>
    <t>wafyag@gmail.com</t>
  </si>
  <si>
    <t>Live on the World Class 18 Hole Golf Course</t>
  </si>
  <si>
    <t>Justproperty</t>
  </si>
  <si>
    <t>/ 3 BR + STUDY / TYPE J / CLOSE TO THE ENTRANCE /Hello, Is it available would like to come for viewing Thank you</t>
  </si>
  <si>
    <t>S-1288</t>
  </si>
  <si>
    <t>fresh listing | Sea view| Ready to move Message: Please contact me if this property is dog friendly? i need to move by the 22nd of January, is it possible to arrange a viewing Thursday evening or Friday / Saturday? thanks</t>
  </si>
  <si>
    <t>gosia</t>
  </si>
  <si>
    <t>0508665222</t>
  </si>
  <si>
    <t>shapours@yahoo.co.uk</t>
  </si>
  <si>
    <t>/ Full Marina view | The Best Layout.</t>
  </si>
  <si>
    <t>Ref No: HSR-S-1285</t>
  </si>
  <si>
    <t>Message: i offer AED 800,000 cash. Please contact me if the seller accepts the offer.</t>
  </si>
  <si>
    <t>Maroc BEN HADJ</t>
  </si>
  <si>
    <t>Nadeem</t>
  </si>
  <si>
    <t xml:space="preserve"> +971585713232</t>
  </si>
  <si>
    <t>+9713422674266</t>
  </si>
  <si>
    <t>/ Al Majaz 1 Restaurant Sharjah | 33k Month Profit</t>
  </si>
  <si>
    <t>naabilbenhadj@gmail.com</t>
  </si>
  <si>
    <t>shane</t>
  </si>
  <si>
    <t>Greg Gee</t>
  </si>
  <si>
    <t>Cecil Marke</t>
  </si>
  <si>
    <t>+971569994240</t>
  </si>
  <si>
    <t>oremso@hotmail.com</t>
  </si>
  <si>
    <t>Enquiry: Please send me more information about this property. Thank you // Dubai Hills Estate EXCLUSIVE / 3 BR / SINGLE ROW</t>
  </si>
  <si>
    <t>+447986296567</t>
  </si>
  <si>
    <t>gmaxg_98@yahoo.com</t>
  </si>
  <si>
    <t>Cheapest Last Unit 2 Br Villa Serena</t>
  </si>
  <si>
    <t>Olla Shahin</t>
  </si>
  <si>
    <t>0551020911</t>
  </si>
  <si>
    <t>olla.hassan.shahin@gmail.com</t>
  </si>
  <si>
    <t>Beach Access| Well maintained| Vacant</t>
  </si>
  <si>
    <t>/ Damac Hills, 3 BR / Brand New / Ready to move in</t>
  </si>
  <si>
    <t>Bonjour Je souhaiterais être recontacté afin de prendre rendez-vous pour une visite. Merci</t>
  </si>
  <si>
    <t>R-1268</t>
  </si>
  <si>
    <t>S-1407</t>
  </si>
  <si>
    <t xml:space="preserve"> Faiza</t>
  </si>
  <si>
    <t>+9710502506252.</t>
  </si>
  <si>
    <t xml:space="preserve"> Fai22ca@yahoo.com</t>
  </si>
  <si>
    <t xml:space="preserve"> Babar</t>
  </si>
  <si>
    <t>/ 4 BR CORNER UNIT ON A SINGLE ROW</t>
  </si>
  <si>
    <t>92-334-5851000</t>
  </si>
  <si>
    <t>Chibani</t>
  </si>
  <si>
    <t>zulobabar@gmail.com</t>
  </si>
  <si>
    <t xml:space="preserve"> Miguel</t>
  </si>
  <si>
    <t>+33609093625</t>
  </si>
  <si>
    <t>justinesammy@yahoo.fr</t>
  </si>
  <si>
    <t>/ Rent in Damac Hills, Topanga * 3 Bedrooms</t>
  </si>
  <si>
    <t>00966566938570</t>
  </si>
  <si>
    <t>mo_mahir2005@yahoo.co.in</t>
  </si>
  <si>
    <t xml:space="preserve"> Running Building Materials Trading Business. When is it available for viewing? Thanks.</t>
  </si>
  <si>
    <t>S-1138</t>
  </si>
  <si>
    <t>The Best Deal in the Area | Rented | Marina.</t>
  </si>
  <si>
    <t>Bonjour, Je souhaiterais être recontacté et également avoir davantage de photos. Merci</t>
  </si>
  <si>
    <t xml:space="preserve"> yurigriscenco@hotmail.com</t>
  </si>
  <si>
    <t>S1627</t>
  </si>
  <si>
    <t>Mrs Paula</t>
  </si>
  <si>
    <t>+254723666404</t>
  </si>
  <si>
    <t>germix0@gmail.com</t>
  </si>
  <si>
    <t>Ae.Green-Acres.Com lead</t>
  </si>
  <si>
    <t>Live Opposite the Burj Al Arab - Best Unit</t>
  </si>
  <si>
    <t>Ian</t>
  </si>
  <si>
    <t>S-1584</t>
  </si>
  <si>
    <t>Dania</t>
  </si>
  <si>
    <t>daniaa@live.de</t>
  </si>
  <si>
    <t>Mara Regnery</t>
  </si>
  <si>
    <t>004917664980168</t>
  </si>
  <si>
    <t xml:space="preserve"> / Topanga 3 Bedroom Villa for rent / Hello, I found your property on justproperty.com. Please send me more information about this property. Thank you</t>
  </si>
  <si>
    <t>mara.regnery@gmail.com</t>
  </si>
  <si>
    <t>Ready to Move | Huge 2 Bedroom with Full Race View</t>
  </si>
  <si>
    <t>Sofia</t>
  </si>
  <si>
    <t>0507147930.</t>
  </si>
  <si>
    <t xml:space="preserve"> mrslalani@hotmail.com</t>
  </si>
  <si>
    <t>I currently live in Germany, working for adidas globally. I will relocate and start working for adidas Dubai in February 2019. Therefore, I am searching for an apartment for rent. Next weekend/week I'll be in Dubai (Dec. 15th). It would be great to  ideally via email. Thank you very much in advance. Best regards, Mara Regnerytake a look at the apartment while I'm visiting Dubai for two days. Please contact me,</t>
  </si>
  <si>
    <t>Maple at Dubai Hills Estate, Dubai Hills Estate</t>
  </si>
  <si>
    <t>Abdulaziz</t>
  </si>
  <si>
    <t>Altaqf</t>
  </si>
  <si>
    <t>0561119982</t>
  </si>
  <si>
    <t>+17573394149</t>
  </si>
  <si>
    <t xml:space="preserve"> altaf190957@yahoo.com</t>
  </si>
  <si>
    <t>Propertyfinder ranchise Restaurant | Business For Sale</t>
  </si>
  <si>
    <t>restaurant /juice shop</t>
  </si>
  <si>
    <t>Ijarnott@gmail.com</t>
  </si>
  <si>
    <t>Mohammed</t>
  </si>
  <si>
    <t xml:space="preserve"> Msshaikh@gmail.com</t>
  </si>
  <si>
    <t>Immaculate sea view| Vacant now| Viewings</t>
  </si>
  <si>
    <t>/The Sparkle Towers,</t>
  </si>
  <si>
    <t>R-1303</t>
  </si>
  <si>
    <t>Inquiry: Huge 1 BR Marina View | 80k | Unfurnished</t>
  </si>
  <si>
    <t>Kate Richards</t>
  </si>
  <si>
    <t>0523763499</t>
  </si>
  <si>
    <t>kate.staunton70@gmail.com</t>
  </si>
  <si>
    <t>Message: When is it available for viewing? Thanks / *The Rarest and Unique full sea view. Rent</t>
  </si>
  <si>
    <t>R-1148</t>
  </si>
  <si>
    <t>Elena</t>
  </si>
  <si>
    <t>+792-177-42234</t>
  </si>
  <si>
    <t xml:space="preserve"> Vijay Singh</t>
  </si>
  <si>
    <t xml:space="preserve"> vijaysinghjaswal@gmail.com</t>
  </si>
  <si>
    <t>Email: Lena.barakhova@icloud.com</t>
  </si>
  <si>
    <t>Inquiry:  Luxury Studio| Vacant| Flexible Viewings</t>
  </si>
  <si>
    <t xml:space="preserve"> Dear Shane, I am moving to Dubai from Delhi (India) for work and will be arriving 2nd December. I will be looking up Hotel apartments during my intial 15 days. My office will be Jebel Ali Free port. I will be living alone by myself and would need only Hotel aprtments which are maintained. I looked up this one aprtment that you have listed and shortlisted it. It would be nice if you could organise a visit during the 1st two weeks of December. Thanks, Vijay Singh Hi, I found your property with ref: HSR-R-1290 on propertyfinder.</t>
  </si>
  <si>
    <t>R-1290</t>
  </si>
  <si>
    <t>Furnishd Studio Hotel Apartment</t>
  </si>
  <si>
    <t>Jessie Sheridan</t>
  </si>
  <si>
    <t>Enquiry: Brand New Bluewaters | Sea and Garden View</t>
  </si>
  <si>
    <t>0585958328.</t>
  </si>
  <si>
    <t>jessievsheridan@gmail.com</t>
  </si>
  <si>
    <t xml:space="preserve"> Farida Hamzayeva</t>
  </si>
  <si>
    <t>Please contact me. Thank you.</t>
  </si>
  <si>
    <t>R-1113</t>
  </si>
  <si>
    <t>Marina View 2 BR | Maid Room | Unfurnished</t>
  </si>
  <si>
    <t>971-504-026760</t>
  </si>
  <si>
    <t xml:space="preserve"> 0507478227</t>
  </si>
  <si>
    <t>/ 4 BR / CORNER / CLOSE TO POOL AND PARK.</t>
  </si>
  <si>
    <t>R-1287</t>
  </si>
  <si>
    <t>hamzayeva@hotmail.com</t>
  </si>
  <si>
    <t>Full Marina view | The Best Layout</t>
  </si>
  <si>
    <t>Mr. محمد عصام جلال</t>
  </si>
  <si>
    <t>+393346634696.</t>
  </si>
  <si>
    <t>+966568668115</t>
  </si>
  <si>
    <t>S-1285</t>
  </si>
  <si>
    <t xml:space="preserve"> John</t>
  </si>
  <si>
    <t>Jamila</t>
  </si>
  <si>
    <t>0503017422</t>
  </si>
  <si>
    <t>sthonoree1@gmail.com</t>
  </si>
  <si>
    <t>Dubizzle / Propspace / Propertyfinder</t>
  </si>
  <si>
    <t>Signature Villas</t>
  </si>
  <si>
    <t>R-1017</t>
  </si>
  <si>
    <t>mohammedessamj@hotmail.com</t>
  </si>
  <si>
    <t>Leo</t>
  </si>
  <si>
    <t>+971569732245</t>
  </si>
  <si>
    <t xml:space="preserve"> leo@olivebee.com</t>
  </si>
  <si>
    <t>Short Term at cayan Tower | Monthly Rent</t>
  </si>
  <si>
    <t>JustProperty / propspace / propertyfinder</t>
  </si>
  <si>
    <t>Huge 2 Bedroom Plus Study with Full Race View</t>
  </si>
  <si>
    <t>R-1166</t>
  </si>
  <si>
    <t>Ali</t>
  </si>
  <si>
    <t>Sanya</t>
  </si>
  <si>
    <t>447-828-251103</t>
  </si>
  <si>
    <t>sanyaijaz94@gmail.com</t>
  </si>
  <si>
    <t>Bayut / Bayut</t>
  </si>
  <si>
    <t>. حسام الجنديMr</t>
  </si>
  <si>
    <t>+971501153322</t>
  </si>
  <si>
    <t>hosamelgendy93@gmail.com</t>
  </si>
  <si>
    <t>hassan</t>
  </si>
  <si>
    <t xml:space="preserve"> *Propertywifi* looking for rent</t>
  </si>
  <si>
    <t>Jessa</t>
  </si>
  <si>
    <t>Darren Moore</t>
  </si>
  <si>
    <t>Eltayib</t>
  </si>
  <si>
    <t>0508829996.</t>
  </si>
  <si>
    <t>0521882385</t>
  </si>
  <si>
    <t>Teebo1982@gmail.com</t>
  </si>
  <si>
    <t>* Perfect Location to your Family|Dubai Hills</t>
  </si>
  <si>
    <t>jessa.mariam@gmail.com</t>
  </si>
  <si>
    <t>0585572028</t>
  </si>
  <si>
    <t>Beauty salon in Barsha Heights Dubai UAE.</t>
  </si>
  <si>
    <t>dcm.vom@btinternet.com</t>
  </si>
  <si>
    <t>Charbel Maroun</t>
  </si>
  <si>
    <t>0544464416</t>
  </si>
  <si>
    <t>charbel-maroun1@hotmail.com</t>
  </si>
  <si>
    <t>R-1277</t>
  </si>
  <si>
    <t>Executive Bay 2BR</t>
  </si>
  <si>
    <t>Hi, I am interested in your article advertising Beauty salon in Barsha Heights Dubai UAE</t>
  </si>
  <si>
    <t>R-1071</t>
  </si>
  <si>
    <t>Admin</t>
  </si>
  <si>
    <t>Brand New Bluewaters | Sea and Garden View</t>
  </si>
  <si>
    <t>Sharon</t>
  </si>
  <si>
    <t>Ankush</t>
  </si>
  <si>
    <t>971529311244.</t>
  </si>
  <si>
    <t>sharon@carltonrealestate.ae</t>
  </si>
  <si>
    <t>971-565-39867</t>
  </si>
  <si>
    <t>Dinesh</t>
  </si>
  <si>
    <t>ankush.arora.581@gmail.com</t>
  </si>
  <si>
    <t>Rupert Bastick</t>
  </si>
  <si>
    <t xml:space="preserve"> +9710555144701</t>
  </si>
  <si>
    <t>Restaurant Sharjah | 33k Month Profit</t>
  </si>
  <si>
    <t>Marina Diamonds, Duba</t>
  </si>
  <si>
    <t>R-1083</t>
  </si>
  <si>
    <t>+971508353731</t>
  </si>
  <si>
    <t>rupertb@imsmeltd.com</t>
  </si>
  <si>
    <t>Imran Pola</t>
  </si>
  <si>
    <t>Ricardo</t>
  </si>
  <si>
    <t xml:space="preserve"> 0507707991.</t>
  </si>
  <si>
    <t xml:space="preserve"> each Access| Well maintained| Vacant</t>
  </si>
  <si>
    <t>0557396953</t>
  </si>
  <si>
    <t>ipconcept85@gmail.com</t>
  </si>
  <si>
    <t>ricardorazeto@outlook.com</t>
  </si>
  <si>
    <t>is it available for viewing Tomorrow, Nov 24 in the Afternoon? Thanks</t>
  </si>
  <si>
    <t>S-1550</t>
  </si>
  <si>
    <t>Franchise Restaurant | Business For Sale</t>
  </si>
  <si>
    <t>Alina</t>
  </si>
  <si>
    <t>00971552952431.</t>
  </si>
  <si>
    <t>alina0333@gmail.com</t>
  </si>
  <si>
    <t>S-1192</t>
  </si>
  <si>
    <t xml:space="preserve">PropertyFinder </t>
  </si>
  <si>
    <t>Furnishd Studio Hotel Apartment | Call Now</t>
  </si>
  <si>
    <t>0527925825</t>
  </si>
  <si>
    <t xml:space="preserve"> على  / Ali</t>
  </si>
  <si>
    <t>Ma</t>
  </si>
  <si>
    <t>00966546446166</t>
  </si>
  <si>
    <t>awni_72@yahoo.com</t>
  </si>
  <si>
    <t>2BR Full Fountain and Burj Khalifa Views</t>
  </si>
  <si>
    <t>fahad</t>
  </si>
  <si>
    <t>Danny</t>
  </si>
  <si>
    <t>+971509569607.</t>
  </si>
  <si>
    <t>danny@almashreq.co.ae</t>
  </si>
  <si>
    <t>+971528866815</t>
  </si>
  <si>
    <t>Wal</t>
  </si>
  <si>
    <t>madan.khichi@gmail.com</t>
  </si>
  <si>
    <t>+97143438000</t>
  </si>
  <si>
    <t>whdhotel@gmail.com</t>
  </si>
  <si>
    <t>Running Cafe in Jebel Ali Office Building</t>
  </si>
  <si>
    <t>S-1213</t>
  </si>
  <si>
    <t>Lucy Billington</t>
  </si>
  <si>
    <t>Maya</t>
  </si>
  <si>
    <t>0508924689</t>
  </si>
  <si>
    <t>lucy.billington@gmail.com</t>
  </si>
  <si>
    <t>Is it available for viewing ? Thanks</t>
  </si>
  <si>
    <t>4 BR / CORNER / CLOSE TO POOL AND PARK.</t>
  </si>
  <si>
    <t>0567595472.</t>
  </si>
  <si>
    <t>0501483393</t>
  </si>
  <si>
    <t>hendritarigan77@gmail.com</t>
  </si>
  <si>
    <t>Jabbour_maya@hotmail.com</t>
  </si>
  <si>
    <t>Cafe and Shisha Location Available in JLT.</t>
  </si>
  <si>
    <t>R-1085</t>
  </si>
  <si>
    <t>Is it available for viewing Today, Nov 25 in the Morning? Thanks</t>
  </si>
  <si>
    <t>Naveed Rashid</t>
  </si>
  <si>
    <t xml:space="preserve"> Brand New Bluewaters | Sea and Garden View</t>
  </si>
  <si>
    <t>0559945680</t>
  </si>
  <si>
    <t>Naveed@homezone.ae</t>
  </si>
  <si>
    <t>HAYAT TOWNHOUSES 4BR</t>
  </si>
  <si>
    <t>S-1255</t>
  </si>
  <si>
    <t xml:space="preserve">4BR </t>
  </si>
  <si>
    <t>Maryam</t>
  </si>
  <si>
    <t>Meray Aziz</t>
  </si>
  <si>
    <t>+971558910998</t>
  </si>
  <si>
    <t>merayaziz@aucegypt.edu</t>
  </si>
  <si>
    <t>Hotel Apartment for Rent in Damac Maison Cour Jardin, Business Bay</t>
  </si>
  <si>
    <t>+971582891303</t>
  </si>
  <si>
    <t>mkeilani@yahoo.com</t>
  </si>
  <si>
    <t>Serena Casa Bella</t>
  </si>
  <si>
    <t>S-1481</t>
  </si>
  <si>
    <t>wAQAS</t>
  </si>
  <si>
    <t xml:space="preserve"> Meray Aziz</t>
  </si>
  <si>
    <t>+971529027398</t>
  </si>
  <si>
    <t>Jay Wynne</t>
  </si>
  <si>
    <t>+971559522597.</t>
  </si>
  <si>
    <t>Jay@luxurymansion.ae</t>
  </si>
  <si>
    <t>Hassan Ahmed</t>
  </si>
  <si>
    <t>Apartment for Rent in Diamond, Tiara Residences</t>
  </si>
  <si>
    <t>Cheapest Studio | Zen 20 Discovery Garden</t>
  </si>
  <si>
    <t>968-996-17759</t>
  </si>
  <si>
    <t>engali.om@gmail.com</t>
  </si>
  <si>
    <t xml:space="preserve">Bayut   </t>
  </si>
  <si>
    <t>Interested In: Reem Community, Arabian Ranches 2, Dubai</t>
  </si>
  <si>
    <t>S-1597</t>
  </si>
  <si>
    <t>R-1032</t>
  </si>
  <si>
    <t xml:space="preserve">Ali </t>
  </si>
  <si>
    <t>Fahad Malik</t>
  </si>
  <si>
    <t>Anthea Cruickshank</t>
  </si>
  <si>
    <t>+971501501908</t>
  </si>
  <si>
    <t>antheacruickshank@hotmail.com</t>
  </si>
  <si>
    <t>Apartment for Sale in A1, The Hills A</t>
  </si>
  <si>
    <t>S-1179</t>
  </si>
  <si>
    <t>Hi, I'm very interested in this apt, can you send me the layout/plan please? Many thanks,</t>
  </si>
  <si>
    <t>Neetu</t>
  </si>
  <si>
    <t>Reheman nazhakaiti</t>
  </si>
  <si>
    <t>+91 9999219245.</t>
  </si>
  <si>
    <t>neetupandey23@gmail.com</t>
  </si>
  <si>
    <t>Apartment for Rent in Sadaf 6, Sadaf</t>
  </si>
  <si>
    <t>+61426818054.</t>
  </si>
  <si>
    <t>Amir</t>
  </si>
  <si>
    <t>0561526571</t>
  </si>
  <si>
    <t>nazakat.rahman4@gmail.com</t>
  </si>
  <si>
    <t>Phase 1 - Naseem /Furnished 4 beds Townhouse in Mudon for rent</t>
  </si>
  <si>
    <t>R-1018</t>
  </si>
  <si>
    <t>Viridiana Gonzales</t>
  </si>
  <si>
    <t>+5214436827521</t>
  </si>
  <si>
    <t>diana_81glez@hotmail.com</t>
  </si>
  <si>
    <t>Shoreline Apartments,Rent in Al Dabas,</t>
  </si>
  <si>
    <t>Thomas Raz</t>
  </si>
  <si>
    <t>+971504360701.</t>
  </si>
  <si>
    <t>toraz@t-online.de</t>
  </si>
  <si>
    <t>Marina Pearl, Dubai Marina</t>
  </si>
  <si>
    <t>has441@yahoo.in</t>
  </si>
  <si>
    <t>Msngesh k</t>
  </si>
  <si>
    <t>Johnny Raz</t>
  </si>
  <si>
    <t>+971525285234</t>
  </si>
  <si>
    <t>familie.raz@gmx.de</t>
  </si>
  <si>
    <t>0507681360.</t>
  </si>
  <si>
    <t>JustProperty*</t>
  </si>
  <si>
    <t>Mbk2409@gmail.com</t>
  </si>
  <si>
    <t>JIGNA dOSHI</t>
  </si>
  <si>
    <t>Rental Listing Enquiry - Rent 2 bedroom with view Burj Vista T1</t>
  </si>
  <si>
    <t>+9710567357274</t>
  </si>
  <si>
    <t>The Sparkle Towers, /Apartment</t>
  </si>
  <si>
    <t>jrdoshi78@gmail.com</t>
  </si>
  <si>
    <t>propspace</t>
  </si>
  <si>
    <t>R-1311</t>
  </si>
  <si>
    <t xml:space="preserve"> Mina</t>
  </si>
  <si>
    <t>0507385986</t>
  </si>
  <si>
    <t>S-1599</t>
  </si>
  <si>
    <t>Property for rent 4BR Villa Zara Townhouse</t>
  </si>
  <si>
    <t xml:space="preserve"> Purva Ladha</t>
  </si>
  <si>
    <t>Manhal Saleh</t>
  </si>
  <si>
    <t>0556640591.</t>
  </si>
  <si>
    <t>Purva.meh85@gmail.com</t>
  </si>
  <si>
    <t>manhal-saleh@hotmail.com</t>
  </si>
  <si>
    <t>Furnished Studio Hotel Apartment |Call Now</t>
  </si>
  <si>
    <t>0096507010707</t>
  </si>
  <si>
    <t>dr.teaya@gmail.com</t>
  </si>
  <si>
    <t>Marina Diamond 5</t>
  </si>
  <si>
    <t>سلام، شاهدت إعلانك هذا على دوبيزل وأرغب بالاستفسار عن تفاصيل مشاهدتها شخصياً. شكراً</t>
  </si>
  <si>
    <t>R-1312</t>
  </si>
  <si>
    <t>00971561406841</t>
  </si>
  <si>
    <t>djills54@yahoo.co.uk</t>
  </si>
  <si>
    <t>Resale Deal | 1 Bedroom | Fantastic Price.</t>
  </si>
  <si>
    <t>S-1108</t>
  </si>
  <si>
    <t>I have 1bed apartment for resale in the burj views II please contact me if interested to list it with your company. Thank you for</t>
  </si>
  <si>
    <t>Hadjou Algerie</t>
  </si>
  <si>
    <t>+33684614911</t>
  </si>
  <si>
    <t>hadj_mameri@yahoo.fr</t>
  </si>
  <si>
    <t>Hello I would like to have more information about the trade I would like to open a shisha restaurant can you tell me the total area and know if the local and the rent with the furniture and if the trade is available immediately thank you</t>
  </si>
  <si>
    <t>+3360909362</t>
  </si>
  <si>
    <t>Farah Benbakir</t>
  </si>
  <si>
    <t xml:space="preserve"> justinesammy@yahoo.fr</t>
  </si>
  <si>
    <t>0507155062.</t>
  </si>
  <si>
    <t>farah.benbakir@gmail.com</t>
  </si>
  <si>
    <t>Apartment for Sale in J8, Al Sufouh 2</t>
  </si>
  <si>
    <t>S-1110</t>
  </si>
  <si>
    <t>Emily</t>
  </si>
  <si>
    <t>Propspace</t>
  </si>
  <si>
    <t xml:space="preserve"> Best Tower in Jbr | Ready Soon</t>
  </si>
  <si>
    <t>Kersti</t>
  </si>
  <si>
    <t>+971 50 493 3240</t>
  </si>
  <si>
    <t>Kivikersti@gmail.com</t>
  </si>
  <si>
    <t>David</t>
  </si>
  <si>
    <t>Delagneau Bertrand</t>
  </si>
  <si>
    <t>0558959333</t>
  </si>
  <si>
    <t>0564034983</t>
  </si>
  <si>
    <t>delagneaubertrand@gmail.com</t>
  </si>
  <si>
    <t>From: *Propertyfinder*</t>
  </si>
  <si>
    <t>Mr. wael mando</t>
  </si>
  <si>
    <t>Al Nabat, Shoreline Apartments</t>
  </si>
  <si>
    <t>Dubizzle / Direct Call</t>
  </si>
  <si>
    <t>R-1297</t>
  </si>
  <si>
    <t xml:space="preserve"> Marina Diamond 5</t>
  </si>
  <si>
    <t>Please call back</t>
  </si>
  <si>
    <t>+971563688448</t>
  </si>
  <si>
    <t>sales@mando-uae.com</t>
  </si>
  <si>
    <t>Siddiqa Issa</t>
  </si>
  <si>
    <t xml:space="preserve"> 056-6903636</t>
  </si>
  <si>
    <t>reemissa33@gmail.come</t>
  </si>
  <si>
    <t>kindly call me</t>
  </si>
  <si>
    <t>READY MOVE IN / 3 BEDROOM/ TYPE I / PHASE 1</t>
  </si>
  <si>
    <t>S-1625</t>
  </si>
  <si>
    <t>Leyli Akmammedova</t>
  </si>
  <si>
    <t>971522372023.</t>
  </si>
  <si>
    <t>leyli.akmammedova@cacconsulting.ae</t>
  </si>
  <si>
    <t>Inquiry: Running Restaurant for sale in Jumeirah 2.</t>
  </si>
  <si>
    <t>966568668115</t>
  </si>
  <si>
    <t>R-1102</t>
  </si>
  <si>
    <t>Taronish</t>
  </si>
  <si>
    <t>971-556-536076</t>
  </si>
  <si>
    <t>taronishbajan@gmail.com</t>
  </si>
  <si>
    <t>0502021051</t>
  </si>
  <si>
    <t>jecagr7@yahoo.com</t>
  </si>
  <si>
    <t>A Perfect Location for Ideal Business!-JLT</t>
  </si>
  <si>
    <t>Narendra adiwasi</t>
  </si>
  <si>
    <t>khushru.m@hotmail.com</t>
  </si>
  <si>
    <t>9718435770992</t>
  </si>
  <si>
    <t>Dubizzle / Propspace</t>
  </si>
  <si>
    <t>Gated Community|4Bedroom Villas |Al Barsha.</t>
  </si>
  <si>
    <t>R-1176</t>
  </si>
  <si>
    <t>narendraadiwasi@gmail.com</t>
  </si>
  <si>
    <t>Suha Sulun</t>
  </si>
  <si>
    <t>905-072-902464</t>
  </si>
  <si>
    <t>Jumeirah Business Centerr 1Please send me more information about this property. Thank you</t>
  </si>
  <si>
    <t>suhasulun@hotmail.com</t>
  </si>
  <si>
    <t>004917683056424</t>
  </si>
  <si>
    <t>Siar</t>
  </si>
  <si>
    <t>direktverteilung@hotmail.de</t>
  </si>
  <si>
    <t>0585939060</t>
  </si>
  <si>
    <t>siarazami@gmail.com</t>
  </si>
  <si>
    <t>LIMITED TIME OFFER -3BEDROOM Villa Nova.</t>
  </si>
  <si>
    <t>Amazing Price | Ready Soon | Luxury Home.</t>
  </si>
  <si>
    <t>Marhaba! Is any 2 or 3 Bed available?</t>
  </si>
  <si>
    <t>When is it available for viewing? Thanks. Pls send me information by mail</t>
  </si>
  <si>
    <t>S-1284</t>
  </si>
  <si>
    <t>S-1608</t>
  </si>
  <si>
    <t>Angela</t>
  </si>
  <si>
    <t>Lee Miyoko</t>
  </si>
  <si>
    <t>0561137350.</t>
  </si>
  <si>
    <t>+971555574222</t>
  </si>
  <si>
    <t xml:space="preserve">Angelakkm0622@hotmail.com </t>
  </si>
  <si>
    <t>115894514@qq.com</t>
  </si>
  <si>
    <t>1BR</t>
  </si>
  <si>
    <t>1.2 Million AED Beachfront Apartment!</t>
  </si>
  <si>
    <t>R-1274</t>
  </si>
  <si>
    <t>Zohaib</t>
  </si>
  <si>
    <t>0522456611</t>
  </si>
  <si>
    <t>Zahra Ijaz</t>
  </si>
  <si>
    <t>sina.alrawi@yahoo.con</t>
  </si>
  <si>
    <t>+971556555598</t>
  </si>
  <si>
    <t>Perfect Location to your Family|Dubai Hills.</t>
  </si>
  <si>
    <t>thexaru@gmail.com</t>
  </si>
  <si>
    <t>S-1170</t>
  </si>
  <si>
    <t>Please send me more information about this property. /Also let me know the exact location and time so I can visit</t>
  </si>
  <si>
    <t>Federica</t>
  </si>
  <si>
    <t xml:space="preserve"> '+971502534352.</t>
  </si>
  <si>
    <t>fedydandry@gmail.com</t>
  </si>
  <si>
    <t>Salem</t>
  </si>
  <si>
    <t>0501444799</t>
  </si>
  <si>
    <t>direct call</t>
  </si>
  <si>
    <t>Mudon /Arabella Townhouses 5BR</t>
  </si>
  <si>
    <t>S-1404</t>
  </si>
  <si>
    <t>Rae Chase</t>
  </si>
  <si>
    <t>Vinod singh</t>
  </si>
  <si>
    <t>+971502850775</t>
  </si>
  <si>
    <t>0582803418</t>
  </si>
  <si>
    <t>raechase95@gmail.com</t>
  </si>
  <si>
    <t>01vinod@gmail.com</t>
  </si>
  <si>
    <t>JLT Apartment Starting 410,000 AED Booking 5% Only Opp to Metro Station</t>
  </si>
  <si>
    <t>Residential for Sale &gt; Villa/House for Sale</t>
  </si>
  <si>
    <t>share more details, are these ready to move</t>
  </si>
  <si>
    <t>S-1487/S1483 /S-1481</t>
  </si>
  <si>
    <t>S-1444</t>
  </si>
  <si>
    <t>Waqas</t>
  </si>
  <si>
    <t>Martin Kandrac</t>
  </si>
  <si>
    <t>+971585168983.</t>
  </si>
  <si>
    <t>Mrs. Felicia jones</t>
  </si>
  <si>
    <t>kandrac@hotmail.com</t>
  </si>
  <si>
    <t>Enquiry: The Best Deal in the Area | Rented | Marina View Now</t>
  </si>
  <si>
    <t>jonesfelicia.activist@gmail.com</t>
  </si>
  <si>
    <t>Ae.Green-Acres.Com*</t>
  </si>
  <si>
    <t>Hi, I am interested in the property I will be glad to hear from you.</t>
  </si>
  <si>
    <t>S-1584 /S-1609</t>
  </si>
  <si>
    <t xml:space="preserve"> Anton Glemme</t>
  </si>
  <si>
    <t xml:space="preserve"> +46790682122.</t>
  </si>
  <si>
    <t>Hitesh Bhatia</t>
  </si>
  <si>
    <t>antonglemme@hotmail.com</t>
  </si>
  <si>
    <t xml:space="preserve"> 0558807956</t>
  </si>
  <si>
    <t>hiteshabhatia@hotmail.com</t>
  </si>
  <si>
    <t xml:space="preserve">The Best Deal in the Area | Rented | Marina View Now </t>
  </si>
  <si>
    <t>Huge 2 Bedroom+Study in Executive Bay</t>
  </si>
  <si>
    <t>Peter</t>
  </si>
  <si>
    <t>Walid Gaddouch</t>
  </si>
  <si>
    <t>0506462043</t>
  </si>
  <si>
    <t>+96590993929.</t>
  </si>
  <si>
    <t>walidgaddouch@yahoo.fr</t>
  </si>
  <si>
    <t>peter3700@hotmail.com</t>
  </si>
  <si>
    <t>Want to sell a property</t>
  </si>
  <si>
    <t>Bluewaters Residences</t>
  </si>
  <si>
    <t>Dear I would like to sell my 1 bedroom in Harbour views</t>
  </si>
  <si>
    <t>Message: I am looking for 2 bedroom in blue water only in building 1 or 3 or 4 only sea view, NO LANDMARK VIEW</t>
  </si>
  <si>
    <t>S-1296</t>
  </si>
  <si>
    <t>Ali  / Asif</t>
  </si>
  <si>
    <t>Juliet Kawanchi</t>
  </si>
  <si>
    <t>+971558774974.</t>
  </si>
  <si>
    <t xml:space="preserve"> juliet_sweet19@gmail.com</t>
  </si>
  <si>
    <t>Ready to Move| Huge 2BR|executive bay</t>
  </si>
  <si>
    <t>Sageer Alsha</t>
  </si>
  <si>
    <t>0096566837666</t>
  </si>
  <si>
    <t>Sharhanove@gmail.com</t>
  </si>
  <si>
    <t>Property to sell</t>
  </si>
  <si>
    <t>Hello I am from kuwait i have 17 studio in azizi (riviera) and i want to sell a part of them in a good price like 460K ED I include 5% for the government so if you are interesting to work with me on this pleas i'll send you my contact num and e.mail that you can contact me thank you.</t>
  </si>
  <si>
    <t>+971000000006</t>
  </si>
  <si>
    <t>Bob.barento@gmail.com</t>
  </si>
  <si>
    <t>LAWRENCE JOSEPH</t>
  </si>
  <si>
    <t>0503890895</t>
  </si>
  <si>
    <t>Enquiry: Ready retail corner shop for sale in DIFC.</t>
  </si>
  <si>
    <t>lawrencejv@gmail.com</t>
  </si>
  <si>
    <t>Mira Oasis Property to sell</t>
  </si>
  <si>
    <t>I have a unit in Mira Oasis1,type H, 3BHK + study + maid, 2287sq ft, plot area 2901 sq ft, end unit, single row. Would like to sell for premium otherwise rent. If interested please whatsapp</t>
  </si>
  <si>
    <t>Dahlia Nehme</t>
  </si>
  <si>
    <t>Serhan Unalan</t>
  </si>
  <si>
    <t>+971557240716</t>
  </si>
  <si>
    <t>393-331-318858</t>
  </si>
  <si>
    <t>dahlia.nehme@gmail.com</t>
  </si>
  <si>
    <t>serhan_uenalan@yahoo.de</t>
  </si>
  <si>
    <t>Silverene, Dubai Marina, Dubai</t>
  </si>
  <si>
    <t>Enquiry: adaf 6, Sadaf</t>
  </si>
  <si>
    <t>S-1642</t>
  </si>
  <si>
    <t>Gaziz Seitzhanov</t>
  </si>
  <si>
    <t>+77012100280</t>
  </si>
  <si>
    <t>qwerty_33@list.ru</t>
  </si>
  <si>
    <t>Bluewaters Residences  2BR</t>
  </si>
  <si>
    <t>Message: Hello do you have a Russian speaking consultant? If yes, could you please reach this number on whatsapp +77012100280 Mr. Shakhi Seitzhanov Interested in 2BR apartment in Bluewaters residence</t>
  </si>
  <si>
    <t>0501521326</t>
  </si>
  <si>
    <t>S-1646</t>
  </si>
  <si>
    <t>Julia</t>
  </si>
  <si>
    <t>sallyfayyad@gmail.com</t>
  </si>
  <si>
    <t>Nomi Leo</t>
  </si>
  <si>
    <t>Message:When is it available for viewing? Thanks.</t>
  </si>
  <si>
    <t>+971553536606</t>
  </si>
  <si>
    <t>Nomifss63@gmail.com</t>
  </si>
  <si>
    <t>Mrs. Moroz</t>
  </si>
  <si>
    <t>How much is the price</t>
  </si>
  <si>
    <t>+971561741360</t>
  </si>
  <si>
    <t>tixysco@yahoo.com.au</t>
  </si>
  <si>
    <t>Mohammed Ejaz</t>
  </si>
  <si>
    <t>Message: I am a landlord of the commercial unit in Park Towers and would love to sale it. If you want to represent me please keep in touch via email: tixysco@[url removed]</t>
  </si>
  <si>
    <t>0529339372</t>
  </si>
  <si>
    <t>Office space in Tamani Art Tower, Business Bay-</t>
  </si>
  <si>
    <t>Simon Husk</t>
  </si>
  <si>
    <t>R-1263</t>
  </si>
  <si>
    <t>+61467323777</t>
  </si>
  <si>
    <t>simon.husk@hotmail.com</t>
  </si>
  <si>
    <t>Ihab</t>
  </si>
  <si>
    <t xml:space="preserve"> 0551425140.</t>
  </si>
  <si>
    <t>ihab.alaaeldine@gmail.com</t>
  </si>
  <si>
    <t>Inquiry: Fresh listing |Sea view| Ready to move</t>
  </si>
  <si>
    <t>FAST BUSINESS</t>
  </si>
  <si>
    <t xml:space="preserve"> +971526414292</t>
  </si>
  <si>
    <t>fastuae1@gmail.com</t>
  </si>
  <si>
    <t xml:space="preserve"> Daniel Flowers</t>
  </si>
  <si>
    <t>Hello, I would like to office space in Al Nahda,Sharjah, please let me know Thank you  Restaurant Sharjah</t>
  </si>
  <si>
    <t>+971508738697</t>
  </si>
  <si>
    <t>Hasan gulkaya</t>
  </si>
  <si>
    <t>Email:  danielolu@hotmail.com</t>
  </si>
  <si>
    <t>00905332343592</t>
  </si>
  <si>
    <t>Hgulkaya@bonysocks.com</t>
  </si>
  <si>
    <t>Inquiry: Sidra Villas I</t>
  </si>
  <si>
    <t>From: Propertyfinder</t>
  </si>
  <si>
    <t>S-1054</t>
  </si>
  <si>
    <t>Tommy</t>
  </si>
  <si>
    <t>Enquiry: Hayat Townhouses /4BR</t>
  </si>
  <si>
    <t xml:space="preserve"> 0529083500</t>
  </si>
  <si>
    <t>Mudon -Arabella</t>
  </si>
  <si>
    <t>Waqas'</t>
  </si>
  <si>
    <t>Vipinu calling or emailing on:</t>
  </si>
  <si>
    <t>Rasik</t>
  </si>
  <si>
    <t xml:space="preserve"> +44 07930626373</t>
  </si>
  <si>
    <t>vipinubabu@gmail.com</t>
  </si>
  <si>
    <t xml:space="preserve"> Rgruparelia@aool.com</t>
  </si>
  <si>
    <t>Shop for Sale in Al Khabisi, Deira</t>
  </si>
  <si>
    <t>Michael</t>
  </si>
  <si>
    <t>Aditi Shah</t>
  </si>
  <si>
    <t>971551013779</t>
  </si>
  <si>
    <t>Naeem</t>
  </si>
  <si>
    <t>00639985353867.</t>
  </si>
  <si>
    <t>therealneofrommatrix@gmail.com</t>
  </si>
  <si>
    <t>aditiviralshah@gmail.com</t>
  </si>
  <si>
    <t>Cake and Sweet Shop in Deira for Sale</t>
  </si>
  <si>
    <t>S-1177</t>
  </si>
  <si>
    <t>Executive Bay, Business Bay/2BR</t>
  </si>
  <si>
    <t>Gaetano Giornofelice</t>
  </si>
  <si>
    <t>+12894425517</t>
  </si>
  <si>
    <t xml:space="preserve"> ggforce59@gmil.com</t>
  </si>
  <si>
    <t>Khaled Rafik</t>
  </si>
  <si>
    <t>I am looking for a long term furnished apartment in the Business Bay Area . one or two bedroom on high floors with a view of the Burj. Up to 70,000 DRM. Starting in February 2019. I look forward to chatting with you. Thank you</t>
  </si>
  <si>
    <t>bedspacer</t>
  </si>
  <si>
    <t>khaled_rafik@yahoo.co.uk</t>
  </si>
  <si>
    <t xml:space="preserve">Project: Bluewaters residence </t>
  </si>
  <si>
    <t>Palm Jumeirah ‪ &gt; ‪ Golden Mile 7</t>
  </si>
  <si>
    <t>2BR -Exclusive | Enjoy the island living. Message: hello, do you have a russian speaking consultant? If yes, could you please reach this number on whatsapp +77012100280 Mr. Shakhi Seitzhanov Interested in 2BR apartment in Bluewaters residence</t>
  </si>
  <si>
    <t>Sheetal</t>
  </si>
  <si>
    <t>971544495238</t>
  </si>
  <si>
    <t>Cozy Restaurant and Cafe on Marina Walk</t>
  </si>
  <si>
    <t>sheetal@highsourceproperties.com</t>
  </si>
  <si>
    <t>Enquiry: Executive Bay 1BR</t>
  </si>
  <si>
    <t>Adnan</t>
  </si>
  <si>
    <t>+971558742449.</t>
  </si>
  <si>
    <t>adnan@aarealgroup.com</t>
  </si>
  <si>
    <t>Huge 1 BR Marina View | 80k | Unfurnished</t>
  </si>
  <si>
    <t>Ankit Shyam Jain</t>
  </si>
  <si>
    <t>Please contact me.i am agent and i have ready client for sadaf or amwaj cluster budget 75k to 80 k can we do viewinh today at 3:30 Thank you.</t>
  </si>
  <si>
    <t>971552810487</t>
  </si>
  <si>
    <t>ankz.moving.on@gmail.com</t>
  </si>
  <si>
    <t>Enquiry: JLT Jumeirah Lake Towers</t>
  </si>
  <si>
    <t>Message: When is it available for viewing? Thanks</t>
  </si>
  <si>
    <t>+31628338300</t>
  </si>
  <si>
    <t>Joe Ghabach</t>
  </si>
  <si>
    <t>n.chamoun@hotmail.de</t>
  </si>
  <si>
    <t>971566869572</t>
  </si>
  <si>
    <t>BEACH VISTA | IN EMAAR WATERFRONT</t>
  </si>
  <si>
    <t>Hi, I saw your ad on dubizzle. Is it available for viewing?</t>
  </si>
  <si>
    <t>jaghabach@gmail.com</t>
  </si>
  <si>
    <t>S-1202</t>
  </si>
  <si>
    <t>fahad Haq</t>
  </si>
  <si>
    <t>Hi Dear, Please provide more detail about this restaurant.</t>
  </si>
  <si>
    <t>AgustinfloaX</t>
  </si>
  <si>
    <t>Ali jariwalla</t>
  </si>
  <si>
    <t>+254722511667</t>
  </si>
  <si>
    <t>ajariwalla@gmail.com</t>
  </si>
  <si>
    <t>83563393442</t>
  </si>
  <si>
    <t>mattresse1@gmail.com</t>
  </si>
  <si>
    <t>Kempinski Palm Residence, The Crescent</t>
  </si>
  <si>
    <t>Client interested in Emaar Property.</t>
  </si>
  <si>
    <t>. Please contact me +918879242202 as I am on vacation in india. Also please send me the floor plan. Thank you.</t>
  </si>
  <si>
    <t>Comments: generic viagra how long does it last &lt;a =https://fortunegraphite.com/&gt;fortunegraphite.com&lt;/a&gt; generic viagra tablet &lt;a =https://fortunegraphite.com/&gt;hop over to this website&lt;/a&gt;</t>
  </si>
  <si>
    <t>S-1641</t>
  </si>
  <si>
    <t>Time Faclities Management by calling or emailing on:</t>
  </si>
  <si>
    <t>spam</t>
  </si>
  <si>
    <t>971526930906</t>
  </si>
  <si>
    <t>ahmed.ali@timehotels.ae</t>
  </si>
  <si>
    <t>Hamza</t>
  </si>
  <si>
    <t>*Propertyfinder*</t>
  </si>
  <si>
    <t>+971 50 266 5436</t>
  </si>
  <si>
    <t>Hi Good Morning! This is Ali from Time Facilities Management. We have apartments and Villas to rent as we are direct landlords of the building. Its in the area of Barsha Heights(Tecom) and Albarsha. We dont charge any commission. If its possible to discuss about it so we can work together.</t>
  </si>
  <si>
    <t>Direct</t>
  </si>
  <si>
    <t>Studio  Apartment  in Discovery Garden</t>
  </si>
  <si>
    <t>Message: need by january.</t>
  </si>
  <si>
    <t>enquiry'</t>
  </si>
  <si>
    <t>R-1264</t>
  </si>
  <si>
    <t>n/A</t>
  </si>
  <si>
    <t>Daisy Yang</t>
  </si>
  <si>
    <t>971502534639</t>
  </si>
  <si>
    <t>184769289@qq.com</t>
  </si>
  <si>
    <t>+ 447957915494</t>
  </si>
  <si>
    <t>adrian@heatwave-group.com</t>
  </si>
  <si>
    <t>Luxury Apartments with Full View of Downtown Dubai.</t>
  </si>
  <si>
    <t>Anil Duhirani</t>
  </si>
  <si>
    <t>0506940149</t>
  </si>
  <si>
    <t>aduhirani@hotmail.com</t>
  </si>
  <si>
    <t>S-1643</t>
  </si>
  <si>
    <t>Arabella &gt; ‪ Arabella 1</t>
  </si>
  <si>
    <t>S-1635</t>
  </si>
  <si>
    <t>Daniel Flowers</t>
  </si>
  <si>
    <t>971508738697</t>
  </si>
  <si>
    <t>MUJEB Amanzay</t>
  </si>
  <si>
    <t>danielolu@hotmail.com</t>
  </si>
  <si>
    <t>+971551777768.</t>
  </si>
  <si>
    <t>parisgallery2@gmail.com</t>
  </si>
  <si>
    <t>DOWNTOWN VIEWS</t>
  </si>
  <si>
    <t>Hayat Townhouses 1, Hayat Townhouses</t>
  </si>
  <si>
    <t>S-1437</t>
  </si>
  <si>
    <t>FAhad</t>
  </si>
  <si>
    <t>Jane</t>
  </si>
  <si>
    <t>Sangeeta</t>
  </si>
  <si>
    <t xml:space="preserve"> 0507580221.</t>
  </si>
  <si>
    <t>Nazakat20111@hotmail.com</t>
  </si>
  <si>
    <t>sangsluthria@gmail.com</t>
  </si>
  <si>
    <t>Shop for Sale in Marina Pearl, Dubai Marina</t>
  </si>
  <si>
    <t>Yasmin Kadry</t>
  </si>
  <si>
    <t>+971-55-8279822</t>
  </si>
  <si>
    <t>wiki_1981@hotmail.com</t>
  </si>
  <si>
    <t>Nour</t>
  </si>
  <si>
    <t>2 Bedrooms Apartment|Park view|The best type| Golden Mile 10</t>
  </si>
  <si>
    <t>0097150882380</t>
  </si>
  <si>
    <t>nourjewels@gmail.com</t>
  </si>
  <si>
    <t>Studio for Sale | Al Thamam 13 | Tenanted.</t>
  </si>
  <si>
    <t>I am offering 250k net without financing from the bank. this is my budget, the deal can be done immediately. you can whats app me if the offer is ok for you . Regards Nour</t>
  </si>
  <si>
    <t>S-1107</t>
  </si>
  <si>
    <t>Malika Noor</t>
  </si>
  <si>
    <t>0585002358</t>
  </si>
  <si>
    <t>bestcandidatecv@gmail.com</t>
  </si>
  <si>
    <t>Beauty Salon in JLT!!</t>
  </si>
  <si>
    <t>I am interested in your article advertising Selling Business | Beauty Salon in JLT!!</t>
  </si>
  <si>
    <t>R1059</t>
  </si>
  <si>
    <t>Manel Azzouz</t>
  </si>
  <si>
    <t>+971563445668</t>
  </si>
  <si>
    <t>manel.azzouz@gmail.com</t>
  </si>
  <si>
    <t>Property Finder</t>
  </si>
  <si>
    <t>Al Dabas, Shoreline Apartments</t>
  </si>
  <si>
    <t>Saba</t>
  </si>
  <si>
    <t>James Kilcullen</t>
  </si>
  <si>
    <t>Pansy Gonsalvez</t>
  </si>
  <si>
    <t>Jameskilcullen@live.ie</t>
  </si>
  <si>
    <t>0507962834.</t>
  </si>
  <si>
    <t>0502556716</t>
  </si>
  <si>
    <t>pansygonsalvez@hotmail.com</t>
  </si>
  <si>
    <t>Message:When is it available for viewing? Thanks. I’m looking for a retail unit in JLT, the unit should match the below requests 3000 Sqft plus 120 KV power plus Gas connection or possible to add Gas Square/ rectangular unit Available to rent 
 something that matches the above please do let me knowimmediately If you have</t>
  </si>
  <si>
    <t>Arabian Ranches 2</t>
  </si>
  <si>
    <t xml:space="preserve">Ali   </t>
  </si>
  <si>
    <t>Muqtadeer</t>
  </si>
  <si>
    <t>+971559274825</t>
  </si>
  <si>
    <t>mjahen@gmail.com</t>
  </si>
  <si>
    <t>Hani Khader</t>
  </si>
  <si>
    <t xml:space="preserve"> 00966558634391</t>
  </si>
  <si>
    <t>Burj Vista</t>
  </si>
  <si>
    <t>hanikhader@hotmail.com</t>
  </si>
  <si>
    <t>Message: I am looking for a studio apt. Or a room with attached bathroom for a couple,  and a kitchen.My budget is monthly I can pay 2000 to 2300.</t>
  </si>
  <si>
    <t>Port de La Mer, La Mer</t>
  </si>
  <si>
    <t>R-1327</t>
  </si>
  <si>
    <t>malik</t>
  </si>
  <si>
    <t>S-1653</t>
  </si>
  <si>
    <t>Saira</t>
  </si>
  <si>
    <t>Kashif LOYAL REALTY BROKERS</t>
  </si>
  <si>
    <t>Tanya</t>
  </si>
  <si>
    <t>0556439900.</t>
  </si>
  <si>
    <t>kashif@loyaluae.com</t>
  </si>
  <si>
    <t>0506767065</t>
  </si>
  <si>
    <t>simplytanya@gmail.com</t>
  </si>
  <si>
    <t xml:space="preserve"> Burj Vista</t>
  </si>
  <si>
    <t>Inquiry: Apartment for Rent in Golden Mile 10, Golden Mile</t>
  </si>
  <si>
    <t>Winkat</t>
  </si>
  <si>
    <t>Taly</t>
  </si>
  <si>
    <t>971566570224</t>
  </si>
  <si>
    <t xml:space="preserve"> +971505345501</t>
  </si>
  <si>
    <t xml:space="preserve">  Need more information</t>
  </si>
  <si>
    <t>talytelll@yahoo.com</t>
  </si>
  <si>
    <t xml:space="preserve"> Dubizzle (DC)</t>
  </si>
  <si>
    <t>Inquiry: Act One | Act Two towers,</t>
  </si>
  <si>
    <t>S-1656</t>
  </si>
  <si>
    <t>Fatima</t>
  </si>
  <si>
    <t>Mr. mohamed karam</t>
  </si>
  <si>
    <t>971558717114</t>
  </si>
  <si>
    <t>Maria</t>
  </si>
  <si>
    <t>m.h.mk@hotmail.com</t>
  </si>
  <si>
    <t>+971558837381</t>
  </si>
  <si>
    <t>kapadiamaria.dsouza@gmail.com</t>
  </si>
  <si>
    <t>Townhouse for Sale in Reem Community, Arabian Ranches 2</t>
  </si>
  <si>
    <t>S-1598</t>
  </si>
  <si>
    <t>Shimaa Shaarawy</t>
  </si>
  <si>
    <t>00201224059292</t>
  </si>
  <si>
    <t>sh.sh3rawy84@yahoo.com</t>
  </si>
  <si>
    <t>1BR Executive Bay</t>
  </si>
  <si>
    <t>Sudhir</t>
  </si>
  <si>
    <t>+447912475471.</t>
  </si>
  <si>
    <t>Ian Mclean</t>
  </si>
  <si>
    <t>sudhir_mr@yahoo.com</t>
  </si>
  <si>
    <t>+971522753615</t>
  </si>
  <si>
    <t>ian.mclean@ssaltd.com</t>
  </si>
  <si>
    <t>Enquiry:Dubai Creek Harbour</t>
  </si>
  <si>
    <t>S-1294</t>
  </si>
  <si>
    <t>Faisal</t>
  </si>
  <si>
    <t>0557231938</t>
  </si>
  <si>
    <t>bukhari</t>
  </si>
  <si>
    <t>+971502903786</t>
  </si>
  <si>
    <t>1 Bedroom</t>
  </si>
  <si>
    <t>Email: sabukhari007@gmail.com</t>
  </si>
  <si>
    <t>Please send me more information about this property. Thank you Regards, Bukhari</t>
  </si>
  <si>
    <t>Name: Mohamad</t>
  </si>
  <si>
    <t>Mobile: +971565498252.</t>
  </si>
  <si>
    <t>Email: m.dirani88@gmail.com</t>
  </si>
  <si>
    <t>Enquiry: Arabella 2, Mudon</t>
  </si>
  <si>
    <t>Abdullah</t>
  </si>
  <si>
    <t>Apodi@hotmail.com</t>
  </si>
  <si>
    <t>Dubai Creek</t>
  </si>
  <si>
    <t>S-1045</t>
  </si>
  <si>
    <t>suvidha</t>
  </si>
  <si>
    <t>Bruno</t>
  </si>
  <si>
    <t>+971565776840</t>
  </si>
  <si>
    <t>br.bianchini@gmail.com</t>
  </si>
  <si>
    <t>salim</t>
  </si>
  <si>
    <t>971566829130</t>
  </si>
  <si>
    <t>nomiee9@yahoo.com</t>
  </si>
  <si>
    <t>Message: Interested. When is the handover?</t>
  </si>
  <si>
    <t>S-1484</t>
  </si>
  <si>
    <t>Nuri</t>
  </si>
  <si>
    <t>0033755804196</t>
  </si>
  <si>
    <t>nuri.gokoglu@yahoo.com</t>
  </si>
  <si>
    <t>Message: hello i live on paris and i would like to open a restaurant chicha a dubai thank you</t>
  </si>
  <si>
    <t>Fareed</t>
  </si>
  <si>
    <t>Raqeebfareed@icloud.com</t>
  </si>
  <si>
    <t xml:space="preserve"> Ready MAG 5 Apartment | 1 Bedroom from Owner</t>
  </si>
  <si>
    <t>Message: 00447931711555</t>
  </si>
  <si>
    <t>S-1688</t>
  </si>
  <si>
    <t>altaf Shaikh</t>
  </si>
  <si>
    <t>+17573394149.</t>
  </si>
  <si>
    <t>altaf190957@yahoo.com</t>
  </si>
  <si>
    <t xml:space="preserve"> 0524223680</t>
  </si>
  <si>
    <t>kylieobyrne@live.co.uk</t>
  </si>
  <si>
    <t>NSHAMA Town Square / Rent Hayat Townhouses</t>
  </si>
  <si>
    <t>R-1144</t>
  </si>
  <si>
    <t>Malik</t>
  </si>
  <si>
    <t>00966552219227</t>
  </si>
  <si>
    <t>translatorafnan@gmail.com</t>
  </si>
  <si>
    <t>Hi, I saw your ad on dubizzle. Is it available for viewing Tomorrow, Jan 26 in the Morning? Thanks.</t>
  </si>
  <si>
    <t>Amina Amirah</t>
  </si>
  <si>
    <t>971521932095</t>
  </si>
  <si>
    <t>nandaoyaonira@gmail.com</t>
  </si>
  <si>
    <t>Cozy Restaurant with Shisha on Marina Walk.</t>
  </si>
  <si>
    <t>R-1316</t>
  </si>
  <si>
    <t>Tabrez Dossa</t>
  </si>
  <si>
    <t>971506255016</t>
  </si>
  <si>
    <t>muffassa@gmail.com</t>
  </si>
  <si>
    <t>Retail for Rent in Goldcrest Views 2, Lake Almas West</t>
  </si>
  <si>
    <t>Message:Dear Sir/Madam, Trust all's well. My personnel properties for rent Office for rent Retail :- Goldcrest views 2 lake level besides pitfire pizza 2575.82 sqft fitted with partition 1 parking rent 140 per sqft in 1 or 2 chqs/ security deposit 10% unit number GCV R03A Keys at the building reception ****please note vat is not included in the above and needs to be collected separately for documents kindly click below</t>
  </si>
  <si>
    <t>00393669933337</t>
  </si>
  <si>
    <t>emontalbano78@gmail.com</t>
  </si>
  <si>
    <t>Running Cafe in Jebel Ali Office Building.</t>
  </si>
  <si>
    <t>S-1231</t>
  </si>
  <si>
    <t>Fadil achrafi</t>
  </si>
  <si>
    <t>971562745287.</t>
  </si>
  <si>
    <t>fadil.achrafi@gmail.com</t>
  </si>
  <si>
    <t xml:space="preserve"> Rent 2 bedroom with view Burj Vista T1</t>
  </si>
  <si>
    <t xml:space="preserve"> 971557618355</t>
  </si>
  <si>
    <t>Message: Hi, I would like to know if this apartment is still available.</t>
  </si>
  <si>
    <t>sia</t>
  </si>
  <si>
    <t>+61402707102</t>
  </si>
  <si>
    <t>siawash23@hotmail.com</t>
  </si>
  <si>
    <t>Kareem Aida</t>
  </si>
  <si>
    <t xml:space="preserve"> '971507462447</t>
  </si>
  <si>
    <t>kareem.aida@yahoo.com</t>
  </si>
  <si>
    <t>Cafe and Shisha Location Available in JLT</t>
  </si>
  <si>
    <t>Please send me more information about this property. Thank you</t>
  </si>
  <si>
    <t>+971502850075</t>
  </si>
  <si>
    <t>Mudon Arabella Arabella 3</t>
  </si>
  <si>
    <t>S-1393</t>
  </si>
  <si>
    <t>971502850075</t>
  </si>
  <si>
    <t>MOTIVATED SELLER / 3 BR / SINGLE ROW /</t>
  </si>
  <si>
    <t>S-1666</t>
  </si>
  <si>
    <t>Aylar'</t>
  </si>
  <si>
    <t>Filippo cacciapuoti</t>
  </si>
  <si>
    <t>+393318623990</t>
  </si>
  <si>
    <t>filippocacciapuoti@gmail.com</t>
  </si>
  <si>
    <t>Nice Little Restaurant JBR Walk 5* Hotel.</t>
  </si>
  <si>
    <t>Message: Good morning Sir, writing for ask some informations about this restaurants. Can you send me please more pictures to my e-mail and explane me if this restaurant have to pay like taxation 25% at the end of the year because is inside the hotel?</t>
  </si>
  <si>
    <t>R-1317</t>
  </si>
  <si>
    <t>Lenka Randa</t>
  </si>
  <si>
    <t>971558140388</t>
  </si>
  <si>
    <t>lenka.randa@yahoo.com</t>
  </si>
  <si>
    <t>2 Bedrooms Apartment|Park view|The best type| Golden Mile 10.</t>
  </si>
  <si>
    <t>hello, this apr. on GOLDEN MILE 10 is really UNFURNISHED??? I’m looking for GOLDEN MILE apt. for rent with PARK VIEW &amp; UNFURNISHED!!! minimum 2rd floor an UP!!! CONTACT ME IF YOU HAVE SOME APT.</t>
  </si>
  <si>
    <t>R-1221</t>
  </si>
  <si>
    <t xml:space="preserve">Dr. Khurram </t>
  </si>
  <si>
    <t>+971582722328</t>
  </si>
  <si>
    <t>khurramasgher@gmail.com</t>
  </si>
  <si>
    <t>Enquiry:Running Dental Clinic | for Lease | JBR!</t>
  </si>
  <si>
    <t>R-1056</t>
  </si>
  <si>
    <t>Altaf Shaikh</t>
  </si>
  <si>
    <t>Email: altaf190957@yahoo.com</t>
  </si>
  <si>
    <t>Nice Little Restaurant JBR Walk 5* Hotel</t>
  </si>
  <si>
    <t>Luke Adama</t>
  </si>
  <si>
    <t>+228-797-94172</t>
  </si>
  <si>
    <t>lukeadama@hotmail.com</t>
  </si>
  <si>
    <t xml:space="preserve">Start Of Call </t>
  </si>
  <si>
    <t>Ready MAG 5 Apartment | 1 Bedroom from Owner</t>
  </si>
  <si>
    <t>End Call</t>
  </si>
  <si>
    <t>Mobile Number</t>
  </si>
  <si>
    <t>Portal name</t>
  </si>
  <si>
    <t>Agents</t>
  </si>
  <si>
    <t>Call start : 2018-12-09 17:12:03</t>
  </si>
  <si>
    <t>HAYTHAM M ABOU TALEB</t>
  </si>
  <si>
    <t>Call end : 2018-12-09 17:13:21</t>
  </si>
  <si>
    <t>447986296567</t>
  </si>
  <si>
    <t>00971505251</t>
  </si>
  <si>
    <t xml:space="preserve">Property finder </t>
  </si>
  <si>
    <t>Victoria Bekova,</t>
  </si>
  <si>
    <t>haytham.aboutaleb@gmail.com</t>
  </si>
  <si>
    <t>Enquiry: 3 BR / Ready to Move Now/ Single Row /Mudon Arabella</t>
  </si>
  <si>
    <t>Call start : 2018-12-09 13:17:30</t>
  </si>
  <si>
    <t>Call end : 2018-12-09 13:18:25</t>
  </si>
  <si>
    <t>+971564174297</t>
  </si>
  <si>
    <t>Call start : 2018-12-09 13:02:07</t>
  </si>
  <si>
    <t>Call end : 2018-12-09 13:03:54</t>
  </si>
  <si>
    <t>+97144087021</t>
  </si>
  <si>
    <t>Call start : 2018-12-10 10:18:25</t>
  </si>
  <si>
    <t>Henry Noppa</t>
  </si>
  <si>
    <t>Call end : 2018-12-10 10:20:58</t>
  </si>
  <si>
    <t xml:space="preserve"> +971506242064</t>
  </si>
  <si>
    <t>Shane Rawolle,</t>
  </si>
  <si>
    <t>+46720231975</t>
  </si>
  <si>
    <t>Call start : 2018-12-10 13:33:08</t>
  </si>
  <si>
    <t>Call end : 2018-12-10 13:33:16</t>
  </si>
  <si>
    <t>henrynop@gmail.com</t>
  </si>
  <si>
    <t>+97142685300</t>
  </si>
  <si>
    <t>Call start : 2018-12-11 10:07:44</t>
  </si>
  <si>
    <t>Call end : 2018-12-11 10:08:31</t>
  </si>
  <si>
    <t>Enquiry: Brand new 1BR for QUICK SALE with Burj Khalifa view</t>
  </si>
  <si>
    <t>Call start : 2018-12-11 09:17:39</t>
  </si>
  <si>
    <t>Rohit'</t>
  </si>
  <si>
    <t>Call end : 2018-12-11 09:18:45</t>
  </si>
  <si>
    <t>+97146098875</t>
  </si>
  <si>
    <t>Wael Omar</t>
  </si>
  <si>
    <t>00966550162777.</t>
  </si>
  <si>
    <t>nadoda2@yahoo.com</t>
  </si>
  <si>
    <t>Enquiry: 9% Discount | Best Tower in JBR | Ready Soon</t>
  </si>
  <si>
    <t>971529069199</t>
  </si>
  <si>
    <t>Shane Rawolle</t>
  </si>
  <si>
    <t>Missed</t>
  </si>
  <si>
    <t>971554083391</t>
  </si>
  <si>
    <t>Akash</t>
  </si>
  <si>
    <t>Victoria Bekova</t>
  </si>
  <si>
    <t>971527981661</t>
  </si>
  <si>
    <t>adlohia@gmail.com</t>
  </si>
  <si>
    <t>Enquiry: your The Best Deal in the Area | Rented | Marina View.</t>
  </si>
  <si>
    <t>Message:  Feb 02 in the afternoon? Thanks</t>
  </si>
  <si>
    <t>971556008551</t>
  </si>
  <si>
    <t>00966550162777</t>
  </si>
  <si>
    <t>Nadoda2@yaho.com</t>
  </si>
  <si>
    <t xml:space="preserve"> 9% Discount | Best Tower in JBR | Ready Soon</t>
  </si>
  <si>
    <t>97148848833</t>
  </si>
  <si>
    <t>H &amp; S Real Estate</t>
  </si>
  <si>
    <t>Jonna</t>
  </si>
  <si>
    <t>+971545987383.</t>
  </si>
  <si>
    <t>jonnacurio@gmail.com</t>
  </si>
  <si>
    <t>R-1177</t>
  </si>
  <si>
    <t>Nigel Byrne</t>
  </si>
  <si>
    <t>97150 9474435</t>
  </si>
  <si>
    <t>nbyrne@optionsgroup.com</t>
  </si>
  <si>
    <t>Enquiry: The Best Deal on Market| Luxury Studio.</t>
  </si>
  <si>
    <t>whats the lowest price your client will take?</t>
  </si>
  <si>
    <t>S-1628</t>
  </si>
  <si>
    <t>Call start : 2018-12-11 15:59:14</t>
  </si>
  <si>
    <t>Call end : 2018-12-11 16:00:00</t>
  </si>
  <si>
    <t>97155462578</t>
  </si>
  <si>
    <t>971567217211</t>
  </si>
  <si>
    <t>971565776840</t>
  </si>
  <si>
    <t>971544450515</t>
  </si>
  <si>
    <t>Enquiry: Brand New Bluewaters | Sea and Garden View.</t>
  </si>
  <si>
    <t>Not connected</t>
  </si>
  <si>
    <t xml:space="preserve"> Hi, I am interested in seeing this property. My current contract ends at the end of Feb. Does this have a balcony? If yes, I am happy to move in from march and pay 140,000 one check. Looking forward to hearing from you. 056.5776840 Thanks Bruno</t>
  </si>
  <si>
    <t xml:space="preserve">+97147018600 </t>
  </si>
  <si>
    <t>Waqas Khan</t>
  </si>
  <si>
    <t>Call start : 2018-12-12 17:16:11</t>
  </si>
  <si>
    <t>Call end : 2018-12-12 17:16:48</t>
  </si>
  <si>
    <t>Good afternoon! We have a running Shisha Cafe Restaurant for Sale located at Karama. Direct from the Owner. For more details, please contact 054 598 7383 or whatsapp 052 338 0663 Thanks and regards Jonna</t>
  </si>
  <si>
    <t xml:space="preserve">+971506246482 </t>
  </si>
  <si>
    <t>Call start : 2018-12-12 16:11:59</t>
  </si>
  <si>
    <t>inquiries</t>
  </si>
  <si>
    <t>Call end : 2018-12-12 16:12:24</t>
  </si>
  <si>
    <t>97156195980</t>
  </si>
  <si>
    <t>Call start : 2018-12-13 15:43:12</t>
  </si>
  <si>
    <t>Call end : 2018-12-13 15:43:18</t>
  </si>
  <si>
    <t>39150150</t>
  </si>
  <si>
    <t>Call start : 2018-12-13 15:19:20</t>
  </si>
  <si>
    <t>Call end : 2018-12-13 15:22:04</t>
  </si>
  <si>
    <t>97144087024</t>
  </si>
  <si>
    <t>Dr. Khurram</t>
  </si>
  <si>
    <t xml:space="preserve">+971504366434 </t>
  </si>
  <si>
    <t xml:space="preserve"> Running Dental Clinic | for Lease | JBR!</t>
  </si>
  <si>
    <t>16 Dec 2018 Time: 11:01:20 AM</t>
  </si>
  <si>
    <t>Message: Hi, I found your property with ref: HSR-R-1056 on propertyfinder. Please contact me VIA EMAIL first. Thank you</t>
  </si>
  <si>
    <t>0502974339</t>
  </si>
  <si>
    <t>16 Dec 2018 Time: 10:48:28 AM</t>
  </si>
  <si>
    <t>0501427929</t>
  </si>
  <si>
    <t>Recieved</t>
  </si>
  <si>
    <t>228-797-94172</t>
  </si>
  <si>
    <t>S1688</t>
  </si>
  <si>
    <t>Call start : 2018-12-17 13:24:55</t>
  </si>
  <si>
    <t>Call end : 2018-12-17 13:25:54</t>
  </si>
  <si>
    <t>97144372092</t>
  </si>
  <si>
    <t>971527887020</t>
  </si>
  <si>
    <t>m.cute1977@gmail.com</t>
  </si>
  <si>
    <t>Call start : 2018-12-17 13:14:39</t>
  </si>
  <si>
    <t>Call end : 2018-12-17 13:17:16</t>
  </si>
  <si>
    <t>971507827558</t>
  </si>
  <si>
    <t>Fahad Haq</t>
  </si>
  <si>
    <t>Call start : 2018-12-15 15:04:16</t>
  </si>
  <si>
    <t>Call end : 2018-12-15 15:06:36</t>
  </si>
  <si>
    <t>971557355122</t>
  </si>
  <si>
    <t>Please send me additional information about this property. Thank you</t>
  </si>
  <si>
    <t>Call start : 2018-12-15 14:51:59</t>
  </si>
  <si>
    <t>Call end : 2018-12-15 14:52:07</t>
  </si>
  <si>
    <t>Call start : 2018-12-19 15:52:03</t>
  </si>
  <si>
    <t>Call end : 2018-12-19 15:52:05</t>
  </si>
  <si>
    <t>971552413258</t>
  </si>
  <si>
    <t>Lloyd</t>
  </si>
  <si>
    <t>Aysel Seyidova</t>
  </si>
  <si>
    <t>+97155000000</t>
  </si>
  <si>
    <t>loydspace@gmail.com</t>
  </si>
  <si>
    <t>Project: Cherrywoods</t>
  </si>
  <si>
    <t>+971526908645</t>
  </si>
  <si>
    <t>Message: Hello. Can the price be negotiated and how much will be the best price you can get for me? I am in touch with several agents and interested in Villa project in Dubai. I'm abroad so, my E-mail is: loydspace@gmail.com Thanks,</t>
  </si>
  <si>
    <t>Maryam bilal</t>
  </si>
  <si>
    <t>S-1693</t>
  </si>
  <si>
    <t>Call start : 2018-11-14 15:42:13</t>
  </si>
  <si>
    <t>Mushtaq</t>
  </si>
  <si>
    <t>Call end : 2018-11-14 15:42:28</t>
  </si>
  <si>
    <t>971521234123</t>
  </si>
  <si>
    <t>Jamiel Bux,</t>
  </si>
  <si>
    <t>Call start : 2018-11-14 11:36:21</t>
  </si>
  <si>
    <t>Call end : 2018-11-14 11:38:21</t>
  </si>
  <si>
    <t>Ariana</t>
  </si>
  <si>
    <t>971509819937</t>
  </si>
  <si>
    <t>+41799168283</t>
  </si>
  <si>
    <t>Call start : 2018-12-23 16:31:59</t>
  </si>
  <si>
    <t>Call end : 2018-12-23 16:32:08</t>
  </si>
  <si>
    <t>+97143414239</t>
  </si>
  <si>
    <t>ariana.jusufi@gmail.com</t>
  </si>
  <si>
    <t>Emily Toma,</t>
  </si>
  <si>
    <t>Date: 20 Dec 2018</t>
  </si>
  <si>
    <t>The Address at JBR Beach | Coming in 2020.</t>
  </si>
  <si>
    <t>Time: 04:26:46 PM</t>
  </si>
  <si>
    <t>Message: Hi, I am interested in your article advertising The Address at JBR Beach Coming in 2020 Can I get details about 1 bedroom apartment by email if still available ? Thanks</t>
  </si>
  <si>
    <t>0586672732</t>
  </si>
  <si>
    <t>S-1066</t>
  </si>
  <si>
    <t>Time: 04:32:39 PM</t>
  </si>
  <si>
    <t xml:space="preserve"> 0586672732</t>
  </si>
  <si>
    <t>Mariko Yuki</t>
  </si>
  <si>
    <t>+971502401983</t>
  </si>
  <si>
    <t>Call start : 2019-01-02 09:42:46</t>
  </si>
  <si>
    <t>Call end : 2019-01-02 09:42:49</t>
  </si>
  <si>
    <t>Email: yukimariko@gmail.com</t>
  </si>
  <si>
    <t xml:space="preserve">Fahad </t>
  </si>
  <si>
    <t>From:  Dubizzle</t>
  </si>
  <si>
    <t>Call start : 2019-01-01 14:25:40</t>
  </si>
  <si>
    <t>Call end : 2019-01-01 14:25:47</t>
  </si>
  <si>
    <t xml:space="preserve"> Prestigious 1 Bedroom in Tiara Sea view.</t>
  </si>
  <si>
    <t>971545721482</t>
  </si>
  <si>
    <t>Message: Dear Sir or Madam I am interested in this apartment at Tiara Residence Ref: HSR-R-1258. If you could contact me to arrange viewing at the soonest, it would be most appreciated. Thank you. Warm regards, Mariko Yuki</t>
  </si>
  <si>
    <t>yukimariko@gmail.com</t>
  </si>
  <si>
    <t>Prestigious 1 Bedroom in Tiara Sea view.</t>
  </si>
  <si>
    <t>Rahul Dhanak</t>
  </si>
  <si>
    <t>+447894940799</t>
  </si>
  <si>
    <t>Email: rdhanak@yahoo.com</t>
  </si>
  <si>
    <t>Call Time: 4/5/2019 23:55:00</t>
  </si>
  <si>
    <t>Message:Can you send me more photos and information kindly.</t>
  </si>
  <si>
    <t xml:space="preserve"> ALAA SALHA</t>
  </si>
  <si>
    <t>00971525158694</t>
  </si>
  <si>
    <t>Call Time: 05 Apr 2019 23:55</t>
  </si>
  <si>
    <t>alaasalha0@gmail.com</t>
  </si>
  <si>
    <t>Enquiry: Huge 2 BR + Maidsroom in Executive Bay.</t>
  </si>
  <si>
    <t>Message: Hi, I saw your ad on dubizzle. Is it available for viewing Tomorrow, Feb 08 in the Morning? Thanks.</t>
  </si>
  <si>
    <t>S-1568</t>
  </si>
  <si>
    <t>Gonzalez</t>
  </si>
  <si>
    <t xml:space="preserve"> +33662327142</t>
  </si>
  <si>
    <t>isabelchanel@icloud.com</t>
  </si>
  <si>
    <t>Running fish and casual dining restaurant Dubai Marina</t>
  </si>
  <si>
    <t>BEN HADJ</t>
  </si>
  <si>
    <t>+971585713232</t>
  </si>
  <si>
    <t>aabilbenhadj@gmail.com</t>
  </si>
  <si>
    <t>Cheapest Last Unit 2 Br Villa SERENA | 5% Booking...</t>
  </si>
  <si>
    <t>Mr or Mrs Roberts Lockhart</t>
  </si>
  <si>
    <t>roberts.lockhart@aol.com</t>
  </si>
  <si>
    <t>Bluewaters</t>
  </si>
  <si>
    <t>S-1647</t>
  </si>
  <si>
    <t>Kholoud</t>
  </si>
  <si>
    <t>+971503415893</t>
  </si>
  <si>
    <t>kholoudzak@hotmail.com</t>
  </si>
  <si>
    <t>brand new 1BR with Burj Khalifa and Canal view in Business Bay</t>
  </si>
  <si>
    <t>please send me more information about this property. Thank you</t>
  </si>
  <si>
    <t>R-1333</t>
  </si>
  <si>
    <t>Rohit</t>
  </si>
  <si>
    <t>BAYE Hugues</t>
  </si>
  <si>
    <t>+33768818448</t>
  </si>
  <si>
    <t xml:space="preserve"> bayehugues@gmail.com</t>
  </si>
  <si>
    <t>Town Square Safi</t>
  </si>
  <si>
    <t>S-1710</t>
  </si>
  <si>
    <t>Magued Sidhom</t>
  </si>
  <si>
    <t>97150272201</t>
  </si>
  <si>
    <t>magued.sidhom@gmail.com</t>
  </si>
  <si>
    <t>Franchise Restaurant | Business For Sale.</t>
  </si>
  <si>
    <t>we are a multinational restaurant with 5 branches in Dubai and looking for a good location in JLT with lots of foot fall within a cluster that has lots of business.</t>
  </si>
  <si>
    <t>S1192</t>
  </si>
  <si>
    <t>ALAA SALHA</t>
  </si>
  <si>
    <t>+971525158694</t>
  </si>
  <si>
    <t>Arabian Ranches</t>
  </si>
  <si>
    <t>Message: 4_beds</t>
  </si>
  <si>
    <t>L-2035</t>
  </si>
  <si>
    <t>Jessica</t>
  </si>
  <si>
    <t>Tomas</t>
  </si>
  <si>
    <t>+421948319839</t>
  </si>
  <si>
    <t>tmblava@gmail.com</t>
  </si>
  <si>
    <t>Enquiry: Fully furnished |Stunning sea view|New</t>
  </si>
  <si>
    <t>R-1337</t>
  </si>
  <si>
    <t>Alexandra</t>
  </si>
  <si>
    <t>Mobile: +971588519291.</t>
  </si>
  <si>
    <t>Email: alexandrafelicity@hotmail.co.uk</t>
  </si>
  <si>
    <t>Martynas Grigas</t>
  </si>
  <si>
    <t>Mobile: +37067440315</t>
  </si>
  <si>
    <t>Email: martynas.grigas@me.com</t>
  </si>
  <si>
    <t>Enquiry: Distress Sale Brand New Studio in Downtown</t>
  </si>
  <si>
    <t>rohit</t>
  </si>
  <si>
    <t>Joanna Toigo</t>
  </si>
  <si>
    <t>Mobile:  0561752081</t>
  </si>
  <si>
    <t>Email: joanna.toigo@gmail.com</t>
  </si>
  <si>
    <t>Enquiry: Sea View Beach Assess Vacant on December.</t>
  </si>
  <si>
    <t>Message: Is it available for viewing Today, Feb 11 in the Evening? Thanks</t>
  </si>
  <si>
    <t xml:space="preserve"> Paul Phillips</t>
  </si>
  <si>
    <t>Mobile: 971503428572</t>
  </si>
  <si>
    <t>Email: paulp74@gmail.com</t>
  </si>
  <si>
    <t>Enquiry: Beach Access| Well maintained| Vacant.</t>
  </si>
  <si>
    <t>Mobile: +34680852208</t>
  </si>
  <si>
    <t>Email: alexlatinoamerica2@hotmaoil.com</t>
  </si>
  <si>
    <t>Enquiry:</t>
  </si>
  <si>
    <t>Lea Maalouli</t>
  </si>
  <si>
    <t>+97155451596</t>
  </si>
  <si>
    <t xml:space="preserve"> Leamaalouli@gmail.com</t>
  </si>
  <si>
    <t>bayut</t>
  </si>
  <si>
    <t xml:space="preserve">Executive bay </t>
  </si>
  <si>
    <t>Rent</t>
  </si>
  <si>
    <t>admin</t>
  </si>
  <si>
    <t>Leamaalouli@gmail.com</t>
  </si>
  <si>
    <t>Henry George</t>
  </si>
  <si>
    <t>0566289764</t>
  </si>
  <si>
    <t>henrygeorge@hotmail.co.uk</t>
  </si>
  <si>
    <t>Fully furnished |Stunning sea view|New.</t>
  </si>
  <si>
    <t>please contact me to arrange viewing HSR-R-1337</t>
  </si>
  <si>
    <t>Alia</t>
  </si>
  <si>
    <t>Phone: 971-552-884149</t>
  </si>
  <si>
    <t>aliakorayem@gmail.com</t>
  </si>
  <si>
    <t>2BR Apartment Burj Vista T1</t>
  </si>
  <si>
    <t>IP Location: United Arab Emirates</t>
  </si>
  <si>
    <t>R-1323</t>
  </si>
  <si>
    <t>aysel</t>
  </si>
  <si>
    <t>Mobile: 0556330642</t>
  </si>
  <si>
    <t>smilingsady157@hitmail.com</t>
  </si>
  <si>
    <t>Beach Access| Well maintained| Vacant.</t>
  </si>
  <si>
    <t>Message: Hi, I saw your ad on dubizzle. Is it available for viewing on Feb 18 in the afternoon? Thanks</t>
  </si>
  <si>
    <t>Priyanka Hemnani</t>
  </si>
  <si>
    <t>Mobile: +918182818291</t>
  </si>
  <si>
    <t>Priyankahemnani@gmail.com</t>
  </si>
  <si>
    <t>From: Propertyfrinder</t>
  </si>
  <si>
    <t>Enquiry: Well Known Restaurant in Prime of Marina</t>
  </si>
  <si>
    <t>Riza Rustemi</t>
  </si>
  <si>
    <t>+41763748630</t>
  </si>
  <si>
    <t>riza.rustemi@hotmail.com</t>
  </si>
  <si>
    <t>Mr. اشرف الكاشف</t>
  </si>
  <si>
    <t>ashraf777666@gmail.com</t>
  </si>
  <si>
    <t>Name: AMIT ANANDNAI</t>
  </si>
  <si>
    <t>Mobile: +971528038036.</t>
  </si>
  <si>
    <t>dr.amit.anandani@uaechildren.com</t>
  </si>
  <si>
    <t>Enquiry: Ready Massage Therapy Clinic -DHA Licence</t>
  </si>
  <si>
    <t>Name: Hanna M Ahmed</t>
  </si>
  <si>
    <t>Telephone: +971504227826</t>
  </si>
  <si>
    <t>hana.mudy@gmail.com</t>
  </si>
  <si>
    <t>Message: Marhaba! I saw your ad with property reference number:HSR-R-1316 on dubizzle. When is it available for viewing? Thanks which bldg and marina walk is this situated.. is this the Damac waves bldg? WhatsApp only not call</t>
  </si>
  <si>
    <t>Ref No: HSR-R-1316</t>
  </si>
  <si>
    <t>Name: thh Ttt</t>
  </si>
  <si>
    <t>Telephone: +971508438390</t>
  </si>
  <si>
    <t>mashoorgroup3@gmail.com</t>
  </si>
  <si>
    <t>Message: Hi Dear, This is Tahera. We are a Dubai based professional Interior company.</t>
  </si>
  <si>
    <t>Ref No: HSR-R-1254</t>
  </si>
  <si>
    <t>Name: Yasin</t>
  </si>
  <si>
    <t>Mobile: +923000000000</t>
  </si>
  <si>
    <t>yasin@tav.com.pk</t>
  </si>
  <si>
    <t>Message: Please email further details for blvd point facing Burj and fountains. Please email. Thank you.</t>
  </si>
  <si>
    <t>Rare unit High floor with burj &amp; fountain view</t>
  </si>
  <si>
    <t>HSR-S-1577</t>
  </si>
  <si>
    <t>Ali mirza</t>
  </si>
  <si>
    <t>Name: Someone</t>
  </si>
  <si>
    <t>Telephone: 0552598941</t>
  </si>
  <si>
    <t>ogunpejumodupe17@gmail.com</t>
  </si>
  <si>
    <t>Profitable Restaurant in Deira | Must Sell this Week.</t>
  </si>
  <si>
    <t>Ref No: HSR-S-1178</t>
  </si>
  <si>
    <t>Telephone: +33640490060</t>
  </si>
  <si>
    <t>amandaseguin86@gmail.com</t>
  </si>
  <si>
    <t>Dubbizle</t>
  </si>
  <si>
    <t>Ref No: HSR-S-1275</t>
  </si>
  <si>
    <t>Name: Daniel Marinho</t>
  </si>
  <si>
    <t>Telephone: 912478141</t>
  </si>
  <si>
    <t>taxista4600@gmail.com</t>
  </si>
  <si>
    <t>Message: ola sou portugues (portugal).[url removed] restaurante ja montado e a funcionar no dubai informaram me que a vossa imobiliaria se dedica a restaurantes e cafes .[url removed] aguardar as vossas propostas .[url removed] ja</t>
  </si>
  <si>
    <t>Ref No: HSR-S-1213</t>
  </si>
  <si>
    <t>name: Collin</t>
  </si>
  <si>
    <t>mobile: 0543004797</t>
  </si>
  <si>
    <t>Collinb32@yahoo.co.uk</t>
  </si>
  <si>
    <t>-R-1317</t>
  </si>
  <si>
    <t>Name: Kenneth Payne</t>
  </si>
  <si>
    <t>Phone: +965-504-26384</t>
  </si>
  <si>
    <t>kennethpayne@hotmail.com</t>
  </si>
  <si>
    <t>IP Location: Kuwait</t>
  </si>
  <si>
    <t>discovery garden</t>
  </si>
  <si>
    <t>N/a</t>
  </si>
  <si>
    <t>Name: shawn</t>
  </si>
  <si>
    <t>Mobile: +13102996417.</t>
  </si>
  <si>
    <t>shawnalambeigi@yahoo.com</t>
  </si>
  <si>
    <t>Enquiry: Cozy Restaurant with Shisha on Marina Walk</t>
  </si>
  <si>
    <t xml:space="preserve"> HSR-R-1316 </t>
  </si>
  <si>
    <t>Name: rachid boudrai</t>
  </si>
  <si>
    <t>Mobile: 0504953141</t>
  </si>
  <si>
    <t>rachidboudrai@hotmail.com</t>
  </si>
  <si>
    <t>Enquiry: 100% Dld Fee Waiver -75% in 5 Years Post Handover Payment Plan 3 Br Villa Start.</t>
  </si>
  <si>
    <t>Message: Hi, I saw your ad on dubizzle.Is it available for viewing on Feb 28 in the morning? Thanks</t>
  </si>
  <si>
    <t>waqs</t>
  </si>
  <si>
    <t>Aman</t>
  </si>
  <si>
    <t>Amanwaziri1977@gmail.com</t>
  </si>
  <si>
    <t>Hello, I found your property on justproperty.com. Please send me more information about this property. Thank you</t>
  </si>
  <si>
    <t>Ref: HSR-R-1263</t>
  </si>
  <si>
    <t>n/a</t>
  </si>
  <si>
    <t>Telephone: +971567651612</t>
  </si>
  <si>
    <t>induharikumar7185@gmail.com</t>
  </si>
  <si>
    <t>Message: Hi, I saw your ad on dubizzle. Is it available for viewing on Mar 1 in the afternoon? Thanks</t>
  </si>
  <si>
    <t>Ref No: HSR-R-1054</t>
  </si>
  <si>
    <t>Name: TEKIN Cem</t>
  </si>
  <si>
    <t>Mobile: 0033677490274.</t>
  </si>
  <si>
    <t>cem.oxford@gmail.com</t>
  </si>
  <si>
    <t>Enquiry: Nice Little Restaurant JBR Walk 5* Hotel</t>
  </si>
  <si>
    <t>Telephone: +971507395039</t>
  </si>
  <si>
    <t>axanovaagency@gmail.com</t>
  </si>
  <si>
    <t>Message: Hi. Is it already restaurant? Could you please send me photos fron the interior and exterior. Just to have idea. I'm interested to rent it</t>
  </si>
  <si>
    <t>Name: Hayat</t>
  </si>
  <si>
    <t>Mobile: 971502929881.</t>
  </si>
  <si>
    <t>Salameh_h85@hotmail.com</t>
  </si>
  <si>
    <t>S-1723</t>
  </si>
  <si>
    <t>Name: DR. OMAR AL-MUKHTAR</t>
  </si>
  <si>
    <t>Mobile: +218612240601</t>
  </si>
  <si>
    <t>omaralmukhtar11@gmail.com</t>
  </si>
  <si>
    <t>Enquiry: I am looking to buyI am looking to buy</t>
  </si>
  <si>
    <t>message: Dear Sir, Please contact me with more details to discuss the possible purchase of your properties! Thanks and best regards Dr. AL-Mukhtar</t>
  </si>
  <si>
    <t>N?A</t>
  </si>
  <si>
    <t>Name: Golnaz</t>
  </si>
  <si>
    <t>Mobile: 00989123448043.</t>
  </si>
  <si>
    <t>Golinouri707@gmail.com</t>
  </si>
  <si>
    <t>Enquiry:Apartment for Sale in Bluewaters Residences, Bluewaters</t>
  </si>
  <si>
    <t>Shabab calling or emailing on:</t>
  </si>
  <si>
    <t>Mobile: 971554206262.</t>
  </si>
  <si>
    <t>Yukickmydog@gmail.com</t>
  </si>
  <si>
    <t>Enquiry:Arabic Resturant on JBR Walk for sale</t>
  </si>
  <si>
    <t>HSR-R-1343</t>
  </si>
  <si>
    <t>Name: Alessandro</t>
  </si>
  <si>
    <t>Eamil: alessandro@ep-cfm.com</t>
  </si>
  <si>
    <t>Mobile: +971522015897.</t>
  </si>
  <si>
    <t>Message: Please can you share an official quotation by SQFT. Regards</t>
  </si>
  <si>
    <t>Email: Golinouri707@gmail.com</t>
  </si>
  <si>
    <t>Mobile: 00989123448043</t>
  </si>
  <si>
    <t>Enquiry: Bluewaters</t>
  </si>
  <si>
    <t>Message: Please contact me. Thank you.</t>
  </si>
  <si>
    <t>Name: Shabab</t>
  </si>
  <si>
    <t>Email: Yukickmydog@gmail.com</t>
  </si>
  <si>
    <t>Enquiry: Arabic Restaurant for Sale wth Grill on JBR Walk</t>
  </si>
  <si>
    <t>message: Please contact me. Thank you.</t>
  </si>
  <si>
    <t>Ref No: HSR-R-1229</t>
  </si>
  <si>
    <t>Name: sunny</t>
  </si>
  <si>
    <t>Email: g.s.saikumar20@gmail.com</t>
  </si>
  <si>
    <t>Telephone: +61401758764</t>
  </si>
  <si>
    <t>Shell Core Showroom in Umm Suqeim Road.</t>
  </si>
  <si>
    <t>Message: Hi here am sunny from Sydney Australia. We looking for a grand property in UAE for Supermarket. between 3000 carpet to 7000 in the good locality if its any Mall or Individuals location and individual properties Best Sunny +61401758764 text on what apps</t>
  </si>
  <si>
    <t>E-mail: alessandro@ep-cfm.com</t>
  </si>
  <si>
    <t>HSR-R-1316</t>
  </si>
  <si>
    <t>Email: ayanoopyadav@gmail.com</t>
  </si>
  <si>
    <t>Telephone: +919958189182</t>
  </si>
  <si>
    <t>Enquiry: Cafe and Shisha Location Available in JLT.</t>
  </si>
  <si>
    <t>Message: Marhaba! I saw your ad on dubizzle. When is it available for viewing? Thanks.</t>
  </si>
  <si>
    <t>Ref No: HSR-R-1085</t>
  </si>
  <si>
    <t>Name: henry noppa</t>
  </si>
  <si>
    <t>Email: henrynop@gmail.com</t>
  </si>
  <si>
    <t>Mobile: +46720231975</t>
  </si>
  <si>
    <t>Enquiry: Damac Towers by Paramount</t>
  </si>
  <si>
    <t>HSR-S-1723</t>
  </si>
  <si>
    <t>Name:Christian Nelson Mateo</t>
  </si>
  <si>
    <t>Email: christnelsonmateo@gmail.com</t>
  </si>
  <si>
    <t>Mobile: +18456758436</t>
  </si>
  <si>
    <t>Enquiry:2 bedrooms with full fountain view in Burj Khalifa...</t>
  </si>
  <si>
    <t>S-1727</t>
  </si>
  <si>
    <t>Name: Mehmeti</t>
  </si>
  <si>
    <t>Email: mmt.sanitaire@gmail.com</t>
  </si>
  <si>
    <t>Mobile: +41792730141</t>
  </si>
  <si>
    <t>Enquiry: 5 beds contemporary independent villa, District on...</t>
  </si>
  <si>
    <t>Message: Bonjour, Est-ce que je pourrais avoir des renseignements concernant le prêt du crédit pour la maison étant donner que je vis en suisse et que</t>
  </si>
  <si>
    <t>S--1662</t>
  </si>
  <si>
    <t>Name: Mohamed</t>
  </si>
  <si>
    <t>Email: donguzman224@gmail.com</t>
  </si>
  <si>
    <t>Mobile: +212706475498</t>
  </si>
  <si>
    <t>Enquiry:2beds apartment with golf and canal view in Golf T</t>
  </si>
  <si>
    <t>Message: Bonjour, Je souhaite être recontacté. Merci</t>
  </si>
  <si>
    <t>S-1685</t>
  </si>
  <si>
    <t>Name: John Paul</t>
  </si>
  <si>
    <t>Email: paul.john21@outlook.com</t>
  </si>
  <si>
    <t>Mobile:</t>
  </si>
  <si>
    <t>Enquiry: Act-one Act-two</t>
  </si>
  <si>
    <t>Message: Hello, I am John Paul. I am interested in your property. Kindly get back to me via mail so we can discuss on the modalities involved. Thank you</t>
  </si>
  <si>
    <t>Name: Chibani</t>
  </si>
  <si>
    <t>Email: justinesammy@yahoo.fr</t>
  </si>
  <si>
    <t>Mobile: +33609093625</t>
  </si>
  <si>
    <t>Enquiry: Marina Diamond 5</t>
  </si>
  <si>
    <t>Name: Meryem</t>
  </si>
  <si>
    <t>Email: Meryem.aazz@gmail.com</t>
  </si>
  <si>
    <t>Mobile: +971562625232</t>
  </si>
  <si>
    <t>Enquiry: Brand New Showroom |Shell and Core in Umm Suqeim</t>
  </si>
  <si>
    <t>R-1167</t>
  </si>
  <si>
    <t>Fahad Admin</t>
  </si>
  <si>
    <t>Name: Suyash Saraf</t>
  </si>
  <si>
    <t>Email: suyash@ymail.com</t>
  </si>
  <si>
    <t>Phone: 971-502-435171</t>
  </si>
  <si>
    <t>Enquiry: Se7en City, Jumeirah Lake Towers (JLT), Dubai</t>
  </si>
  <si>
    <t>S-1750</t>
  </si>
  <si>
    <t>Name: Abrez Dossa</t>
  </si>
  <si>
    <t>Email: muffassa@gmail.com</t>
  </si>
  <si>
    <t>Mobile: 0506255016.</t>
  </si>
  <si>
    <t>Enquiry:Retail Space for Rent | Open Your Business</t>
  </si>
  <si>
    <t>R-1339</t>
  </si>
  <si>
    <t>Name: Frank Abdoelhafiezkhan</t>
  </si>
  <si>
    <t>Email: frank_abdoel@hotmail.com</t>
  </si>
  <si>
    <t>Mobile: +31681753914.</t>
  </si>
  <si>
    <t>Enquiry: Shop for Sale in Al Khabisi, Deira</t>
  </si>
  <si>
    <t>Message: Hi, I found your property with ref: HSR-S-1177 on propertyfinder. Is it allowed for foreigners to buy shops in deira en in Meena Bazaar. Is it allowed for foreigners to buy shops in deira en in Meena Bazaar. What extra costs will be charged? I am interested in commercial estate,</t>
  </si>
  <si>
    <t>Name: Toni Alcazar</t>
  </si>
  <si>
    <t>Email: toni.alcazar@kulzer-dental.com</t>
  </si>
  <si>
    <t>Phone: 050-537-0888</t>
  </si>
  <si>
    <t>Enquiry: One Lake Plaza, Jumeirah Lake Towers (JLT), Dubai</t>
  </si>
  <si>
    <t>Name: Srd Kuntucky</t>
  </si>
  <si>
    <t>Email: habbiche@gmail.com</t>
  </si>
  <si>
    <t>Mobile: +213557643316.</t>
  </si>
  <si>
    <t>Name: Lauren macliver</t>
  </si>
  <si>
    <t>Email: Lauren.macliver@hotmail.co.uk</t>
  </si>
  <si>
    <t>Mobile: +971528614787</t>
  </si>
  <si>
    <t>Avail April 1st | Best Marina View | Free AC</t>
  </si>
  <si>
    <t>Name: Kinga</t>
  </si>
  <si>
    <t>Email: Kinga@kowale.net</t>
  </si>
  <si>
    <t>Mobile: +971544490852</t>
  </si>
  <si>
    <t>Enquiry: Avail April 1st | Best Marina View | Free AC</t>
  </si>
  <si>
    <t>Name: Mohamed Basiouni</t>
  </si>
  <si>
    <t>Email: mido_sal7_2011@yahoo.com</t>
  </si>
  <si>
    <t>Telephone: +971563071661</t>
  </si>
  <si>
    <t>Enquiry:Nice Little Restaurant JBR Walk 5* Hotel.</t>
  </si>
  <si>
    <t>Message: Hi, I saw your ad on dubizzle. Is it available for viewing Today,</t>
  </si>
  <si>
    <t>E-mail: omaralmukhtar11@gmail.com</t>
  </si>
  <si>
    <t>Enquiry: I am looking to buy</t>
  </si>
  <si>
    <t>Message: Dear Sir, Please contact me with more details to discuss the possible purchase of your properties! I need 4BR + 7BR houses Thanks and best regards Dr. AL-Mukhtar</t>
  </si>
  <si>
    <t>Name: Martynas Grigas</t>
  </si>
  <si>
    <t>Mobile: +37067440315.</t>
  </si>
  <si>
    <t>Enquiry: Motivated Seller 1 Bedroom Downtown Views</t>
  </si>
  <si>
    <t>Name: Lord Paul</t>
  </si>
  <si>
    <t>Email: paul@jjtactical-gov.co</t>
  </si>
  <si>
    <t>Telephone: +254 733449258</t>
  </si>
  <si>
    <t>Enquiry: Apartment on the Beach of Jumeirah. Close to Ain Dubai and Palm Jumeirah.</t>
  </si>
  <si>
    <t>Message: I would like more info on the 3 bedroom apartment as above.</t>
  </si>
  <si>
    <t>Name: farook</t>
  </si>
  <si>
    <t>Email: sfarooka2@gmail.com</t>
  </si>
  <si>
    <t>Telephone: 9677160264</t>
  </si>
  <si>
    <t>Enquiry: Cake and Sweet Shop in Deira for Sale!!!.</t>
  </si>
  <si>
    <t>R-1079</t>
  </si>
  <si>
    <t>Name: Razaq Jadgal</t>
  </si>
  <si>
    <t>Email: razaq@arctic.com</t>
  </si>
  <si>
    <t>Telephone: +4799108884</t>
  </si>
  <si>
    <t>Enquiry: Best Deal | Best Apartment in Blue Waters | Great Chance.</t>
  </si>
  <si>
    <t>Message: Hi, can you please send me more details on this apartment. in addition to the plans etc I also need to know who is selling and who is financing the 80% which are payable over 5 years.</t>
  </si>
  <si>
    <t>Ref No: HSR-S-1760</t>
  </si>
  <si>
    <t>Name: Bernard Adolphe Aguera</t>
  </si>
  <si>
    <t>davaalmo650@hotmail.com</t>
  </si>
  <si>
    <t>Mobile: +34 609379936.</t>
  </si>
  <si>
    <t>Enquiry: Jumeirah Bay Island, the Bulgari Residences</t>
  </si>
  <si>
    <t>fahad h</t>
  </si>
  <si>
    <t>Rahmy</t>
  </si>
  <si>
    <t>Telephone: +971566826057</t>
  </si>
  <si>
    <t>rahmy.morcos@gmail.com</t>
  </si>
  <si>
    <t>Dubizzle:</t>
  </si>
  <si>
    <t>Enquiry: Cafe and Shisha Location Available in JLT. JLT with an area of 3,000 SQ/FT Regards, Rahmy Morcos 0566826057</t>
  </si>
  <si>
    <t>Message: To whom it may concern, please share floor plan for this property and advise if it can obtain a license for shisha I am looking for a cafe location in Cluster M,</t>
  </si>
  <si>
    <t>HSR-R-1085</t>
  </si>
  <si>
    <t>Shahid Mehmood</t>
  </si>
  <si>
    <t>Mobile: +971527974332</t>
  </si>
  <si>
    <t>sm7184611@gmail.com</t>
  </si>
  <si>
    <t>Enquiry: Indian Restaurant Business for Sale Deira</t>
  </si>
  <si>
    <t>mayumi</t>
  </si>
  <si>
    <t>Phone: 201-008-483118</t>
  </si>
  <si>
    <t>mayumikawaai@gmail.com</t>
  </si>
  <si>
    <t>Enquiry: Restuarant in Dubai Marina close to Yacht Club</t>
  </si>
  <si>
    <t>HSR-R-1350</t>
  </si>
  <si>
    <t>Hitendra bhandari</t>
  </si>
  <si>
    <t>Mobile: +971509028657</t>
  </si>
  <si>
    <t>Hitendra_bhandari@yahoo.com</t>
  </si>
  <si>
    <t>Message: Hello, I have a 2BHK apartment at MAG5, building 540, Flat 314 that I want to give in rent. could you please help to rent it. Thanks, Hitendra</t>
  </si>
  <si>
    <t>Nikhil kr Singh</t>
  </si>
  <si>
    <t>nikhil.077.singh@gmail.com</t>
  </si>
  <si>
    <t>+971-586-538644</t>
  </si>
  <si>
    <t>Message: I am looking for Properties for sale in Jumeirah Lake Towers (JLT), Dubai,  UAE. Please let me know about any suitable properties you have. Thank you.</t>
  </si>
  <si>
    <t>fahad haq</t>
  </si>
  <si>
    <t>Edyta.almulla@vp.pl</t>
  </si>
  <si>
    <t>00971504865711</t>
  </si>
  <si>
    <t>Residential Freehold Land | B+G+11 | Culture Village.</t>
  </si>
  <si>
    <t>dubreuilsteph@gmail.com</t>
  </si>
  <si>
    <t>97191527075208</t>
  </si>
  <si>
    <t>TAKAHIRO MOGI</t>
  </si>
  <si>
    <t>yonex0502@yahoo.co.jp</t>
  </si>
  <si>
    <t>+971521670429</t>
  </si>
  <si>
    <t>Restaurant with alcohol License in JLT.</t>
  </si>
  <si>
    <t>Message: Hello this is Mogi Japanese restaurant director in Dubai. I’m interesting this place. Could you contact me and I wanna view the this place.</t>
  </si>
  <si>
    <t>Ref No: HSR-R-1349</t>
  </si>
  <si>
    <t>Agent /  Client</t>
  </si>
  <si>
    <t xml:space="preserve"> Deepa Sawlani</t>
  </si>
  <si>
    <t>deepa.sawlani@gmail.com</t>
  </si>
  <si>
    <t>+971505585981</t>
  </si>
  <si>
    <t>Hello we would like to view the Al Seef 3BR on Monday.</t>
  </si>
  <si>
    <t>JAWAID</t>
  </si>
  <si>
    <t>Jawaid@mail.com</t>
  </si>
  <si>
    <t>Zahra Raja</t>
  </si>
  <si>
    <t>+44 7830134121</t>
  </si>
  <si>
    <t>no respond</t>
  </si>
  <si>
    <t>Distress Sale Brand New Studio in Downtown</t>
  </si>
  <si>
    <t>+971552042984</t>
  </si>
  <si>
    <t>zahraraja890@hotmail.co.uk</t>
  </si>
  <si>
    <t>Property finder /Justproperty</t>
  </si>
  <si>
    <t>Ref: HSR-R-1129</t>
  </si>
  <si>
    <t>Furnished Studio|Standpoint A</t>
  </si>
  <si>
    <t>Tasneem</t>
  </si>
  <si>
    <t xml:space="preserve">0561155335. </t>
  </si>
  <si>
    <t>tasneemhamza@gmail.com</t>
  </si>
  <si>
    <t>Chirag Raghuwansi</t>
  </si>
  <si>
    <t>chirag.r@live.com</t>
  </si>
  <si>
    <t>+971557661986</t>
  </si>
  <si>
    <t>Property finder</t>
  </si>
  <si>
    <t>Beach Vista, EMAAR Beachfront</t>
  </si>
  <si>
    <t>Apartment on the Beach of Jumeirah.</t>
  </si>
  <si>
    <t>Is it available for viewing Tomorrow, Mar 24 in the afternoon? Thanks</t>
  </si>
  <si>
    <t>Ref No: HSR-S-1334</t>
  </si>
  <si>
    <t>Benjamin Hunter</t>
  </si>
  <si>
    <t>00447910 030303</t>
  </si>
  <si>
    <t>Owner Seller</t>
  </si>
  <si>
    <t>greenhousesharjah@gmail.com</t>
  </si>
  <si>
    <t>Benjamin.Hunter@LH1.London</t>
  </si>
  <si>
    <t>971508794905</t>
  </si>
  <si>
    <t>Philipinno Restaurant for Sale in Sharjah.</t>
  </si>
  <si>
    <t>Message: Dear sir We have restaurant for sale pls call me for details 055 7451180 ready to pay commission .</t>
  </si>
  <si>
    <t>Ref No: HSR-S-1182</t>
  </si>
  <si>
    <t>Farook</t>
  </si>
  <si>
    <t>sfarooka2@gmail.com</t>
  </si>
  <si>
    <t>Dear Fahad, LH1 London are attending Cityscape 2018 and would like to meet you if you are available. LH1 London is a UK based property company and sell our property to the global investor audience via our network of agents and brokers largely based in Asia and UAE. We are always interested to meet new top tier brokers who have an investor database that would be interested to sell our prime located apartment schemes in the UK’s major cities. Do you sell UK investment property or would you be interested to sell our UK investment property? If so we would like to meet you at Cityscape on 2nd or 3rd October to tell you more about our developments. We look forward to hearing from you. Best, Benjamin.</t>
  </si>
  <si>
    <t>+9677160264</t>
  </si>
  <si>
    <t xml:space="preserve"> Gladys Kushee</t>
  </si>
  <si>
    <t>Enquiry:Restaurant Sharjah | 30k Month Profit.</t>
  </si>
  <si>
    <t>Message:When is it available for viewing? Thanks</t>
  </si>
  <si>
    <t>looking for office in business bay</t>
  </si>
  <si>
    <t>Ref No: HSR-R-1083</t>
  </si>
  <si>
    <t xml:space="preserve"> +9710545945252</t>
  </si>
  <si>
    <t>gladys@page3retailbrand.com</t>
  </si>
  <si>
    <t>Mayumi</t>
  </si>
  <si>
    <t>HSR-L-1343</t>
  </si>
  <si>
    <t>+201008483118</t>
  </si>
  <si>
    <t>Restuarant in Sheik Zayeed Best Business.</t>
  </si>
  <si>
    <t>Message: Hello,is this place alcohol licensed by any chance?</t>
  </si>
  <si>
    <t>Ref No: HSR-R-1351</t>
  </si>
  <si>
    <t>kausar</t>
  </si>
  <si>
    <t>kausarsadiq1986@gmail.com</t>
  </si>
  <si>
    <t>971561039660</t>
  </si>
  <si>
    <t>Enquiry: Beachfront |1 Bedroom La Mer By Meraas</t>
  </si>
  <si>
    <t>Mr. Baridi</t>
  </si>
  <si>
    <t>bridijaber@yahoo.com</t>
  </si>
  <si>
    <t>Inquiry: Looking for rent</t>
  </si>
  <si>
    <t>Mehul</t>
  </si>
  <si>
    <t>mehul@servehrindia.com</t>
  </si>
  <si>
    <t>+919892188218</t>
  </si>
  <si>
    <t>Hi, I found your property with ref: HSR-S-1723 on propertyfinder. This studio is located in which tower ?</t>
  </si>
  <si>
    <t xml:space="preserve">Exclusive for Sale: * Damac Towers by Paramount * Location: Business Bay Burj Khalifa *... Reference
</t>
  </si>
  <si>
    <t>: HSR-S-1723</t>
  </si>
  <si>
    <t>Shireen Hassan</t>
  </si>
  <si>
    <t>+971509190240</t>
  </si>
  <si>
    <t>shireenzht@gmail.com</t>
  </si>
  <si>
    <t>Hamed Hakima</t>
  </si>
  <si>
    <t>hamed.hakima@gmail.com</t>
  </si>
  <si>
    <t>+989121767173</t>
  </si>
  <si>
    <t>Message: 2bedrooms apartment in the exclusive Island of Port La Mer</t>
  </si>
  <si>
    <t>jessica</t>
  </si>
  <si>
    <t>Neelam</t>
  </si>
  <si>
    <t>Gyorgy Szollosi</t>
  </si>
  <si>
    <t>Email: gyorgy.szollosi@me.com</t>
  </si>
  <si>
    <t>+36702189999</t>
  </si>
  <si>
    <t>Enquiry: Apartment on the Beach of Jumeirah.</t>
  </si>
  <si>
    <t>soft_gull@hotmail.com</t>
  </si>
  <si>
    <t>Close to Ain Dubai and Palm Jumeirah.</t>
  </si>
  <si>
    <t>Message: Dear Sir / Madam, I am interested in to buy apartments in the Emaar Beachfront complex.</t>
  </si>
  <si>
    <t>Could you please send me offers for 1 or 2 bedrooms seaview apartments with pricing schedule. [url removed] [url removed] Looking forward to read your answer soon. Kind regards, Gyorgy</t>
  </si>
  <si>
    <t>Syed Asif Hussain</t>
  </si>
  <si>
    <t>sazr3@yahoo.com</t>
  </si>
  <si>
    <t>00971565461375</t>
  </si>
  <si>
    <t>Paulina</t>
  </si>
  <si>
    <t>Kindly let me know more details</t>
  </si>
  <si>
    <t xml:space="preserve">0526404202. </t>
  </si>
  <si>
    <t>p.walicagajewska@gmail.com</t>
  </si>
  <si>
    <t>Name: Laura Brannigan</t>
  </si>
  <si>
    <t>Email: brannigan_99@hotmail.com</t>
  </si>
  <si>
    <t>Phone: +971-555-895623</t>
  </si>
  <si>
    <t>Message: I am seeking a THL property - preferably backing onto the park. Serious buyer so please email me with suitable available. Thanks.</t>
  </si>
  <si>
    <t>HSR-R-1274</t>
  </si>
  <si>
    <t>Name: Pranav</t>
  </si>
  <si>
    <t>Email: p.arora8919@gmail.com</t>
  </si>
  <si>
    <t>Telephone: 971507263487</t>
  </si>
  <si>
    <t>semria hussein</t>
  </si>
  <si>
    <t>Telephone: +971555826931</t>
  </si>
  <si>
    <t>jurmeth tshering</t>
  </si>
  <si>
    <t>Preferred time to receive call: Anytime</t>
  </si>
  <si>
    <t>cant be reach</t>
  </si>
  <si>
    <t>+975856524201</t>
  </si>
  <si>
    <t>Inquiry: Cozy Restaurant with Shisha on Marina Walk HSR-R-1316</t>
  </si>
  <si>
    <t>To: shane@hsproperty.ae</t>
  </si>
  <si>
    <t>jstshering@gmail.com</t>
  </si>
  <si>
    <t>Miss Lonah</t>
  </si>
  <si>
    <t>nyamoitalonah@yahoo.com</t>
  </si>
  <si>
    <t>PropSpace. / Justproperty</t>
  </si>
  <si>
    <t>Standpoint A /Ref: HSR-R-1236</t>
  </si>
  <si>
    <t>Zelrese Jones</t>
  </si>
  <si>
    <t>not interested</t>
  </si>
  <si>
    <t>971507393788</t>
  </si>
  <si>
    <t>Property Wifi</t>
  </si>
  <si>
    <t>zelrese.jones@gmail.com</t>
  </si>
  <si>
    <t xml:space="preserve">Message: If possible, please provide me with the following information:Payment details, Security , Gym and pool, Public transport and Applicable fees.			
Please Reply any day, Reply any time by Email.			</t>
  </si>
  <si>
    <t>Inquiry:Looking to Rent (Studio)</t>
  </si>
  <si>
    <t>Mrs. Mary</t>
  </si>
  <si>
    <t>airamdas422@gmail.com</t>
  </si>
  <si>
    <t xml:space="preserve"> Najat</t>
  </si>
  <si>
    <t>viewing at 18:00 10/03/2018</t>
  </si>
  <si>
    <t>Inquiry :Looking to Rent • Sharjah</t>
  </si>
  <si>
    <t>najatyousfi@gmail.com</t>
  </si>
  <si>
    <t>propspace / bayut</t>
  </si>
  <si>
    <t xml:space="preserve"> Lana Abdallah</t>
  </si>
  <si>
    <t>+9710554480566</t>
  </si>
  <si>
    <t xml:space="preserve"> Amol Dube</t>
  </si>
  <si>
    <t>dubeamol@gmail.com</t>
  </si>
  <si>
    <t>abdalla.lana@gmail.com</t>
  </si>
  <si>
    <t>propspace / propertyfinder'</t>
  </si>
  <si>
    <t>Standpoint A</t>
  </si>
  <si>
    <t>Elaine Oneill</t>
  </si>
  <si>
    <t>9710506217558</t>
  </si>
  <si>
    <t>elliemaycoventry@yahoo.co.uk</t>
  </si>
  <si>
    <t>Message: Hi, I saw your ad on dubizzle. Is it available for viewing Today, Apr 02 in the Morning? Thanks.</t>
  </si>
  <si>
    <t>Inquiry: Ref No: HSR-R-1238</t>
  </si>
  <si>
    <t>Mr. Tee</t>
  </si>
  <si>
    <t>toskky411@gmail.com</t>
  </si>
  <si>
    <t>971551406422</t>
  </si>
  <si>
    <t>Inquiry: I am looking to rent Message: I’m looking for a 3 bedroom apartment in marina or jbr</t>
  </si>
  <si>
    <t>Name: wissam tawil</t>
  </si>
  <si>
    <t>wissamtawil00@gmail.com</t>
  </si>
  <si>
    <t>(055) 1394515</t>
  </si>
  <si>
    <t>Marina</t>
  </si>
  <si>
    <t>971505291511</t>
  </si>
  <si>
    <t>Message: request more information on this project</t>
  </si>
  <si>
    <t>marinasagradyan82@gmail.com</t>
  </si>
  <si>
    <t>Inquiry: Ref No: HSR-S-1236</t>
  </si>
  <si>
    <t>Name; Mahmoud</t>
  </si>
  <si>
    <t>abeer_elmoussa@hotmail.com</t>
  </si>
  <si>
    <t>971505825642.</t>
  </si>
  <si>
    <t>Restuarant in Dubai Marina close to Yacht Club</t>
  </si>
  <si>
    <t>Ref: HSR-R-1276</t>
  </si>
  <si>
    <t>Name: Ali</t>
  </si>
  <si>
    <t>Hasib Khan</t>
  </si>
  <si>
    <t>yazzbeck@yahoo.com</t>
  </si>
  <si>
    <t>0529966099.</t>
  </si>
  <si>
    <t>hk@udrive.ae</t>
  </si>
  <si>
    <t>Interested In: Running Restaurant for sale in Jumeirah 2.</t>
  </si>
  <si>
    <t>971552987403</t>
  </si>
  <si>
    <t>Carly Botterill</t>
  </si>
  <si>
    <t xml:space="preserve">0569405024. </t>
  </si>
  <si>
    <t>Carly.joanne@hotmail.com</t>
  </si>
  <si>
    <t>Inquiry: Buy UR Own Studio Apartment In JLT and Pay 1% Per Month Call Now.</t>
  </si>
  <si>
    <t>Message: Greetings, I would like to have more information on this ad.</t>
  </si>
  <si>
    <t>Ref No: HSR-S-1749</t>
  </si>
  <si>
    <t>Amol Dube</t>
  </si>
  <si>
    <t>+971555886699</t>
  </si>
  <si>
    <t>Inquiry: Running Beauty Salon on Jumeirah Beach For Sale.</t>
  </si>
  <si>
    <t>Wasl</t>
  </si>
  <si>
    <t>viewing at 18:00 10/4/2018</t>
  </si>
  <si>
    <t>Ref No: HSR-R-1238</t>
  </si>
  <si>
    <t>0529976227</t>
  </si>
  <si>
    <t>Julien</t>
  </si>
  <si>
    <t xml:space="preserve">Bayut / mgs </t>
  </si>
  <si>
    <t>executive bay 1BR</t>
  </si>
  <si>
    <t>julien@noneed.fr</t>
  </si>
  <si>
    <t>Lea Chatila</t>
  </si>
  <si>
    <t>viewing ..anytime</t>
  </si>
  <si>
    <t>+33778555533.</t>
  </si>
  <si>
    <t xml:space="preserve">971 050 972 9558. </t>
  </si>
  <si>
    <t>Inquiry: Boulevard Point with Amazing views!</t>
  </si>
  <si>
    <t xml:space="preserve">chatilalea@gmail.com </t>
  </si>
  <si>
    <t>: HSR-R-1236</t>
  </si>
  <si>
    <t>Hamed.hakima</t>
  </si>
  <si>
    <t>Inquiry: 2bedrooms apartment in the exclusive Island of Port La Mer</t>
  </si>
  <si>
    <t>khalid</t>
  </si>
  <si>
    <t>+12022470075</t>
  </si>
  <si>
    <t xml:space="preserve"> kyasin@post.harvard.edu</t>
  </si>
  <si>
    <t>HARESH</t>
  </si>
  <si>
    <t>Inquiry: Cozy Restaurant with Shisha on Marina Walk.</t>
  </si>
  <si>
    <t xml:space="preserve"> 0565345479</t>
  </si>
  <si>
    <t>Message: Kindly let me know more details</t>
  </si>
  <si>
    <t>HL@RIGHTMOVEMORTGAGES.AE</t>
  </si>
  <si>
    <t>Asim</t>
  </si>
  <si>
    <t>acuminouss@gmail.com</t>
  </si>
  <si>
    <t>+971529439737</t>
  </si>
  <si>
    <t>Inquiry: HSR-S-1544</t>
  </si>
  <si>
    <t>HSR-S-1561</t>
  </si>
  <si>
    <t>Message: Please contact me. Thank you</t>
  </si>
  <si>
    <t>Inquiry: HSR-S-1234</t>
  </si>
  <si>
    <t xml:space="preserve"> dr shashi</t>
  </si>
  <si>
    <t>drshashi2000@gmail.com</t>
  </si>
  <si>
    <t>0506104878</t>
  </si>
  <si>
    <t>Inquiry: All Villa Projects By DP |100% DLD Fee Waived 75% in 5 Yrs Post Handover.</t>
  </si>
  <si>
    <t>Message: Hi, I am interested in BHK townhouse. Kindly whats app me on 0506104878</t>
  </si>
  <si>
    <t>Ref No: HSR-S-1776</t>
  </si>
  <si>
    <t>Mohammed alhodaithy</t>
  </si>
  <si>
    <t>mohammed.alhodaithy@gmail.com</t>
  </si>
  <si>
    <t>+971-524-219165</t>
  </si>
  <si>
    <t>971558894534</t>
  </si>
  <si>
    <t>Message: مرحباً ، أنا أبحث عن شقق للبيع في وسط مدينة دبي، دبي، الإمارات. أرجو إعلامي بشأن أي عقارات مناسبة لديكم. شكراً لكم.</t>
  </si>
  <si>
    <t>wasfi77@hotmail.com</t>
  </si>
  <si>
    <t>Aly Sayed</t>
  </si>
  <si>
    <t>Naveen</t>
  </si>
  <si>
    <t>km_naveen@hotmail.com</t>
  </si>
  <si>
    <t>0507858721</t>
  </si>
  <si>
    <t>Inquiry: Starting 1.2 Mn Arabian Ranches 3|50 %DLD Waiver|3Yrs Post Handover Payment Plan.</t>
  </si>
  <si>
    <t>Dubai Hills Estate S1064</t>
  </si>
  <si>
    <t>Message: Am looking for a villa - to be ready to move in by end 2019</t>
  </si>
  <si>
    <t>Ref No: HSR-S-1273</t>
  </si>
  <si>
    <t>Stefanie</t>
  </si>
  <si>
    <t>0524860014</t>
  </si>
  <si>
    <t>holke.stefanie@gmail.com</t>
  </si>
  <si>
    <t>Vineesh Gopalan</t>
  </si>
  <si>
    <t>vineeshmg100@gmail.com</t>
  </si>
  <si>
    <t>Inquiry: Cake and Sweet Shop in Deira for Sale</t>
  </si>
  <si>
    <t>Reference: HSR-S-1177</t>
  </si>
  <si>
    <t>: HSR-R-1092</t>
  </si>
  <si>
    <t>Hello, My partner and I are looking for a rental property in The Views with golf course views for AED110,000 p.a. (quarterly checks), just like this listed property. Is it still available or do you have similar properties in your portfolio? Many thanks, Stefanie</t>
  </si>
  <si>
    <t>claudio Fuscolo</t>
  </si>
  <si>
    <t>Mobile: +254711443567</t>
  </si>
  <si>
    <t>Email: claudiofuscolo@yahoo.it</t>
  </si>
  <si>
    <t>From: Propertyfinder* / Best Price for 1BR Apartment in Burj Khalifa</t>
  </si>
  <si>
    <t xml:space="preserve">Maria Wadiwala </t>
  </si>
  <si>
    <t>+971547572278</t>
  </si>
  <si>
    <t>mariawadiwala8@gmail.com</t>
  </si>
  <si>
    <t>Ready to Move In 2BR + Study in Executive Bay. : HSR-R-1232</t>
  </si>
  <si>
    <t>vikas</t>
  </si>
  <si>
    <t>+551372235</t>
  </si>
  <si>
    <t>Email: vkagrawal86@gmail.com</t>
  </si>
  <si>
    <t>executive bay 1709</t>
  </si>
  <si>
    <t>thjqogmzznrxlvlxgt437</t>
  </si>
  <si>
    <t>Mobile: +8618024410895</t>
  </si>
  <si>
    <t>Email: thjqogmzznrxlvlxgt437@yahoo.com</t>
  </si>
  <si>
    <t>Message: I am looking to buy hi,I'm interested In this want to buy this house and how can I get it PM WhatsApp me +8618024410895 thanks</t>
  </si>
  <si>
    <t>13/10/2018</t>
  </si>
  <si>
    <t>nadeem.ladki@gmail.com</t>
  </si>
  <si>
    <t>Joachim Heberlein</t>
  </si>
  <si>
    <t>+447773163437</t>
  </si>
  <si>
    <t>491788603389</t>
  </si>
  <si>
    <t>heberlein.j@bluewin.ch</t>
  </si>
  <si>
    <t>Message: Hi, I found your property with ref: HSR-S-1505 on propertyfinder. I have a similar property but 3Bed to sell in same tower. Can you help me?</t>
  </si>
  <si>
    <t>Sylvia De Ramos</t>
  </si>
  <si>
    <t>009710524864195</t>
  </si>
  <si>
    <t>Email: silvia.vertigo@hotmail.com</t>
  </si>
  <si>
    <t>HSR-S-1505</t>
  </si>
  <si>
    <t>Jalal Ahmed</t>
  </si>
  <si>
    <t>+966504849028</t>
  </si>
  <si>
    <t>Inquiry: Profitable restaurant in Deira | Must Sell this Week</t>
  </si>
  <si>
    <t>Sreeram</t>
  </si>
  <si>
    <t>Apartment on the Beach of Jumeirah. Close to Ain Dubai and Palm Jumeirah.</t>
  </si>
  <si>
    <t xml:space="preserve"> rams12798@gmail.com</t>
  </si>
  <si>
    <t>971506763160</t>
  </si>
  <si>
    <t>Inquiry: Property to sell</t>
  </si>
  <si>
    <t>Message: We have a 1 bedroom flat in al samar 4 in greens and looking to sell.</t>
  </si>
  <si>
    <t>Louai</t>
  </si>
  <si>
    <t>louai.dahhan@gmail.com</t>
  </si>
  <si>
    <t xml:space="preserve"> +971505099299</t>
  </si>
  <si>
    <t>Message: We have industrial workshops or warehouses we propose to cooperate in leasing the spaces starting from 2500 feet to 100,000 thousand feet of electricity per workshop 27 kv umm al Quwain industrial city</t>
  </si>
  <si>
    <t>JAMAL Nişanyan</t>
  </si>
  <si>
    <t xml:space="preserve"> jamalnisanyan@gmail.com</t>
  </si>
  <si>
    <t>+97163563899.</t>
  </si>
  <si>
    <t>Message:I'm very interested in buying your property,</t>
  </si>
  <si>
    <t>please contact me on jamalnisanyan@gmail.com</t>
  </si>
  <si>
    <t>as soon as possible.</t>
  </si>
  <si>
    <t>Inquiry:Jumeirah Bay, BVLGARI 2Bedrooms</t>
  </si>
  <si>
    <t>Kenneth Smith</t>
  </si>
  <si>
    <t xml:space="preserve"> kennethjsmith08@gmail.com</t>
  </si>
  <si>
    <t>058 507 3982.</t>
  </si>
  <si>
    <t>Inquiry: Studio at Jumeirah Bay for Rent</t>
  </si>
  <si>
    <t>Message: Please contact me. Thank you!</t>
  </si>
  <si>
    <t>Mary</t>
  </si>
  <si>
    <t>Mr. malik</t>
  </si>
  <si>
    <t>0509156868</t>
  </si>
  <si>
    <t>Mary.bazrafshan@yahoo.ca</t>
  </si>
  <si>
    <t>15/10/2018</t>
  </si>
  <si>
    <t>monika</t>
  </si>
  <si>
    <t>Mobile: 0522447250.</t>
  </si>
  <si>
    <t>mohammadshawli@gmail.com</t>
  </si>
  <si>
    <t>971555602838</t>
  </si>
  <si>
    <t>Email: mk@dandbdubai.com</t>
  </si>
  <si>
    <t>/ Huge 2BR |Executive bay</t>
  </si>
  <si>
    <t>Inquiry: Great Investment at Emaar Beach Front !!.</t>
  </si>
  <si>
    <t>Message:  when is it available for a call? Thanks.</t>
  </si>
  <si>
    <t xml:space="preserve"> Aamir</t>
  </si>
  <si>
    <t>Mobile: 0529684840</t>
  </si>
  <si>
    <t>Ref No: HSR-S-1234</t>
  </si>
  <si>
    <t>Message: Seeling Property DUbai Hills Maple3</t>
  </si>
  <si>
    <t>Tsegay Assehfaw</t>
  </si>
  <si>
    <t>+966552016425</t>
  </si>
  <si>
    <t>Email: tsegai@gmail.com</t>
  </si>
  <si>
    <t>From: Facebook offplan offer</t>
  </si>
  <si>
    <t>Messege: 2_beds</t>
  </si>
  <si>
    <t>16/10/2018</t>
  </si>
  <si>
    <t>Ainur</t>
  </si>
  <si>
    <t>Email:  ainura7@mail.ru</t>
  </si>
  <si>
    <t>From: Propertyfinder / Al Khudrawi, Shoreline ApartmentsAinur</t>
  </si>
  <si>
    <t xml:space="preserve"> Farhana Mohammed</t>
  </si>
  <si>
    <t xml:space="preserve"> +966 554324767</t>
  </si>
  <si>
    <t xml:space="preserve"> farhana.mohammed@hotmail.com</t>
  </si>
  <si>
    <t>From: JustProperty / Kempinski Palm Residence 2 Bedroom Apartment for rent</t>
  </si>
  <si>
    <t>Message:  Please send me more information about this property. Thank you I will be in Dubai next week and would like to see the property.</t>
  </si>
  <si>
    <t>17/10/2018</t>
  </si>
  <si>
    <t>Алена</t>
  </si>
  <si>
    <t>+79857662224</t>
  </si>
  <si>
    <t>Email: al2224@gmail.com</t>
  </si>
  <si>
    <t>From: PropertyFinder</t>
  </si>
  <si>
    <t>Message: Добрый день! У нас есть несколько объектов недвижимости на Пальме и в JBR , которые мы сдаем в аренду и готовы продать, если стоимость нас устроит. Если вам интересно сотрудничество, свяжитесь со мной На каких условиях работает ваше агенство с клиентами?</t>
  </si>
  <si>
    <t>Hugh Neil</t>
  </si>
  <si>
    <t>0506505127</t>
  </si>
  <si>
    <t>Email: hughsneil@hotmail.com</t>
  </si>
  <si>
    <t>From: JustProperty /Palm Residence, The Crescent</t>
  </si>
  <si>
    <t>18/10/2018</t>
  </si>
  <si>
    <t>Ajit kumar</t>
  </si>
  <si>
    <t>0564128607</t>
  </si>
  <si>
    <t>Email: ajit_k@icloud.com</t>
  </si>
  <si>
    <t>From: Contact form from</t>
  </si>
  <si>
    <t>Message:  hi i pls send me offer for villa</t>
  </si>
  <si>
    <t>22/10/2018</t>
  </si>
  <si>
    <t>Name: juliasharif@zener.ae</t>
  </si>
  <si>
    <t>saba</t>
  </si>
  <si>
    <t>Phone: 00971505529216</t>
  </si>
  <si>
    <t>Email: juliasharif@zener.ae</t>
  </si>
  <si>
    <t>PROJECT: Madinat Jumeirah Living</t>
  </si>
  <si>
    <t>Message: 1/2 bedroom apartments also prices</t>
  </si>
  <si>
    <t>Name: Courtney Murray</t>
  </si>
  <si>
    <t>Mobile:  971-521-020679</t>
  </si>
  <si>
    <t>Email: courts87@me.com</t>
  </si>
  <si>
    <t>From: Bayut / Zahra Apartments, Town Square, Dubai</t>
  </si>
  <si>
    <t>Name: Mohannad</t>
  </si>
  <si>
    <t>Mobile: 0563334750.</t>
  </si>
  <si>
    <t>Email: mohannadjo96@yahoo.com</t>
  </si>
  <si>
    <t>From:  Propertyfinder. / Sea Sunset View | Jacuzzi | Big Terrace</t>
  </si>
  <si>
    <t>Name: Onur Kalayci</t>
  </si>
  <si>
    <t>Mobile: +971524589774.</t>
  </si>
  <si>
    <t>Email: onur.kalayci@oracle.com</t>
  </si>
  <si>
    <t>From: PropertyFinder / Prestigious 1 Bedroom in Tiara Sea view</t>
  </si>
  <si>
    <t>23/10/2018</t>
  </si>
  <si>
    <t>Name:  Gabriele Ripfl</t>
  </si>
  <si>
    <t>Mobile: +971582625854</t>
  </si>
  <si>
    <t>Email: gabi3106@gmx.at</t>
  </si>
  <si>
    <t>From: dubizzle  / Cheapest 1 Bedroom 06 Series |The Hills A1.</t>
  </si>
  <si>
    <t>Message: Pls send floor plan by email or whatsapp, dont call as I am out of the country right now. Thanks.</t>
  </si>
  <si>
    <t>Name:  Montalbano</t>
  </si>
  <si>
    <t>Email:  emontalbano78@gmail.com</t>
  </si>
  <si>
    <t>From: Dubizzle</t>
  </si>
  <si>
    <t>Message: Hi, I am interested in your article advertising Well Known Restaurant in Prime of Marina</t>
  </si>
  <si>
    <t>Name: Sasa</t>
  </si>
  <si>
    <t>971504246067</t>
  </si>
  <si>
    <t>Email:  sasa.isakovic@gmail.com</t>
  </si>
  <si>
    <t>From: * Property FInder* / Al Reem 2, Al Reem</t>
  </si>
  <si>
    <t>Name: Gabriel</t>
  </si>
  <si>
    <t>971505535708</t>
  </si>
  <si>
    <t>From: Direct Call</t>
  </si>
  <si>
    <t>Interested In: Villa/House for Sale</t>
  </si>
  <si>
    <t>Name: Ahmad</t>
  </si>
  <si>
    <t>971523907017</t>
  </si>
  <si>
    <t>Direct Call: Sale in Executive Bay, Business Bay</t>
  </si>
  <si>
    <t>Interested in : 1bedroom Apartment in business bay</t>
  </si>
  <si>
    <t>Name: Chris</t>
  </si>
  <si>
    <t>0564569857</t>
  </si>
  <si>
    <t>Direct Call / Executive Bay 1Bedroom</t>
  </si>
  <si>
    <t>Message: can be possible 6 cheques 65k .</t>
  </si>
  <si>
    <t>24/10/2018</t>
  </si>
  <si>
    <t>Name: Rehman undefined</t>
  </si>
  <si>
    <t>From: Justproperty / 2 BR / Beautiful Marina views and Sea view</t>
  </si>
  <si>
    <t>Name: Shujjat Qureshi</t>
  </si>
  <si>
    <t>971-050-6755060</t>
  </si>
  <si>
    <t>Email: shujjat.q@gmail.com</t>
  </si>
  <si>
    <t>From: Bayut / Payment Plan in 6 years 3/4 BR Townhouse / Reem Community, Arabian Ranches 2, Dubai</t>
  </si>
  <si>
    <t>27/10/2018</t>
  </si>
  <si>
    <t>Name: Raj</t>
  </si>
  <si>
    <t>0502108018.</t>
  </si>
  <si>
    <t>Email: Rajeshncc@ymail.com</t>
  </si>
  <si>
    <t>From: Property Finder /  Arabella Townhouses, Mudon</t>
  </si>
  <si>
    <t>Name: Timothy Ludwig</t>
  </si>
  <si>
    <t>Mobile: +254711625144.</t>
  </si>
  <si>
    <t>Email: ludwigtimothy9@gmail.com</t>
  </si>
  <si>
    <t>From: Property Finder / Running Cafe in Jebel Ali Office Building</t>
  </si>
  <si>
    <t>Name: amit</t>
  </si>
  <si>
    <t>Mobile: 00966564085477.</t>
  </si>
  <si>
    <t>Email: amit.n.marwah@gmail.com</t>
  </si>
  <si>
    <t>From: PropertyFinder / Luxury 1Bed with Full Burj Khalifa View</t>
  </si>
  <si>
    <t>Name: Osama Saber</t>
  </si>
  <si>
    <t>+971509931811</t>
  </si>
  <si>
    <t>Email: product@drnutrition.com</t>
  </si>
  <si>
    <t>Message: Hello Mr. Fahad Haq, We have commercial warehouse + offices for sale @ 10 Million in Al Qusais - Dubai If you are interested to know more &amp; work on it please send me WhatsApp message @ +971509931811 Thanks. Osama Saber.</t>
  </si>
  <si>
    <t>28/10/2018</t>
  </si>
  <si>
    <t>Name: Rainer Michael Struck</t>
  </si>
  <si>
    <t>971585002005</t>
  </si>
  <si>
    <t>Email: rainer-michael.struck@gmx.at</t>
  </si>
  <si>
    <t>From: *Dubizzle* / Sea Sunset View | Jacuzzi | Big Terrace.</t>
  </si>
  <si>
    <t>Message: When is it available for viewing? Thanks. My mobile is not active for calls at the moment as I’m in Europe right now. Please WhattsApp me in case. Thank you, kind regards</t>
  </si>
  <si>
    <t>Name: Rob Hayes</t>
  </si>
  <si>
    <t>971502756953.</t>
  </si>
  <si>
    <t>Email: rkhayes2610@gmail.com</t>
  </si>
  <si>
    <t>From: Property Finder / Unfurnished | Sea view| Ready to move in</t>
  </si>
  <si>
    <t>Nicky</t>
  </si>
  <si>
    <t>nikkydeesmall@yahoo.co.uk</t>
  </si>
  <si>
    <t>Just Property FInder</t>
  </si>
  <si>
    <t>executive Bay / 1br</t>
  </si>
  <si>
    <t>Nathan Clark</t>
  </si>
  <si>
    <t>+61437242450</t>
  </si>
  <si>
    <t>nathan.clark6@bigpond.com</t>
  </si>
  <si>
    <t xml:space="preserve">Just Property </t>
  </si>
  <si>
    <t>/ Oceana Aegean 1 Bedroom Apartment for rent</t>
  </si>
  <si>
    <t>Message:  Is this dog friendly as Im looking to rent from 26th Nov for 3 weeks. Thank you</t>
  </si>
  <si>
    <t>25/10/2018</t>
  </si>
  <si>
    <t>Mr. Ibrahim alshanti</t>
  </si>
  <si>
    <t>+971565600552</t>
  </si>
  <si>
    <t>ibraalshanti@gmail.com</t>
  </si>
  <si>
    <t xml:space="preserve"> Propertywifi</t>
  </si>
  <si>
    <t>Agent looking to Network</t>
  </si>
  <si>
    <t>Name: Ashraf</t>
  </si>
  <si>
    <t>0504556580</t>
  </si>
  <si>
    <t>ashrafk1_uae@yahoo.com</t>
  </si>
  <si>
    <t>Message: Is it available for viewing Today, Oct 29 in the Evening? Thanks</t>
  </si>
  <si>
    <t>Vadym</t>
  </si>
  <si>
    <t xml:space="preserve"> +971544-962-288</t>
  </si>
  <si>
    <t>redcross806@gmail.com</t>
  </si>
  <si>
    <t>Interested in: Huge 1 BR Marina View | 85k | Unfurnished</t>
  </si>
  <si>
    <t>Nicola Ackroyd</t>
  </si>
  <si>
    <t>971585611787</t>
  </si>
  <si>
    <t>nicola.ackroyd11@gmail.com</t>
  </si>
  <si>
    <t>Hello I’m looking for a monthly apartment in JLT or Marina. Move in date 10th November No more than 10500 Bills included 1 bed Please call or email with details Thanks</t>
  </si>
  <si>
    <t>29/10/2018</t>
  </si>
  <si>
    <t>Name: Feico</t>
  </si>
  <si>
    <t>00971585107384</t>
  </si>
  <si>
    <t>Email: feicoboonstra@gmail.com</t>
  </si>
  <si>
    <t>From: Propertyfinder  Sparkle Towers, Dubai Marina</t>
  </si>
  <si>
    <t>Message: Can you please update me on the expected hand-over date? Please contact me.</t>
  </si>
  <si>
    <t>From: Property Finder / Prestigious 1 Bedroom in Tiara Sea view</t>
  </si>
  <si>
    <t>Name:Andrew Hill</t>
  </si>
  <si>
    <t>Email: andrewhilluk@gmail.com</t>
  </si>
  <si>
    <t>Mobile:0566039313.</t>
  </si>
  <si>
    <t>From: Propertywifi / Looking to Rent</t>
  </si>
  <si>
    <t>Name:</t>
  </si>
  <si>
    <t>Mr. Mohamed Elshehawy</t>
  </si>
  <si>
    <t>Phone:</t>
  </si>
  <si>
    <t>Email:</t>
  </si>
  <si>
    <t>advocat2mohamed@gmail.com</t>
  </si>
  <si>
    <t>Message: Dear Sir / Madam,</t>
  </si>
  <si>
    <t>As you are currently marketing Properties To Rent in Sharjah, I believe you would be able to assist me with my enquiry.</t>
  </si>
  <si>
    <t>If possible, please provide me with the following information: Payment details, Availability and View.</t>
  </si>
  <si>
    <t>Please Reply any day, Reply any time by Email</t>
  </si>
  <si>
    <t>Kindly assign me an agent who speaks my preferred language in Arabic.</t>
  </si>
  <si>
    <t>I look forward to hearing from you soon</t>
  </si>
  <si>
    <t>Kind regards,</t>
  </si>
  <si>
    <t>Mohamed elshehawy</t>
  </si>
  <si>
    <t>Preferred Language :</t>
  </si>
  <si>
    <t>Arabic</t>
  </si>
  <si>
    <t>Kim Wells</t>
  </si>
  <si>
    <t>0569957077</t>
  </si>
  <si>
    <t>kimwells200@yahoo.com</t>
  </si>
  <si>
    <t>P</t>
  </si>
  <si>
    <t>RENT</t>
  </si>
  <si>
    <t>Turia Tower B,</t>
  </si>
  <si>
    <t>Moussa</t>
  </si>
  <si>
    <t>0567076585</t>
  </si>
  <si>
    <t>Mousa11b2@gmail.com</t>
  </si>
  <si>
    <t>Looking for 3BR in Sharjah area</t>
  </si>
  <si>
    <t>Miriam Hurtado</t>
  </si>
  <si>
    <t>0582592858</t>
  </si>
  <si>
    <t>miritareina@hotmail.com</t>
  </si>
  <si>
    <t>D</t>
  </si>
  <si>
    <t>JVC Villas District 11</t>
  </si>
  <si>
    <t>Mr Graham</t>
  </si>
  <si>
    <t>0551301275</t>
  </si>
  <si>
    <t>jamimota2011@outlook.com</t>
  </si>
  <si>
    <t>Jash Hamad, Shoreline Apartments</t>
  </si>
  <si>
    <t>Razi Islam</t>
  </si>
  <si>
    <t>971504369438</t>
  </si>
  <si>
    <t>Razi.islam1@gmail.com</t>
  </si>
  <si>
    <t>Sadaf 7</t>
  </si>
  <si>
    <t>Chantelle Bowen</t>
  </si>
  <si>
    <t>+447881385277</t>
  </si>
  <si>
    <t>Cbounden@hotmail.co.uk</t>
  </si>
  <si>
    <t>Golden Mile 9, Golden Mile</t>
  </si>
  <si>
    <t>Mr. سعد عبدالله</t>
  </si>
  <si>
    <t>+966505643170</t>
  </si>
  <si>
    <t>alhafyan1@hotmail.com</t>
  </si>
  <si>
    <t>SALES</t>
  </si>
  <si>
    <t>Leads Group</t>
  </si>
  <si>
    <t>Violetlight Angel-Do</t>
  </si>
  <si>
    <t>0566356833</t>
  </si>
  <si>
    <t>doris@5izmerenie.com.ua</t>
  </si>
  <si>
    <t>Bahar 4, Bahar</t>
  </si>
  <si>
    <t>tabrez dossa</t>
  </si>
  <si>
    <t>0506255016</t>
  </si>
  <si>
    <t>Running JLT Restaurant and Cafe business for sale</t>
  </si>
  <si>
    <t>Zabir Uella</t>
  </si>
  <si>
    <t>+447855308736</t>
  </si>
  <si>
    <t>zabiella@hotmail.com</t>
  </si>
  <si>
    <t>Nelly Saad</t>
  </si>
  <si>
    <t>saadnelly@gmail.com</t>
  </si>
  <si>
    <t>JP</t>
  </si>
  <si>
    <t>Bahar 4</t>
  </si>
  <si>
    <t>Melanie Cheng-Smit</t>
  </si>
  <si>
    <t>0509237642</t>
  </si>
  <si>
    <t>Liamcheng@yahoo.com</t>
  </si>
  <si>
    <t>District 12, Jumeirah Village Circle</t>
  </si>
  <si>
    <t>nouf</t>
  </si>
  <si>
    <t>0534426426</t>
  </si>
  <si>
    <t>noufalhaqbani@gmail.com</t>
  </si>
  <si>
    <t>OFF PLAN</t>
  </si>
  <si>
    <t>Maple</t>
  </si>
  <si>
    <t>Vassilis Tsakalos</t>
  </si>
  <si>
    <t>0525130614</t>
  </si>
  <si>
    <t>vtsakalo@its.jnj.com</t>
  </si>
  <si>
    <t>Marina Terrace, Dubai Marina</t>
  </si>
  <si>
    <t>Alisha</t>
  </si>
  <si>
    <t>0554153105</t>
  </si>
  <si>
    <t>kopyova@inbox.ru</t>
  </si>
  <si>
    <t>SALE</t>
  </si>
  <si>
    <t>THE HILLS 01</t>
  </si>
  <si>
    <t>Leads group</t>
  </si>
  <si>
    <t>Mike</t>
  </si>
  <si>
    <t>0504702840</t>
  </si>
  <si>
    <t>maya_oro@hotmail.com</t>
  </si>
  <si>
    <t>Michelle Abalos</t>
  </si>
  <si>
    <t xml:space="preserve"> 0565756257</t>
  </si>
  <si>
    <t>misyhelabalos@yahoo.com</t>
  </si>
  <si>
    <t>Studio Apartment in Building 59 Discovery Garden</t>
  </si>
  <si>
    <t>0562747708</t>
  </si>
  <si>
    <t>Alex@stmarksestates.com</t>
  </si>
  <si>
    <t>Villa for Rent in Al Barsha 1, Al Barsha</t>
  </si>
  <si>
    <t>Humam aljazaeri</t>
  </si>
  <si>
    <t>00963315712431</t>
  </si>
  <si>
    <t>humamaljazaeri4@gmail.com</t>
  </si>
  <si>
    <t>Message: Greetings, Please I want to buy a house property for my family in your country, please can you help me on this? Thanks and looking forward to hearing from you. Humam</t>
  </si>
  <si>
    <t>tommy</t>
  </si>
  <si>
    <t>0502577077</t>
  </si>
  <si>
    <t>agroudy@aucegypt.edu</t>
  </si>
  <si>
    <t>Client Interested in The Address Dubai Mall,</t>
  </si>
  <si>
    <t xml:space="preserve">Mikhail </t>
  </si>
  <si>
    <t>971503422012</t>
  </si>
  <si>
    <t>mikhail@muraba.ae</t>
  </si>
  <si>
    <t>rent</t>
  </si>
  <si>
    <t>Comment: interested in Downtown Views II,</t>
  </si>
  <si>
    <t>Mohammed rehan</t>
  </si>
  <si>
    <t>+971501361031</t>
  </si>
  <si>
    <t>ms82rehan@gmail.com</t>
  </si>
  <si>
    <t>Enquiry: Hello, I am working with Azizi Developments and ready to share my full commission.So you can get 6% &amp; 7% as whole. Thank you</t>
  </si>
  <si>
    <t>Audai Altaie</t>
  </si>
  <si>
    <t>0506535202</t>
  </si>
  <si>
    <t>audaialtaie@gmail.com</t>
  </si>
  <si>
    <t>Sale</t>
  </si>
  <si>
    <t>Message: Is this corner or middle townhouse-Mira Oasis 1</t>
  </si>
  <si>
    <t>jayson</t>
  </si>
  <si>
    <t>12523547457</t>
  </si>
  <si>
    <t>jayson_benson@zoho.com</t>
  </si>
  <si>
    <t>Emaar Beach Front</t>
  </si>
  <si>
    <t>Walid Younes</t>
  </si>
  <si>
    <t>0566653485</t>
  </si>
  <si>
    <t>Walid.younes75@gmail.com</t>
  </si>
  <si>
    <t>sale</t>
  </si>
  <si>
    <t>Act 1 Act 2</t>
  </si>
  <si>
    <t>Suvida</t>
  </si>
  <si>
    <t>Amit Agarwal</t>
  </si>
  <si>
    <t xml:space="preserve"> +919836062087</t>
  </si>
  <si>
    <t>agarwalcorp14@gmail.com</t>
  </si>
  <si>
    <t>Manal</t>
  </si>
  <si>
    <t>0506261106</t>
  </si>
  <si>
    <t xml:space="preserve"> manalciti@gmail.com</t>
  </si>
  <si>
    <t>-Shoreline Apartments</t>
  </si>
  <si>
    <t>ahmed</t>
  </si>
  <si>
    <t>0563508303</t>
  </si>
  <si>
    <t>aalgendi85@gmail.com</t>
  </si>
  <si>
    <t>Message: I am looking to rent</t>
  </si>
  <si>
    <t>no available property</t>
  </si>
  <si>
    <t>rachel weyler</t>
  </si>
  <si>
    <t>971-505-560347</t>
  </si>
  <si>
    <t>rachelweyler@hotmail.com</t>
  </si>
  <si>
    <t>Sadaf, Jumeirah Beach Residence</t>
  </si>
  <si>
    <t>Khurram ali</t>
  </si>
  <si>
    <t>971558818793</t>
  </si>
  <si>
    <t>khurramali.dxb@gmail.com</t>
  </si>
  <si>
    <t>Glitz 3</t>
  </si>
  <si>
    <t>Mr. غازي الفاتح طاهر محمد</t>
  </si>
  <si>
    <t>601128225060</t>
  </si>
  <si>
    <t>ghazifatih@hotmail.com</t>
  </si>
  <si>
    <t>free portals</t>
  </si>
  <si>
    <t>call back</t>
  </si>
  <si>
    <t>BASHAR BOU DIAB</t>
  </si>
  <si>
    <t>971506151421</t>
  </si>
  <si>
    <t>bashar_boudiab@hotmail.com</t>
  </si>
  <si>
    <t>Al Dabas, Shoreline</t>
  </si>
  <si>
    <t>Mr. احمد</t>
  </si>
  <si>
    <t>alshanfari101010@gmail.com</t>
  </si>
  <si>
    <t>Leslie</t>
  </si>
  <si>
    <t>0585373849</t>
  </si>
  <si>
    <t>leslie.trejo@hotmail.com</t>
  </si>
  <si>
    <t>Fairfield Tower, Park Island</t>
  </si>
  <si>
    <t>kim</t>
  </si>
  <si>
    <t>+12024305788</t>
  </si>
  <si>
    <t>blesshgod@gmail.com</t>
  </si>
  <si>
    <t>Xenia</t>
  </si>
  <si>
    <t>0555009173</t>
  </si>
  <si>
    <t>xenia.markovic@jumeirah.com</t>
  </si>
  <si>
    <t>Golden Miles 7</t>
  </si>
  <si>
    <t>Vctoria</t>
  </si>
  <si>
    <t>Arezoo Khosravi</t>
  </si>
  <si>
    <t xml:space="preserve"> 0508574848</t>
  </si>
  <si>
    <t>arezoossk@hotmail.de</t>
  </si>
  <si>
    <t xml:space="preserve">MAPLE - Interested in 3 beds </t>
  </si>
  <si>
    <t>Timothy Ludwig</t>
  </si>
  <si>
    <t>+254711625144</t>
  </si>
  <si>
    <t>ludwigtimothy9@gmail.com</t>
  </si>
  <si>
    <t>Sana</t>
  </si>
  <si>
    <t>971-567-095430</t>
  </si>
  <si>
    <t>vasal2328@outlook.com</t>
  </si>
  <si>
    <t>B</t>
  </si>
  <si>
    <t>Executive Bay 1 Bedroom</t>
  </si>
  <si>
    <t>moving within 1 week</t>
  </si>
  <si>
    <t>James McMillan</t>
  </si>
  <si>
    <t>+971561718835</t>
  </si>
  <si>
    <t>James8928@hotmail.com</t>
  </si>
  <si>
    <t xml:space="preserve">The Address Dubai Mall </t>
  </si>
  <si>
    <t xml:space="preserve"> +17573394149</t>
  </si>
  <si>
    <t xml:space="preserve"> Multi-Cuisine &amp; Coffee Shop in Deira</t>
  </si>
  <si>
    <t xml:space="preserve"> sierra</t>
  </si>
  <si>
    <t xml:space="preserve"> +9710501867705</t>
  </si>
  <si>
    <t>sfqahhar@gmail.com</t>
  </si>
  <si>
    <t xml:space="preserve">Standpoint A </t>
  </si>
  <si>
    <t>viewing wenesday?</t>
  </si>
  <si>
    <t>Noor Aamir</t>
  </si>
  <si>
    <t>+971501627399</t>
  </si>
  <si>
    <t>leo_noor94@hotmail.com</t>
  </si>
  <si>
    <t>Message: Hi, I saw your ad on dubizzle. Is it available for viewing Today, Sep 14 in the afternoon? Thanks</t>
  </si>
  <si>
    <t>not now will call ince i decided again</t>
  </si>
  <si>
    <t>Mrs. ندى nadi</t>
  </si>
  <si>
    <t>+971501633663</t>
  </si>
  <si>
    <t>uaespring1@gmail.com</t>
  </si>
  <si>
    <t>Standpoint A / As you are currently marketing Properties in Sharjah, I believe you would be able to assist me with my enquiry. If possible, please provide me with the following information: Payment details.Kindly assign me an agent who speaks my preferred language in Arabic.</t>
  </si>
  <si>
    <t>looking for villa for RENT in sharjah area</t>
  </si>
  <si>
    <t>Rajesh Verma</t>
  </si>
  <si>
    <t>0559065514</t>
  </si>
  <si>
    <t>rverma0101@yahoo.ca</t>
  </si>
  <si>
    <t>Marina Diamond 5,</t>
  </si>
  <si>
    <t>JBR</t>
  </si>
  <si>
    <t>Rama</t>
  </si>
  <si>
    <t>+971563100367</t>
  </si>
  <si>
    <t>rkhalaf@gmail.com</t>
  </si>
  <si>
    <t>Al Sultana, Shoreline</t>
  </si>
  <si>
    <t>mrxerius@gmail.com</t>
  </si>
  <si>
    <t xml:space="preserve"> offplan /Downtown and Beachfront.</t>
  </si>
  <si>
    <t>Emaar Promo Message/ From Escano :Can you please let met know regarding the 4 year Post Handover Payment Plan. How much the buyer have to pay immediate and how much during the construction. The projects I'm interested in are Downtown and Beachfront</t>
  </si>
  <si>
    <t>0506299024</t>
  </si>
  <si>
    <t xml:space="preserve"> rym@danai.ae</t>
  </si>
  <si>
    <t>Running Ladies Beauty Salon</t>
  </si>
  <si>
    <t>Jehanzaib Khan</t>
  </si>
  <si>
    <t>0508905530</t>
  </si>
  <si>
    <t>jehanzaibikhan@gmail.com</t>
  </si>
  <si>
    <t>sales</t>
  </si>
  <si>
    <t>Denis</t>
  </si>
  <si>
    <t>796-505-88648</t>
  </si>
  <si>
    <t>Druk83@gmail.com</t>
  </si>
  <si>
    <t>Shoreline - Palm Jumeirah</t>
  </si>
  <si>
    <t>Nader Abdellatif</t>
  </si>
  <si>
    <t>0527936766</t>
  </si>
  <si>
    <t>naderab@yahoo.com</t>
  </si>
  <si>
    <t>Jash Hamad, Shoreline</t>
  </si>
  <si>
    <t>MARIANA GUEMES</t>
  </si>
  <si>
    <t>0505577468</t>
  </si>
  <si>
    <t>marianguemes@hotmail.com</t>
  </si>
  <si>
    <t>Jay Agrawal</t>
  </si>
  <si>
    <t>+919424935326</t>
  </si>
  <si>
    <t>jay9424@gmail.com</t>
  </si>
  <si>
    <t>Chris Kent</t>
  </si>
  <si>
    <t>0509894753</t>
  </si>
  <si>
    <t>kent425@hotmail.com</t>
  </si>
  <si>
    <t>Short Term/Long Term | Address Dubai Mall</t>
  </si>
  <si>
    <t>Sammar</t>
  </si>
  <si>
    <t>0503469854</t>
  </si>
  <si>
    <t>Ksammar@hotmail.com</t>
  </si>
  <si>
    <t>liane santos</t>
  </si>
  <si>
    <t>971-559-120064</t>
  </si>
  <si>
    <t>lianesantosp@gmail.com</t>
  </si>
  <si>
    <t>Executive Bay 1 bedroom</t>
  </si>
  <si>
    <t>arrange for Veiwing</t>
  </si>
  <si>
    <t xml:space="preserve">Subair </t>
  </si>
  <si>
    <t>0568349654</t>
  </si>
  <si>
    <t>Moving Asap</t>
  </si>
  <si>
    <t>Maaz Tariq</t>
  </si>
  <si>
    <t>0503960136</t>
  </si>
  <si>
    <t>maaztariq28@gmail.com</t>
  </si>
  <si>
    <t>Glitz for RENT</t>
  </si>
  <si>
    <t>Mrs. Regina,</t>
  </si>
  <si>
    <t>+19014020928</t>
  </si>
  <si>
    <t>danregina2@gmail.com</t>
  </si>
  <si>
    <t>Green Acres</t>
  </si>
  <si>
    <t>PROJECT: Luxury Mansions in Dubai Hills  / Green Acres</t>
  </si>
  <si>
    <t xml:space="preserve"> </t>
  </si>
  <si>
    <t>0555661206</t>
  </si>
  <si>
    <t>helia.santana@gmail.com</t>
  </si>
  <si>
    <t>Message: Hi, I saw your ad on dubizzle. Is it available for viewing on Sep 21 in the afternoon? Thanks</t>
  </si>
  <si>
    <t xml:space="preserve">amine mamlouk </t>
  </si>
  <si>
    <t>0562195117</t>
  </si>
  <si>
    <t>amine.mamlouk@gmail.com</t>
  </si>
  <si>
    <t>RESALE</t>
  </si>
  <si>
    <t>A1, The Hills A</t>
  </si>
  <si>
    <t>Zul Pakito</t>
  </si>
  <si>
    <t>+97157658778</t>
  </si>
  <si>
    <t>zulqarnen@hotmail.fr</t>
  </si>
  <si>
    <t>Running Restaurant for sale in Jumeirah 2.</t>
  </si>
  <si>
    <t>Arshia Tajammul</t>
  </si>
  <si>
    <t>0588989260</t>
  </si>
  <si>
    <t>tajarshia@yahoo.co.in</t>
  </si>
  <si>
    <t>Suvidha</t>
  </si>
  <si>
    <t xml:space="preserve"> Marites</t>
  </si>
  <si>
    <t>0544592177.</t>
  </si>
  <si>
    <t>admin@grayline.ae</t>
  </si>
  <si>
    <t xml:space="preserve"> Running Italian Restaurant In Deira Mall</t>
  </si>
  <si>
    <t>Rejoice</t>
  </si>
  <si>
    <t>+971568899272</t>
  </si>
  <si>
    <t>0521047814</t>
  </si>
  <si>
    <t>Aelkabba@cisco.com</t>
  </si>
  <si>
    <t>Dubbizzle</t>
  </si>
  <si>
    <t>Abbas ( agent )</t>
  </si>
  <si>
    <t>inam</t>
  </si>
  <si>
    <t>0559137149</t>
  </si>
  <si>
    <t xml:space="preserve"> / Standpoint A</t>
  </si>
  <si>
    <t>+971 505-624-478</t>
  </si>
  <si>
    <t>Email: Paul.walters4471@gmail.com</t>
  </si>
  <si>
    <t>1 BR in Glitz 3 Tower 1</t>
  </si>
  <si>
    <t xml:space="preserve"> Raiya</t>
  </si>
  <si>
    <t>0554450857</t>
  </si>
  <si>
    <t>Email: raya268@yahoo.co.uk</t>
  </si>
  <si>
    <t>Mobile: +447786170545.</t>
  </si>
  <si>
    <t>email: dgbonline1972@gmail.com</t>
  </si>
  <si>
    <t>rahul saxena</t>
  </si>
  <si>
    <t>+971506003977</t>
  </si>
  <si>
    <t>Rony</t>
  </si>
  <si>
    <t>bonkercool@gmail.com</t>
  </si>
  <si>
    <t>0503430024</t>
  </si>
  <si>
    <t>Rony.al-asmar@hotmail.com</t>
  </si>
  <si>
    <t>The Hills</t>
  </si>
  <si>
    <t>2 Bedroom Royal Residence</t>
  </si>
  <si>
    <t>Looking 3 bedroom apartment</t>
  </si>
  <si>
    <t>Ashanka Kotangale</t>
  </si>
  <si>
    <t>971-585-040827</t>
  </si>
  <si>
    <t>ash.sardan@hotmail.com</t>
  </si>
  <si>
    <t>Leonardo DeMuro</t>
  </si>
  <si>
    <t>leonardo.demuro@gmail.com</t>
  </si>
  <si>
    <t>The Address Dubai Mall</t>
  </si>
  <si>
    <t>Al Mesk 2</t>
  </si>
  <si>
    <t>MUHAMMAD UMAIR</t>
  </si>
  <si>
    <t>+971522531317</t>
  </si>
  <si>
    <t>xephyrs@live.com</t>
  </si>
  <si>
    <t>Gautam Ahuja</t>
  </si>
  <si>
    <t>+971506600512</t>
  </si>
  <si>
    <t>infinitydwc@gmail.com</t>
  </si>
  <si>
    <t>Running Dental Clinic | for Lease | JBR.</t>
  </si>
  <si>
    <t>Kempinski Residences</t>
  </si>
  <si>
    <t>Ann Perez</t>
  </si>
  <si>
    <t>ann.grace@progressoft.com</t>
  </si>
  <si>
    <t xml:space="preserve">Office at Palladium Tower, JLT </t>
  </si>
  <si>
    <t>George Godding</t>
  </si>
  <si>
    <t>0508426041</t>
  </si>
  <si>
    <t>georgegodding@googlemail.com</t>
  </si>
  <si>
    <t>Anne-Sophie</t>
  </si>
  <si>
    <t>0501767938</t>
  </si>
  <si>
    <t>asraynaud@aol.com</t>
  </si>
  <si>
    <t xml:space="preserve">Executive Bay </t>
  </si>
  <si>
    <t>Looking for 70k only</t>
  </si>
  <si>
    <t>humam aljazaeri</t>
  </si>
  <si>
    <t>+963315712431</t>
  </si>
  <si>
    <t>humamaljazaeri04@gmail.com</t>
  </si>
  <si>
    <t>BUY</t>
  </si>
  <si>
    <t>Message: Please i want to buy a house property for my family in your country, please can you help me on this? Thanks and looking forward to hearing from you</t>
  </si>
  <si>
    <t>7651834012</t>
  </si>
  <si>
    <t>Palladium Tower</t>
  </si>
  <si>
    <t>Rupesh Kumar</t>
  </si>
  <si>
    <t>7600670055</t>
  </si>
  <si>
    <t>rupeshkumar000919@gmail.com</t>
  </si>
  <si>
    <t>Elizabeth Nobel</t>
  </si>
  <si>
    <t xml:space="preserve"> 0505515615</t>
  </si>
  <si>
    <t>Bansi sepat</t>
  </si>
  <si>
    <t>karamfila.toma@gmail.com</t>
  </si>
  <si>
    <t>+919265268911</t>
  </si>
  <si>
    <t>bansijat8911@gmail.com</t>
  </si>
  <si>
    <t>The Address Dubia Mall Studio</t>
  </si>
  <si>
    <t>Pavan</t>
  </si>
  <si>
    <t>+971564039373</t>
  </si>
  <si>
    <t>pavancivil1@gmail.com</t>
  </si>
  <si>
    <t>Dr. Ajit Thakker</t>
  </si>
  <si>
    <t>+353 86 2603255</t>
  </si>
  <si>
    <t>Orchard777@yahoo.co.uk</t>
  </si>
  <si>
    <t>looking for studio for short term around 3 month</t>
  </si>
  <si>
    <t>DAVID MCCREATH</t>
  </si>
  <si>
    <t>+971566341486</t>
  </si>
  <si>
    <t>DAVID@INNERSPACEME.COM</t>
  </si>
  <si>
    <t>Gauravi Mithbvakar</t>
  </si>
  <si>
    <t>+9109930491459</t>
  </si>
  <si>
    <t>Golden Mile 10</t>
  </si>
  <si>
    <t>gauravimithbavkar@gmail.com</t>
  </si>
  <si>
    <t>Anish Naik</t>
  </si>
  <si>
    <t>+917522991137</t>
  </si>
  <si>
    <t>lakshnaik266@gmail.com</t>
  </si>
  <si>
    <t>Executive Bay</t>
  </si>
  <si>
    <t>Thingking for area</t>
  </si>
  <si>
    <t>Lachu Bharwani</t>
  </si>
  <si>
    <t>lmdaj@hotmail.com</t>
  </si>
  <si>
    <t>Send me the floor plan</t>
  </si>
  <si>
    <t>Al Sufouh Gardens</t>
  </si>
  <si>
    <t>استغفر استغفر</t>
  </si>
  <si>
    <t>Shams 1</t>
  </si>
  <si>
    <t>topaffaires@yahoo.fr</t>
  </si>
  <si>
    <t>Pankaj Paliwal</t>
  </si>
  <si>
    <t>the_pankaj@hotmail.com</t>
  </si>
  <si>
    <t>Running Health Food Restaurant Business in JLT</t>
  </si>
  <si>
    <t>Studio in Royal residnce</t>
  </si>
  <si>
    <t>No Availbe</t>
  </si>
  <si>
    <t>Jumpei Yamaguchi</t>
  </si>
  <si>
    <t>0561717021</t>
  </si>
  <si>
    <t>jpegjunjun@gmail.com</t>
  </si>
  <si>
    <t>Rania</t>
  </si>
  <si>
    <t>0505932255</t>
  </si>
  <si>
    <t>haddad.rania@gmail.co</t>
  </si>
  <si>
    <t>Discovery Garden</t>
  </si>
  <si>
    <t>rana</t>
  </si>
  <si>
    <t>01148717007</t>
  </si>
  <si>
    <t>rana.h.amer11@gmail.com</t>
  </si>
  <si>
    <t>REMRAAM</t>
  </si>
  <si>
    <t>No Name</t>
  </si>
  <si>
    <t>+971555156748</t>
  </si>
  <si>
    <t>youmaria908@gmail.com</t>
  </si>
  <si>
    <t>Nandini Gunasekaran</t>
  </si>
  <si>
    <t xml:space="preserve"> ‭+971 502450665 </t>
  </si>
  <si>
    <t>nandinioct19@gmail.com</t>
  </si>
  <si>
    <t>Looking 1 Discovery Garden</t>
  </si>
  <si>
    <t xml:space="preserve">No Availble Unit </t>
  </si>
  <si>
    <t>Yaro Donchenko</t>
  </si>
  <si>
    <t>+79773480000</t>
  </si>
  <si>
    <t>ydonchenko@gmail.com</t>
  </si>
  <si>
    <t>Arabella</t>
  </si>
  <si>
    <t>Firas Kafafi</t>
  </si>
  <si>
    <t>0506131162</t>
  </si>
  <si>
    <t>fkafafi@yahoo.com</t>
  </si>
  <si>
    <t>Amr</t>
  </si>
  <si>
    <t>0555382936</t>
  </si>
  <si>
    <t>rico44alex@gmail.com</t>
  </si>
  <si>
    <t>Hayat Townhouse</t>
  </si>
  <si>
    <t>jingjing chang</t>
  </si>
  <si>
    <t>0501046257</t>
  </si>
  <si>
    <t>changjingjing@gmail.com</t>
  </si>
  <si>
    <t>mark Fernando</t>
  </si>
  <si>
    <t>971-504-508295</t>
  </si>
  <si>
    <t>markfernando55@gmail.com</t>
  </si>
  <si>
    <t>Husin Alkhateab</t>
  </si>
  <si>
    <t>00962796993405</t>
  </si>
  <si>
    <t>macyscom@yahoo.com</t>
  </si>
  <si>
    <t>Al Barsha South</t>
  </si>
  <si>
    <t>Daniel Weihrauch</t>
  </si>
  <si>
    <t>0502759200</t>
  </si>
  <si>
    <t>daniel@lionsgazelles.com</t>
  </si>
  <si>
    <t>Loking for Retail Shop</t>
  </si>
  <si>
    <t>Downtown Views</t>
  </si>
  <si>
    <t>Amalia Grochal</t>
  </si>
  <si>
    <t>0506091103</t>
  </si>
  <si>
    <t>amaliagrochal@yahoo.com</t>
  </si>
  <si>
    <t>sissi2223@yahoo.com</t>
  </si>
  <si>
    <t>Stand point</t>
  </si>
  <si>
    <t>The Address The BLVD</t>
  </si>
  <si>
    <t>Fahim Munir</t>
  </si>
  <si>
    <t>00447455988888</t>
  </si>
  <si>
    <t>Fahim.91@hotmail.com</t>
  </si>
  <si>
    <t>vikesh.rana@gmail.com</t>
  </si>
  <si>
    <t>Naseem Townhouse</t>
  </si>
  <si>
    <t>Message: i am interested in buying an apartment in dubai south</t>
  </si>
  <si>
    <t>Sam</t>
  </si>
  <si>
    <t>samaneh.barazandeh@yahoo.com</t>
  </si>
  <si>
    <t>Soyful Islam</t>
  </si>
  <si>
    <t>0528607419</t>
  </si>
  <si>
    <t>soyful106@hotmail.com</t>
  </si>
  <si>
    <t>Tiara Residences</t>
  </si>
  <si>
    <t>Royal Residence 2BR</t>
  </si>
  <si>
    <t>Viewing schedule</t>
  </si>
  <si>
    <t>small</t>
  </si>
  <si>
    <t>Mallika Singh</t>
  </si>
  <si>
    <t>0504512630</t>
  </si>
  <si>
    <t>mallika.music@gmail.com</t>
  </si>
  <si>
    <t>+97339000436</t>
  </si>
  <si>
    <t>aaa2972004@yahoo.com</t>
  </si>
  <si>
    <t>expensive offer 250k</t>
  </si>
  <si>
    <t>Vichitra Devnani</t>
  </si>
  <si>
    <t>0557383891</t>
  </si>
  <si>
    <t>aniladevnani@gmail.com</t>
  </si>
  <si>
    <t>FREE portals</t>
  </si>
  <si>
    <t>Diana Van Der Westhuizen</t>
  </si>
  <si>
    <t>erseygirlster@gmail.com</t>
  </si>
  <si>
    <t>jyoti</t>
  </si>
  <si>
    <t>+971526923823</t>
  </si>
  <si>
    <t>jyoti@rk-re.com</t>
  </si>
  <si>
    <t>No Availble unit</t>
  </si>
  <si>
    <t>Avneet Kaur</t>
  </si>
  <si>
    <t>+919899027621</t>
  </si>
  <si>
    <t>avneetkaur06896@gmail.com</t>
  </si>
  <si>
    <t>Looking for 2 bedroom Hotel Apartment</t>
  </si>
  <si>
    <t>meryhoo haghjoo</t>
  </si>
  <si>
    <t>meryhoo@gmail.com</t>
  </si>
  <si>
    <t>Julia Kamaeva</t>
  </si>
  <si>
    <t xml:space="preserve"> 971582370077</t>
  </si>
  <si>
    <t>juiekami@gmail.com</t>
  </si>
  <si>
    <t>The Greens Views</t>
  </si>
  <si>
    <t>Safina khan</t>
  </si>
  <si>
    <t>+447815780427</t>
  </si>
  <si>
    <t>afinakhan1982@gmail.com</t>
  </si>
  <si>
    <t>Looking 2Br for Rent in Sharjah</t>
  </si>
  <si>
    <t>Yelena/agent</t>
  </si>
  <si>
    <t>0508589185</t>
  </si>
  <si>
    <t>yelena@armsgroup.ae</t>
  </si>
  <si>
    <t>Daniel</t>
  </si>
  <si>
    <t>28575645</t>
  </si>
  <si>
    <t>Danielselde@live.dk</t>
  </si>
  <si>
    <t>Gen, Moris Felix</t>
  </si>
  <si>
    <t>133-922-46519</t>
  </si>
  <si>
    <t>morisfelix70@gmail.com</t>
  </si>
  <si>
    <t>The address Dubai Mall</t>
  </si>
  <si>
    <t>0508880751</t>
  </si>
  <si>
    <t>Shsyma</t>
  </si>
  <si>
    <t>Will move after 3days</t>
  </si>
  <si>
    <t>Bishan</t>
  </si>
  <si>
    <t>0528297374</t>
  </si>
  <si>
    <t>Looking for Studio in Discoevry garden</t>
  </si>
  <si>
    <t>No Availble Unit</t>
  </si>
  <si>
    <t>alina.naeemb@hotmail.com</t>
  </si>
  <si>
    <t>Sidra</t>
  </si>
  <si>
    <t>Antonia Sarosi</t>
  </si>
  <si>
    <t>+971509629906</t>
  </si>
  <si>
    <t>antoniasarosi@gmail.com</t>
  </si>
  <si>
    <t>JCV Villas</t>
  </si>
  <si>
    <t>Navneet Singh</t>
  </si>
  <si>
    <t>navsin1@gmail.com</t>
  </si>
  <si>
    <t>Address Dubai Mall</t>
  </si>
  <si>
    <t>Amina</t>
  </si>
  <si>
    <t>0506565664</t>
  </si>
  <si>
    <t>amoonte@hotmail.com</t>
  </si>
  <si>
    <t>Running Indian Restaurant in Jumeirah 1</t>
  </si>
  <si>
    <t>Murat</t>
  </si>
  <si>
    <t>Barsha Villas</t>
  </si>
  <si>
    <t>33665206584</t>
  </si>
  <si>
    <t xml:space="preserve">muratcakal@live.com </t>
  </si>
  <si>
    <t>Al Alka 1</t>
  </si>
  <si>
    <t>ritu yadav</t>
  </si>
  <si>
    <t>523850056</t>
  </si>
  <si>
    <t>TARIQ</t>
  </si>
  <si>
    <t>chefrakeshyadav@gmail.com</t>
  </si>
  <si>
    <t>0547551416</t>
  </si>
  <si>
    <t>tip7860@gmail.com</t>
  </si>
  <si>
    <t>Running Health Food Restaurant Business in JLT.</t>
  </si>
  <si>
    <t>Pilipino Restaurant in Sharjah</t>
  </si>
  <si>
    <t>Joni Jones</t>
  </si>
  <si>
    <t>+9715580258943</t>
  </si>
  <si>
    <t>Maria Johnson</t>
  </si>
  <si>
    <t>+14847405141</t>
  </si>
  <si>
    <t>mariamjohnson38@gmail.com</t>
  </si>
  <si>
    <t>J8</t>
  </si>
  <si>
    <t>Iqbal Hussain</t>
  </si>
  <si>
    <t>0543302326</t>
  </si>
  <si>
    <t>smiqbalh@gmail.com</t>
  </si>
  <si>
    <t xml:space="preserve">+971502040426 </t>
  </si>
  <si>
    <t>Called</t>
  </si>
  <si>
    <t>Mr. Fahad</t>
  </si>
  <si>
    <t>Roxe</t>
  </si>
  <si>
    <t xml:space="preserve">+971526929853 </t>
  </si>
  <si>
    <t>1  Bedroom Executive bay</t>
  </si>
  <si>
    <t>Asking if this is vacant</t>
  </si>
  <si>
    <t>seda</t>
  </si>
  <si>
    <t>+971556688391</t>
  </si>
  <si>
    <t>seda.jafar@gmail.com</t>
  </si>
  <si>
    <t>Gina Martin</t>
  </si>
  <si>
    <t>Azizi Project</t>
  </si>
  <si>
    <t>gina@chicshoes.ae</t>
  </si>
  <si>
    <t>saquib</t>
  </si>
  <si>
    <t>Seem Bayyaa</t>
  </si>
  <si>
    <t>0556008681</t>
  </si>
  <si>
    <t>00971562069276</t>
  </si>
  <si>
    <t>sbayyaa@gmail.com</t>
  </si>
  <si>
    <t>saqib.malik@pantheonproperties.ae</t>
  </si>
  <si>
    <t>2 Bedroom in Royal Residence 1</t>
  </si>
  <si>
    <t>We are currently looking for a freehold property (max 6000 sq ft) in Dubai (accessible) where we can build a warehouse + office.</t>
  </si>
  <si>
    <t>Looking for 60k only</t>
  </si>
  <si>
    <t>0528534413</t>
  </si>
  <si>
    <t>m.foudeh@hotmail.com</t>
  </si>
  <si>
    <t>looking for office space of around 7000 sq/f, either SZR and or Business Bay</t>
  </si>
  <si>
    <t>Alex Robinson</t>
  </si>
  <si>
    <t>0506203577</t>
  </si>
  <si>
    <t>wady</t>
  </si>
  <si>
    <t>0502640994</t>
  </si>
  <si>
    <t>ajrobinson@theblueground.com</t>
  </si>
  <si>
    <t>wady.chaabene@gmail.com</t>
  </si>
  <si>
    <t>Safi Townhouse</t>
  </si>
  <si>
    <t>Tanvi</t>
  </si>
  <si>
    <t>0524366167</t>
  </si>
  <si>
    <t>044235679</t>
  </si>
  <si>
    <t>City Walk 2-4 neds</t>
  </si>
  <si>
    <t>Turia Tower B</t>
  </si>
  <si>
    <t>Lathee</t>
  </si>
  <si>
    <t>0529419348</t>
  </si>
  <si>
    <t>Jash Falqa, Shoreline Apartments</t>
  </si>
  <si>
    <t>latheefpk2003@yahoo.co.in</t>
  </si>
  <si>
    <t>James Wood</t>
  </si>
  <si>
    <t>0543882772</t>
  </si>
  <si>
    <t>iamjameswood79@gmail.com</t>
  </si>
  <si>
    <t>Roda Fe Pamoleras</t>
  </si>
  <si>
    <t>0504594431</t>
  </si>
  <si>
    <t>admin@iconsworldwide.com</t>
  </si>
  <si>
    <t>Al Manara</t>
  </si>
  <si>
    <t>Qumber</t>
  </si>
  <si>
    <t>Besher</t>
  </si>
  <si>
    <t xml:space="preserve"> 0529293960</t>
  </si>
  <si>
    <t>besher.eisa@outlook.com</t>
  </si>
  <si>
    <t>Running Fast Food Restaurant for sale in Jumeirah 2</t>
  </si>
  <si>
    <t>Mr. باسم</t>
  </si>
  <si>
    <t>Ready Massage Therapy Clinic with DHA Licence</t>
  </si>
  <si>
    <t>+96599799935</t>
  </si>
  <si>
    <t>loughanib@hotmail.com</t>
  </si>
  <si>
    <t>Mrs. نادين</t>
  </si>
  <si>
    <t>Free Portals</t>
  </si>
  <si>
    <t>ahmad</t>
  </si>
  <si>
    <t>0558500850</t>
  </si>
  <si>
    <t>elhamawiahmad@gmail.com</t>
  </si>
  <si>
    <t>Khamael1@outlook.com</t>
  </si>
  <si>
    <t>Vatsal Gandhi</t>
  </si>
  <si>
    <t>0565014306</t>
  </si>
  <si>
    <t>vatsal2tennis@gmail.com</t>
  </si>
  <si>
    <t>Reema</t>
  </si>
  <si>
    <t>0563043033</t>
  </si>
  <si>
    <t>reema.soboh@gmail.com</t>
  </si>
  <si>
    <t>Running Restaurant for sale in Jumeirah 2..</t>
  </si>
  <si>
    <t>+971503811995</t>
  </si>
  <si>
    <t>peter@trinitygroup.eu</t>
  </si>
  <si>
    <t>Kuldeep Meena</t>
  </si>
  <si>
    <t>I'm urgently looking for office space. Minimum 1300sqft in Business Bay - Mainland. Not free Zone.</t>
  </si>
  <si>
    <t>Aicha</t>
  </si>
  <si>
    <t>0566770145</t>
  </si>
  <si>
    <t>Tarhy.a@pg.com</t>
  </si>
  <si>
    <t>919116093388</t>
  </si>
  <si>
    <t>atulsehra88@gmail.com</t>
  </si>
  <si>
    <t>Marina Promenade</t>
  </si>
  <si>
    <t>Tarek Ali</t>
  </si>
  <si>
    <t>+971554544055</t>
  </si>
  <si>
    <t>tarekali77@gmail.com</t>
  </si>
  <si>
    <t>Karen</t>
  </si>
  <si>
    <t>0507979515</t>
  </si>
  <si>
    <t>karen.oliverdxb@hotmail.com</t>
  </si>
  <si>
    <t>He will view day after Tomorrow</t>
  </si>
  <si>
    <t>Royal Residence 2 Bedroom</t>
  </si>
  <si>
    <t>0014807654424</t>
  </si>
  <si>
    <t>Faw.999@hotmail.com</t>
  </si>
  <si>
    <t>Julia Weinlinger</t>
  </si>
  <si>
    <t>julia.weinlinger@hotmail.com</t>
  </si>
  <si>
    <t xml:space="preserve"> سلام، شاهدت إعلانك هذا على دوبيزل وأرغب بالاستفسار عن تفاصيل مشاهدتها شخصياً. شكراً</t>
  </si>
  <si>
    <t>Mohamed Abdul Hameed Al Hashemi</t>
  </si>
  <si>
    <t>0564543833</t>
  </si>
  <si>
    <t>m.alhashemi121@gmail.com</t>
  </si>
  <si>
    <t>CASA VIVA TOWNHOUSE</t>
  </si>
  <si>
    <t>Sameera</t>
  </si>
  <si>
    <t>Jason</t>
  </si>
  <si>
    <t>+44 7950761992</t>
  </si>
  <si>
    <t>Jasonneiljoseph@hotmail.co.uk</t>
  </si>
  <si>
    <t>Doaa Mustafa</t>
  </si>
  <si>
    <t>Manny</t>
  </si>
  <si>
    <t>043215881</t>
  </si>
  <si>
    <t>Executive bay 2 Bedroom</t>
  </si>
  <si>
    <t>Offer for 85k 4 chq (only till 88k)</t>
  </si>
  <si>
    <t xml:space="preserve">+971506203577 </t>
  </si>
  <si>
    <t xml:space="preserve"> 971504237794</t>
  </si>
  <si>
    <t>doaalachine@gmail.com</t>
  </si>
  <si>
    <t>looking for 1 bed in the views</t>
  </si>
  <si>
    <t>0529071438</t>
  </si>
  <si>
    <t>Al Anbara, Shoreline Apartments</t>
  </si>
  <si>
    <t>2 Bedroom in Royal Residence</t>
  </si>
  <si>
    <t>Offer 1 cheque for 60K (not Possible as per Boss)</t>
  </si>
  <si>
    <t>Mobasi</t>
  </si>
  <si>
    <t>0501738024</t>
  </si>
  <si>
    <t xml:space="preserve">Studio in royal Residence </t>
  </si>
  <si>
    <t>Tahira</t>
  </si>
  <si>
    <t>0566348704</t>
  </si>
  <si>
    <t>tahirajafzal@gmail.com</t>
  </si>
  <si>
    <r>
      <t>asking for short term only 3 Months Budget 3-3500</t>
    </r>
    <r>
      <rPr>
        <color rgb="FFFF0000"/>
      </rPr>
      <t xml:space="preserve"> (boss 4k a month as Fully Furnished)</t>
    </r>
  </si>
  <si>
    <t>Surekha</t>
  </si>
  <si>
    <t>+918750952585</t>
  </si>
  <si>
    <t>ydv_suru@yahoo.co.in</t>
  </si>
  <si>
    <t>HALIL KOCAK</t>
  </si>
  <si>
    <t>+905327364611</t>
  </si>
  <si>
    <t>halilkocak1@yahoo.com</t>
  </si>
  <si>
    <t xml:space="preserve">asking for short term only 2-3 Months Budget 3-3500 </t>
  </si>
  <si>
    <t>Mr. Saalim</t>
  </si>
  <si>
    <t>+971557267840</t>
  </si>
  <si>
    <t>saalimabbad9@hotmail.com</t>
  </si>
  <si>
    <t>legrismelissa@gmail.com</t>
  </si>
  <si>
    <t>Reem</t>
  </si>
  <si>
    <t>FREE Portals</t>
  </si>
  <si>
    <t>0551434947</t>
  </si>
  <si>
    <t>looking 3BR for Sale in Sharjah Budget 400-300k</t>
  </si>
  <si>
    <t>rhellabban@gmail.com</t>
  </si>
  <si>
    <t>sagar</t>
  </si>
  <si>
    <t>+919963371000</t>
  </si>
  <si>
    <t>sagar@nmbretail.com</t>
  </si>
  <si>
    <t>+33683097561</t>
  </si>
  <si>
    <t>Available on June Golf Course</t>
  </si>
  <si>
    <t>The Hills A1</t>
  </si>
  <si>
    <t>Shemeer</t>
  </si>
  <si>
    <t>0527195758</t>
  </si>
  <si>
    <t>mohammedshemeerkhan@gmail.com</t>
  </si>
  <si>
    <t>adeen khan</t>
  </si>
  <si>
    <t>0557751339</t>
  </si>
  <si>
    <t>adeenkhan111@gmail.com</t>
  </si>
  <si>
    <t>looking for a property Contact</t>
  </si>
  <si>
    <t>Ed</t>
  </si>
  <si>
    <t>Vinod</t>
  </si>
  <si>
    <t>0506407028</t>
  </si>
  <si>
    <t>vinodtotawat@yahoo.com</t>
  </si>
  <si>
    <t>edward.aghbashian@gmail.com</t>
  </si>
  <si>
    <t>Royal Residence Studio</t>
  </si>
  <si>
    <t>RENTED</t>
  </si>
  <si>
    <t>Farah Abed</t>
  </si>
  <si>
    <t>0563982841</t>
  </si>
  <si>
    <t>The Address BLVD</t>
  </si>
  <si>
    <t>Farahabed@hotmail.co.uk</t>
  </si>
  <si>
    <t>SIRAJ</t>
  </si>
  <si>
    <t>+966500378163</t>
  </si>
  <si>
    <t>Omar Mokhtar</t>
  </si>
  <si>
    <t>SIRAJMA@REDIFFMAIL.COM</t>
  </si>
  <si>
    <t>omarmostafamokhtar@gmail.com</t>
  </si>
  <si>
    <t>OFFPLAN</t>
  </si>
  <si>
    <t>Mag 5 Boulevard</t>
  </si>
  <si>
    <t>Miss سلمى</t>
  </si>
  <si>
    <t>+971544438311</t>
  </si>
  <si>
    <t>salma888_@hotmail.com</t>
  </si>
  <si>
    <t>Mandy Veasey</t>
  </si>
  <si>
    <t>+971501277883</t>
  </si>
  <si>
    <t>Standpoint</t>
  </si>
  <si>
    <t>Mandyhippe@icloud.com</t>
  </si>
  <si>
    <t>Lucy Wildman</t>
  </si>
  <si>
    <t>00447415361503</t>
  </si>
  <si>
    <t>lucy.wildman@yahoo.co.uk</t>
  </si>
  <si>
    <t>emre</t>
  </si>
  <si>
    <t>+905323742037</t>
  </si>
  <si>
    <t>emreozaydin@yahoo.com</t>
  </si>
  <si>
    <t>Dawood</t>
  </si>
  <si>
    <t>971-504-447874</t>
  </si>
  <si>
    <t>dalflaiti@gmail.com</t>
  </si>
  <si>
    <t>2BR Royal Residence</t>
  </si>
  <si>
    <t>Faroq</t>
  </si>
  <si>
    <t>0551700205</t>
  </si>
  <si>
    <t xml:space="preserve"> 0561015817</t>
  </si>
  <si>
    <t>Low Budget 60-62k only</t>
  </si>
  <si>
    <t>Wahat Al Zaweya, Marina Village, Abu Dhabi</t>
  </si>
  <si>
    <t>hassan.badwy@gmail.com</t>
  </si>
  <si>
    <t>Mustafa</t>
  </si>
  <si>
    <t>0582213000</t>
  </si>
  <si>
    <t>0559161149</t>
  </si>
  <si>
    <t>Studio in Royal Residence</t>
  </si>
  <si>
    <t>Asking for 12chq, all included Dewa Net ETC</t>
  </si>
  <si>
    <t>Omar Taiba</t>
  </si>
  <si>
    <t>0502241317</t>
  </si>
  <si>
    <t>Omartiba@gmail.com</t>
  </si>
  <si>
    <t>I'm looking for a property on rental</t>
  </si>
  <si>
    <t>Francis Avellana</t>
  </si>
  <si>
    <t>he will view today afternoon after will give offer</t>
  </si>
  <si>
    <t>Praveen</t>
  </si>
  <si>
    <t>0502376453</t>
  </si>
  <si>
    <t>+971554730445</t>
  </si>
  <si>
    <t>francis_02_08_1989@yahoo.com</t>
  </si>
  <si>
    <t>Eric Thurber</t>
  </si>
  <si>
    <t>pravi.7426@gmail.com</t>
  </si>
  <si>
    <t>283838833</t>
  </si>
  <si>
    <t>trussel043@gmail.com</t>
  </si>
  <si>
    <t>Dr. Mohamed Nageeb MD MBA</t>
  </si>
  <si>
    <t>Al Adiyat Residence 2, Al Barsha 1</t>
  </si>
  <si>
    <t>971-562-160544</t>
  </si>
  <si>
    <t>mohamed_nageeb2003@yahoo.com</t>
  </si>
  <si>
    <t>0502507849</t>
  </si>
  <si>
    <t>keo@yahoo.ie</t>
  </si>
  <si>
    <t>Alun Rhydderch</t>
  </si>
  <si>
    <t>0555312068</t>
  </si>
  <si>
    <t>alun@horizonscanning.com</t>
  </si>
  <si>
    <t>looking for All Properties to rent in Al Barsha,</t>
  </si>
  <si>
    <t>Looking for Fully Furnished Apartment</t>
  </si>
  <si>
    <t>Almas</t>
  </si>
  <si>
    <t>0569346039</t>
  </si>
  <si>
    <t>mohammedshemeerkhan@gmail.co</t>
  </si>
  <si>
    <t>almas.zeeshan@beinex.com</t>
  </si>
  <si>
    <t>Looking for Property for Rent</t>
  </si>
  <si>
    <t>Ann Vincent</t>
  </si>
  <si>
    <t>0527307198</t>
  </si>
  <si>
    <t>ann.vincent@galaxymobilephone.com</t>
  </si>
  <si>
    <t>Bashar Damiri</t>
  </si>
  <si>
    <t>0527913022</t>
  </si>
  <si>
    <t>Bdamiri@hotmail.com</t>
  </si>
  <si>
    <t>Executive Tower D (Aspect Tower)</t>
  </si>
  <si>
    <t>Carla Davisy</t>
  </si>
  <si>
    <t xml:space="preserve">+14122250396 </t>
  </si>
  <si>
    <t>carlayildiz006@gmail.com</t>
  </si>
  <si>
    <t>Kalpesh Sampat</t>
  </si>
  <si>
    <t>Beach Vista</t>
  </si>
  <si>
    <t>ks@gulfsothebysrealty.com</t>
  </si>
  <si>
    <t>dr phina smith</t>
  </si>
  <si>
    <t>2898043153</t>
  </si>
  <si>
    <t>dr.phinaa@yahoo.com</t>
  </si>
  <si>
    <t>Iwanna Property</t>
  </si>
  <si>
    <t>Studio in Address Dubai Mall</t>
  </si>
  <si>
    <t>Manu</t>
  </si>
  <si>
    <t>+447766694561</t>
  </si>
  <si>
    <t>manshasidrag@gmail.com</t>
  </si>
  <si>
    <t>GolF Place</t>
  </si>
  <si>
    <t>Dubai Hills Plot</t>
  </si>
  <si>
    <t>Mohamed Youssef</t>
  </si>
  <si>
    <t>mo.1@live.com</t>
  </si>
  <si>
    <t>The Address Blvd</t>
  </si>
  <si>
    <t>Simon</t>
  </si>
  <si>
    <t>0528964884</t>
  </si>
  <si>
    <t>siboniface@gmail.com</t>
  </si>
  <si>
    <t>Al Alka</t>
  </si>
  <si>
    <t>Shane Shin</t>
  </si>
  <si>
    <t>971547666764</t>
  </si>
  <si>
    <t>shane.yk.shin@gmail.com</t>
  </si>
  <si>
    <t>husna shahid</t>
  </si>
  <si>
    <t>BLVD Point</t>
  </si>
  <si>
    <t>Reggie Samuel</t>
  </si>
  <si>
    <t>050 614 5643</t>
  </si>
  <si>
    <t>husnashahid95@gmail.com</t>
  </si>
  <si>
    <t>regsamuel1@gmail.com</t>
  </si>
  <si>
    <t>Studio in Royal Residnce</t>
  </si>
  <si>
    <t>Sami</t>
  </si>
  <si>
    <t>Looking for unfurnished Apartment</t>
  </si>
  <si>
    <t>004748894217</t>
  </si>
  <si>
    <t>a_sensation@hotmail.com</t>
  </si>
  <si>
    <t>Adham</t>
  </si>
  <si>
    <t>+971502028145</t>
  </si>
  <si>
    <t>adham.elhadary@hotmail.com</t>
  </si>
  <si>
    <t>Al Alka 1, Al Alka</t>
  </si>
  <si>
    <t>0521046018</t>
  </si>
  <si>
    <t>nazar.elwasila@gmail.com</t>
  </si>
  <si>
    <t>Johnson</t>
  </si>
  <si>
    <t>0505598309</t>
  </si>
  <si>
    <t>johnsonvergis@hotmail.com</t>
  </si>
  <si>
    <t>Abbas</t>
  </si>
  <si>
    <t>0502739070</t>
  </si>
  <si>
    <t>He View already looking for Golf Course View</t>
  </si>
  <si>
    <t>Nadia</t>
  </si>
  <si>
    <t>0521047827</t>
  </si>
  <si>
    <t>She view already sound not interested</t>
  </si>
  <si>
    <t>+971509452532</t>
  </si>
  <si>
    <t>fusim.dcc@fmail.com</t>
  </si>
  <si>
    <t>Boulevard point</t>
  </si>
  <si>
    <t>Abu Obeida Bakhach</t>
  </si>
  <si>
    <t>Rafeeque Chelamkandiyil Chelamkandiyil</t>
  </si>
  <si>
    <t>0529087945</t>
  </si>
  <si>
    <t xml:space="preserve"> +971555509907</t>
  </si>
  <si>
    <t>abuobeida@outlook.com</t>
  </si>
  <si>
    <t>rcckrafeeq@gmail.com</t>
  </si>
  <si>
    <t>OFPLAN</t>
  </si>
  <si>
    <t>Medy</t>
  </si>
  <si>
    <t>0544382962</t>
  </si>
  <si>
    <t>Katherine</t>
  </si>
  <si>
    <t>971-558-011489</t>
  </si>
  <si>
    <t>katelucraft_x@hotmail.co.uk</t>
  </si>
  <si>
    <t>Jumeirah Village Circle</t>
  </si>
  <si>
    <t>Martin</t>
  </si>
  <si>
    <t>+48509252770</t>
  </si>
  <si>
    <t>orzechelo@gmail.com</t>
  </si>
  <si>
    <t>Golden Mile</t>
  </si>
  <si>
    <t>sumair</t>
  </si>
  <si>
    <t>0509129085</t>
  </si>
  <si>
    <t>sumairb@gmail.com</t>
  </si>
  <si>
    <t>Sunrise Bay</t>
  </si>
  <si>
    <t>Damilola</t>
  </si>
  <si>
    <t>+2348137539970</t>
  </si>
  <si>
    <t>oluboyededamilola@gmail.com</t>
  </si>
  <si>
    <t>Ali Al Hashemi</t>
  </si>
  <si>
    <t>+971506838187</t>
  </si>
  <si>
    <t>alhashemi_1991@hotmail.com</t>
  </si>
  <si>
    <t>Richard</t>
  </si>
  <si>
    <t xml:space="preserve">0505615334 </t>
  </si>
  <si>
    <t>rogerbarra@hotmail.com</t>
  </si>
  <si>
    <t>Masood</t>
  </si>
  <si>
    <t>mohd.masood@eim.ae</t>
  </si>
  <si>
    <t>Sneha</t>
  </si>
  <si>
    <t>+971589375140</t>
  </si>
  <si>
    <t>sneharandive123@gmail.com</t>
  </si>
  <si>
    <t>Blakely Tower, Park Island</t>
  </si>
  <si>
    <t>Sally Potter Irwin</t>
  </si>
  <si>
    <t>971-621-74174</t>
  </si>
  <si>
    <t>Thageba Al sabbagh</t>
  </si>
  <si>
    <t>sallypotterirwin@hotmail.co.uk</t>
  </si>
  <si>
    <t>971-506-137340</t>
  </si>
  <si>
    <t>thauae@hotmail.com</t>
  </si>
  <si>
    <t>James Dean</t>
  </si>
  <si>
    <t>447-754-645833</t>
  </si>
  <si>
    <t>jamesandrewdean@icloud.com</t>
  </si>
  <si>
    <t>Abu Dhabi Build your own villa|58 AED/sqf |Phase 2</t>
  </si>
  <si>
    <t>Mazih</t>
  </si>
  <si>
    <t>6047262414</t>
  </si>
  <si>
    <t>Mon Mar</t>
  </si>
  <si>
    <t>Restaurant and Bar in DIFC</t>
  </si>
  <si>
    <t>00544402939</t>
  </si>
  <si>
    <t>mazih@me.com</t>
  </si>
  <si>
    <t>moemedia@gmail.com</t>
  </si>
  <si>
    <t>Partha Sinha</t>
  </si>
  <si>
    <t>0525108583</t>
  </si>
  <si>
    <t>Parthas.space@gmail.com</t>
  </si>
  <si>
    <t>Anita</t>
  </si>
  <si>
    <t>Shaik Mohiuddin</t>
  </si>
  <si>
    <t>0508780892</t>
  </si>
  <si>
    <t>050 4947688</t>
  </si>
  <si>
    <t>shaikden001@gmail.com</t>
  </si>
  <si>
    <t>a.sabharwal@cbemirates.ae</t>
  </si>
  <si>
    <t>I am looking to buy</t>
  </si>
  <si>
    <t>Mr. عمر المخيني</t>
  </si>
  <si>
    <t>+96899758158</t>
  </si>
  <si>
    <t>bu23saud@hotmail.com</t>
  </si>
  <si>
    <t>janice booth</t>
  </si>
  <si>
    <t>38528586</t>
  </si>
  <si>
    <t>janicebooth7@outlook.com</t>
  </si>
  <si>
    <t>DP</t>
  </si>
  <si>
    <t>Abdulla</t>
  </si>
  <si>
    <t>0585864224</t>
  </si>
  <si>
    <t>maaz@taktical.com</t>
  </si>
  <si>
    <t>abdulla@humaidan.com</t>
  </si>
  <si>
    <t>Marina Pearl</t>
  </si>
  <si>
    <t>haider hussien</t>
  </si>
  <si>
    <t>+61401673368</t>
  </si>
  <si>
    <t>hayder_albayaa@yahoo.com</t>
  </si>
  <si>
    <t>South T1 2 Bed Dubai Creek Harbour Residence</t>
  </si>
  <si>
    <t>971585373849</t>
  </si>
  <si>
    <t>Safi Townhouses</t>
  </si>
  <si>
    <t>Fouad Khairallah</t>
  </si>
  <si>
    <t>0563736363</t>
  </si>
  <si>
    <t>fouadkhairallah@outlook.com</t>
  </si>
  <si>
    <t>Park Island Blakely</t>
  </si>
  <si>
    <t xml:space="preserve">971585373849 </t>
  </si>
  <si>
    <t>Mrs. Omlolowa</t>
  </si>
  <si>
    <t>+971507798076</t>
  </si>
  <si>
    <t>Golden Mile 7</t>
  </si>
  <si>
    <t>diyaraisha80@yahoo.com</t>
  </si>
  <si>
    <t>propseach</t>
  </si>
  <si>
    <t>Fairfield Tower, Dubai Marina</t>
  </si>
  <si>
    <t>Claus Weglehner</t>
  </si>
  <si>
    <t>0567550274</t>
  </si>
  <si>
    <t>cweb673@gmail.com</t>
  </si>
  <si>
    <t>Waseem</t>
  </si>
  <si>
    <t>+971585101083</t>
  </si>
  <si>
    <t>waseem.belushi@gmail.com</t>
  </si>
  <si>
    <t>Jayana</t>
  </si>
  <si>
    <t>jayarecoy@yahoo.com</t>
  </si>
  <si>
    <t>Blakely Tower</t>
  </si>
  <si>
    <t>Melamie</t>
  </si>
  <si>
    <t xml:space="preserve"> 0529657044</t>
  </si>
  <si>
    <t>Mr. يحيى</t>
  </si>
  <si>
    <t>+966557870887</t>
  </si>
  <si>
    <t>tejara-ksa@hotmail.com</t>
  </si>
  <si>
    <t>Melanie.riddle@jumeirah.com</t>
  </si>
  <si>
    <t>Krishna</t>
  </si>
  <si>
    <t>Ahmad Karhout</t>
  </si>
  <si>
    <t>0556199912</t>
  </si>
  <si>
    <t>ahmedkarhout@gmail.com</t>
  </si>
  <si>
    <t>Marios</t>
  </si>
  <si>
    <t>0529029940</t>
  </si>
  <si>
    <t>ksadhikari91@gmail.com</t>
  </si>
  <si>
    <t>Studio Royal Residnce</t>
  </si>
  <si>
    <t>Not availabe at the moment because for the chinese Ladies</t>
  </si>
  <si>
    <t>Garry</t>
  </si>
  <si>
    <t>Royal Residence</t>
  </si>
  <si>
    <t>0097450641741</t>
  </si>
  <si>
    <t>Inquire for Ajman Location</t>
  </si>
  <si>
    <t>Running Fast food Burger Restaurant in Jumeirah 2</t>
  </si>
  <si>
    <t>Boulevard Point</t>
  </si>
  <si>
    <t>Ayman</t>
  </si>
  <si>
    <t>aymansaadegypt@yahoo.com</t>
  </si>
  <si>
    <t>HOSAM TAHA</t>
  </si>
  <si>
    <t>0506407532</t>
  </si>
  <si>
    <t>htahadifc@yahoo.com</t>
  </si>
  <si>
    <t>Radi</t>
  </si>
  <si>
    <t>0508884258</t>
  </si>
  <si>
    <t>Radi.mograbi11@gmail.com</t>
  </si>
  <si>
    <t>Naseem Townhouse Nshama</t>
  </si>
  <si>
    <t>Owner Have Property want to SALE</t>
  </si>
  <si>
    <t>The Address Dubai Mall /for Short Term One Month</t>
  </si>
  <si>
    <t>Ravie</t>
  </si>
  <si>
    <t>0524387940</t>
  </si>
  <si>
    <t>ihmravi@yahoo.com</t>
  </si>
  <si>
    <t>Sheikh imran</t>
  </si>
  <si>
    <t>+971502386931</t>
  </si>
  <si>
    <t>khanlight86@gmail.com</t>
  </si>
  <si>
    <t>Studio for Rent in Royal Residence</t>
  </si>
  <si>
    <t>No Availbale Unit</t>
  </si>
  <si>
    <t>ibrar</t>
  </si>
  <si>
    <t>00447508063034</t>
  </si>
  <si>
    <t>invest@investoneuk.com</t>
  </si>
  <si>
    <t>Mr. فيصل</t>
  </si>
  <si>
    <t>+971568888174</t>
  </si>
  <si>
    <t>user.id2882@gmail.com</t>
  </si>
  <si>
    <t>Steed</t>
  </si>
  <si>
    <t>0559888367</t>
  </si>
  <si>
    <t>steedtaylor@gmail.com</t>
  </si>
  <si>
    <t>looking to buy</t>
  </si>
  <si>
    <t>Mister Sultan</t>
  </si>
  <si>
    <t>+971554231231</t>
  </si>
  <si>
    <t>sultanshk1@gmail.com</t>
  </si>
  <si>
    <t>Elliott Prescott</t>
  </si>
  <si>
    <t>+971565203154</t>
  </si>
  <si>
    <t>elliottgwprescott@gmail.com</t>
  </si>
  <si>
    <t>Address BLVD</t>
  </si>
  <si>
    <t>Abdulrazzaq Al Abdullah</t>
  </si>
  <si>
    <t>0506613222</t>
  </si>
  <si>
    <t>Alrazzak@gbs.ae</t>
  </si>
  <si>
    <t>The address Dubai Malll</t>
  </si>
  <si>
    <t>Ariz</t>
  </si>
  <si>
    <t>0096551027646</t>
  </si>
  <si>
    <t>arizahmad@gmail.com</t>
  </si>
  <si>
    <t>Please i want to buy a house property for my family in your country, please can you help me on this?</t>
  </si>
  <si>
    <t>Leads Group /Khaled</t>
  </si>
  <si>
    <t>Asmaa</t>
  </si>
  <si>
    <t>+971 50 200 9292</t>
  </si>
  <si>
    <t>Propertify.ae</t>
  </si>
  <si>
    <t xml:space="preserve"> tower is old and there is no proper parking and I’ didn’t like sports city</t>
  </si>
  <si>
    <t>Running Building Materials Trading Business</t>
  </si>
  <si>
    <t>Philip Miller</t>
  </si>
  <si>
    <t>philzamilgroups@gmail.com</t>
  </si>
  <si>
    <t>2 Bedroom Mridiff, Al Warqa 1</t>
  </si>
  <si>
    <t>We need to pay 100 dirham to get the details of Client</t>
  </si>
  <si>
    <t>Claudia Harrison</t>
  </si>
  <si>
    <t>0834821676</t>
  </si>
  <si>
    <t>claudiharrison@gmail.com</t>
  </si>
  <si>
    <t>Ae.Green-Acres</t>
  </si>
  <si>
    <t>We want to invest in buying of house (Maple)</t>
  </si>
  <si>
    <t>Nadim</t>
  </si>
  <si>
    <t>0565309379</t>
  </si>
  <si>
    <t>nadim@enayarugs.com</t>
  </si>
  <si>
    <t>6 Bed Duplex Penthouse at Dubai Creek Harbour</t>
  </si>
  <si>
    <t>Umm Suqeim Showroom</t>
  </si>
  <si>
    <t>Brenda Keith</t>
  </si>
  <si>
    <t>0523320114</t>
  </si>
  <si>
    <t>brendaskeith2@gmail.com</t>
  </si>
  <si>
    <t>Collective</t>
  </si>
  <si>
    <t>Bernard Stanley</t>
  </si>
  <si>
    <t>0559520202</t>
  </si>
  <si>
    <t>bws_uk@yahoo.com</t>
  </si>
  <si>
    <t>بإمكانكم التواصل مع عبد العزيز عن طريق</t>
  </si>
  <si>
    <t>00966500004245</t>
  </si>
  <si>
    <t>aburakan1017@hotmail.com</t>
  </si>
  <si>
    <t>Rajpal</t>
  </si>
  <si>
    <t>+917229801655</t>
  </si>
  <si>
    <t>Rk5287725@gmail.com</t>
  </si>
  <si>
    <t>Paloma Tower</t>
  </si>
  <si>
    <t>Zeid H</t>
  </si>
  <si>
    <t>Abdulrahman Aljaberi</t>
  </si>
  <si>
    <t>0551342210</t>
  </si>
  <si>
    <t>0565550005</t>
  </si>
  <si>
    <t>zhreish@gmail.com</t>
  </si>
  <si>
    <t>ar.aljaberi@gmail.com</t>
  </si>
  <si>
    <t>Fast food Burger Restaurant in Jumeirah 2.</t>
  </si>
  <si>
    <t>MAHER CHEMAITILLY</t>
  </si>
  <si>
    <t>971-504-780172</t>
  </si>
  <si>
    <t>chmayt@gmail.com</t>
  </si>
  <si>
    <t>patricia lonsdorfer</t>
  </si>
  <si>
    <t>+6587544727</t>
  </si>
  <si>
    <t>patricia.lonsdorfer@gmail.com</t>
  </si>
  <si>
    <t>0522447250</t>
  </si>
  <si>
    <t>mk@dandbdubai.com</t>
  </si>
  <si>
    <t>Sajid khan</t>
  </si>
  <si>
    <t>+919950808060</t>
  </si>
  <si>
    <t>sajidkhan8080@gmail.com</t>
  </si>
  <si>
    <t xml:space="preserve">Salon in Jumeirah </t>
  </si>
  <si>
    <t>Tamer</t>
  </si>
  <si>
    <t>0585100560</t>
  </si>
  <si>
    <t>abozeidt@hamptons.ae</t>
  </si>
  <si>
    <t>Shakia</t>
  </si>
  <si>
    <t>+971-566-929-772</t>
  </si>
  <si>
    <t>Sweetshak16@gmail.com</t>
  </si>
  <si>
    <t>Al Barsha South, Al Barsha, Dubai</t>
  </si>
  <si>
    <t>Anton</t>
  </si>
  <si>
    <t>0501285909</t>
  </si>
  <si>
    <t>superfastfox@hotmail.com</t>
  </si>
  <si>
    <t xml:space="preserve">Al Alka </t>
  </si>
  <si>
    <t>Loay Arnous</t>
  </si>
  <si>
    <t>0568240892</t>
  </si>
  <si>
    <t>loay_101@hotmail.com</t>
  </si>
  <si>
    <t>Bellevue</t>
  </si>
  <si>
    <t>sudhir</t>
  </si>
  <si>
    <t>800 622 23</t>
  </si>
  <si>
    <t>sudhirbotcha@yahoo.com</t>
  </si>
  <si>
    <t>Primerose</t>
  </si>
  <si>
    <t>Vincent Langlois</t>
  </si>
  <si>
    <t>+971503506624</t>
  </si>
  <si>
    <t>vincent0001@gmail.com</t>
  </si>
  <si>
    <t>Selling Business | Beauty Salon in JLT.</t>
  </si>
  <si>
    <t>0553066711</t>
  </si>
  <si>
    <t>asimk01@yahoo.com</t>
  </si>
  <si>
    <t>Sindy Mourot</t>
  </si>
  <si>
    <t>0597858264</t>
  </si>
  <si>
    <t>sindymourot@hotmail.com</t>
  </si>
  <si>
    <t>Leen</t>
  </si>
  <si>
    <t>0502551631</t>
  </si>
  <si>
    <t>Leen.3-3@hotmail.com</t>
  </si>
  <si>
    <t>Bahar 6</t>
  </si>
  <si>
    <t>Zahid Ali Khan Noori</t>
  </si>
  <si>
    <t>+919068692786</t>
  </si>
  <si>
    <t>khan.zahidali94@gmail.com</t>
  </si>
  <si>
    <t>Philippino Restaurant for Sale in Sharjah.</t>
  </si>
  <si>
    <t>Virginie</t>
  </si>
  <si>
    <t>0521024724</t>
  </si>
  <si>
    <t>virgi_maamaribachi@hotmail.com</t>
  </si>
  <si>
    <t>Executive Bay A</t>
  </si>
  <si>
    <t>Muhammad Zafar</t>
  </si>
  <si>
    <t xml:space="preserve">+92-300-8267802 </t>
  </si>
  <si>
    <t xml:space="preserve">zafar_commodity@hotmail.com </t>
  </si>
  <si>
    <t>Website</t>
  </si>
  <si>
    <t>Ilma</t>
  </si>
  <si>
    <t>0569580907</t>
  </si>
  <si>
    <t>Ilma.gauhar@gmail.com</t>
  </si>
  <si>
    <t>Jasmine Trivino</t>
  </si>
  <si>
    <t>0503074625</t>
  </si>
  <si>
    <t>ajbtrivino@gmail.com</t>
  </si>
  <si>
    <t>Inquire for Discovery Garden</t>
  </si>
  <si>
    <t>Don J</t>
  </si>
  <si>
    <t>0503500546</t>
  </si>
  <si>
    <t>deep_dass@yahoo.com</t>
  </si>
  <si>
    <t>Inquire for The vews</t>
  </si>
  <si>
    <t>Swati S</t>
  </si>
  <si>
    <t>0509852645</t>
  </si>
  <si>
    <t>swatipuri93@gmail.com</t>
  </si>
  <si>
    <t>Mark Young</t>
  </si>
  <si>
    <t>0523407991</t>
  </si>
  <si>
    <t>mryoung@ecolab.com</t>
  </si>
  <si>
    <t>Rimal 1</t>
  </si>
  <si>
    <t xml:space="preserve">altaf190957@yahoo.com </t>
  </si>
  <si>
    <t>Nice Shawarma Restaurant next to Citymax</t>
  </si>
  <si>
    <t>Amit Chanchal</t>
  </si>
  <si>
    <t>amitbatschanchal@gmail.com</t>
  </si>
  <si>
    <t>michele moser</t>
  </si>
  <si>
    <t>+41796210354</t>
  </si>
  <si>
    <t>michele.moser@blackmoyo.com</t>
  </si>
  <si>
    <t>Roy Graves</t>
  </si>
  <si>
    <t>jimmytaylor288@gmail.com</t>
  </si>
  <si>
    <t>I am interested in the purchase of the apartment please confirm if it is still available..</t>
  </si>
  <si>
    <t>Husam Sadagah</t>
  </si>
  <si>
    <t>sadagah@yahoo.com</t>
  </si>
  <si>
    <t>I am interested in a 3 BR flat in the Hills on a high floor with full view of the golf course &amp;amp; sea</t>
  </si>
  <si>
    <t>shahid akhter</t>
  </si>
  <si>
    <t>0553847306</t>
  </si>
  <si>
    <t>shahid.apre@gmail.com</t>
  </si>
  <si>
    <t xml:space="preserve">OFF PLAN </t>
  </si>
  <si>
    <t xml:space="preserve">+966505614525 </t>
  </si>
  <si>
    <t xml:space="preserve">sadagah@yahoo.com </t>
  </si>
  <si>
    <t xml:space="preserve"> I am interested in a 3 BR flat in the Hills on a high floor with full view of the golf course &amp;amp; sea</t>
  </si>
  <si>
    <t>Eethar Al-Hassan</t>
  </si>
  <si>
    <t>+971567595018</t>
  </si>
  <si>
    <t>eethar2000@yahoo.com</t>
  </si>
  <si>
    <t>Mitto</t>
  </si>
  <si>
    <t>+971529425028</t>
  </si>
  <si>
    <t>info@magicbox.ae</t>
  </si>
  <si>
    <t>paulo amado</t>
  </si>
  <si>
    <t>5503124988631470</t>
  </si>
  <si>
    <t>paulo.amado@mail.com</t>
  </si>
  <si>
    <t>Nice Shawarma Restaurant next to Citymax Retail for Sale in Al Barsha 1, Al Barsha</t>
  </si>
  <si>
    <t>Gumeet</t>
  </si>
  <si>
    <t>0096898285678</t>
  </si>
  <si>
    <t>gumeet@gmail.com</t>
  </si>
  <si>
    <t>Umer</t>
  </si>
  <si>
    <t>0523357553</t>
  </si>
  <si>
    <t xml:space="preserve">umerbaigmirza@gmail.com </t>
  </si>
  <si>
    <t>Vida Residences Dubai Marina</t>
  </si>
  <si>
    <t>Mayank Gupta</t>
  </si>
  <si>
    <t>0555281748</t>
  </si>
  <si>
    <t>mayank@mailme.ae</t>
  </si>
  <si>
    <t>Rosaly</t>
  </si>
  <si>
    <t>042500072</t>
  </si>
  <si>
    <t>rosaly.tubilla@grapho-line.com</t>
  </si>
  <si>
    <t>I would like to Inquire fro Villa Maximum 3M by cash payment, Please give us detail with pictures through my emails.</t>
  </si>
  <si>
    <t>Hriday Nagu</t>
  </si>
  <si>
    <t>+971557528877</t>
  </si>
  <si>
    <t>naguhriday14@gmail.com</t>
  </si>
  <si>
    <t>1 bedroom The Hills 1</t>
  </si>
  <si>
    <t>mehdi</t>
  </si>
  <si>
    <t>0561376525</t>
  </si>
  <si>
    <t>mehdi.alaouiismaili9@gmail.com</t>
  </si>
  <si>
    <t>Showroom</t>
  </si>
  <si>
    <t>Aigul</t>
  </si>
  <si>
    <t>0557676734</t>
  </si>
  <si>
    <t>aigul@harbordubai.com</t>
  </si>
  <si>
    <t>Ana</t>
  </si>
  <si>
    <t>+380633930072</t>
  </si>
  <si>
    <t>ana.shelest.90@mail.ru</t>
  </si>
  <si>
    <t>Mohameed</t>
  </si>
  <si>
    <t>971562160492</t>
  </si>
  <si>
    <t>msshaikh@gmail.com</t>
  </si>
  <si>
    <t>Vida Residence Marina</t>
  </si>
  <si>
    <t>Esishkjau</t>
  </si>
  <si>
    <t>+971558989899</t>
  </si>
  <si>
    <t>Esishkjau@gmail.com</t>
  </si>
  <si>
    <t>Gold Place</t>
  </si>
  <si>
    <t>Saritha</t>
  </si>
  <si>
    <t>0509009052</t>
  </si>
  <si>
    <t>Sarithaviji@gmail.com</t>
  </si>
  <si>
    <t>Looking for villa for nursery purpose.. occupation end of June</t>
  </si>
  <si>
    <t>Marafa Hamidou Yaya</t>
  </si>
  <si>
    <t>00237653921465</t>
  </si>
  <si>
    <t>marafahamidouyaya6@gmail.com</t>
  </si>
  <si>
    <t>Running Restaurant | Prime Location | Motor City.</t>
  </si>
  <si>
    <t>+971501609992</t>
  </si>
  <si>
    <t>khaled202k@hotmail.com</t>
  </si>
  <si>
    <t>Looking for Rental</t>
  </si>
  <si>
    <t>Hayan Akmad</t>
  </si>
  <si>
    <t>009714 3208294</t>
  </si>
  <si>
    <t>Hayan348@hotmail.com</t>
  </si>
  <si>
    <t>Grande</t>
  </si>
  <si>
    <t>Naomi Wharam</t>
  </si>
  <si>
    <t>0559182802</t>
  </si>
  <si>
    <t>naomi.01@hotmail.co.uk</t>
  </si>
  <si>
    <t>Sulafa Tower, Dubai Marina</t>
  </si>
  <si>
    <t>DEEPAK JAI RUPANI</t>
  </si>
  <si>
    <t>0501139891</t>
  </si>
  <si>
    <t>deepakjairupani@gmail.com</t>
  </si>
  <si>
    <t>Ready retail corner shop for sale in DIFC</t>
  </si>
  <si>
    <t xml:space="preserve">9007386086/WhatsApp 8100758218 I </t>
  </si>
  <si>
    <t>dazzlingmohitgupta@gmail.com</t>
  </si>
  <si>
    <t>Salman Farooq</t>
  </si>
  <si>
    <t>0503574615</t>
  </si>
  <si>
    <t>salmanfmalik8@gmail.com</t>
  </si>
  <si>
    <t>Coffee shop available in Tecom.</t>
  </si>
  <si>
    <t>971503767273</t>
  </si>
  <si>
    <t>Shabeer313@gmail.com</t>
  </si>
  <si>
    <t>Running Multi-Cuisine and Coffee Shop in Deira.</t>
  </si>
  <si>
    <t>Ghida Adra</t>
  </si>
  <si>
    <t>009613626524</t>
  </si>
  <si>
    <t>Ghida.adra@gmail.com</t>
  </si>
  <si>
    <t>Marina Diamond 1</t>
  </si>
  <si>
    <t>0562224549</t>
  </si>
  <si>
    <t>XL Tower</t>
  </si>
  <si>
    <t>0551025951</t>
  </si>
  <si>
    <t>0552580599</t>
  </si>
  <si>
    <t>Dubai  Wharf</t>
  </si>
  <si>
    <t>Offer 125K</t>
  </si>
  <si>
    <t>Rania ismail</t>
  </si>
  <si>
    <t>+971568219063</t>
  </si>
  <si>
    <t>rania.alexandria@hotmail.com</t>
  </si>
  <si>
    <t>looking to rent</t>
  </si>
  <si>
    <t>Lee Martin</t>
  </si>
  <si>
    <t>0554012738</t>
  </si>
  <si>
    <t>martin64lm@gmail.com</t>
  </si>
  <si>
    <t>Hermann Redl</t>
  </si>
  <si>
    <t>+4366488289999</t>
  </si>
  <si>
    <t>h.redl@redl.net</t>
  </si>
  <si>
    <t>Sachin Gupta</t>
  </si>
  <si>
    <t>The Address at JBR Beach</t>
  </si>
  <si>
    <t>Marie Hobohm</t>
  </si>
  <si>
    <t>0588813077</t>
  </si>
  <si>
    <t>marie.hobohmgirard@alumi.ie.edu</t>
  </si>
  <si>
    <t>esszees@yahoo.com</t>
  </si>
  <si>
    <t>Stefan</t>
  </si>
  <si>
    <t>054 581 9502</t>
  </si>
  <si>
    <t>Fari Mirza</t>
  </si>
  <si>
    <t>00447887666529</t>
  </si>
  <si>
    <t>stefan.h@suninmotion.com</t>
  </si>
  <si>
    <t>Farehia.mirza@gmail.com</t>
  </si>
  <si>
    <t>BELLEVUE TOWERS</t>
  </si>
  <si>
    <t>Mohd Darwish</t>
  </si>
  <si>
    <t>971-506-548875</t>
  </si>
  <si>
    <t>Abdul</t>
  </si>
  <si>
    <t>geneclash@gmail.com</t>
  </si>
  <si>
    <t>+971508516101</t>
  </si>
  <si>
    <t>abdulhalim@saplingdxb.com</t>
  </si>
  <si>
    <t>*</t>
  </si>
  <si>
    <t>Ersan Bajram</t>
  </si>
  <si>
    <t>+358401595550</t>
  </si>
  <si>
    <t>ebajram@gmail.com</t>
  </si>
  <si>
    <t>Looking for Rent Property</t>
  </si>
  <si>
    <t>+919031909090</t>
  </si>
  <si>
    <t>piyush@hoteljiva.com</t>
  </si>
  <si>
    <t>Noman</t>
  </si>
  <si>
    <t>0562024229</t>
  </si>
  <si>
    <t>Looking for short term in Al Manara</t>
  </si>
  <si>
    <t>No availble Unit</t>
  </si>
  <si>
    <t>Shahid</t>
  </si>
  <si>
    <t>+966580149992</t>
  </si>
  <si>
    <t>shahids025@gmail.com</t>
  </si>
  <si>
    <t>Looking for Villa and Office</t>
  </si>
  <si>
    <t>Jas</t>
  </si>
  <si>
    <t>0508907549</t>
  </si>
  <si>
    <t>alfarahjassim@yahoo.com</t>
  </si>
  <si>
    <t xml:space="preserve">Damac Executive Bay A </t>
  </si>
  <si>
    <t>Mr. Fahad/Samera</t>
  </si>
  <si>
    <t>REsale Client of Mr. Fahad</t>
  </si>
  <si>
    <t>kate</t>
  </si>
  <si>
    <t>0509602572</t>
  </si>
  <si>
    <t>knola26@gmail.com</t>
  </si>
  <si>
    <t>roy</t>
  </si>
  <si>
    <t>Dubia Wharf</t>
  </si>
  <si>
    <t>00971551015772</t>
  </si>
  <si>
    <t xml:space="preserve">royeliasyacoub@gmail.com </t>
  </si>
  <si>
    <t>Remraam</t>
  </si>
  <si>
    <t>+971 501-140-388</t>
  </si>
  <si>
    <t>stephaniekerbage@hotmail.com</t>
  </si>
  <si>
    <t>00966509897973</t>
  </si>
  <si>
    <t>M7md.97law2016@gmail.com</t>
  </si>
  <si>
    <t>Looking for Rent</t>
  </si>
  <si>
    <t>Shan</t>
  </si>
  <si>
    <t xml:space="preserve">+971556008129 </t>
  </si>
  <si>
    <t>Godwin Emefiele</t>
  </si>
  <si>
    <t>+2348132245422</t>
  </si>
  <si>
    <t>godwinprivateefax@outlook.com</t>
  </si>
  <si>
    <t>GS</t>
  </si>
  <si>
    <t>0544548344</t>
  </si>
  <si>
    <t>mistergal@hotmail.com</t>
  </si>
  <si>
    <t>Message: Can you send me a detailed email about the kind of properties you have in Dubai and also about yourself, because I will be willing to purchase/invest</t>
  </si>
  <si>
    <t>Priscilla Mackinnon</t>
  </si>
  <si>
    <t>556-602-179</t>
  </si>
  <si>
    <t>pris20.mackinnon@gmail.com</t>
  </si>
  <si>
    <t>Carl</t>
  </si>
  <si>
    <t>971509558288</t>
  </si>
  <si>
    <t>carl@showtechme.com</t>
  </si>
  <si>
    <t>JVC Villas</t>
  </si>
  <si>
    <t>Shawarma Restaurant next to Citymax</t>
  </si>
  <si>
    <t xml:space="preserve">Adedayo Osholowu </t>
  </si>
  <si>
    <t>+2348178888882</t>
  </si>
  <si>
    <t>d.osholowu@gmail.com</t>
  </si>
  <si>
    <t>Simran(Agent)</t>
  </si>
  <si>
    <t>0501530072</t>
  </si>
  <si>
    <t>Inquire for Opera Grand (RESALE)</t>
  </si>
  <si>
    <t>Yasin</t>
  </si>
  <si>
    <t>050 505 4135</t>
  </si>
  <si>
    <t>yasin.valimulla@kwdubai.com</t>
  </si>
  <si>
    <t>pradeep kundan</t>
  </si>
  <si>
    <t>0566047908</t>
  </si>
  <si>
    <t>pradeepkundan@gmail.com</t>
  </si>
  <si>
    <t>Maxine</t>
  </si>
  <si>
    <t>+447885746459</t>
  </si>
  <si>
    <t>maxinemonte@live.co.uk</t>
  </si>
  <si>
    <t>The Palm</t>
  </si>
  <si>
    <t>raj</t>
  </si>
  <si>
    <t>+971553803668</t>
  </si>
  <si>
    <t>naturesea011@gmail.com</t>
  </si>
  <si>
    <t>Ludovit Cernak</t>
  </si>
  <si>
    <t>+421908744140</t>
  </si>
  <si>
    <t>cernak23@yahoo.com</t>
  </si>
  <si>
    <t>Running Restaurant | Prime Area | Motor City</t>
  </si>
  <si>
    <t>Zakir</t>
  </si>
  <si>
    <t>+447486532467</t>
  </si>
  <si>
    <t>Zak@gmail.com</t>
  </si>
  <si>
    <t>Fully fitted office in BLVD Plaza 1</t>
  </si>
  <si>
    <t>Dubai Creek Harbour Residence - Tower 1 Unit type 4 1 bed</t>
  </si>
  <si>
    <t>mariam</t>
  </si>
  <si>
    <t>0563797089</t>
  </si>
  <si>
    <t>Safi Town House</t>
  </si>
  <si>
    <t>mariamosmanova@yahoo.com</t>
  </si>
  <si>
    <t>Aston</t>
  </si>
  <si>
    <t>astonpicardo@gmail.com</t>
  </si>
  <si>
    <t>Brian</t>
  </si>
  <si>
    <t>0502531182</t>
  </si>
  <si>
    <t>gnerodi@gmail.com</t>
  </si>
  <si>
    <t>Dee</t>
  </si>
  <si>
    <t>Halil Kocak</t>
  </si>
  <si>
    <t>00905327364611</t>
  </si>
  <si>
    <t>Halilkocak1@yahoo.com</t>
  </si>
  <si>
    <t>Dee_panju@hotmail.com</t>
  </si>
  <si>
    <t>Iris Blue</t>
  </si>
  <si>
    <t>Lidia</t>
  </si>
  <si>
    <t>0526452541</t>
  </si>
  <si>
    <t>yaritsina@mail.ru</t>
  </si>
  <si>
    <t>mansoor</t>
  </si>
  <si>
    <t>0558996091</t>
  </si>
  <si>
    <t>mansoor.ahmed@colliers.com</t>
  </si>
  <si>
    <t>Meadows 9, Meadows</t>
  </si>
  <si>
    <t>Jash Falqa, Shoreline</t>
  </si>
  <si>
    <t>Sana Qureshi</t>
  </si>
  <si>
    <t>0505636973</t>
  </si>
  <si>
    <t>sana.qureshi@midstar-mgt.com</t>
  </si>
  <si>
    <t>Ahmed</t>
  </si>
  <si>
    <t>971553633703</t>
  </si>
  <si>
    <t>ahmedgold@gmail.com</t>
  </si>
  <si>
    <t>maryam</t>
  </si>
  <si>
    <t>0555143862</t>
  </si>
  <si>
    <t>mka5778@yahoo.co.uk</t>
  </si>
  <si>
    <t>thahir</t>
  </si>
  <si>
    <t>sathahir@hotmail.com</t>
  </si>
  <si>
    <t>Stuido in 29 Boulevard Tower A</t>
  </si>
  <si>
    <t xml:space="preserve">Lubna Osmani </t>
  </si>
  <si>
    <t>lubnaosmani23@gmail.com</t>
  </si>
  <si>
    <t>Golden Mile, Palm Jumeirah</t>
  </si>
  <si>
    <t>Kunal Jain</t>
  </si>
  <si>
    <t>0555027011</t>
  </si>
  <si>
    <t>Kjain@gmail.com</t>
  </si>
  <si>
    <t>Elies Kurenfuli Costa</t>
  </si>
  <si>
    <t>+971526044972</t>
  </si>
  <si>
    <t>Kurensco@gmail.com</t>
  </si>
  <si>
    <t>Golden Mile 9</t>
  </si>
  <si>
    <t>Marina Diamond</t>
  </si>
  <si>
    <t>astaghfir</t>
  </si>
  <si>
    <t>00966596888882</t>
  </si>
  <si>
    <t>Shehnaz Khalid</t>
  </si>
  <si>
    <t>0553973786</t>
  </si>
  <si>
    <t>shehnaz@manresa.ae</t>
  </si>
  <si>
    <t>Muhammad</t>
  </si>
  <si>
    <t xml:space="preserve"> +971501222129</t>
  </si>
  <si>
    <t>0558925390</t>
  </si>
  <si>
    <t>zoon2003aa@gmail.com</t>
  </si>
  <si>
    <t>Mudon Villa</t>
  </si>
  <si>
    <t>Ahad</t>
  </si>
  <si>
    <t>0521382285</t>
  </si>
  <si>
    <t>Inquire for Boulevard Plaza</t>
  </si>
  <si>
    <t>Anna Goldwell</t>
  </si>
  <si>
    <t xml:space="preserve">971529631185 </t>
  </si>
  <si>
    <t>amafy85@yahoo.com</t>
  </si>
  <si>
    <t xml:space="preserve"> سلام، شاهدت إعلانك على دوبيزل وأرغب إن كان متوفراً لتحديد موعد لمشاهدة العقار اليوم, مايو 26 صباحاً؟ شكراً.</t>
  </si>
  <si>
    <t>Lyka</t>
  </si>
  <si>
    <t xml:space="preserve"> 056-402-3861 </t>
  </si>
  <si>
    <t>r.asamizu@one-group.jp</t>
  </si>
  <si>
    <t>I am interested in 2Br in the Collective.</t>
  </si>
  <si>
    <t>yosra</t>
  </si>
  <si>
    <t>0504650541</t>
  </si>
  <si>
    <t>youyoujebeli@gmail.com</t>
  </si>
  <si>
    <t>Brand New 4 Star Hotel for Sale on Business Bay Canal.</t>
  </si>
  <si>
    <t>Tanaro, The Views</t>
  </si>
  <si>
    <t>Cloyd</t>
  </si>
  <si>
    <t>0525595334</t>
  </si>
  <si>
    <t>cloyd_real@yahoo.com</t>
  </si>
  <si>
    <t>Hayley</t>
  </si>
  <si>
    <t>0565354808</t>
  </si>
  <si>
    <t>Hayleyj3@hotmail.com</t>
  </si>
  <si>
    <t>Tiago Filipe Antão</t>
  </si>
  <si>
    <t xml:space="preserve"> +971521093333</t>
  </si>
  <si>
    <t>tiagofil@gmail.com</t>
  </si>
  <si>
    <t>Palm Jumeirah Azure Residence</t>
  </si>
  <si>
    <t>Vishal Arora</t>
  </si>
  <si>
    <t>0502181065</t>
  </si>
  <si>
    <t>vishalarora86@gmail.com</t>
  </si>
  <si>
    <t>sharmistha</t>
  </si>
  <si>
    <t>971506902980</t>
  </si>
  <si>
    <t>palchaudhurico@rediffmail.com</t>
  </si>
  <si>
    <t>Anthony</t>
  </si>
  <si>
    <t>+971555743713</t>
  </si>
  <si>
    <t>muchoki787@gmail.com</t>
  </si>
  <si>
    <t>ram kumar</t>
  </si>
  <si>
    <t>0508923461</t>
  </si>
  <si>
    <t>svsramkumar@yahoo.com</t>
  </si>
  <si>
    <t>Iam looking for rental property to move in immediately in IMPZ, International city Sport city, Discovery gardens</t>
  </si>
  <si>
    <t>mohammed azhar</t>
  </si>
  <si>
    <t>971524808100</t>
  </si>
  <si>
    <t>mohammedazhar@outlook.com</t>
  </si>
  <si>
    <t>Rami Al-Salih</t>
  </si>
  <si>
    <t>0561393401</t>
  </si>
  <si>
    <t>rami.alsalih@gmail.com</t>
  </si>
  <si>
    <t>0543204135</t>
  </si>
  <si>
    <t>mloonen@yahoo.com</t>
  </si>
  <si>
    <t>RESALE Downtown Views</t>
  </si>
  <si>
    <t>Jackson</t>
  </si>
  <si>
    <t>0524044440</t>
  </si>
  <si>
    <t>Indian Restaurant in Jumeirah 1</t>
  </si>
  <si>
    <t>Dr. Asma</t>
  </si>
  <si>
    <t>0504561213</t>
  </si>
  <si>
    <t>Looking office for Rent</t>
  </si>
  <si>
    <t>1 Bedroom for Sale | U-Type</t>
  </si>
  <si>
    <t>Sabina</t>
  </si>
  <si>
    <t>0522556862</t>
  </si>
  <si>
    <t>+918888389888</t>
  </si>
  <si>
    <t>1Bedroom for Rent in Discovery Garden</t>
  </si>
  <si>
    <t>kakad.sushil@gmail.com</t>
  </si>
  <si>
    <t>Zifren</t>
  </si>
  <si>
    <t>0526045847</t>
  </si>
  <si>
    <t>Inquire for Mudon for RENT</t>
  </si>
  <si>
    <t>+971 508419099</t>
  </si>
  <si>
    <t>akf@smartcrowd.property</t>
  </si>
  <si>
    <t>Shah</t>
  </si>
  <si>
    <t>Greg</t>
  </si>
  <si>
    <t>=971 4 603 3329</t>
  </si>
  <si>
    <t>gregdearden@hotmail.co.uk</t>
  </si>
  <si>
    <t>Just try to if Some one will call</t>
  </si>
  <si>
    <t>Jaya</t>
  </si>
  <si>
    <t>0557210518</t>
  </si>
  <si>
    <t>Jays.sunkari@yahoo.com</t>
  </si>
  <si>
    <t>gul</t>
  </si>
  <si>
    <t>0559158875</t>
  </si>
  <si>
    <t>selenastela@mail.ru</t>
  </si>
  <si>
    <t>The address Boulevard</t>
  </si>
  <si>
    <t>00971529124519</t>
  </si>
  <si>
    <t>tomas.dolezal@eliteroyalapartments.com</t>
  </si>
  <si>
    <t>Subho</t>
  </si>
  <si>
    <t>0582949244</t>
  </si>
  <si>
    <t>subho.m@gmail.com</t>
  </si>
  <si>
    <t>The Residences 5</t>
  </si>
  <si>
    <t>+1 631 954 5086</t>
  </si>
  <si>
    <t>Jaskingston50@gmail.com</t>
  </si>
  <si>
    <t>Vernon Ward</t>
  </si>
  <si>
    <t>+447853892959</t>
  </si>
  <si>
    <t>vern600r@hotmail.com</t>
  </si>
  <si>
    <t>Mayank gupta</t>
  </si>
  <si>
    <t>hemalatha</t>
  </si>
  <si>
    <t>971-521-051377</t>
  </si>
  <si>
    <t>Mr. Mona</t>
  </si>
  <si>
    <t>hemalatha1988mohan@gmail.com</t>
  </si>
  <si>
    <t>0508879889</t>
  </si>
  <si>
    <t>Nad Al Hammar Villa</t>
  </si>
  <si>
    <t>Bilal /Shane</t>
  </si>
  <si>
    <t>Elham</t>
  </si>
  <si>
    <t>0501664444</t>
  </si>
  <si>
    <t>elham7366@gmail.com</t>
  </si>
  <si>
    <t>VIDA Dubai Mall : سلام، شاهدت إعلانك على دوبيزل وأرغب إن كان متوفراً لتحديد موعد لمشاهدة العقار أبريل ١٧اليوم بعد الظهر؟ شكراً.</t>
  </si>
  <si>
    <t>David Carraro</t>
  </si>
  <si>
    <t>davidfcarraro@gmail.com</t>
  </si>
  <si>
    <t>1Bed South T1 Creek Harbour Residence The Lagoon</t>
  </si>
  <si>
    <t>Leads Group / Khaled</t>
  </si>
  <si>
    <t>0543322250</t>
  </si>
  <si>
    <t>Pira</t>
  </si>
  <si>
    <t>+255784344235</t>
  </si>
  <si>
    <t>Gen,Smith Davis</t>
  </si>
  <si>
    <t>=1 410 2464180</t>
  </si>
  <si>
    <t>smithdavis@gmail.com</t>
  </si>
  <si>
    <t xml:space="preserve"> Club Villas</t>
  </si>
  <si>
    <t>Sulayman</t>
  </si>
  <si>
    <t>+447440786387</t>
  </si>
  <si>
    <t>Timorcaan@gmail.com</t>
  </si>
  <si>
    <t>Hayleigh</t>
  </si>
  <si>
    <t>0527974521</t>
  </si>
  <si>
    <t>hrmackay.3@gmail.com</t>
  </si>
  <si>
    <t>Ali Can Satir</t>
  </si>
  <si>
    <t>971588896578</t>
  </si>
  <si>
    <t>satiralican@gmail.com</t>
  </si>
  <si>
    <t>Reem Okkeh</t>
  </si>
  <si>
    <t>reemokkeh@yahoo.com</t>
  </si>
  <si>
    <t>Niko</t>
  </si>
  <si>
    <t>+971544020147</t>
  </si>
  <si>
    <t>blaumeiser@me.com</t>
  </si>
  <si>
    <t xml:space="preserve">Address BLVD </t>
  </si>
  <si>
    <t>Valeria Gnoffo Emanuele Montalbano</t>
  </si>
  <si>
    <t>+393925651723</t>
  </si>
  <si>
    <t>valeriagnoffo@gmail.com</t>
  </si>
  <si>
    <t>Murjan</t>
  </si>
  <si>
    <t>=971523888846</t>
  </si>
  <si>
    <t>praveen.babu@pumpworks.com</t>
  </si>
  <si>
    <t>1 Bedroom in Discovery Garden</t>
  </si>
  <si>
    <t>sobia</t>
  </si>
  <si>
    <t>sobia@azurpropertiesuae.com</t>
  </si>
  <si>
    <t>Executive Bya  1 Bedroom</t>
  </si>
  <si>
    <t>Eman Hamshari</t>
  </si>
  <si>
    <t>+971504538659</t>
  </si>
  <si>
    <t>imninow5@yahoo.com</t>
  </si>
  <si>
    <t>Vida Dubai Mall</t>
  </si>
  <si>
    <t>Rangaswamy Govindarajan</t>
  </si>
  <si>
    <t>+971555591570</t>
  </si>
  <si>
    <t>rangag82@gmail.com</t>
  </si>
  <si>
    <t>Oussama EL MIR</t>
  </si>
  <si>
    <t>0567170407</t>
  </si>
  <si>
    <t>oussama.elmir@strategyand.ae.pwc.com</t>
  </si>
  <si>
    <t>0528584630</t>
  </si>
  <si>
    <t>marykozitskaya@gmail.com</t>
  </si>
  <si>
    <t>Iyad</t>
  </si>
  <si>
    <t>+971 50 661 4862</t>
  </si>
  <si>
    <t xml:space="preserve">Looking for 2 or 3 bedroom at Murjan or shams or Rimal. </t>
  </si>
  <si>
    <t>James Appleton</t>
  </si>
  <si>
    <t>0569672003</t>
  </si>
  <si>
    <t xml:space="preserve">james.appleton@upfitness.com </t>
  </si>
  <si>
    <t>0552468379</t>
  </si>
  <si>
    <t>angelalaurianj@gmail.com</t>
  </si>
  <si>
    <t>Ranga</t>
  </si>
  <si>
    <t>971-555-591570</t>
  </si>
  <si>
    <t>1 Bedroom in Disocvery garden</t>
  </si>
  <si>
    <t>Grace Homes</t>
  </si>
  <si>
    <t>info@gracehomesuae.com</t>
  </si>
  <si>
    <t>Naseem Mudon</t>
  </si>
  <si>
    <t>Bachir</t>
  </si>
  <si>
    <t>0505591044</t>
  </si>
  <si>
    <t xml:space="preserve">bachir_bassil@hotmail.com </t>
  </si>
  <si>
    <t>Rebecca Paden</t>
  </si>
  <si>
    <t>+447843651833</t>
  </si>
  <si>
    <t>bexpaden@hotmail.co.uk</t>
  </si>
  <si>
    <t>0564278066</t>
  </si>
  <si>
    <t>mary.vornicu@yahoo.com</t>
  </si>
  <si>
    <t>alan</t>
  </si>
  <si>
    <t>0558574775</t>
  </si>
  <si>
    <t>afw_services@hotmail.co.uk</t>
  </si>
  <si>
    <t>Kate</t>
  </si>
  <si>
    <t>Knola26@gmail.com</t>
  </si>
  <si>
    <t>Dubai wharf</t>
  </si>
  <si>
    <t>RENTED OUT</t>
  </si>
  <si>
    <t xml:space="preserve">sam singh </t>
  </si>
  <si>
    <t>+919619909044</t>
  </si>
  <si>
    <t>samsingh.us@gmail.com</t>
  </si>
  <si>
    <t>2 Bed in 29 Boulevard Tower A</t>
  </si>
  <si>
    <t>Dan</t>
  </si>
  <si>
    <t>+971554437332</t>
  </si>
  <si>
    <t>Dkoottatep@gmail.com</t>
  </si>
  <si>
    <t>Amir Farooq</t>
  </si>
  <si>
    <t>0556997648</t>
  </si>
  <si>
    <t>amir.crane@gmail.com</t>
  </si>
  <si>
    <t xml:space="preserve">Remraam </t>
  </si>
  <si>
    <t>HUMAM ALJAZAERI</t>
  </si>
  <si>
    <t>haljazaeri3@gmail.com</t>
  </si>
  <si>
    <t>looking for house</t>
  </si>
  <si>
    <t>sam singh</t>
  </si>
  <si>
    <t>+971509488275</t>
  </si>
  <si>
    <t>Jalal</t>
  </si>
  <si>
    <t>+15874800931</t>
  </si>
  <si>
    <t>jay.nexo@gmail.com</t>
  </si>
  <si>
    <t>husein</t>
  </si>
  <si>
    <t>0526453294</t>
  </si>
  <si>
    <t>husein.manji@gmail.com</t>
  </si>
  <si>
    <t>Hariprasad</t>
  </si>
  <si>
    <t>971506960223</t>
  </si>
  <si>
    <t>venu.hariprasad@rediffmail.com</t>
  </si>
  <si>
    <t>prasenjit</t>
  </si>
  <si>
    <t>+91 72590 26644</t>
  </si>
  <si>
    <t xml:space="preserve">Marina Diamond </t>
  </si>
  <si>
    <t>971 55 910 9386</t>
  </si>
  <si>
    <t>girba_Anna@hotmail.com</t>
  </si>
  <si>
    <t>Dubai Wharf</t>
  </si>
  <si>
    <t>0554254705</t>
  </si>
  <si>
    <t>She will Go to view it</t>
  </si>
  <si>
    <t>Shamna</t>
  </si>
  <si>
    <t>0508620636</t>
  </si>
  <si>
    <t>shamnashafeek75@gmail.com</t>
  </si>
  <si>
    <t>DR Rahul Goyal</t>
  </si>
  <si>
    <t>+971 50 235 9480</t>
  </si>
  <si>
    <t>rahulgoyalmd@yahoo.com</t>
  </si>
  <si>
    <t>Dr. Jörg Hackenbuchner</t>
  </si>
  <si>
    <t>+971505048740</t>
  </si>
  <si>
    <t>hackenbuchner@gmx.at</t>
  </si>
  <si>
    <t>Tina Saarinen</t>
  </si>
  <si>
    <t>Tiina.Saarinen@sdo.fi</t>
  </si>
  <si>
    <t>Looking for 3BR  Villa Budget 350k-400k</t>
  </si>
  <si>
    <t>dharmendra singh</t>
  </si>
  <si>
    <t>+971522687633</t>
  </si>
  <si>
    <t>singh.dharmendra668@gmail.com</t>
  </si>
  <si>
    <t>Executive Bay-Business Bay</t>
  </si>
  <si>
    <t>0585340153</t>
  </si>
  <si>
    <t>Inquire for Commercial Property</t>
  </si>
  <si>
    <t>Ms. Iman</t>
  </si>
  <si>
    <t>0526423687</t>
  </si>
  <si>
    <t>Inquire for Dubai Whatf</t>
  </si>
  <si>
    <t>its fine But Thi</t>
  </si>
  <si>
    <t>Its Fine but Still thinking Kitchen is Small not yrt deciding</t>
  </si>
  <si>
    <t>Ata</t>
  </si>
  <si>
    <t>0566924040</t>
  </si>
  <si>
    <t>Looking fo Arabic speaking</t>
  </si>
  <si>
    <t>Khalid</t>
  </si>
  <si>
    <t>Danila</t>
  </si>
  <si>
    <t>0563406781</t>
  </si>
  <si>
    <t xml:space="preserve">Inquire for The Address BLVD </t>
  </si>
  <si>
    <t>+971 52 268 7633</t>
  </si>
  <si>
    <t>Mariam</t>
  </si>
  <si>
    <t>+971552299876</t>
  </si>
  <si>
    <t>mariam.mahd@gmail.com</t>
  </si>
  <si>
    <t>The Grand</t>
  </si>
  <si>
    <t>Pat</t>
  </si>
  <si>
    <t>+971 55 344 5900</t>
  </si>
  <si>
    <t>lonsdoro@gmail.com</t>
  </si>
  <si>
    <t>+1 757-339-4149</t>
  </si>
  <si>
    <t>Retail shop for rent in DIFC for 140,000 AED</t>
  </si>
  <si>
    <t>Colette</t>
  </si>
  <si>
    <t>0553282909</t>
  </si>
  <si>
    <t>Signature Barsha Villas</t>
  </si>
  <si>
    <t>Daniel Nowak</t>
  </si>
  <si>
    <t>+971585807222</t>
  </si>
  <si>
    <t>daniel@nowak.ae</t>
  </si>
  <si>
    <t>The Hills A1 Series</t>
  </si>
  <si>
    <t>James Burdall</t>
  </si>
  <si>
    <t>+971 54 325 8178</t>
  </si>
  <si>
    <t>jimburdall@hotmail.com</t>
  </si>
  <si>
    <t>Ross Valentinov</t>
  </si>
  <si>
    <t>0035679319293</t>
  </si>
  <si>
    <t>rosenvalentinov@yahoo.co.uk</t>
  </si>
  <si>
    <t>Mousa</t>
  </si>
  <si>
    <t>0561090900</t>
  </si>
  <si>
    <t>sykon_llc@yahoo.com</t>
  </si>
  <si>
    <t>La Mer Plot</t>
  </si>
  <si>
    <t>Bruma Matt</t>
  </si>
  <si>
    <t>bruma.matt@gmail.com</t>
  </si>
  <si>
    <t>Il Primo</t>
  </si>
  <si>
    <t>9292209489</t>
  </si>
  <si>
    <t>RESALE Act one &amp; Act Two</t>
  </si>
  <si>
    <t>saeed_08@live.com</t>
  </si>
  <si>
    <t>Cozy and Ready Italian Restaurant in DIFC</t>
  </si>
  <si>
    <t>Charlie Pagdanganan</t>
  </si>
  <si>
    <t>971-5-055-15859</t>
  </si>
  <si>
    <t>Charlie.pagdanganan@aujan.com</t>
  </si>
  <si>
    <t>Executive Bay A Business Bay</t>
  </si>
  <si>
    <t>0522074107</t>
  </si>
  <si>
    <t xml:space="preserve"> The Address BLVD</t>
  </si>
  <si>
    <t>Muhammad emraan taher butt</t>
  </si>
  <si>
    <t>+971 52 549 7907</t>
  </si>
  <si>
    <t>emraanbutt@gmail.com</t>
  </si>
  <si>
    <t>Jessy</t>
  </si>
  <si>
    <t>0555838230</t>
  </si>
  <si>
    <t>josseyobeth@gmail.com</t>
  </si>
  <si>
    <t>Murjan 5, Jumeirah Beach Residence</t>
  </si>
  <si>
    <t>Naga</t>
  </si>
  <si>
    <t>0557184653</t>
  </si>
  <si>
    <t>Naga2302@yahoo.com</t>
  </si>
  <si>
    <t xml:space="preserve">Discovery Garden </t>
  </si>
  <si>
    <t>Shruthi</t>
  </si>
  <si>
    <t>0521766221</t>
  </si>
  <si>
    <t>shruthis0550@gmail.com</t>
  </si>
  <si>
    <t>Miorita</t>
  </si>
  <si>
    <t>+971582593161</t>
  </si>
  <si>
    <t>miorita@clevelandbridge.ae</t>
  </si>
  <si>
    <t>Badrah</t>
  </si>
  <si>
    <t>Hannah cornel</t>
  </si>
  <si>
    <t>+4423652367894</t>
  </si>
  <si>
    <t>hannahcornel@outlook.com</t>
  </si>
  <si>
    <t>Dubai Hills Plot, Maple, Club Villas</t>
  </si>
  <si>
    <t>Hakeem</t>
  </si>
  <si>
    <t>042694251</t>
  </si>
  <si>
    <t>cstranntrade@gmail.com</t>
  </si>
  <si>
    <t>Mahmoud Moradiya</t>
  </si>
  <si>
    <t>+971 6 526 3773</t>
  </si>
  <si>
    <t>mmoradiariya_alborz@asia.com</t>
  </si>
  <si>
    <t>Saad AI Faham</t>
  </si>
  <si>
    <t>+15126660136</t>
  </si>
  <si>
    <t>drfahann@hotmail.com</t>
  </si>
  <si>
    <t>+971 50 504 8740</t>
  </si>
  <si>
    <t>The Address JBR</t>
  </si>
  <si>
    <t>kunal</t>
  </si>
  <si>
    <t>kunal@createhospitality.ae</t>
  </si>
  <si>
    <t>Italian Restaurant in DIFC</t>
  </si>
  <si>
    <t>0508502716</t>
  </si>
  <si>
    <t>Prabeen4u@hotmail.com</t>
  </si>
  <si>
    <t>Collins Mukabe</t>
  </si>
  <si>
    <t>+685389772</t>
  </si>
  <si>
    <t>collinsmukabe12@gmail.com</t>
  </si>
  <si>
    <t>Creekside18</t>
  </si>
  <si>
    <t>TOmmy</t>
  </si>
  <si>
    <t>Karim</t>
  </si>
  <si>
    <t>+971564012836</t>
  </si>
  <si>
    <t>karimdimitri@gmail.com</t>
  </si>
  <si>
    <t>Jamile</t>
  </si>
  <si>
    <t>Nizar Manjy</t>
  </si>
  <si>
    <t>+244912502542</t>
  </si>
  <si>
    <t>nizarkm1@gmail.com</t>
  </si>
  <si>
    <t>00966568908801</t>
  </si>
  <si>
    <t>chiope@gmail.com</t>
  </si>
  <si>
    <t>Al Murjan 5</t>
  </si>
  <si>
    <t>Yusuf Patel</t>
  </si>
  <si>
    <t>+96599187870</t>
  </si>
  <si>
    <t>yusuf.p27@gmail.com</t>
  </si>
  <si>
    <t xml:space="preserve">I am looking to buy Do you have any distressed studio deals in freehold areas. </t>
  </si>
  <si>
    <t>Tracy</t>
  </si>
  <si>
    <t>+971507469665</t>
  </si>
  <si>
    <t>tracy.ta25@gmail.com</t>
  </si>
  <si>
    <t>Looking 2 bedroom in Sharjah</t>
  </si>
  <si>
    <t>STEVE</t>
  </si>
  <si>
    <t>+393332612939</t>
  </si>
  <si>
    <t>BRASIL699@HOTMAIL.COM</t>
  </si>
  <si>
    <t>Asim Janjua</t>
  </si>
  <si>
    <t>503551529</t>
  </si>
  <si>
    <t>asimjanjua@gmail.com</t>
  </si>
  <si>
    <t xml:space="preserve">Maple </t>
  </si>
  <si>
    <t>Leads Group / Hedi</t>
  </si>
  <si>
    <t>Ahmad Mustafa</t>
  </si>
  <si>
    <t>0061472847540</t>
  </si>
  <si>
    <t>Asm856@gmail.com</t>
  </si>
  <si>
    <t>Wang Lei</t>
  </si>
  <si>
    <t>5125215521</t>
  </si>
  <si>
    <t>wanglei959@yahoo.com</t>
  </si>
  <si>
    <t>Ready Clinic with Title Deed | Furnished</t>
  </si>
  <si>
    <t>Ready Clinic at Dubai Healthcare City with Title Deed | Furnished.</t>
  </si>
  <si>
    <t>Nick</t>
  </si>
  <si>
    <t>+34 649 39 79 93</t>
  </si>
  <si>
    <t>nemodbx@gmail.com</t>
  </si>
  <si>
    <t>Chan</t>
  </si>
  <si>
    <t>+27815712884</t>
  </si>
  <si>
    <t>channaidoos@gmail.com</t>
  </si>
  <si>
    <t>Hamed</t>
  </si>
  <si>
    <t>0529776771</t>
  </si>
  <si>
    <t xml:space="preserve">hamed@mjb.ae </t>
  </si>
  <si>
    <t>Mira 3 Type 3E</t>
  </si>
  <si>
    <t>Ahmad</t>
  </si>
  <si>
    <t>0567162998</t>
  </si>
  <si>
    <t>Hani</t>
  </si>
  <si>
    <t>971-506-599033</t>
  </si>
  <si>
    <t>hani.samir@asgcgroup.com</t>
  </si>
  <si>
    <t>ahmadhajo66@gmail.com</t>
  </si>
  <si>
    <t xml:space="preserve">Executive Bay 1408 </t>
  </si>
  <si>
    <t>Cristina</t>
  </si>
  <si>
    <t>971-000-000</t>
  </si>
  <si>
    <t>cristina.agbulos@gmail.com</t>
  </si>
  <si>
    <t>9650 Sqft Brand New Showroom in Umm Suqeim</t>
  </si>
  <si>
    <t>Ali Issa</t>
  </si>
  <si>
    <t>0568005526</t>
  </si>
  <si>
    <t>am.issa1974@gmail.com</t>
  </si>
  <si>
    <t>00393332612939</t>
  </si>
  <si>
    <t>FGECCELLENZE@GMAIL.COM</t>
  </si>
  <si>
    <t>+971 588-832-497</t>
  </si>
  <si>
    <t>fgeccellenze@gmail.com</t>
  </si>
  <si>
    <t>Cozy Running Italian Restaurant in DIFC</t>
  </si>
  <si>
    <t>Claudine mc carthy</t>
  </si>
  <si>
    <t>00447956277690</t>
  </si>
  <si>
    <t>claudine_mccarthy@yahoo.co.uk</t>
  </si>
  <si>
    <t>Mr. Saad</t>
  </si>
  <si>
    <t>Hazem</t>
  </si>
  <si>
    <t>=966 50 290 0015</t>
  </si>
  <si>
    <t>hazem@habdan.com</t>
  </si>
  <si>
    <t>Resale Huge 2 BR | Low Price | Burj View</t>
  </si>
  <si>
    <t>Tarik</t>
  </si>
  <si>
    <t>0561701022</t>
  </si>
  <si>
    <t>He will Check the apartment</t>
  </si>
  <si>
    <t>Dr. Maya</t>
  </si>
  <si>
    <t>042493090</t>
  </si>
  <si>
    <t>She will check the apartment</t>
  </si>
  <si>
    <t>fahdy</t>
  </si>
  <si>
    <t>+971 55 556 5772</t>
  </si>
  <si>
    <t>fahdy@drivenproperties.ae</t>
  </si>
  <si>
    <t>00971552835884</t>
  </si>
  <si>
    <t>shahabkarimzadeh77@gmail.com</t>
  </si>
  <si>
    <t xml:space="preserve">Inquire for Grey Square Showroom </t>
  </si>
  <si>
    <t>Rahil</t>
  </si>
  <si>
    <t>0509914647</t>
  </si>
  <si>
    <t>Zaafaran 2 for RENT</t>
  </si>
  <si>
    <t>Viewing on Sunday at 2PM</t>
  </si>
  <si>
    <t>Gunnar</t>
  </si>
  <si>
    <t>+971 50 458 7833</t>
  </si>
  <si>
    <t>skoog.gunnar@gmail.com</t>
  </si>
  <si>
    <t>Esmaeil Esbati</t>
  </si>
  <si>
    <t>00971558973151</t>
  </si>
  <si>
    <t>Reem Community, Arabian Ranches 2</t>
  </si>
  <si>
    <t>Esmaeil.esbati@gmail.com</t>
  </si>
  <si>
    <t>0566020956</t>
  </si>
  <si>
    <t>for RENT 2 bedroom apartment in Zaafaran 2 old town</t>
  </si>
  <si>
    <t>Noor Townhouse</t>
  </si>
  <si>
    <t>Leads Group/Sameera</t>
  </si>
  <si>
    <t>He will view today / tomorrow at 5;30Pm</t>
  </si>
  <si>
    <t>Thierry Marty</t>
  </si>
  <si>
    <t>+821072979880</t>
  </si>
  <si>
    <t xml:space="preserve">thierry.marty@yahoo.fr </t>
  </si>
  <si>
    <t>I have been looking in this property for service apartment 1BR type S1A, S1D,S1F and S2C. If you have such inventory in lower floor let me know</t>
  </si>
  <si>
    <t>munshad</t>
  </si>
  <si>
    <t>Tumay</t>
  </si>
  <si>
    <t>+971 565-269-081</t>
  </si>
  <si>
    <t>0506031164</t>
  </si>
  <si>
    <t>tdogan@ghc.us.com</t>
  </si>
  <si>
    <t>purchasing@icelabuae.com</t>
  </si>
  <si>
    <t>For RENT Kempinski Residences</t>
  </si>
  <si>
    <t>Staff Accommodation in Nuzul Building | Jebel Ali</t>
  </si>
  <si>
    <t>Ahmed Alzaabi</t>
  </si>
  <si>
    <t>+971508489949</t>
  </si>
  <si>
    <t>ahjalzaabi@hotmail.co.uk</t>
  </si>
  <si>
    <t>00971506877287</t>
  </si>
  <si>
    <t>randaibahsoun@yahoo.com</t>
  </si>
  <si>
    <t>Al Ain Plot Build your own villa | 58 AED/sqf | Phase 2.</t>
  </si>
  <si>
    <t>Inquire for Zaafaraan 2 for RENT</t>
  </si>
  <si>
    <t>asking for 125,000/-</t>
  </si>
  <si>
    <t>Gino</t>
  </si>
  <si>
    <t>+46707700458</t>
  </si>
  <si>
    <t>gino@ginos.se</t>
  </si>
  <si>
    <t>ayman</t>
  </si>
  <si>
    <t>+971 50 830 7962</t>
  </si>
  <si>
    <t>ameneassy@ueg.ae</t>
  </si>
  <si>
    <t>Inquire For The Address JBR</t>
  </si>
  <si>
    <t>Norman Stuseck</t>
  </si>
  <si>
    <t>4039904569</t>
  </si>
  <si>
    <t>nstuseck@woti.ca</t>
  </si>
  <si>
    <t>Message : Hello Are there any plots or villas already built where I could have a boat dock on my property? Thanks</t>
  </si>
  <si>
    <t>Leads Group / Sameera</t>
  </si>
  <si>
    <t>Hotel Living at Kempinski Residences</t>
  </si>
  <si>
    <t>TAMARA INJA JABER</t>
  </si>
  <si>
    <t>+971505597605</t>
  </si>
  <si>
    <t>tamara.inja@gmail.com</t>
  </si>
  <si>
    <t>Alvina</t>
  </si>
  <si>
    <t>+971 58 536 4778</t>
  </si>
  <si>
    <t>luxio.dubai@gmail.com</t>
  </si>
  <si>
    <t>Fro RENT Furnished 5 BR Villa | Behind Shangri-La</t>
  </si>
  <si>
    <t>Sunny virk</t>
  </si>
  <si>
    <t>sunny.virk88@yahoo.co.uk</t>
  </si>
  <si>
    <t>Xl Tower for RENT</t>
  </si>
  <si>
    <t>Sanober</t>
  </si>
  <si>
    <t>971582622340</t>
  </si>
  <si>
    <t>sanober.sharif@yahoo.com</t>
  </si>
  <si>
    <t>Sebastian Sager</t>
  </si>
  <si>
    <t>0525524046</t>
  </si>
  <si>
    <t>minuchawla@graffiti.net</t>
  </si>
  <si>
    <t>Inquire ofr The Hills A1</t>
  </si>
  <si>
    <t>Firoz Moti</t>
  </si>
  <si>
    <t>For RENT 2bedroom apartment in Zaafaran 2 old town</t>
  </si>
  <si>
    <t>+966563838005</t>
  </si>
  <si>
    <t xml:space="preserve">fmoti.56@gmail.com  </t>
  </si>
  <si>
    <t>Inquire for Amaranta</t>
  </si>
  <si>
    <t>Ivan Aver</t>
  </si>
  <si>
    <t>+971568866998</t>
  </si>
  <si>
    <t>Hrjobnewwaiinlife@gmail.com</t>
  </si>
  <si>
    <t>Rajesh</t>
  </si>
  <si>
    <t>7720007074</t>
  </si>
  <si>
    <t>Restaurant with Alcohol Licenses near to Al Mina Road.</t>
  </si>
  <si>
    <t>dharia.rajesh@gmail.com</t>
  </si>
  <si>
    <t>Restaurant space for lease on Marina Walk</t>
  </si>
  <si>
    <t>Monika</t>
  </si>
  <si>
    <t>0506162248</t>
  </si>
  <si>
    <t>kamu</t>
  </si>
  <si>
    <t xml:space="preserve">monica.a.saad@gmail.com </t>
  </si>
  <si>
    <t>+971 55 929 1729</t>
  </si>
  <si>
    <t>kamu@indusre.ae</t>
  </si>
  <si>
    <t>Royal Residence 1, Dubai Sports City</t>
  </si>
  <si>
    <t>Lama amin</t>
  </si>
  <si>
    <t>0553005159</t>
  </si>
  <si>
    <t>Lamaamin@gmail.com</t>
  </si>
  <si>
    <t>Resale | Maple 2E Corner Unit</t>
  </si>
  <si>
    <t>Huge 2 Bedroom + Study in Executive Bay</t>
  </si>
  <si>
    <t>your Restaurant with Alcohol Licenses near to Al Mina Road</t>
  </si>
  <si>
    <t>fahed roomi</t>
  </si>
  <si>
    <t>lawyer-395@hotmail.com</t>
  </si>
  <si>
    <t xml:space="preserve">Hi i have 3 bedroom villa in akoya oxsigin can you help me selling it </t>
  </si>
  <si>
    <t>Jaclyn</t>
  </si>
  <si>
    <t>0565491804</t>
  </si>
  <si>
    <t>jaclyn.redgwick@arcadia.sch.ae</t>
  </si>
  <si>
    <t>Futhi Cabe</t>
  </si>
  <si>
    <t>+971 54 402 2304</t>
  </si>
  <si>
    <t>futhc18@gmail.com</t>
  </si>
  <si>
    <t>RENT Al Manara Tower in Jumeirah Village Triangle,</t>
  </si>
  <si>
    <t>Tomasz</t>
  </si>
  <si>
    <t>+48 794 679 794</t>
  </si>
  <si>
    <t>najlaa</t>
  </si>
  <si>
    <t>tom-jakim@wp.pl</t>
  </si>
  <si>
    <t>+971 50 367 1683</t>
  </si>
  <si>
    <t>najageli@gmail.com</t>
  </si>
  <si>
    <t>Capital Bay For SALE</t>
  </si>
  <si>
    <t>Javed Khan</t>
  </si>
  <si>
    <t>966504385139</t>
  </si>
  <si>
    <t>mjkhansar@yahoo.com</t>
  </si>
  <si>
    <t>Nadra</t>
  </si>
  <si>
    <t>0567673317</t>
  </si>
  <si>
    <t>Called Tracking</t>
  </si>
  <si>
    <t>Capital Bay Tower A, Business Bay for SALE</t>
  </si>
  <si>
    <t>Inquire for Xl Tower for RENT</t>
  </si>
  <si>
    <t>Wafa Alhalabi</t>
  </si>
  <si>
    <t>+971 55 162 8037</t>
  </si>
  <si>
    <t>wafaalhalabi90@hotmail.com</t>
  </si>
  <si>
    <t>Sam (Agent)</t>
  </si>
  <si>
    <t>0509279079</t>
  </si>
  <si>
    <t>Looking for 2 BR in Dubai Creek area RESALE</t>
  </si>
  <si>
    <t>Anastacia</t>
  </si>
  <si>
    <t>0529068463</t>
  </si>
  <si>
    <t xml:space="preserve">Inquire for SELLING this apartment The Address The BLVD </t>
  </si>
  <si>
    <t>Inquire for Address BLVD</t>
  </si>
  <si>
    <t>Kadir</t>
  </si>
  <si>
    <t>004745818824</t>
  </si>
  <si>
    <t>gokhan_oslo@hotmail.com</t>
  </si>
  <si>
    <t>Manap</t>
  </si>
  <si>
    <t>00966505655204</t>
  </si>
  <si>
    <t>2 Bedroom Apartment Ready to Sell | Al Sahab 2 Dubai Marina</t>
  </si>
  <si>
    <t>Asking for Visa Residence Downtown</t>
  </si>
  <si>
    <t>wiktor ul</t>
  </si>
  <si>
    <t>+44 7584 629596</t>
  </si>
  <si>
    <t>wiktorul1330@hotmail.com</t>
  </si>
  <si>
    <t>0566867035</t>
  </si>
  <si>
    <t>Looking for Studio for Sale in Jumeirah Circle</t>
  </si>
  <si>
    <t>Ashraf</t>
  </si>
  <si>
    <t>045667224</t>
  </si>
  <si>
    <t>Inquire for Belleveu Tower</t>
  </si>
  <si>
    <t>Andja</t>
  </si>
  <si>
    <t>0528875648</t>
  </si>
  <si>
    <t>djaandjaa@hotmail.com</t>
  </si>
  <si>
    <t>yana leonova</t>
  </si>
  <si>
    <t>Inquire for Capital Bay for RENT</t>
  </si>
  <si>
    <t>+971 50 504 2562</t>
  </si>
  <si>
    <t>Dunia bakri</t>
  </si>
  <si>
    <t>0507421127</t>
  </si>
  <si>
    <t>duniaa.bakri@gmail.com</t>
  </si>
  <si>
    <t>yana-leonova@mail.com</t>
  </si>
  <si>
    <t>Inquire for Sidra</t>
  </si>
  <si>
    <t>Leads Group /Hedi</t>
  </si>
  <si>
    <t>Analyn</t>
  </si>
  <si>
    <t>971-4-341-7715</t>
  </si>
  <si>
    <t>analyn.bauyon-rivera@umdasch-shopfitting.com</t>
  </si>
  <si>
    <t>Murjan Tower for SALE</t>
  </si>
  <si>
    <t>Staff Accommodation in Al Quoz 3</t>
  </si>
  <si>
    <t>vishnu</t>
  </si>
  <si>
    <t>Syed</t>
  </si>
  <si>
    <t>0566010833</t>
  </si>
  <si>
    <t>syed_alinadir@hotmail.com</t>
  </si>
  <si>
    <t>+919080302973</t>
  </si>
  <si>
    <t>chakaravarthy.vishnu@gmail.com</t>
  </si>
  <si>
    <t>Fatih Hoyur</t>
  </si>
  <si>
    <t>+905324201423</t>
  </si>
  <si>
    <t>fatihhoyur@hotmail.com</t>
  </si>
  <si>
    <t>Dubai Hills</t>
  </si>
  <si>
    <t>Muhammad Hassan</t>
  </si>
  <si>
    <t>+971 55 375 9261</t>
  </si>
  <si>
    <t>hassan.n@textureproperties.com</t>
  </si>
  <si>
    <t>Harbour Views</t>
  </si>
  <si>
    <t>David Moore</t>
  </si>
  <si>
    <t>0566323890</t>
  </si>
  <si>
    <t>gemate.mail@gmail.com</t>
  </si>
  <si>
    <t>Address BLVD for RENT</t>
  </si>
  <si>
    <t>Vidya</t>
  </si>
  <si>
    <t>0529063002</t>
  </si>
  <si>
    <t>vs_nr@yahoo.com</t>
  </si>
  <si>
    <t>Murjan Tower for RENT</t>
  </si>
  <si>
    <t>Deena</t>
  </si>
  <si>
    <t>0566585234</t>
  </si>
  <si>
    <t>dhshawa@yahoo.com</t>
  </si>
  <si>
    <t>Royal Resisdence</t>
  </si>
  <si>
    <t>yasser</t>
  </si>
  <si>
    <t>00966534225522</t>
  </si>
  <si>
    <t>yaf500@yahoo.com</t>
  </si>
  <si>
    <t>The Address The BLVD for RENT</t>
  </si>
  <si>
    <t>ghazi</t>
  </si>
  <si>
    <t>+971 55 240 5552</t>
  </si>
  <si>
    <t>gabu@mercuria.com</t>
  </si>
  <si>
    <t>Atiq</t>
  </si>
  <si>
    <t>+971556451786</t>
  </si>
  <si>
    <t>atiqkapadia@hotmail.com</t>
  </si>
  <si>
    <t>Selling Running Events Business.</t>
  </si>
  <si>
    <t>+971 56 298 6211</t>
  </si>
  <si>
    <t>berlin.bangkok@hotmail.com</t>
  </si>
  <si>
    <t>Signature Villas for RENT</t>
  </si>
  <si>
    <t>0528296447</t>
  </si>
  <si>
    <t>Wael (agent)</t>
  </si>
  <si>
    <t>0508791336</t>
  </si>
  <si>
    <t>Hussain</t>
  </si>
  <si>
    <t>0562445662</t>
  </si>
  <si>
    <t>Geniusvr86@gmail.com</t>
  </si>
  <si>
    <t>Resale Safi Townhouses</t>
  </si>
  <si>
    <t>hajar</t>
  </si>
  <si>
    <t>+49 1521 6666696</t>
  </si>
  <si>
    <t>hajarbihi@gmail.com</t>
  </si>
  <si>
    <t>Ris</t>
  </si>
  <si>
    <t>0562269612</t>
  </si>
  <si>
    <t>Nick Whitford</t>
  </si>
  <si>
    <t>971-5-241-86676</t>
  </si>
  <si>
    <t>nickwhitfordseb@gmail.com</t>
  </si>
  <si>
    <t>Commercial</t>
  </si>
  <si>
    <t>Selling Restaurant with Good 2 concept</t>
  </si>
  <si>
    <t>Nadeem Qureshi</t>
  </si>
  <si>
    <t>nqureshi25@hotmail.com</t>
  </si>
  <si>
    <t>Inquire for 1Br in Dubai Creek or Downtown</t>
  </si>
  <si>
    <t>Akbar</t>
  </si>
  <si>
    <t>0561768866</t>
  </si>
  <si>
    <t>Sidra Looking 4-5 bedroom</t>
  </si>
  <si>
    <t>Mounir Ibrahim</t>
  </si>
  <si>
    <t>201222129185</t>
  </si>
  <si>
    <t>mounir@fresh.com.eg</t>
  </si>
  <si>
    <t>Navjeet kaur</t>
  </si>
  <si>
    <t>navitoor04@gmail.com</t>
  </si>
  <si>
    <t>Rika Dotson</t>
  </si>
  <si>
    <t>+1 208-352-0736</t>
  </si>
  <si>
    <t>rikadotsonone@gmail.com</t>
  </si>
  <si>
    <t>+971566524698</t>
  </si>
  <si>
    <t>mohammed.dawani@unb.ae</t>
  </si>
  <si>
    <t>josh williams</t>
  </si>
  <si>
    <t>1 502 622-8201</t>
  </si>
  <si>
    <t>jwilliamsh01@gmail.com</t>
  </si>
  <si>
    <t>adam westwater</t>
  </si>
  <si>
    <t>+971 58 598 3918</t>
  </si>
  <si>
    <t>dubaiinvestment1980@yahoo.com</t>
  </si>
  <si>
    <t>Saffron</t>
  </si>
  <si>
    <t>Rebekah Roe</t>
  </si>
  <si>
    <t>+44 7934 485108</t>
  </si>
  <si>
    <t>rebekah.amyroe@gmail.com</t>
  </si>
  <si>
    <t>Marina Diamond 1 for RENT</t>
  </si>
  <si>
    <t>Rob Carsan</t>
  </si>
  <si>
    <t>+61 428 296 145</t>
  </si>
  <si>
    <t>Signature Barsah Villa</t>
  </si>
  <si>
    <t>Over Budget</t>
  </si>
  <si>
    <t>Valentina</t>
  </si>
  <si>
    <t>0564844237</t>
  </si>
  <si>
    <t>André</t>
  </si>
  <si>
    <t>0585006421</t>
  </si>
  <si>
    <t>andrepmoreira@hotmail.com</t>
  </si>
  <si>
    <t>antoine</t>
  </si>
  <si>
    <t>+971565209702</t>
  </si>
  <si>
    <t>antoine.amassih@gmail.com</t>
  </si>
  <si>
    <t>Mai</t>
  </si>
  <si>
    <t>+971565107682</t>
  </si>
  <si>
    <t>maiinbkk@yahoo.com</t>
  </si>
  <si>
    <t>Scarlett Thomas</t>
  </si>
  <si>
    <t>+44 7564 274037</t>
  </si>
  <si>
    <t>st@rpint.com</t>
  </si>
  <si>
    <t>Marina Diamond 1.</t>
  </si>
  <si>
    <t>diana kumar</t>
  </si>
  <si>
    <t>+447537 129424</t>
  </si>
  <si>
    <t>diana.kummar08@gmail.com</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</si>
</sst>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m&quot; &quot;d&quot;, &quot;yyyy"/>
    <numFmt numFmtId="165" formatCode="d&quot;-&quot;mmm&quot;-&quot;yyyy"/>
    <numFmt numFmtId="166" formatCode="mm/dd/yyyy"/>
    <numFmt numFmtId="167" formatCode="m/d/yyyy"/>
    <numFmt numFmtId="168" formatCode="d-mmm-yyyy"/>
    <numFmt numFmtId="169" formatCode="dd mmm yyyy h:mm"/>
    <numFmt numFmtId="170" formatCode="d mmm yyyy h:mm"/>
    <numFmt numFmtId="171" formatCode="yyyy-mm-dd"/>
    <numFmt numFmtId="172" formatCode="d- mmm-yyyy"/>
  </numFmts>
  <fonts count="135">
    <font>
      <sz val="10.0"/>
      <color rgb="FF000000"/>
      <name val="Arial"/>
    </font>
    <font>
      <b/>
      <sz val="10.0"/>
      <color rgb="FF0000FF"/>
      <name val="Arial"/>
    </font>
    <font>
      <b/>
      <color rgb="FF0000FF"/>
    </font>
    <font>
      <sz val="10.0"/>
      <name val="Arial"/>
    </font>
    <font>
      <b/>
      <color rgb="FF434343"/>
    </font>
    <font>
      <b/>
      <sz val="10.0"/>
      <color rgb="FF434343"/>
      <name val="Arial"/>
    </font>
    <font>
      <color rgb="FF000000"/>
      <name val="Roboto"/>
    </font>
    <font/>
    <font>
      <color rgb="FF000000"/>
    </font>
    <font>
      <sz val="12.0"/>
      <color rgb="FF000000"/>
      <name val="Arial"/>
    </font>
    <font>
      <color rgb="FF434343"/>
    </font>
    <font>
      <color rgb="FF434343"/>
      <name val="Roboto"/>
    </font>
    <font>
      <sz val="10.0"/>
      <color rgb="FF434343"/>
      <name val="Arial"/>
    </font>
    <font>
      <u/>
      <color rgb="FF000000"/>
      <name val="Roboto"/>
    </font>
    <font>
      <color rgb="FF0000FF"/>
    </font>
    <font>
      <b/>
      <color rgb="FFFF0000"/>
    </font>
    <font>
      <b/>
      <sz val="10.0"/>
      <color rgb="FFFF0000"/>
      <name val="Arial"/>
    </font>
    <font>
      <u/>
      <sz val="12.0"/>
      <color rgb="FF000000"/>
      <name val="Arial"/>
    </font>
    <font>
      <sz val="9.0"/>
      <color rgb="FF2D383F"/>
      <name val="Arial"/>
    </font>
    <font>
      <u/>
      <sz val="9.0"/>
      <color rgb="FF2D383F"/>
      <name val="Arial"/>
    </font>
    <font>
      <sz val="12.0"/>
      <name val="Arial"/>
    </font>
    <font>
      <u/>
      <sz val="12.0"/>
      <color rgb="FF0000FF"/>
      <name val="Arial"/>
    </font>
    <font>
      <u/>
      <sz val="11.0"/>
      <color rgb="FF0000FF"/>
      <name val="Arial"/>
    </font>
    <font>
      <strike/>
      <color rgb="FF0000FF"/>
    </font>
    <font>
      <strike/>
    </font>
    <font>
      <sz val="11.0"/>
      <color rgb="FF000000"/>
      <name val="Inconsolata"/>
    </font>
    <font>
      <name val="Arial"/>
    </font>
    <font>
      <u/>
      <sz val="12.0"/>
      <color rgb="FF0000FF"/>
      <name val="Arial"/>
    </font>
    <font>
      <b/>
      <color rgb="FFFF0000"/>
      <name val="Arial"/>
    </font>
    <font>
      <u/>
      <color rgb="FF0000FF"/>
    </font>
    <font>
      <sz val="12.0"/>
    </font>
    <font>
      <u/>
      <sz val="12.0"/>
      <color rgb="FF0000FF"/>
      <name val="Arial"/>
    </font>
    <font>
      <b/>
      <sz val="12.0"/>
      <color rgb="FFFF0000"/>
      <name val="Arial"/>
    </font>
    <font>
      <sz val="11.0"/>
      <color rgb="FF4B4B4B"/>
      <name val="Arial"/>
    </font>
    <font>
      <sz val="11.0"/>
      <color rgb="FF000000"/>
      <name val="Calibri"/>
    </font>
    <font>
      <color rgb="FF000000"/>
      <name val="Arial"/>
    </font>
    <font>
      <b/>
      <color rgb="FFFF0000"/>
      <name val="Roboto"/>
    </font>
    <font>
      <strike/>
      <sz val="10.0"/>
      <color rgb="FF000000"/>
      <name val="Arial"/>
    </font>
    <font>
      <strike/>
      <sz val="12.0"/>
      <color rgb="FF000000"/>
      <name val="Arial"/>
    </font>
    <font>
      <sz val="11.0"/>
      <color rgb="FF0000FF"/>
      <name val="Calibri"/>
    </font>
    <font>
      <b/>
    </font>
    <font>
      <color rgb="FFFF0000"/>
    </font>
    <font>
      <sz val="12.0"/>
      <color rgb="FFFF0000"/>
      <name val="Arial"/>
    </font>
    <font>
      <color rgb="FF333333"/>
      <name val="Arial"/>
    </font>
    <font>
      <u/>
      <color rgb="FF337AB7"/>
      <name val="Arial"/>
    </font>
    <font>
      <u/>
      <sz val="11.0"/>
      <color rgb="FF0000FF"/>
      <name val="Arial"/>
    </font>
    <font>
      <sz val="11.0"/>
      <color rgb="FF535353"/>
      <name val="Arial"/>
    </font>
    <font>
      <u/>
      <sz val="11.0"/>
      <color rgb="FF17BBC1"/>
      <name val="Arial"/>
    </font>
    <font>
      <u/>
      <sz val="11.0"/>
      <color rgb="FF0000FF"/>
      <name val="Arial"/>
    </font>
    <font>
      <sz val="9.0"/>
      <color rgb="FF000000"/>
      <name val="Arial"/>
    </font>
    <font>
      <sz val="11.0"/>
      <color rgb="FF000000"/>
      <name val="Arial"/>
    </font>
    <font>
      <u/>
      <sz val="11.0"/>
      <color rgb="FF17BBC1"/>
      <name val="Arial"/>
    </font>
    <font>
      <sz val="12.0"/>
      <color rgb="FF000000"/>
    </font>
    <font>
      <b/>
      <sz val="10.0"/>
      <color rgb="FFFF0000"/>
    </font>
    <font>
      <u/>
      <sz val="12.0"/>
      <color rgb="FF0000FF"/>
      <name val="Arial"/>
    </font>
    <font>
      <sz val="12.0"/>
      <color rgb="FF2D383F"/>
      <name val="Open Sans"/>
    </font>
    <font>
      <sz val="10.0"/>
    </font>
    <font>
      <u/>
      <sz val="9.0"/>
      <color rgb="FF2D383F"/>
      <name val="Arial"/>
    </font>
    <font>
      <sz val="11.0"/>
      <color rgb="FF17BBC1"/>
      <name val="Arial"/>
    </font>
    <font>
      <b/>
      <u/>
      <sz val="12.0"/>
      <color rgb="FF0000FF"/>
      <name val="Arial"/>
    </font>
    <font>
      <u/>
      <sz val="11.0"/>
      <color rgb="FF535353"/>
      <name val="Arial"/>
    </font>
    <font>
      <u/>
      <sz val="11.0"/>
      <color rgb="FF17BBC1"/>
      <name val="Arial"/>
    </font>
    <font>
      <u/>
      <sz val="12.0"/>
      <color rgb="FF0000FF"/>
      <name val="Arial"/>
    </font>
    <font>
      <b/>
      <sz val="11.0"/>
      <color rgb="FFFF0000"/>
      <name val="Arial"/>
    </font>
    <font>
      <color rgb="FF434343"/>
      <name val="Arial"/>
    </font>
    <font>
      <b/>
      <color rgb="FF434343"/>
      <name val="Arial"/>
    </font>
    <font>
      <sz val="11.0"/>
      <color rgb="FF00FFFF"/>
      <name val="Arial"/>
    </font>
    <font>
      <sz val="12.0"/>
      <color rgb="FF2D383F"/>
      <name val="Arial"/>
    </font>
    <font>
      <u/>
      <sz val="12.0"/>
      <color rgb="FF2D383F"/>
      <name val="Arial"/>
    </font>
    <font>
      <sz val="11.0"/>
      <color rgb="FF212223"/>
      <name val="Proxima-nova"/>
    </font>
    <font>
      <sz val="9.0"/>
      <name val="Arial"/>
    </font>
    <font>
      <u/>
      <sz val="9.0"/>
      <color rgb="FF0000FF"/>
      <name val="Arial"/>
    </font>
    <font>
      <sz val="11.0"/>
      <color rgb="FF666666"/>
      <name val="Proxima-nova"/>
    </font>
    <font>
      <u/>
      <sz val="11.0"/>
      <color rgb="FF535353"/>
      <name val="Arial"/>
    </font>
    <font>
      <u/>
      <sz val="11.0"/>
      <color rgb="FF000000"/>
      <name val="Lato"/>
    </font>
    <font>
      <sz val="10.0"/>
      <color rgb="FF2D383F"/>
      <name val="Open Sans"/>
    </font>
    <font>
      <sz val="11.0"/>
    </font>
    <font>
      <sz val="11.0"/>
      <name val="Calibri"/>
    </font>
    <font>
      <sz val="11.0"/>
      <name val="Arial"/>
    </font>
    <font>
      <b/>
      <sz val="11.0"/>
      <color rgb="FFFF0000"/>
      <name val="Calibri"/>
    </font>
    <font>
      <sz val="12.0"/>
      <color rgb="FF2D383F"/>
      <name val="Calibri"/>
    </font>
    <font>
      <sz val="9.0"/>
      <color rgb="FF2D383F"/>
      <name val="Lato"/>
    </font>
    <font>
      <sz val="11.0"/>
      <color rgb="FF8A8A8A"/>
      <name val="Arial"/>
    </font>
    <font>
      <b/>
      <sz val="9.0"/>
      <color rgb="FFFF0000"/>
      <name val="Arial"/>
    </font>
    <font>
      <sz val="9.0"/>
      <color rgb="FF444444"/>
      <name val="Lato"/>
    </font>
    <font>
      <sz val="9.0"/>
    </font>
    <font>
      <u/>
      <sz val="9.0"/>
      <color rgb="FF0000FF"/>
    </font>
    <font>
      <sz val="11.0"/>
      <color rgb="FF2D383F"/>
      <name val="Calibri"/>
    </font>
    <font>
      <b/>
      <sz val="9.0"/>
    </font>
    <font>
      <b/>
      <sz val="9.0"/>
      <color rgb="FFFF0000"/>
    </font>
    <font>
      <u/>
      <sz val="9.0"/>
      <color rgb="FF606060"/>
      <name val="Arial"/>
    </font>
    <font>
      <sz val="10.0"/>
      <color rgb="FF000000"/>
    </font>
    <font>
      <u/>
      <sz val="9.0"/>
      <color rgb="FF000000"/>
      <name val="Arial"/>
    </font>
    <font>
      <b/>
      <color rgb="FF0000FF"/>
      <name val="Arial"/>
    </font>
    <font>
      <sz val="10.0"/>
      <color rgb="FF535353"/>
      <name val="Arial"/>
    </font>
    <font>
      <u/>
      <sz val="10.0"/>
      <color rgb="FF535353"/>
      <name val="Arial"/>
    </font>
    <font>
      <u/>
      <sz val="12.0"/>
      <color rgb="FF2D383F"/>
      <name val="Arial"/>
    </font>
    <font>
      <u/>
      <sz val="9.0"/>
      <color rgb="FF000000"/>
      <name val="Arial"/>
    </font>
    <font>
      <u/>
      <sz val="10.0"/>
      <color rgb="FF0000FF"/>
      <name val="Arial"/>
    </font>
    <font>
      <sz val="9.0"/>
      <color rgb="FF606060"/>
      <name val="Arial"/>
    </font>
    <font>
      <sz val="10.0"/>
      <color rgb="FF2D383F"/>
      <name val="Arial"/>
    </font>
    <font>
      <u/>
      <sz val="10.0"/>
      <color rgb="FF2D383F"/>
      <name val="Arial"/>
    </font>
    <font>
      <sz val="10.0"/>
      <color rgb="FF222222"/>
      <name val="Lato"/>
    </font>
    <font>
      <u/>
      <sz val="12.0"/>
      <color rgb="FF0000FF"/>
      <name val="Arial"/>
    </font>
    <font>
      <sz val="11.0"/>
      <color rgb="FF444444"/>
      <name val="Lato"/>
    </font>
    <font>
      <sz val="10.0"/>
      <color rgb="FFFF0000"/>
      <name val="Arial"/>
    </font>
    <font>
      <u/>
      <sz val="9.0"/>
      <color rgb="FF0000FF"/>
      <name val="Arial"/>
    </font>
    <font>
      <u/>
      <sz val="10.0"/>
      <color rgb="FF000000"/>
      <name val="Arial"/>
    </font>
    <font>
      <color rgb="FF2D383F"/>
      <name val="Arial"/>
    </font>
    <font>
      <u/>
      <sz val="12.0"/>
      <color rgb="FF2D383F"/>
      <name val="Helvetica"/>
    </font>
    <font>
      <u/>
      <sz val="9.0"/>
      <color rgb="FF606060"/>
      <name val="Helvetica"/>
    </font>
    <font>
      <u/>
      <sz val="10.0"/>
      <color rgb="FF337AB7"/>
      <name val="Arial"/>
    </font>
    <font>
      <u/>
      <color rgb="FF333333"/>
      <name val="Arial"/>
    </font>
    <font>
      <sz val="10.0"/>
      <color rgb="FF606060"/>
      <name val="Arial"/>
    </font>
    <font>
      <u/>
      <sz val="9.0"/>
      <color rgb="FF606060"/>
      <name val="Arial"/>
    </font>
    <font>
      <u/>
      <sz val="10.0"/>
      <color rgb="FF333333"/>
      <name val="Arial"/>
    </font>
    <font>
      <sz val="10.0"/>
      <color rgb="FF212223"/>
      <name val="Arial"/>
    </font>
    <font>
      <sz val="10.0"/>
      <color rgb="FF2F608F"/>
      <name val="Arial"/>
    </font>
    <font>
      <u/>
      <color rgb="FF0000FF"/>
    </font>
    <font>
      <u/>
      <color rgb="FF333333"/>
      <name val="Arial"/>
    </font>
    <font>
      <u/>
      <sz val="10.0"/>
      <color rgb="FF606060"/>
      <name val="Arial"/>
    </font>
    <font>
      <u/>
      <sz val="11.0"/>
      <color rgb="FF0000FF"/>
      <name val="Arial"/>
    </font>
    <font>
      <u/>
      <color rgb="FF333333"/>
      <name val="Arial"/>
    </font>
    <font>
      <sz val="12.0"/>
      <color rgb="FF798386"/>
      <name val="Lato"/>
    </font>
    <font>
      <u/>
      <sz val="12.0"/>
      <color rgb="FF17BBC1"/>
      <name val="Lato"/>
    </font>
    <font>
      <u/>
      <sz val="12.0"/>
      <color rgb="FF2D383F"/>
      <name val="Arial"/>
    </font>
    <font>
      <name val="Inherit"/>
    </font>
    <font>
      <sz val="11.0"/>
      <color rgb="FF2D383F"/>
      <name val="Arial"/>
    </font>
    <font>
      <sz val="9.0"/>
      <color rgb="FF454748"/>
      <name val="Inherit"/>
    </font>
    <font>
      <sz val="10.0"/>
      <color rgb="FF0000FF"/>
      <name val="Arial"/>
    </font>
    <font>
      <sz val="12.0"/>
      <color rgb="FF2D383F"/>
      <name val="Helvetica"/>
    </font>
    <font>
      <u/>
      <sz val="9.0"/>
      <color rgb="FF000000"/>
      <name val="Arial"/>
    </font>
    <font>
      <sz val="10.0"/>
      <color rgb="FF333333"/>
      <name val="Arial"/>
    </font>
    <font>
      <u/>
      <sz val="10.0"/>
      <color rgb="FF2D383F"/>
      <name val="Arial"/>
    </font>
    <font>
      <u/>
      <sz val="10.0"/>
      <color rgb="FF2D383F"/>
      <name val="Arial"/>
    </font>
  </fonts>
  <fills count="12">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F9900"/>
        <bgColor rgb="FFFF9900"/>
      </patternFill>
    </fill>
    <fill>
      <patternFill patternType="solid">
        <fgColor rgb="FF00FFFF"/>
        <bgColor rgb="FF00FFFF"/>
      </patternFill>
    </fill>
    <fill>
      <patternFill patternType="solid">
        <fgColor rgb="FF000000"/>
        <bgColor rgb="FF000000"/>
      </patternFill>
    </fill>
    <fill>
      <patternFill patternType="solid">
        <fgColor rgb="FFE69138"/>
        <bgColor rgb="FFE69138"/>
      </patternFill>
    </fill>
    <fill>
      <patternFill patternType="solid">
        <fgColor rgb="FF00FF00"/>
        <bgColor rgb="FF00FF00"/>
      </patternFill>
    </fill>
    <fill>
      <patternFill patternType="solid">
        <fgColor rgb="FFFFFF00"/>
        <bgColor rgb="FFFFFF00"/>
      </patternFill>
    </fill>
    <fill>
      <patternFill patternType="solid">
        <fgColor rgb="FFFAFAFA"/>
        <bgColor rgb="FFFAFAFA"/>
      </patternFill>
    </fill>
  </fills>
  <borders count="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border>
    <border>
      <top style="thin">
        <color rgb="FF000000"/>
      </top>
    </border>
    <border>
      <top/>
    </border>
    <border>
      <right/>
      <top/>
    </border>
  </borders>
  <cellStyleXfs count="1">
    <xf borderId="0" fillId="0" fontId="0" numFmtId="0" applyAlignment="1" applyFont="1"/>
  </cellStyleXfs>
  <cellXfs count="520">
    <xf borderId="0" fillId="0" fontId="0" numFmtId="0" xfId="0" applyAlignment="1" applyFont="1">
      <alignment readingOrder="0" shrinkToFit="0" vertical="bottom" wrapText="0"/>
    </xf>
    <xf borderId="1" fillId="0" fontId="1" numFmtId="164" xfId="0" applyAlignment="1" applyBorder="1" applyFont="1" applyNumberFormat="1">
      <alignment horizontal="left" readingOrder="0" vertical="bottom"/>
    </xf>
    <xf borderId="2" fillId="0" fontId="1" numFmtId="0" xfId="0" applyAlignment="1" applyBorder="1" applyFont="1">
      <alignment horizontal="left" vertical="bottom"/>
    </xf>
    <xf borderId="2" fillId="0" fontId="1" numFmtId="0" xfId="0" applyAlignment="1" applyBorder="1" applyFont="1">
      <alignment horizontal="left" readingOrder="0" vertical="bottom"/>
    </xf>
    <xf borderId="2" fillId="0" fontId="1" numFmtId="0" xfId="0" applyAlignment="1" applyBorder="1" applyFont="1">
      <alignment horizontal="left" vertical="bottom"/>
    </xf>
    <xf borderId="0" fillId="2" fontId="2" numFmtId="0" xfId="0" applyAlignment="1" applyFill="1" applyFont="1">
      <alignment readingOrder="0"/>
    </xf>
    <xf borderId="2" fillId="0" fontId="1" numFmtId="0" xfId="0" applyAlignment="1" applyBorder="1" applyFont="1">
      <alignment horizontal="left" shrinkToFit="0" vertical="bottom" wrapText="0"/>
    </xf>
    <xf borderId="2" fillId="2" fontId="1" numFmtId="0" xfId="0" applyAlignment="1" applyBorder="1" applyFont="1">
      <alignment horizontal="left" vertical="bottom"/>
    </xf>
    <xf borderId="2" fillId="0" fontId="3" numFmtId="0" xfId="0" applyAlignment="1" applyBorder="1" applyFont="1">
      <alignment horizontal="left" vertical="bottom"/>
    </xf>
    <xf borderId="0" fillId="0" fontId="3" numFmtId="0" xfId="0" applyAlignment="1" applyFont="1">
      <alignment vertical="bottom"/>
    </xf>
    <xf borderId="3" fillId="2" fontId="4" numFmtId="165" xfId="0" applyAlignment="1" applyBorder="1" applyFont="1" applyNumberFormat="1">
      <alignment horizontal="left" readingOrder="0"/>
    </xf>
    <xf borderId="2" fillId="2" fontId="1" numFmtId="0" xfId="0" applyAlignment="1" applyBorder="1" applyFont="1">
      <alignment horizontal="left" readingOrder="0" vertical="bottom"/>
    </xf>
    <xf borderId="0" fillId="0" fontId="0" numFmtId="166" xfId="0" applyAlignment="1" applyFont="1" applyNumberFormat="1">
      <alignment horizontal="left" readingOrder="0" vertical="bottom"/>
    </xf>
    <xf borderId="2" fillId="2" fontId="5" numFmtId="0" xfId="0" applyAlignment="1" applyBorder="1" applyFont="1">
      <alignment horizontal="left" vertical="bottom"/>
    </xf>
    <xf borderId="0" fillId="0" fontId="0" numFmtId="0" xfId="0" applyAlignment="1" applyFont="1">
      <alignment horizontal="left" readingOrder="0" vertical="bottom"/>
    </xf>
    <xf borderId="0" fillId="0" fontId="0" numFmtId="0" xfId="0" applyAlignment="1" applyFont="1">
      <alignment horizontal="left" vertical="bottom"/>
    </xf>
    <xf quotePrefix="1" borderId="0" fillId="0" fontId="0" numFmtId="0" xfId="0" applyAlignment="1" applyFont="1">
      <alignment horizontal="left" readingOrder="0" vertical="bottom"/>
    </xf>
    <xf borderId="0" fillId="3" fontId="6" numFmtId="0" xfId="0" applyAlignment="1" applyFill="1" applyFont="1">
      <alignment horizontal="left" readingOrder="0"/>
    </xf>
    <xf borderId="2" fillId="2" fontId="1" numFmtId="0" xfId="0" applyAlignment="1" applyBorder="1" applyFont="1">
      <alignment horizontal="left" readingOrder="0" vertical="bottom"/>
    </xf>
    <xf borderId="0" fillId="0" fontId="7" numFmtId="0" xfId="0" applyAlignment="1" applyFont="1">
      <alignment horizontal="left" readingOrder="0"/>
    </xf>
    <xf borderId="0" fillId="0" fontId="8" numFmtId="0" xfId="0" applyAlignment="1" applyFont="1">
      <alignment horizontal="left"/>
    </xf>
    <xf borderId="0" fillId="0" fontId="8" numFmtId="0" xfId="0" applyAlignment="1" applyFont="1">
      <alignment horizontal="left" readingOrder="0"/>
    </xf>
    <xf borderId="0" fillId="0" fontId="8" numFmtId="0" xfId="0" applyFont="1"/>
    <xf borderId="2" fillId="2" fontId="5" numFmtId="0" xfId="0" applyAlignment="1" applyBorder="1" applyFont="1">
      <alignment horizontal="left" readingOrder="0" vertical="bottom"/>
    </xf>
    <xf borderId="0" fillId="3" fontId="0" numFmtId="165" xfId="0" applyAlignment="1" applyFont="1" applyNumberFormat="1">
      <alignment horizontal="left" readingOrder="0" vertical="bottom"/>
    </xf>
    <xf borderId="2" fillId="2" fontId="5" numFmtId="0" xfId="0" applyAlignment="1" applyBorder="1" applyFont="1">
      <alignment horizontal="left" readingOrder="0" vertical="bottom"/>
    </xf>
    <xf borderId="0" fillId="3" fontId="9" numFmtId="0" xfId="0" applyAlignment="1" applyFont="1">
      <alignment readingOrder="0"/>
    </xf>
    <xf borderId="0" fillId="3" fontId="0" numFmtId="0" xfId="0" applyAlignment="1" applyFont="1">
      <alignment horizontal="left" vertical="bottom"/>
    </xf>
    <xf quotePrefix="1" borderId="0" fillId="3" fontId="0" numFmtId="0" xfId="0" applyAlignment="1" applyFont="1">
      <alignment horizontal="left" readingOrder="0" vertical="bottom"/>
    </xf>
    <xf borderId="0" fillId="3" fontId="10" numFmtId="165" xfId="0" applyAlignment="1" applyFont="1" applyNumberFormat="1">
      <alignment horizontal="left" readingOrder="0"/>
    </xf>
    <xf borderId="0" fillId="3" fontId="11" numFmtId="0" xfId="0" applyAlignment="1" applyFont="1">
      <alignment readingOrder="0"/>
    </xf>
    <xf quotePrefix="1" borderId="0" fillId="3" fontId="11" numFmtId="0" xfId="0" applyAlignment="1" applyFont="1">
      <alignment readingOrder="0"/>
    </xf>
    <xf borderId="0" fillId="3" fontId="11" numFmtId="0" xfId="0" applyAlignment="1" applyFont="1">
      <alignment horizontal="left" readingOrder="0"/>
    </xf>
    <xf borderId="0" fillId="3" fontId="12" numFmtId="0" xfId="0" applyAlignment="1" applyFont="1">
      <alignment horizontal="left" readingOrder="0" vertical="bottom"/>
    </xf>
    <xf borderId="0" fillId="3" fontId="5" numFmtId="0" xfId="0" applyAlignment="1" applyFont="1">
      <alignment horizontal="left" readingOrder="0" vertical="bottom"/>
    </xf>
    <xf borderId="0" fillId="3" fontId="13" numFmtId="0" xfId="0" applyAlignment="1" applyFont="1">
      <alignment horizontal="left" readingOrder="0"/>
    </xf>
    <xf borderId="0" fillId="0" fontId="7" numFmtId="0" xfId="0" applyAlignment="1" applyFont="1">
      <alignment readingOrder="0"/>
    </xf>
    <xf borderId="0" fillId="0" fontId="14" numFmtId="0" xfId="0" applyAlignment="1" applyFont="1">
      <alignment readingOrder="0"/>
    </xf>
    <xf borderId="0" fillId="0" fontId="7" numFmtId="0" xfId="0" applyAlignment="1" applyFont="1">
      <alignment horizontal="left"/>
    </xf>
    <xf borderId="0" fillId="4" fontId="10" numFmtId="165" xfId="0" applyAlignment="1" applyFill="1" applyFont="1" applyNumberFormat="1">
      <alignment horizontal="left" readingOrder="0"/>
    </xf>
    <xf borderId="0" fillId="0" fontId="7" numFmtId="166" xfId="0" applyAlignment="1" applyFont="1" applyNumberFormat="1">
      <alignment horizontal="left" readingOrder="0"/>
    </xf>
    <xf borderId="0" fillId="4" fontId="12" numFmtId="0" xfId="0" applyAlignment="1" applyFont="1">
      <alignment horizontal="left" readingOrder="0" vertical="bottom"/>
    </xf>
    <xf quotePrefix="1" borderId="0" fillId="0" fontId="15" numFmtId="0" xfId="0" applyAlignment="1" applyFont="1">
      <alignment horizontal="left" readingOrder="0"/>
    </xf>
    <xf quotePrefix="1" borderId="0" fillId="4" fontId="16" numFmtId="0" xfId="0" applyAlignment="1" applyFont="1">
      <alignment horizontal="left" readingOrder="0" vertical="bottom"/>
    </xf>
    <xf borderId="0" fillId="4" fontId="5" numFmtId="0" xfId="0" applyAlignment="1" applyFont="1">
      <alignment horizontal="left" readingOrder="0" vertical="bottom"/>
    </xf>
    <xf borderId="0" fillId="3" fontId="17" numFmtId="0" xfId="0" applyAlignment="1" applyFont="1">
      <alignment readingOrder="0"/>
    </xf>
    <xf borderId="0" fillId="3" fontId="6" numFmtId="0" xfId="0" applyAlignment="1" applyFont="1">
      <alignment horizontal="left" readingOrder="0"/>
    </xf>
    <xf borderId="0" fillId="3" fontId="0" numFmtId="0" xfId="0" applyAlignment="1" applyFont="1">
      <alignment horizontal="left" readingOrder="0" vertical="bottom"/>
    </xf>
    <xf quotePrefix="1" borderId="0" fillId="3" fontId="12" numFmtId="0" xfId="0" applyAlignment="1" applyFont="1">
      <alignment horizontal="left" readingOrder="0" vertical="bottom"/>
    </xf>
    <xf borderId="0" fillId="0" fontId="8" numFmtId="0" xfId="0" applyAlignment="1" applyFont="1">
      <alignment readingOrder="0"/>
    </xf>
    <xf borderId="0" fillId="0" fontId="7" numFmtId="0" xfId="0" applyAlignment="1" applyFont="1">
      <alignment horizontal="left" readingOrder="0"/>
    </xf>
    <xf borderId="0" fillId="4" fontId="0" numFmtId="165" xfId="0" applyAlignment="1" applyFont="1" applyNumberFormat="1">
      <alignment horizontal="left" readingOrder="0" vertical="bottom"/>
    </xf>
    <xf borderId="0" fillId="4" fontId="10" numFmtId="0" xfId="0" applyAlignment="1" applyFont="1">
      <alignment readingOrder="0"/>
    </xf>
    <xf borderId="0" fillId="4" fontId="0" numFmtId="0" xfId="0" applyAlignment="1" applyFont="1">
      <alignment horizontal="left" readingOrder="0" vertical="bottom"/>
    </xf>
    <xf quotePrefix="1" borderId="0" fillId="4" fontId="15" numFmtId="0" xfId="0" applyAlignment="1" applyFont="1">
      <alignment readingOrder="0"/>
    </xf>
    <xf borderId="0" fillId="4" fontId="0" numFmtId="0" xfId="0" applyAlignment="1" applyFont="1">
      <alignment horizontal="left" vertical="bottom"/>
    </xf>
    <xf borderId="0" fillId="4" fontId="10" numFmtId="0" xfId="0" applyAlignment="1" applyFont="1">
      <alignment horizontal="left" readingOrder="0"/>
    </xf>
    <xf quotePrefix="1" borderId="0" fillId="4" fontId="0" numFmtId="0" xfId="0" applyAlignment="1" applyFont="1">
      <alignment horizontal="left" readingOrder="0" vertical="bottom"/>
    </xf>
    <xf borderId="0" fillId="3" fontId="10" numFmtId="0" xfId="0" applyAlignment="1" applyFont="1">
      <alignment readingOrder="0"/>
    </xf>
    <xf quotePrefix="1" borderId="0" fillId="3" fontId="15" numFmtId="0" xfId="0" applyAlignment="1" applyFont="1">
      <alignment horizontal="left" readingOrder="0"/>
    </xf>
    <xf borderId="0" fillId="0" fontId="7" numFmtId="0" xfId="0" applyAlignment="1" applyFont="1">
      <alignment horizontal="left" readingOrder="0"/>
    </xf>
    <xf borderId="0" fillId="3" fontId="10" numFmtId="0" xfId="0" applyAlignment="1" applyFont="1">
      <alignment horizontal="left" readingOrder="0"/>
    </xf>
    <xf borderId="0" fillId="3" fontId="6" numFmtId="0" xfId="0" applyAlignment="1" applyFont="1">
      <alignment horizontal="left" readingOrder="0"/>
    </xf>
    <xf borderId="0" fillId="3" fontId="7" numFmtId="0" xfId="0" applyAlignment="1" applyFont="1">
      <alignment readingOrder="0"/>
    </xf>
    <xf borderId="0" fillId="4" fontId="10" numFmtId="0" xfId="0" applyAlignment="1" applyFont="1">
      <alignment horizontal="left" readingOrder="0"/>
    </xf>
    <xf borderId="0" fillId="0" fontId="7" numFmtId="167" xfId="0" applyAlignment="1" applyFont="1" applyNumberFormat="1">
      <alignment horizontal="left" readingOrder="0"/>
    </xf>
    <xf borderId="0" fillId="4" fontId="7" numFmtId="0" xfId="0" applyAlignment="1" applyFont="1">
      <alignment readingOrder="0"/>
    </xf>
    <xf borderId="0" fillId="0" fontId="18" numFmtId="0" xfId="0" applyAlignment="1" applyFont="1">
      <alignment horizontal="left" readingOrder="0"/>
    </xf>
    <xf quotePrefix="1" borderId="0" fillId="4" fontId="7" numFmtId="0" xfId="0" applyAlignment="1" applyFont="1">
      <alignment readingOrder="0"/>
    </xf>
    <xf quotePrefix="1" borderId="0" fillId="0" fontId="18" numFmtId="0" xfId="0" applyAlignment="1" applyFont="1">
      <alignment horizontal="left" readingOrder="0"/>
    </xf>
    <xf quotePrefix="1" borderId="0" fillId="4" fontId="10" numFmtId="0" xfId="0" applyAlignment="1" applyFont="1">
      <alignment readingOrder="0"/>
    </xf>
    <xf borderId="0" fillId="3" fontId="8" numFmtId="0" xfId="0" applyAlignment="1" applyFont="1">
      <alignment readingOrder="0"/>
    </xf>
    <xf quotePrefix="1" borderId="0" fillId="3" fontId="7" numFmtId="0" xfId="0" applyAlignment="1" applyFont="1">
      <alignment readingOrder="0"/>
    </xf>
    <xf borderId="0" fillId="0" fontId="19" numFmtId="0" xfId="0" applyAlignment="1" applyFont="1">
      <alignment horizontal="left" readingOrder="0"/>
    </xf>
    <xf borderId="0" fillId="4" fontId="7" numFmtId="0" xfId="0" applyAlignment="1" applyFont="1">
      <alignment horizontal="left" readingOrder="0"/>
    </xf>
    <xf quotePrefix="1" borderId="0" fillId="0" fontId="7" numFmtId="0" xfId="0" applyAlignment="1" applyFont="1">
      <alignment horizontal="left" readingOrder="0"/>
    </xf>
    <xf quotePrefix="1" borderId="0" fillId="3" fontId="10" numFmtId="0" xfId="0" applyAlignment="1" applyFont="1">
      <alignment readingOrder="0"/>
    </xf>
    <xf borderId="0" fillId="0" fontId="20" numFmtId="0" xfId="0" applyAlignment="1" applyFont="1">
      <alignment horizontal="left" readingOrder="0"/>
    </xf>
    <xf quotePrefix="1" borderId="0" fillId="3" fontId="15" numFmtId="0" xfId="0" applyAlignment="1" applyFont="1">
      <alignment readingOrder="0"/>
    </xf>
    <xf borderId="0" fillId="4" fontId="7" numFmtId="0" xfId="0" applyAlignment="1" applyFont="1">
      <alignment readingOrder="0"/>
    </xf>
    <xf borderId="0" fillId="0" fontId="21" numFmtId="0" xfId="0" applyAlignment="1" applyFont="1">
      <alignment horizontal="left" readingOrder="0"/>
    </xf>
    <xf quotePrefix="1" borderId="0" fillId="4" fontId="15" numFmtId="0" xfId="0" applyAlignment="1" applyFont="1">
      <alignment horizontal="left" readingOrder="0"/>
    </xf>
    <xf borderId="0" fillId="3" fontId="7" numFmtId="0" xfId="0" applyAlignment="1" applyFont="1">
      <alignment readingOrder="0"/>
    </xf>
    <xf borderId="0" fillId="0" fontId="22" numFmtId="0" xfId="0" applyAlignment="1" applyFont="1">
      <alignment horizontal="left" readingOrder="0"/>
    </xf>
    <xf quotePrefix="1" borderId="0" fillId="0" fontId="20" numFmtId="0" xfId="0" applyAlignment="1" applyFont="1">
      <alignment horizontal="left" readingOrder="0"/>
    </xf>
    <xf borderId="0" fillId="4" fontId="10" numFmtId="0" xfId="0" applyAlignment="1" applyFont="1">
      <alignment readingOrder="0"/>
    </xf>
    <xf borderId="0" fillId="4" fontId="9" numFmtId="0" xfId="0" applyAlignment="1" applyFont="1">
      <alignment readingOrder="0"/>
    </xf>
    <xf borderId="0" fillId="0" fontId="7" numFmtId="0" xfId="0" applyAlignment="1" applyFont="1">
      <alignment readingOrder="0"/>
    </xf>
    <xf borderId="0" fillId="0" fontId="23" numFmtId="0" xfId="0" applyAlignment="1" applyFont="1">
      <alignment readingOrder="0"/>
    </xf>
    <xf borderId="0" fillId="4" fontId="9" numFmtId="0" xfId="0" applyAlignment="1" applyFont="1">
      <alignment readingOrder="0"/>
    </xf>
    <xf borderId="0" fillId="0" fontId="24" numFmtId="0" xfId="0" applyAlignment="1" applyFont="1">
      <alignment readingOrder="0"/>
    </xf>
    <xf borderId="0" fillId="0" fontId="7" numFmtId="0" xfId="0" applyAlignment="1" applyFont="1">
      <alignment horizontal="left" readingOrder="0"/>
    </xf>
    <xf borderId="0" fillId="3" fontId="9" numFmtId="0" xfId="0" applyAlignment="1" applyFont="1">
      <alignment readingOrder="0"/>
    </xf>
    <xf borderId="0" fillId="3" fontId="25" numFmtId="0" xfId="0" applyAlignment="1" applyFont="1">
      <alignment horizontal="left" readingOrder="0"/>
    </xf>
    <xf borderId="0" fillId="3" fontId="20" numFmtId="0" xfId="0" applyAlignment="1" applyFont="1">
      <alignment readingOrder="0"/>
    </xf>
    <xf borderId="0" fillId="0" fontId="15" numFmtId="0" xfId="0" applyAlignment="1" applyFont="1">
      <alignment horizontal="left"/>
    </xf>
    <xf quotePrefix="1" borderId="0" fillId="3" fontId="20" numFmtId="0" xfId="0" applyAlignment="1" applyFont="1">
      <alignment readingOrder="0"/>
    </xf>
    <xf borderId="0" fillId="4" fontId="10" numFmtId="0" xfId="0" applyFont="1"/>
    <xf borderId="0" fillId="0" fontId="7" numFmtId="0" xfId="0" applyAlignment="1" applyFont="1">
      <alignment horizontal="left" readingOrder="0"/>
    </xf>
    <xf borderId="0" fillId="3" fontId="4" numFmtId="165" xfId="0" applyAlignment="1" applyFont="1" applyNumberFormat="1">
      <alignment horizontal="left" readingOrder="0"/>
    </xf>
    <xf borderId="0" fillId="0" fontId="26" numFmtId="167" xfId="0" applyAlignment="1" applyFont="1" applyNumberFormat="1">
      <alignment horizontal="left" readingOrder="0" vertical="bottom"/>
    </xf>
    <xf borderId="0" fillId="3" fontId="27" numFmtId="0" xfId="0" applyAlignment="1" applyFont="1">
      <alignment readingOrder="0"/>
    </xf>
    <xf borderId="0" fillId="0" fontId="26" numFmtId="0" xfId="0" applyAlignment="1" applyFont="1">
      <alignment horizontal="left" vertical="bottom"/>
    </xf>
    <xf borderId="0" fillId="3" fontId="28" numFmtId="0" xfId="0" applyAlignment="1" applyFont="1">
      <alignment horizontal="left" vertical="bottom"/>
    </xf>
    <xf borderId="4" fillId="0" fontId="26" numFmtId="0" xfId="0" applyAlignment="1" applyBorder="1" applyFont="1">
      <alignment horizontal="left" readingOrder="0" shrinkToFit="0" vertical="bottom" wrapText="0"/>
    </xf>
    <xf borderId="4" fillId="0" fontId="26" numFmtId="0" xfId="0" applyAlignment="1" applyBorder="1" applyFont="1">
      <alignment horizontal="left" vertical="bottom"/>
    </xf>
    <xf borderId="0" fillId="0" fontId="26" numFmtId="0" xfId="0" applyAlignment="1" applyFont="1">
      <alignment vertical="bottom"/>
    </xf>
    <xf borderId="0" fillId="4" fontId="28" numFmtId="0" xfId="0" applyAlignment="1" applyFont="1">
      <alignment horizontal="left" vertical="bottom"/>
    </xf>
    <xf quotePrefix="1" borderId="0" fillId="0" fontId="7" numFmtId="0" xfId="0" applyAlignment="1" applyFont="1">
      <alignment horizontal="left" readingOrder="0"/>
    </xf>
    <xf quotePrefix="1" borderId="0" fillId="0" fontId="15" numFmtId="0" xfId="0" applyAlignment="1" applyFont="1">
      <alignment horizontal="left" readingOrder="0"/>
    </xf>
    <xf borderId="0" fillId="0" fontId="29" numFmtId="0" xfId="0" applyAlignment="1" applyFont="1">
      <alignment readingOrder="0"/>
    </xf>
    <xf borderId="0" fillId="0" fontId="15" numFmtId="0" xfId="0" applyAlignment="1" applyFont="1">
      <alignment horizontal="left"/>
    </xf>
    <xf borderId="0" fillId="4" fontId="7" numFmtId="0" xfId="0" applyAlignment="1" applyFont="1">
      <alignment horizontal="left" readingOrder="0"/>
    </xf>
    <xf borderId="0" fillId="4" fontId="28" numFmtId="0" xfId="0" applyAlignment="1" applyFont="1">
      <alignment horizontal="left" vertical="bottom"/>
    </xf>
    <xf borderId="0" fillId="3" fontId="7" numFmtId="0" xfId="0" applyAlignment="1" applyFont="1">
      <alignment horizontal="left" readingOrder="0"/>
    </xf>
    <xf borderId="0" fillId="0" fontId="26" numFmtId="167" xfId="0" applyAlignment="1" applyFont="1" applyNumberFormat="1">
      <alignment horizontal="left" vertical="bottom"/>
    </xf>
    <xf borderId="0" fillId="0" fontId="26" numFmtId="0" xfId="0" applyAlignment="1" applyFont="1">
      <alignment horizontal="left" vertical="bottom"/>
    </xf>
    <xf borderId="0" fillId="0" fontId="20" numFmtId="0" xfId="0" applyAlignment="1" applyFont="1">
      <alignment readingOrder="0"/>
    </xf>
    <xf borderId="0" fillId="3" fontId="28" numFmtId="0" xfId="0" applyAlignment="1" applyFont="1">
      <alignment horizontal="left" vertical="bottom"/>
    </xf>
    <xf borderId="0" fillId="3" fontId="6" numFmtId="0" xfId="0" applyAlignment="1" applyFont="1">
      <alignment readingOrder="0"/>
    </xf>
    <xf borderId="0" fillId="4" fontId="15" numFmtId="0" xfId="0" applyAlignment="1" applyFont="1">
      <alignment horizontal="left" readingOrder="0"/>
    </xf>
    <xf quotePrefix="1" borderId="0" fillId="3" fontId="9" numFmtId="0" xfId="0" applyAlignment="1" applyFont="1">
      <alignment readingOrder="0"/>
    </xf>
    <xf quotePrefix="1" borderId="0" fillId="4" fontId="12" numFmtId="0" xfId="0" applyAlignment="1" applyFont="1">
      <alignment horizontal="left" readingOrder="0" vertical="bottom"/>
    </xf>
    <xf borderId="0" fillId="0" fontId="24" numFmtId="0" xfId="0" applyAlignment="1" applyFont="1">
      <alignment horizontal="left" readingOrder="0"/>
    </xf>
    <xf quotePrefix="1" borderId="0" fillId="0" fontId="7" numFmtId="0" xfId="0" applyAlignment="1" applyFont="1">
      <alignment readingOrder="0"/>
    </xf>
    <xf borderId="0" fillId="4" fontId="30" numFmtId="0" xfId="0" applyAlignment="1" applyFont="1">
      <alignment readingOrder="0"/>
    </xf>
    <xf quotePrefix="1" borderId="0" fillId="0" fontId="15" numFmtId="0" xfId="0" applyAlignment="1" applyFont="1">
      <alignment readingOrder="0"/>
    </xf>
    <xf borderId="0" fillId="4" fontId="31" numFmtId="0" xfId="0" applyAlignment="1" applyFont="1">
      <alignment readingOrder="0"/>
    </xf>
    <xf borderId="0" fillId="3" fontId="15" numFmtId="0" xfId="0" applyAlignment="1" applyFont="1">
      <alignment horizontal="left"/>
    </xf>
    <xf quotePrefix="1" borderId="0" fillId="0" fontId="32" numFmtId="0" xfId="0" applyAlignment="1" applyFont="1">
      <alignment horizontal="left" readingOrder="0"/>
    </xf>
    <xf borderId="0" fillId="3" fontId="30" numFmtId="0" xfId="0" applyAlignment="1" applyFont="1">
      <alignment readingOrder="0"/>
    </xf>
    <xf borderId="0" fillId="3" fontId="28" numFmtId="0" xfId="0" applyAlignment="1" applyFont="1">
      <alignment horizontal="left" vertical="bottom"/>
    </xf>
    <xf borderId="0" fillId="0" fontId="26" numFmtId="167" xfId="0" applyAlignment="1" applyFont="1" applyNumberFormat="1">
      <alignment horizontal="right" vertical="bottom"/>
    </xf>
    <xf quotePrefix="1" borderId="0" fillId="0" fontId="28" numFmtId="0" xfId="0" applyAlignment="1" applyFont="1">
      <alignment vertical="bottom"/>
    </xf>
    <xf borderId="0" fillId="3" fontId="6" numFmtId="0" xfId="0" applyAlignment="1" applyFont="1">
      <alignment vertical="bottom"/>
    </xf>
    <xf borderId="4" fillId="3" fontId="6" numFmtId="0" xfId="0" applyAlignment="1" applyBorder="1" applyFont="1">
      <alignment shrinkToFit="0" vertical="bottom" wrapText="0"/>
    </xf>
    <xf borderId="0" fillId="3" fontId="33" numFmtId="0" xfId="0" applyAlignment="1" applyFont="1">
      <alignment readingOrder="0"/>
    </xf>
    <xf borderId="0" fillId="3" fontId="12" numFmtId="0" xfId="0" applyAlignment="1" applyFont="1">
      <alignment horizontal="left" readingOrder="0" vertical="bottom"/>
    </xf>
    <xf borderId="0" fillId="3" fontId="0" numFmtId="168" xfId="0" applyAlignment="1" applyFont="1" applyNumberFormat="1">
      <alignment horizontal="left" readingOrder="0" vertical="bottom"/>
    </xf>
    <xf borderId="0" fillId="4" fontId="0" numFmtId="168" xfId="0" applyAlignment="1" applyFont="1" applyNumberFormat="1">
      <alignment horizontal="left" readingOrder="0" vertical="bottom"/>
    </xf>
    <xf quotePrefix="1" borderId="0" fillId="3" fontId="16" numFmtId="0" xfId="0" applyAlignment="1" applyFont="1">
      <alignment horizontal="left" readingOrder="0" vertical="bottom"/>
    </xf>
    <xf borderId="0" fillId="3" fontId="34" numFmtId="0" xfId="0" applyAlignment="1" applyFont="1">
      <alignment readingOrder="0"/>
    </xf>
    <xf quotePrefix="1" borderId="0" fillId="3" fontId="10" numFmtId="0" xfId="0" applyAlignment="1" applyFont="1">
      <alignment horizontal="left" readingOrder="0"/>
    </xf>
    <xf borderId="0" fillId="3" fontId="15" numFmtId="0" xfId="0" applyAlignment="1" applyFont="1">
      <alignment horizontal="left" readingOrder="0"/>
    </xf>
    <xf borderId="0" fillId="3" fontId="10" numFmtId="0" xfId="0" applyFont="1"/>
    <xf borderId="0" fillId="3" fontId="35" numFmtId="168" xfId="0" applyAlignment="1" applyFont="1" applyNumberFormat="1">
      <alignment horizontal="left" vertical="bottom"/>
    </xf>
    <xf borderId="0" fillId="4" fontId="0" numFmtId="0" xfId="0" applyAlignment="1" applyFont="1">
      <alignment horizontal="left" readingOrder="0" vertical="bottom"/>
    </xf>
    <xf borderId="0" fillId="0" fontId="10" numFmtId="0" xfId="0" applyAlignment="1" applyFont="1">
      <alignment readingOrder="0"/>
    </xf>
    <xf borderId="0" fillId="3" fontId="35" numFmtId="168" xfId="0" applyAlignment="1" applyFont="1" applyNumberFormat="1">
      <alignment horizontal="left" readingOrder="0" vertical="bottom"/>
    </xf>
    <xf borderId="0" fillId="3" fontId="36" numFmtId="0" xfId="0" applyAlignment="1" applyFont="1">
      <alignment horizontal="left" readingOrder="0"/>
    </xf>
    <xf borderId="0" fillId="3" fontId="0" numFmtId="165" xfId="0" applyAlignment="1" applyFont="1" applyNumberFormat="1">
      <alignment horizontal="left" readingOrder="0" vertical="bottom"/>
    </xf>
    <xf borderId="0" fillId="4" fontId="37" numFmtId="165" xfId="0" applyAlignment="1" applyFont="1" applyNumberFormat="1">
      <alignment horizontal="left" readingOrder="0" vertical="bottom"/>
    </xf>
    <xf borderId="0" fillId="4" fontId="24" numFmtId="0" xfId="0" applyAlignment="1" applyFont="1">
      <alignment readingOrder="0"/>
    </xf>
    <xf borderId="0" fillId="4" fontId="37" numFmtId="0" xfId="0" applyAlignment="1" applyFont="1">
      <alignment horizontal="left" vertical="bottom"/>
    </xf>
    <xf quotePrefix="1" borderId="0" fillId="4" fontId="24" numFmtId="0" xfId="0" applyAlignment="1" applyFont="1">
      <alignment readingOrder="0"/>
    </xf>
    <xf borderId="0" fillId="4" fontId="38" numFmtId="0" xfId="0" applyAlignment="1" applyFont="1">
      <alignment readingOrder="0"/>
    </xf>
    <xf borderId="0" fillId="0" fontId="24" numFmtId="0" xfId="0" applyFont="1"/>
    <xf borderId="0" fillId="4" fontId="10" numFmtId="0" xfId="0" applyAlignment="1" applyFont="1">
      <alignment readingOrder="0"/>
    </xf>
    <xf borderId="0" fillId="4" fontId="0" numFmtId="165" xfId="0" applyAlignment="1" applyFont="1" applyNumberFormat="1">
      <alignment horizontal="left" readingOrder="0" vertical="bottom"/>
    </xf>
    <xf borderId="0" fillId="3" fontId="10" numFmtId="0" xfId="0" applyAlignment="1" applyFont="1">
      <alignment readingOrder="0"/>
    </xf>
    <xf borderId="0" fillId="3" fontId="34" numFmtId="0" xfId="0" applyAlignment="1" applyFont="1">
      <alignment readingOrder="0" shrinkToFit="0" vertical="bottom" wrapText="0"/>
    </xf>
    <xf borderId="0" fillId="3" fontId="34" numFmtId="0" xfId="0" applyAlignment="1" applyFont="1">
      <alignment shrinkToFit="0" vertical="bottom" wrapText="0"/>
    </xf>
    <xf borderId="0" fillId="4" fontId="7" numFmtId="0" xfId="0" applyFont="1"/>
    <xf quotePrefix="1" borderId="0" fillId="4" fontId="0" numFmtId="0" xfId="0" applyAlignment="1" applyFont="1">
      <alignment horizontal="left" vertical="bottom"/>
    </xf>
    <xf borderId="0" fillId="4" fontId="9" numFmtId="0" xfId="0" applyFont="1"/>
    <xf borderId="0" fillId="0" fontId="24" numFmtId="0" xfId="0" applyFont="1"/>
    <xf borderId="0" fillId="3" fontId="7" numFmtId="0" xfId="0" applyFont="1"/>
    <xf quotePrefix="1" borderId="0" fillId="3" fontId="0" numFmtId="0" xfId="0" applyAlignment="1" applyFont="1">
      <alignment horizontal="left" vertical="bottom"/>
    </xf>
    <xf borderId="0" fillId="3" fontId="9" numFmtId="0" xfId="0" applyFont="1"/>
    <xf borderId="0" fillId="3" fontId="9" numFmtId="0" xfId="0" applyFont="1"/>
    <xf borderId="0" fillId="4" fontId="9" numFmtId="0" xfId="0" applyFont="1"/>
    <xf borderId="0" fillId="3" fontId="34" numFmtId="165" xfId="0" applyAlignment="1" applyFont="1" applyNumberFormat="1">
      <alignment horizontal="left" readingOrder="0" shrinkToFit="0" vertical="bottom" wrapText="0"/>
    </xf>
    <xf borderId="0" fillId="3" fontId="34" numFmtId="0" xfId="0" applyAlignment="1" applyFont="1">
      <alignment horizontal="left" readingOrder="0" shrinkToFit="0" vertical="bottom" wrapText="0"/>
    </xf>
    <xf borderId="0" fillId="3" fontId="0" numFmtId="0" xfId="0" applyAlignment="1" applyFont="1">
      <alignment horizontal="left" readingOrder="0" vertical="bottom"/>
    </xf>
    <xf borderId="0" fillId="4" fontId="34" numFmtId="0" xfId="0" applyAlignment="1" applyFont="1">
      <alignment horizontal="left" readingOrder="0" shrinkToFit="0" vertical="bottom" wrapText="0"/>
    </xf>
    <xf quotePrefix="1" borderId="0" fillId="4" fontId="34" numFmtId="0" xfId="0" applyAlignment="1" applyFont="1">
      <alignment horizontal="left" readingOrder="0" shrinkToFit="0" vertical="bottom" wrapText="0"/>
    </xf>
    <xf borderId="0" fillId="0" fontId="34" numFmtId="0" xfId="0" applyAlignment="1" applyFont="1">
      <alignment horizontal="left" readingOrder="0" shrinkToFit="0" vertical="bottom" wrapText="0"/>
    </xf>
    <xf borderId="0" fillId="0" fontId="39" numFmtId="0" xfId="0" applyAlignment="1" applyFont="1">
      <alignment horizontal="left" readingOrder="0" shrinkToFit="0" vertical="bottom" wrapText="0"/>
    </xf>
    <xf quotePrefix="1" borderId="0" fillId="4" fontId="7" numFmtId="0" xfId="0" applyAlignment="1" applyFont="1">
      <alignment horizontal="left" readingOrder="0"/>
    </xf>
    <xf borderId="0" fillId="0" fontId="40" numFmtId="0" xfId="0" applyAlignment="1" applyFont="1">
      <alignment horizontal="left" readingOrder="0"/>
    </xf>
    <xf borderId="0" fillId="0" fontId="40" numFmtId="0" xfId="0" applyAlignment="1" applyFont="1">
      <alignment readingOrder="0"/>
    </xf>
    <xf borderId="0" fillId="0" fontId="40" numFmtId="0" xfId="0" applyFont="1"/>
    <xf borderId="0" fillId="0" fontId="18" numFmtId="0" xfId="0" applyAlignment="1" applyFont="1">
      <alignment readingOrder="0"/>
    </xf>
    <xf borderId="0" fillId="0" fontId="7" numFmtId="169" xfId="0" applyAlignment="1" applyFont="1" applyNumberFormat="1">
      <alignment horizontal="left" readingOrder="0"/>
    </xf>
    <xf borderId="0" fillId="0" fontId="7" numFmtId="21" xfId="0" applyAlignment="1" applyFont="1" applyNumberFormat="1">
      <alignment horizontal="left" readingOrder="0"/>
    </xf>
    <xf borderId="0" fillId="0" fontId="41" numFmtId="0" xfId="0" applyAlignment="1" applyFont="1">
      <alignment horizontal="left" readingOrder="0"/>
    </xf>
    <xf borderId="0" fillId="0" fontId="7" numFmtId="170" xfId="0" applyAlignment="1" applyFont="1" applyNumberFormat="1">
      <alignment horizontal="left" readingOrder="0"/>
    </xf>
    <xf borderId="0" fillId="3" fontId="26" numFmtId="170" xfId="0" applyAlignment="1" applyFont="1" applyNumberFormat="1">
      <alignment horizontal="left" readingOrder="0"/>
    </xf>
    <xf borderId="0" fillId="0" fontId="42" numFmtId="0" xfId="0" applyAlignment="1" applyFont="1">
      <alignment horizontal="left" readingOrder="0"/>
    </xf>
    <xf borderId="0" fillId="0" fontId="20" numFmtId="0" xfId="0" applyAlignment="1" applyFont="1">
      <alignment readingOrder="0"/>
    </xf>
    <xf borderId="0" fillId="3" fontId="26" numFmtId="21" xfId="0" applyAlignment="1" applyFont="1" applyNumberFormat="1">
      <alignment horizontal="left" readingOrder="0"/>
    </xf>
    <xf borderId="0" fillId="0" fontId="41" numFmtId="0" xfId="0" applyAlignment="1" applyFont="1">
      <alignment readingOrder="0"/>
    </xf>
    <xf borderId="0" fillId="0" fontId="43" numFmtId="0" xfId="0" applyAlignment="1" applyFont="1">
      <alignment horizontal="left" readingOrder="0"/>
    </xf>
    <xf quotePrefix="1" borderId="0" fillId="0" fontId="43" numFmtId="0" xfId="0" applyAlignment="1" applyFont="1">
      <alignment readingOrder="0"/>
    </xf>
    <xf borderId="0" fillId="0" fontId="18" numFmtId="171" xfId="0" applyAlignment="1" applyFont="1" applyNumberFormat="1">
      <alignment horizontal="left" readingOrder="0"/>
    </xf>
    <xf borderId="0" fillId="0" fontId="20" numFmtId="170" xfId="0" applyAlignment="1" applyFont="1" applyNumberFormat="1">
      <alignment horizontal="left" readingOrder="0"/>
    </xf>
    <xf borderId="0" fillId="0" fontId="20" numFmtId="21" xfId="0" applyAlignment="1" applyFont="1" applyNumberFormat="1">
      <alignment readingOrder="0"/>
    </xf>
    <xf borderId="0" fillId="0" fontId="20" numFmtId="0" xfId="0" applyAlignment="1" applyFont="1">
      <alignment horizontal="left"/>
    </xf>
    <xf borderId="0" fillId="3" fontId="26" numFmtId="170" xfId="0" applyAlignment="1" applyFont="1" applyNumberFormat="1">
      <alignment horizontal="center" readingOrder="0"/>
    </xf>
    <xf borderId="0" fillId="3" fontId="26" numFmtId="21" xfId="0" applyAlignment="1" applyFont="1" applyNumberFormat="1">
      <alignment horizontal="center" readingOrder="0"/>
    </xf>
    <xf borderId="0" fillId="0" fontId="43" numFmtId="0" xfId="0" applyAlignment="1" applyFont="1">
      <alignment readingOrder="0"/>
    </xf>
    <xf borderId="0" fillId="0" fontId="18" numFmtId="0" xfId="0" applyAlignment="1" applyFont="1">
      <alignment horizontal="left"/>
    </xf>
    <xf borderId="0" fillId="0" fontId="20" numFmtId="0" xfId="0" applyFont="1"/>
    <xf borderId="0" fillId="3" fontId="26" numFmtId="0" xfId="0" applyAlignment="1" applyFont="1">
      <alignment horizontal="center" readingOrder="0"/>
    </xf>
    <xf borderId="0" fillId="3" fontId="26" numFmtId="169" xfId="0" applyAlignment="1" applyFont="1" applyNumberFormat="1">
      <alignment horizontal="center" readingOrder="0"/>
    </xf>
    <xf borderId="0" fillId="4" fontId="43" numFmtId="0" xfId="0" applyAlignment="1" applyFont="1">
      <alignment readingOrder="0"/>
    </xf>
    <xf borderId="0" fillId="4" fontId="10" numFmtId="0" xfId="0" applyAlignment="1" applyFont="1">
      <alignment horizontal="left"/>
    </xf>
    <xf borderId="0" fillId="4" fontId="44" numFmtId="0" xfId="0" applyAlignment="1" applyFont="1">
      <alignment horizontal="left" readingOrder="0"/>
    </xf>
    <xf borderId="0" fillId="3" fontId="20" numFmtId="0" xfId="0" applyAlignment="1" applyFont="1">
      <alignment horizontal="left" readingOrder="0"/>
    </xf>
    <xf borderId="0" fillId="4" fontId="20" numFmtId="0" xfId="0" applyAlignment="1" applyFont="1">
      <alignment readingOrder="0"/>
    </xf>
    <xf quotePrefix="1" borderId="0" fillId="4" fontId="20" numFmtId="0" xfId="0" applyAlignment="1" applyFont="1">
      <alignment readingOrder="0"/>
    </xf>
    <xf borderId="0" fillId="4" fontId="20" numFmtId="0" xfId="0" applyAlignment="1" applyFont="1">
      <alignment horizontal="left" readingOrder="0"/>
    </xf>
    <xf borderId="0" fillId="0" fontId="45" numFmtId="0" xfId="0" applyAlignment="1" applyFont="1">
      <alignment readingOrder="0"/>
    </xf>
    <xf borderId="0" fillId="4" fontId="46" numFmtId="0" xfId="0" applyAlignment="1" applyFont="1">
      <alignment readingOrder="0" vertical="top"/>
    </xf>
    <xf borderId="0" fillId="4" fontId="46" numFmtId="0" xfId="0" applyAlignment="1" applyFont="1">
      <alignment vertical="top"/>
    </xf>
    <xf borderId="0" fillId="4" fontId="47" numFmtId="0" xfId="0" applyAlignment="1" applyFont="1">
      <alignment horizontal="left" readingOrder="0" vertical="top"/>
    </xf>
    <xf borderId="0" fillId="0" fontId="9" numFmtId="0" xfId="0" applyAlignment="1" applyFont="1">
      <alignment readingOrder="0"/>
    </xf>
    <xf borderId="0" fillId="3" fontId="43" numFmtId="0" xfId="0" applyAlignment="1" applyFont="1">
      <alignment readingOrder="0"/>
    </xf>
    <xf borderId="0" fillId="3" fontId="43" numFmtId="0" xfId="0" applyAlignment="1" applyFont="1">
      <alignment horizontal="left" readingOrder="0"/>
    </xf>
    <xf borderId="0" fillId="3" fontId="48" numFmtId="0" xfId="0" applyAlignment="1" applyFont="1">
      <alignment readingOrder="0"/>
    </xf>
    <xf borderId="0" fillId="4" fontId="10" numFmtId="167" xfId="0" applyAlignment="1" applyFont="1" applyNumberFormat="1">
      <alignment horizontal="left" readingOrder="0"/>
    </xf>
    <xf borderId="0" fillId="3" fontId="10" numFmtId="167" xfId="0" applyAlignment="1" applyFont="1" applyNumberFormat="1">
      <alignment horizontal="left" readingOrder="0"/>
    </xf>
    <xf borderId="0" fillId="0" fontId="49" numFmtId="0" xfId="0" applyAlignment="1" applyFont="1">
      <alignment readingOrder="0"/>
    </xf>
    <xf quotePrefix="1" borderId="0" fillId="3" fontId="7" numFmtId="0" xfId="0" applyAlignment="1" applyFont="1">
      <alignment horizontal="left" readingOrder="0"/>
    </xf>
    <xf borderId="1" fillId="0" fontId="1" numFmtId="164" xfId="0" applyAlignment="1" applyBorder="1" applyFont="1" applyNumberFormat="1">
      <alignment horizontal="center" readingOrder="0" vertical="bottom"/>
    </xf>
    <xf borderId="2" fillId="0" fontId="1" numFmtId="0" xfId="0" applyAlignment="1" applyBorder="1" applyFont="1">
      <alignment horizontal="center" vertical="bottom"/>
    </xf>
    <xf borderId="2" fillId="0" fontId="1" numFmtId="0" xfId="0" applyAlignment="1" applyBorder="1" applyFont="1">
      <alignment horizontal="center" vertical="bottom"/>
    </xf>
    <xf borderId="2" fillId="0" fontId="1" numFmtId="0" xfId="0" applyAlignment="1" applyBorder="1" applyFont="1">
      <alignment horizontal="center" shrinkToFit="0" vertical="bottom" wrapText="0"/>
    </xf>
    <xf borderId="2" fillId="0" fontId="3" numFmtId="0" xfId="0" applyAlignment="1" applyBorder="1" applyFont="1">
      <alignment vertical="bottom"/>
    </xf>
    <xf borderId="0" fillId="0" fontId="7" numFmtId="166" xfId="0" applyAlignment="1" applyFont="1" applyNumberFormat="1">
      <alignment readingOrder="0"/>
    </xf>
    <xf borderId="0" fillId="0" fontId="50" numFmtId="0" xfId="0" applyAlignment="1" applyFont="1">
      <alignment readingOrder="0" vertical="top"/>
    </xf>
    <xf borderId="0" fillId="5" fontId="8" numFmtId="0" xfId="0" applyAlignment="1" applyFill="1" applyFont="1">
      <alignment readingOrder="0"/>
    </xf>
    <xf quotePrefix="1" borderId="0" fillId="0" fontId="46" numFmtId="0" xfId="0" applyAlignment="1" applyFont="1">
      <alignment readingOrder="0" vertical="top"/>
    </xf>
    <xf borderId="0" fillId="0" fontId="51" numFmtId="0" xfId="0" applyAlignment="1" applyFont="1">
      <alignment readingOrder="0" vertical="top"/>
    </xf>
    <xf borderId="0" fillId="3" fontId="35" numFmtId="0" xfId="0" applyAlignment="1" applyFont="1">
      <alignment readingOrder="0"/>
    </xf>
    <xf borderId="0" fillId="0" fontId="35" numFmtId="0" xfId="0" applyAlignment="1" applyFont="1">
      <alignment horizontal="right" readingOrder="0" vertical="top"/>
    </xf>
    <xf borderId="0" fillId="0" fontId="52" numFmtId="0" xfId="0" applyAlignment="1" applyFont="1">
      <alignment readingOrder="0"/>
    </xf>
    <xf borderId="0" fillId="5" fontId="8" numFmtId="0" xfId="0" applyFont="1"/>
    <xf quotePrefix="1" borderId="0" fillId="0" fontId="53" numFmtId="0" xfId="0" applyAlignment="1" applyFont="1">
      <alignment readingOrder="0"/>
    </xf>
    <xf borderId="0" fillId="0" fontId="54" numFmtId="0" xfId="0" applyAlignment="1" applyFont="1">
      <alignment readingOrder="0"/>
    </xf>
    <xf borderId="0" fillId="0" fontId="55" numFmtId="0" xfId="0" applyAlignment="1" applyFont="1">
      <alignment horizontal="left" readingOrder="0" shrinkToFit="0" wrapText="0"/>
    </xf>
    <xf borderId="0" fillId="0" fontId="49" numFmtId="0" xfId="0" applyAlignment="1" applyFont="1">
      <alignment readingOrder="0"/>
    </xf>
    <xf quotePrefix="1" borderId="0" fillId="0" fontId="56" numFmtId="0" xfId="0" applyAlignment="1" applyFont="1">
      <alignment readingOrder="0"/>
    </xf>
    <xf borderId="0" fillId="0" fontId="57" numFmtId="0" xfId="0" applyAlignment="1" applyFont="1">
      <alignment readingOrder="0"/>
    </xf>
    <xf borderId="0" fillId="0" fontId="9" numFmtId="0" xfId="0" applyAlignment="1" applyFont="1">
      <alignment readingOrder="0"/>
    </xf>
    <xf borderId="0" fillId="5" fontId="8" numFmtId="0" xfId="0" applyAlignment="1" applyFont="1">
      <alignment readingOrder="0"/>
    </xf>
    <xf borderId="0" fillId="0" fontId="58" numFmtId="0" xfId="0" applyAlignment="1" applyFont="1">
      <alignment readingOrder="0" vertical="top"/>
    </xf>
    <xf quotePrefix="1" borderId="0" fillId="4" fontId="10" numFmtId="0" xfId="0" applyAlignment="1" applyFont="1">
      <alignment horizontal="left" readingOrder="0"/>
    </xf>
    <xf borderId="0" fillId="3" fontId="5" numFmtId="0" xfId="0" applyAlignment="1" applyFont="1">
      <alignment horizontal="left" vertical="bottom"/>
    </xf>
    <xf borderId="0" fillId="4" fontId="10" numFmtId="165" xfId="0" applyAlignment="1" applyFont="1" applyNumberFormat="1">
      <alignment horizontal="left"/>
    </xf>
    <xf borderId="0" fillId="0" fontId="59" numFmtId="0" xfId="0" applyAlignment="1" applyFont="1">
      <alignment readingOrder="0"/>
    </xf>
    <xf borderId="0" fillId="0" fontId="50" numFmtId="0" xfId="0" applyAlignment="1" applyFont="1">
      <alignment readingOrder="0" vertical="top"/>
    </xf>
    <xf borderId="0" fillId="3" fontId="10" numFmtId="165" xfId="0" applyAlignment="1" applyFont="1" applyNumberFormat="1">
      <alignment horizontal="left"/>
    </xf>
    <xf borderId="0" fillId="0" fontId="60" numFmtId="0" xfId="0" applyAlignment="1" applyFont="1">
      <alignment readingOrder="0"/>
    </xf>
    <xf borderId="0" fillId="0" fontId="46" numFmtId="0" xfId="0" applyAlignment="1" applyFont="1">
      <alignment vertical="top"/>
    </xf>
    <xf borderId="0" fillId="0" fontId="61" numFmtId="0" xfId="0" applyAlignment="1" applyFont="1">
      <alignment readingOrder="0" vertical="top"/>
    </xf>
    <xf borderId="0" fillId="0" fontId="52" numFmtId="0" xfId="0" applyAlignment="1" applyFont="1">
      <alignment readingOrder="0"/>
    </xf>
    <xf borderId="0" fillId="0" fontId="62" numFmtId="0" xfId="0" applyAlignment="1" applyFont="1">
      <alignment readingOrder="0"/>
    </xf>
    <xf borderId="0" fillId="3" fontId="26" numFmtId="165" xfId="0" applyAlignment="1" applyFont="1" applyNumberFormat="1">
      <alignment vertical="bottom"/>
    </xf>
    <xf borderId="0" fillId="3" fontId="26" numFmtId="0" xfId="0" applyAlignment="1" applyFont="1">
      <alignment vertical="bottom"/>
    </xf>
    <xf borderId="0" fillId="3" fontId="26" numFmtId="0" xfId="0" applyAlignment="1" applyFont="1">
      <alignment horizontal="left" vertical="bottom"/>
    </xf>
    <xf borderId="0" fillId="4" fontId="26" numFmtId="165" xfId="0" applyAlignment="1" applyFont="1" applyNumberFormat="1">
      <alignment vertical="bottom"/>
    </xf>
    <xf borderId="0" fillId="0" fontId="7" numFmtId="167" xfId="0" applyAlignment="1" applyFont="1" applyNumberFormat="1">
      <alignment readingOrder="0"/>
    </xf>
    <xf borderId="0" fillId="0" fontId="50" numFmtId="0" xfId="0" applyAlignment="1" applyFont="1">
      <alignment readingOrder="0"/>
    </xf>
    <xf quotePrefix="1" borderId="0" fillId="0" fontId="46" numFmtId="0" xfId="0" applyAlignment="1" applyFont="1">
      <alignment readingOrder="0"/>
    </xf>
    <xf borderId="0" fillId="3" fontId="10" numFmtId="0" xfId="0" applyAlignment="1" applyFont="1">
      <alignment horizontal="left"/>
    </xf>
    <xf quotePrefix="1" borderId="0" fillId="0" fontId="63" numFmtId="0" xfId="0" applyAlignment="1" applyFont="1">
      <alignment readingOrder="0" vertical="top"/>
    </xf>
    <xf borderId="0" fillId="4" fontId="64" numFmtId="0" xfId="0" applyAlignment="1" applyFont="1">
      <alignment horizontal="left" readingOrder="0"/>
    </xf>
    <xf borderId="0" fillId="4" fontId="10" numFmtId="172" xfId="0" applyAlignment="1" applyFont="1" applyNumberFormat="1">
      <alignment horizontal="right" readingOrder="0"/>
    </xf>
    <xf borderId="0" fillId="4" fontId="65" numFmtId="0" xfId="0" applyAlignment="1" applyFont="1">
      <alignment horizontal="left" readingOrder="0"/>
    </xf>
    <xf borderId="0" fillId="6" fontId="8" numFmtId="0" xfId="0" applyAlignment="1" applyFill="1" applyFont="1">
      <alignment readingOrder="0"/>
    </xf>
    <xf borderId="0" fillId="4" fontId="5" numFmtId="0" xfId="0" applyAlignment="1" applyFont="1">
      <alignment horizontal="left" vertical="bottom"/>
    </xf>
    <xf borderId="0" fillId="0" fontId="32" numFmtId="0" xfId="0" applyAlignment="1" applyFont="1">
      <alignment readingOrder="0"/>
    </xf>
    <xf borderId="0" fillId="0" fontId="5" numFmtId="0" xfId="0" applyAlignment="1" applyFont="1">
      <alignment horizontal="left" readingOrder="0" vertical="bottom"/>
    </xf>
    <xf borderId="0" fillId="3" fontId="10" numFmtId="172" xfId="0" applyAlignment="1" applyFont="1" applyNumberFormat="1">
      <alignment horizontal="right" readingOrder="0"/>
    </xf>
    <xf quotePrefix="1" borderId="0" fillId="0" fontId="42" numFmtId="0" xfId="0" applyAlignment="1" applyFont="1">
      <alignment readingOrder="0"/>
    </xf>
    <xf quotePrefix="1" borderId="0" fillId="3" fontId="64" numFmtId="0" xfId="0" applyAlignment="1" applyFont="1">
      <alignment horizontal="left" readingOrder="0"/>
    </xf>
    <xf borderId="0" fillId="3" fontId="5" numFmtId="0" xfId="0" applyAlignment="1" applyFont="1">
      <alignment horizontal="left" readingOrder="0" vertical="bottom"/>
    </xf>
    <xf quotePrefix="1" borderId="0" fillId="0" fontId="32" numFmtId="0" xfId="0" applyAlignment="1" applyFont="1">
      <alignment readingOrder="0"/>
    </xf>
    <xf borderId="0" fillId="0" fontId="10" numFmtId="0" xfId="0" applyAlignment="1" applyFont="1">
      <alignment horizontal="left" readingOrder="0"/>
    </xf>
    <xf borderId="0" fillId="5" fontId="8" numFmtId="0" xfId="0" applyFont="1"/>
    <xf borderId="0" fillId="0" fontId="7" numFmtId="166" xfId="0" applyAlignment="1" applyFont="1" applyNumberFormat="1">
      <alignment readingOrder="0"/>
    </xf>
    <xf borderId="0" fillId="6" fontId="46" numFmtId="0" xfId="0" applyAlignment="1" applyFont="1">
      <alignment readingOrder="0" vertical="top"/>
    </xf>
    <xf borderId="0" fillId="7" fontId="66" numFmtId="0" xfId="0" applyAlignment="1" applyFill="1" applyFont="1">
      <alignment readingOrder="0" vertical="top"/>
    </xf>
    <xf borderId="0" fillId="0" fontId="30" numFmtId="0" xfId="0" applyAlignment="1" applyFont="1">
      <alignment readingOrder="0"/>
    </xf>
    <xf borderId="0" fillId="8" fontId="8" numFmtId="0" xfId="0" applyFill="1" applyFont="1"/>
    <xf borderId="0" fillId="3" fontId="7" numFmtId="0" xfId="0" applyAlignment="1" applyFont="1">
      <alignment readingOrder="0"/>
    </xf>
    <xf borderId="0" fillId="0" fontId="7" numFmtId="0" xfId="0" applyAlignment="1" applyFont="1">
      <alignment horizontal="right" readingOrder="0"/>
    </xf>
    <xf borderId="4" fillId="4" fontId="64" numFmtId="0" xfId="0" applyAlignment="1" applyBorder="1" applyFont="1">
      <alignment shrinkToFit="0" vertical="bottom" wrapText="0"/>
    </xf>
    <xf borderId="0" fillId="0" fontId="15" numFmtId="0" xfId="0" applyAlignment="1" applyFont="1">
      <alignment readingOrder="0"/>
    </xf>
    <xf borderId="0" fillId="3" fontId="7" numFmtId="0" xfId="0" applyAlignment="1" applyFont="1">
      <alignment horizontal="left"/>
    </xf>
    <xf borderId="0" fillId="0" fontId="7" numFmtId="0" xfId="0" applyAlignment="1" applyFont="1">
      <alignment horizontal="center" readingOrder="0"/>
    </xf>
    <xf borderId="0" fillId="4" fontId="7" numFmtId="0" xfId="0" applyAlignment="1" applyFont="1">
      <alignment horizontal="left"/>
    </xf>
    <xf borderId="0" fillId="3" fontId="10" numFmtId="0" xfId="0" applyAlignment="1" applyFont="1">
      <alignment horizontal="left" readingOrder="0"/>
    </xf>
    <xf borderId="0" fillId="4" fontId="10" numFmtId="0" xfId="0" applyAlignment="1" applyFont="1">
      <alignment horizontal="left" readingOrder="0"/>
    </xf>
    <xf borderId="0" fillId="0" fontId="10" numFmtId="165" xfId="0" applyAlignment="1" applyFont="1" applyNumberFormat="1">
      <alignment horizontal="left"/>
    </xf>
    <xf borderId="0" fillId="0" fontId="10" numFmtId="0" xfId="0" applyFont="1"/>
    <xf borderId="0" fillId="0" fontId="10" numFmtId="0" xfId="0" applyAlignment="1" applyFont="1">
      <alignment horizontal="left"/>
    </xf>
    <xf quotePrefix="1" borderId="0" fillId="3" fontId="36" numFmtId="0" xfId="0" applyAlignment="1" applyFont="1">
      <alignment readingOrder="0"/>
    </xf>
    <xf borderId="0" fillId="0" fontId="46" numFmtId="0" xfId="0" applyAlignment="1" applyFont="1">
      <alignment readingOrder="0"/>
    </xf>
    <xf borderId="0" fillId="5" fontId="7" numFmtId="0" xfId="0" applyFont="1"/>
    <xf borderId="0" fillId="0" fontId="63" numFmtId="0" xfId="0" applyFont="1"/>
    <xf quotePrefix="1" borderId="0" fillId="3" fontId="6" numFmtId="0" xfId="0" applyAlignment="1" applyFont="1">
      <alignment readingOrder="0"/>
    </xf>
    <xf borderId="0" fillId="3" fontId="33" numFmtId="0" xfId="0" applyAlignment="1" applyFont="1">
      <alignment readingOrder="0"/>
    </xf>
    <xf borderId="0" fillId="0" fontId="7" numFmtId="167" xfId="0" applyAlignment="1" applyFont="1" applyNumberFormat="1">
      <alignment readingOrder="0"/>
    </xf>
    <xf borderId="0" fillId="0" fontId="67" numFmtId="0" xfId="0" applyAlignment="1" applyFont="1">
      <alignment readingOrder="0"/>
    </xf>
    <xf borderId="0" fillId="0" fontId="7" numFmtId="0" xfId="0" applyFont="1"/>
    <xf borderId="0" fillId="0" fontId="56" numFmtId="0" xfId="0" applyFont="1"/>
    <xf borderId="0" fillId="0" fontId="7" numFmtId="0" xfId="0" applyAlignment="1" applyFont="1">
      <alignment horizontal="center"/>
    </xf>
    <xf borderId="0" fillId="0" fontId="68" numFmtId="0" xfId="0" applyAlignment="1" applyFont="1">
      <alignment readingOrder="0"/>
    </xf>
    <xf borderId="0" fillId="0" fontId="7" numFmtId="0" xfId="0" applyAlignment="1" applyFont="1">
      <alignment horizontal="center" readingOrder="0"/>
    </xf>
    <xf borderId="0" fillId="0" fontId="20" numFmtId="0" xfId="0" applyAlignment="1" applyFont="1">
      <alignment readingOrder="0"/>
    </xf>
    <xf borderId="0" fillId="0" fontId="69" numFmtId="0" xfId="0" applyAlignment="1" applyFont="1">
      <alignment horizontal="left" readingOrder="0"/>
    </xf>
    <xf borderId="0" fillId="0" fontId="70" numFmtId="0" xfId="0" applyAlignment="1" applyFont="1">
      <alignment horizontal="left" readingOrder="0"/>
    </xf>
    <xf borderId="0" fillId="0" fontId="71" numFmtId="0" xfId="0" applyAlignment="1" applyFont="1">
      <alignment readingOrder="0"/>
    </xf>
    <xf borderId="0" fillId="0" fontId="70" numFmtId="0" xfId="0" applyAlignment="1" applyFont="1">
      <alignment readingOrder="0"/>
    </xf>
    <xf borderId="0" fillId="0" fontId="72" numFmtId="0" xfId="0" applyAlignment="1" applyFont="1">
      <alignment horizontal="left" readingOrder="0"/>
    </xf>
    <xf borderId="0" fillId="0" fontId="8" numFmtId="0" xfId="0" applyFont="1"/>
    <xf borderId="0" fillId="0" fontId="50" numFmtId="0" xfId="0" applyAlignment="1" applyFont="1">
      <alignment readingOrder="0"/>
    </xf>
    <xf borderId="0" fillId="0" fontId="16" numFmtId="0" xfId="0" applyAlignment="1" applyFont="1">
      <alignment horizontal="left" readingOrder="0"/>
    </xf>
    <xf borderId="0" fillId="0" fontId="73" numFmtId="0" xfId="0" applyAlignment="1" applyFont="1">
      <alignment readingOrder="0"/>
    </xf>
    <xf borderId="0" fillId="0" fontId="8" numFmtId="0" xfId="0" applyAlignment="1" applyFont="1">
      <alignment horizontal="center" readingOrder="0"/>
    </xf>
    <xf borderId="0" fillId="0" fontId="74" numFmtId="0" xfId="0" applyAlignment="1" applyFont="1">
      <alignment horizontal="left" readingOrder="0"/>
    </xf>
    <xf quotePrefix="1" borderId="0" fillId="0" fontId="16" numFmtId="0" xfId="0" applyAlignment="1" applyFont="1">
      <alignment horizontal="left" readingOrder="0"/>
    </xf>
    <xf borderId="0" fillId="0" fontId="75" numFmtId="0" xfId="0" applyAlignment="1" applyFont="1">
      <alignment horizontal="left" readingOrder="0" shrinkToFit="0" wrapText="0"/>
    </xf>
    <xf borderId="0" fillId="0" fontId="46" numFmtId="0" xfId="0" applyAlignment="1" applyFont="1">
      <alignment readingOrder="0"/>
    </xf>
    <xf quotePrefix="1" borderId="0" fillId="0" fontId="32" numFmtId="0" xfId="0" applyAlignment="1" applyFont="1">
      <alignment readingOrder="0"/>
    </xf>
    <xf quotePrefix="1" borderId="0" fillId="0" fontId="7" numFmtId="0" xfId="0" applyAlignment="1" applyFont="1">
      <alignment readingOrder="0"/>
    </xf>
    <xf borderId="0" fillId="0" fontId="56" numFmtId="0" xfId="0" applyAlignment="1" applyFont="1">
      <alignment readingOrder="0"/>
    </xf>
    <xf borderId="0" fillId="0" fontId="7" numFmtId="0" xfId="0" applyAlignment="1" applyFont="1">
      <alignment horizontal="center"/>
    </xf>
    <xf quotePrefix="1" borderId="0" fillId="0" fontId="15" numFmtId="0" xfId="0" applyAlignment="1" applyFont="1">
      <alignment readingOrder="0"/>
    </xf>
    <xf borderId="0" fillId="0" fontId="76" numFmtId="0" xfId="0" applyFont="1"/>
    <xf borderId="0" fillId="0" fontId="77" numFmtId="0" xfId="0" applyAlignment="1" applyFont="1">
      <alignment shrinkToFit="0" vertical="bottom" wrapText="0"/>
    </xf>
    <xf borderId="0" fillId="0" fontId="78" numFmtId="167" xfId="0" applyAlignment="1" applyFont="1" applyNumberFormat="1">
      <alignment vertical="bottom"/>
    </xf>
    <xf quotePrefix="1" borderId="0" fillId="0" fontId="79" numFmtId="0" xfId="0" applyAlignment="1" applyFont="1">
      <alignment shrinkToFit="0" vertical="bottom" wrapText="0"/>
    </xf>
    <xf borderId="0" fillId="0" fontId="78" numFmtId="0" xfId="0" applyAlignment="1" applyFont="1">
      <alignment horizontal="center" shrinkToFit="0" vertical="bottom" wrapText="0"/>
    </xf>
    <xf borderId="0" fillId="0" fontId="78" numFmtId="0" xfId="0" applyAlignment="1" applyFont="1">
      <alignment vertical="bottom"/>
    </xf>
    <xf borderId="0" fillId="0" fontId="77" numFmtId="0" xfId="0" applyAlignment="1" applyFont="1">
      <alignment shrinkToFit="0" vertical="bottom" wrapText="0"/>
    </xf>
    <xf borderId="0" fillId="0" fontId="76" numFmtId="0" xfId="0" applyAlignment="1" applyFont="1">
      <alignment readingOrder="0"/>
    </xf>
    <xf borderId="0" fillId="0" fontId="76" numFmtId="0" xfId="0" applyFont="1"/>
    <xf borderId="0" fillId="3" fontId="35" numFmtId="0" xfId="0" applyAlignment="1" applyFont="1">
      <alignment horizontal="center" readingOrder="0"/>
    </xf>
    <xf borderId="0" fillId="3" fontId="35" numFmtId="0" xfId="0" applyAlignment="1" applyFont="1">
      <alignment readingOrder="0"/>
    </xf>
    <xf borderId="0" fillId="0" fontId="80" numFmtId="0" xfId="0" applyAlignment="1" applyFont="1">
      <alignment readingOrder="0"/>
    </xf>
    <xf borderId="0" fillId="0" fontId="81" numFmtId="0" xfId="0" applyAlignment="1" applyFont="1">
      <alignment readingOrder="0"/>
    </xf>
    <xf borderId="0" fillId="0" fontId="82" numFmtId="0" xfId="0" applyAlignment="1" applyFont="1">
      <alignment readingOrder="0" vertical="top"/>
    </xf>
    <xf quotePrefix="1" borderId="0" fillId="0" fontId="83" numFmtId="0" xfId="0" applyAlignment="1" applyFont="1">
      <alignment readingOrder="0"/>
    </xf>
    <xf borderId="0" fillId="0" fontId="84" numFmtId="0" xfId="0" applyAlignment="1" applyFont="1">
      <alignment horizontal="left" readingOrder="0"/>
    </xf>
    <xf borderId="0" fillId="0" fontId="46" numFmtId="0" xfId="0" applyAlignment="1" applyFont="1">
      <alignment readingOrder="0" vertical="top"/>
    </xf>
    <xf quotePrefix="1" borderId="0" fillId="0" fontId="63" numFmtId="0" xfId="0" applyAlignment="1" applyFont="1">
      <alignment readingOrder="0" vertical="top"/>
    </xf>
    <xf borderId="0" fillId="0" fontId="85" numFmtId="0" xfId="0" applyAlignment="1" applyFont="1">
      <alignment readingOrder="0"/>
    </xf>
    <xf quotePrefix="1" borderId="0" fillId="0" fontId="58" numFmtId="0" xfId="0" applyAlignment="1" applyFont="1">
      <alignment readingOrder="0" vertical="top"/>
    </xf>
    <xf borderId="0" fillId="0" fontId="86" numFmtId="0" xfId="0" applyAlignment="1" applyFont="1">
      <alignment readingOrder="0"/>
    </xf>
    <xf borderId="0" fillId="0" fontId="87" numFmtId="0" xfId="0" applyAlignment="1" applyFont="1">
      <alignment readingOrder="0"/>
    </xf>
    <xf borderId="0" fillId="0" fontId="84" numFmtId="0" xfId="0" applyAlignment="1" applyFont="1">
      <alignment horizontal="left" readingOrder="0"/>
    </xf>
    <xf borderId="0" fillId="0" fontId="53" numFmtId="0" xfId="0" applyFont="1"/>
    <xf borderId="0" fillId="0" fontId="67" numFmtId="0" xfId="0" applyAlignment="1" applyFont="1">
      <alignment readingOrder="0" shrinkToFit="0" wrapText="1"/>
    </xf>
    <xf borderId="0" fillId="0" fontId="88" numFmtId="0" xfId="0" applyAlignment="1" applyFont="1">
      <alignment readingOrder="0"/>
    </xf>
    <xf borderId="0" fillId="0" fontId="85" numFmtId="0" xfId="0" applyAlignment="1" applyFont="1">
      <alignment readingOrder="0"/>
    </xf>
    <xf borderId="0" fillId="0" fontId="67" numFmtId="0" xfId="0" applyAlignment="1" applyFont="1">
      <alignment shrinkToFit="0" wrapText="1"/>
    </xf>
    <xf quotePrefix="1" borderId="0" fillId="0" fontId="89" numFmtId="0" xfId="0" applyAlignment="1" applyFont="1">
      <alignment readingOrder="0"/>
    </xf>
    <xf borderId="0" fillId="0" fontId="67" numFmtId="0" xfId="0" applyAlignment="1" applyFont="1">
      <alignment shrinkToFit="0" wrapText="1"/>
    </xf>
    <xf quotePrefix="1" borderId="0" fillId="0" fontId="85" numFmtId="0" xfId="0" applyAlignment="1" applyFont="1">
      <alignment readingOrder="0"/>
    </xf>
    <xf borderId="0" fillId="0" fontId="90" numFmtId="0" xfId="0" applyAlignment="1" applyFont="1">
      <alignment readingOrder="0"/>
    </xf>
    <xf borderId="0" fillId="0" fontId="58" numFmtId="0" xfId="0" applyAlignment="1" applyFont="1">
      <alignment readingOrder="0" vertical="top"/>
    </xf>
    <xf borderId="0" fillId="9" fontId="7" numFmtId="0" xfId="0" applyAlignment="1" applyFill="1" applyFont="1">
      <alignment readingOrder="0"/>
    </xf>
    <xf borderId="0" fillId="0" fontId="26" numFmtId="0" xfId="0" applyAlignment="1" applyFont="1">
      <alignment vertical="bottom"/>
    </xf>
    <xf quotePrefix="1" borderId="0" fillId="0" fontId="26" numFmtId="0" xfId="0" applyAlignment="1" applyFont="1">
      <alignment vertical="bottom"/>
    </xf>
    <xf borderId="4" fillId="0" fontId="26" numFmtId="0" xfId="0" applyAlignment="1" applyBorder="1" applyFont="1">
      <alignment shrinkToFit="0" vertical="bottom" wrapText="0"/>
    </xf>
    <xf borderId="0" fillId="0" fontId="91" numFmtId="0" xfId="0" applyAlignment="1" applyFont="1">
      <alignment readingOrder="0"/>
    </xf>
    <xf borderId="0" fillId="0" fontId="56" numFmtId="0" xfId="0" applyAlignment="1" applyFont="1">
      <alignment readingOrder="0"/>
    </xf>
    <xf borderId="0" fillId="10" fontId="7" numFmtId="0" xfId="0" applyAlignment="1" applyFill="1" applyFont="1">
      <alignment readingOrder="0"/>
    </xf>
    <xf borderId="0" fillId="0" fontId="9" numFmtId="0" xfId="0" applyAlignment="1" applyFont="1">
      <alignment readingOrder="0"/>
    </xf>
    <xf quotePrefix="1" borderId="0" fillId="0" fontId="32" numFmtId="0" xfId="0" applyAlignment="1" applyFont="1">
      <alignment readingOrder="0"/>
    </xf>
    <xf borderId="0" fillId="0" fontId="8" numFmtId="0" xfId="0" applyAlignment="1" applyFont="1">
      <alignment readingOrder="0"/>
    </xf>
    <xf quotePrefix="1" borderId="0" fillId="3" fontId="28" numFmtId="0" xfId="0" applyAlignment="1" applyFont="1">
      <alignment readingOrder="0"/>
    </xf>
    <xf borderId="0" fillId="0" fontId="26" numFmtId="0" xfId="0" applyAlignment="1" applyFont="1">
      <alignment readingOrder="0" vertical="bottom"/>
    </xf>
    <xf borderId="0" fillId="0" fontId="53" numFmtId="0" xfId="0" applyAlignment="1" applyFont="1">
      <alignment readingOrder="0"/>
    </xf>
    <xf borderId="0" fillId="0" fontId="92" numFmtId="0" xfId="0" applyAlignment="1" applyFont="1">
      <alignment readingOrder="0"/>
    </xf>
    <xf borderId="0" fillId="0" fontId="49" numFmtId="0" xfId="0" applyFont="1"/>
    <xf borderId="0" fillId="0" fontId="15" numFmtId="0" xfId="0" applyAlignment="1" applyFont="1">
      <alignment readingOrder="0"/>
    </xf>
    <xf borderId="0" fillId="0" fontId="56" numFmtId="0" xfId="0" applyFont="1"/>
    <xf borderId="0" fillId="0" fontId="18" numFmtId="0" xfId="0" applyFont="1"/>
    <xf borderId="0" fillId="0" fontId="82" numFmtId="0" xfId="0" applyAlignment="1" applyFont="1">
      <alignment readingOrder="0" vertical="top"/>
    </xf>
    <xf borderId="0" fillId="0" fontId="46" numFmtId="0" xfId="0" applyAlignment="1" applyFont="1">
      <alignment readingOrder="0" vertical="top"/>
    </xf>
    <xf borderId="1" fillId="0" fontId="1" numFmtId="164" xfId="0" applyAlignment="1" applyBorder="1" applyFont="1" applyNumberFormat="1">
      <alignment horizontal="center" readingOrder="0" vertical="bottom"/>
    </xf>
    <xf borderId="1" fillId="0" fontId="93" numFmtId="164" xfId="0" applyAlignment="1" applyBorder="1" applyFont="1" applyNumberFormat="1">
      <alignment horizontal="center" readingOrder="0" vertical="bottom"/>
    </xf>
    <xf borderId="2" fillId="0" fontId="93" numFmtId="0" xfId="0" applyAlignment="1" applyBorder="1" applyFont="1">
      <alignment horizontal="center" vertical="bottom"/>
    </xf>
    <xf borderId="2" fillId="0" fontId="93" numFmtId="0" xfId="0" applyAlignment="1" applyBorder="1" applyFont="1">
      <alignment horizontal="center" shrinkToFit="0" vertical="bottom" wrapText="0"/>
    </xf>
    <xf borderId="0" fillId="0" fontId="3" numFmtId="167" xfId="0" applyAlignment="1" applyFont="1" applyNumberFormat="1">
      <alignment readingOrder="0"/>
    </xf>
    <xf borderId="0" fillId="0" fontId="3" numFmtId="0" xfId="0" applyFont="1"/>
    <xf borderId="0" fillId="0" fontId="3" numFmtId="0" xfId="0" applyAlignment="1" applyFont="1">
      <alignment horizontal="left"/>
    </xf>
    <xf borderId="2" fillId="0" fontId="26" numFmtId="0" xfId="0" applyAlignment="1" applyBorder="1" applyFont="1">
      <alignment vertical="bottom"/>
    </xf>
    <xf borderId="0" fillId="0" fontId="3" numFmtId="0" xfId="0" applyAlignment="1" applyFont="1">
      <alignment horizontal="center"/>
    </xf>
    <xf borderId="0" fillId="0" fontId="94" numFmtId="0" xfId="0" applyAlignment="1" applyFont="1">
      <alignment readingOrder="0"/>
    </xf>
    <xf borderId="0" fillId="0" fontId="67" numFmtId="0" xfId="0" applyAlignment="1" applyFont="1">
      <alignment readingOrder="0"/>
    </xf>
    <xf quotePrefix="1" borderId="0" fillId="0" fontId="16" numFmtId="0" xfId="0" applyAlignment="1" applyFont="1">
      <alignment horizontal="left" readingOrder="0"/>
    </xf>
    <xf borderId="0" fillId="0" fontId="7" numFmtId="0" xfId="0" applyAlignment="1" applyFont="1">
      <alignment readingOrder="0" shrinkToFit="0" wrapText="0"/>
    </xf>
    <xf borderId="0" fillId="0" fontId="95" numFmtId="0" xfId="0" applyAlignment="1" applyFont="1">
      <alignment readingOrder="0"/>
    </xf>
    <xf borderId="0" fillId="0" fontId="96" numFmtId="0" xfId="0" applyAlignment="1" applyFont="1">
      <alignment readingOrder="0"/>
    </xf>
    <xf borderId="0" fillId="0" fontId="3" numFmtId="0" xfId="0" applyAlignment="1" applyFont="1">
      <alignment horizontal="center" readingOrder="0"/>
    </xf>
    <xf borderId="0" fillId="0" fontId="3" numFmtId="0" xfId="0" applyAlignment="1" applyFont="1">
      <alignment readingOrder="0"/>
    </xf>
    <xf borderId="0" fillId="0" fontId="7" numFmtId="0" xfId="0" applyAlignment="1" applyFont="1">
      <alignment shrinkToFit="0" wrapText="0"/>
    </xf>
    <xf borderId="0" fillId="10" fontId="3" numFmtId="0" xfId="0" applyAlignment="1" applyFont="1">
      <alignment readingOrder="0"/>
    </xf>
    <xf borderId="0" fillId="0" fontId="97" numFmtId="0" xfId="0" applyAlignment="1" applyFont="1">
      <alignment readingOrder="0"/>
    </xf>
    <xf borderId="0" fillId="9" fontId="7" numFmtId="0" xfId="0" applyAlignment="1" applyFont="1">
      <alignment horizontal="center" readingOrder="0"/>
    </xf>
    <xf borderId="0" fillId="9" fontId="7" numFmtId="0" xfId="0" applyFont="1"/>
    <xf borderId="0" fillId="0" fontId="98" numFmtId="0" xfId="0" applyAlignment="1" applyFont="1">
      <alignment readingOrder="0"/>
    </xf>
    <xf borderId="0" fillId="0" fontId="99" numFmtId="0" xfId="0" applyAlignment="1" applyFont="1">
      <alignment readingOrder="0" shrinkToFit="0" wrapText="0"/>
    </xf>
    <xf borderId="0" fillId="0" fontId="100" numFmtId="0" xfId="0" applyAlignment="1" applyFont="1">
      <alignment readingOrder="0"/>
    </xf>
    <xf borderId="0" fillId="0" fontId="101" numFmtId="0" xfId="0" applyAlignment="1" applyFont="1">
      <alignment readingOrder="0"/>
    </xf>
    <xf borderId="0" fillId="0" fontId="102" numFmtId="0" xfId="0" applyAlignment="1" applyFont="1">
      <alignment horizontal="left" readingOrder="0" shrinkToFit="0" wrapText="0"/>
    </xf>
    <xf borderId="0" fillId="0" fontId="100" numFmtId="0" xfId="0" applyAlignment="1" applyFont="1">
      <alignment horizontal="left" readingOrder="0" shrinkToFit="0" wrapText="0"/>
    </xf>
    <xf borderId="0" fillId="0" fontId="55" numFmtId="0" xfId="0" applyAlignment="1" applyFont="1">
      <alignment horizontal="left" readingOrder="0" shrinkToFit="0" wrapText="0"/>
    </xf>
    <xf borderId="0" fillId="0" fontId="78" numFmtId="0" xfId="0" applyAlignment="1" applyFont="1">
      <alignment readingOrder="0"/>
    </xf>
    <xf borderId="0" fillId="0" fontId="20" numFmtId="0" xfId="0" applyAlignment="1" applyFont="1">
      <alignment readingOrder="0" shrinkToFit="0" wrapText="0"/>
    </xf>
    <xf borderId="0" fillId="0" fontId="20" numFmtId="0" xfId="0" applyAlignment="1" applyFont="1">
      <alignment readingOrder="0"/>
    </xf>
    <xf borderId="0" fillId="0" fontId="16" numFmtId="0" xfId="0" applyAlignment="1" applyFont="1">
      <alignment horizontal="left" readingOrder="0"/>
    </xf>
    <xf quotePrefix="1" borderId="0" fillId="0" fontId="3" numFmtId="0" xfId="0" applyAlignment="1" applyFont="1">
      <alignment horizontal="left" readingOrder="0"/>
    </xf>
    <xf borderId="0" fillId="0" fontId="103" numFmtId="0" xfId="0" applyAlignment="1" applyFont="1">
      <alignment readingOrder="0" shrinkToFit="0" wrapText="0"/>
    </xf>
    <xf borderId="0" fillId="0" fontId="0" numFmtId="0" xfId="0" applyAlignment="1" applyFont="1">
      <alignment readingOrder="0"/>
    </xf>
    <xf borderId="0" fillId="0" fontId="104" numFmtId="0" xfId="0" applyAlignment="1" applyFont="1">
      <alignment horizontal="left" readingOrder="0" shrinkToFit="0" wrapText="0"/>
    </xf>
    <xf borderId="0" fillId="0" fontId="16" numFmtId="0" xfId="0" applyAlignment="1" applyFont="1">
      <alignment horizontal="left"/>
    </xf>
    <xf borderId="0" fillId="0" fontId="3" numFmtId="0" xfId="0" applyAlignment="1" applyFont="1">
      <alignment horizontal="left" readingOrder="0"/>
    </xf>
    <xf quotePrefix="1" borderId="0" fillId="0" fontId="105" numFmtId="0" xfId="0" applyAlignment="1" applyFont="1">
      <alignment horizontal="left" readingOrder="0"/>
    </xf>
    <xf borderId="0" fillId="0" fontId="70" numFmtId="0" xfId="0" applyAlignment="1" applyFont="1">
      <alignment readingOrder="0"/>
    </xf>
    <xf borderId="0" fillId="0" fontId="106" numFmtId="0" xfId="0" applyAlignment="1" applyFont="1">
      <alignment readingOrder="0"/>
    </xf>
    <xf borderId="0" fillId="0" fontId="0" numFmtId="0" xfId="0" applyAlignment="1" applyFont="1">
      <alignment readingOrder="0"/>
    </xf>
    <xf borderId="0" fillId="0" fontId="107" numFmtId="0" xfId="0" applyAlignment="1" applyFont="1">
      <alignment readingOrder="0"/>
    </xf>
    <xf borderId="0" fillId="9" fontId="3" numFmtId="0" xfId="0" applyAlignment="1" applyFont="1">
      <alignment horizontal="center" readingOrder="0"/>
    </xf>
    <xf borderId="0" fillId="9" fontId="3" numFmtId="0" xfId="0" applyFont="1"/>
    <xf borderId="0" fillId="9" fontId="3" numFmtId="0" xfId="0" applyAlignment="1" applyFont="1">
      <alignment readingOrder="0"/>
    </xf>
    <xf borderId="2" fillId="0" fontId="93" numFmtId="0" xfId="0" applyAlignment="1" applyBorder="1" applyFont="1">
      <alignment horizontal="left" vertical="bottom"/>
    </xf>
    <xf borderId="0" fillId="0" fontId="49" numFmtId="0" xfId="0" applyAlignment="1" applyFont="1">
      <alignment readingOrder="0" shrinkToFit="0" wrapText="0"/>
    </xf>
    <xf borderId="0" fillId="0" fontId="7" numFmtId="164" xfId="0" applyAlignment="1" applyFont="1" applyNumberFormat="1">
      <alignment readingOrder="0"/>
    </xf>
    <xf borderId="0" fillId="0" fontId="7" numFmtId="164" xfId="0" applyFont="1" applyNumberFormat="1"/>
    <xf borderId="0" fillId="0" fontId="32" numFmtId="0" xfId="0" applyAlignment="1" applyFont="1">
      <alignment readingOrder="0"/>
    </xf>
    <xf borderId="0" fillId="0" fontId="108" numFmtId="0" xfId="0" applyAlignment="1" applyFont="1">
      <alignment readingOrder="0" shrinkToFit="0" wrapText="0"/>
    </xf>
    <xf borderId="0" fillId="0" fontId="99" numFmtId="0" xfId="0" applyAlignment="1" applyFont="1">
      <alignment readingOrder="0"/>
    </xf>
    <xf borderId="0" fillId="0" fontId="109" numFmtId="0" xfId="0" applyAlignment="1" applyFont="1">
      <alignment vertical="bottom"/>
    </xf>
    <xf borderId="0" fillId="0" fontId="3" numFmtId="0" xfId="0" applyAlignment="1" applyFont="1">
      <alignment readingOrder="0"/>
    </xf>
    <xf borderId="0" fillId="0" fontId="110" numFmtId="0" xfId="0" applyAlignment="1" applyFont="1">
      <alignment shrinkToFit="0" vertical="bottom" wrapText="0"/>
    </xf>
    <xf borderId="0" fillId="0" fontId="40" numFmtId="0" xfId="0" applyAlignment="1" applyFont="1">
      <alignment horizontal="center" readingOrder="0"/>
    </xf>
    <xf borderId="0" fillId="0" fontId="67" numFmtId="0" xfId="0" applyAlignment="1" applyFont="1">
      <alignment readingOrder="0" shrinkToFit="0" wrapText="0"/>
    </xf>
    <xf borderId="0" fillId="0" fontId="67" numFmtId="0" xfId="0" applyAlignment="1" applyFont="1">
      <alignment shrinkToFit="0" wrapText="0"/>
    </xf>
    <xf borderId="0" fillId="0" fontId="111" numFmtId="0" xfId="0" applyAlignment="1" applyFont="1">
      <alignment horizontal="left" readingOrder="0"/>
    </xf>
    <xf borderId="0" fillId="0" fontId="112" numFmtId="0" xfId="0" applyAlignment="1" applyFont="1">
      <alignment readingOrder="0"/>
    </xf>
    <xf borderId="0" fillId="0" fontId="30" numFmtId="0" xfId="0" applyAlignment="1" applyFont="1">
      <alignment readingOrder="0"/>
    </xf>
    <xf borderId="0" fillId="0" fontId="113" numFmtId="0" xfId="0" applyAlignment="1" applyFont="1">
      <alignment readingOrder="0"/>
    </xf>
    <xf borderId="0" fillId="0" fontId="114" numFmtId="0" xfId="0" applyAlignment="1" applyFont="1">
      <alignment readingOrder="0" shrinkToFit="0" wrapText="0"/>
    </xf>
    <xf borderId="0" fillId="0" fontId="15" numFmtId="0" xfId="0" applyAlignment="1" applyFont="1">
      <alignment horizontal="left" readingOrder="0"/>
    </xf>
    <xf borderId="0" fillId="0" fontId="15" numFmtId="0" xfId="0" applyFont="1"/>
    <xf borderId="0" fillId="0" fontId="115" numFmtId="0" xfId="0" applyAlignment="1" applyFont="1">
      <alignment readingOrder="0"/>
    </xf>
    <xf borderId="0" fillId="0" fontId="49" numFmtId="0" xfId="0" applyFont="1"/>
    <xf borderId="0" fillId="0" fontId="116" numFmtId="0" xfId="0" applyAlignment="1" applyFont="1">
      <alignment horizontal="left" readingOrder="0"/>
    </xf>
    <xf borderId="0" fillId="0" fontId="69" numFmtId="0" xfId="0" applyAlignment="1" applyFont="1">
      <alignment horizontal="left" readingOrder="0" shrinkToFit="0" wrapText="0"/>
    </xf>
    <xf borderId="0" fillId="0" fontId="117" numFmtId="0" xfId="0" applyAlignment="1" applyFont="1">
      <alignment horizontal="left" readingOrder="0"/>
    </xf>
    <xf borderId="0" fillId="5" fontId="7" numFmtId="0" xfId="0" applyAlignment="1" applyFont="1">
      <alignment readingOrder="0"/>
    </xf>
    <xf borderId="0" fillId="0" fontId="83" numFmtId="0" xfId="0" applyAlignment="1" applyFont="1">
      <alignment horizontal="left" readingOrder="0"/>
    </xf>
    <xf borderId="0" fillId="0" fontId="16" numFmtId="0" xfId="0" applyAlignment="1" applyFont="1">
      <alignment readingOrder="0"/>
    </xf>
    <xf borderId="0" fillId="0" fontId="43" numFmtId="0" xfId="0" applyAlignment="1" applyFont="1">
      <alignment readingOrder="0"/>
    </xf>
    <xf borderId="0" fillId="5" fontId="118" numFmtId="0" xfId="0" applyAlignment="1" applyFont="1">
      <alignment readingOrder="0"/>
    </xf>
    <xf borderId="0" fillId="0" fontId="119" numFmtId="0" xfId="0" applyAlignment="1" applyFont="1">
      <alignment readingOrder="0"/>
    </xf>
    <xf borderId="0" fillId="0" fontId="43" numFmtId="0" xfId="0" applyAlignment="1" applyFont="1">
      <alignment readingOrder="0" shrinkToFit="0" wrapText="0"/>
    </xf>
    <xf borderId="0" fillId="0" fontId="120" numFmtId="0" xfId="0" applyAlignment="1" applyFont="1">
      <alignment readingOrder="0"/>
    </xf>
    <xf borderId="0" fillId="0" fontId="100" numFmtId="0" xfId="0" applyAlignment="1" applyFont="1">
      <alignment readingOrder="0"/>
    </xf>
    <xf borderId="0" fillId="10" fontId="7" numFmtId="0" xfId="0" applyFont="1"/>
    <xf quotePrefix="1" borderId="0" fillId="0" fontId="20" numFmtId="0" xfId="0" applyAlignment="1" applyFont="1">
      <alignment readingOrder="0"/>
    </xf>
    <xf borderId="0" fillId="3" fontId="35" numFmtId="0" xfId="0" applyAlignment="1" applyFont="1">
      <alignment readingOrder="0"/>
    </xf>
    <xf borderId="0" fillId="0" fontId="121" numFmtId="0" xfId="0" applyAlignment="1" applyFont="1">
      <alignment readingOrder="0"/>
    </xf>
    <xf borderId="0" fillId="0" fontId="55" numFmtId="0" xfId="0" applyAlignment="1" applyFont="1">
      <alignment horizontal="center" readingOrder="0" shrinkToFit="0" wrapText="0"/>
    </xf>
    <xf borderId="0" fillId="0" fontId="122" numFmtId="0" xfId="0" applyAlignment="1" applyFont="1">
      <alignment readingOrder="0" shrinkToFit="0" wrapText="0"/>
    </xf>
    <xf borderId="0" fillId="11" fontId="123" numFmtId="0" xfId="0" applyAlignment="1" applyFill="1" applyFont="1">
      <alignment horizontal="left" readingOrder="0"/>
    </xf>
    <xf borderId="0" fillId="11" fontId="124" numFmtId="0" xfId="0" applyAlignment="1" applyFont="1">
      <alignment horizontal="left" readingOrder="0"/>
    </xf>
    <xf borderId="0" fillId="10" fontId="7" numFmtId="0" xfId="0" applyAlignment="1" applyFont="1">
      <alignment horizontal="center" readingOrder="0"/>
    </xf>
    <xf quotePrefix="1" borderId="0" fillId="0" fontId="46" numFmtId="0" xfId="0" applyAlignment="1" applyFont="1">
      <alignment horizontal="left" readingOrder="0"/>
    </xf>
    <xf borderId="0" fillId="0" fontId="32" numFmtId="0" xfId="0" applyAlignment="1" applyFont="1">
      <alignment horizontal="left"/>
    </xf>
    <xf borderId="0" fillId="3" fontId="84" numFmtId="0" xfId="0" applyAlignment="1" applyFont="1">
      <alignment readingOrder="0"/>
    </xf>
    <xf borderId="0" fillId="0" fontId="125" numFmtId="0" xfId="0" applyAlignment="1" applyFont="1">
      <alignment horizontal="left" readingOrder="0"/>
    </xf>
    <xf borderId="0" fillId="3" fontId="7" numFmtId="0" xfId="0" applyAlignment="1" applyFont="1">
      <alignment horizontal="center" readingOrder="0"/>
    </xf>
    <xf borderId="0" fillId="3" fontId="126" numFmtId="0" xfId="0" applyAlignment="1" applyFont="1">
      <alignment horizontal="left" readingOrder="0" shrinkToFit="0" wrapText="1"/>
    </xf>
    <xf borderId="0" fillId="0" fontId="7" numFmtId="0" xfId="0" applyAlignment="1" applyFont="1">
      <alignment readingOrder="0" shrinkToFit="0" wrapText="0"/>
    </xf>
    <xf borderId="0" fillId="0" fontId="7" numFmtId="0" xfId="0" applyAlignment="1" applyFont="1">
      <alignment readingOrder="0" shrinkToFit="0" wrapText="0"/>
    </xf>
    <xf borderId="0" fillId="0" fontId="127" numFmtId="0" xfId="0" applyAlignment="1" applyFont="1">
      <alignment readingOrder="0" shrinkToFit="0" wrapText="0"/>
    </xf>
    <xf borderId="0" fillId="3" fontId="128" numFmtId="0" xfId="0" applyAlignment="1" applyFont="1">
      <alignment readingOrder="0"/>
    </xf>
    <xf borderId="0" fillId="0" fontId="7" numFmtId="0" xfId="0" applyAlignment="1" applyFont="1">
      <alignment readingOrder="0"/>
    </xf>
    <xf borderId="0" fillId="0" fontId="9" numFmtId="0" xfId="0" applyAlignment="1" applyFont="1">
      <alignment readingOrder="0"/>
    </xf>
    <xf borderId="0" fillId="0" fontId="67" numFmtId="0" xfId="0" applyAlignment="1" applyFont="1">
      <alignment horizontal="left" readingOrder="0"/>
    </xf>
    <xf borderId="1" fillId="0" fontId="129" numFmtId="0" xfId="0" applyAlignment="1" applyBorder="1" applyFont="1">
      <alignment horizontal="center" readingOrder="0" vertical="bottom"/>
    </xf>
    <xf borderId="2" fillId="0" fontId="129" numFmtId="0" xfId="0" applyAlignment="1" applyBorder="1" applyFont="1">
      <alignment horizontal="center" vertical="bottom"/>
    </xf>
    <xf borderId="2" fillId="0" fontId="129" numFmtId="0" xfId="0" applyAlignment="1" applyBorder="1" applyFont="1">
      <alignment horizontal="center" shrinkToFit="0" vertical="bottom" wrapText="0"/>
    </xf>
    <xf quotePrefix="1" borderId="0" fillId="0" fontId="16" numFmtId="0" xfId="0" applyAlignment="1" applyFont="1">
      <alignment readingOrder="0"/>
    </xf>
    <xf borderId="0" fillId="0" fontId="130" numFmtId="0" xfId="0" applyAlignment="1" applyFont="1">
      <alignment vertical="bottom"/>
    </xf>
    <xf quotePrefix="1" borderId="0" fillId="0" fontId="77" numFmtId="0" xfId="0" applyAlignment="1" applyFont="1">
      <alignment horizontal="left" vertical="bottom"/>
    </xf>
    <xf quotePrefix="1" borderId="0" fillId="0" fontId="3" numFmtId="0" xfId="0" applyAlignment="1" applyFont="1">
      <alignment readingOrder="0"/>
    </xf>
    <xf borderId="0" fillId="9" fontId="8" numFmtId="0" xfId="0" applyAlignment="1" applyFont="1">
      <alignment readingOrder="0"/>
    </xf>
    <xf borderId="1" fillId="0" fontId="93" numFmtId="0" xfId="0" applyAlignment="1" applyBorder="1" applyFont="1">
      <alignment horizontal="center" readingOrder="0" vertical="bottom"/>
    </xf>
    <xf borderId="0" fillId="9" fontId="49" numFmtId="0" xfId="0" applyAlignment="1" applyFont="1">
      <alignment readingOrder="0"/>
    </xf>
    <xf quotePrefix="1" borderId="0" fillId="9" fontId="7" numFmtId="0" xfId="0" applyAlignment="1" applyFont="1">
      <alignment readingOrder="0"/>
    </xf>
    <xf borderId="1" fillId="0" fontId="3" numFmtId="0" xfId="0" applyAlignment="1" applyBorder="1" applyFont="1">
      <alignment vertical="bottom"/>
    </xf>
    <xf borderId="0" fillId="9" fontId="131" numFmtId="0" xfId="0" applyAlignment="1" applyFont="1">
      <alignment readingOrder="0"/>
    </xf>
    <xf quotePrefix="1" borderId="2" fillId="0" fontId="3" numFmtId="0" xfId="0" applyAlignment="1" applyBorder="1" applyFont="1">
      <alignment vertical="bottom"/>
    </xf>
    <xf borderId="0" fillId="9" fontId="7" numFmtId="0" xfId="0" applyAlignment="1" applyFont="1">
      <alignment horizontal="center"/>
    </xf>
    <xf borderId="0" fillId="9" fontId="49" numFmtId="0" xfId="0" applyAlignment="1" applyFont="1">
      <alignment readingOrder="0" shrinkToFit="0" wrapText="0"/>
    </xf>
    <xf borderId="0" fillId="10" fontId="8" numFmtId="0" xfId="0" applyAlignment="1" applyFont="1">
      <alignment readingOrder="0"/>
    </xf>
    <xf quotePrefix="1" borderId="0" fillId="9" fontId="83" numFmtId="0" xfId="0" applyAlignment="1" applyFont="1">
      <alignment readingOrder="0"/>
    </xf>
    <xf borderId="0" fillId="9" fontId="7" numFmtId="0" xfId="0" applyAlignment="1" applyFont="1">
      <alignment readingOrder="0" shrinkToFit="0" wrapText="0"/>
    </xf>
    <xf borderId="0" fillId="0" fontId="132" numFmtId="0" xfId="0" applyAlignment="1" applyFont="1">
      <alignment readingOrder="0"/>
    </xf>
    <xf borderId="0" fillId="0" fontId="100" numFmtId="0" xfId="0" applyAlignment="1" applyFont="1">
      <alignment horizontal="left" readingOrder="0"/>
    </xf>
    <xf borderId="0" fillId="0" fontId="100" numFmtId="0" xfId="0" applyAlignment="1" applyFont="1">
      <alignment vertical="bottom"/>
    </xf>
    <xf borderId="0" fillId="0" fontId="133" numFmtId="0" xfId="0" applyAlignment="1" applyFont="1">
      <alignment vertical="bottom"/>
    </xf>
    <xf quotePrefix="1" borderId="0" fillId="0" fontId="16" numFmtId="0" xfId="0" applyAlignment="1" applyFont="1">
      <alignment vertical="bottom"/>
    </xf>
    <xf borderId="0" fillId="0" fontId="3" numFmtId="0" xfId="0" applyAlignment="1" applyFont="1">
      <alignment horizontal="center" vertical="bottom"/>
    </xf>
    <xf borderId="0" fillId="0" fontId="3" numFmtId="0" xfId="0" applyAlignment="1" applyFont="1">
      <alignment horizontal="center" readingOrder="0" vertical="bottom"/>
    </xf>
    <xf borderId="0" fillId="0" fontId="3" numFmtId="0" xfId="0" applyAlignment="1" applyFont="1">
      <alignment readingOrder="0" vertical="bottom"/>
    </xf>
    <xf borderId="5" fillId="0" fontId="100" numFmtId="0" xfId="0" applyAlignment="1" applyBorder="1" applyFont="1">
      <alignment vertical="bottom"/>
    </xf>
    <xf quotePrefix="1" borderId="5" fillId="0" fontId="3" numFmtId="0" xfId="0" applyAlignment="1" applyBorder="1" applyFont="1">
      <alignment vertical="bottom"/>
    </xf>
    <xf borderId="5" fillId="0" fontId="134" numFmtId="0" xfId="0" applyAlignment="1" applyBorder="1" applyFont="1">
      <alignment vertical="bottom"/>
    </xf>
    <xf quotePrefix="1" borderId="6" fillId="0" fontId="3" numFmtId="0" xfId="0" applyAlignment="1" applyBorder="1" applyFont="1">
      <alignment vertical="bottom"/>
    </xf>
    <xf borderId="7" fillId="0" fontId="0" numFmtId="0" xfId="0" applyAlignment="1" applyBorder="1" applyFont="1">
      <alignment readingOrder="0" shrinkToFit="0" vertical="bottom" wrapText="0"/>
    </xf>
    <xf borderId="0" fillId="9" fontId="0" numFmtId="0" xfId="0" applyAlignment="1" applyFont="1">
      <alignmen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5">
    <tableStyle count="3" pivot="0" name="October-style">
      <tableStyleElement dxfId="1" type="headerRow"/>
      <tableStyleElement dxfId="2" type="firstRowStripe"/>
      <tableStyleElement dxfId="3" type="secondRowStripe"/>
    </tableStyle>
    <tableStyle count="2" pivot="0" name="November -style">
      <tableStyleElement dxfId="2" type="firstRowStripe"/>
      <tableStyleElement dxfId="3" type="secondRowStripe"/>
    </tableStyle>
    <tableStyle count="2" pivot="0" name="November -style 2">
      <tableStyleElement dxfId="2" type="firstRowStripe"/>
      <tableStyleElement dxfId="3" type="secondRowStripe"/>
    </tableStyle>
    <tableStyle count="3" pivot="0" name="November -style 3">
      <tableStyleElement dxfId="1" type="headerRow"/>
      <tableStyleElement dxfId="2" type="firstRowStripe"/>
      <tableStyleElement dxfId="3" type="secondRowStripe"/>
    </tableStyle>
    <tableStyle count="3" pivot="0" name="Septembe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6"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tables/table1.xml><?xml version="1.0" encoding="utf-8"?>
<table xmlns="http://schemas.openxmlformats.org/spreadsheetml/2006/main" headerRowCount="0" ref="D27:D33" displayName="Table_2" id="2">
  <tableColumns count="1">
    <tableColumn name="Column1" id="1"/>
  </tableColumns>
  <tableStyleInfo name="November -style" showColumnStripes="0" showFirstColumn="1" showLastColumn="1" showRowStripes="1"/>
</table>
</file>

<file path=xl/tables/table2.xml><?xml version="1.0" encoding="utf-8"?>
<table xmlns="http://schemas.openxmlformats.org/spreadsheetml/2006/main" headerRowCount="0" ref="A6:H9" display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November -style 2" showColumnStripes="0" showFirstColumn="1" showLastColumn="1" showRowStripes="1"/>
</table>
</file>

<file path=xl/tables/table3.xml><?xml version="1.0" encoding="utf-8"?>
<table xmlns="http://schemas.openxmlformats.org/spreadsheetml/2006/main" headerRowCount="0" ref="A1:G3" displayName="Table_4" id="4">
  <tableColumns count="7">
    <tableColumn name="Column1" id="1"/>
    <tableColumn name="Column2" id="2"/>
    <tableColumn name="Column3" id="3"/>
    <tableColumn name="Column4" id="4"/>
    <tableColumn name="Column5" id="5"/>
    <tableColumn name="Column6" id="6"/>
    <tableColumn name="Column7" id="7"/>
  </tableColumns>
  <tableStyleInfo name="November -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F1" displayName="Table_1" id="1">
  <tableColumns count="6">
    <tableColumn name="Date" id="1"/>
    <tableColumn name="Name" id="2"/>
    <tableColumn name="Agent /  Client" id="3"/>
    <tableColumn name="Contact" id="4"/>
    <tableColumn name="Email" id="5"/>
    <tableColumn name="Portal" id="6"/>
  </tableColumns>
  <tableStyleInfo name="October-style" showColumnStripes="0" showFirstColumn="1" showLastColumn="1" showRowStripes="1"/>
</table>
</file>

<file path=xl/tables/table5.xml><?xml version="1.0" encoding="utf-8"?>
<table xmlns="http://schemas.openxmlformats.org/spreadsheetml/2006/main" ref="A1:F90" displayName="Table_5" id="5">
  <tableColumns count="6">
    <tableColumn name="Date" id="1"/>
    <tableColumn name="Name" id="2"/>
    <tableColumn name="Agent /  Client" id="3"/>
    <tableColumn name="Contact" id="4"/>
    <tableColumn name="Email" id="5"/>
    <tableColumn name="Portal" id="6"/>
  </tableColumns>
  <tableStyleInfo name="September-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www.justproperty.com/en/rent/brand-new-bluewaters-sea-and-garden-view-2415024/" TargetMode="External"/><Relationship Id="rId2" Type="http://schemas.openxmlformats.org/officeDocument/2006/relationships/hyperlink" Target="mailto:roberts.lockhart@aol.com" TargetMode="External"/><Relationship Id="rId3" Type="http://schemas.openxmlformats.org/officeDocument/2006/relationships/hyperlink" Target="https://www.propertyfinder.ae/to/6408777/en?utm_source=transactional&amp;utm_medium=email&amp;utm_campaign=property%20lead_client" TargetMode="External"/><Relationship Id="rId4" Type="http://schemas.openxmlformats.org/officeDocument/2006/relationships/hyperlink" Target="mailto:Amanwaziri1977@gmail.com" TargetMode="External"/><Relationship Id="rId11" Type="http://schemas.openxmlformats.org/officeDocument/2006/relationships/drawing" Target="../drawings/drawing1.xml"/><Relationship Id="rId10" Type="http://schemas.openxmlformats.org/officeDocument/2006/relationships/hyperlink" Target="https://www.propertyfinder.ae/to/6556888/en?utm_source=transactional&amp;utm_medium=email&amp;utm_campaign=property%20lead_client" TargetMode="External"/><Relationship Id="rId9" Type="http://schemas.openxmlformats.org/officeDocument/2006/relationships/hyperlink" Target="https://www.propertyfinder.ae/to/6733008/en?utm_source=transactional&amp;utm_medium=email&amp;utm_campaign=property%20lead_client" TargetMode="External"/><Relationship Id="rId5" Type="http://schemas.openxmlformats.org/officeDocument/2006/relationships/hyperlink" Target="https://www.propertyfinder.ae/to/6757461/en?utm_source=transactional&amp;utm_medium=email&amp;utm_campaign=property%20lead_client" TargetMode="External"/><Relationship Id="rId6" Type="http://schemas.openxmlformats.org/officeDocument/2006/relationships/hyperlink" Target="https://www.propertyfinder.ae/to/6782268/en?utm_source=transactional&amp;utm_medium=email&amp;utm_campaign=property%20lead_client" TargetMode="External"/><Relationship Id="rId7" Type="http://schemas.openxmlformats.org/officeDocument/2006/relationships/hyperlink" Target="https://www.propertyfinder.ae/to/6733008/en?utm_source=transactional&amp;utm_medium=email&amp;utm_campaign=property%20lead_client" TargetMode="External"/><Relationship Id="rId8" Type="http://schemas.openxmlformats.org/officeDocument/2006/relationships/hyperlink" Target="https://www.propertyfinder.ae/to/6803745/en?utm_source=transactional&amp;utm_medium=email&amp;utm_campaign=property%20lead_clien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e.green-acres.com" TargetMode="External"/><Relationship Id="rId2" Type="http://schemas.openxmlformats.org/officeDocument/2006/relationships/hyperlink" Target="mailto:dual2207@gmail.com" TargetMode="External"/><Relationship Id="rId3" Type="http://schemas.openxmlformats.org/officeDocument/2006/relationships/hyperlink" Target="mailto:hazel@axiomatic.co.za?subject=Fresh%20listing%20|%20Sea%20view|%20Ready%20to%20move" TargetMode="External"/><Relationship Id="rId4" Type="http://schemas.openxmlformats.org/officeDocument/2006/relationships/hyperlink" Target="https://www.propertyfinder.ae/to/6281448/en?utm_source=transactional&amp;utm_medium=email&amp;utm_campaign=property%20lead_client" TargetMode="External"/><Relationship Id="rId13" Type="http://schemas.openxmlformats.org/officeDocument/2006/relationships/table" Target="../tables/table2.xml"/><Relationship Id="rId12" Type="http://schemas.openxmlformats.org/officeDocument/2006/relationships/table" Target="../tables/table1.xml"/><Relationship Id="rId14" Type="http://schemas.openxmlformats.org/officeDocument/2006/relationships/table" Target="../tables/table3.xml"/><Relationship Id="rId5" Type="http://schemas.openxmlformats.org/officeDocument/2006/relationships/hyperlink" Target="mailto:psupanya@gmail.com?subject=Sea%20%20Sunset%20View%20|%20Jacuzzi%20|%20Big%20Terrace" TargetMode="External"/><Relationship Id="rId6" Type="http://schemas.openxmlformats.org/officeDocument/2006/relationships/hyperlink" Target="https://www.propertyfinder.ae/to/6078961/en?utm_source=transactional&amp;utm_medium=email&amp;utm_campaign=property%20lead_client" TargetMode="External"/><Relationship Id="rId7" Type="http://schemas.openxmlformats.org/officeDocument/2006/relationships/hyperlink" Target="https://www.propertyfinder.ae/to/6168108/en?utm_source=transactional&amp;utm_medium=email&amp;utm_campaign=property%20lead_client"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amilar.jayasena@gmail.com" TargetMode="External"/><Relationship Id="rId2" Type="http://schemas.openxmlformats.org/officeDocument/2006/relationships/hyperlink" Target="mailto:kamlinmoodley@gmail.com?subject=Ready%20to%20Move%20|%20Huge%202%20Bedroom%20with%20Full%20Race%20View" TargetMode="External"/><Relationship Id="rId3" Type="http://schemas.openxmlformats.org/officeDocument/2006/relationships/hyperlink" Target="mailto:madan.khichi@gmail.com?subject=Cheapest%20Studio%20|%20Zen%2020%20Discovery%20Garden" TargetMode="External"/><Relationship Id="rId4" Type="http://schemas.openxmlformats.org/officeDocument/2006/relationships/hyperlink" Target="mailto:madan.khichi@gmail.com?subject=Cheapest%20Studio%20|%20Zen%2020%20Discovery%20Garden"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mailto:silvia.vertigo@hotmail.com" TargetMode="External"/><Relationship Id="rId11" Type="http://schemas.openxmlformats.org/officeDocument/2006/relationships/hyperlink" Target="mailto:elliemaycoventry@yahoo.co.uk" TargetMode="External"/><Relationship Id="rId22" Type="http://schemas.openxmlformats.org/officeDocument/2006/relationships/hyperlink" Target="mailto:nikkydeesmall@yahoo.co.uk" TargetMode="External"/><Relationship Id="rId10" Type="http://schemas.openxmlformats.org/officeDocument/2006/relationships/hyperlink" Target="mailto:zelrese.jones@gmail.com" TargetMode="External"/><Relationship Id="rId21" Type="http://schemas.openxmlformats.org/officeDocument/2006/relationships/hyperlink" Target="https://mandrillapp.com/track/click/30124164/tnydu.biz?p=eyJzIjoiZEdRTTBqS1pSZmdNbVhmMGJ2eTZ1c1haeHNvIiwidiI6MSwicCI6IntcInVcIjozMDEyNDE2NCxcInZcIjoxLFwidXJsXCI6XCJodHRwczpcXFwvXFxcL3RueWR1LmJpelxcXC9EYW9NNm9cXFwvP2ludml0ZT1jbG0tZW1haWxfMzAwNzhcIixcImlkXCI6XCJjM2JhMGQ5ZDZmZWI0ZGJiYWMxNTk5NThmMjcyYjVhYVwiLFwidXJsX2lkc1wiOltcIjdhNzVlMzlkNDllNGRlN2Y1OGNjNDhiZWRlMDczMWJhYWI0ZGY1MjZcIl19In0" TargetMode="External"/><Relationship Id="rId13" Type="http://schemas.openxmlformats.org/officeDocument/2006/relationships/hyperlink" Target="mailto:Carly.joanne@hotmail.com?subject=Ready%20to%20Move|%20Huge%202BR%20|Full%20Race%20View" TargetMode="External"/><Relationship Id="rId12" Type="http://schemas.openxmlformats.org/officeDocument/2006/relationships/hyperlink" Target="mailto:marinasagradyan82@gmail.com" TargetMode="External"/><Relationship Id="rId23" Type="http://schemas.openxmlformats.org/officeDocument/2006/relationships/drawing" Target="../drawings/drawing5.xml"/><Relationship Id="rId1" Type="http://schemas.openxmlformats.org/officeDocument/2006/relationships/hyperlink" Target="mailto:zahraraja890@hotmail.co.uk" TargetMode="External"/><Relationship Id="rId2" Type="http://schemas.openxmlformats.org/officeDocument/2006/relationships/hyperlink" Target="mailto:tasneemhamza@gmail.com?subject=Exclusive%20Apartments%20Overlooking%20the%20Sea" TargetMode="External"/><Relationship Id="rId3" Type="http://schemas.openxmlformats.org/officeDocument/2006/relationships/hyperlink" Target="mailto:Benjamin.Hunter@LH1.London" TargetMode="External"/><Relationship Id="rId4" Type="http://schemas.openxmlformats.org/officeDocument/2006/relationships/hyperlink" Target="https://u2381044.ct.sendgrid.net/wf/click?upn=RSqsAU3LC1dUDDjjMdeEnZwePeF8Rl76rlSXUbUAA2XYYDWtQGRgaWhLpYDcZ0vd3RH2FDQ4bj2duflc5iH9FiQLKmTXnc3vDhHb2F2wYNwS-2BBj2ORfZIOdMKrnYTYuE_FiroU9WATfGGQpGIbRb8NvXtF0yIBdsFBD2XkAm26RXjvds7T6Rvmszbybp7qnP2SsoDPZdiuBe7OReYU2Mqv41v-2FdNYhz-2FHq8Zr4PU-2B-2FIjviIcwAMTI1L9dkZge62i5HymiXWz2fJWjxfUeEOfpRid4rkhsxsoOOUnah3OkkIsMEkwnhPmd78iloci-2F6n8P0dItKlYkTEYN-2BZvWmn1MaxKloiEpOnV7NxvJ1b0YkHE-3D" TargetMode="External"/><Relationship Id="rId9" Type="http://schemas.openxmlformats.org/officeDocument/2006/relationships/hyperlink" Target="mailto:jstshering@gmail.com" TargetMode="External"/><Relationship Id="rId15" Type="http://schemas.openxmlformats.org/officeDocument/2006/relationships/hyperlink" Target="mailto:HL@RIGHTMOVEMORTGAGES.AE?subject=Dont%20miss%20Out%20for%20the%20Few%20unit%20Available" TargetMode="External"/><Relationship Id="rId14" Type="http://schemas.openxmlformats.org/officeDocument/2006/relationships/hyperlink" Target="https://www.propertyfinder.ae/to/6300072/en" TargetMode="External"/><Relationship Id="rId25" Type="http://schemas.openxmlformats.org/officeDocument/2006/relationships/table" Target="../tables/table4.xml"/><Relationship Id="rId17" Type="http://schemas.openxmlformats.org/officeDocument/2006/relationships/hyperlink" Target="mailto:wasfi77@hotmail.com?subject=Call%20Now!Offering%205%20Unique%20Styles%20Villas" TargetMode="External"/><Relationship Id="rId16" Type="http://schemas.openxmlformats.org/officeDocument/2006/relationships/hyperlink" Target="https://www.propertyfinder.ae/to/6399466/en" TargetMode="External"/><Relationship Id="rId5" Type="http://schemas.openxmlformats.org/officeDocument/2006/relationships/hyperlink" Target="mailto:shireenzht@gmail.com" TargetMode="External"/><Relationship Id="rId19" Type="http://schemas.openxmlformats.org/officeDocument/2006/relationships/hyperlink" Target="mailto:mariawadiwala8@gmail.com" TargetMode="External"/><Relationship Id="rId6" Type="http://schemas.openxmlformats.org/officeDocument/2006/relationships/hyperlink" Target="mailto:soft_gull@hotmail.com" TargetMode="External"/><Relationship Id="rId18" Type="http://schemas.openxmlformats.org/officeDocument/2006/relationships/hyperlink" Target="mailto:holke.stefanie@gmail.com" TargetMode="External"/><Relationship Id="rId7" Type="http://schemas.openxmlformats.org/officeDocument/2006/relationships/hyperlink" Target="mailto:p.walicagajewska@gmail.com?subject=Spacious%201Bed%20rooms%20with%20Amazing%20Views!!" TargetMode="External"/><Relationship Id="rId8" Type="http://schemas.openxmlformats.org/officeDocument/2006/relationships/hyperlink" Target="https://www.propertyfinder.ae/to/6379124/en"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mailto:zulqarnen@hotmail.fr" TargetMode="External"/><Relationship Id="rId20" Type="http://schemas.openxmlformats.org/officeDocument/2006/relationships/hyperlink" Target="mailto:aalgendi85@gmail.com" TargetMode="External"/><Relationship Id="rId42" Type="http://schemas.openxmlformats.org/officeDocument/2006/relationships/hyperlink" Target="mailto:tajarshia@yahoo.co.in?subject=Perfect%20Location%20to%20your%20Family|Dubai%20Hills" TargetMode="External"/><Relationship Id="rId41" Type="http://schemas.openxmlformats.org/officeDocument/2006/relationships/hyperlink" Target="https://mandrillapp.com/track/click/30124164/tnydu.biz?p=eyJzIjoiS2YwWnI1eEpFcVF2ODA0dTBwWGZHQUFybUtjIiwidiI6MSwicCI6IntcInVcIjozMDEyNDE2NCxcInZcIjoxLFwidXJsXCI6XCJodHRwczpcXFwvXFxcL3RueWR1LmJpelxcXC9EaG1xWHFcXFwvP2ludml0ZT1jbG0tZW1haWxfMzAwNzhcIixcImlkXCI6XCI5OTNmM2U3ZTYyMDM0NWJkYTRiMWI3MTA3N2RkODgyOFwiLFwidXJsX2lkc1wiOltcIjdhNzVlMzlkNDllNGRlN2Y1OGNjNDhiZWRlMDczMWJhYWI0ZGY1MjZcIl19In0" TargetMode="External"/><Relationship Id="rId22" Type="http://schemas.openxmlformats.org/officeDocument/2006/relationships/hyperlink" Target="https://www.justproperty.com/en/rent/dubai/apartments-for-rent-in-dubai-studio-city/glitz-3/" TargetMode="External"/><Relationship Id="rId21" Type="http://schemas.openxmlformats.org/officeDocument/2006/relationships/hyperlink" Target="mailto:khurramali.dxb@gmail.com" TargetMode="External"/><Relationship Id="rId43" Type="http://schemas.openxmlformats.org/officeDocument/2006/relationships/drawing" Target="../drawings/drawing6.xml"/><Relationship Id="rId24" Type="http://schemas.openxmlformats.org/officeDocument/2006/relationships/hyperlink" Target="mailto:alshanfari101010@gmail.com" TargetMode="External"/><Relationship Id="rId23" Type="http://schemas.openxmlformats.org/officeDocument/2006/relationships/hyperlink" Target="mailto:ghazifatih@hotmail.com" TargetMode="External"/><Relationship Id="rId45" Type="http://schemas.openxmlformats.org/officeDocument/2006/relationships/table" Target="../tables/table5.xml"/><Relationship Id="rId1" Type="http://schemas.openxmlformats.org/officeDocument/2006/relationships/hyperlink" Target="mailto:kimwells200@yahoo.com?subject=Free%20Chiller%20|%20Lake%20and%20Pool%20View%20|%202%20BR" TargetMode="External"/><Relationship Id="rId2" Type="http://schemas.openxmlformats.org/officeDocument/2006/relationships/hyperlink" Target="mailto:Mousa11b2@gmail.com" TargetMode="External"/><Relationship Id="rId3" Type="http://schemas.openxmlformats.org/officeDocument/2006/relationships/hyperlink" Target="mailto:miritareina@hotmail.com" TargetMode="External"/><Relationship Id="rId4" Type="http://schemas.openxmlformats.org/officeDocument/2006/relationships/hyperlink" Target="mailto:jamimota2011@outlook.com?subject=Well%20maintained%20|%20Fitted%20Kitchen%20|%20Vacant" TargetMode="External"/><Relationship Id="rId9" Type="http://schemas.openxmlformats.org/officeDocument/2006/relationships/hyperlink" Target="mailto:muffassa@gmail.com" TargetMode="External"/><Relationship Id="rId26" Type="http://schemas.openxmlformats.org/officeDocument/2006/relationships/hyperlink" Target="mailto:xenia.markovic@jumeirah.com?subject=Fresh%20listing%20|%20Sea%20view|%20Ready%20to%20move" TargetMode="External"/><Relationship Id="rId25" Type="http://schemas.openxmlformats.org/officeDocument/2006/relationships/hyperlink" Target="mailto:blesshgod@gmail.com?subject=Well%20Known%20Restaurant%20in%20Prime%20of%20Marina" TargetMode="External"/><Relationship Id="rId28" Type="http://schemas.openxmlformats.org/officeDocument/2006/relationships/hyperlink" Target="mailto:ludwigtimothy9@gmail.com?subject=Running%20Cafe%20in%20Jebel%20Ali%20Office%20Building" TargetMode="External"/><Relationship Id="rId27" Type="http://schemas.openxmlformats.org/officeDocument/2006/relationships/hyperlink" Target="mailto:arezoossk@hotmail.de" TargetMode="External"/><Relationship Id="rId5" Type="http://schemas.openxmlformats.org/officeDocument/2006/relationships/hyperlink" Target="mailto:Razi.islam1@gmail.com" TargetMode="External"/><Relationship Id="rId6" Type="http://schemas.openxmlformats.org/officeDocument/2006/relationships/hyperlink" Target="mailto:Cbounden@hotmail.co.uk?subject=Park%20View%20|Vacant%20|%20Perfect%20condition" TargetMode="External"/><Relationship Id="rId29" Type="http://schemas.openxmlformats.org/officeDocument/2006/relationships/hyperlink" Target="https://www.propertyfinder.ae/to/6195757/en?utm_source=transactional&amp;utm_medium=email&amp;utm_campaign=property%20lead_client" TargetMode="External"/><Relationship Id="rId7" Type="http://schemas.openxmlformats.org/officeDocument/2006/relationships/hyperlink" Target="mailto:alhafyan1@hotmail.com" TargetMode="External"/><Relationship Id="rId8" Type="http://schemas.openxmlformats.org/officeDocument/2006/relationships/hyperlink" Target="mailto:doris@5izmerenie.com.ua?subject=Huge%201%20Bedroom%20|%20Sea%20Views%20|%20Unfurnished" TargetMode="External"/><Relationship Id="rId31" Type="http://schemas.openxmlformats.org/officeDocument/2006/relationships/hyperlink" Target="mailto:leo_noor94@hotmail.com" TargetMode="External"/><Relationship Id="rId30" Type="http://schemas.openxmlformats.org/officeDocument/2006/relationships/hyperlink" Target="mailto:James8928@hotmail.com?subject=Short%20Term/Long%20Term%20|%20Address%20Dubai%20Mall" TargetMode="External"/><Relationship Id="rId11" Type="http://schemas.openxmlformats.org/officeDocument/2006/relationships/hyperlink" Target="mailto:saadnelly@gmail.com" TargetMode="External"/><Relationship Id="rId33" Type="http://schemas.openxmlformats.org/officeDocument/2006/relationships/hyperlink" Target="mailto:jay9424@gmail.com" TargetMode="External"/><Relationship Id="rId10" Type="http://schemas.openxmlformats.org/officeDocument/2006/relationships/hyperlink" Target="mailto:zabiella@hotmail.com?subject=Beach%20Access|%20Well%20maintained|%20Vacant" TargetMode="External"/><Relationship Id="rId32" Type="http://schemas.openxmlformats.org/officeDocument/2006/relationships/hyperlink" Target="mailto:marianguemes@hotmail.com?subject=Favorite%20Type|%20Beach%20Access|%20Well%20kept" TargetMode="External"/><Relationship Id="rId13" Type="http://schemas.openxmlformats.org/officeDocument/2006/relationships/hyperlink" Target="mailto:noufalhaqbani@gmail.com" TargetMode="External"/><Relationship Id="rId35" Type="http://schemas.openxmlformats.org/officeDocument/2006/relationships/hyperlink" Target="mailto:kent425@hotmail.com?subject=Short%20Term/Long%20Term%20|%20Address%20Dubai%20Mall" TargetMode="External"/><Relationship Id="rId12" Type="http://schemas.openxmlformats.org/officeDocument/2006/relationships/hyperlink" Target="mailto:Liamcheng@yahoo.com?subject=Ready%20to%20Move|%20Huge%204BR%20+%20Maids" TargetMode="External"/><Relationship Id="rId34" Type="http://schemas.openxmlformats.org/officeDocument/2006/relationships/hyperlink" Target="http://justproperty.com/en/buy/well-known-restaurant-in-prime-of-marina-2294574/" TargetMode="External"/><Relationship Id="rId15" Type="http://schemas.openxmlformats.org/officeDocument/2006/relationships/hyperlink" Target="mailto:kopyova@inbox.ru?subject=Amazing%20Full%20Golf%20Course%20View|%2001%20Series" TargetMode="External"/><Relationship Id="rId37" Type="http://schemas.openxmlformats.org/officeDocument/2006/relationships/hyperlink" Target="mailto:lianesantosp@gmail.com" TargetMode="External"/><Relationship Id="rId14" Type="http://schemas.openxmlformats.org/officeDocument/2006/relationships/hyperlink" Target="mailto:vtsakalo@its.jnj.com?subject=Marina%20View%202%20BR%20|%20Maid%20Room%20|%20Unfurnished" TargetMode="External"/><Relationship Id="rId36" Type="http://schemas.openxmlformats.org/officeDocument/2006/relationships/hyperlink" Target="https://www.propertyfinder.ae/to/6078973/en?utm_source=transactional&amp;utm_medium=email&amp;utm_campaign=property%20lead_client" TargetMode="External"/><Relationship Id="rId17" Type="http://schemas.openxmlformats.org/officeDocument/2006/relationships/hyperlink" Target="mailto:misyhelabalos@yahoo.com" TargetMode="External"/><Relationship Id="rId39" Type="http://schemas.openxmlformats.org/officeDocument/2006/relationships/hyperlink" Target="mailto:amine.mamlouk@gmail.com?subject=Best%20Price%20|%20JLT%20View%20|%20Large%202%20Bedroom" TargetMode="External"/><Relationship Id="rId16" Type="http://schemas.openxmlformats.org/officeDocument/2006/relationships/hyperlink" Target="mailto:maya_oro@hotmail.com?subject=Beach%20Access|%20Well%20maintained|%20Vacant" TargetMode="External"/><Relationship Id="rId38" Type="http://schemas.openxmlformats.org/officeDocument/2006/relationships/hyperlink" Target="mailto:maaztariq28@gmail.com?subject=Fullly%20Furnished%20Studio%20in%20Glitz%203%20Tower%201" TargetMode="External"/><Relationship Id="rId19" Type="http://schemas.openxmlformats.org/officeDocument/2006/relationships/hyperlink" Target="mailto:jayson_benson@zoho.com" TargetMode="External"/><Relationship Id="rId18" Type="http://schemas.openxmlformats.org/officeDocument/2006/relationships/hyperlink" Target="mailto:Alex@stmarksestates.com?subject=Gated%20Community%20|Fitted%20Kitchen%20|%20Villas"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mailto:tahirajafzal@gmail.com?subject=Best%20Price%20|%20JLT%20View%20|%20Large%202%20Bedroom" TargetMode="External"/><Relationship Id="rId84" Type="http://schemas.openxmlformats.org/officeDocument/2006/relationships/hyperlink" Target="mailto:mk@dandbdubai.com?subject=Gated%20Community%20|Fitted%20Kitchen%20|%20Villas" TargetMode="External"/><Relationship Id="rId83" Type="http://schemas.openxmlformats.org/officeDocument/2006/relationships/hyperlink" Target="mailto:patricia.lonsdorfer@gmail.com?subject=Immaculate%20view%20of%20the%20sea|%20High%20Floor." TargetMode="External"/><Relationship Id="rId42" Type="http://schemas.openxmlformats.org/officeDocument/2006/relationships/hyperlink" Target="mailto:legrismelissa@gmail.com" TargetMode="External"/><Relationship Id="rId41" Type="http://schemas.openxmlformats.org/officeDocument/2006/relationships/hyperlink" Target="mailto:legrismelissa@gmail.com" TargetMode="External"/><Relationship Id="rId85" Type="http://schemas.openxmlformats.org/officeDocument/2006/relationships/drawing" Target="../drawings/drawing7.xml"/><Relationship Id="rId44" Type="http://schemas.openxmlformats.org/officeDocument/2006/relationships/hyperlink" Target="mailto:Farahabed@hotmail.co.uk?subject=Fully%20Furnished%20Studio%20with%20Boulevard%20View" TargetMode="External"/><Relationship Id="rId43" Type="http://schemas.openxmlformats.org/officeDocument/2006/relationships/hyperlink" Target="mailto:adeenkhan111@gmail.com" TargetMode="External"/><Relationship Id="rId46" Type="http://schemas.openxmlformats.org/officeDocument/2006/relationships/hyperlink" Target="mailto:hassan.badwy@gmail.com" TargetMode="External"/><Relationship Id="rId45" Type="http://schemas.openxmlformats.org/officeDocument/2006/relationships/hyperlink" Target="mailto:lucy.wildman@yahoo.co.uk?subject=Vacant%202%20Beds%20with%20Full%20Golf%20Course%20view" TargetMode="External"/><Relationship Id="rId80" Type="http://schemas.openxmlformats.org/officeDocument/2006/relationships/hyperlink" Target="mailto:zhreish@gmail.com?subject=Running%20Fast%20food%20Burger%20Restaurant%20in%20Jumeirah%202" TargetMode="External"/><Relationship Id="rId82" Type="http://schemas.openxmlformats.org/officeDocument/2006/relationships/hyperlink" Target="mailto:chmayt@gmail.com" TargetMode="External"/><Relationship Id="rId81" Type="http://schemas.openxmlformats.org/officeDocument/2006/relationships/hyperlink" Target="https://www.propertyfinder.ae/to/6295095/en?utm_source=transactional&amp;utm_medium=email&amp;utm_campaign=property%20lead_client" TargetMode="External"/><Relationship Id="rId1" Type="http://schemas.openxmlformats.org/officeDocument/2006/relationships/hyperlink" Target="mailto:bonkercool@gmail.com" TargetMode="External"/><Relationship Id="rId2" Type="http://schemas.openxmlformats.org/officeDocument/2006/relationships/hyperlink" Target="mailto:xephyrs@live.com" TargetMode="External"/><Relationship Id="rId3" Type="http://schemas.openxmlformats.org/officeDocument/2006/relationships/hyperlink" Target="https://mandrillapp.com/track/click/30124164/tnydu.biz?p=eyJzIjoiS0FsaHpHTmR1Sk5aN2FKVUJrMjJ0c2pRQ3hJIiwidiI6MSwicCI6IntcInVcIjozMDEyNDE2NCxcInZcIjoxLFwidXJsXCI6XCJodHRwczpcXFwvXFxcL3RueWR1LmJpelxcXC9EaG1ueHc_dXRtX3NvdXJjZT1jb3JlJnV0bV9tZWRpdW09ZW1haWxfdHJhbnMmdXRtX2NhbXBhaWduPXRyYW5zX2NvcmUmdXRtX2NvbnRlbnQ9c2VsbGVyX2xlYWRfZW4jeHRvcj1FUFItMzM0W3RyYW5zX2NvcmVdLVtjb3JlXS0yMDE0MDEzMS1bc2VsbGVyX2xlYWRfZW5dLVtdXCIsXCJpZFwiOlwiODkyYjg5ZjZlNzg4NDMyNzg5Yzc1MzM2NzEwMDJlYmRcIixcInVybF9pZHNcIjpbXCI3YTc1ZTM5ZDQ5ZTRkZTdmNThjYzQ4YmVkZTA3MzFiYWFiNGRmNTI2XCJdfSJ9" TargetMode="External"/><Relationship Id="rId4" Type="http://schemas.openxmlformats.org/officeDocument/2006/relationships/hyperlink" Target="mailto:asraynaud@aol.com?subject=Huge%201%20Bedroom%20|%20Sea%20Views%20|%20Unfurnished" TargetMode="External"/><Relationship Id="rId9" Type="http://schemas.openxmlformats.org/officeDocument/2006/relationships/hyperlink" Target="mailto:the_pankaj@hotmail.com" TargetMode="External"/><Relationship Id="rId48" Type="http://schemas.openxmlformats.org/officeDocument/2006/relationships/hyperlink" Target="mailto:alun@horizonscanning.com?subject=Prestigious%20%201%20Bedroom%20in%20Tiara%20%20Sea%20view" TargetMode="External"/><Relationship Id="rId47" Type="http://schemas.openxmlformats.org/officeDocument/2006/relationships/hyperlink" Target="mailto:francis_02_08_1989@yahoo.com" TargetMode="External"/><Relationship Id="rId49" Type="http://schemas.openxmlformats.org/officeDocument/2006/relationships/hyperlink" Target="mailto:Bdamiri@hotmail.com?subject=Type%2004%20Full%20Burj%20Khalifa%20and%20Fountain%20View" TargetMode="External"/><Relationship Id="rId5" Type="http://schemas.openxmlformats.org/officeDocument/2006/relationships/hyperlink" Target="mailto:karamfila.toma@gmail.com" TargetMode="External"/><Relationship Id="rId6" Type="http://schemas.openxmlformats.org/officeDocument/2006/relationships/hyperlink" Target="mailto:pavancivil1@gmail.com" TargetMode="External"/><Relationship Id="rId7" Type="http://schemas.openxmlformats.org/officeDocument/2006/relationships/hyperlink" Target="mailto:DAVID@INNERSPACEME.COM?subject=Unfurnished%20|%20Sea%20view|%20Ready%20to%20move%20in" TargetMode="External"/><Relationship Id="rId8" Type="http://schemas.openxmlformats.org/officeDocument/2006/relationships/hyperlink" Target="mailto:lakshnaik266@gmail.com" TargetMode="External"/><Relationship Id="rId73" Type="http://schemas.openxmlformats.org/officeDocument/2006/relationships/hyperlink" Target="mailto:arizahmad@gmail.com?subject=Running%20Building%20Materials%20Trading%20Business" TargetMode="External"/><Relationship Id="rId72" Type="http://schemas.openxmlformats.org/officeDocument/2006/relationships/hyperlink" Target="mailto:elliottgwprescott@gmail.com" TargetMode="External"/><Relationship Id="rId31" Type="http://schemas.openxmlformats.org/officeDocument/2006/relationships/hyperlink" Target="mailto:iamjameswood79@gmail.com?subject=JVT,%20%20VACANT%20UNIT%20-%20GREAT%20PAYMENT%20PLAN!!" TargetMode="External"/><Relationship Id="rId75" Type="http://schemas.openxmlformats.org/officeDocument/2006/relationships/hyperlink" Target="mailto:nadim@enayarugs.com?subject=Brand%20New!%20Showroom's%20in%20Umm%20Suqeim%20Road" TargetMode="External"/><Relationship Id="rId30" Type="http://schemas.openxmlformats.org/officeDocument/2006/relationships/hyperlink" Target="mailto:ajrobinson@theblueground.com?subject=Free%20Chiller%20|%20Lake%20and%20Pool%20View%20|%202%20BR" TargetMode="External"/><Relationship Id="rId74" Type="http://schemas.openxmlformats.org/officeDocument/2006/relationships/hyperlink" Target="https://www.propertyfinder.ae/to/6085559/en?utm_source=transactional&amp;utm_medium=email&amp;utm_campaign=property%20lead_client" TargetMode="External"/><Relationship Id="rId33" Type="http://schemas.openxmlformats.org/officeDocument/2006/relationships/hyperlink" Target="mailto:Khamael1@outlook.com" TargetMode="External"/><Relationship Id="rId77" Type="http://schemas.openxmlformats.org/officeDocument/2006/relationships/hyperlink" Target="mailto:bws_uk@yahoo.com?subject=Park%20view%20|available%20now|%20The%20best%20type" TargetMode="External"/><Relationship Id="rId32" Type="http://schemas.openxmlformats.org/officeDocument/2006/relationships/hyperlink" Target="mailto:besher.eisa@outlook.com" TargetMode="External"/><Relationship Id="rId76" Type="http://schemas.openxmlformats.org/officeDocument/2006/relationships/hyperlink" Target="mailto:brendaskeith2@gmail.com?subject=Apartment%20for%20670,888%20AED%20Onwards%20|%20Collective" TargetMode="External"/><Relationship Id="rId35" Type="http://schemas.openxmlformats.org/officeDocument/2006/relationships/hyperlink" Target="mailto:atulsehra88@gmail.com" TargetMode="External"/><Relationship Id="rId79" Type="http://schemas.openxmlformats.org/officeDocument/2006/relationships/hyperlink" Target="mailto:alun@horizonscanning.com?subject=Prestigious%20%201%20Bedroom%20in%20Tiara%20%20Sea%20view" TargetMode="External"/><Relationship Id="rId34" Type="http://schemas.openxmlformats.org/officeDocument/2006/relationships/hyperlink" Target="mailto:reema.soboh@gmail.com?subject=Lowest%20price%20for%20Stand%20Alone%20Villa%20Sidra" TargetMode="External"/><Relationship Id="rId78" Type="http://schemas.openxmlformats.org/officeDocument/2006/relationships/hyperlink" Target="mailto:aburakan1017@hotmail.com?subject=Boulevard%20point%20connected%20to%20DUBAI%20MALL" TargetMode="External"/><Relationship Id="rId71" Type="http://schemas.openxmlformats.org/officeDocument/2006/relationships/hyperlink" Target="mailto:user.id2882@gmail.com" TargetMode="External"/><Relationship Id="rId70" Type="http://schemas.openxmlformats.org/officeDocument/2006/relationships/hyperlink" Target="mailto:ihmravi@yahoo.com" TargetMode="External"/><Relationship Id="rId37" Type="http://schemas.openxmlformats.org/officeDocument/2006/relationships/hyperlink" Target="mailto:karen.oliverdxb@hotmail.com?subject=Beautifully%20manicured%20golf%20course|2%20Beds" TargetMode="External"/><Relationship Id="rId36" Type="http://schemas.openxmlformats.org/officeDocument/2006/relationships/hyperlink" Target="mailto:atulsehra88@gmail.com" TargetMode="External"/><Relationship Id="rId39" Type="http://schemas.openxmlformats.org/officeDocument/2006/relationships/hyperlink" Target="mailto:doaalachine@gmail.com" TargetMode="External"/><Relationship Id="rId38" Type="http://schemas.openxmlformats.org/officeDocument/2006/relationships/hyperlink" Target="mailto:julia.weinlinger@hotmail.com?subject=Sea%20%20Sunset%20View%20|%20Jacuzzi%20|%20Big%20Terrace" TargetMode="External"/><Relationship Id="rId62" Type="http://schemas.openxmlformats.org/officeDocument/2006/relationships/hyperlink" Target="mailto:leslie.trejo@hotmail.com" TargetMode="External"/><Relationship Id="rId61" Type="http://schemas.openxmlformats.org/officeDocument/2006/relationships/hyperlink" Target="mailto:abdulla@humaidan.com?subject=Prestigious%20Studio%20with%20Panoramic%20View!!" TargetMode="External"/><Relationship Id="rId20" Type="http://schemas.openxmlformats.org/officeDocument/2006/relationships/hyperlink" Target="mailto:aniladevnani@gmail.com?subject=Cheapest%20Studio%20|%20Zen%2020%20Discovery%20Garden" TargetMode="External"/><Relationship Id="rId64" Type="http://schemas.openxmlformats.org/officeDocument/2006/relationships/hyperlink" Target="mailto:waseem.belushi@gmail.com" TargetMode="External"/><Relationship Id="rId63" Type="http://schemas.openxmlformats.org/officeDocument/2006/relationships/hyperlink" Target="mailto:leslie.trejo@hotmail.com" TargetMode="External"/><Relationship Id="rId22" Type="http://schemas.openxmlformats.org/officeDocument/2006/relationships/hyperlink" Target="mailto:meryhoo@gmail.com" TargetMode="External"/><Relationship Id="rId66" Type="http://schemas.openxmlformats.org/officeDocument/2006/relationships/hyperlink" Target="mailto:ahmedkarhout@gmail.com" TargetMode="External"/><Relationship Id="rId21" Type="http://schemas.openxmlformats.org/officeDocument/2006/relationships/hyperlink" Target="mailto:avneetkaur06896@gmail.com" TargetMode="External"/><Relationship Id="rId65" Type="http://schemas.openxmlformats.org/officeDocument/2006/relationships/hyperlink" Target="mailto:tejara-ksa@hotmail.com" TargetMode="External"/><Relationship Id="rId24" Type="http://schemas.openxmlformats.org/officeDocument/2006/relationships/hyperlink" Target="mailto:morisfelix70@gmail.com" TargetMode="External"/><Relationship Id="rId68" Type="http://schemas.openxmlformats.org/officeDocument/2006/relationships/hyperlink" Target="mailto:htahadifc@yahoo.com" TargetMode="External"/><Relationship Id="rId23" Type="http://schemas.openxmlformats.org/officeDocument/2006/relationships/hyperlink" Target="mailto:yelena@armsgroup.ae?subject=The%20Rarest%20and%20Unique%20full%20sea%20view" TargetMode="External"/><Relationship Id="rId67" Type="http://schemas.openxmlformats.org/officeDocument/2006/relationships/hyperlink" Target="https://mandrillapp.com/track/click/30124164/tnydu.biz?p=eyJzIjoiMkRXSlZaYXhfaW9CWldQNF95NHlnaE4yZ0ZvIiwidiI6MSwicCI6IntcInVcIjozMDEyNDE2NCxcInZcIjoxLFwidXJsXCI6XCJodHRwczpcXFwvXFxcL3RueWR1LmJpelxcXC9EaG1ueHZcXFwvP2ludml0ZT1jbG0tZW1haWxfMzAwNzhcIixcImlkXCI6XCJmMGUzZTQyOGI0ODU0ZjcyOTVkMzliZjBmNjA5MDFiN1wiLFwidXJsX2lkc1wiOltcIjdhNzVlMzlkNDllNGRlN2Y1OGNjNDhiZWRlMDczMWJhYWI0ZGY1MjZcIl19In0" TargetMode="External"/><Relationship Id="rId60" Type="http://schemas.openxmlformats.org/officeDocument/2006/relationships/hyperlink" Target="mailto:shaikden001@gmail.com" TargetMode="External"/><Relationship Id="rId26" Type="http://schemas.openxmlformats.org/officeDocument/2006/relationships/hyperlink" Target="mailto:amoonte@hotmail.com?subject=Ready%20to%20Move%20in%20Right%20Now%20|%20Barsha%20Villa" TargetMode="External"/><Relationship Id="rId25" Type="http://schemas.openxmlformats.org/officeDocument/2006/relationships/hyperlink" Target="mailto:antoniasarosi@gmail.com?subject=Short%20Term/Long%20Term%20|%20Address%20Dubai%20Mall" TargetMode="External"/><Relationship Id="rId69" Type="http://schemas.openxmlformats.org/officeDocument/2006/relationships/hyperlink" Target="mailto:kent425@hotmail.com?subject=Short%20Term/Long%20Term%20|%20Address%20Dubai%20Mall" TargetMode="External"/><Relationship Id="rId28" Type="http://schemas.openxmlformats.org/officeDocument/2006/relationships/hyperlink" Target="https://mandrillapp.com/track/click/30124164/tnydu.biz?p=eyJzIjoiSURzcEtqckwtT0FZMlU5NXpuWHMzb091RXVr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MTIwZTNmMWM4MzUyNDQwZTk0NjgxZjgwZjA5MDRmMWFcIixcInVybF9pZHNcIjpbXCI3YTc1ZTM5ZDQ5ZTRkZTdmNThjYzQ4YmVkZTA3MzFiYWFiNGRmNTI2XCJdfSJ9" TargetMode="External"/><Relationship Id="rId27" Type="http://schemas.openxmlformats.org/officeDocument/2006/relationships/hyperlink" Target="mailto:chefrakeshyadav@gmail.com" TargetMode="External"/><Relationship Id="rId29" Type="http://schemas.openxmlformats.org/officeDocument/2006/relationships/hyperlink" Target="mailto:gina@chicshoes.ae" TargetMode="External"/><Relationship Id="rId51" Type="http://schemas.openxmlformats.org/officeDocument/2006/relationships/hyperlink" Target="mailto:topaffaires@yahoo.fr" TargetMode="External"/><Relationship Id="rId50" Type="http://schemas.openxmlformats.org/officeDocument/2006/relationships/hyperlink" Target="mailto:dr.phinaa@yahoo.com" TargetMode="External"/><Relationship Id="rId53" Type="http://schemas.openxmlformats.org/officeDocument/2006/relationships/hyperlink" Target="mailto:a_sensation@hotmail.com" TargetMode="External"/><Relationship Id="rId52" Type="http://schemas.openxmlformats.org/officeDocument/2006/relationships/hyperlink" Target="https://mandrillapp.com/track/click/30124164/tnydu.biz?p=eyJzIjoiemdPQWlZTkhtNGFYRlFwMzVUOXBmbEw2MHlrIiwidiI6MSwicCI6IntcInVcIjozMDEyNDE2NCxcInZcIjoxLFwidXJsXCI6XCJodHRwczpcXFwvXFxcL3RueWR1LmJpelxcXC9EaG1ueHZcXFwvP2ludml0ZT1jbG0tZW1haWxfMzAwNzhcIixcImlkXCI6XCJkYmFlOTM4N2E1OGM0MzA2OGMwN2Y3ZmRlMmFmYjE5YlwiLFwidXJsX2lkc1wiOltcIjdhNzVlMzlkNDllNGRlN2Y1OGNjNDhiZWRlMDczMWJhYWI0ZGY1MjZcIl19In0" TargetMode="External"/><Relationship Id="rId11" Type="http://schemas.openxmlformats.org/officeDocument/2006/relationships/hyperlink" Target="mailto:rana.h.amer11@gmail.com?subject=Remraam%20Phase%202%20The%20lowest%20price%20Apartment" TargetMode="External"/><Relationship Id="rId55" Type="http://schemas.openxmlformats.org/officeDocument/2006/relationships/hyperlink" Target="mailto:rcckrafeeq@gmail.com" TargetMode="External"/><Relationship Id="rId10" Type="http://schemas.openxmlformats.org/officeDocument/2006/relationships/hyperlink" Target="mailto:jpegjunjun@gmail.com?subject=Short%20Term/Long%20Term%20|%20Address%20Dubai%20Mall" TargetMode="External"/><Relationship Id="rId54" Type="http://schemas.openxmlformats.org/officeDocument/2006/relationships/hyperlink" Target="https://mandrillapp.com/track/click/30124164/tnydu.biz?p=eyJzIjoiMXlqMTU5UUlSb2JwQnNLbmxsNV9oUmtPOW9FIiwidiI6MSwicCI6IntcInVcIjozMDEyNDE2NCxcInZcIjoxLFwidXJsXCI6XCJodHRwczpcXFwvXFxcL3RueWR1LmJpelxcXC9EaG1wWUNcXFwvP2ludml0ZT1jbG0tZW1haWxfMzAwNzhcIixcImlkXCI6XCIyNjczOWRjYjU5Y2Y0MjFkYjFiZTg3NjQyM2FkMTZiMlwiLFwidXJsX2lkc1wiOltcIjdhNzVlMzlkNDllNGRlN2Y1OGNjNDhiZWRlMDczMWJhYWI0ZGY1MjZcIl19In0" TargetMode="External"/><Relationship Id="rId13" Type="http://schemas.openxmlformats.org/officeDocument/2006/relationships/hyperlink" Target="mailto:fkafafi@yahoo.com" TargetMode="External"/><Relationship Id="rId57" Type="http://schemas.openxmlformats.org/officeDocument/2006/relationships/hyperlink" Target="mailto:rogerbarra@hotmail.com?subject=The%20most%20demanded%20layout,%20Vacant%20on%20June" TargetMode="External"/><Relationship Id="rId12" Type="http://schemas.openxmlformats.org/officeDocument/2006/relationships/hyperlink" Target="mailto:youmaria908@gmail.com" TargetMode="External"/><Relationship Id="rId56" Type="http://schemas.openxmlformats.org/officeDocument/2006/relationships/hyperlink" Target="https://mandrillapp.com/track/click/30124164/tnydu.biz?p=eyJzIjoiZ184RmxrbnR2VWdHTzhSekRYUEFFMGcyTUI0IiwidiI6MSwicCI6IntcInVcIjozMDEyNDE2NCxcInZcIjoxLFwidXJsXCI6XCJodHRwczpcXFwvXFxcL3RueWR1LmJpelxcXC9EY2VXc3FcXFwvP2ludml0ZT1jbG0tZW1haWxfMzAwNzhcIixcImlkXCI6XCI2ZGVkMTBhNTg1M2M0NDlhYTk4ZWZmMmNjMDM0YTg5MFwiLFwidXJsX2lkc1wiOltcIjdhNzVlMzlkNDllNGRlN2Y1OGNjNDhiZWRlMDczMWJhYWI0ZGY1MjZcIl19In0" TargetMode="External"/><Relationship Id="rId15" Type="http://schemas.openxmlformats.org/officeDocument/2006/relationships/hyperlink" Target="mailto:macyscom@yahoo.com?subject=Running%20Italian%20Restaurant%20In%20Deira%20Mall" TargetMode="External"/><Relationship Id="rId59" Type="http://schemas.openxmlformats.org/officeDocument/2006/relationships/hyperlink" Target="mailto:moemedia@gmail.com" TargetMode="External"/><Relationship Id="rId14" Type="http://schemas.openxmlformats.org/officeDocument/2006/relationships/hyperlink" Target="mailto:changjingjing@gmail.com?subject=Cheapest%20Studio%20|%20Zen%2020%20Discovery%20Garden" TargetMode="External"/><Relationship Id="rId58" Type="http://schemas.openxmlformats.org/officeDocument/2006/relationships/hyperlink" Target="mailto:sallypotterirwin@hotmail.co.uk" TargetMode="External"/><Relationship Id="rId17" Type="http://schemas.openxmlformats.org/officeDocument/2006/relationships/hyperlink" Target="mailto:vikesh.rana@gmail.com" TargetMode="External"/><Relationship Id="rId16" Type="http://schemas.openxmlformats.org/officeDocument/2006/relationships/hyperlink" Target="mailto:sissi2223@yahoo.com" TargetMode="External"/><Relationship Id="rId19" Type="http://schemas.openxmlformats.org/officeDocument/2006/relationships/hyperlink" Target="mailto:mallika.music@gmail.com?subject=Ready%20to%20Move%20in%20Right%20Now%20|%20Barsha%20Villa" TargetMode="External"/><Relationship Id="rId18" Type="http://schemas.openxmlformats.org/officeDocument/2006/relationships/hyperlink" Target="mailto:soyful106@hotmail.com?subject=Cheapest%202%20BR%20with%20Full%20Golf%20Course%20view"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mailto:altaf190957@yahoo.com?subject=Running%20Cafe%20in%20Jebel%20Ali%20Office%20Building" TargetMode="External"/><Relationship Id="rId42" Type="http://schemas.openxmlformats.org/officeDocument/2006/relationships/hyperlink" Target="mailto:ajrobinson@theblueground.com?subject=Well-maintained/Golf%20and%20Lake%20view" TargetMode="External"/><Relationship Id="rId41" Type="http://schemas.openxmlformats.org/officeDocument/2006/relationships/hyperlink" Target="https://www.propertyfinder.ae/to/6195757/en?utm_source=transactional&amp;utm_medium=email&amp;utm_campaign=property%20lead_client" TargetMode="External"/><Relationship Id="rId44" Type="http://schemas.openxmlformats.org/officeDocument/2006/relationships/hyperlink" Target="mailto:saalimabbad9@hotmail.com" TargetMode="External"/><Relationship Id="rId43" Type="http://schemas.openxmlformats.org/officeDocument/2006/relationships/hyperlink" Target="mailto:ydv_suru@yahoo.co.in" TargetMode="External"/><Relationship Id="rId46" Type="http://schemas.openxmlformats.org/officeDocument/2006/relationships/hyperlink" Target="mailto:mohammedshemeerkhan@gmail.com" TargetMode="External"/><Relationship Id="rId45" Type="http://schemas.openxmlformats.org/officeDocument/2006/relationships/hyperlink" Target="mailto:sagar@nmbretail.com?subject=Amazing%20Full%20Golf%20Course%20View|%2001%20Series" TargetMode="External"/><Relationship Id="rId1" Type="http://schemas.openxmlformats.org/officeDocument/2006/relationships/hyperlink" Target="mailto:Rony.al-asmar@hotmail.com?subject=Amazing%20Full%20Golf%20Course%20View|%2001%20Series" TargetMode="External"/><Relationship Id="rId2" Type="http://schemas.openxmlformats.org/officeDocument/2006/relationships/hyperlink" Target="mailto:ash.sardan@hotmail.com" TargetMode="External"/><Relationship Id="rId3" Type="http://schemas.openxmlformats.org/officeDocument/2006/relationships/hyperlink" Target="mailto:infinitydwc@gmail.com?subject=Sea%20%20Sunset%20View%20|%20Jacuzzi%20|%20Big%20Terrace" TargetMode="External"/><Relationship Id="rId4" Type="http://schemas.openxmlformats.org/officeDocument/2006/relationships/hyperlink" Target="mailto:ann.grace@progressoft.com?subject=Fitted%20Office%20for%20Rent%20in%20Palladium%20Tower" TargetMode="External"/><Relationship Id="rId9" Type="http://schemas.openxmlformats.org/officeDocument/2006/relationships/hyperlink" Target="mailto:topaffaires@yahoo.fr" TargetMode="External"/><Relationship Id="rId48" Type="http://schemas.openxmlformats.org/officeDocument/2006/relationships/hyperlink" Target="mailto:SIRAJMA@REDIFFMAIL.COM?subject=2%20BR%20only%20711%20AED%20per%20SQF%20at%20Dubai%20South" TargetMode="External"/><Relationship Id="rId47" Type="http://schemas.openxmlformats.org/officeDocument/2006/relationships/hyperlink" Target="mailto:vinodtotawat@yahoo.com?subject=Amazing%20Full%20Golf%20Course%20View|%2001%20Series" TargetMode="External"/><Relationship Id="rId49" Type="http://schemas.openxmlformats.org/officeDocument/2006/relationships/hyperlink" Target="mailto:salma888_@hotmail.com" TargetMode="External"/><Relationship Id="rId5" Type="http://schemas.openxmlformats.org/officeDocument/2006/relationships/hyperlink" Target="mailto:georgegodding@googlemail.com?subject=Ready%20to%20Move|%20Huge%202BR%20|Full%20Race%20View" TargetMode="External"/><Relationship Id="rId6" Type="http://schemas.openxmlformats.org/officeDocument/2006/relationships/hyperlink" Target="mailto:bansijat8911@gmail.com" TargetMode="External"/><Relationship Id="rId7" Type="http://schemas.openxmlformats.org/officeDocument/2006/relationships/hyperlink" Target="mailto:Orchard777@yahoo.co.uk?subject=The%20Best%20Type%20%20Full%20Marina%20view" TargetMode="External"/><Relationship Id="rId8" Type="http://schemas.openxmlformats.org/officeDocument/2006/relationships/hyperlink" Target="mailto:gauravimithbavkar@gmail.com" TargetMode="External"/><Relationship Id="rId73" Type="http://schemas.openxmlformats.org/officeDocument/2006/relationships/hyperlink" Target="mailto:Melanie.riddle@jumeirah.com" TargetMode="External"/><Relationship Id="rId72" Type="http://schemas.openxmlformats.org/officeDocument/2006/relationships/hyperlink" Target="mailto:cweb673@gmail.com?subject=Sea%20%20Sunset%20View%20|%20Jacuzzi%20|%20Big%20Terrace" TargetMode="External"/><Relationship Id="rId31" Type="http://schemas.openxmlformats.org/officeDocument/2006/relationships/hyperlink" Target="mailto:seda.jafar@gmail.com" TargetMode="External"/><Relationship Id="rId75" Type="http://schemas.openxmlformats.org/officeDocument/2006/relationships/hyperlink" Target="mailto:invest@investoneuk.com" TargetMode="External"/><Relationship Id="rId30" Type="http://schemas.openxmlformats.org/officeDocument/2006/relationships/hyperlink" Target="mailto:smiqbalh@gmail.com?subject=Fully%20Furnished%201%20Bedroom%20in%20Al%20Alka%201" TargetMode="External"/><Relationship Id="rId74" Type="http://schemas.openxmlformats.org/officeDocument/2006/relationships/hyperlink" Target="https://mandrillapp.com/track/click/30124164/tnydu.biz?p=eyJzIjoiUmlMMGoxeWt3Zk5penJtX1Q3dGYwTk5LVENVIiwidiI6MSwicCI6IntcInVcIjozMDEyNDE2NCxcInZcIjoxLFwidXJsXCI6XCJodHRwczpcXFwvXFxcL3RueWR1LmJpelxcXC9EaG11Ulo_dXRtX3NvdXJjZT1jb3JlJnV0bV9tZWRpdW09ZW1haWxfdHJhbnMmdXRtX2NhbXBhaWduPXRyYW5zX2NvcmUmdXRtX2NvbnRlbnQ9c2VsbGVyX2xlYWRfZW4jeHRvcj1FUFItMzM0W3RyYW5zX2NvcmVdLVtjb3JlXS0yMDE0MDEzMS1bc2VsbGVyX2xlYWRfZW5dLVtdXCIsXCJpZFwiOlwiNjEwYjExOGI0ZjM3NDJlYjlhOTE3MTBmMGQ4MjMyYjRcIixcInVybF9pZHNcIjpbXCI3YTc1ZTM5ZDQ5ZTRkZTdmNThjYzQ4YmVkZTA3MzFiYWFiNGRmNTI2XCJdfSJ9" TargetMode="External"/><Relationship Id="rId33" Type="http://schemas.openxmlformats.org/officeDocument/2006/relationships/hyperlink" Target="mailto:m.foudeh@hotmail.com" TargetMode="External"/><Relationship Id="rId77" Type="http://schemas.openxmlformats.org/officeDocument/2006/relationships/hyperlink" Target="mailto:Alrazzak@gbs.ae?subject=Restaurant%20and%20Bar%20in%20DIFC%20|%20Dont%20Miss%20Out" TargetMode="External"/><Relationship Id="rId32" Type="http://schemas.openxmlformats.org/officeDocument/2006/relationships/hyperlink" Target="mailto:sbayyaa@gmail.com" TargetMode="External"/><Relationship Id="rId76" Type="http://schemas.openxmlformats.org/officeDocument/2006/relationships/hyperlink" Target="mailto:sultanshk1@gmail.com" TargetMode="External"/><Relationship Id="rId35" Type="http://schemas.openxmlformats.org/officeDocument/2006/relationships/hyperlink" Target="https://www.propertyfinder.ae/to/6136830/en?utm_source=transactional&amp;utm_medium=email&amp;utm_campaign=property%20lead_client" TargetMode="External"/><Relationship Id="rId79" Type="http://schemas.openxmlformats.org/officeDocument/2006/relationships/drawing" Target="../drawings/drawing8.xml"/><Relationship Id="rId34" Type="http://schemas.openxmlformats.org/officeDocument/2006/relationships/hyperlink" Target="mailto:latheefpk2003@yahoo.co.in?subject=Ready%20Massage%20Therapy%20Clinic%20with%20DHA%20Licence" TargetMode="External"/><Relationship Id="rId78" Type="http://schemas.openxmlformats.org/officeDocument/2006/relationships/hyperlink" Target="mailto:philzamilgroups@gmail.com" TargetMode="External"/><Relationship Id="rId71" Type="http://schemas.openxmlformats.org/officeDocument/2006/relationships/hyperlink" Target="mailto:fouadkhairallah@outlook.com" TargetMode="External"/><Relationship Id="rId70" Type="http://schemas.openxmlformats.org/officeDocument/2006/relationships/hyperlink" Target="mailto:hayder_albayaa@yahoo.com" TargetMode="External"/><Relationship Id="rId37" Type="http://schemas.openxmlformats.org/officeDocument/2006/relationships/hyperlink" Target="mailto:peter@trinitygroup.eu" TargetMode="External"/><Relationship Id="rId36" Type="http://schemas.openxmlformats.org/officeDocument/2006/relationships/hyperlink" Target="mailto:smiqbalh@gmail.com?subject=Fully%20Furnished%201%20Bedroom%20in%20Al%20Alka%201" TargetMode="External"/><Relationship Id="rId39" Type="http://schemas.openxmlformats.org/officeDocument/2006/relationships/hyperlink" Target="mailto:tarekali77@gmail.com" TargetMode="External"/><Relationship Id="rId38" Type="http://schemas.openxmlformats.org/officeDocument/2006/relationships/hyperlink" Target="mailto:Tarhy.a@pg.com?subject=Beautiful%203%20BR%20Marina%20View%20|%20Marble%20Floor" TargetMode="External"/><Relationship Id="rId62" Type="http://schemas.openxmlformats.org/officeDocument/2006/relationships/hyperlink" Target="mailto:katelucraft_x@hotmail.co.uk" TargetMode="External"/><Relationship Id="rId61" Type="http://schemas.openxmlformats.org/officeDocument/2006/relationships/hyperlink" Target="mailto:fusim.dcc@fmail.com" TargetMode="External"/><Relationship Id="rId20" Type="http://schemas.openxmlformats.org/officeDocument/2006/relationships/hyperlink" Target="mailto:jyoti@rk-re.com" TargetMode="External"/><Relationship Id="rId64" Type="http://schemas.openxmlformats.org/officeDocument/2006/relationships/hyperlink" Target="mailto:alhashemi_1991@hotmail.com" TargetMode="External"/><Relationship Id="rId63" Type="http://schemas.openxmlformats.org/officeDocument/2006/relationships/hyperlink" Target="mailto:sumairb@gmail.com?subject=The%20Rarest%20and%20Unique%20full%20sea%20view" TargetMode="External"/><Relationship Id="rId22" Type="http://schemas.openxmlformats.org/officeDocument/2006/relationships/hyperlink" Target="mailto:juiekami@gmail.com" TargetMode="External"/><Relationship Id="rId66" Type="http://schemas.openxmlformats.org/officeDocument/2006/relationships/hyperlink" Target="mailto:jamesandrewdean@icloud.com" TargetMode="External"/><Relationship Id="rId21" Type="http://schemas.openxmlformats.org/officeDocument/2006/relationships/hyperlink" Target="mailto:Orchard777@yahoo.co.uk?subject=The%20Best%20Type%20%20Full%20Marina%20view" TargetMode="External"/><Relationship Id="rId65" Type="http://schemas.openxmlformats.org/officeDocument/2006/relationships/hyperlink" Target="mailto:sneharandive123@gmail.com" TargetMode="External"/><Relationship Id="rId24" Type="http://schemas.openxmlformats.org/officeDocument/2006/relationships/hyperlink" Target="mailto:Danielselde@live.dk?subject=Short%20Term/Long%20Term%20|%20Address%20Dubai%20Mall" TargetMode="External"/><Relationship Id="rId68" Type="http://schemas.openxmlformats.org/officeDocument/2006/relationships/hyperlink" Target="mailto:bu23saud@hotmail.com" TargetMode="External"/><Relationship Id="rId23" Type="http://schemas.openxmlformats.org/officeDocument/2006/relationships/hyperlink" Target="mailto:juiekami@gmail.com" TargetMode="External"/><Relationship Id="rId67" Type="http://schemas.openxmlformats.org/officeDocument/2006/relationships/hyperlink" Target="mailto:Parthas.space@gmail.com" TargetMode="External"/><Relationship Id="rId60" Type="http://schemas.openxmlformats.org/officeDocument/2006/relationships/hyperlink" Target="mailto:johnsonvergis@hotmail.com?subject=The%20Best%20Type%20%20Full%20Marina%20view" TargetMode="External"/><Relationship Id="rId26" Type="http://schemas.openxmlformats.org/officeDocument/2006/relationships/hyperlink" Target="mailto:navsin1@gmail.com" TargetMode="External"/><Relationship Id="rId25" Type="http://schemas.openxmlformats.org/officeDocument/2006/relationships/hyperlink" Target="mailto:alina.naeemb@hotmail.com" TargetMode="External"/><Relationship Id="rId69" Type="http://schemas.openxmlformats.org/officeDocument/2006/relationships/hyperlink" Target="mailto:janicebooth7@outlook.com?subject=Well%20Known%20Restaurant%20in%20Prime%20of%20Marina" TargetMode="External"/><Relationship Id="rId28" Type="http://schemas.openxmlformats.org/officeDocument/2006/relationships/hyperlink" Target="mailto:mariamjohnson38@gmail.com" TargetMode="External"/><Relationship Id="rId27" Type="http://schemas.openxmlformats.org/officeDocument/2006/relationships/hyperlink" Target="mailto:tip7860@gmail.com?subject=Philippino%20Restaurant%20for%20Sale%20in%20Sharjah" TargetMode="External"/><Relationship Id="rId29" Type="http://schemas.openxmlformats.org/officeDocument/2006/relationships/hyperlink" Target="mailto:mariamjohnson38@gmail.com" TargetMode="External"/><Relationship Id="rId51" Type="http://schemas.openxmlformats.org/officeDocument/2006/relationships/hyperlink" Target="mailto:Omartiba@gmail.com?subject=Huge%202%20Bedroom%20+%20Study%20in%20%20Executive%20Bay" TargetMode="External"/><Relationship Id="rId50" Type="http://schemas.openxmlformats.org/officeDocument/2006/relationships/hyperlink" Target="mailto:emreozaydin@yahoo.com?subject=Furnished%201%20Bedroom%20|%20Shams%201%20|%20Low%20Floor" TargetMode="External"/><Relationship Id="rId53" Type="http://schemas.openxmlformats.org/officeDocument/2006/relationships/hyperlink" Target="mailto:mohamed_nageeb2003@yahoo.com" TargetMode="External"/><Relationship Id="rId52" Type="http://schemas.openxmlformats.org/officeDocument/2006/relationships/hyperlink" Target="mailto:trussel043@gmail.com" TargetMode="External"/><Relationship Id="rId11" Type="http://schemas.openxmlformats.org/officeDocument/2006/relationships/hyperlink" Target="mailto:nandinioct19@gmail.com" TargetMode="External"/><Relationship Id="rId55" Type="http://schemas.openxmlformats.org/officeDocument/2006/relationships/hyperlink" Target="mailto:carlayildiz006@gmail.com" TargetMode="External"/><Relationship Id="rId10" Type="http://schemas.openxmlformats.org/officeDocument/2006/relationships/hyperlink" Target="https://mandrillapp.com/track/click/30124164/tnydu.biz?p=eyJzIjoiRGxpS2k4SHVVTzJJTTBfdHNGNFIyVnI2UlNV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ODYzZTRmNDcwMGVjNDZhYzk4MTU0NzM2OGIxNTVlMjdcIixcInVybF9pZHNcIjpbXCI3YTc1ZTM5ZDQ5ZTRkZTdmNThjYzQ4YmVkZTA3MzFiYWFiNGRmNTI2XCJdfSJ9" TargetMode="External"/><Relationship Id="rId54" Type="http://schemas.openxmlformats.org/officeDocument/2006/relationships/hyperlink" Target="mailto:almas.zeeshan@beinex.com?subject=Fully%20fitted%20ready%20to%20move%20in" TargetMode="External"/><Relationship Id="rId13" Type="http://schemas.openxmlformats.org/officeDocument/2006/relationships/hyperlink" Target="mailto:rico44alex@gmail.com?subject=The%20Rarest%20and%20Unique%20full%20sea%20view" TargetMode="External"/><Relationship Id="rId57" Type="http://schemas.openxmlformats.org/officeDocument/2006/relationships/hyperlink" Target="mailto:siboniface@gmail.com?subject=Available%20on%20June%20Golf%20Course" TargetMode="External"/><Relationship Id="rId12" Type="http://schemas.openxmlformats.org/officeDocument/2006/relationships/hyperlink" Target="mailto:ydonchenko@gmail.com?subject=Sea%20%20Sunset%20View%20|%20Jacuzzi%20|%20Big%20Terrace" TargetMode="External"/><Relationship Id="rId56" Type="http://schemas.openxmlformats.org/officeDocument/2006/relationships/hyperlink" Target="mailto:manshasidrag@gmail.com?subject=2%20Bed%20|%20Burj/Fountain%20View%20|%20Large%20Unit" TargetMode="External"/><Relationship Id="rId15" Type="http://schemas.openxmlformats.org/officeDocument/2006/relationships/hyperlink" Target="mailto:daniel@lionsgazelles.com?subject=Resale%20|%20Lowest%20Priced%20Emaar%20in%20Downtown" TargetMode="External"/><Relationship Id="rId59" Type="http://schemas.openxmlformats.org/officeDocument/2006/relationships/hyperlink" Target="mailto:adham.elhadary@hotmail.com" TargetMode="External"/><Relationship Id="rId14" Type="http://schemas.openxmlformats.org/officeDocument/2006/relationships/hyperlink" Target="mailto:markfernando55@gmail.com" TargetMode="External"/><Relationship Id="rId58" Type="http://schemas.openxmlformats.org/officeDocument/2006/relationships/hyperlink" Target="mailto:husnashahid95@gmail.com" TargetMode="External"/><Relationship Id="rId17" Type="http://schemas.openxmlformats.org/officeDocument/2006/relationships/hyperlink" Target="mailto:Fahim.91@hotmail.com" TargetMode="External"/><Relationship Id="rId16" Type="http://schemas.openxmlformats.org/officeDocument/2006/relationships/hyperlink" Target="mailto:amaliagrochal@yahoo.com?subject=Prestigious%20Studio%20with%20Panoramic%20View!!" TargetMode="External"/><Relationship Id="rId19" Type="http://schemas.openxmlformats.org/officeDocument/2006/relationships/hyperlink" Target="mailto:aaa2972004@yahoo.com" TargetMode="External"/><Relationship Id="rId18" Type="http://schemas.openxmlformats.org/officeDocument/2006/relationships/hyperlink" Target="mailto:samaneh.barazandeh@yahoo.com?subject=Sea%20view|%20Ready%20to%20move%20in|%20Furnished"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mailto:diyaraisha80@yahoo.com" TargetMode="External"/><Relationship Id="rId42" Type="http://schemas.openxmlformats.org/officeDocument/2006/relationships/hyperlink" Target="mailto:shane.yk.shin@gmail.com?subject=Boulevard%20point%20connected%20to%20DUBAI%20MALL" TargetMode="External"/><Relationship Id="rId41" Type="http://schemas.openxmlformats.org/officeDocument/2006/relationships/hyperlink" Target="mailto:jayarecoy@yahoo.com?subject=Build%20Your%20Own%20Villa%20|%20Dubai%20Hills%20Estate" TargetMode="External"/><Relationship Id="rId44" Type="http://schemas.openxmlformats.org/officeDocument/2006/relationships/hyperlink" Target="mailto:Radi.mograbi11@gmail.com?subject=Cafe%20and%20Shisha%20Location%20Available%20in%20JLT" TargetMode="External"/><Relationship Id="rId43" Type="http://schemas.openxmlformats.org/officeDocument/2006/relationships/hyperlink" Target="mailto:aymansaadegypt@yahoo.com" TargetMode="External"/><Relationship Id="rId46" Type="http://schemas.openxmlformats.org/officeDocument/2006/relationships/hyperlink" Target="mailto:steedtaylor@gmail.com?subject=Immaculate%20condition|VOT|%20Upgraded" TargetMode="External"/><Relationship Id="rId45" Type="http://schemas.openxmlformats.org/officeDocument/2006/relationships/hyperlink" Target="mailto:khanlight86@gmail.com" TargetMode="External"/><Relationship Id="rId1" Type="http://schemas.openxmlformats.org/officeDocument/2006/relationships/hyperlink" Target="mailto:topaffaires@yahoo.fr" TargetMode="External"/><Relationship Id="rId2" Type="http://schemas.openxmlformats.org/officeDocument/2006/relationships/hyperlink" Target="https://mandrillapp.com/track/click/30124164/tnydu.biz?p=eyJzIjoiaGJOQk1ES0VEYzl4QVcwcGxYSW0wUlRySDN3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OGNiOTI2NjIzNDVkNDYzZDk3YWM3YzA5YTk5OTc1NTRcIixcInVybF9pZHNcIjpbXCI3YTc1ZTM5ZDQ5ZTRkZTdmNThjYzQ4YmVkZTA3MzFiYWFiNGRmNTI2XCJdfSJ9" TargetMode="External"/><Relationship Id="rId3" Type="http://schemas.openxmlformats.org/officeDocument/2006/relationships/hyperlink" Target="mailto:saqib.malik@pantheonproperties.ae" TargetMode="External"/><Relationship Id="rId4" Type="http://schemas.openxmlformats.org/officeDocument/2006/relationships/hyperlink" Target="mailto:wady.chaabene@gmail.com?subject=The%20most%20demanded%20layout%20vacant" TargetMode="External"/><Relationship Id="rId9" Type="http://schemas.openxmlformats.org/officeDocument/2006/relationships/hyperlink" Target="https://mandrillapp.com/track/click/30124164/tnydu.biz?p=eyJzIjoiTTk0ekJkdWZ0Y1hkTHlwblBuUlBQSkJMdXRnIiwidiI6MSwicCI6IntcInVcIjozMDEyNDE2NCxcInZcIjoxLFwidXJsXCI6XCJodHRwczpcXFwvXFxcL3RueWR1LmJpelxcXC9EaG1xWHE_dXRtX3NvdXJjZT1jb3JlJnV0bV9tZWRpdW09ZW1haWxfdHJhbnMmdXRtX2NhbXBhaWduPXRyYW5zX2NvcmUmdXRtX2NvbnRlbnQ9c2VsbGVyX2xlYWRfZW4jeHRvcj1FUFItMzM0W3RyYW5zX2NvcmVdLVtjb3JlXS0yMDE0MDEzMS1bc2VsbGVyX2xlYWRfZW5dLVtdXCIsXCJpZFwiOlwiYzAwZGVjZDMzOWUxNDU3Mjk2MTg5NzliM2RiYjM4YjlcIixcInVybF9pZHNcIjpbXCI3YTc1ZTM5ZDQ5ZTRkZTdmNThjYzQ4YmVkZTA3MzFiYWFiNGRmNTI2XCJdfSJ9" TargetMode="External"/><Relationship Id="rId48" Type="http://schemas.openxmlformats.org/officeDocument/2006/relationships/hyperlink" Target="http://propertify.ae" TargetMode="External"/><Relationship Id="rId47" Type="http://schemas.openxmlformats.org/officeDocument/2006/relationships/hyperlink" Target="mailto:humamaljazaeri4@gmail.com" TargetMode="External"/><Relationship Id="rId49" Type="http://schemas.openxmlformats.org/officeDocument/2006/relationships/hyperlink" Target="mailto:claudiharrison@gmail.com" TargetMode="External"/><Relationship Id="rId5" Type="http://schemas.openxmlformats.org/officeDocument/2006/relationships/hyperlink" Target="mailto:admin@iconsworldwide.com?subject=Fast%20food%20Burger%20Restaurant%20in%20Jumeirah%202" TargetMode="External"/><Relationship Id="rId6" Type="http://schemas.openxmlformats.org/officeDocument/2006/relationships/hyperlink" Target="mailto:loughanib@hotmail.com" TargetMode="External"/><Relationship Id="rId7" Type="http://schemas.openxmlformats.org/officeDocument/2006/relationships/hyperlink" Target="mailto:elhamawiahmad@gmail.com?subject=Final%20Phase%20of%20SIDRA%20-%20Final%20Chance%20to%20Own" TargetMode="External"/><Relationship Id="rId8" Type="http://schemas.openxmlformats.org/officeDocument/2006/relationships/hyperlink" Target="mailto:vatsal2tennis@gmail.com" TargetMode="External"/><Relationship Id="rId73" Type="http://schemas.openxmlformats.org/officeDocument/2006/relationships/hyperlink" Target="mailto:mryoung@ecolab.com?subject=Fresh%20listing%20on%20the%20market%20,%20Vacant" TargetMode="External"/><Relationship Id="rId72" Type="http://schemas.openxmlformats.org/officeDocument/2006/relationships/hyperlink" Target="mailto:swatipuri93@gmail.com" TargetMode="External"/><Relationship Id="rId31" Type="http://schemas.openxmlformats.org/officeDocument/2006/relationships/hyperlink" Target="mailto:abuobeida@outlook.com?subject=Ready%20to%20Move|%20Huge%204BR%20+%20Maids" TargetMode="External"/><Relationship Id="rId30" Type="http://schemas.openxmlformats.org/officeDocument/2006/relationships/hyperlink" Target="mailto:shane.yk.shin@gmail.com?subject=Boulevard%20point%20connected%20to%20DUBAI%20MALL" TargetMode="External"/><Relationship Id="rId74" Type="http://schemas.openxmlformats.org/officeDocument/2006/relationships/drawing" Target="../drawings/drawing9.xml"/><Relationship Id="rId33" Type="http://schemas.openxmlformats.org/officeDocument/2006/relationships/hyperlink" Target="mailto:oluboyededamilola@gmail.com?subject=Cheapest%20Studio%20|%20Zen%2020%20Discovery%20Garden" TargetMode="External"/><Relationship Id="rId32" Type="http://schemas.openxmlformats.org/officeDocument/2006/relationships/hyperlink" Target="mailto:orzechelo@gmail.com?subject=Great%20Investment%20at%20Emaar%20Beach%20Front" TargetMode="External"/><Relationship Id="rId35" Type="http://schemas.openxmlformats.org/officeDocument/2006/relationships/hyperlink" Target="mailto:thauae@hotmail.com" TargetMode="External"/><Relationship Id="rId34" Type="http://schemas.openxmlformats.org/officeDocument/2006/relationships/hyperlink" Target="mailto:mohd.masood@eim.ae" TargetMode="External"/><Relationship Id="rId71" Type="http://schemas.openxmlformats.org/officeDocument/2006/relationships/hyperlink" Target="mailto:deep_dass@yahoo.com" TargetMode="External"/><Relationship Id="rId70" Type="http://schemas.openxmlformats.org/officeDocument/2006/relationships/hyperlink" Target="mailto:ajbtrivino@gmail.com?subject=Cheapest%20Studio%20|%20Zen%2020%20Discovery%20Garden" TargetMode="External"/><Relationship Id="rId37" Type="http://schemas.openxmlformats.org/officeDocument/2006/relationships/hyperlink" Target="mailto:a.sabharwal@cbemirates.ae?subject=Dont%20miss%20Out%20for%20the%20Few%20unit%20Available" TargetMode="External"/><Relationship Id="rId36" Type="http://schemas.openxmlformats.org/officeDocument/2006/relationships/hyperlink" Target="mailto:mazih@me.com" TargetMode="External"/><Relationship Id="rId39" Type="http://schemas.openxmlformats.org/officeDocument/2006/relationships/hyperlink" Target="https://www.propertyfinder.ae/to/6079013/en" TargetMode="External"/><Relationship Id="rId38" Type="http://schemas.openxmlformats.org/officeDocument/2006/relationships/hyperlink" Target="mailto:maaz@taktical.com?subject=South%20T1%202%20Bed%20Dubai%20Creek%20Harbour%20Residence" TargetMode="External"/><Relationship Id="rId62" Type="http://schemas.openxmlformats.org/officeDocument/2006/relationships/hyperlink" Target="mailto:sindymourot@hotmail.com" TargetMode="External"/><Relationship Id="rId61" Type="http://schemas.openxmlformats.org/officeDocument/2006/relationships/hyperlink" Target="mailto:asimk01@yahoo.com?subject=Immaculate%20condition|VOT|%20Upgraded" TargetMode="External"/><Relationship Id="rId20" Type="http://schemas.openxmlformats.org/officeDocument/2006/relationships/hyperlink" Target="mailto:dalflaiti@gmail.com" TargetMode="External"/><Relationship Id="rId64" Type="http://schemas.openxmlformats.org/officeDocument/2006/relationships/hyperlink" Target="mailto:Leen.3-3@hotmail.com?subject=Nice%20Beach%20Unit%20at%20Bahar%206%20|%20Unfurnished" TargetMode="External"/><Relationship Id="rId63" Type="http://schemas.openxmlformats.org/officeDocument/2006/relationships/hyperlink" Target="https://mandrillapp.com/track/click/30124164/tnydu.biz?p=eyJzIjoiOXZCdnNSdzUxcnlNdmxEdXBwN1VhRU9kTzBjIiwidiI6MSwicCI6IntcInVcIjozMDEyNDE2NCxcInZcIjoxLFwidXJsXCI6XCJodHRwczpcXFwvXFxcL3RueWR1LmJpelxcXC9EaG1vekM_dXRtX3NvdXJjZT1jb3JlJnV0bV9tZWRpdW09ZW1haWxfdHJhbnMmdXRtX2NhbXBhaWduPXRyYW5zX2NvcmUmdXRtX2NvbnRlbnQ9c2VsbGVyX2xlYWRfZW4jeHRvcj1FUFItMzM0W3RyYW5zX2NvcmVdLVtjb3JlXS0yMDE0MDEzMS1bc2VsbGVyX2xlYWRfZW5dLVtdXCIsXCJpZFwiOlwiZDU3ZjYwNWM2NWFkNDZhN2I0YjEzMjc4OGYwY2QwZGNcIixcInVybF9pZHNcIjpbXCI3YTc1ZTM5ZDQ5ZTRkZTdmNThjYzQ4YmVkZTA3MzFiYWFiNGRmNTI2XCJdfSJ9" TargetMode="External"/><Relationship Id="rId22" Type="http://schemas.openxmlformats.org/officeDocument/2006/relationships/hyperlink" Target="mailto:pravi.7426@gmail.com?subject=Teachers%20Housing%20Next%20to%20School%20|%204%20Chqs" TargetMode="External"/><Relationship Id="rId66" Type="http://schemas.openxmlformats.org/officeDocument/2006/relationships/hyperlink" Target="https://mandrillapp.com/track/click/30124164/tnydu.biz?p=eyJzIjoiN2NieTZraU5xTTM0UFVzU2h1XzlsdkJzZWtNIiwidiI6MSwicCI6IntcInVcIjozMDEyNDE2NCxcInZcIjoxLFwidXJsXCI6XCJodHRwczpcXFwvXFxcL3RueWR1LmJpelxcXC9EY2VXUHQ_dXRtX3NvdXJjZT1jb3JlJnV0bV9tZWRpdW09ZW1haWxfdHJhbnMmdXRtX2NhbXBhaWduPXRyYW5zX2NvcmUmdXRtX2NvbnRlbnQ9c2VsbGVyX2xlYWRfZW4jeHRvcj1FUFItMzM0W3RyYW5zX2NvcmVdLVtjb3JlXS0yMDE0MDEzMS1bc2VsbGVyX2xlYWRfZW5dLVtdXCIsXCJpZFwiOlwiMTdhNmU0MGRkMDgwNGFkNDkzZDU0OTJkYmMxN2NlYmFcIixcInVybF9pZHNcIjpbXCI3YTc1ZTM5ZDQ5ZTRkZTdmNThjYzQ4YmVkZTA3MzFiYWFiNGRmNTI2XCJdfSJ9" TargetMode="External"/><Relationship Id="rId21" Type="http://schemas.openxmlformats.org/officeDocument/2006/relationships/hyperlink" Target="mailto:mohammedshemeerkhan@gmail.com" TargetMode="External"/><Relationship Id="rId65" Type="http://schemas.openxmlformats.org/officeDocument/2006/relationships/hyperlink" Target="mailto:khan.zahidali94@gmail.com" TargetMode="External"/><Relationship Id="rId24" Type="http://schemas.openxmlformats.org/officeDocument/2006/relationships/hyperlink" Target="mailto:ann.vincent@galaxymobilephone.com?subject=Teachers%20Housing%20Next%20to%20School%20|%204%20Chqs" TargetMode="External"/><Relationship Id="rId68" Type="http://schemas.openxmlformats.org/officeDocument/2006/relationships/hyperlink" Target="mailto:superfastfox@hotmail.com?subject=Immaculate%20condition|VOT|%20Upgraded" TargetMode="External"/><Relationship Id="rId23" Type="http://schemas.openxmlformats.org/officeDocument/2006/relationships/hyperlink" Target="mailto:keo@yahoo.ie" TargetMode="External"/><Relationship Id="rId67" Type="http://schemas.openxmlformats.org/officeDocument/2006/relationships/hyperlink" Target="mailto:virgi_maamaribachi@hotmail.com?subject=Huge%202%20Bedroom%20+%20Study%20in%20%20Executive%20Bay" TargetMode="External"/><Relationship Id="rId60" Type="http://schemas.openxmlformats.org/officeDocument/2006/relationships/hyperlink" Target="https://mandrillapp.com/track/click/30124164/tnydu.biz?p=eyJzIjoiSDlwVjZaMUJXOEt2aXpRSlVLMnB0aVJnZU04IiwidiI6MSwicCI6IntcInVcIjozMDEyNDE2NCxcInZcIjoxLFwidXJsXCI6XCJodHRwczpcXFwvXFxcL3RueWR1LmJpelxcXC9EaG1ueHo_dXRtX3NvdXJjZT1jb3JlJnV0bV9tZWRpdW09ZW1haWxfdHJhbnMmdXRtX2NhbXBhaWduPXRyYW5zX2NvcmUmdXRtX2NvbnRlbnQ9c2VsbGVyX2xlYWRfZW4jeHRvcj1FUFItMzM0W3RyYW5zX2NvcmVdLVtjb3JlXS0yMDE0MDEzMS1bc2VsbGVyX2xlYWRfZW5dLVtdXCIsXCJpZFwiOlwiZmU4MzkwYzNjMWY0NDM2ODkyMDNjZDA1ODViOGRmNGNcIixcInVybF9pZHNcIjpbXCI3YTc1ZTM5ZDQ5ZTRkZTdmNThjYzQ4YmVkZTA3MzFiYWFiNGRmNTI2XCJdfSJ9" TargetMode="External"/><Relationship Id="rId26" Type="http://schemas.openxmlformats.org/officeDocument/2006/relationships/hyperlink" Target="mailto:mo.1@live.com" TargetMode="External"/><Relationship Id="rId25" Type="http://schemas.openxmlformats.org/officeDocument/2006/relationships/hyperlink" Target="mailto:ks@gulfsothebysrealty.com?subject=Your%20own%20Villa%20Plot%20next%20to%20Golf%20Course%20and%20Lakes" TargetMode="External"/><Relationship Id="rId69" Type="http://schemas.openxmlformats.org/officeDocument/2006/relationships/hyperlink" Target="mailto:Ilma.gauhar@gmail.com" TargetMode="External"/><Relationship Id="rId28" Type="http://schemas.openxmlformats.org/officeDocument/2006/relationships/hyperlink" Target="mailto:regsamuel1@gmail.com?subject=Furnished%20|Immaculate%20condition|Vacant" TargetMode="External"/><Relationship Id="rId27" Type="http://schemas.openxmlformats.org/officeDocument/2006/relationships/hyperlink" Target="mailto:shane.yk.shin@gmail.com?subject=Resale%201%20Bedroom%20|%20Best%20Price%20|%20Blvd%20Point" TargetMode="External"/><Relationship Id="rId29" Type="http://schemas.openxmlformats.org/officeDocument/2006/relationships/hyperlink" Target="mailto:nazar.elwasila@gmail.com?subject=Ready%20to%20Move|%20Huge%204BR%20+%20Maids" TargetMode="External"/><Relationship Id="rId51" Type="http://schemas.openxmlformats.org/officeDocument/2006/relationships/hyperlink" Target="mailto:Rk5287725@gmail.com" TargetMode="External"/><Relationship Id="rId50" Type="http://schemas.openxmlformats.org/officeDocument/2006/relationships/hyperlink" Target="https://mandrillapp.com/track/click/30124164/tnydu.biz?p=eyJzIjoiakxrcnFWc2cwUldXVzVleXNQVlMwZHdnSkVZIiwidiI6MSwicCI6IntcInVcIjozMDEyNDE2NCxcInZcIjoxLFwidXJsXCI6XCJodHRwczpcXFwvXFxcL3RueWR1LmJpelxcXC9EYW56THg_dXRtX3NvdXJjZT1jb3JlJnV0bV9tZWRpdW09ZW1haWxfdHJhbnMmdXRtX2NhbXBhaWduPXRyYW5zX2NvcmUmdXRtX2NvbnRlbnQ9c2VsbGVyX2xlYWRfZW4jeHRvcj1FUFItMzM0W3RyYW5zX2NvcmVdLVtjb3JlXS0yMDE0MDEzMS1bc2VsbGVyX2xlYWRfZW5dLVtdXCIsXCJpZFwiOlwiNGJhZjBiZTE4NzFmNDI5OTg2YzBiNzJjYzYwYzJlYmNcIixcInVybF9pZHNcIjpbXCI3YTc1ZTM5ZDQ5ZTRkZTdmNThjYzQ4YmVkZTA3MzFiYWFiNGRmNTI2XCJdfSJ9" TargetMode="External"/><Relationship Id="rId53" Type="http://schemas.openxmlformats.org/officeDocument/2006/relationships/hyperlink" Target="https://mandrillapp.com/track/click/30124164/tnydu.biz?p=eyJzIjoid2tTMWFSME9xYjk4ZEFHY0pzWlZOczc1cTAwIiwidiI6MSwicCI6IntcInVcIjozMDEyNDE2NCxcInZcIjoxLFwidXJsXCI6XCJodHRwczpcXFwvXFxcL3RueWR1LmJpelxcXC9EaG1xWHI_dXRtX3NvdXJjZT1jb3JlJnV0bV9tZWRpdW09ZW1haWxfdHJhbnMmdXRtX2NhbXBhaWduPXRyYW5zX2NvcmUmdXRtX2NvbnRlbnQ9c2VsbGVyX2xlYWRfZW4jeHRvcj1FUFItMzM0W3RyYW5zX2NvcmVdLVtjb3JlXS0yMDE0MDEzMS1bc2VsbGVyX2xlYWRfZW5dLVtdXCIsXCJpZFwiOlwiNjZmYmZmMDE3NWU4NGNlMTkxNTE5YmY4YTEyMTJmMDRcIixcInVybF9pZHNcIjpbXCI3YTc1ZTM5ZDQ5ZTRkZTdmNThjYzQ4YmVkZTA3MzFiYWFiNGRmNTI2XCJdfSJ9" TargetMode="External"/><Relationship Id="rId52" Type="http://schemas.openxmlformats.org/officeDocument/2006/relationships/hyperlink" Target="mailto:ar.aljaberi@gmail.com" TargetMode="External"/><Relationship Id="rId11" Type="http://schemas.openxmlformats.org/officeDocument/2006/relationships/hyperlink" Target="mailto:m.alhashemi121@gmail.com?subject=Affordable%20Townhouses%20|%20Casa%20Viva%20at%20Serena" TargetMode="External"/><Relationship Id="rId55" Type="http://schemas.openxmlformats.org/officeDocument/2006/relationships/hyperlink" Target="mailto:abozeidt@hamptons.ae" TargetMode="External"/><Relationship Id="rId10" Type="http://schemas.openxmlformats.org/officeDocument/2006/relationships/hyperlink" Target="mailto:Faw.999@hotmail.com" TargetMode="External"/><Relationship Id="rId54" Type="http://schemas.openxmlformats.org/officeDocument/2006/relationships/hyperlink" Target="mailto:sajidkhan8080@gmail.com" TargetMode="External"/><Relationship Id="rId13" Type="http://schemas.openxmlformats.org/officeDocument/2006/relationships/hyperlink" Target="http://propertyfinder.test/to/6179464/en" TargetMode="External"/><Relationship Id="rId57" Type="http://schemas.openxmlformats.org/officeDocument/2006/relationships/hyperlink" Target="mailto:loay_101@hotmail.com?subject=Perfectly%20encapsulate%20modern%20urban%20living" TargetMode="External"/><Relationship Id="rId12" Type="http://schemas.openxmlformats.org/officeDocument/2006/relationships/hyperlink" Target="mailto:Jasonneiljoseph@hotmail.co.uk?subject=Well%20Known%20Restaurant%20in%20Prime%20of%20Marina" TargetMode="External"/><Relationship Id="rId56" Type="http://schemas.openxmlformats.org/officeDocument/2006/relationships/hyperlink" Target="mailto:superfastfox@hotmail.com?subject=Immaculate%20condition|VOT|%20Upgraded" TargetMode="External"/><Relationship Id="rId15" Type="http://schemas.openxmlformats.org/officeDocument/2006/relationships/hyperlink" Target="mailto:rhellabban@gmail.com?subject=Available%20on%20June%20Golf%20Course" TargetMode="External"/><Relationship Id="rId59" Type="http://schemas.openxmlformats.org/officeDocument/2006/relationships/hyperlink" Target="mailto:vincent0001@gmail.com" TargetMode="External"/><Relationship Id="rId14" Type="http://schemas.openxmlformats.org/officeDocument/2006/relationships/hyperlink" Target="mailto:halilkocak1@yahoo.com?subject=Fresh%20listing%20|Vacant%20|%20Marina%20View" TargetMode="External"/><Relationship Id="rId58" Type="http://schemas.openxmlformats.org/officeDocument/2006/relationships/hyperlink" Target="mailto:sudhirbotcha@yahoo.com?subject=Resale%203%20Bedrooms%20|%200%25%20Premium%20|%20R2-EE" TargetMode="External"/><Relationship Id="rId17" Type="http://schemas.openxmlformats.org/officeDocument/2006/relationships/hyperlink" Target="mailto:edward.aghbashian@gmail.com?subject=Prestigious%20Studio%20with%20Panoramic%20View!!" TargetMode="External"/><Relationship Id="rId16" Type="http://schemas.openxmlformats.org/officeDocument/2006/relationships/hyperlink" Target="http://propertyfinder.test/to/6160502/en" TargetMode="External"/><Relationship Id="rId19" Type="http://schemas.openxmlformats.org/officeDocument/2006/relationships/hyperlink" Target="mailto:Mandyhippe@icloud.com?subject=Only%20140k%20for%202%20BR%20|%20Jacuzzi%20|%20Big%20Terrace" TargetMode="External"/><Relationship Id="rId18" Type="http://schemas.openxmlformats.org/officeDocument/2006/relationships/hyperlink" Target="mailto:omarmostafamokhtar@gmail.com"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mailto:M7md.97law2016@gmail.com" TargetMode="External"/><Relationship Id="rId42" Type="http://schemas.openxmlformats.org/officeDocument/2006/relationships/hyperlink" Target="mailto:pris20.mackinnon@gmail.com" TargetMode="External"/><Relationship Id="rId41" Type="http://schemas.openxmlformats.org/officeDocument/2006/relationships/hyperlink" Target="mailto:godwinprivateefax@outlook.com" TargetMode="External"/><Relationship Id="rId44" Type="http://schemas.openxmlformats.org/officeDocument/2006/relationships/hyperlink" Target="https://www.propertyfinder.ae/to/6136830/en" TargetMode="External"/><Relationship Id="rId43" Type="http://schemas.openxmlformats.org/officeDocument/2006/relationships/hyperlink" Target="mailto:d.osholowu@gmail.com?subject=Ready%20Massage%20Therapy%20Clinic%20with%20DHA%20Licence" TargetMode="External"/><Relationship Id="rId46" Type="http://schemas.openxmlformats.org/officeDocument/2006/relationships/hyperlink" Target="mailto:naturesea011@gmail.com" TargetMode="External"/><Relationship Id="rId45" Type="http://schemas.openxmlformats.org/officeDocument/2006/relationships/hyperlink" Target="mailto:maxinemonte@live.co.uk" TargetMode="External"/><Relationship Id="rId1" Type="http://schemas.openxmlformats.org/officeDocument/2006/relationships/hyperlink" Target="https://www.propertyfinder.ae/to/6078909/en" TargetMode="External"/><Relationship Id="rId2" Type="http://schemas.openxmlformats.org/officeDocument/2006/relationships/hyperlink" Target="mailto:amitbatschanchal@gmail.com" TargetMode="External"/><Relationship Id="rId3" Type="http://schemas.openxmlformats.org/officeDocument/2006/relationships/hyperlink" Target="mailto:michele.moser@blackmoyo.com?subject=The%20lowest%20price%20for%201%20bed%20in%20Burj%20Vista" TargetMode="External"/><Relationship Id="rId4" Type="http://schemas.openxmlformats.org/officeDocument/2006/relationships/hyperlink" Target="mailto:sadagah@yahoo.com" TargetMode="External"/><Relationship Id="rId9" Type="http://schemas.openxmlformats.org/officeDocument/2006/relationships/hyperlink" Target="mailto:paulo.amado@mail.com" TargetMode="External"/><Relationship Id="rId48" Type="http://schemas.openxmlformats.org/officeDocument/2006/relationships/hyperlink" Target="mailto:mariamosmanova@yahoo.com?subject=Fresh%20listing%20on%20the%20market%20,%20VOT" TargetMode="External"/><Relationship Id="rId47" Type="http://schemas.openxmlformats.org/officeDocument/2006/relationships/hyperlink" Target="mailto:Zak@gmail.com?subject=1Bed%20South%20T1%20Creek%20Harbour%20Residence%20The%20Lagoon" TargetMode="External"/><Relationship Id="rId49" Type="http://schemas.openxmlformats.org/officeDocument/2006/relationships/hyperlink" Target="mailto:gnerodi@gmail.com" TargetMode="External"/><Relationship Id="rId5" Type="http://schemas.openxmlformats.org/officeDocument/2006/relationships/hyperlink" Target="mailto:shahid.apre@gmail.com?subject=Perfectly%20encapsulate%20modern%20urban%20living" TargetMode="External"/><Relationship Id="rId6" Type="http://schemas.openxmlformats.org/officeDocument/2006/relationships/hyperlink" Target="mailto:eethar2000@yahoo.com?subject=Best%20Deal%20for%20Safi%20Townhouse%20|%204%20bedroom" TargetMode="External"/><Relationship Id="rId7" Type="http://schemas.openxmlformats.org/officeDocument/2006/relationships/hyperlink" Target="mailto:info@magicbox.ae?subject=Running%20Indian%20Restaurant%20in%20Jumeirah%201" TargetMode="External"/><Relationship Id="rId8" Type="http://schemas.openxmlformats.org/officeDocument/2006/relationships/hyperlink" Target="https://www.propertyfinder.ae/to/6079031/en" TargetMode="External"/><Relationship Id="rId73" Type="http://schemas.openxmlformats.org/officeDocument/2006/relationships/drawing" Target="../drawings/drawing10.xml"/><Relationship Id="rId72" Type="http://schemas.openxmlformats.org/officeDocument/2006/relationships/hyperlink" Target="mailto:hemalatha1988mohan@gmail.com" TargetMode="External"/><Relationship Id="rId31" Type="http://schemas.openxmlformats.org/officeDocument/2006/relationships/hyperlink" Target="mailto:Shabeer313@gmail.com" TargetMode="External"/><Relationship Id="rId30" Type="http://schemas.openxmlformats.org/officeDocument/2006/relationships/hyperlink" Target="https://mandrillapp.com/track/click/30124164/tnydu.biz?p=eyJzIjoiOENfZWRpZkQ3Snktdl9XN0NzbnMwcXBET0c4IiwidiI6MSwicCI6IntcInVcIjozMDEyNDE2NCxcInZcIjoxLFwidXJsXCI6XCJodHRwczpcXFwvXFxcL3RueWR1LmJpelxcXC9EaG1ueHQ_dXRtX3NvdXJjZT1jb3JlJnV0bV9tZWRpdW09ZW1haWxfdHJhbnMmdXRtX2NhbXBhaWduPXRyYW5zX2NvcmUmdXRtX2NvbnRlbnQ9c2VsbGVyX2xlYWRfZW4jeHRvcj1FUFItMzM0W3RyYW5zX2NvcmVdLVtjb3JlXS0yMDE0MDEzMS1bc2VsbGVyX2xlYWRfZW5dLVtdXCIsXCJpZFwiOlwiMDhjOGNiNzViMjExNGJhMzgxMjExYmExMTI2ZjFiNjFcIixcInVybF9pZHNcIjpbXCI3YTc1ZTM5ZDQ5ZTRkZTdmNThjYzQ4YmVkZTA3MzFiYWFiNGRmNTI2XCJdfSJ9" TargetMode="External"/><Relationship Id="rId33" Type="http://schemas.openxmlformats.org/officeDocument/2006/relationships/hyperlink" Target="mailto:mohammedshemeerkhan@gmail.com" TargetMode="External"/><Relationship Id="rId32" Type="http://schemas.openxmlformats.org/officeDocument/2006/relationships/hyperlink" Target="https://mandrillapp.com/track/click/30124164/tnydu.biz?p=eyJzIjoiY0dlRVUtQm0xOTZFNjBuWnlTVzB4MjZ5RmJJIiwidiI6MSwicCI6IntcInVcIjozMDEyNDE2NCxcInZcIjoxLFwidXJsXCI6XCJodHRwczpcXFwvXFxcL3RueWR1LmJpelxcXC9EY2VXUko_dXRtX3NvdXJjZT1jb3JlJnV0bV9tZWRpdW09ZW1haWxfdHJhbnMmdXRtX2NhbXBhaWduPXRyYW5zX2NvcmUmdXRtX2NvbnRlbnQ9c2VsbGVyX2xlYWRfZW4jeHRvcj1FUFItMzM0W3RyYW5zX2NvcmVdLVtjb3JlXS0yMDE0MDEzMS1bc2VsbGVyX2xlYWRfZW5dLVtdXCIsXCJpZFwiOlwiMDY2NmFlMGI2N2FmNDE4NzkzODJhOGYyNWMyNmIxYTNcIixcInVybF9pZHNcIjpbXCI3YTc1ZTM5ZDQ5ZTRkZTdmNThjYzQ4YmVkZTA3MzFiYWFiNGRmNTI2XCJdfSJ9" TargetMode="External"/><Relationship Id="rId35" Type="http://schemas.openxmlformats.org/officeDocument/2006/relationships/hyperlink" Target="mailto:esszees@yahoo.com?subject=Brand%20New%20Showroom%20for%20Rent%20in%20Al%20Barsha%202nd" TargetMode="External"/><Relationship Id="rId34" Type="http://schemas.openxmlformats.org/officeDocument/2006/relationships/hyperlink" Target="mailto:martin64lm@gmail.com?subject=1%20Month%20Free%20Rent%20|%20Jacuzzi%20|%20Big%20Terrace" TargetMode="External"/><Relationship Id="rId71" Type="http://schemas.openxmlformats.org/officeDocument/2006/relationships/hyperlink" Target="mailto:vern600r@hotmail.com?subject=The%20Best%20Type%20%20Full%20Marina%20view" TargetMode="External"/><Relationship Id="rId70" Type="http://schemas.openxmlformats.org/officeDocument/2006/relationships/hyperlink" Target="mailto:subho.m@gmail.com?subject=Remraam%20Phase%202%20The%20lowest%20price%20Apartment" TargetMode="External"/><Relationship Id="rId37" Type="http://schemas.openxmlformats.org/officeDocument/2006/relationships/hyperlink" Target="mailto:abdulhalim@saplingdxb.com" TargetMode="External"/><Relationship Id="rId36" Type="http://schemas.openxmlformats.org/officeDocument/2006/relationships/hyperlink" Target="mailto:stefan.h@suninmotion.com?subject=Brand%20New!%20Showroom's%20in%20Umm%20Suqeim%20Road" TargetMode="External"/><Relationship Id="rId39" Type="http://schemas.openxmlformats.org/officeDocument/2006/relationships/hyperlink" Target="https://mandrillapp.com/track/click/30124164/tnydu.biz?p=eyJzIjoib0dxODhDWWlJSlJ3MW0xZ2w5alhtd0pzTEJrIiwidiI6MSwicCI6IntcInVcIjozMDEyNDE2NCxcInZcIjoxLFwidXJsXCI6XCJodHRwczpcXFwvXFxcL3RueWR1LmJpelxcXC9EaG1wMm4_dXRtX3NvdXJjZT1jb3JlJnV0bV9tZWRpdW09ZW1haWxfdHJhbnMmdXRtX2NhbXBhaWduPXRyYW5zX2NvcmUmdXRtX2NvbnRlbnQ9c2VsbGVyX2xlYWRfZW4jeHRvcj1FUFItMzM0W3RyYW5zX2NvcmVdLVtjb3JlXS0yMDE0MDEzMS1bc2VsbGVyX2xlYWRfZW5dLVtdXCIsXCJpZFwiOlwiM2U1OTE0ZjQ4N2NiNGQxYjkwZWMyMTI1YWY5MTY5NGJcIixcInVybF9pZHNcIjpbXCI3YTc1ZTM5ZDQ5ZTRkZTdmNThjYzQ4YmVkZTA3MzFiYWFiNGRmNTI2XCJdfSJ9" TargetMode="External"/><Relationship Id="rId38" Type="http://schemas.openxmlformats.org/officeDocument/2006/relationships/hyperlink" Target="mailto:piyush@hoteljiva.com" TargetMode="External"/><Relationship Id="rId62" Type="http://schemas.openxmlformats.org/officeDocument/2006/relationships/hyperlink" Target="mailto:cloyd_real@yahoo.com?subject=Cheapest%20Studio%20|%20Zen%2020%20Discovery%20Garden" TargetMode="External"/><Relationship Id="rId61" Type="http://schemas.openxmlformats.org/officeDocument/2006/relationships/hyperlink" Target="mailto:rhellabban@gmail.com?subject=Available%20on%20June%20Golf%20Course" TargetMode="External"/><Relationship Id="rId20" Type="http://schemas.openxmlformats.org/officeDocument/2006/relationships/hyperlink" Target="mailto:ana.shelest.90@mail.ru?subject=Fresh%20listing%20on%20the%20market%20,%20VOT" TargetMode="External"/><Relationship Id="rId64" Type="http://schemas.openxmlformats.org/officeDocument/2006/relationships/hyperlink" Target="mailto:vishalarora86@gmail.com" TargetMode="External"/><Relationship Id="rId63" Type="http://schemas.openxmlformats.org/officeDocument/2006/relationships/hyperlink" Target="mailto:Hayleyj3@hotmail.com?subject=Ready%20to%20Move|%20Huge%202BR%20|Full%20Race%20View" TargetMode="External"/><Relationship Id="rId22" Type="http://schemas.openxmlformats.org/officeDocument/2006/relationships/hyperlink" Target="https://mandrillapp.com/track/click/30124164/tnydu.biz?p=eyJzIjoicE5UbnRMWkJrWExpbjJ0X2w1Y1J2SGVCN1VBIiwidiI6MSwicCI6IntcInVcIjozMDEyNDE2NCxcInZcIjoxLFwidXJsXCI6XCJodHRwczpcXFwvXFxcL3RueWR1LmJpelxcXC9EY2VXRTk_dXRtX3NvdXJjZT1jb3JlJnV0bV9tZWRpdW09ZW1haWxfdHJhbnMmdXRtX2NhbXBhaWduPXRyYW5zX2NvcmUmdXRtX2NvbnRlbnQ9c2VsbGVyX2xlYWRfZW4jeHRvcj1FUFItMzM0W3RyYW5zX2NvcmVdLVtjb3JlXS0yMDE0MDEzMS1bc2VsbGVyX2xlYWRfZW5dLVtdXCIsXCJpZFwiOlwiMTQzYzAzNDZmNTc0NGI4NThlZjNiMGM1NTAwYmZhNjhcIixcInVybF9pZHNcIjpbXCI3YTc1ZTM5ZDQ5ZTRkZTdmNThjYzQ4YmVkZTA3MzFiYWFiNGRmNTI2XCJdfSJ9" TargetMode="External"/><Relationship Id="rId66" Type="http://schemas.openxmlformats.org/officeDocument/2006/relationships/hyperlink" Target="mailto:mohammedazhar@outlook.com?subject=Resale%201%20Bed%20|%20Marina%20View%20|%20No%20Premium" TargetMode="External"/><Relationship Id="rId21" Type="http://schemas.openxmlformats.org/officeDocument/2006/relationships/hyperlink" Target="mailto:marafahamidouyaya6@gmail.com" TargetMode="External"/><Relationship Id="rId65" Type="http://schemas.openxmlformats.org/officeDocument/2006/relationships/hyperlink" Target="mailto:muchoki787@gmail.com" TargetMode="External"/><Relationship Id="rId24" Type="http://schemas.openxmlformats.org/officeDocument/2006/relationships/hyperlink" Target="mailto:naomi.01@hotmail.co.uk?subject=Stunning%20sea%20view%20apartment%20/%20Vacant." TargetMode="External"/><Relationship Id="rId68" Type="http://schemas.openxmlformats.org/officeDocument/2006/relationships/hyperlink" Target="mailto:kakad.sushil@gmail.com" TargetMode="External"/><Relationship Id="rId23" Type="http://schemas.openxmlformats.org/officeDocument/2006/relationships/hyperlink" Target="mailto:Hayan348@hotmail.com?subject=New%20home%20facing%20Burj%20Khalifa%20and%20the%20Fountain" TargetMode="External"/><Relationship Id="rId67" Type="http://schemas.openxmlformats.org/officeDocument/2006/relationships/hyperlink" Target="mailto:mloonen@yahoo.com?subject=Only%20140k%20for%202%20BR%20|%20Jacuzzi%20|%20Big%20Terrace" TargetMode="External"/><Relationship Id="rId60" Type="http://schemas.openxmlformats.org/officeDocument/2006/relationships/hyperlink" Target="mailto:r.asamizu@one-group.jp" TargetMode="External"/><Relationship Id="rId26" Type="http://schemas.openxmlformats.org/officeDocument/2006/relationships/hyperlink" Target="https://www.propertyfinder.ae/to/6078911/en" TargetMode="External"/><Relationship Id="rId25" Type="http://schemas.openxmlformats.org/officeDocument/2006/relationships/hyperlink" Target="mailto:deepakjairupani@gmail.com?subject=Ready%20retail%20corner%20shop%20for%20sale%20in%20DIFC" TargetMode="External"/><Relationship Id="rId69" Type="http://schemas.openxmlformats.org/officeDocument/2006/relationships/hyperlink" Target="https://mandrillapp.com/track/click/30124164/tnydu.biz?p=eyJzIjoiVHlCVW5oajBJYWFUcG5wbmViTGpMSFhqMmNj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MTJmN2FhY2QxOGEzNDE0Y2FjZDFiMGE5MTA2NDYwNThcIixcInVybF9pZHNcIjpbXCI3YTc1ZTM5ZDQ5ZTRkZTdmNThjYzQ4YmVkZTA3MzFiYWFiNGRmNTI2XCJdfSJ9" TargetMode="External"/><Relationship Id="rId28" Type="http://schemas.openxmlformats.org/officeDocument/2006/relationships/hyperlink" Target="https://mandrillapp.com/track/click/30124164/tnydu.biz?p=eyJzIjoiazZXcGNHRjZZU1U4ODZOc19qWWJibG1pelhZIiwidiI6MSwicCI6IntcInVcIjozMDEyNDE2NCxcInZcIjoxLFwidXJsXCI6XCJodHRwczpcXFwvXFxcL3RueWR1LmJpelxcXC9EaG1ueHo_dXRtX3NvdXJjZT1jb3JlJnV0bV9tZWRpdW09ZW1haWxfdHJhbnMmdXRtX2NhbXBhaWduPXRyYW5zX2NvcmUmdXRtX2NvbnRlbnQ9c2VsbGVyX2xlYWRfZW4jeHRvcj1FUFItMzM0W3RyYW5zX2NvcmVdLVtjb3JlXS0yMDE0MDEzMS1bc2VsbGVyX2xlYWRfZW5dLVtdXCIsXCJpZFwiOlwiNjlmNzg0NTczMGZkNDE5MDllZTBmNGU2ZGUyNzE1YzJcIixcInVybF9pZHNcIjpbXCI3YTc1ZTM5ZDQ5ZTRkZTdmNThjYzQ4YmVkZTA3MzFiYWFiNGRmNTI2XCJdfSJ9" TargetMode="External"/><Relationship Id="rId27" Type="http://schemas.openxmlformats.org/officeDocument/2006/relationships/hyperlink" Target="mailto:dazzlingmohitgupta@gmail.com" TargetMode="External"/><Relationship Id="rId29" Type="http://schemas.openxmlformats.org/officeDocument/2006/relationships/hyperlink" Target="mailto:salmanfmalik8@gmail.com" TargetMode="External"/><Relationship Id="rId51" Type="http://schemas.openxmlformats.org/officeDocument/2006/relationships/hyperlink" Target="mailto:yaritsina@mail.ru?subject=The%20most%20demanded%20layout%20vacant" TargetMode="External"/><Relationship Id="rId50" Type="http://schemas.openxmlformats.org/officeDocument/2006/relationships/hyperlink" Target="mailto:Halilkocak1@yahoo.com?subject=Best%20View%20in%20Marina|Vacant%20on%20Transfer" TargetMode="External"/><Relationship Id="rId53" Type="http://schemas.openxmlformats.org/officeDocument/2006/relationships/hyperlink" Target="mailto:mka5778@yahoo.co.uk?subject=Only%20140k%20for%202%20BR%20|%20Jacuzzi%20|%20Big%20Terrace" TargetMode="External"/><Relationship Id="rId52" Type="http://schemas.openxmlformats.org/officeDocument/2006/relationships/hyperlink" Target="mailto:ahmedgold@gmail.com" TargetMode="External"/><Relationship Id="rId11" Type="http://schemas.openxmlformats.org/officeDocument/2006/relationships/hyperlink" Target="mailto:mayank@mailme.ae?subject=Amazing%20Full%20Golf%20Course%20View|%2001%20Series" TargetMode="External"/><Relationship Id="rId55" Type="http://schemas.openxmlformats.org/officeDocument/2006/relationships/hyperlink" Target="mailto:Kjain@gmail.com?subject=Cheapest%201%20Bedroom%2006%20Series%20|The%20Hills%20A1" TargetMode="External"/><Relationship Id="rId10" Type="http://schemas.openxmlformats.org/officeDocument/2006/relationships/hyperlink" Target="mailto:gumeet@gmail.com" TargetMode="External"/><Relationship Id="rId54" Type="http://schemas.openxmlformats.org/officeDocument/2006/relationships/hyperlink" Target="mailto:gnerodi@gmail.com" TargetMode="External"/><Relationship Id="rId13" Type="http://schemas.openxmlformats.org/officeDocument/2006/relationships/hyperlink" Target="mailto:naguhriday14@gmail.com" TargetMode="External"/><Relationship Id="rId57" Type="http://schemas.openxmlformats.org/officeDocument/2006/relationships/hyperlink" Target="mailto:topaffaires@yahoo.fr" TargetMode="External"/><Relationship Id="rId12" Type="http://schemas.openxmlformats.org/officeDocument/2006/relationships/hyperlink" Target="mailto:rosaly.tubilla@grapho-line.com" TargetMode="External"/><Relationship Id="rId56" Type="http://schemas.openxmlformats.org/officeDocument/2006/relationships/hyperlink" Target="mailto:Kurensco@gmail.com" TargetMode="External"/><Relationship Id="rId15" Type="http://schemas.openxmlformats.org/officeDocument/2006/relationships/hyperlink" Target="mailto:aigul@harbordubai.com?subject=Amazing%20Investor%20Deal|Maple%201%20Dubai%20Hills" TargetMode="External"/><Relationship Id="rId59" Type="http://schemas.openxmlformats.org/officeDocument/2006/relationships/hyperlink" Target="mailto:zoon2003aa@gmail.com" TargetMode="External"/><Relationship Id="rId14" Type="http://schemas.openxmlformats.org/officeDocument/2006/relationships/hyperlink" Target="mailto:mehdi.alaouiismaili9@gmail.com?subject=Brand%20New!%20Showroom's%20in%20Umm%20Suqeim%20Road" TargetMode="External"/><Relationship Id="rId58" Type="http://schemas.openxmlformats.org/officeDocument/2006/relationships/hyperlink" Target="https://mandrillapp.com/track/click/30124164/tnydu.biz?p=eyJzIjoiUHBlWWZwYzh0MEdUMWE3WHRkWExRNkJKSzI0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MDY5YmNjYjc0ZDk5NGZkZjgzYmE2MzcxOWQxNjEzMWRcIixcInVybF9pZHNcIjpbXCI3YTc1ZTM5ZDQ5ZTRkZTdmNThjYzQ4YmVkZTA3MzFiYWFiNGRmNTI2XCJdfSJ9" TargetMode="External"/><Relationship Id="rId17" Type="http://schemas.openxmlformats.org/officeDocument/2006/relationships/hyperlink" Target="mailto:msshaikh@gmail.com?subject=Resale%201%20Bed%20|%20Marina%20View%20|%20No%20Premium" TargetMode="External"/><Relationship Id="rId16" Type="http://schemas.openxmlformats.org/officeDocument/2006/relationships/hyperlink" Target="mailto:ana.shelest.90@mail.ru?subject=Fresh%20listing%20on%20the%20market%20,%20Vacant" TargetMode="External"/><Relationship Id="rId19" Type="http://schemas.openxmlformats.org/officeDocument/2006/relationships/hyperlink" Target="mailto:Sarithaviji@gmail.com" TargetMode="External"/><Relationship Id="rId18" Type="http://schemas.openxmlformats.org/officeDocument/2006/relationships/hyperlink" Target="mailto:Esishkjau@gmail.com"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mailto:Jays.sunkari@yahoo.com?subject=Perfect%20Location%20to%20your%20Family|Dubai%20Hills" TargetMode="External"/><Relationship Id="rId42" Type="http://schemas.openxmlformats.org/officeDocument/2006/relationships/hyperlink" Target="mailto:tomas.dolezal@eliteroyalapartments.com?subject=3%20Bedroom%20&amp;%20Maid%20with%20Water%20&amp;%20Burj%20View" TargetMode="External"/><Relationship Id="rId41" Type="http://schemas.openxmlformats.org/officeDocument/2006/relationships/hyperlink" Target="mailto:selenastela@mail.ru" TargetMode="External"/><Relationship Id="rId44" Type="http://schemas.openxmlformats.org/officeDocument/2006/relationships/hyperlink" Target="mailto:mayank@mailme.ae?subject=Amazing%20Full%20Golf%20Course%20View|%2001%20Series" TargetMode="External"/><Relationship Id="rId43" Type="http://schemas.openxmlformats.org/officeDocument/2006/relationships/hyperlink" Target="mailto:Jaskingston50@gmail.com" TargetMode="External"/><Relationship Id="rId46" Type="http://schemas.openxmlformats.org/officeDocument/2006/relationships/hyperlink" Target="mailto:davidfcarraro@gmail.com" TargetMode="External"/><Relationship Id="rId45" Type="http://schemas.openxmlformats.org/officeDocument/2006/relationships/hyperlink" Target="mailto:elham7366@gmail.com" TargetMode="External"/><Relationship Id="rId1" Type="http://schemas.openxmlformats.org/officeDocument/2006/relationships/hyperlink" Target="mailto:Ghida.adra@gmail.com?subject=Upgraded%20and%20Fully%20Furnished%20|%201%20Bedroom" TargetMode="External"/><Relationship Id="rId2" Type="http://schemas.openxmlformats.org/officeDocument/2006/relationships/hyperlink" Target="mailto:rania.alexandria@hotmail.com" TargetMode="External"/><Relationship Id="rId3" Type="http://schemas.openxmlformats.org/officeDocument/2006/relationships/hyperlink" Target="mailto:h.redl@redl.net?subject=The%20Address%20at%20JBR%20Beach%20|%20Coming%20in%202020" TargetMode="External"/><Relationship Id="rId4" Type="http://schemas.openxmlformats.org/officeDocument/2006/relationships/hyperlink" Target="mailto:marie.hobohmgirard@alumi.ie.edu?subject=Prestigious%20Studio%20with%20Panoramic%20View!!" TargetMode="External"/><Relationship Id="rId9" Type="http://schemas.openxmlformats.org/officeDocument/2006/relationships/hyperlink" Target="mailto:shahids025@gmail.com" TargetMode="External"/><Relationship Id="rId48" Type="http://schemas.openxmlformats.org/officeDocument/2006/relationships/hyperlink" Target="mailto:Timorcaan@gmail.com?subject=1.9M%20Aed%20Apt.%20Ready%20in%20Few%20Months" TargetMode="External"/><Relationship Id="rId47" Type="http://schemas.openxmlformats.org/officeDocument/2006/relationships/hyperlink" Target="mailto:smithdavis@gmail.com?subject=Call%20Now!%20Will%20Guarantee%20the%20Best%20Unit%20!" TargetMode="External"/><Relationship Id="rId49" Type="http://schemas.openxmlformats.org/officeDocument/2006/relationships/hyperlink" Target="mailto:hrmackay.3@gmail.com?subject=Upgraded%20and%20Fully%20Furnished%20|%201%20Bedroom" TargetMode="External"/><Relationship Id="rId5" Type="http://schemas.openxmlformats.org/officeDocument/2006/relationships/hyperlink" Target="mailto:Farehia.mirza@gmail.com?subject=Best%20Offer%20100%25%20Discount%20on%20Land%20Dept%20fees" TargetMode="External"/><Relationship Id="rId6" Type="http://schemas.openxmlformats.org/officeDocument/2006/relationships/hyperlink" Target="mailto:geneclash@gmail.com" TargetMode="External"/><Relationship Id="rId7" Type="http://schemas.openxmlformats.org/officeDocument/2006/relationships/hyperlink" Target="mailto:ebajram@gmail.com?subject=Running%20Health%20Food%20Restaurant%20Business%20in%20JLT" TargetMode="External"/><Relationship Id="rId8" Type="http://schemas.openxmlformats.org/officeDocument/2006/relationships/hyperlink" Target="https://www.propertyfinder.ae/to/5911516/en" TargetMode="External"/><Relationship Id="rId73" Type="http://schemas.openxmlformats.org/officeDocument/2006/relationships/hyperlink" Target="https://www.propertyfinder.ae/to/6085559/en" TargetMode="External"/><Relationship Id="rId72" Type="http://schemas.openxmlformats.org/officeDocument/2006/relationships/hyperlink" Target="mailto:jay.nexo@gmail.com?subject=Running%20Building%20Materials%20Trading%20Business" TargetMode="External"/><Relationship Id="rId31" Type="http://schemas.openxmlformats.org/officeDocument/2006/relationships/hyperlink" Target="mailto:shehnaz@manresa.ae?subject=Perfect%20Location%20to%20your%20Family|Dubai%20Hills" TargetMode="External"/><Relationship Id="rId75" Type="http://schemas.openxmlformats.org/officeDocument/2006/relationships/hyperlink" Target="mailto:venu.hariprasad@rediffmail.com?subject=Upgraded%20and%20Fully%20Furnished%20|%201%20Bedroom" TargetMode="External"/><Relationship Id="rId30" Type="http://schemas.openxmlformats.org/officeDocument/2006/relationships/hyperlink" Target="https://www.propertyfinder.ae/to/6078909/en" TargetMode="External"/><Relationship Id="rId74" Type="http://schemas.openxmlformats.org/officeDocument/2006/relationships/hyperlink" Target="mailto:husein.manji@gmail.com?subject=Bright%20Luxury%20Townhouse|Great%20Investment" TargetMode="External"/><Relationship Id="rId33" Type="http://schemas.openxmlformats.org/officeDocument/2006/relationships/hyperlink" Target="mailto:youyoujebeli@gmail.com" TargetMode="External"/><Relationship Id="rId32" Type="http://schemas.openxmlformats.org/officeDocument/2006/relationships/hyperlink" Target="mailto:amafy85@yahoo.com" TargetMode="External"/><Relationship Id="rId76" Type="http://schemas.openxmlformats.org/officeDocument/2006/relationships/drawing" Target="../drawings/drawing11.xml"/><Relationship Id="rId35" Type="http://schemas.openxmlformats.org/officeDocument/2006/relationships/hyperlink" Target="mailto:palchaudhurico@rediffmail.com?subject=Upgraded%20and%20Fully%20Furnished%20|%201%20Bedroom" TargetMode="External"/><Relationship Id="rId34" Type="http://schemas.openxmlformats.org/officeDocument/2006/relationships/hyperlink" Target="https://mandrillapp.com/track/click/30124164/tnydu.biz?p=eyJzIjoiV2ZtMWpQZ0RweHhERWlaR0hLeXBEeWxsTmNnIiwidiI6MSwicCI6IntcInVcIjozMDEyNDE2NCxcInZcIjoxLFwidXJsXCI6XCJodHRwczpcXFwvXFxcL3RueWR1LmJpelxcXC9EY2VWS0E_dXRtX3NvdXJjZT1jb3JlJnV0bV9tZWRpdW09ZW1haWxfdHJhbnMmdXRtX2NhbXBhaWduPXRyYW5zX2NvcmUmdXRtX2NvbnRlbnQ9c2VsbGVyX2xlYWRfZW4jeHRvcj1FUFItMzM0W3RyYW5zX2NvcmVdLVtjb3JlXS0yMDE0MDEzMS1bc2VsbGVyX2xlYWRfZW5dLVtdXCIsXCJpZFwiOlwiMDhjZjUwNGQ0NGQ5NGM0YzhlYTY0NTg4MWI5NDg3MjhcIixcInVybF9pZHNcIjpbXCI3YTc1ZTM5ZDQ5ZTRkZTdmNThjYzQ4YmVkZTA3MzFiYWFiNGRmNTI2XCJdfSJ9" TargetMode="External"/><Relationship Id="rId71" Type="http://schemas.openxmlformats.org/officeDocument/2006/relationships/hyperlink" Target="mailto:samsingh.us@gmail.com?subject=Perfectly%20encapsulate%20modern%20urban%20living" TargetMode="External"/><Relationship Id="rId70" Type="http://schemas.openxmlformats.org/officeDocument/2006/relationships/hyperlink" Target="mailto:haljazaeri3@gmail.com" TargetMode="External"/><Relationship Id="rId37" Type="http://schemas.openxmlformats.org/officeDocument/2006/relationships/hyperlink" Target="mailto:rami.alsalih@gmail.com" TargetMode="External"/><Relationship Id="rId36" Type="http://schemas.openxmlformats.org/officeDocument/2006/relationships/hyperlink" Target="mailto:svsramkumar@yahoo.com?subject=Perfect%20Location%20to%20your%20Family|Dubai%20Hills" TargetMode="External"/><Relationship Id="rId39" Type="http://schemas.openxmlformats.org/officeDocument/2006/relationships/hyperlink" Target="mailto:gregdearden@hotmail.co.uk?subject=Ready%20to%20Move|%20Huge%202BR%20|Full%20Race%20View" TargetMode="External"/><Relationship Id="rId38" Type="http://schemas.openxmlformats.org/officeDocument/2006/relationships/hyperlink" Target="mailto:akf@smartcrowd.property?subject=Sunrise%20Bay%20at%20Emaar%20Beach%20Front%20|%201%20Bed" TargetMode="External"/><Relationship Id="rId62" Type="http://schemas.openxmlformats.org/officeDocument/2006/relationships/hyperlink" Target="mailto:info@gracehomesuae.com" TargetMode="External"/><Relationship Id="rId61" Type="http://schemas.openxmlformats.org/officeDocument/2006/relationships/hyperlink" Target="mailto:rangag82@gmail.com" TargetMode="External"/><Relationship Id="rId20" Type="http://schemas.openxmlformats.org/officeDocument/2006/relationships/hyperlink" Target="mailto:astonpicardo@gmail.com?subject=Dont%20miss%20Out%20for%20the%20Few%20unit%20Available" TargetMode="External"/><Relationship Id="rId64" Type="http://schemas.openxmlformats.org/officeDocument/2006/relationships/hyperlink" Target="mailto:mary.vornicu@yahoo.com?subject=Upgraded%20and%20Fully%20Furnished%20|%201%20Bedroom" TargetMode="External"/><Relationship Id="rId63" Type="http://schemas.openxmlformats.org/officeDocument/2006/relationships/hyperlink" Target="mailto:bexpaden@hotmail.co.uk?subject=Upgraded%20and%20Fully%20Furnished%20|%201%20Bedroom" TargetMode="External"/><Relationship Id="rId22" Type="http://schemas.openxmlformats.org/officeDocument/2006/relationships/hyperlink" Target="mailto:mansoor.ahmed@colliers.com?subject=Single%20Row%20|%20Park%20Backing%20|%203%20BR%20+%20Maids" TargetMode="External"/><Relationship Id="rId66" Type="http://schemas.openxmlformats.org/officeDocument/2006/relationships/hyperlink" Target="mailto:Knola26@gmail.com?subject=Amazing%20Full%20Canal%20View%20|%20Brand%20New%203BR!" TargetMode="External"/><Relationship Id="rId21" Type="http://schemas.openxmlformats.org/officeDocument/2006/relationships/hyperlink" Target="mailto:Dee_panju@hotmail.com?subject=1%20Month%20Free%20Rent%20|%20Jacuzzi%20|%20Big%20Terrace" TargetMode="External"/><Relationship Id="rId65" Type="http://schemas.openxmlformats.org/officeDocument/2006/relationships/hyperlink" Target="mailto:afw_services@hotmail.co.uk?subject=Upgraded%20and%20Fully%20Furnished%20|%201%20Bedroom" TargetMode="External"/><Relationship Id="rId24" Type="http://schemas.openxmlformats.org/officeDocument/2006/relationships/hyperlink" Target="mailto:sathahir@hotmail.com" TargetMode="External"/><Relationship Id="rId68" Type="http://schemas.openxmlformats.org/officeDocument/2006/relationships/hyperlink" Target="mailto:Dkoottatep@gmail.com?subject=Beach%20Vista%20Beachfront%20Living%20Like%20no%20Other" TargetMode="External"/><Relationship Id="rId23" Type="http://schemas.openxmlformats.org/officeDocument/2006/relationships/hyperlink" Target="mailto:sana.qureshi@midstar-mgt.com?subject=Ready%20retail%20corner%20shop%20for%20sale%20in%20DIFC" TargetMode="External"/><Relationship Id="rId67" Type="http://schemas.openxmlformats.org/officeDocument/2006/relationships/hyperlink" Target="mailto:samsingh.us@gmail.com?subject=Biggest%202%20Bed%20in%2029%20Boulevard%20Tower%20A" TargetMode="External"/><Relationship Id="rId60" Type="http://schemas.openxmlformats.org/officeDocument/2006/relationships/hyperlink" Target="mailto:angelalaurianj@gmail.com?subject=Prestigious%20Studio%20with%20Panoramic%20View!!" TargetMode="External"/><Relationship Id="rId26" Type="http://schemas.openxmlformats.org/officeDocument/2006/relationships/hyperlink" Target="mailto:lubnaosmani23@gmail.com?subject=Upgraded%20and%20Fully%20Furnished%20|%201%20Bedroom" TargetMode="External"/><Relationship Id="rId25" Type="http://schemas.openxmlformats.org/officeDocument/2006/relationships/hyperlink" Target="mailto:lubnaosmani23@gmail.com?subject=Upgraded%20and%20Fully%20Furnished%20|%201%20Bedroom" TargetMode="External"/><Relationship Id="rId69" Type="http://schemas.openxmlformats.org/officeDocument/2006/relationships/hyperlink" Target="mailto:amir.crane@gmail.com?subject=Remraam%20Phase%202%20The%20lowest%20price%20Apartment" TargetMode="External"/><Relationship Id="rId28" Type="http://schemas.openxmlformats.org/officeDocument/2006/relationships/hyperlink" Target="mailto:lubnaosmani23@gmail.com?subject=Upgraded%20and%20Fully%20Furnished%20|%201%20Bedroom" TargetMode="External"/><Relationship Id="rId27" Type="http://schemas.openxmlformats.org/officeDocument/2006/relationships/hyperlink" Target="mailto:lubnaosmani23@gmail.com?subject=Upgraded%20and%20Fully%20Furnished%20|%201%20Bedroom" TargetMode="External"/><Relationship Id="rId29" Type="http://schemas.openxmlformats.org/officeDocument/2006/relationships/hyperlink" Target="mailto:altaf190957@yahoo.com?subject=Nice%20Shawarma%20Restaurant%20next%20to%20Citymax" TargetMode="External"/><Relationship Id="rId51" Type="http://schemas.openxmlformats.org/officeDocument/2006/relationships/hyperlink" Target="mailto:reemokkeh@yahoo.com" TargetMode="External"/><Relationship Id="rId50" Type="http://schemas.openxmlformats.org/officeDocument/2006/relationships/hyperlink" Target="mailto:satiralican@gmail.com?subject=Upgraded%20and%20Fully%20Furnished%20|%201%20Bedroom" TargetMode="External"/><Relationship Id="rId53" Type="http://schemas.openxmlformats.org/officeDocument/2006/relationships/hyperlink" Target="mailto:valeriagnoffo@gmail.com" TargetMode="External"/><Relationship Id="rId52" Type="http://schemas.openxmlformats.org/officeDocument/2006/relationships/hyperlink" Target="mailto:blaumeiser@me.com?subject=Prestigious%20Studio%20with%20Panoramic%20View!!" TargetMode="External"/><Relationship Id="rId11" Type="http://schemas.openxmlformats.org/officeDocument/2006/relationships/hyperlink" Target="mailto:knola26@gmail.com?subject=Amazing%20Full%20Canal%20View%20|%20Brand%20New%203BR!" TargetMode="External"/><Relationship Id="rId55" Type="http://schemas.openxmlformats.org/officeDocument/2006/relationships/hyperlink" Target="mailto:sobia@azurpropertiesuae.com?subject=09%20Series%20|%20Great%20Investor%20Deals%20|%201%20Bed" TargetMode="External"/><Relationship Id="rId10" Type="http://schemas.openxmlformats.org/officeDocument/2006/relationships/hyperlink" Target="mailto:alfarahjassim@yahoo.com" TargetMode="External"/><Relationship Id="rId54" Type="http://schemas.openxmlformats.org/officeDocument/2006/relationships/hyperlink" Target="mailto:praveen.babu@pumpworks.com" TargetMode="External"/><Relationship Id="rId13" Type="http://schemas.openxmlformats.org/officeDocument/2006/relationships/hyperlink" Target="mailto:mistergal@hotmail.com?subject=1.9M%20Aed%20Apt.%20Ready%20in%20Few%20Months" TargetMode="External"/><Relationship Id="rId57" Type="http://schemas.openxmlformats.org/officeDocument/2006/relationships/hyperlink" Target="mailto:rangag82@gmail.com" TargetMode="External"/><Relationship Id="rId12" Type="http://schemas.openxmlformats.org/officeDocument/2006/relationships/hyperlink" Target="mailto:stephaniekerbage@hotmail.com" TargetMode="External"/><Relationship Id="rId56" Type="http://schemas.openxmlformats.org/officeDocument/2006/relationships/hyperlink" Target="mailto:imninow5@yahoo.com" TargetMode="External"/><Relationship Id="rId15" Type="http://schemas.openxmlformats.org/officeDocument/2006/relationships/hyperlink" Target="mailto:yasin.valimulla@kwdubai.com?subject=The%20most%20demanded%20layout" TargetMode="External"/><Relationship Id="rId59" Type="http://schemas.openxmlformats.org/officeDocument/2006/relationships/hyperlink" Target="mailto:marykozitskaya@gmail.com?subject=Fresh%20listing%20on%20the%20market%20,%20Vacant" TargetMode="External"/><Relationship Id="rId14" Type="http://schemas.openxmlformats.org/officeDocument/2006/relationships/hyperlink" Target="mailto:carl@showtechme.com?subject=Nice%20Shawarma%20Restaurant%20next%20to%20Citymax" TargetMode="External"/><Relationship Id="rId58" Type="http://schemas.openxmlformats.org/officeDocument/2006/relationships/hyperlink" Target="mailto:oussama.elmir@strategyand.ae.pwc.com" TargetMode="External"/><Relationship Id="rId17" Type="http://schemas.openxmlformats.org/officeDocument/2006/relationships/hyperlink" Target="mailto:altaf190957@yahoo.com?subject=Nice%20Shawarma%20Restaurant%20next%20to%20Citymax" TargetMode="External"/><Relationship Id="rId16" Type="http://schemas.openxmlformats.org/officeDocument/2006/relationships/hyperlink" Target="mailto:pradeepkundan@gmail.com?subject=Prestigious%20Studio%20with%20Panoramic%20View!!" TargetMode="External"/><Relationship Id="rId19" Type="http://schemas.openxmlformats.org/officeDocument/2006/relationships/hyperlink" Target="mailto:eethar2000@yahoo.com?subject=Best%20Deal%20for%20Safi%20Townhouse%20|%204%20bedroom" TargetMode="External"/><Relationship Id="rId18" Type="http://schemas.openxmlformats.org/officeDocument/2006/relationships/hyperlink" Target="mailto:cernak23@yahoo.com?subject=Fully%20fitted%20office%20in%20BLVD%20Plaza%201%20with%20an%20incredible%20view"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propertyfinder.ae/en/commercial-rent/retail-for-rent-dubai-difc-sky-gardens-5913199.html" TargetMode="External"/><Relationship Id="rId42" Type="http://schemas.openxmlformats.org/officeDocument/2006/relationships/hyperlink" Target="https://www.propertyfinder.ae/en/commercial-buy/retail-for-sale-dubai-dubai-healthcare-city-building-27-5826528.html" TargetMode="External"/><Relationship Id="rId41" Type="http://schemas.openxmlformats.org/officeDocument/2006/relationships/hyperlink" Target="mailto:Asm856@gmail.com?subject=Ready%20Clinic%20with%20Title%20Deed%20|%20Furnished" TargetMode="External"/><Relationship Id="rId44" Type="http://schemas.openxmlformats.org/officeDocument/2006/relationships/hyperlink" Target="mailto:channaidoos@gmail.com?subject=Best%20Offer%20100%25%20Discount%20on%20Land%20Dept%20fees" TargetMode="External"/><Relationship Id="rId43" Type="http://schemas.openxmlformats.org/officeDocument/2006/relationships/hyperlink" Target="mailto:nemodbx@gmail.com?subject=Emaar%20Beachfront%20offering%20luxury%201-4%20BR!" TargetMode="External"/><Relationship Id="rId46" Type="http://schemas.openxmlformats.org/officeDocument/2006/relationships/hyperlink" Target="mailto:cristina.agbulos@gmail.com" TargetMode="External"/><Relationship Id="rId45" Type="http://schemas.openxmlformats.org/officeDocument/2006/relationships/hyperlink" Target="mailto:hani.samir@asgcgroup.com" TargetMode="External"/><Relationship Id="rId1" Type="http://schemas.openxmlformats.org/officeDocument/2006/relationships/hyperlink" Target="mailto:palchaudhurico@rediffmail.com?subject=Upgraded%20and%20Fully%20Furnished%20|%201%20Bedroom" TargetMode="External"/><Relationship Id="rId2" Type="http://schemas.openxmlformats.org/officeDocument/2006/relationships/hyperlink" Target="mailto:girba_Anna@hotmail.com?subject=Amazing%20Full%20Canal%20View%20|%20Brand%20New%203BR!" TargetMode="External"/><Relationship Id="rId3" Type="http://schemas.openxmlformats.org/officeDocument/2006/relationships/hyperlink" Target="mailto:shamnashafeek75@gmail.com?subject=Upgraded%20and%20Fully%20Furnished%20|%201%20Bedroom" TargetMode="External"/><Relationship Id="rId4" Type="http://schemas.openxmlformats.org/officeDocument/2006/relationships/hyperlink" Target="mailto:rahulgoyalmd@yahoo.com?subject=Upgraded%20and%20Fully%20Furnished%20|%201%20Bedroom" TargetMode="External"/><Relationship Id="rId9" Type="http://schemas.openxmlformats.org/officeDocument/2006/relationships/hyperlink" Target="mailto:lonsdoro@gmail.com?subject=Sea%20View%20|%20Jacuzzi%20|%20Huge%20Terrace%20|%202%20BR" TargetMode="External"/><Relationship Id="rId48" Type="http://schemas.openxmlformats.org/officeDocument/2006/relationships/hyperlink" Target="mailto:FGECCELLENZE@GMAIL.COM?subject=Cozy%20and%20Ready%20Italian%20Restaurant%20in%20DIFC" TargetMode="External"/><Relationship Id="rId47" Type="http://schemas.openxmlformats.org/officeDocument/2006/relationships/hyperlink" Target="mailto:am.issa1974@gmail.com?subject=1%20Month%20Free%20Rent%20|%20Jacuzzi%20|%20Big%20Terrace" TargetMode="External"/><Relationship Id="rId49" Type="http://schemas.openxmlformats.org/officeDocument/2006/relationships/hyperlink" Target="https://www.propertyfinder.ae/to/5913189/en" TargetMode="External"/><Relationship Id="rId5" Type="http://schemas.openxmlformats.org/officeDocument/2006/relationships/hyperlink" Target="mailto:hackenbuchner@gmx.at?subject=Book%20Now!%20We%20guarantee%20the%20Best%20Units!!!" TargetMode="External"/><Relationship Id="rId6" Type="http://schemas.openxmlformats.org/officeDocument/2006/relationships/hyperlink" Target="mailto:singh.dharmendra668@gmail.com?subject=Great%20Investor%20Deal%202%20Bedroom%20+%20Study!!!" TargetMode="External"/><Relationship Id="rId7" Type="http://schemas.openxmlformats.org/officeDocument/2006/relationships/hyperlink" Target="mailto:singh.dharmendra668@gmail.com?subject=Great%20Investor%20Deal%202%20Bedroom%20+%20Study!!!" TargetMode="External"/><Relationship Id="rId8" Type="http://schemas.openxmlformats.org/officeDocument/2006/relationships/hyperlink" Target="mailto:mariam.mahd@gmail.com?subject=The%20Grand%20|%20Dubai%20Creek%20Harbour,%20Dubai" TargetMode="External"/><Relationship Id="rId31" Type="http://schemas.openxmlformats.org/officeDocument/2006/relationships/hyperlink" Target="mailto:karimdimitri@gmail.com?subject=Running%20Health%20Food%20Restaurant%20Business%20in%20JLT" TargetMode="External"/><Relationship Id="rId30" Type="http://schemas.openxmlformats.org/officeDocument/2006/relationships/hyperlink" Target="mailto:collinsmukabe12@gmail.com" TargetMode="External"/><Relationship Id="rId33" Type="http://schemas.openxmlformats.org/officeDocument/2006/relationships/hyperlink" Target="mailto:nizarkm1@gmail.com?subject=Cozy%20and%20Ready%20Italian%20Restaurant%20in%20DIFC" TargetMode="External"/><Relationship Id="rId32" Type="http://schemas.openxmlformats.org/officeDocument/2006/relationships/hyperlink" Target="https://www.propertyfinder.ae/en/commercial-rent/shop-for-rent-dubai-jumeirah-lake-towers-lake-allure-lake-shore-tower-5911516.html" TargetMode="External"/><Relationship Id="rId35" Type="http://schemas.openxmlformats.org/officeDocument/2006/relationships/hyperlink" Target="mailto:chiope@gmail.com" TargetMode="External"/><Relationship Id="rId34" Type="http://schemas.openxmlformats.org/officeDocument/2006/relationships/hyperlink" Target="https://www.propertyfinder.ae/en/commercial-rent/retail-for-rent-dubai-difc-sky-gardens-5913199.html" TargetMode="External"/><Relationship Id="rId37" Type="http://schemas.openxmlformats.org/officeDocument/2006/relationships/hyperlink" Target="mailto:tracy.ta25@gmail.com" TargetMode="External"/><Relationship Id="rId36" Type="http://schemas.openxmlformats.org/officeDocument/2006/relationships/hyperlink" Target="mailto:yusuf.p27@gmail.com" TargetMode="External"/><Relationship Id="rId39" Type="http://schemas.openxmlformats.org/officeDocument/2006/relationships/hyperlink" Target="https://www.propertyfinder.ae/en/commercial-buy/shop-for-sale-dubai-al-barsha-al-barsha-1-6029599.html" TargetMode="External"/><Relationship Id="rId38" Type="http://schemas.openxmlformats.org/officeDocument/2006/relationships/hyperlink" Target="mailto:BRASIL699@HOTMAIL.COM?subject=Cozy%20and%20Ready%20Italian%20Restaurant%20in%20DIFC" TargetMode="External"/><Relationship Id="rId20" Type="http://schemas.openxmlformats.org/officeDocument/2006/relationships/hyperlink" Target="mailto:Naga2302@yahoo.com?subject=Cheapest%20Studio%20|%20Zen%2020%20Discovery%20Garden" TargetMode="External"/><Relationship Id="rId22" Type="http://schemas.openxmlformats.org/officeDocument/2006/relationships/hyperlink" Target="mailto:miorita@clevelandbridge.ae?subject=Best%20Deal!!%20I%20Studio%20I%20Badrah%20Waterfront" TargetMode="External"/><Relationship Id="rId21" Type="http://schemas.openxmlformats.org/officeDocument/2006/relationships/hyperlink" Target="mailto:shruthis0550@gmail.com?subject=Studio%20|%20Zen%2020%20Discovery%20Garden%20|%204chq" TargetMode="External"/><Relationship Id="rId24" Type="http://schemas.openxmlformats.org/officeDocument/2006/relationships/hyperlink" Target="mailto:cstranntrade@gmail.com" TargetMode="External"/><Relationship Id="rId23" Type="http://schemas.openxmlformats.org/officeDocument/2006/relationships/hyperlink" Target="mailto:hannahcornel@outlook.com?subject=Build%20Your%20Own%20Villa%20|%20Dubai%20Hills%20Estate" TargetMode="External"/><Relationship Id="rId26" Type="http://schemas.openxmlformats.org/officeDocument/2006/relationships/hyperlink" Target="mailto:drfahann@hotmail.com" TargetMode="External"/><Relationship Id="rId25" Type="http://schemas.openxmlformats.org/officeDocument/2006/relationships/hyperlink" Target="mailto:mmoradiariya_alborz@asia.com?subject=Exclusive%20Apartments%20Overlooking%20the%20Sea" TargetMode="External"/><Relationship Id="rId28" Type="http://schemas.openxmlformats.org/officeDocument/2006/relationships/hyperlink" Target="mailto:kunal@createhospitality.ae?subject=Cozy%20and%20Ready%20Italian%20Restaurant%20in%20DIFC" TargetMode="External"/><Relationship Id="rId27" Type="http://schemas.openxmlformats.org/officeDocument/2006/relationships/hyperlink" Target="mailto:hackenbuchner@gmx.at?subject=Serviced%20Address%20JBR%20Beach%20|%208.2%25%20ROI%20Net" TargetMode="External"/><Relationship Id="rId29" Type="http://schemas.openxmlformats.org/officeDocument/2006/relationships/hyperlink" Target="mailto:Prabeen4u@hotmail.com?subject=Cozy%20and%20Ready%20Italian%20Restaurant%20in%20DIFC" TargetMode="External"/><Relationship Id="rId51" Type="http://schemas.openxmlformats.org/officeDocument/2006/relationships/hyperlink" Target="mailto:claudine_mccarthy@yahoo.co.uk?subject=Cozy%20and%20Ready%20Italian%20Restaurant%20in%20DIFC" TargetMode="External"/><Relationship Id="rId50" Type="http://schemas.openxmlformats.org/officeDocument/2006/relationships/hyperlink" Target="mailto:fgeccellenze@gmail.com" TargetMode="External"/><Relationship Id="rId53" Type="http://schemas.openxmlformats.org/officeDocument/2006/relationships/drawing" Target="../drawings/drawing12.xml"/><Relationship Id="rId52" Type="http://schemas.openxmlformats.org/officeDocument/2006/relationships/hyperlink" Target="https://www.propertyfinder.ae/to/5913199/en" TargetMode="External"/><Relationship Id="rId11" Type="http://schemas.openxmlformats.org/officeDocument/2006/relationships/hyperlink" Target="mailto:daniel@nowak.ae?subject=Amazing%20Full%20Golf%20Course%20View|%2001%20Series" TargetMode="External"/><Relationship Id="rId10" Type="http://schemas.openxmlformats.org/officeDocument/2006/relationships/hyperlink" Target="mailto:altaf190957@yahoo.com?subject=Ready%20retail%20corner%20shop%20for%20rent%20in%20DIFC" TargetMode="External"/><Relationship Id="rId13" Type="http://schemas.openxmlformats.org/officeDocument/2006/relationships/hyperlink" Target="mailto:rosenvalentinov@yahoo.co.uk?subject=Bluewaters%20Island%20|%202.3m%20AED%20|%20Dubai%20Eye" TargetMode="External"/><Relationship Id="rId12" Type="http://schemas.openxmlformats.org/officeDocument/2006/relationships/hyperlink" Target="mailto:jimburdall@hotmail.com?subject=Upgraded%20and%20Fully%20Furnished%20|%201%20Bedroom" TargetMode="External"/><Relationship Id="rId15" Type="http://schemas.openxmlformats.org/officeDocument/2006/relationships/hyperlink" Target="mailto:bruma.matt@gmail.com?subject=Luxurious%20Penthouse|Il%20Primo|Amazing%20View" TargetMode="External"/><Relationship Id="rId14" Type="http://schemas.openxmlformats.org/officeDocument/2006/relationships/hyperlink" Target="mailto:sykon_llc@yahoo.com?subject=Freehold%20Beachside%20Plots%20|%20800%20AED%20/sqf" TargetMode="External"/><Relationship Id="rId17" Type="http://schemas.openxmlformats.org/officeDocument/2006/relationships/hyperlink" Target="https://www.propertyfinder.ae/en/commercial-buy/retail-for-sale-dubai-difc-sky-gardens-5913189.html" TargetMode="External"/><Relationship Id="rId16" Type="http://schemas.openxmlformats.org/officeDocument/2006/relationships/hyperlink" Target="mailto:bruma.matt@gmail.com?subject=Resale%20Deal%20|%201%20Bedroom%20|%20Boulevard%20View" TargetMode="External"/><Relationship Id="rId19" Type="http://schemas.openxmlformats.org/officeDocument/2006/relationships/hyperlink" Target="mailto:josseyobeth@gmail.com?subject=Upgraded%203%20BR%20|%20Sea%20View%20|%20Semi-Furnished" TargetMode="External"/><Relationship Id="rId18" Type="http://schemas.openxmlformats.org/officeDocument/2006/relationships/hyperlink" Target="mailto:emraanbutt@gmail.com?subject=Freehold%20Beachside%20Plots%20|%20800%20AED%20/sqf"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mailto:rikadotsonone@gmail.com?subject=Resort-style%20Living%20at%20Emaar%20Beachfront!" TargetMode="External"/><Relationship Id="rId42" Type="http://schemas.openxmlformats.org/officeDocument/2006/relationships/hyperlink" Target="mailto:jwilliamsh01@gmail.com" TargetMode="External"/><Relationship Id="rId41" Type="http://schemas.openxmlformats.org/officeDocument/2006/relationships/hyperlink" Target="mailto:mohammed.dawani@unb.ae?subject=Beach%20Vista%20Premium%20Beachfront%20Apartment" TargetMode="External"/><Relationship Id="rId44" Type="http://schemas.openxmlformats.org/officeDocument/2006/relationships/hyperlink" Target="mailto:rebekah.amyroe@gmail.com?subject=Upgraded%20and%20Fully%20Furnished%20|%201%20Bedroom" TargetMode="External"/><Relationship Id="rId43" Type="http://schemas.openxmlformats.org/officeDocument/2006/relationships/hyperlink" Target="mailto:dubaiinvestment1980@yahoo.com?subject=Luxury%20Homes%20from%20AED%201.4%20Million%20Only!!" TargetMode="External"/><Relationship Id="rId46" Type="http://schemas.openxmlformats.org/officeDocument/2006/relationships/hyperlink" Target="mailto:antoine.amassih@gmail.com?subject=Semi%20Furnished%20Luxury%20Villa%20In%20Al%20Barsha" TargetMode="External"/><Relationship Id="rId45" Type="http://schemas.openxmlformats.org/officeDocument/2006/relationships/hyperlink" Target="mailto:andrepmoreira@hotmail.com?subject=Upgraded%20and%20Fully%20Furnished%20|%201%20Bedroom" TargetMode="External"/><Relationship Id="rId1" Type="http://schemas.openxmlformats.org/officeDocument/2006/relationships/hyperlink" Target="mailto:asimjanjua@gmail.com?subject=No%20Commission%20|%20Huge%20Townhouse%20|%20Maple%203" TargetMode="External"/><Relationship Id="rId2" Type="http://schemas.openxmlformats.org/officeDocument/2006/relationships/hyperlink" Target="mailto:wanglei959@yahoo.com" TargetMode="External"/><Relationship Id="rId3" Type="http://schemas.openxmlformats.org/officeDocument/2006/relationships/hyperlink" Target="https://mandrillapp.com/track/click/30124164/tnydu.biz?p=eyJzIjoiOElHMU54SU9Jd2pEWEVFWmpTUWptb2VnY1ZrIiwidiI6MSwicCI6IntcInVcIjozMDEyNDE2NCxcInZcIjoxLFwidXJsXCI6XCJodHRwOlxcXC9cXFwvdG55ZHUuYml6XFxcL0RjZVRRSj91dG1fc291cmNlPWNvcmUmdXRtX21lZGl1bT1lbWFpbF90cmFucyZ1dG1fY2FtcGFpZ249dHJhbnNfY29yZSZ1dG1fY29udGVudD1zZWxsZXJfbGVhZF9lbiN4dG9yPUVQUi0zMzRbdHJhbnNfY29yZV0tW2NvcmVdLTIwMTQwMTMxLVtzZWxsZXJfbGVhZF9lbl0tW11cIixcImlkXCI6XCJjNDJmOGU5OGUyNTg0NjQ1YTkzNDlkZjRkMjU2MjMwNlwiLFwidXJsX2lkc1wiOltcIjU4NDVmYzM2NjlmNTlhZGYwMmNmNTkyNTYzYzBhYjA3MjNiOGMzOTlcIl19In0" TargetMode="External"/><Relationship Id="rId4" Type="http://schemas.openxmlformats.org/officeDocument/2006/relationships/hyperlink" Target="mailto:ahmadhajo66@gmail.com?subject=9650%20Sqft%20Brand%20New%20Showroom%20in%20Umm%20Suqeim" TargetMode="External"/><Relationship Id="rId9" Type="http://schemas.openxmlformats.org/officeDocument/2006/relationships/hyperlink" Target="mailto:skoog.gunnar@gmail.com?subject=Dont%20Miss%20out%20the%20Fantastic%20Payment%20Plan" TargetMode="External"/><Relationship Id="rId48" Type="http://schemas.openxmlformats.org/officeDocument/2006/relationships/hyperlink" Target="https://www.propertyfinder.ae/en/commercial-rent/retail-for-rent-dubai-difc-sky-gardens-5913199.html" TargetMode="External"/><Relationship Id="rId47" Type="http://schemas.openxmlformats.org/officeDocument/2006/relationships/hyperlink" Target="mailto:maiinbkk@yahoo.com?subject=Cozy%20Running%20Italian%20Restaurant%20in%20DIFC" TargetMode="External"/><Relationship Id="rId49" Type="http://schemas.openxmlformats.org/officeDocument/2006/relationships/hyperlink" Target="mailto:st@rpint.com?subject=Upgraded%20and%20Fully%20Furnished%20|%201%20Bedroom" TargetMode="External"/><Relationship Id="rId5" Type="http://schemas.openxmlformats.org/officeDocument/2006/relationships/hyperlink" Target="https://www.propertyfinder.ae/ar/%D8%AA%D8%AC%D8%A7%D8%B1%D9%8A%D8%A9-%D9%84%D9%84%D8%A7%D9%8A%D8%AC%D8%A7%D8%B1/%D8%B5%D8%A7%D9%84%D8%A9-%D8%B9%D8%B1%D8%B6-%D9%84%D9%84%D8%A7%D9%8A%D8%AC%D8%A7%D8%B1-%D8%AF%D8%A8%D9%8A-%D8%A7%D9%84%D8%A8%D8%B1%D8%B4%D8%A7%D8%A1-%D8%A7%D9%84%D8%A8%D8%B1%D8%B4%D8%A7%D8%A1-2-5522693.html" TargetMode="External"/><Relationship Id="rId6" Type="http://schemas.openxmlformats.org/officeDocument/2006/relationships/hyperlink" Target="mailto:hazem@habdan.com?subject=Resale%20Huge%202%20BR%20|%20Low%20Price%20|%20Burj%20View" TargetMode="External"/><Relationship Id="rId7" Type="http://schemas.openxmlformats.org/officeDocument/2006/relationships/hyperlink" Target="mailto:fahdy@drivenproperties.ae?subject=Resale%20Huge%202%20BR%20|%20Low%20Price%20|%20Burj%20View" TargetMode="External"/><Relationship Id="rId8" Type="http://schemas.openxmlformats.org/officeDocument/2006/relationships/hyperlink" Target="mailto:shahabkarimzadeh77@gmail.com" TargetMode="External"/><Relationship Id="rId31" Type="http://schemas.openxmlformats.org/officeDocument/2006/relationships/hyperlink" Target="https://mandrillapp.com/track/click/30124164/tnydu.biz?p=eyJzIjoiNUFlRmltM1otOWx2Y3U0cWdScjRJS29UMnBZIiwidiI6MSwicCI6IntcInVcIjozMDEyNDE2NCxcInZcIjoxLFwidXJsXCI6XCJodHRwOlxcXC9cXFwvdG55ZHUuYml6XFxcL0RobVg3aT91dG1fc291cmNlPWNvcmUmdXRtX21lZGl1bT1lbWFpbF90cmFucyZ1dG1fY2FtcGFpZ249dHJhbnNfY29yZSZ1dG1fY29udGVudD1zZWxsZXJfbGVhZF9lbiN4dG9yPUVQUi0zMzRbdHJhbnNfY29yZV0tW2NvcmVdLTIwMTQwMTMxLVtzZWxsZXJfbGVhZF9lbl0tW11cIixcImlkXCI6XCIxYjEyYTU2NDk3ZDM0MmFiOWI5MjBhYWM5NjNkNWZlMVwiLFwidXJsX2lkc1wiOltcIjU4NDVmYzM2NjlmNTlhZGYwMmNmNTkyNTYzYzBhYjA3MjNiOGMzOTlcIl19In0" TargetMode="External"/><Relationship Id="rId30" Type="http://schemas.openxmlformats.org/officeDocument/2006/relationships/hyperlink" Target="mailto:atiqkapadia@hotmail.com" TargetMode="External"/><Relationship Id="rId33" Type="http://schemas.openxmlformats.org/officeDocument/2006/relationships/hyperlink" Target="mailto:Geniusvr86@gmail.com" TargetMode="External"/><Relationship Id="rId32" Type="http://schemas.openxmlformats.org/officeDocument/2006/relationships/hyperlink" Target="mailto:berlin.bangkok@hotmail.com?subject=Ready%20to%20Move%20in%20Right%20Now%20|%20Barsha%20Villa" TargetMode="External"/><Relationship Id="rId35" Type="http://schemas.openxmlformats.org/officeDocument/2006/relationships/hyperlink" Target="https://www.propertyfinder.ae/en/commercial-rent/retail-for-rent-dubai-difc-sky-gardens-5913199.html" TargetMode="External"/><Relationship Id="rId34" Type="http://schemas.openxmlformats.org/officeDocument/2006/relationships/hyperlink" Target="mailto:hajarbihi@gmail.com?subject=Cozy%20Running%20Italian%20Restaurant%20in%20DIFC" TargetMode="External"/><Relationship Id="rId37" Type="http://schemas.openxmlformats.org/officeDocument/2006/relationships/hyperlink" Target="mailto:mounir@fresh.com.eg?subject=Sea%20View%20|%20Jacuzzi%20|%20Huge%20Terrace%20|%202%20BR" TargetMode="External"/><Relationship Id="rId36" Type="http://schemas.openxmlformats.org/officeDocument/2006/relationships/hyperlink" Target="mailto:nickwhitfordseb@gmail.com" TargetMode="External"/><Relationship Id="rId39" Type="http://schemas.openxmlformats.org/officeDocument/2006/relationships/hyperlink" Target="https://www.propertyfinder.ae/en/commercial-rent/retail-for-rent-dubai-difc-sky-gardens-5913199.html" TargetMode="External"/><Relationship Id="rId38" Type="http://schemas.openxmlformats.org/officeDocument/2006/relationships/hyperlink" Target="mailto:navitoor04@gmail.com?subject=Cozy%20Running%20Italian%20Restaurant%20in%20DIFC" TargetMode="External"/><Relationship Id="rId20" Type="http://schemas.openxmlformats.org/officeDocument/2006/relationships/hyperlink" Target="mailto:tom-jakim@wp.pl?subject=Best%20Offer%20100%25%20Discount%20on%20Land%20Dept%20fees" TargetMode="External"/><Relationship Id="rId22" Type="http://schemas.openxmlformats.org/officeDocument/2006/relationships/hyperlink" Target="mailto:chakaravarthy.vishnu@gmail.com?subject=Sunrise%20Bay%20at%20Emaar%20Beach%20Front%20|%201%20Bed" TargetMode="External"/><Relationship Id="rId21" Type="http://schemas.openxmlformats.org/officeDocument/2006/relationships/hyperlink" Target="mailto:yana-leonova@mail.com?subject=Huge%203%20BR%20+%20Maids%20|%20Marina%20and%20Golf%20View" TargetMode="External"/><Relationship Id="rId24" Type="http://schemas.openxmlformats.org/officeDocument/2006/relationships/hyperlink" Target="mailto:hassan.n@textureproperties.com?subject=2%20Bed%20with%20Great%20View%20of%20The%20Tower%20|%20Harbour%20Views" TargetMode="External"/><Relationship Id="rId23" Type="http://schemas.openxmlformats.org/officeDocument/2006/relationships/hyperlink" Target="mailto:fatihhoyur@hotmail.com" TargetMode="External"/><Relationship Id="rId26" Type="http://schemas.openxmlformats.org/officeDocument/2006/relationships/hyperlink" Target="mailto:vs_nr@yahoo.com?subject=Huge%203%20BR%20+%20Maids%20|%20Marina%20and%20Golf%20View" TargetMode="External"/><Relationship Id="rId25" Type="http://schemas.openxmlformats.org/officeDocument/2006/relationships/hyperlink" Target="mailto:gemate.mail@gmail.com?subject=Prestigious%20Studio%20with%20Panoramic%20View!!" TargetMode="External"/><Relationship Id="rId28" Type="http://schemas.openxmlformats.org/officeDocument/2006/relationships/hyperlink" Target="mailto:yaf500@yahoo.com?subject=Luxury%20Living%20|%20Fully%20Serviced%20with%20Views" TargetMode="External"/><Relationship Id="rId27" Type="http://schemas.openxmlformats.org/officeDocument/2006/relationships/hyperlink" Target="mailto:dhshawa@yahoo.com?subject=Relaxing%20Apartment%20with%20Golf%20Course%20view" TargetMode="External"/><Relationship Id="rId29" Type="http://schemas.openxmlformats.org/officeDocument/2006/relationships/hyperlink" Target="mailto:gabu@mercuria.com?subject=Build%20Your%20Own%20Villa%20|%20Dubai%20Hills%20Estate" TargetMode="External"/><Relationship Id="rId51" Type="http://schemas.openxmlformats.org/officeDocument/2006/relationships/drawing" Target="../drawings/drawing13.xml"/><Relationship Id="rId50" Type="http://schemas.openxmlformats.org/officeDocument/2006/relationships/hyperlink" Target="mailto:diana.kummar08@gmail.com?subject=Resale%20|%20Excellent%20Price%20|%20Downtown%20Views" TargetMode="External"/><Relationship Id="rId11" Type="http://schemas.openxmlformats.org/officeDocument/2006/relationships/hyperlink" Target="mailto:ahjalzaabi@hotmail.co.uk" TargetMode="External"/><Relationship Id="rId10" Type="http://schemas.openxmlformats.org/officeDocument/2006/relationships/hyperlink" Target="mailto:tdogan@ghc.us.com?subject=Sea%20View%20|%20Jacuzzi%20|%20Huge%20Terrace%20|%202%20BR" TargetMode="External"/><Relationship Id="rId13" Type="http://schemas.openxmlformats.org/officeDocument/2006/relationships/hyperlink" Target="mailto:luxio.dubai@gmail.com?subject=Furnished%20Salon%20at%20Xl%20Tower%20Business%20Bay" TargetMode="External"/><Relationship Id="rId12" Type="http://schemas.openxmlformats.org/officeDocument/2006/relationships/hyperlink" Target="mailto:ameneassy@ueg.ae?subject=Sea%20View%20|%20Jacuzzi%20|%20Huge%20Terrace%20|%202%20BR" TargetMode="External"/><Relationship Id="rId15" Type="http://schemas.openxmlformats.org/officeDocument/2006/relationships/hyperlink" Target="mailto:dharia.rajesh@gmail.com?subject=Restaurant%20space%20for%20lease%20on%20Marina%20Walk" TargetMode="External"/><Relationship Id="rId14" Type="http://schemas.openxmlformats.org/officeDocument/2006/relationships/hyperlink" Target="mailto:minuchawla@graffiti.net" TargetMode="External"/><Relationship Id="rId17" Type="http://schemas.openxmlformats.org/officeDocument/2006/relationships/hyperlink" Target="mailto:Lamaamin@gmail.com?subject=Huge%202%20Bedroom%20+%20Study%20in%20%20Executive%20Bay" TargetMode="External"/><Relationship Id="rId16" Type="http://schemas.openxmlformats.org/officeDocument/2006/relationships/hyperlink" Target="https://www.propertyfinder.ae/en/commercial-rent/retail-for-rent-dubai-dubai-marina-marina-first-tower-5942585.html" TargetMode="External"/><Relationship Id="rId19" Type="http://schemas.openxmlformats.org/officeDocument/2006/relationships/hyperlink" Target="mailto:jaclyn.redgwick@arcadia.sch.ae?subject=Brand%20New%20Studio%20in%20JVT%20with%20Nice%20View" TargetMode="External"/><Relationship Id="rId18" Type="http://schemas.openxmlformats.org/officeDocument/2006/relationships/hyperlink" Target="https://www.propertyfinder.ae/en/rent/apartment-for-rent-dubai-business-bay-executive-bay-5920381.html"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mailto:Esmaeil.esbati@gmail.com" TargetMode="External"/><Relationship Id="rId2" Type="http://schemas.openxmlformats.org/officeDocument/2006/relationships/hyperlink" Target="mailto:purchasing@icelabuae.com" TargetMode="External"/><Relationship Id="rId3" Type="http://schemas.openxmlformats.org/officeDocument/2006/relationships/hyperlink" Target="mailto:randaibahsoun@yahoo.com" TargetMode="External"/><Relationship Id="rId4" Type="http://schemas.openxmlformats.org/officeDocument/2006/relationships/hyperlink" Target="mailto:gino@ginos.se?subject=The%20Address%20at%20JBR%20Beach%20|%20Coming%20in%202020" TargetMode="External"/><Relationship Id="rId9" Type="http://schemas.openxmlformats.org/officeDocument/2006/relationships/hyperlink" Target="mailto:Hrjobnewwaiinlife@gmail.com" TargetMode="External"/><Relationship Id="rId5" Type="http://schemas.openxmlformats.org/officeDocument/2006/relationships/hyperlink" Target="mailto:nstuseck@woti.ca" TargetMode="External"/><Relationship Id="rId6" Type="http://schemas.openxmlformats.org/officeDocument/2006/relationships/hyperlink" Target="mailto:tamara.inja@gmail.com?subject=Furnished%205%20BR%20Villa%20|%20Behind%20Shangri-La" TargetMode="External"/><Relationship Id="rId7" Type="http://schemas.openxmlformats.org/officeDocument/2006/relationships/hyperlink" Target="mailto:sunny.virk88@yahoo.co.uk?subject=The%20Address%20at%20JBR%20Beach%20|%20Coming%20in%202020" TargetMode="External"/><Relationship Id="rId8" Type="http://schemas.openxmlformats.org/officeDocument/2006/relationships/hyperlink" Target="mailto:sanober.sharif@yahoo.com?subject=Amazing%20Full%20Golf%20Course%20View|%2001%20Series" TargetMode="External"/><Relationship Id="rId20" Type="http://schemas.openxmlformats.org/officeDocument/2006/relationships/hyperlink" Target="mailto:djaandjaa@hotmail.com?subject=Cheapest%20Fully%20Furnished%20|%20Luxury%20Studio" TargetMode="External"/><Relationship Id="rId22" Type="http://schemas.openxmlformats.org/officeDocument/2006/relationships/hyperlink" Target="mailto:analyn.bauyon-rivera@umdasch-shopfitting.com" TargetMode="External"/><Relationship Id="rId21" Type="http://schemas.openxmlformats.org/officeDocument/2006/relationships/hyperlink" Target="mailto:duniaa.bakri@gmail.com" TargetMode="External"/><Relationship Id="rId24" Type="http://schemas.openxmlformats.org/officeDocument/2006/relationships/drawing" Target="../drawings/drawing14.xml"/><Relationship Id="rId23" Type="http://schemas.openxmlformats.org/officeDocument/2006/relationships/hyperlink" Target="mailto:syed_alinadir@hotmail.com?subject=Ready%20to%20move%20in!%20Fully%20Furnished%201Bed!!" TargetMode="External"/><Relationship Id="rId11" Type="http://schemas.openxmlformats.org/officeDocument/2006/relationships/hyperlink" Target="mailto:kamu@indusre.ae?subject=Resale%20|%20Maple%202E%20Corner%20Unit%20|%20Call%20now" TargetMode="External"/><Relationship Id="rId10" Type="http://schemas.openxmlformats.org/officeDocument/2006/relationships/hyperlink" Target="https://mandrillapp.com/track/click/30124164/tnydu.biz?p=eyJzIjoiSWd0d2ZGUmU2Ym9zdzJFOVRiZkI1bDJGRzljIiwidiI6MSwicCI6IntcInVcIjozMDEyNDE2NCxcInZcIjoxLFwidXJsXCI6XCJodHRwOlxcXC9cXFwvdG55ZHUuYml6XFxcL0RobTNEcD91dG1fc291cmNlPWNvcmUmdXRtX21lZGl1bT1lbWFpbF90cmFucyZ1dG1fY2FtcGFpZ249dHJhbnNfY29yZSZ1dG1fY29udGVudD1zZWxsZXJfbGVhZF9lbiN4dG9yPUVQUi0zMzRbdHJhbnNfY29yZV0tW2NvcmVdLTIwMTQwMTMxLVtzZWxsZXJfbGVhZF9lbl0tW11cIixcImlkXCI6XCJjYWM3NjMwYTE0M2Y0Y2Y1OTIyMjRkMmI2ZGRmYzFlMVwiLFwidXJsX2lkc1wiOltcIjU4NDVmYzM2NjlmNTlhZGYwMmNmNTkyNTYzYzBhYjA3MjNiOGMzOTlcIl19In0" TargetMode="External"/><Relationship Id="rId13" Type="http://schemas.openxmlformats.org/officeDocument/2006/relationships/hyperlink" Target="https://mandrillapp.com/track/click/30124164/tnydu.biz?p=eyJzIjoiQ3l5RklhMWxWRzZGNjU3akZxdk01amViOVpjIiwidiI6MSwicCI6IntcInVcIjozMDEyNDE2NCxcInZcIjoxLFwidXJsXCI6XCJodHRwOlxcXC9cXFwvdG55ZHUuYml6XFxcL0RobTNEcD91dG1fc291cmNlPWNvcmUmdXRtX21lZGl1bT1lbWFpbF90cmFucyZ1dG1fY2FtcGFpZ249dHJhbnNfY29yZSZ1dG1fY29udGVudD1zZWxsZXJfbGVhZF9lbiN4dG9yPUVQUi0zMzRbdHJhbnNfY29yZV0tW2NvcmVdLTIwMTQwMTMxLVtzZWxsZXJfbGVhZF9lbl0tW11cIixcImlkXCI6XCIwN2ZlNjI3YmEzNGE0NWUxOGQ2NjgzNTAwZjJmYmFjMlwiLFwidXJsX2lkc1wiOltcIjU4NDVmYzM2NjlmNTlhZGYwMmNmNTkyNTYzYzBhYjA3MjNiOGMzOTlcIl19In0" TargetMode="External"/><Relationship Id="rId12" Type="http://schemas.openxmlformats.org/officeDocument/2006/relationships/hyperlink" Target="mailto:Hrjobnewwaiinlife@gmail.com" TargetMode="External"/><Relationship Id="rId15" Type="http://schemas.openxmlformats.org/officeDocument/2006/relationships/hyperlink" Target="mailto:najageli@gmail.com?subject=Amazing%20Studio%20Apartment%20in%20Business%20Bay" TargetMode="External"/><Relationship Id="rId14" Type="http://schemas.openxmlformats.org/officeDocument/2006/relationships/hyperlink" Target="mailto:futhc18@gmail.com?subject=Luxurious%20Penthouse|Il%20Primo|Amazing%20View" TargetMode="External"/><Relationship Id="rId17" Type="http://schemas.openxmlformats.org/officeDocument/2006/relationships/hyperlink" Target="mailto:wafaalhalabi90@hotmail.com?subject=Prestigious%20Studio%20with%20Panoramic%20View!!" TargetMode="External"/><Relationship Id="rId16" Type="http://schemas.openxmlformats.org/officeDocument/2006/relationships/hyperlink" Target="mailto:mjkhansar@yahoo.com?subject=Cheapest%20Fully%20Furnished%20|%20Luxury%20Studio" TargetMode="External"/><Relationship Id="rId19" Type="http://schemas.openxmlformats.org/officeDocument/2006/relationships/hyperlink" Target="mailto:wiktorul1330@hotmail.com?subject=Best%20Offer%20100%25%20Discount%20on%20Land%20Dept%20fees" TargetMode="External"/><Relationship Id="rId18" Type="http://schemas.openxmlformats.org/officeDocument/2006/relationships/hyperlink" Target="mailto:gokhan_oslo@hot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13.71"/>
    <col customWidth="1" min="2" max="2" width="19.71"/>
    <col customWidth="1" min="3" max="3" width="31.29"/>
    <col customWidth="1" min="4" max="4" width="24.14"/>
    <col customWidth="1" min="6" max="6" width="42.14"/>
    <col customWidth="1" min="7" max="7" width="39.86"/>
    <col customWidth="1" min="8" max="8" width="33.43"/>
    <col customWidth="1" min="9" max="9" width="34.71"/>
  </cols>
  <sheetData>
    <row r="1">
      <c r="A1" s="10" t="s">
        <v>7</v>
      </c>
      <c r="B1" s="13" t="s">
        <v>1</v>
      </c>
      <c r="C1" s="13" t="s">
        <v>2</v>
      </c>
      <c r="D1" s="13" t="s">
        <v>3</v>
      </c>
      <c r="E1" s="13" t="s">
        <v>4</v>
      </c>
      <c r="F1" s="23" t="s">
        <v>5</v>
      </c>
      <c r="G1" s="25"/>
      <c r="H1" s="4" t="s">
        <v>6</v>
      </c>
      <c r="I1" s="6" t="s">
        <v>8</v>
      </c>
      <c r="J1" s="4" t="s">
        <v>9</v>
      </c>
      <c r="K1" s="8"/>
      <c r="L1" s="9"/>
      <c r="M1" s="9"/>
      <c r="N1" s="9"/>
      <c r="O1" s="9"/>
      <c r="P1" s="9"/>
      <c r="Q1" s="9"/>
      <c r="R1" s="9"/>
      <c r="S1" s="9"/>
      <c r="T1" s="9"/>
      <c r="U1" s="9"/>
      <c r="V1" s="9"/>
      <c r="W1" s="9"/>
      <c r="X1" s="9"/>
      <c r="Y1" s="9"/>
      <c r="Z1" s="9"/>
      <c r="AA1" s="9"/>
      <c r="AB1" s="9"/>
      <c r="AC1" s="9"/>
      <c r="AD1" s="9"/>
      <c r="AE1" s="9"/>
      <c r="AF1" s="9"/>
      <c r="AG1" s="9"/>
      <c r="AH1" s="9"/>
    </row>
    <row r="2">
      <c r="A2" s="29">
        <v>43467.0</v>
      </c>
      <c r="B2" s="30" t="s">
        <v>23</v>
      </c>
      <c r="C2" s="31" t="s">
        <v>24</v>
      </c>
      <c r="D2" s="32" t="s">
        <v>25</v>
      </c>
      <c r="E2" s="33" t="s">
        <v>26</v>
      </c>
      <c r="F2" s="33" t="s">
        <v>27</v>
      </c>
      <c r="G2" s="34"/>
      <c r="H2" s="36" t="s">
        <v>28</v>
      </c>
      <c r="J2" s="37" t="s">
        <v>30</v>
      </c>
    </row>
    <row r="3">
      <c r="A3" s="39">
        <v>43467.0</v>
      </c>
      <c r="B3" s="41" t="s">
        <v>33</v>
      </c>
      <c r="C3" s="43" t="s">
        <v>36</v>
      </c>
      <c r="D3" s="41" t="s">
        <v>39</v>
      </c>
      <c r="E3" s="41" t="s">
        <v>26</v>
      </c>
      <c r="F3" s="41" t="s">
        <v>42</v>
      </c>
      <c r="G3" s="44"/>
      <c r="H3" s="36" t="s">
        <v>46</v>
      </c>
      <c r="J3" s="37" t="s">
        <v>32</v>
      </c>
    </row>
    <row r="4">
      <c r="A4" s="29">
        <v>43467.0</v>
      </c>
      <c r="B4" s="33" t="s">
        <v>49</v>
      </c>
      <c r="C4" s="48" t="s">
        <v>24</v>
      </c>
      <c r="D4" s="33" t="s">
        <v>25</v>
      </c>
      <c r="E4" s="33" t="s">
        <v>26</v>
      </c>
      <c r="F4" s="33" t="s">
        <v>55</v>
      </c>
      <c r="G4" s="34"/>
      <c r="H4" s="36" t="s">
        <v>56</v>
      </c>
      <c r="J4" s="37" t="s">
        <v>30</v>
      </c>
    </row>
    <row r="5">
      <c r="A5" s="39">
        <v>43467.0</v>
      </c>
      <c r="B5" s="52" t="s">
        <v>58</v>
      </c>
      <c r="C5" s="54" t="s">
        <v>59</v>
      </c>
      <c r="D5" s="56" t="s">
        <v>60</v>
      </c>
      <c r="E5" s="41" t="s">
        <v>26</v>
      </c>
      <c r="F5" s="52" t="s">
        <v>62</v>
      </c>
      <c r="G5" s="44"/>
      <c r="H5" s="36" t="s">
        <v>64</v>
      </c>
      <c r="J5" s="37" t="s">
        <v>32</v>
      </c>
    </row>
    <row r="6" ht="18.75" customHeight="1">
      <c r="A6" s="29">
        <v>43468.0</v>
      </c>
      <c r="B6" s="58" t="s">
        <v>68</v>
      </c>
      <c r="C6" s="59" t="s">
        <v>71</v>
      </c>
      <c r="D6" s="61" t="s">
        <v>74</v>
      </c>
      <c r="E6" s="33" t="s">
        <v>26</v>
      </c>
      <c r="F6" s="58" t="s">
        <v>79</v>
      </c>
      <c r="G6" s="34"/>
      <c r="H6" s="36" t="s">
        <v>80</v>
      </c>
      <c r="J6" s="37" t="s">
        <v>54</v>
      </c>
    </row>
    <row r="7">
      <c r="A7" s="39">
        <v>43468.0</v>
      </c>
      <c r="B7" s="64" t="s">
        <v>83</v>
      </c>
      <c r="C7" s="43" t="s">
        <v>89</v>
      </c>
      <c r="D7" s="56" t="s">
        <v>92</v>
      </c>
      <c r="E7" s="52" t="s">
        <v>94</v>
      </c>
      <c r="F7" s="52" t="s">
        <v>98</v>
      </c>
      <c r="G7" s="52" t="s">
        <v>102</v>
      </c>
      <c r="H7" s="36" t="s">
        <v>104</v>
      </c>
      <c r="J7" s="36" t="s">
        <v>104</v>
      </c>
    </row>
    <row r="8">
      <c r="A8" s="29">
        <v>43468.0</v>
      </c>
      <c r="B8" s="58" t="s">
        <v>110</v>
      </c>
      <c r="C8" s="59" t="s">
        <v>113</v>
      </c>
      <c r="D8" s="61" t="s">
        <v>114</v>
      </c>
      <c r="E8" s="58" t="s">
        <v>115</v>
      </c>
      <c r="F8" s="58" t="s">
        <v>117</v>
      </c>
      <c r="G8" s="34"/>
      <c r="H8" s="36" t="s">
        <v>104</v>
      </c>
      <c r="J8" s="36" t="s">
        <v>104</v>
      </c>
    </row>
    <row r="9">
      <c r="A9" s="39">
        <v>43468.0</v>
      </c>
      <c r="B9" s="70" t="s">
        <v>121</v>
      </c>
      <c r="C9" s="70" t="s">
        <v>122</v>
      </c>
      <c r="D9" s="56" t="s">
        <v>123</v>
      </c>
      <c r="E9" s="41" t="s">
        <v>26</v>
      </c>
      <c r="F9" s="52" t="s">
        <v>124</v>
      </c>
      <c r="G9" s="52" t="s">
        <v>126</v>
      </c>
      <c r="H9" s="36" t="s">
        <v>104</v>
      </c>
      <c r="J9" s="37" t="s">
        <v>54</v>
      </c>
    </row>
    <row r="10">
      <c r="A10" s="29">
        <v>43468.0</v>
      </c>
      <c r="B10" s="76" t="s">
        <v>131</v>
      </c>
      <c r="C10" s="78" t="s">
        <v>142</v>
      </c>
      <c r="D10" s="61" t="s">
        <v>149</v>
      </c>
      <c r="E10" s="58" t="s">
        <v>50</v>
      </c>
      <c r="F10" s="58" t="s">
        <v>151</v>
      </c>
      <c r="G10" s="34"/>
      <c r="H10" s="36" t="s">
        <v>155</v>
      </c>
      <c r="J10" s="37" t="s">
        <v>54</v>
      </c>
    </row>
    <row r="11">
      <c r="A11" s="39">
        <v>43468.0</v>
      </c>
      <c r="B11" s="52" t="s">
        <v>159</v>
      </c>
      <c r="C11" s="81" t="s">
        <v>161</v>
      </c>
      <c r="D11" s="56" t="s">
        <v>166</v>
      </c>
      <c r="E11" s="41" t="s">
        <v>26</v>
      </c>
      <c r="F11" s="52" t="s">
        <v>167</v>
      </c>
      <c r="G11" s="44"/>
      <c r="H11" s="36" t="s">
        <v>80</v>
      </c>
      <c r="J11" s="37" t="s">
        <v>54</v>
      </c>
    </row>
    <row r="12">
      <c r="A12" s="29">
        <v>43471.0</v>
      </c>
      <c r="B12" s="58" t="s">
        <v>169</v>
      </c>
      <c r="C12" s="59" t="s">
        <v>170</v>
      </c>
      <c r="D12" s="61" t="s">
        <v>171</v>
      </c>
      <c r="E12" s="33" t="s">
        <v>26</v>
      </c>
      <c r="F12" s="58" t="s">
        <v>174</v>
      </c>
      <c r="G12" s="34"/>
      <c r="H12" s="36" t="s">
        <v>178</v>
      </c>
      <c r="J12" s="37" t="s">
        <v>54</v>
      </c>
    </row>
    <row r="13">
      <c r="A13" s="39">
        <v>43471.0</v>
      </c>
      <c r="B13" s="52" t="s">
        <v>20</v>
      </c>
      <c r="C13" s="70" t="s">
        <v>184</v>
      </c>
      <c r="D13" s="56" t="s">
        <v>186</v>
      </c>
      <c r="E13" s="52" t="s">
        <v>50</v>
      </c>
      <c r="F13" s="52" t="s">
        <v>187</v>
      </c>
      <c r="G13" s="52" t="s">
        <v>189</v>
      </c>
      <c r="H13" s="36" t="s">
        <v>192</v>
      </c>
      <c r="J13" s="37" t="s">
        <v>32</v>
      </c>
    </row>
    <row r="14">
      <c r="A14" s="29">
        <v>43471.0</v>
      </c>
      <c r="B14" s="58" t="s">
        <v>199</v>
      </c>
      <c r="C14" s="78" t="s">
        <v>204</v>
      </c>
      <c r="D14" s="61" t="s">
        <v>208</v>
      </c>
      <c r="E14" s="33" t="s">
        <v>26</v>
      </c>
      <c r="F14" s="58" t="s">
        <v>213</v>
      </c>
      <c r="G14" s="34"/>
      <c r="H14" s="36" t="s">
        <v>215</v>
      </c>
      <c r="J14" s="37" t="s">
        <v>97</v>
      </c>
    </row>
    <row r="15">
      <c r="A15" s="39">
        <v>43471.0</v>
      </c>
      <c r="B15" s="85" t="s">
        <v>218</v>
      </c>
      <c r="C15" s="43" t="s">
        <v>222</v>
      </c>
      <c r="D15" s="56" t="s">
        <v>225</v>
      </c>
      <c r="E15" s="52" t="s">
        <v>227</v>
      </c>
      <c r="F15" s="52" t="s">
        <v>229</v>
      </c>
      <c r="G15" s="44"/>
      <c r="J15" s="36" t="s">
        <v>231</v>
      </c>
    </row>
    <row r="16">
      <c r="A16" s="29">
        <v>43471.0</v>
      </c>
      <c r="B16" s="58" t="s">
        <v>20</v>
      </c>
      <c r="C16" s="78" t="s">
        <v>233</v>
      </c>
      <c r="D16" s="61" t="s">
        <v>236</v>
      </c>
      <c r="E16" s="58" t="s">
        <v>50</v>
      </c>
      <c r="F16" s="58" t="s">
        <v>238</v>
      </c>
      <c r="G16" s="58" t="s">
        <v>240</v>
      </c>
      <c r="H16" s="36" t="s">
        <v>241</v>
      </c>
      <c r="J16" s="88" t="s">
        <v>97</v>
      </c>
    </row>
    <row r="17">
      <c r="A17" s="39">
        <v>43471.0</v>
      </c>
      <c r="B17" s="52" t="s">
        <v>245</v>
      </c>
      <c r="C17" s="54" t="s">
        <v>246</v>
      </c>
      <c r="D17" s="56" t="s">
        <v>247</v>
      </c>
      <c r="E17" s="41" t="s">
        <v>26</v>
      </c>
      <c r="F17" s="52" t="s">
        <v>249</v>
      </c>
      <c r="G17" s="44"/>
      <c r="H17" s="36" t="s">
        <v>251</v>
      </c>
      <c r="J17" s="37" t="s">
        <v>32</v>
      </c>
    </row>
    <row r="18">
      <c r="A18" s="29">
        <v>43471.0</v>
      </c>
      <c r="B18" s="58" t="s">
        <v>20</v>
      </c>
      <c r="C18" s="78" t="s">
        <v>253</v>
      </c>
      <c r="D18" s="61" t="s">
        <v>255</v>
      </c>
      <c r="E18" s="58" t="s">
        <v>50</v>
      </c>
      <c r="F18" s="58" t="s">
        <v>260</v>
      </c>
      <c r="G18" s="34"/>
      <c r="H18" s="36" t="s">
        <v>264</v>
      </c>
      <c r="J18" s="37" t="s">
        <v>265</v>
      </c>
    </row>
    <row r="19">
      <c r="A19" s="39">
        <v>43471.0</v>
      </c>
      <c r="B19" s="52" t="s">
        <v>268</v>
      </c>
      <c r="C19" s="70" t="s">
        <v>270</v>
      </c>
      <c r="D19" s="56" t="s">
        <v>271</v>
      </c>
      <c r="E19" s="41" t="s">
        <v>26</v>
      </c>
      <c r="F19" s="52" t="s">
        <v>275</v>
      </c>
      <c r="G19" s="44"/>
      <c r="H19" s="36" t="s">
        <v>277</v>
      </c>
      <c r="J19" s="90" t="s">
        <v>278</v>
      </c>
    </row>
    <row r="20">
      <c r="A20" s="29">
        <v>43471.0</v>
      </c>
      <c r="B20" s="33" t="s">
        <v>283</v>
      </c>
      <c r="C20" s="59" t="s">
        <v>284</v>
      </c>
      <c r="D20" s="61" t="s">
        <v>286</v>
      </c>
      <c r="E20" s="33" t="s">
        <v>26</v>
      </c>
      <c r="F20" s="58" t="s">
        <v>289</v>
      </c>
      <c r="G20" s="34"/>
      <c r="H20" s="36" t="s">
        <v>80</v>
      </c>
      <c r="J20" s="37" t="s">
        <v>54</v>
      </c>
    </row>
    <row r="21">
      <c r="A21" s="39">
        <v>43471.0</v>
      </c>
      <c r="B21" s="41" t="s">
        <v>294</v>
      </c>
      <c r="C21" s="54" t="s">
        <v>296</v>
      </c>
      <c r="D21" s="56" t="s">
        <v>171</v>
      </c>
      <c r="E21" s="41" t="s">
        <v>26</v>
      </c>
      <c r="F21" s="52" t="s">
        <v>298</v>
      </c>
      <c r="G21" s="44"/>
      <c r="H21" s="36" t="s">
        <v>300</v>
      </c>
      <c r="J21" s="37" t="s">
        <v>32</v>
      </c>
    </row>
    <row r="22">
      <c r="A22" s="29">
        <v>43471.0</v>
      </c>
      <c r="B22" s="58" t="s">
        <v>306</v>
      </c>
      <c r="C22" s="59" t="s">
        <v>307</v>
      </c>
      <c r="D22" s="61" t="s">
        <v>310</v>
      </c>
      <c r="E22" s="33" t="s">
        <v>26</v>
      </c>
      <c r="F22" s="58" t="s">
        <v>319</v>
      </c>
      <c r="G22" s="58" t="s">
        <v>322</v>
      </c>
      <c r="H22" s="36" t="s">
        <v>323</v>
      </c>
      <c r="J22" s="37" t="s">
        <v>54</v>
      </c>
    </row>
    <row r="23">
      <c r="A23" s="39">
        <v>43471.0</v>
      </c>
      <c r="B23" s="52" t="s">
        <v>326</v>
      </c>
      <c r="C23" s="54" t="s">
        <v>329</v>
      </c>
      <c r="D23" s="56" t="s">
        <v>331</v>
      </c>
      <c r="E23" s="52" t="s">
        <v>50</v>
      </c>
      <c r="F23" s="52" t="s">
        <v>333</v>
      </c>
      <c r="G23" s="44"/>
      <c r="J23" s="37" t="s">
        <v>54</v>
      </c>
    </row>
    <row r="24">
      <c r="A24" s="29">
        <v>43471.0</v>
      </c>
      <c r="B24" s="33" t="s">
        <v>338</v>
      </c>
      <c r="C24" s="76" t="s">
        <v>339</v>
      </c>
      <c r="D24" s="61" t="s">
        <v>340</v>
      </c>
      <c r="E24" s="58" t="s">
        <v>342</v>
      </c>
      <c r="F24" s="58" t="s">
        <v>344</v>
      </c>
      <c r="G24" s="34"/>
      <c r="H24" s="36" t="s">
        <v>347</v>
      </c>
      <c r="J24" s="88" t="s">
        <v>97</v>
      </c>
    </row>
    <row r="25">
      <c r="A25" s="39">
        <v>43471.0</v>
      </c>
      <c r="B25" s="52" t="s">
        <v>349</v>
      </c>
      <c r="C25" s="70" t="s">
        <v>352</v>
      </c>
      <c r="D25" s="56" t="s">
        <v>354</v>
      </c>
      <c r="E25" s="52" t="s">
        <v>115</v>
      </c>
      <c r="F25" s="52" t="s">
        <v>358</v>
      </c>
      <c r="G25" s="44"/>
      <c r="H25" s="36" t="s">
        <v>104</v>
      </c>
      <c r="J25" s="37" t="s">
        <v>45</v>
      </c>
    </row>
    <row r="26">
      <c r="A26" s="29">
        <v>43471.0</v>
      </c>
      <c r="B26" s="58" t="s">
        <v>363</v>
      </c>
      <c r="C26" s="78" t="s">
        <v>367</v>
      </c>
      <c r="D26" s="61" t="s">
        <v>370</v>
      </c>
      <c r="E26" s="33" t="s">
        <v>26</v>
      </c>
      <c r="F26" s="58" t="s">
        <v>371</v>
      </c>
      <c r="G26" s="34"/>
      <c r="H26" s="36" t="s">
        <v>372</v>
      </c>
      <c r="J26" s="88" t="s">
        <v>373</v>
      </c>
    </row>
    <row r="27">
      <c r="A27" s="39">
        <v>43471.0</v>
      </c>
      <c r="B27" s="85" t="s">
        <v>374</v>
      </c>
      <c r="C27" s="81" t="s">
        <v>375</v>
      </c>
      <c r="D27" s="56" t="s">
        <v>376</v>
      </c>
      <c r="E27" s="52" t="s">
        <v>227</v>
      </c>
      <c r="F27" s="52" t="s">
        <v>380</v>
      </c>
      <c r="G27" s="44"/>
      <c r="H27" s="36" t="s">
        <v>104</v>
      </c>
      <c r="J27" s="37" t="s">
        <v>45</v>
      </c>
    </row>
    <row r="28">
      <c r="A28" s="29">
        <v>43471.0</v>
      </c>
      <c r="B28" s="58" t="s">
        <v>385</v>
      </c>
      <c r="C28" s="78" t="s">
        <v>386</v>
      </c>
      <c r="D28" s="61" t="s">
        <v>388</v>
      </c>
      <c r="E28" s="33" t="s">
        <v>26</v>
      </c>
      <c r="F28" s="58" t="s">
        <v>392</v>
      </c>
      <c r="G28" s="34"/>
      <c r="H28" s="36" t="s">
        <v>104</v>
      </c>
      <c r="J28" s="37" t="s">
        <v>54</v>
      </c>
    </row>
    <row r="29">
      <c r="A29" s="39">
        <v>43471.0</v>
      </c>
      <c r="B29" s="52" t="s">
        <v>400</v>
      </c>
      <c r="C29" s="70" t="s">
        <v>404</v>
      </c>
      <c r="D29" s="56" t="s">
        <v>405</v>
      </c>
      <c r="E29" s="52" t="s">
        <v>407</v>
      </c>
      <c r="F29" s="97"/>
      <c r="G29" s="44"/>
      <c r="J29" s="36" t="s">
        <v>409</v>
      </c>
    </row>
    <row r="30">
      <c r="A30" s="99"/>
      <c r="B30" s="58" t="s">
        <v>412</v>
      </c>
      <c r="C30" s="59" t="s">
        <v>413</v>
      </c>
      <c r="D30" s="61" t="s">
        <v>414</v>
      </c>
      <c r="E30" s="58" t="s">
        <v>50</v>
      </c>
      <c r="F30" s="58" t="s">
        <v>416</v>
      </c>
      <c r="G30" s="58" t="s">
        <v>418</v>
      </c>
      <c r="H30" s="36" t="s">
        <v>421</v>
      </c>
      <c r="J30" s="36" t="s">
        <v>422</v>
      </c>
    </row>
    <row r="31">
      <c r="A31" s="39">
        <v>43473.0</v>
      </c>
      <c r="B31" s="41" t="s">
        <v>426</v>
      </c>
      <c r="C31" s="81" t="s">
        <v>428</v>
      </c>
      <c r="D31" s="56" t="s">
        <v>429</v>
      </c>
      <c r="E31" s="52" t="s">
        <v>431</v>
      </c>
      <c r="F31" s="52" t="s">
        <v>432</v>
      </c>
      <c r="G31" s="52" t="s">
        <v>435</v>
      </c>
      <c r="H31" s="36" t="s">
        <v>436</v>
      </c>
      <c r="I31" s="110" t="s">
        <v>438</v>
      </c>
      <c r="J31" s="36" t="s">
        <v>467</v>
      </c>
    </row>
    <row r="32">
      <c r="A32" s="29">
        <v>43474.0</v>
      </c>
      <c r="B32" s="63" t="s">
        <v>468</v>
      </c>
      <c r="C32" s="59" t="s">
        <v>470</v>
      </c>
      <c r="D32" s="61" t="s">
        <v>473</v>
      </c>
      <c r="E32" s="33" t="s">
        <v>26</v>
      </c>
      <c r="F32" s="63" t="s">
        <v>479</v>
      </c>
      <c r="G32" s="34"/>
      <c r="J32" s="37" t="s">
        <v>54</v>
      </c>
    </row>
    <row r="33">
      <c r="A33" s="39">
        <v>6983082.0</v>
      </c>
      <c r="B33" s="66" t="s">
        <v>486</v>
      </c>
      <c r="C33" s="81" t="s">
        <v>488</v>
      </c>
      <c r="D33" s="112" t="s">
        <v>491</v>
      </c>
      <c r="E33" s="52" t="s">
        <v>342</v>
      </c>
      <c r="F33" s="66" t="s">
        <v>500</v>
      </c>
      <c r="G33" s="66" t="s">
        <v>506</v>
      </c>
      <c r="H33" s="36" t="s">
        <v>508</v>
      </c>
      <c r="J33" s="37" t="s">
        <v>265</v>
      </c>
    </row>
    <row r="34">
      <c r="A34" s="29">
        <v>6983082.0</v>
      </c>
      <c r="B34" s="63" t="s">
        <v>515</v>
      </c>
      <c r="C34" s="72" t="s">
        <v>518</v>
      </c>
      <c r="D34" s="114" t="s">
        <v>519</v>
      </c>
      <c r="E34" s="58" t="s">
        <v>342</v>
      </c>
      <c r="F34" s="63" t="s">
        <v>525</v>
      </c>
      <c r="G34" s="58" t="s">
        <v>526</v>
      </c>
      <c r="H34" s="36" t="s">
        <v>528</v>
      </c>
      <c r="J34" s="37" t="s">
        <v>54</v>
      </c>
    </row>
    <row r="35">
      <c r="A35" s="39">
        <v>6983082.0</v>
      </c>
      <c r="B35" s="41" t="s">
        <v>534</v>
      </c>
      <c r="C35" s="120">
        <f>9710528059380</f>
        <v>9710528059380</v>
      </c>
      <c r="D35" s="112" t="s">
        <v>555</v>
      </c>
      <c r="E35" s="66" t="s">
        <v>26</v>
      </c>
      <c r="F35" s="66" t="s">
        <v>558</v>
      </c>
      <c r="G35" s="44"/>
      <c r="H35" s="36" t="s">
        <v>560</v>
      </c>
      <c r="J35" s="37" t="s">
        <v>54</v>
      </c>
    </row>
    <row r="36">
      <c r="A36" s="29">
        <v>43475.0</v>
      </c>
      <c r="B36" s="63" t="s">
        <v>567</v>
      </c>
      <c r="C36" s="76" t="s">
        <v>568</v>
      </c>
      <c r="D36" s="114" t="s">
        <v>571</v>
      </c>
      <c r="E36" s="63" t="s">
        <v>115</v>
      </c>
      <c r="F36" s="63" t="s">
        <v>577</v>
      </c>
      <c r="G36" s="34"/>
      <c r="H36" s="36" t="s">
        <v>436</v>
      </c>
      <c r="J36" s="37" t="s">
        <v>32</v>
      </c>
    </row>
    <row r="37">
      <c r="A37" s="39">
        <v>43475.0</v>
      </c>
      <c r="B37" s="85" t="s">
        <v>590</v>
      </c>
      <c r="C37" s="122" t="s">
        <v>592</v>
      </c>
      <c r="D37" s="56" t="s">
        <v>601</v>
      </c>
      <c r="E37" s="66" t="s">
        <v>227</v>
      </c>
      <c r="F37" s="52" t="s">
        <v>98</v>
      </c>
      <c r="G37" s="44"/>
      <c r="J37" s="37" t="s">
        <v>617</v>
      </c>
    </row>
    <row r="38">
      <c r="A38" s="29">
        <v>43477.0</v>
      </c>
      <c r="B38" s="63" t="s">
        <v>620</v>
      </c>
      <c r="C38" s="78" t="s">
        <v>627</v>
      </c>
      <c r="D38" s="114" t="s">
        <v>629</v>
      </c>
      <c r="E38" s="33" t="s">
        <v>26</v>
      </c>
      <c r="F38" s="63" t="s">
        <v>638</v>
      </c>
      <c r="G38" s="34"/>
      <c r="J38" s="37" t="s">
        <v>32</v>
      </c>
    </row>
    <row r="39">
      <c r="A39" s="39">
        <v>43477.0</v>
      </c>
      <c r="B39" s="66" t="s">
        <v>646</v>
      </c>
      <c r="C39" s="81" t="s">
        <v>651</v>
      </c>
      <c r="D39" s="112" t="s">
        <v>652</v>
      </c>
      <c r="E39" s="41" t="s">
        <v>26</v>
      </c>
      <c r="F39" s="66" t="s">
        <v>656</v>
      </c>
      <c r="G39" s="44"/>
      <c r="H39" s="36" t="s">
        <v>507</v>
      </c>
      <c r="J39" s="37" t="s">
        <v>54</v>
      </c>
    </row>
    <row r="40">
      <c r="A40" s="29">
        <v>43477.0</v>
      </c>
      <c r="B40" s="63" t="s">
        <v>33</v>
      </c>
      <c r="C40" s="78" t="s">
        <v>669</v>
      </c>
      <c r="D40" s="114" t="s">
        <v>39</v>
      </c>
      <c r="E40" s="33" t="s">
        <v>26</v>
      </c>
      <c r="F40" s="63" t="s">
        <v>337</v>
      </c>
      <c r="G40" s="34"/>
      <c r="H40" s="36" t="s">
        <v>46</v>
      </c>
      <c r="J40" s="37" t="s">
        <v>32</v>
      </c>
    </row>
    <row r="41">
      <c r="A41" s="39">
        <v>43477.0</v>
      </c>
      <c r="B41" s="41" t="s">
        <v>687</v>
      </c>
      <c r="C41" s="54" t="s">
        <v>692</v>
      </c>
      <c r="D41" s="112" t="s">
        <v>695</v>
      </c>
      <c r="E41" s="41" t="s">
        <v>26</v>
      </c>
      <c r="F41" s="66" t="s">
        <v>700</v>
      </c>
      <c r="G41" s="44"/>
      <c r="J41" s="37" t="s">
        <v>32</v>
      </c>
    </row>
    <row r="42">
      <c r="A42" s="29">
        <v>43477.0</v>
      </c>
      <c r="B42" s="58" t="s">
        <v>721</v>
      </c>
      <c r="C42" s="128">
        <f>+971503448761</f>
        <v>971503448761</v>
      </c>
      <c r="D42" s="61" t="s">
        <v>757</v>
      </c>
      <c r="E42" s="63" t="s">
        <v>763</v>
      </c>
      <c r="F42" s="63" t="s">
        <v>766</v>
      </c>
      <c r="G42" s="34"/>
      <c r="H42" s="36" t="s">
        <v>771</v>
      </c>
      <c r="J42" s="37" t="s">
        <v>373</v>
      </c>
    </row>
    <row r="43">
      <c r="A43" s="39">
        <v>43477.0</v>
      </c>
      <c r="B43" s="52" t="s">
        <v>776</v>
      </c>
      <c r="C43" s="54" t="s">
        <v>778</v>
      </c>
      <c r="D43" s="56" t="s">
        <v>779</v>
      </c>
      <c r="E43" s="41" t="s">
        <v>26</v>
      </c>
      <c r="F43" s="52" t="s">
        <v>781</v>
      </c>
      <c r="G43" s="44"/>
      <c r="H43" s="36" t="s">
        <v>786</v>
      </c>
      <c r="J43" s="37" t="s">
        <v>32</v>
      </c>
    </row>
    <row r="44">
      <c r="A44" s="29">
        <v>43477.0</v>
      </c>
      <c r="B44" s="63" t="s">
        <v>515</v>
      </c>
      <c r="C44" s="72" t="s">
        <v>796</v>
      </c>
      <c r="D44" s="114" t="s">
        <v>798</v>
      </c>
      <c r="E44" s="58" t="s">
        <v>342</v>
      </c>
      <c r="F44" s="63" t="s">
        <v>805</v>
      </c>
      <c r="G44" s="34"/>
      <c r="J44" s="37" t="s">
        <v>32</v>
      </c>
    </row>
    <row r="45">
      <c r="A45" s="39">
        <v>43477.0</v>
      </c>
      <c r="B45" s="41" t="s">
        <v>815</v>
      </c>
      <c r="C45" s="43" t="s">
        <v>821</v>
      </c>
      <c r="D45" s="41" t="s">
        <v>822</v>
      </c>
      <c r="F45" s="52"/>
      <c r="G45" s="41" t="s">
        <v>229</v>
      </c>
      <c r="J45" s="37" t="s">
        <v>492</v>
      </c>
    </row>
    <row r="46">
      <c r="A46" s="29">
        <v>43477.0</v>
      </c>
      <c r="B46" s="137" t="s">
        <v>590</v>
      </c>
      <c r="C46" s="48" t="s">
        <v>833</v>
      </c>
      <c r="D46" s="33" t="s">
        <v>601</v>
      </c>
      <c r="G46" s="63" t="s">
        <v>98</v>
      </c>
      <c r="J46" s="37" t="s">
        <v>617</v>
      </c>
    </row>
    <row r="47">
      <c r="A47" s="39">
        <v>43477.0</v>
      </c>
      <c r="B47" s="66" t="s">
        <v>20</v>
      </c>
      <c r="C47" s="54" t="s">
        <v>838</v>
      </c>
      <c r="D47" s="56" t="s">
        <v>839</v>
      </c>
      <c r="E47" s="52" t="s">
        <v>50</v>
      </c>
      <c r="F47" s="66" t="s">
        <v>840</v>
      </c>
      <c r="H47" s="36" t="s">
        <v>297</v>
      </c>
      <c r="J47" s="36" t="s">
        <v>158</v>
      </c>
    </row>
    <row r="48">
      <c r="A48" s="29">
        <v>43478.0</v>
      </c>
      <c r="B48" s="58" t="s">
        <v>841</v>
      </c>
      <c r="C48" s="140" t="s">
        <v>843</v>
      </c>
      <c r="D48" s="61" t="s">
        <v>847</v>
      </c>
      <c r="E48" s="63" t="s">
        <v>763</v>
      </c>
      <c r="F48" s="63" t="s">
        <v>850</v>
      </c>
      <c r="H48" s="36" t="s">
        <v>697</v>
      </c>
      <c r="J48" s="37" t="s">
        <v>32</v>
      </c>
    </row>
    <row r="49">
      <c r="A49" s="39">
        <v>43478.0</v>
      </c>
      <c r="B49" s="66" t="s">
        <v>20</v>
      </c>
      <c r="C49" s="70" t="s">
        <v>852</v>
      </c>
      <c r="D49" s="56" t="s">
        <v>854</v>
      </c>
      <c r="E49" s="52" t="s">
        <v>50</v>
      </c>
      <c r="F49" s="66" t="s">
        <v>857</v>
      </c>
      <c r="G49" s="52" t="s">
        <v>859</v>
      </c>
      <c r="H49" s="36" t="s">
        <v>861</v>
      </c>
      <c r="J49" s="37" t="s">
        <v>265</v>
      </c>
    </row>
    <row r="50">
      <c r="A50" s="29">
        <v>43478.0</v>
      </c>
      <c r="B50" s="63" t="s">
        <v>864</v>
      </c>
      <c r="C50" s="59" t="s">
        <v>866</v>
      </c>
      <c r="D50" s="142" t="s">
        <v>868</v>
      </c>
      <c r="E50" s="58" t="s">
        <v>50</v>
      </c>
      <c r="F50" s="63" t="s">
        <v>870</v>
      </c>
      <c r="G50" s="58" t="s">
        <v>189</v>
      </c>
      <c r="J50" s="36" t="s">
        <v>872</v>
      </c>
    </row>
    <row r="51">
      <c r="A51" s="39">
        <v>43478.0</v>
      </c>
      <c r="B51" s="66" t="s">
        <v>874</v>
      </c>
      <c r="C51" s="81" t="s">
        <v>876</v>
      </c>
      <c r="D51" s="112" t="s">
        <v>878</v>
      </c>
      <c r="E51" s="66" t="s">
        <v>476</v>
      </c>
      <c r="F51" s="66" t="s">
        <v>880</v>
      </c>
      <c r="G51" s="97"/>
      <c r="H51" s="36" t="s">
        <v>697</v>
      </c>
      <c r="J51" s="37" t="s">
        <v>32</v>
      </c>
    </row>
    <row r="52">
      <c r="A52" s="29">
        <v>43478.0</v>
      </c>
      <c r="B52" s="63" t="s">
        <v>881</v>
      </c>
      <c r="C52" s="143" t="s">
        <v>882</v>
      </c>
      <c r="D52" s="114" t="s">
        <v>883</v>
      </c>
      <c r="E52" s="63" t="s">
        <v>26</v>
      </c>
      <c r="F52" s="63" t="s">
        <v>781</v>
      </c>
      <c r="G52" s="144"/>
      <c r="J52" s="37" t="s">
        <v>32</v>
      </c>
    </row>
    <row r="53">
      <c r="A53" s="39">
        <v>43480.0</v>
      </c>
      <c r="B53" s="66" t="s">
        <v>889</v>
      </c>
      <c r="C53" s="81" t="s">
        <v>891</v>
      </c>
      <c r="D53" s="112" t="s">
        <v>893</v>
      </c>
      <c r="E53" s="52" t="s">
        <v>50</v>
      </c>
      <c r="F53" s="66" t="s">
        <v>896</v>
      </c>
      <c r="G53" s="97"/>
      <c r="H53" s="36" t="s">
        <v>898</v>
      </c>
      <c r="J53" s="37" t="s">
        <v>265</v>
      </c>
    </row>
    <row r="54">
      <c r="A54" s="29">
        <v>43480.0</v>
      </c>
      <c r="B54" s="63" t="s">
        <v>901</v>
      </c>
      <c r="C54" s="59" t="s">
        <v>902</v>
      </c>
      <c r="D54" s="114" t="s">
        <v>904</v>
      </c>
      <c r="E54" s="63" t="s">
        <v>26</v>
      </c>
      <c r="F54" s="63" t="s">
        <v>905</v>
      </c>
      <c r="G54" s="144"/>
      <c r="H54" s="36" t="s">
        <v>786</v>
      </c>
      <c r="J54" s="37" t="s">
        <v>492</v>
      </c>
    </row>
    <row r="55">
      <c r="A55" s="39">
        <v>43480.0</v>
      </c>
      <c r="B55" s="66" t="s">
        <v>910</v>
      </c>
      <c r="C55" s="70" t="s">
        <v>911</v>
      </c>
      <c r="D55" s="112" t="s">
        <v>913</v>
      </c>
      <c r="E55" s="66" t="s">
        <v>476</v>
      </c>
      <c r="F55" s="52" t="s">
        <v>916</v>
      </c>
      <c r="G55" s="97"/>
      <c r="H55" s="36" t="s">
        <v>323</v>
      </c>
      <c r="J55" s="37" t="s">
        <v>54</v>
      </c>
    </row>
    <row r="56">
      <c r="A56" s="29">
        <v>43480.0</v>
      </c>
      <c r="B56" s="58" t="s">
        <v>918</v>
      </c>
      <c r="C56" s="78" t="s">
        <v>920</v>
      </c>
      <c r="D56" s="61" t="s">
        <v>923</v>
      </c>
      <c r="E56" s="58" t="s">
        <v>50</v>
      </c>
      <c r="F56" s="58" t="s">
        <v>925</v>
      </c>
      <c r="G56" s="58" t="s">
        <v>927</v>
      </c>
      <c r="H56" s="147" t="s">
        <v>928</v>
      </c>
      <c r="J56" s="36" t="s">
        <v>929</v>
      </c>
    </row>
    <row r="57">
      <c r="A57" s="39">
        <v>43480.0</v>
      </c>
      <c r="B57" s="66" t="s">
        <v>930</v>
      </c>
      <c r="C57" s="81" t="s">
        <v>931</v>
      </c>
      <c r="D57" s="56" t="s">
        <v>932</v>
      </c>
      <c r="E57" s="66" t="s">
        <v>26</v>
      </c>
      <c r="F57" s="66" t="s">
        <v>933</v>
      </c>
      <c r="G57" s="97"/>
      <c r="J57" s="37" t="s">
        <v>32</v>
      </c>
    </row>
    <row r="58">
      <c r="A58" s="29">
        <v>43480.0</v>
      </c>
      <c r="B58" s="58" t="s">
        <v>20</v>
      </c>
      <c r="C58" s="59" t="s">
        <v>939</v>
      </c>
      <c r="D58" s="61" t="s">
        <v>940</v>
      </c>
      <c r="E58" s="63" t="s">
        <v>50</v>
      </c>
      <c r="F58" s="63" t="s">
        <v>943</v>
      </c>
      <c r="G58" s="144"/>
      <c r="H58" s="36" t="s">
        <v>192</v>
      </c>
      <c r="J58" s="37" t="s">
        <v>32</v>
      </c>
    </row>
    <row r="59">
      <c r="A59" s="39">
        <v>43480.0</v>
      </c>
      <c r="B59" s="66" t="s">
        <v>947</v>
      </c>
      <c r="C59" s="81" t="s">
        <v>949</v>
      </c>
      <c r="D59" s="112" t="s">
        <v>951</v>
      </c>
      <c r="E59" s="66" t="s">
        <v>26</v>
      </c>
      <c r="F59" s="66" t="s">
        <v>954</v>
      </c>
      <c r="G59" s="97"/>
      <c r="H59" s="36" t="s">
        <v>300</v>
      </c>
      <c r="J59" s="37" t="s">
        <v>32</v>
      </c>
    </row>
    <row r="60">
      <c r="A60" s="29">
        <v>43482.0</v>
      </c>
      <c r="B60" s="63" t="s">
        <v>20</v>
      </c>
      <c r="C60" s="78" t="s">
        <v>961</v>
      </c>
      <c r="D60" s="114" t="s">
        <v>964</v>
      </c>
      <c r="E60" s="63" t="s">
        <v>50</v>
      </c>
      <c r="F60" s="63" t="s">
        <v>966</v>
      </c>
      <c r="J60" s="37" t="s">
        <v>97</v>
      </c>
    </row>
    <row r="61">
      <c r="A61" s="39">
        <v>43482.0</v>
      </c>
      <c r="B61" s="66" t="s">
        <v>969</v>
      </c>
      <c r="C61" s="81" t="s">
        <v>971</v>
      </c>
      <c r="D61" s="112" t="s">
        <v>972</v>
      </c>
      <c r="E61" s="66" t="s">
        <v>50</v>
      </c>
      <c r="F61" s="52" t="s">
        <v>974</v>
      </c>
      <c r="G61" s="97"/>
      <c r="J61" s="37" t="s">
        <v>32</v>
      </c>
    </row>
    <row r="62">
      <c r="A62" s="29">
        <v>43482.0</v>
      </c>
      <c r="B62" s="63" t="s">
        <v>977</v>
      </c>
      <c r="C62" s="72" t="s">
        <v>979</v>
      </c>
      <c r="D62" s="114" t="s">
        <v>980</v>
      </c>
      <c r="E62" s="63" t="s">
        <v>26</v>
      </c>
      <c r="F62" s="144"/>
      <c r="G62" s="144"/>
      <c r="J62" s="37" t="s">
        <v>32</v>
      </c>
    </row>
    <row r="63">
      <c r="A63" s="39">
        <v>43485.0</v>
      </c>
      <c r="B63" s="66" t="s">
        <v>988</v>
      </c>
      <c r="C63" s="81" t="s">
        <v>990</v>
      </c>
      <c r="D63" s="56" t="s">
        <v>992</v>
      </c>
      <c r="E63" s="66" t="s">
        <v>996</v>
      </c>
      <c r="F63" s="66" t="s">
        <v>999</v>
      </c>
      <c r="G63" s="97"/>
      <c r="J63" s="37" t="s">
        <v>203</v>
      </c>
    </row>
    <row r="64">
      <c r="A64" s="29">
        <v>43485.0</v>
      </c>
      <c r="B64" s="58" t="s">
        <v>1003</v>
      </c>
      <c r="C64" s="143">
        <v>9.71503657415E11</v>
      </c>
      <c r="D64" s="61" t="s">
        <v>1006</v>
      </c>
      <c r="E64" s="58" t="s">
        <v>26</v>
      </c>
      <c r="F64" s="63" t="s">
        <v>1008</v>
      </c>
      <c r="G64" s="144"/>
      <c r="J64" s="37" t="s">
        <v>32</v>
      </c>
    </row>
    <row r="65">
      <c r="A65" s="39">
        <v>43485.0</v>
      </c>
      <c r="B65" s="52" t="s">
        <v>1010</v>
      </c>
      <c r="C65" s="43" t="s">
        <v>1011</v>
      </c>
      <c r="D65" s="56" t="s">
        <v>1015</v>
      </c>
      <c r="E65" s="52" t="s">
        <v>26</v>
      </c>
      <c r="F65" s="52" t="s">
        <v>1018</v>
      </c>
      <c r="H65" s="36" t="s">
        <v>420</v>
      </c>
      <c r="J65" s="37" t="s">
        <v>492</v>
      </c>
    </row>
    <row r="66">
      <c r="A66" s="29">
        <v>43485.0</v>
      </c>
      <c r="B66" s="58" t="s">
        <v>1022</v>
      </c>
      <c r="C66" s="149">
        <v>9.71501484193E11</v>
      </c>
      <c r="D66" s="61" t="s">
        <v>1025</v>
      </c>
      <c r="E66" s="63" t="s">
        <v>50</v>
      </c>
      <c r="F66" s="58" t="s">
        <v>1027</v>
      </c>
      <c r="J66" s="37" t="s">
        <v>54</v>
      </c>
    </row>
    <row r="67">
      <c r="A67" s="39">
        <v>43485.0</v>
      </c>
      <c r="B67" s="66" t="s">
        <v>1029</v>
      </c>
      <c r="C67" s="43" t="s">
        <v>1030</v>
      </c>
      <c r="D67" s="112" t="s">
        <v>1032</v>
      </c>
      <c r="E67" s="52" t="s">
        <v>26</v>
      </c>
      <c r="F67" s="66" t="s">
        <v>1033</v>
      </c>
      <c r="H67" s="36" t="s">
        <v>871</v>
      </c>
      <c r="J67" s="37" t="s">
        <v>265</v>
      </c>
    </row>
    <row r="68">
      <c r="A68" s="29">
        <v>43485.0</v>
      </c>
      <c r="B68" s="63" t="s">
        <v>1038</v>
      </c>
      <c r="C68" s="140" t="s">
        <v>1040</v>
      </c>
      <c r="D68" s="114" t="s">
        <v>1041</v>
      </c>
      <c r="E68" s="63" t="s">
        <v>50</v>
      </c>
      <c r="F68" s="58" t="s">
        <v>1042</v>
      </c>
      <c r="G68" s="58" t="s">
        <v>1043</v>
      </c>
      <c r="J68" s="37" t="s">
        <v>265</v>
      </c>
    </row>
    <row r="69">
      <c r="A69" s="39">
        <v>43485.0</v>
      </c>
      <c r="B69" s="66" t="s">
        <v>1045</v>
      </c>
      <c r="C69" s="43" t="s">
        <v>1047</v>
      </c>
      <c r="D69" s="112" t="s">
        <v>1050</v>
      </c>
      <c r="E69" s="66" t="s">
        <v>50</v>
      </c>
      <c r="F69" s="66" t="s">
        <v>1053</v>
      </c>
      <c r="G69" s="52"/>
      <c r="H69" s="36" t="s">
        <v>666</v>
      </c>
      <c r="J69" s="37" t="s">
        <v>32</v>
      </c>
    </row>
    <row r="70">
      <c r="A70" s="29">
        <v>43485.0</v>
      </c>
      <c r="B70" s="63" t="s">
        <v>1055</v>
      </c>
      <c r="C70" s="48" t="s">
        <v>1056</v>
      </c>
      <c r="D70" s="114" t="s">
        <v>1057</v>
      </c>
      <c r="E70" s="58" t="s">
        <v>26</v>
      </c>
      <c r="F70" s="63" t="s">
        <v>1060</v>
      </c>
      <c r="G70" s="58" t="s">
        <v>1062</v>
      </c>
      <c r="H70" s="36" t="s">
        <v>1064</v>
      </c>
      <c r="J70" s="37" t="s">
        <v>32</v>
      </c>
    </row>
    <row r="71">
      <c r="A71" s="39">
        <v>43485.0</v>
      </c>
      <c r="B71" s="66" t="s">
        <v>1065</v>
      </c>
      <c r="C71" s="43" t="s">
        <v>1067</v>
      </c>
      <c r="D71" s="112" t="s">
        <v>1068</v>
      </c>
      <c r="E71" s="66" t="s">
        <v>1070</v>
      </c>
      <c r="F71" s="52" t="s">
        <v>1072</v>
      </c>
      <c r="G71" s="157"/>
      <c r="H71" s="36" t="s">
        <v>1076</v>
      </c>
      <c r="J71" s="36" t="s">
        <v>1078</v>
      </c>
    </row>
    <row r="72">
      <c r="A72" s="29">
        <v>43485.0</v>
      </c>
      <c r="B72" s="58" t="s">
        <v>1079</v>
      </c>
      <c r="C72" s="59" t="s">
        <v>1080</v>
      </c>
      <c r="D72" s="61" t="s">
        <v>1081</v>
      </c>
      <c r="E72" s="63" t="s">
        <v>50</v>
      </c>
      <c r="F72" s="63" t="s">
        <v>189</v>
      </c>
      <c r="G72" s="159"/>
      <c r="H72" s="36" t="s">
        <v>1088</v>
      </c>
      <c r="J72" s="37" t="s">
        <v>97</v>
      </c>
    </row>
    <row r="73">
      <c r="A73" s="39">
        <v>43485.0</v>
      </c>
      <c r="B73" s="66" t="s">
        <v>1091</v>
      </c>
      <c r="C73" s="43" t="s">
        <v>1092</v>
      </c>
      <c r="D73" s="56" t="s">
        <v>1094</v>
      </c>
      <c r="E73" s="52" t="s">
        <v>26</v>
      </c>
      <c r="F73" s="66" t="s">
        <v>1098</v>
      </c>
      <c r="G73" s="157"/>
      <c r="J73" s="37" t="s">
        <v>203</v>
      </c>
    </row>
    <row r="74">
      <c r="A74" s="29">
        <v>43485.0</v>
      </c>
      <c r="B74" s="63" t="s">
        <v>1102</v>
      </c>
      <c r="C74" s="78" t="s">
        <v>1103</v>
      </c>
      <c r="D74" s="61" t="s">
        <v>1105</v>
      </c>
      <c r="E74" s="58" t="s">
        <v>26</v>
      </c>
      <c r="F74" s="63" t="s">
        <v>165</v>
      </c>
      <c r="G74" s="159"/>
      <c r="H74" s="36" t="s">
        <v>395</v>
      </c>
      <c r="J74" s="37" t="s">
        <v>54</v>
      </c>
    </row>
    <row r="75">
      <c r="A75" s="39">
        <v>43485.0</v>
      </c>
      <c r="B75" s="66" t="s">
        <v>1110</v>
      </c>
      <c r="C75" s="81" t="s">
        <v>1112</v>
      </c>
      <c r="D75" s="112" t="s">
        <v>1113</v>
      </c>
      <c r="E75" s="66" t="s">
        <v>50</v>
      </c>
      <c r="F75" s="66" t="s">
        <v>1114</v>
      </c>
      <c r="G75" s="52" t="s">
        <v>1115</v>
      </c>
      <c r="H75" s="36" t="s">
        <v>1116</v>
      </c>
      <c r="J75" s="37" t="s">
        <v>32</v>
      </c>
    </row>
    <row r="76">
      <c r="A76" s="29">
        <v>43486.0</v>
      </c>
      <c r="B76" s="63" t="s">
        <v>1117</v>
      </c>
      <c r="C76" s="78" t="s">
        <v>1118</v>
      </c>
      <c r="D76" s="114" t="s">
        <v>1119</v>
      </c>
      <c r="E76" s="63" t="s">
        <v>50</v>
      </c>
      <c r="F76" s="63" t="s">
        <v>1120</v>
      </c>
      <c r="G76" s="63" t="s">
        <v>1121</v>
      </c>
      <c r="H76" s="36" t="s">
        <v>1122</v>
      </c>
      <c r="J76" s="36" t="s">
        <v>158</v>
      </c>
    </row>
    <row r="77">
      <c r="A77" s="39">
        <v>43486.0</v>
      </c>
      <c r="B77" s="66" t="s">
        <v>1123</v>
      </c>
      <c r="C77" s="81" t="s">
        <v>1124</v>
      </c>
      <c r="D77" s="112" t="s">
        <v>1125</v>
      </c>
      <c r="E77" s="52" t="s">
        <v>26</v>
      </c>
      <c r="F77" s="66" t="s">
        <v>1127</v>
      </c>
      <c r="G77" s="157"/>
      <c r="H77" s="36" t="s">
        <v>507</v>
      </c>
      <c r="J77" s="37" t="s">
        <v>54</v>
      </c>
    </row>
    <row r="78">
      <c r="A78" s="29">
        <v>43482.0</v>
      </c>
      <c r="B78" s="63" t="s">
        <v>1130</v>
      </c>
      <c r="C78" s="78" t="s">
        <v>1132</v>
      </c>
      <c r="D78" s="114" t="s">
        <v>1134</v>
      </c>
      <c r="E78" s="58" t="s">
        <v>26</v>
      </c>
      <c r="F78" s="63" t="s">
        <v>1136</v>
      </c>
      <c r="G78" s="159"/>
      <c r="H78" s="36" t="s">
        <v>728</v>
      </c>
      <c r="J78" s="36" t="s">
        <v>1137</v>
      </c>
    </row>
    <row r="79">
      <c r="A79" s="39">
        <v>43486.0</v>
      </c>
      <c r="B79" s="66" t="s">
        <v>1138</v>
      </c>
      <c r="C79" s="81" t="s">
        <v>1139</v>
      </c>
      <c r="D79" s="56" t="s">
        <v>1140</v>
      </c>
      <c r="E79" s="66" t="s">
        <v>13</v>
      </c>
      <c r="F79" s="66" t="s">
        <v>1143</v>
      </c>
      <c r="G79" s="52" t="s">
        <v>1145</v>
      </c>
      <c r="H79" s="36" t="s">
        <v>1147</v>
      </c>
      <c r="J79" s="36" t="s">
        <v>1148</v>
      </c>
    </row>
    <row r="80">
      <c r="A80" s="29">
        <v>43486.0</v>
      </c>
      <c r="B80" s="63" t="s">
        <v>1151</v>
      </c>
      <c r="C80" s="78" t="s">
        <v>1153</v>
      </c>
      <c r="D80" s="114" t="s">
        <v>1154</v>
      </c>
      <c r="E80" s="58" t="s">
        <v>26</v>
      </c>
      <c r="F80" s="63" t="s">
        <v>1157</v>
      </c>
      <c r="G80" s="159"/>
      <c r="H80" s="36" t="s">
        <v>771</v>
      </c>
      <c r="J80" s="37" t="s">
        <v>373</v>
      </c>
    </row>
    <row r="81">
      <c r="A81" s="39">
        <v>43486.0</v>
      </c>
      <c r="B81" s="66" t="s">
        <v>1159</v>
      </c>
      <c r="C81" s="81" t="s">
        <v>1161</v>
      </c>
      <c r="D81" s="56" t="s">
        <v>1163</v>
      </c>
      <c r="E81" s="66" t="s">
        <v>1165</v>
      </c>
      <c r="F81" s="66" t="s">
        <v>1097</v>
      </c>
      <c r="G81" s="157"/>
      <c r="H81" s="36" t="s">
        <v>899</v>
      </c>
      <c r="J81" s="37" t="s">
        <v>900</v>
      </c>
    </row>
    <row r="82">
      <c r="A82" s="29">
        <v>43486.0</v>
      </c>
      <c r="B82" s="63" t="s">
        <v>1171</v>
      </c>
      <c r="C82" s="59" t="s">
        <v>1173</v>
      </c>
      <c r="D82" s="114" t="s">
        <v>1174</v>
      </c>
      <c r="E82" s="58" t="s">
        <v>26</v>
      </c>
      <c r="F82" s="63" t="s">
        <v>1175</v>
      </c>
      <c r="G82" s="159"/>
      <c r="H82" s="36" t="s">
        <v>1176</v>
      </c>
      <c r="J82" s="36" t="s">
        <v>609</v>
      </c>
    </row>
    <row r="83">
      <c r="A83" s="39">
        <v>43487.0</v>
      </c>
      <c r="B83" s="66" t="s">
        <v>1177</v>
      </c>
      <c r="C83" s="70" t="s">
        <v>1178</v>
      </c>
      <c r="D83" s="56" t="s">
        <v>1179</v>
      </c>
      <c r="E83" s="66" t="s">
        <v>50</v>
      </c>
      <c r="F83" s="66" t="s">
        <v>1180</v>
      </c>
      <c r="G83" s="157"/>
      <c r="J83" s="36" t="s">
        <v>143</v>
      </c>
    </row>
    <row r="84">
      <c r="A84" s="29">
        <v>43488.0</v>
      </c>
      <c r="B84" s="58" t="s">
        <v>1183</v>
      </c>
      <c r="C84" s="76" t="s">
        <v>1185</v>
      </c>
      <c r="D84" s="61" t="s">
        <v>1186</v>
      </c>
      <c r="E84" s="58" t="s">
        <v>26</v>
      </c>
      <c r="F84" s="58" t="s">
        <v>1037</v>
      </c>
      <c r="G84" s="159"/>
      <c r="J84" s="37" t="s">
        <v>32</v>
      </c>
    </row>
    <row r="85">
      <c r="A85" s="39">
        <v>43488.0</v>
      </c>
      <c r="B85" s="66" t="s">
        <v>1191</v>
      </c>
      <c r="C85" s="68" t="s">
        <v>1192</v>
      </c>
      <c r="D85" s="56" t="s">
        <v>1194</v>
      </c>
      <c r="E85" s="66" t="s">
        <v>763</v>
      </c>
      <c r="F85" s="52" t="s">
        <v>1195</v>
      </c>
      <c r="G85" s="157"/>
      <c r="H85" s="36" t="s">
        <v>771</v>
      </c>
      <c r="J85" s="37" t="s">
        <v>373</v>
      </c>
    </row>
    <row r="86">
      <c r="A86" s="171">
        <v>43488.0</v>
      </c>
      <c r="B86" s="172" t="s">
        <v>1200</v>
      </c>
      <c r="C86" s="172">
        <v>9.66564060184E11</v>
      </c>
      <c r="D86" s="172" t="s">
        <v>1201</v>
      </c>
      <c r="E86" s="58" t="s">
        <v>26</v>
      </c>
      <c r="F86" s="172" t="s">
        <v>1202</v>
      </c>
      <c r="G86" s="172" t="s">
        <v>4</v>
      </c>
      <c r="H86" s="36" t="s">
        <v>1203</v>
      </c>
      <c r="J86" s="36" t="s">
        <v>1204</v>
      </c>
    </row>
    <row r="87">
      <c r="A87" s="39">
        <v>43489.0</v>
      </c>
      <c r="B87" s="174" t="s">
        <v>1205</v>
      </c>
      <c r="C87" s="175" t="s">
        <v>1206</v>
      </c>
      <c r="D87" s="174" t="s">
        <v>1207</v>
      </c>
      <c r="E87" s="52" t="s">
        <v>26</v>
      </c>
      <c r="F87" s="52"/>
      <c r="G87" s="174" t="s">
        <v>577</v>
      </c>
      <c r="H87" s="176" t="s">
        <v>436</v>
      </c>
      <c r="I87" s="176" t="s">
        <v>4</v>
      </c>
      <c r="J87" s="177" t="s">
        <v>32</v>
      </c>
    </row>
    <row r="88">
      <c r="A88" s="29">
        <v>43489.0</v>
      </c>
      <c r="B88" s="63" t="s">
        <v>1208</v>
      </c>
      <c r="C88" s="72" t="s">
        <v>1209</v>
      </c>
      <c r="D88" s="61" t="s">
        <v>1210</v>
      </c>
      <c r="E88" s="63" t="s">
        <v>50</v>
      </c>
      <c r="F88" s="58" t="s">
        <v>1211</v>
      </c>
      <c r="G88" s="159"/>
      <c r="H88" s="36" t="s">
        <v>1212</v>
      </c>
      <c r="J88" s="37" t="s">
        <v>265</v>
      </c>
    </row>
    <row r="89">
      <c r="A89" s="39">
        <v>43491.0</v>
      </c>
      <c r="B89" s="66" t="s">
        <v>1213</v>
      </c>
      <c r="C89" s="68" t="s">
        <v>1214</v>
      </c>
      <c r="D89" s="56" t="s">
        <v>1215</v>
      </c>
      <c r="E89" s="66" t="s">
        <v>50</v>
      </c>
      <c r="F89" s="52" t="s">
        <v>1216</v>
      </c>
      <c r="G89" s="157"/>
      <c r="H89" s="36" t="s">
        <v>955</v>
      </c>
      <c r="J89" s="37" t="s">
        <v>32</v>
      </c>
    </row>
    <row r="90">
      <c r="A90" s="29">
        <v>43491.0</v>
      </c>
      <c r="B90" s="63" t="s">
        <v>1217</v>
      </c>
      <c r="C90" s="144"/>
      <c r="D90" s="114" t="s">
        <v>1218</v>
      </c>
      <c r="E90" s="58" t="s">
        <v>26</v>
      </c>
      <c r="F90" s="63" t="s">
        <v>1219</v>
      </c>
      <c r="G90" s="58" t="s">
        <v>1220</v>
      </c>
      <c r="H90" s="36" t="s">
        <v>1221</v>
      </c>
      <c r="J90" s="37" t="s">
        <v>32</v>
      </c>
    </row>
    <row r="91">
      <c r="A91" s="39">
        <v>43491.0</v>
      </c>
      <c r="B91" s="66" t="s">
        <v>1222</v>
      </c>
      <c r="C91" s="70" t="s">
        <v>1223</v>
      </c>
      <c r="D91" s="56" t="s">
        <v>1224</v>
      </c>
      <c r="E91" s="52" t="s">
        <v>26</v>
      </c>
      <c r="F91" s="66" t="s">
        <v>128</v>
      </c>
      <c r="G91" s="157"/>
      <c r="H91" s="36" t="s">
        <v>129</v>
      </c>
      <c r="J91" s="37" t="s">
        <v>492</v>
      </c>
    </row>
    <row r="92">
      <c r="A92" s="29">
        <v>43491.0</v>
      </c>
      <c r="B92" s="63" t="s">
        <v>20</v>
      </c>
      <c r="C92" s="76" t="s">
        <v>1225</v>
      </c>
      <c r="D92" s="61" t="s">
        <v>1226</v>
      </c>
      <c r="E92" s="63" t="s">
        <v>844</v>
      </c>
      <c r="F92" s="63" t="s">
        <v>1227</v>
      </c>
      <c r="G92" s="58" t="s">
        <v>189</v>
      </c>
      <c r="H92" s="36" t="s">
        <v>1228</v>
      </c>
      <c r="J92" s="36" t="s">
        <v>1229</v>
      </c>
    </row>
    <row r="93">
      <c r="A93" s="39">
        <v>43491.0</v>
      </c>
      <c r="B93" s="66" t="s">
        <v>20</v>
      </c>
      <c r="C93" s="68" t="s">
        <v>1230</v>
      </c>
      <c r="D93" s="112" t="s">
        <v>1231</v>
      </c>
      <c r="E93" s="66" t="s">
        <v>844</v>
      </c>
      <c r="F93" s="66" t="s">
        <v>1232</v>
      </c>
      <c r="G93" s="157"/>
      <c r="H93" s="36" t="s">
        <v>1077</v>
      </c>
      <c r="J93" s="36" t="s">
        <v>1229</v>
      </c>
    </row>
    <row r="94">
      <c r="A94" s="29">
        <v>43492.0</v>
      </c>
      <c r="B94" s="63" t="s">
        <v>1233</v>
      </c>
      <c r="C94" s="72" t="s">
        <v>1234</v>
      </c>
      <c r="D94" s="114" t="s">
        <v>1235</v>
      </c>
      <c r="E94" s="63" t="s">
        <v>50</v>
      </c>
      <c r="F94" s="63" t="s">
        <v>1236</v>
      </c>
      <c r="G94" s="63" t="s">
        <v>1043</v>
      </c>
      <c r="H94" s="36" t="s">
        <v>1237</v>
      </c>
      <c r="J94" s="37" t="s">
        <v>32</v>
      </c>
    </row>
    <row r="95">
      <c r="A95" s="39">
        <v>43492.0</v>
      </c>
      <c r="B95" s="66" t="s">
        <v>1238</v>
      </c>
      <c r="C95" s="68" t="s">
        <v>1239</v>
      </c>
      <c r="D95" s="178" t="s">
        <v>1240</v>
      </c>
      <c r="E95" s="52" t="s">
        <v>26</v>
      </c>
      <c r="F95" s="66" t="s">
        <v>1241</v>
      </c>
      <c r="G95" s="66" t="s">
        <v>1242</v>
      </c>
      <c r="H95" s="36" t="s">
        <v>297</v>
      </c>
      <c r="J95" s="36" t="s">
        <v>158</v>
      </c>
    </row>
    <row r="96">
      <c r="A96" s="29">
        <v>43493.0</v>
      </c>
      <c r="B96" s="63" t="s">
        <v>20</v>
      </c>
      <c r="C96" s="72" t="s">
        <v>1243</v>
      </c>
      <c r="D96" s="61" t="s">
        <v>1244</v>
      </c>
      <c r="E96" s="63" t="s">
        <v>50</v>
      </c>
      <c r="F96" s="63" t="s">
        <v>1245</v>
      </c>
      <c r="G96" s="58" t="s">
        <v>966</v>
      </c>
      <c r="H96" s="36" t="s">
        <v>1246</v>
      </c>
      <c r="J96" s="37" t="s">
        <v>32</v>
      </c>
    </row>
    <row r="97">
      <c r="A97" s="39">
        <v>43493.0</v>
      </c>
      <c r="B97" s="66" t="s">
        <v>1247</v>
      </c>
      <c r="C97" s="68" t="s">
        <v>1248</v>
      </c>
      <c r="D97" s="112" t="s">
        <v>1249</v>
      </c>
      <c r="E97" s="52" t="s">
        <v>26</v>
      </c>
      <c r="F97" s="66" t="s">
        <v>1250</v>
      </c>
      <c r="G97" s="157"/>
      <c r="H97" s="36" t="s">
        <v>771</v>
      </c>
      <c r="J97" s="37" t="s">
        <v>373</v>
      </c>
    </row>
    <row r="98">
      <c r="A98" s="29">
        <v>43494.0</v>
      </c>
      <c r="B98" s="63" t="s">
        <v>283</v>
      </c>
      <c r="C98" s="72" t="s">
        <v>1251</v>
      </c>
      <c r="D98" s="114" t="s">
        <v>286</v>
      </c>
      <c r="E98" s="63" t="s">
        <v>50</v>
      </c>
      <c r="F98" s="63" t="s">
        <v>167</v>
      </c>
      <c r="G98" s="58" t="s">
        <v>1252</v>
      </c>
      <c r="H98" s="36" t="s">
        <v>80</v>
      </c>
      <c r="J98" s="37" t="s">
        <v>45</v>
      </c>
    </row>
    <row r="99">
      <c r="A99" s="39">
        <v>43494.0</v>
      </c>
      <c r="B99" s="66" t="s">
        <v>1253</v>
      </c>
      <c r="C99" s="68" t="s">
        <v>1254</v>
      </c>
      <c r="D99" s="112" t="s">
        <v>1255</v>
      </c>
      <c r="E99" s="52" t="s">
        <v>26</v>
      </c>
      <c r="F99" s="66" t="s">
        <v>319</v>
      </c>
      <c r="G99" s="157"/>
      <c r="H99" s="36" t="s">
        <v>323</v>
      </c>
      <c r="J99" s="37" t="s">
        <v>45</v>
      </c>
    </row>
    <row r="100">
      <c r="A100" s="29">
        <v>43494.0</v>
      </c>
      <c r="B100" s="63" t="s">
        <v>20</v>
      </c>
      <c r="C100" s="72" t="s">
        <v>1243</v>
      </c>
      <c r="D100" s="61" t="s">
        <v>1244</v>
      </c>
      <c r="E100" s="63" t="s">
        <v>50</v>
      </c>
      <c r="F100" s="63" t="s">
        <v>1245</v>
      </c>
      <c r="G100" s="58" t="s">
        <v>966</v>
      </c>
      <c r="H100" s="36" t="s">
        <v>685</v>
      </c>
      <c r="J100" s="37" t="s">
        <v>32</v>
      </c>
    </row>
    <row r="101">
      <c r="A101" s="39">
        <v>43494.0</v>
      </c>
      <c r="B101" s="52" t="s">
        <v>1256</v>
      </c>
      <c r="C101" s="66" t="s">
        <v>1257</v>
      </c>
      <c r="D101" s="56" t="s">
        <v>1258</v>
      </c>
      <c r="E101" s="66" t="s">
        <v>431</v>
      </c>
      <c r="F101" s="66" t="s">
        <v>1259</v>
      </c>
      <c r="G101" s="52" t="s">
        <v>1260</v>
      </c>
      <c r="H101" s="36" t="s">
        <v>697</v>
      </c>
      <c r="J101" s="37" t="s">
        <v>32</v>
      </c>
    </row>
    <row r="102">
      <c r="A102" s="29">
        <v>43494.0</v>
      </c>
      <c r="B102" s="63" t="s">
        <v>889</v>
      </c>
      <c r="C102" s="72" t="s">
        <v>1261</v>
      </c>
      <c r="D102" s="61" t="s">
        <v>893</v>
      </c>
      <c r="E102" s="63" t="s">
        <v>50</v>
      </c>
      <c r="F102" s="63" t="s">
        <v>1262</v>
      </c>
      <c r="G102" s="159"/>
      <c r="H102" s="36" t="s">
        <v>1263</v>
      </c>
      <c r="J102" s="37" t="s">
        <v>265</v>
      </c>
    </row>
    <row r="103">
      <c r="A103" s="39">
        <v>43495.0</v>
      </c>
      <c r="B103" s="66" t="s">
        <v>889</v>
      </c>
      <c r="C103" s="68" t="s">
        <v>1264</v>
      </c>
      <c r="D103" s="112" t="s">
        <v>893</v>
      </c>
      <c r="E103" s="52" t="s">
        <v>26</v>
      </c>
      <c r="F103" s="66" t="s">
        <v>1265</v>
      </c>
      <c r="G103" s="157"/>
      <c r="H103" s="36" t="s">
        <v>1266</v>
      </c>
      <c r="J103" s="37" t="s">
        <v>1267</v>
      </c>
    </row>
    <row r="104">
      <c r="A104" s="29">
        <v>43495.0</v>
      </c>
      <c r="B104" s="58" t="s">
        <v>1268</v>
      </c>
      <c r="C104" s="76" t="s">
        <v>1269</v>
      </c>
      <c r="D104" s="61" t="s">
        <v>1270</v>
      </c>
      <c r="E104" s="63" t="s">
        <v>50</v>
      </c>
      <c r="F104" s="63" t="s">
        <v>1271</v>
      </c>
      <c r="G104" s="58" t="s">
        <v>1272</v>
      </c>
      <c r="H104" s="36" t="s">
        <v>1273</v>
      </c>
      <c r="J104" s="37" t="s">
        <v>32</v>
      </c>
    </row>
    <row r="105">
      <c r="A105" s="39">
        <v>43498.0</v>
      </c>
      <c r="B105" s="66" t="s">
        <v>1274</v>
      </c>
      <c r="C105" s="68" t="s">
        <v>1275</v>
      </c>
      <c r="D105" s="112" t="s">
        <v>1276</v>
      </c>
      <c r="E105" s="66" t="s">
        <v>50</v>
      </c>
      <c r="F105" s="66" t="s">
        <v>1277</v>
      </c>
      <c r="G105" s="66" t="s">
        <v>1278</v>
      </c>
      <c r="H105" s="36" t="s">
        <v>1279</v>
      </c>
      <c r="J105" s="37" t="s">
        <v>45</v>
      </c>
    </row>
    <row r="106">
      <c r="A106" s="29">
        <v>43498.0</v>
      </c>
      <c r="B106" s="63" t="s">
        <v>1280</v>
      </c>
      <c r="C106" s="72" t="s">
        <v>1281</v>
      </c>
      <c r="D106" s="114" t="s">
        <v>1282</v>
      </c>
      <c r="E106" s="63" t="s">
        <v>50</v>
      </c>
      <c r="F106" s="63" t="s">
        <v>1283</v>
      </c>
      <c r="G106" s="159"/>
      <c r="H106" s="36" t="s">
        <v>1284</v>
      </c>
      <c r="J106" s="36" t="s">
        <v>362</v>
      </c>
    </row>
    <row r="107">
      <c r="A107" s="39">
        <v>43498.0</v>
      </c>
      <c r="B107" s="66" t="s">
        <v>1285</v>
      </c>
      <c r="C107" s="68" t="s">
        <v>1223</v>
      </c>
      <c r="D107" s="112" t="s">
        <v>1286</v>
      </c>
      <c r="E107" s="52" t="s">
        <v>26</v>
      </c>
      <c r="F107" s="66" t="s">
        <v>1287</v>
      </c>
      <c r="G107" s="157"/>
      <c r="J107" s="37" t="s">
        <v>32</v>
      </c>
    </row>
    <row r="108">
      <c r="A108" s="29">
        <v>43498.0</v>
      </c>
      <c r="B108" s="63" t="s">
        <v>1288</v>
      </c>
      <c r="C108" s="76" t="s">
        <v>1289</v>
      </c>
      <c r="D108" s="61" t="s">
        <v>1290</v>
      </c>
      <c r="E108" s="63" t="s">
        <v>115</v>
      </c>
      <c r="F108" s="63" t="s">
        <v>1292</v>
      </c>
      <c r="G108" s="159"/>
      <c r="J108" s="37" t="s">
        <v>32</v>
      </c>
    </row>
    <row r="109">
      <c r="A109" s="39">
        <v>43498.0</v>
      </c>
      <c r="B109" s="52" t="s">
        <v>1298</v>
      </c>
      <c r="C109" s="68" t="s">
        <v>1301</v>
      </c>
      <c r="D109" s="56" t="s">
        <v>1304</v>
      </c>
      <c r="E109" s="66" t="s">
        <v>476</v>
      </c>
      <c r="F109" s="66" t="s">
        <v>1305</v>
      </c>
      <c r="G109" s="157"/>
      <c r="J109" s="37" t="s">
        <v>97</v>
      </c>
    </row>
    <row r="110">
      <c r="A110" s="29">
        <v>43498.0</v>
      </c>
      <c r="B110" s="63" t="s">
        <v>1313</v>
      </c>
      <c r="C110" s="76" t="s">
        <v>1317</v>
      </c>
      <c r="D110" s="61" t="s">
        <v>1320</v>
      </c>
      <c r="E110" s="58" t="s">
        <v>26</v>
      </c>
      <c r="F110" s="58" t="s">
        <v>1324</v>
      </c>
      <c r="G110" s="159"/>
      <c r="J110" s="37" t="s">
        <v>1326</v>
      </c>
    </row>
    <row r="111">
      <c r="A111" s="39">
        <v>43498.0</v>
      </c>
      <c r="B111" s="66" t="s">
        <v>1329</v>
      </c>
      <c r="C111" s="70" t="s">
        <v>1330</v>
      </c>
      <c r="D111" s="56" t="s">
        <v>1331</v>
      </c>
      <c r="E111" s="52" t="s">
        <v>26</v>
      </c>
      <c r="F111" s="66" t="s">
        <v>1332</v>
      </c>
      <c r="G111" s="157"/>
      <c r="H111" s="36" t="s">
        <v>774</v>
      </c>
      <c r="J111" s="37" t="s">
        <v>32</v>
      </c>
    </row>
    <row r="112">
      <c r="A112" s="29">
        <v>43498.0</v>
      </c>
      <c r="B112" s="63" t="s">
        <v>1337</v>
      </c>
      <c r="C112" s="72" t="s">
        <v>1339</v>
      </c>
      <c r="D112" s="114" t="s">
        <v>1340</v>
      </c>
      <c r="E112" s="63" t="s">
        <v>50</v>
      </c>
      <c r="F112" s="63" t="s">
        <v>1341</v>
      </c>
      <c r="G112" s="58" t="s">
        <v>1342</v>
      </c>
      <c r="H112" s="36" t="s">
        <v>323</v>
      </c>
      <c r="J112" s="37" t="s">
        <v>45</v>
      </c>
    </row>
    <row r="113">
      <c r="A113" s="39">
        <v>43498.0</v>
      </c>
      <c r="B113" s="66" t="s">
        <v>1329</v>
      </c>
      <c r="C113" s="68" t="s">
        <v>1344</v>
      </c>
      <c r="D113" s="112" t="s">
        <v>1345</v>
      </c>
      <c r="E113" s="52" t="s">
        <v>26</v>
      </c>
      <c r="F113" s="66" t="s">
        <v>1346</v>
      </c>
      <c r="G113" s="157"/>
      <c r="J113" s="37" t="s">
        <v>32</v>
      </c>
    </row>
    <row r="114">
      <c r="A114" s="29">
        <v>43498.0</v>
      </c>
      <c r="B114" s="58" t="s">
        <v>1349</v>
      </c>
      <c r="C114" s="76" t="s">
        <v>1350</v>
      </c>
      <c r="D114" s="114" t="s">
        <v>1351</v>
      </c>
      <c r="E114" s="58" t="s">
        <v>26</v>
      </c>
      <c r="F114" s="63" t="s">
        <v>1016</v>
      </c>
      <c r="G114" s="159"/>
      <c r="H114" s="36" t="s">
        <v>1352</v>
      </c>
      <c r="J114" s="37" t="s">
        <v>32</v>
      </c>
    </row>
    <row r="115">
      <c r="A115" s="39">
        <v>43500.0</v>
      </c>
      <c r="B115" s="66" t="s">
        <v>1353</v>
      </c>
      <c r="C115" s="70" t="s">
        <v>1354</v>
      </c>
      <c r="D115" s="56" t="s">
        <v>1355</v>
      </c>
      <c r="E115" s="66" t="s">
        <v>50</v>
      </c>
      <c r="F115" s="66" t="s">
        <v>1356</v>
      </c>
      <c r="G115" s="52" t="s">
        <v>1357</v>
      </c>
      <c r="H115" s="36" t="s">
        <v>1358</v>
      </c>
      <c r="J115" s="37" t="s">
        <v>45</v>
      </c>
    </row>
    <row r="116">
      <c r="A116" s="29">
        <v>43500.0</v>
      </c>
      <c r="B116" s="63" t="s">
        <v>1205</v>
      </c>
      <c r="C116" s="72" t="s">
        <v>1363</v>
      </c>
      <c r="D116" s="114" t="s">
        <v>1207</v>
      </c>
      <c r="E116" s="63" t="s">
        <v>50</v>
      </c>
      <c r="F116" s="63" t="s">
        <v>1365</v>
      </c>
      <c r="G116" s="63" t="s">
        <v>1367</v>
      </c>
      <c r="H116" s="36" t="s">
        <v>436</v>
      </c>
      <c r="J116" s="37" t="s">
        <v>32</v>
      </c>
    </row>
    <row r="117">
      <c r="A117" s="39">
        <v>43500.0</v>
      </c>
      <c r="B117" s="52" t="s">
        <v>1349</v>
      </c>
      <c r="C117" s="70" t="s">
        <v>1350</v>
      </c>
      <c r="D117" s="56" t="s">
        <v>1351</v>
      </c>
      <c r="E117" s="52" t="s">
        <v>26</v>
      </c>
      <c r="F117" s="52" t="s">
        <v>1372</v>
      </c>
      <c r="G117" s="157"/>
      <c r="H117" s="36" t="s">
        <v>1375</v>
      </c>
      <c r="J117" s="37" t="s">
        <v>32</v>
      </c>
    </row>
    <row r="118">
      <c r="A118" s="29">
        <v>43500.0</v>
      </c>
      <c r="B118" s="63" t="s">
        <v>1274</v>
      </c>
      <c r="C118" s="72" t="s">
        <v>1275</v>
      </c>
      <c r="D118" s="61" t="s">
        <v>1276</v>
      </c>
      <c r="E118" s="63" t="s">
        <v>50</v>
      </c>
      <c r="F118" s="63" t="s">
        <v>1277</v>
      </c>
      <c r="G118" s="58" t="s">
        <v>1278</v>
      </c>
      <c r="H118" s="36" t="s">
        <v>1279</v>
      </c>
      <c r="J118" s="37" t="s">
        <v>45</v>
      </c>
    </row>
    <row r="119">
      <c r="A119" s="39">
        <v>43500.0</v>
      </c>
      <c r="B119" s="66" t="s">
        <v>1384</v>
      </c>
      <c r="C119" s="68" t="s">
        <v>1281</v>
      </c>
      <c r="D119" s="112" t="s">
        <v>1282</v>
      </c>
      <c r="E119" s="52" t="s">
        <v>26</v>
      </c>
      <c r="F119" s="66" t="s">
        <v>1386</v>
      </c>
      <c r="G119" s="52" t="s">
        <v>1388</v>
      </c>
      <c r="H119" s="36" t="s">
        <v>1284</v>
      </c>
      <c r="J119" s="36" t="s">
        <v>158</v>
      </c>
    </row>
    <row r="120">
      <c r="A120" s="29">
        <v>43500.0</v>
      </c>
      <c r="B120" s="63" t="s">
        <v>1285</v>
      </c>
      <c r="C120" s="72" t="s">
        <v>551</v>
      </c>
      <c r="D120" s="114" t="s">
        <v>1224</v>
      </c>
      <c r="E120" s="58" t="s">
        <v>26</v>
      </c>
      <c r="F120" s="63" t="s">
        <v>1287</v>
      </c>
      <c r="G120" s="159"/>
      <c r="H120" s="36" t="s">
        <v>1273</v>
      </c>
      <c r="J120" s="37" t="s">
        <v>32</v>
      </c>
    </row>
    <row r="121">
      <c r="A121" s="39">
        <v>43500.0</v>
      </c>
      <c r="B121" s="68" t="s">
        <v>1288</v>
      </c>
      <c r="C121" s="70" t="s">
        <v>1393</v>
      </c>
      <c r="D121" s="112" t="s">
        <v>1290</v>
      </c>
      <c r="E121" s="66" t="s">
        <v>115</v>
      </c>
      <c r="F121" s="66" t="s">
        <v>1292</v>
      </c>
      <c r="G121" s="157"/>
      <c r="H121" s="36" t="s">
        <v>1394</v>
      </c>
      <c r="J121" s="37" t="s">
        <v>32</v>
      </c>
    </row>
    <row r="122">
      <c r="A122" s="29">
        <v>43500.0</v>
      </c>
      <c r="B122" s="58" t="s">
        <v>462</v>
      </c>
      <c r="C122" s="72" t="s">
        <v>1398</v>
      </c>
      <c r="D122" s="61" t="s">
        <v>1399</v>
      </c>
      <c r="E122" s="63" t="s">
        <v>476</v>
      </c>
      <c r="F122" s="63" t="s">
        <v>1250</v>
      </c>
      <c r="G122" s="58" t="s">
        <v>1407</v>
      </c>
      <c r="H122" s="36" t="s">
        <v>771</v>
      </c>
      <c r="J122" s="37" t="s">
        <v>373</v>
      </c>
    </row>
    <row r="123">
      <c r="A123" s="39">
        <v>43500.0</v>
      </c>
      <c r="B123" s="66" t="s">
        <v>1413</v>
      </c>
      <c r="C123" s="68" t="s">
        <v>1415</v>
      </c>
      <c r="D123" s="112" t="s">
        <v>1416</v>
      </c>
      <c r="E123" s="52" t="s">
        <v>26</v>
      </c>
      <c r="F123" s="66" t="s">
        <v>1417</v>
      </c>
      <c r="G123" s="52" t="s">
        <v>1419</v>
      </c>
      <c r="H123" s="36" t="s">
        <v>1421</v>
      </c>
      <c r="J123" s="36" t="s">
        <v>1423</v>
      </c>
    </row>
    <row r="124">
      <c r="A124" s="29">
        <v>43501.0</v>
      </c>
      <c r="B124" s="58" t="s">
        <v>1429</v>
      </c>
      <c r="C124" s="72" t="s">
        <v>1431</v>
      </c>
      <c r="D124" s="61" t="s">
        <v>1435</v>
      </c>
      <c r="E124" s="63" t="s">
        <v>50</v>
      </c>
      <c r="F124" s="63" t="s">
        <v>1438</v>
      </c>
      <c r="G124" s="58" t="s">
        <v>1440</v>
      </c>
      <c r="H124" s="36" t="s">
        <v>1442</v>
      </c>
      <c r="J124" s="36" t="s">
        <v>1168</v>
      </c>
    </row>
    <row r="125">
      <c r="A125" s="39">
        <v>43501.0</v>
      </c>
      <c r="B125" s="66" t="s">
        <v>1445</v>
      </c>
      <c r="C125" s="68" t="s">
        <v>1446</v>
      </c>
      <c r="D125" s="56" t="s">
        <v>1449</v>
      </c>
      <c r="E125" s="66" t="s">
        <v>1451</v>
      </c>
      <c r="F125" s="66" t="s">
        <v>1454</v>
      </c>
      <c r="G125" s="66" t="s">
        <v>1456</v>
      </c>
      <c r="H125" s="36" t="s">
        <v>80</v>
      </c>
      <c r="J125" s="37" t="s">
        <v>45</v>
      </c>
    </row>
    <row r="126">
      <c r="A126" s="29">
        <v>43502.0</v>
      </c>
      <c r="B126" s="63" t="s">
        <v>1445</v>
      </c>
      <c r="C126" s="72" t="s">
        <v>1446</v>
      </c>
      <c r="D126" s="61" t="s">
        <v>1457</v>
      </c>
      <c r="E126" s="58" t="s">
        <v>26</v>
      </c>
      <c r="F126" s="63" t="s">
        <v>1458</v>
      </c>
      <c r="G126" s="63" t="s">
        <v>1456</v>
      </c>
      <c r="H126" s="36" t="s">
        <v>80</v>
      </c>
      <c r="J126" s="37" t="s">
        <v>45</v>
      </c>
    </row>
    <row r="127">
      <c r="A127" s="39">
        <v>43505.0</v>
      </c>
      <c r="B127" s="66" t="s">
        <v>1459</v>
      </c>
      <c r="C127" s="68" t="s">
        <v>1460</v>
      </c>
      <c r="D127" s="56" t="s">
        <v>1461</v>
      </c>
      <c r="E127" s="66" t="s">
        <v>50</v>
      </c>
      <c r="F127" s="66" t="s">
        <v>1271</v>
      </c>
      <c r="G127" s="52" t="s">
        <v>1463</v>
      </c>
      <c r="H127" s="36" t="s">
        <v>1273</v>
      </c>
      <c r="J127" s="37" t="s">
        <v>32</v>
      </c>
    </row>
    <row r="128">
      <c r="A128" s="29">
        <v>43505.0</v>
      </c>
      <c r="B128" s="63" t="s">
        <v>1464</v>
      </c>
      <c r="C128" s="72" t="s">
        <v>1465</v>
      </c>
      <c r="D128" s="61" t="s">
        <v>1467</v>
      </c>
      <c r="E128" s="63" t="s">
        <v>50</v>
      </c>
      <c r="F128" s="63" t="s">
        <v>1468</v>
      </c>
      <c r="G128" s="58" t="s">
        <v>1469</v>
      </c>
      <c r="H128" s="36" t="s">
        <v>1470</v>
      </c>
      <c r="J128" s="36" t="s">
        <v>637</v>
      </c>
    </row>
    <row r="129">
      <c r="A129" s="39">
        <v>43505.0</v>
      </c>
      <c r="B129" s="66" t="s">
        <v>1471</v>
      </c>
      <c r="C129" s="68" t="s">
        <v>1472</v>
      </c>
      <c r="D129" s="112" t="s">
        <v>1473</v>
      </c>
      <c r="E129" s="52" t="s">
        <v>342</v>
      </c>
      <c r="F129" s="66" t="s">
        <v>1474</v>
      </c>
      <c r="G129" s="157"/>
      <c r="H129" s="36" t="s">
        <v>251</v>
      </c>
      <c r="J129" s="37" t="s">
        <v>32</v>
      </c>
    </row>
    <row r="130">
      <c r="A130" s="29">
        <v>43505.0</v>
      </c>
      <c r="B130" s="63" t="s">
        <v>1475</v>
      </c>
      <c r="C130" s="72" t="s">
        <v>1476</v>
      </c>
      <c r="D130" s="114" t="s">
        <v>1477</v>
      </c>
      <c r="E130" s="58" t="s">
        <v>342</v>
      </c>
      <c r="F130" s="63" t="s">
        <v>1478</v>
      </c>
      <c r="G130" s="159"/>
      <c r="H130" s="36" t="s">
        <v>508</v>
      </c>
      <c r="J130" s="37" t="s">
        <v>265</v>
      </c>
    </row>
    <row r="131">
      <c r="A131" s="39">
        <v>43505.0</v>
      </c>
      <c r="B131" s="205" t="s">
        <v>1479</v>
      </c>
      <c r="C131" s="206"/>
      <c r="D131" s="207" t="s">
        <v>1480</v>
      </c>
      <c r="E131" s="52" t="s">
        <v>342</v>
      </c>
      <c r="F131" s="52" t="s">
        <v>1481</v>
      </c>
      <c r="G131" s="157"/>
      <c r="H131" s="36" t="s">
        <v>1482</v>
      </c>
      <c r="J131" s="36" t="s">
        <v>637</v>
      </c>
    </row>
    <row r="132">
      <c r="A132" s="29">
        <v>43505.0</v>
      </c>
      <c r="B132" s="63" t="s">
        <v>1483</v>
      </c>
      <c r="C132" s="76" t="s">
        <v>1484</v>
      </c>
      <c r="D132" s="61" t="s">
        <v>1485</v>
      </c>
      <c r="E132" s="63" t="s">
        <v>476</v>
      </c>
      <c r="F132" s="63" t="s">
        <v>1486</v>
      </c>
      <c r="G132" s="58" t="s">
        <v>1487</v>
      </c>
      <c r="H132" s="36" t="s">
        <v>1488</v>
      </c>
      <c r="J132" s="37" t="s">
        <v>1489</v>
      </c>
    </row>
    <row r="133">
      <c r="A133" s="39">
        <v>43505.0</v>
      </c>
      <c r="B133" s="66" t="s">
        <v>1490</v>
      </c>
      <c r="C133" s="68" t="s">
        <v>1491</v>
      </c>
      <c r="D133" s="56" t="s">
        <v>1492</v>
      </c>
      <c r="E133" s="52" t="s">
        <v>342</v>
      </c>
      <c r="F133" s="66" t="s">
        <v>1493</v>
      </c>
      <c r="G133" s="157"/>
      <c r="H133" s="36" t="s">
        <v>1494</v>
      </c>
      <c r="J133" s="37" t="s">
        <v>97</v>
      </c>
    </row>
    <row r="134">
      <c r="A134" s="29">
        <v>43506.0</v>
      </c>
      <c r="B134" s="58" t="s">
        <v>1495</v>
      </c>
      <c r="C134" s="76" t="s">
        <v>1496</v>
      </c>
      <c r="D134" s="61" t="s">
        <v>1497</v>
      </c>
      <c r="E134" s="63" t="s">
        <v>50</v>
      </c>
      <c r="F134" s="58" t="s">
        <v>1498</v>
      </c>
      <c r="G134" s="58" t="s">
        <v>1499</v>
      </c>
      <c r="H134" s="36" t="s">
        <v>1500</v>
      </c>
      <c r="J134" s="37" t="s">
        <v>492</v>
      </c>
    </row>
    <row r="135">
      <c r="A135" s="39">
        <v>43506.0</v>
      </c>
      <c r="B135" s="66" t="s">
        <v>1501</v>
      </c>
      <c r="C135" s="70" t="s">
        <v>1502</v>
      </c>
      <c r="D135" s="112" t="s">
        <v>1467</v>
      </c>
      <c r="E135" s="66" t="s">
        <v>804</v>
      </c>
      <c r="F135" s="66" t="s">
        <v>1503</v>
      </c>
      <c r="G135" s="52" t="s">
        <v>1504</v>
      </c>
      <c r="H135" s="36" t="s">
        <v>1505</v>
      </c>
      <c r="J135" s="36" t="s">
        <v>1506</v>
      </c>
    </row>
    <row r="136">
      <c r="A136" s="29">
        <v>43506.0</v>
      </c>
      <c r="B136" s="63" t="s">
        <v>1507</v>
      </c>
      <c r="C136" s="76" t="s">
        <v>1508</v>
      </c>
      <c r="D136" s="114" t="s">
        <v>1509</v>
      </c>
      <c r="E136" s="58" t="s">
        <v>26</v>
      </c>
      <c r="F136" s="63" t="s">
        <v>1510</v>
      </c>
      <c r="G136" s="159"/>
      <c r="H136" s="36" t="s">
        <v>1511</v>
      </c>
      <c r="J136" s="37" t="s">
        <v>45</v>
      </c>
    </row>
    <row r="137">
      <c r="A137" s="39">
        <v>43507.0</v>
      </c>
      <c r="B137" s="66" t="s">
        <v>1512</v>
      </c>
      <c r="C137" s="52" t="s">
        <v>1513</v>
      </c>
      <c r="D137" s="112" t="s">
        <v>1514</v>
      </c>
      <c r="E137" s="52" t="s">
        <v>26</v>
      </c>
      <c r="F137" s="66" t="s">
        <v>1510</v>
      </c>
      <c r="G137" s="157"/>
      <c r="J137" s="37" t="s">
        <v>45</v>
      </c>
    </row>
    <row r="138">
      <c r="A138" s="29">
        <v>43507.0</v>
      </c>
      <c r="B138" s="63" t="s">
        <v>1515</v>
      </c>
      <c r="C138" s="63" t="s">
        <v>1516</v>
      </c>
      <c r="D138" s="114" t="s">
        <v>1517</v>
      </c>
      <c r="E138" s="63" t="s">
        <v>996</v>
      </c>
      <c r="F138" s="63" t="s">
        <v>1518</v>
      </c>
      <c r="G138" s="159"/>
      <c r="J138" s="37" t="s">
        <v>1519</v>
      </c>
    </row>
    <row r="139">
      <c r="A139" s="39">
        <v>43507.0</v>
      </c>
      <c r="B139" s="66" t="s">
        <v>1520</v>
      </c>
      <c r="C139" s="66" t="s">
        <v>1521</v>
      </c>
      <c r="D139" s="56" t="s">
        <v>1522</v>
      </c>
      <c r="E139" s="66" t="s">
        <v>50</v>
      </c>
      <c r="F139" s="66" t="s">
        <v>1523</v>
      </c>
      <c r="G139" s="52" t="s">
        <v>1524</v>
      </c>
      <c r="H139" s="36" t="s">
        <v>818</v>
      </c>
      <c r="J139" s="37" t="s">
        <v>54</v>
      </c>
    </row>
    <row r="140">
      <c r="A140" s="29">
        <v>43507.0</v>
      </c>
      <c r="B140" s="63" t="s">
        <v>1525</v>
      </c>
      <c r="C140" s="63" t="s">
        <v>1526</v>
      </c>
      <c r="D140" s="114" t="s">
        <v>1527</v>
      </c>
      <c r="E140" s="58" t="s">
        <v>26</v>
      </c>
      <c r="F140" s="63" t="s">
        <v>1528</v>
      </c>
      <c r="G140" s="159"/>
      <c r="J140" s="37" t="s">
        <v>54</v>
      </c>
    </row>
    <row r="141">
      <c r="A141" s="39">
        <v>43510.0</v>
      </c>
      <c r="B141" s="66" t="s">
        <v>112</v>
      </c>
      <c r="C141" s="52" t="s">
        <v>1529</v>
      </c>
      <c r="D141" s="112" t="s">
        <v>1530</v>
      </c>
      <c r="E141" s="52" t="s">
        <v>26</v>
      </c>
      <c r="F141" s="66" t="s">
        <v>1531</v>
      </c>
      <c r="G141" s="157"/>
      <c r="J141" s="37" t="s">
        <v>32</v>
      </c>
    </row>
    <row r="142">
      <c r="A142" s="29">
        <v>43510.0</v>
      </c>
      <c r="B142" s="94" t="s">
        <v>1532</v>
      </c>
      <c r="C142" s="96" t="s">
        <v>1533</v>
      </c>
      <c r="D142" s="208" t="s">
        <v>1534</v>
      </c>
      <c r="E142" s="63" t="s">
        <v>1535</v>
      </c>
      <c r="F142" s="58" t="s">
        <v>1536</v>
      </c>
      <c r="G142" s="159"/>
      <c r="H142" s="36" t="s">
        <v>1537</v>
      </c>
      <c r="J142" s="36" t="s">
        <v>1538</v>
      </c>
    </row>
    <row r="143">
      <c r="A143" s="39">
        <v>43510.0</v>
      </c>
      <c r="B143" s="209" t="s">
        <v>1532</v>
      </c>
      <c r="C143" s="210" t="s">
        <v>1533</v>
      </c>
      <c r="D143" s="211" t="s">
        <v>1539</v>
      </c>
      <c r="E143" s="66" t="s">
        <v>770</v>
      </c>
      <c r="F143" s="52" t="s">
        <v>1536</v>
      </c>
      <c r="G143" s="157"/>
      <c r="H143" s="36" t="s">
        <v>1537</v>
      </c>
      <c r="J143" s="36" t="s">
        <v>1538</v>
      </c>
    </row>
    <row r="144">
      <c r="A144" s="29">
        <v>43512.0</v>
      </c>
      <c r="B144" s="58" t="s">
        <v>1540</v>
      </c>
      <c r="C144" s="76" t="s">
        <v>1541</v>
      </c>
      <c r="D144" s="61" t="s">
        <v>1542</v>
      </c>
      <c r="E144" s="63" t="s">
        <v>50</v>
      </c>
      <c r="F144" s="63" t="s">
        <v>1543</v>
      </c>
      <c r="G144" s="58" t="s">
        <v>1544</v>
      </c>
      <c r="J144" s="37" t="s">
        <v>54</v>
      </c>
    </row>
    <row r="145">
      <c r="A145" s="39">
        <v>43512.0</v>
      </c>
      <c r="B145" s="66" t="s">
        <v>1545</v>
      </c>
      <c r="C145" s="66" t="s">
        <v>1546</v>
      </c>
      <c r="D145" s="112" t="s">
        <v>1547</v>
      </c>
      <c r="E145" s="66" t="s">
        <v>115</v>
      </c>
      <c r="F145" s="66" t="s">
        <v>1548</v>
      </c>
      <c r="G145" s="52" t="s">
        <v>1549</v>
      </c>
      <c r="H145" s="36" t="s">
        <v>1550</v>
      </c>
      <c r="J145" s="37" t="s">
        <v>1551</v>
      </c>
    </row>
    <row r="146">
      <c r="A146" s="29">
        <v>43514.0</v>
      </c>
      <c r="B146" s="63" t="s">
        <v>20</v>
      </c>
      <c r="C146" s="63" t="s">
        <v>1552</v>
      </c>
      <c r="D146" s="114" t="s">
        <v>1553</v>
      </c>
      <c r="E146" s="63" t="s">
        <v>50</v>
      </c>
      <c r="F146" s="63" t="s">
        <v>1554</v>
      </c>
      <c r="G146" s="58" t="s">
        <v>1555</v>
      </c>
      <c r="H146" s="36" t="s">
        <v>507</v>
      </c>
      <c r="J146" s="37" t="s">
        <v>54</v>
      </c>
    </row>
    <row r="147">
      <c r="A147" s="39">
        <v>43514.0</v>
      </c>
      <c r="B147" s="66" t="s">
        <v>1556</v>
      </c>
      <c r="C147" s="66" t="s">
        <v>1557</v>
      </c>
      <c r="D147" s="112" t="s">
        <v>1558</v>
      </c>
      <c r="E147" s="66" t="s">
        <v>1559</v>
      </c>
      <c r="F147" s="66" t="s">
        <v>1560</v>
      </c>
      <c r="G147" s="157"/>
      <c r="H147" s="36" t="s">
        <v>251</v>
      </c>
      <c r="J147" s="37" t="s">
        <v>492</v>
      </c>
    </row>
    <row r="148">
      <c r="A148" s="29">
        <v>43514.0</v>
      </c>
      <c r="B148" s="63" t="s">
        <v>1561</v>
      </c>
      <c r="C148" s="76" t="s">
        <v>1562</v>
      </c>
      <c r="D148" s="61" t="s">
        <v>1563</v>
      </c>
      <c r="E148" s="63" t="s">
        <v>26</v>
      </c>
      <c r="F148" s="63" t="s">
        <v>1560</v>
      </c>
      <c r="G148" s="159"/>
      <c r="H148" s="36" t="s">
        <v>251</v>
      </c>
      <c r="J148" s="37" t="s">
        <v>492</v>
      </c>
    </row>
    <row r="149">
      <c r="A149" s="39">
        <v>43514.0</v>
      </c>
      <c r="B149" s="85" t="s">
        <v>1564</v>
      </c>
      <c r="C149" s="97">
        <f>+971565952187</f>
        <v>971565952187</v>
      </c>
      <c r="D149" s="56" t="s">
        <v>1565</v>
      </c>
      <c r="E149" s="66" t="s">
        <v>227</v>
      </c>
      <c r="F149" s="52" t="s">
        <v>229</v>
      </c>
      <c r="G149" s="157"/>
      <c r="J149" s="36" t="s">
        <v>231</v>
      </c>
    </row>
    <row r="150">
      <c r="A150" s="29">
        <v>43516.0</v>
      </c>
      <c r="B150" s="63" t="s">
        <v>1566</v>
      </c>
      <c r="C150" s="58" t="s">
        <v>1567</v>
      </c>
      <c r="D150" s="114" t="s">
        <v>1568</v>
      </c>
      <c r="E150" s="63" t="s">
        <v>26</v>
      </c>
      <c r="F150" s="63" t="s">
        <v>1569</v>
      </c>
      <c r="G150" s="159"/>
      <c r="J150" s="37" t="s">
        <v>32</v>
      </c>
    </row>
    <row r="151">
      <c r="A151" s="39">
        <v>43521.0</v>
      </c>
      <c r="B151" s="66" t="s">
        <v>1570</v>
      </c>
      <c r="C151" s="52" t="s">
        <v>1571</v>
      </c>
      <c r="D151" s="56" t="s">
        <v>1572</v>
      </c>
      <c r="E151" s="66" t="s">
        <v>50</v>
      </c>
      <c r="F151" s="66" t="s">
        <v>1236</v>
      </c>
      <c r="G151" s="52" t="s">
        <v>1573</v>
      </c>
      <c r="H151" s="36" t="s">
        <v>1574</v>
      </c>
      <c r="J151" s="37" t="s">
        <v>32</v>
      </c>
    </row>
    <row r="152">
      <c r="A152" s="29">
        <v>43521.0</v>
      </c>
      <c r="B152" s="94" t="s">
        <v>1575</v>
      </c>
      <c r="C152" s="94" t="s">
        <v>1576</v>
      </c>
      <c r="D152" s="208" t="s">
        <v>1577</v>
      </c>
      <c r="E152" s="63" t="s">
        <v>50</v>
      </c>
      <c r="F152" s="94" t="s">
        <v>1578</v>
      </c>
      <c r="G152" s="159"/>
      <c r="H152" s="117" t="s">
        <v>1579</v>
      </c>
      <c r="J152" s="36" t="s">
        <v>362</v>
      </c>
    </row>
    <row r="153">
      <c r="A153" s="39">
        <v>43521.0</v>
      </c>
      <c r="B153" s="66" t="s">
        <v>1580</v>
      </c>
      <c r="C153" s="66" t="s">
        <v>1581</v>
      </c>
      <c r="D153" s="112" t="s">
        <v>1582</v>
      </c>
      <c r="E153" s="66" t="s">
        <v>26</v>
      </c>
      <c r="F153" s="66" t="s">
        <v>1583</v>
      </c>
      <c r="G153" s="210" t="s">
        <v>1584</v>
      </c>
      <c r="I153" s="212" t="s">
        <v>1585</v>
      </c>
      <c r="J153" s="36" t="s">
        <v>1586</v>
      </c>
    </row>
    <row r="154">
      <c r="A154" s="29">
        <v>43521.0</v>
      </c>
      <c r="B154" s="63" t="s">
        <v>1587</v>
      </c>
      <c r="C154" s="58" t="s">
        <v>1588</v>
      </c>
      <c r="D154" s="61" t="s">
        <v>1589</v>
      </c>
      <c r="E154" s="63" t="s">
        <v>50</v>
      </c>
      <c r="F154" s="63" t="s">
        <v>1590</v>
      </c>
      <c r="G154" s="159"/>
      <c r="I154" s="36" t="s">
        <v>1591</v>
      </c>
      <c r="J154" s="37" t="s">
        <v>32</v>
      </c>
    </row>
    <row r="155">
      <c r="A155" s="39">
        <v>43521.0</v>
      </c>
      <c r="B155" s="66" t="s">
        <v>1587</v>
      </c>
      <c r="C155" s="66" t="s">
        <v>1592</v>
      </c>
      <c r="D155" s="112" t="s">
        <v>1593</v>
      </c>
      <c r="E155" s="66" t="s">
        <v>1594</v>
      </c>
      <c r="F155" s="52" t="s">
        <v>966</v>
      </c>
      <c r="G155" s="157"/>
      <c r="I155" s="36" t="s">
        <v>1595</v>
      </c>
      <c r="J155" s="37" t="s">
        <v>265</v>
      </c>
    </row>
    <row r="156">
      <c r="A156" s="29">
        <v>43521.0</v>
      </c>
      <c r="B156" s="63" t="s">
        <v>1596</v>
      </c>
      <c r="C156" s="63" t="s">
        <v>1597</v>
      </c>
      <c r="D156" s="61" t="s">
        <v>1598</v>
      </c>
      <c r="E156" s="63" t="s">
        <v>50</v>
      </c>
      <c r="F156" s="63" t="s">
        <v>1245</v>
      </c>
      <c r="G156" s="58" t="s">
        <v>1599</v>
      </c>
      <c r="I156" s="36" t="s">
        <v>1600</v>
      </c>
      <c r="J156" s="37" t="s">
        <v>32</v>
      </c>
    </row>
    <row r="157">
      <c r="A157" s="39">
        <v>43521.0</v>
      </c>
      <c r="B157" s="66" t="s">
        <v>1601</v>
      </c>
      <c r="C157" s="66" t="s">
        <v>1602</v>
      </c>
      <c r="D157" s="112" t="s">
        <v>1603</v>
      </c>
      <c r="E157" s="66" t="s">
        <v>26</v>
      </c>
      <c r="G157" s="157"/>
      <c r="I157" s="117" t="s">
        <v>1604</v>
      </c>
      <c r="J157" s="37" t="s">
        <v>32</v>
      </c>
    </row>
    <row r="158">
      <c r="A158" s="29">
        <v>43521.0</v>
      </c>
      <c r="B158" s="63" t="s">
        <v>1605</v>
      </c>
      <c r="C158" s="63" t="s">
        <v>1606</v>
      </c>
      <c r="D158" s="114" t="s">
        <v>1607</v>
      </c>
      <c r="E158" s="63" t="s">
        <v>115</v>
      </c>
      <c r="F158" s="63" t="s">
        <v>1608</v>
      </c>
      <c r="G158" s="58" t="s">
        <v>1609</v>
      </c>
      <c r="J158" s="36" t="s">
        <v>1610</v>
      </c>
    </row>
    <row r="159">
      <c r="A159" s="39">
        <v>43523.0</v>
      </c>
      <c r="B159" s="66" t="s">
        <v>1611</v>
      </c>
      <c r="C159" s="52" t="s">
        <v>1612</v>
      </c>
      <c r="D159" s="112" t="s">
        <v>1613</v>
      </c>
      <c r="E159" s="66" t="s">
        <v>26</v>
      </c>
      <c r="F159" s="66" t="s">
        <v>1614</v>
      </c>
      <c r="G159" s="157"/>
      <c r="I159" s="36" t="s">
        <v>1615</v>
      </c>
      <c r="J159" s="37" t="s">
        <v>32</v>
      </c>
    </row>
    <row r="160">
      <c r="A160" s="29">
        <v>43524.0</v>
      </c>
      <c r="B160" s="63" t="s">
        <v>1616</v>
      </c>
      <c r="C160" s="63" t="s">
        <v>1617</v>
      </c>
      <c r="D160" s="61" t="s">
        <v>1618</v>
      </c>
      <c r="E160" s="63" t="s">
        <v>50</v>
      </c>
      <c r="F160" s="63" t="s">
        <v>1619</v>
      </c>
      <c r="G160" s="58" t="s">
        <v>1620</v>
      </c>
      <c r="J160" s="36" t="s">
        <v>1621</v>
      </c>
    </row>
    <row r="161">
      <c r="A161" s="39">
        <v>43524.0</v>
      </c>
      <c r="B161" s="213" t="s">
        <v>1622</v>
      </c>
      <c r="C161" s="214">
        <f>+971564546999</f>
        <v>971564546999</v>
      </c>
      <c r="D161" s="215" t="s">
        <v>1623</v>
      </c>
      <c r="E161" s="66" t="s">
        <v>50</v>
      </c>
      <c r="F161" s="213" t="s">
        <v>1624</v>
      </c>
      <c r="G161" s="157"/>
      <c r="I161" s="216" t="s">
        <v>1625</v>
      </c>
      <c r="J161" s="36" t="s">
        <v>1626</v>
      </c>
    </row>
    <row r="162">
      <c r="A162" s="29">
        <v>43524.0</v>
      </c>
      <c r="B162" s="217" t="s">
        <v>1587</v>
      </c>
      <c r="C162" s="217" t="s">
        <v>1627</v>
      </c>
      <c r="D162" s="218" t="s">
        <v>1628</v>
      </c>
      <c r="E162" s="63" t="s">
        <v>50</v>
      </c>
      <c r="F162" s="217" t="s">
        <v>1629</v>
      </c>
      <c r="G162" s="159"/>
      <c r="I162" s="200" t="s">
        <v>1630</v>
      </c>
      <c r="J162" s="36" t="s">
        <v>362</v>
      </c>
    </row>
    <row r="163">
      <c r="A163" s="39">
        <v>43524.0</v>
      </c>
      <c r="B163" s="66" t="s">
        <v>1631</v>
      </c>
      <c r="C163" s="66" t="s">
        <v>1632</v>
      </c>
      <c r="D163" s="112" t="s">
        <v>1633</v>
      </c>
      <c r="E163" s="66" t="s">
        <v>26</v>
      </c>
      <c r="F163" s="66" t="s">
        <v>1634</v>
      </c>
      <c r="G163" s="157"/>
      <c r="I163" s="117" t="s">
        <v>1604</v>
      </c>
      <c r="J163" s="37" t="s">
        <v>492</v>
      </c>
    </row>
    <row r="164">
      <c r="A164" s="29">
        <v>43526.0</v>
      </c>
      <c r="B164" s="58" t="s">
        <v>1587</v>
      </c>
      <c r="C164" s="58" t="s">
        <v>1635</v>
      </c>
      <c r="D164" s="61" t="s">
        <v>1636</v>
      </c>
      <c r="E164" s="63" t="s">
        <v>50</v>
      </c>
      <c r="F164" s="63" t="s">
        <v>1236</v>
      </c>
      <c r="G164" s="58" t="s">
        <v>1637</v>
      </c>
      <c r="I164" s="36" t="s">
        <v>1574</v>
      </c>
      <c r="J164" s="37" t="s">
        <v>492</v>
      </c>
    </row>
    <row r="165">
      <c r="A165" s="39">
        <v>43527.0</v>
      </c>
      <c r="B165" s="66" t="s">
        <v>1638</v>
      </c>
      <c r="C165" s="66" t="s">
        <v>1639</v>
      </c>
      <c r="D165" s="112" t="s">
        <v>1640</v>
      </c>
      <c r="E165" s="66" t="s">
        <v>26</v>
      </c>
      <c r="F165" s="66" t="s">
        <v>1518</v>
      </c>
      <c r="G165" s="157"/>
      <c r="I165" s="36" t="s">
        <v>1641</v>
      </c>
      <c r="J165" s="37" t="s">
        <v>1489</v>
      </c>
    </row>
    <row r="166">
      <c r="A166" s="29">
        <v>43528.0</v>
      </c>
      <c r="B166" s="63" t="s">
        <v>1642</v>
      </c>
      <c r="C166" s="63" t="s">
        <v>1643</v>
      </c>
      <c r="D166" s="114" t="s">
        <v>1644</v>
      </c>
      <c r="E166" s="63" t="s">
        <v>26</v>
      </c>
      <c r="F166" s="63" t="s">
        <v>1645</v>
      </c>
      <c r="G166" s="58" t="s">
        <v>1646</v>
      </c>
      <c r="I166" s="36" t="s">
        <v>1647</v>
      </c>
      <c r="J166" s="37" t="s">
        <v>492</v>
      </c>
    </row>
    <row r="167">
      <c r="A167" s="39">
        <v>43528.0</v>
      </c>
      <c r="B167" s="66" t="s">
        <v>1648</v>
      </c>
      <c r="C167" s="66" t="s">
        <v>1649</v>
      </c>
      <c r="D167" s="112" t="s">
        <v>1650</v>
      </c>
      <c r="E167" s="66" t="s">
        <v>26</v>
      </c>
      <c r="F167" s="66" t="s">
        <v>1651</v>
      </c>
      <c r="G167" s="157"/>
      <c r="J167" s="36" t="s">
        <v>1586</v>
      </c>
    </row>
    <row r="168">
      <c r="A168" s="29">
        <v>43528.0</v>
      </c>
      <c r="B168" s="63" t="s">
        <v>1652</v>
      </c>
      <c r="C168" s="58" t="s">
        <v>1653</v>
      </c>
      <c r="D168" s="114" t="s">
        <v>1654</v>
      </c>
      <c r="E168" s="63" t="s">
        <v>26</v>
      </c>
      <c r="F168" s="63" t="s">
        <v>1655</v>
      </c>
      <c r="G168" s="159"/>
      <c r="I168" s="212" t="s">
        <v>1656</v>
      </c>
      <c r="J168" s="37" t="s">
        <v>492</v>
      </c>
    </row>
    <row r="169">
      <c r="A169" s="39">
        <v>43529.0</v>
      </c>
      <c r="B169" s="66" t="s">
        <v>1657</v>
      </c>
      <c r="C169" s="66" t="s">
        <v>1658</v>
      </c>
      <c r="D169" s="112" t="s">
        <v>1659</v>
      </c>
      <c r="E169" s="66" t="s">
        <v>26</v>
      </c>
      <c r="F169" s="66" t="s">
        <v>1614</v>
      </c>
      <c r="G169" s="52" t="s">
        <v>1660</v>
      </c>
      <c r="J169" s="37" t="s">
        <v>492</v>
      </c>
    </row>
    <row r="170">
      <c r="A170" s="29">
        <v>43529.0</v>
      </c>
      <c r="B170" s="63" t="s">
        <v>1648</v>
      </c>
      <c r="C170" s="63" t="s">
        <v>1661</v>
      </c>
      <c r="D170" s="61" t="s">
        <v>1662</v>
      </c>
      <c r="E170" s="63" t="s">
        <v>26</v>
      </c>
      <c r="F170" s="63" t="s">
        <v>1663</v>
      </c>
      <c r="G170" s="58" t="s">
        <v>1664</v>
      </c>
      <c r="J170" s="36" t="s">
        <v>1586</v>
      </c>
    </row>
    <row r="171">
      <c r="A171" s="39">
        <v>43529.0</v>
      </c>
      <c r="B171" s="66" t="s">
        <v>1665</v>
      </c>
      <c r="C171" s="66" t="s">
        <v>1666</v>
      </c>
      <c r="D171" s="112" t="s">
        <v>1653</v>
      </c>
      <c r="E171" s="66" t="s">
        <v>26</v>
      </c>
      <c r="F171" s="66" t="s">
        <v>1667</v>
      </c>
      <c r="G171" s="52" t="s">
        <v>1668</v>
      </c>
      <c r="I171" s="147" t="s">
        <v>1669</v>
      </c>
      <c r="J171" s="37" t="s">
        <v>492</v>
      </c>
    </row>
    <row r="172">
      <c r="A172" s="29">
        <v>43529.0</v>
      </c>
      <c r="B172" s="58" t="s">
        <v>1670</v>
      </c>
      <c r="C172" s="58" t="s">
        <v>1671</v>
      </c>
      <c r="D172" s="61" t="s">
        <v>1672</v>
      </c>
      <c r="E172" s="63" t="s">
        <v>50</v>
      </c>
      <c r="F172" s="58" t="s">
        <v>1673</v>
      </c>
      <c r="G172" s="58" t="s">
        <v>1674</v>
      </c>
      <c r="J172" s="37" t="s">
        <v>492</v>
      </c>
    </row>
    <row r="173">
      <c r="A173" s="39">
        <v>43529.0</v>
      </c>
      <c r="B173" s="66" t="s">
        <v>1657</v>
      </c>
      <c r="C173" s="66" t="s">
        <v>1675</v>
      </c>
      <c r="D173" s="56" t="s">
        <v>1659</v>
      </c>
      <c r="E173" s="66" t="s">
        <v>26</v>
      </c>
      <c r="F173" s="66" t="s">
        <v>1614</v>
      </c>
      <c r="G173" s="157"/>
      <c r="I173" s="212" t="s">
        <v>1676</v>
      </c>
      <c r="J173" s="37" t="s">
        <v>492</v>
      </c>
    </row>
    <row r="174">
      <c r="A174" s="29">
        <v>43533.0</v>
      </c>
      <c r="B174" s="63" t="s">
        <v>1587</v>
      </c>
      <c r="C174" s="58" t="s">
        <v>1677</v>
      </c>
      <c r="D174" s="114" t="s">
        <v>1678</v>
      </c>
      <c r="E174" s="63" t="s">
        <v>50</v>
      </c>
      <c r="F174" s="63" t="s">
        <v>1679</v>
      </c>
      <c r="G174" s="58" t="s">
        <v>1680</v>
      </c>
      <c r="I174" s="117" t="s">
        <v>1681</v>
      </c>
      <c r="J174" s="37" t="s">
        <v>492</v>
      </c>
    </row>
    <row r="175">
      <c r="A175" s="39">
        <v>43533.0</v>
      </c>
      <c r="B175" s="66" t="s">
        <v>1682</v>
      </c>
      <c r="C175" s="66" t="s">
        <v>1683</v>
      </c>
      <c r="D175" s="112" t="s">
        <v>1684</v>
      </c>
      <c r="E175" s="66" t="s">
        <v>26</v>
      </c>
      <c r="F175" s="66" t="s">
        <v>1685</v>
      </c>
      <c r="G175" s="157"/>
      <c r="I175" s="212" t="s">
        <v>1686</v>
      </c>
      <c r="J175" s="37" t="s">
        <v>1489</v>
      </c>
    </row>
    <row r="176">
      <c r="A176" s="29">
        <v>43533.0</v>
      </c>
      <c r="B176" s="63" t="s">
        <v>1687</v>
      </c>
      <c r="C176" s="63" t="s">
        <v>1688</v>
      </c>
      <c r="D176" s="61" t="s">
        <v>1689</v>
      </c>
      <c r="E176" s="58" t="s">
        <v>342</v>
      </c>
      <c r="F176" s="63" t="s">
        <v>1690</v>
      </c>
      <c r="G176" s="159"/>
      <c r="I176" s="36" t="s">
        <v>1691</v>
      </c>
      <c r="J176" s="36" t="s">
        <v>1506</v>
      </c>
    </row>
    <row r="177">
      <c r="A177" s="39">
        <v>43533.0</v>
      </c>
      <c r="B177" s="66" t="s">
        <v>1692</v>
      </c>
      <c r="C177" s="66" t="s">
        <v>1693</v>
      </c>
      <c r="D177" s="56" t="s">
        <v>1694</v>
      </c>
      <c r="E177" s="52" t="s">
        <v>342</v>
      </c>
      <c r="F177" s="66" t="s">
        <v>1695</v>
      </c>
      <c r="G177" s="52" t="s">
        <v>1696</v>
      </c>
      <c r="I177" s="36" t="s">
        <v>1697</v>
      </c>
      <c r="J177" s="36" t="s">
        <v>1506</v>
      </c>
    </row>
    <row r="178">
      <c r="A178" s="29">
        <v>43533.0</v>
      </c>
      <c r="B178" s="63" t="s">
        <v>1698</v>
      </c>
      <c r="C178" s="63" t="s">
        <v>1699</v>
      </c>
      <c r="D178" s="114" t="s">
        <v>1700</v>
      </c>
      <c r="E178" s="58" t="s">
        <v>342</v>
      </c>
      <c r="F178" s="63" t="s">
        <v>1701</v>
      </c>
      <c r="G178" s="58" t="s">
        <v>1702</v>
      </c>
      <c r="I178" s="36" t="s">
        <v>1703</v>
      </c>
      <c r="J178" s="36" t="s">
        <v>1506</v>
      </c>
    </row>
    <row r="179">
      <c r="A179" s="39">
        <v>43533.0</v>
      </c>
      <c r="B179" s="66" t="s">
        <v>1704</v>
      </c>
      <c r="C179" s="66" t="s">
        <v>1705</v>
      </c>
      <c r="D179" s="112" t="s">
        <v>1706</v>
      </c>
      <c r="E179" s="52" t="s">
        <v>342</v>
      </c>
      <c r="F179" s="66" t="s">
        <v>1707</v>
      </c>
      <c r="G179" s="52" t="s">
        <v>1708</v>
      </c>
      <c r="J179" s="36" t="s">
        <v>675</v>
      </c>
    </row>
    <row r="180">
      <c r="A180" s="29">
        <v>43533.0</v>
      </c>
      <c r="B180" s="63" t="s">
        <v>1709</v>
      </c>
      <c r="C180" s="63" t="s">
        <v>1710</v>
      </c>
      <c r="D180" s="114" t="s">
        <v>1711</v>
      </c>
      <c r="E180" s="58" t="s">
        <v>342</v>
      </c>
      <c r="F180" s="63" t="s">
        <v>1712</v>
      </c>
      <c r="G180" s="63" t="s">
        <v>1702</v>
      </c>
      <c r="J180" s="37" t="s">
        <v>54</v>
      </c>
    </row>
    <row r="181">
      <c r="A181" s="39">
        <v>43534.0</v>
      </c>
      <c r="B181" s="66" t="s">
        <v>1713</v>
      </c>
      <c r="C181" s="66" t="s">
        <v>1714</v>
      </c>
      <c r="D181" s="112" t="s">
        <v>1715</v>
      </c>
      <c r="E181" s="66" t="s">
        <v>26</v>
      </c>
      <c r="F181" s="66" t="s">
        <v>1716</v>
      </c>
      <c r="G181" s="157"/>
      <c r="I181" s="36" t="s">
        <v>1717</v>
      </c>
      <c r="J181" s="36" t="s">
        <v>1718</v>
      </c>
    </row>
    <row r="182">
      <c r="A182" s="29">
        <v>43534.0</v>
      </c>
      <c r="B182" s="63" t="s">
        <v>1719</v>
      </c>
      <c r="C182" s="63" t="s">
        <v>1720</v>
      </c>
      <c r="D182" s="61" t="s">
        <v>1721</v>
      </c>
      <c r="E182" s="63" t="s">
        <v>115</v>
      </c>
      <c r="F182" s="63" t="s">
        <v>1722</v>
      </c>
      <c r="G182" s="159"/>
      <c r="I182" s="36" t="s">
        <v>1723</v>
      </c>
      <c r="J182" s="37" t="s">
        <v>265</v>
      </c>
    </row>
    <row r="183">
      <c r="A183" s="39">
        <v>43534.0</v>
      </c>
      <c r="B183" s="66" t="s">
        <v>1719</v>
      </c>
      <c r="C183" s="66" t="s">
        <v>1720</v>
      </c>
      <c r="D183" s="56" t="s">
        <v>1721</v>
      </c>
      <c r="E183" s="66" t="s">
        <v>115</v>
      </c>
      <c r="F183" s="66" t="s">
        <v>1722</v>
      </c>
      <c r="G183" s="157"/>
      <c r="I183" s="36" t="s">
        <v>1723</v>
      </c>
      <c r="J183" s="37" t="s">
        <v>265</v>
      </c>
    </row>
    <row r="184">
      <c r="A184" s="29">
        <v>43534.0</v>
      </c>
      <c r="B184" s="63" t="s">
        <v>1724</v>
      </c>
      <c r="C184" s="63" t="s">
        <v>1725</v>
      </c>
      <c r="D184" s="61" t="s">
        <v>1726</v>
      </c>
      <c r="E184" s="63" t="s">
        <v>26</v>
      </c>
      <c r="F184" s="63" t="s">
        <v>1727</v>
      </c>
      <c r="G184" s="159"/>
      <c r="I184" s="36" t="s">
        <v>1728</v>
      </c>
      <c r="J184" s="37" t="s">
        <v>492</v>
      </c>
    </row>
    <row r="185">
      <c r="A185" s="39">
        <v>43535.0</v>
      </c>
      <c r="B185" s="66" t="s">
        <v>1729</v>
      </c>
      <c r="C185" s="66" t="s">
        <v>1730</v>
      </c>
      <c r="D185" s="56" t="s">
        <v>1731</v>
      </c>
      <c r="E185" s="66" t="s">
        <v>26</v>
      </c>
      <c r="F185" s="66" t="s">
        <v>1732</v>
      </c>
      <c r="G185" s="52" t="s">
        <v>1733</v>
      </c>
    </row>
    <row r="186">
      <c r="A186" s="29">
        <v>43536.0</v>
      </c>
      <c r="B186" s="63" t="s">
        <v>1734</v>
      </c>
      <c r="C186" s="63" t="s">
        <v>1735</v>
      </c>
      <c r="D186" s="114" t="s">
        <v>1736</v>
      </c>
      <c r="E186" s="63" t="s">
        <v>115</v>
      </c>
      <c r="F186" s="63" t="s">
        <v>1737</v>
      </c>
      <c r="G186" s="159"/>
      <c r="J186" s="37" t="s">
        <v>45</v>
      </c>
    </row>
    <row r="187">
      <c r="A187" s="39">
        <v>43537.0</v>
      </c>
      <c r="B187" s="66" t="s">
        <v>1738</v>
      </c>
      <c r="C187" s="66" t="s">
        <v>1739</v>
      </c>
      <c r="D187" s="56" t="s">
        <v>1740</v>
      </c>
      <c r="E187" s="66" t="s">
        <v>26</v>
      </c>
      <c r="F187" s="66" t="s">
        <v>1569</v>
      </c>
      <c r="G187" s="157"/>
      <c r="J187" s="37" t="s">
        <v>492</v>
      </c>
    </row>
    <row r="188">
      <c r="A188" s="29">
        <v>43537.0</v>
      </c>
      <c r="B188" s="63" t="s">
        <v>1741</v>
      </c>
      <c r="C188" s="63" t="s">
        <v>1742</v>
      </c>
      <c r="D188" s="114" t="s">
        <v>1743</v>
      </c>
      <c r="E188" s="63" t="s">
        <v>26</v>
      </c>
      <c r="F188" s="219" t="s">
        <v>1744</v>
      </c>
      <c r="G188" s="159"/>
      <c r="J188" s="37" t="s">
        <v>492</v>
      </c>
    </row>
    <row r="189">
      <c r="A189" s="39">
        <v>43537.0</v>
      </c>
      <c r="B189" s="66" t="s">
        <v>1745</v>
      </c>
      <c r="C189" s="52" t="s">
        <v>1746</v>
      </c>
      <c r="D189" s="56" t="s">
        <v>1747</v>
      </c>
      <c r="E189" s="66" t="s">
        <v>26</v>
      </c>
      <c r="F189" s="66" t="s">
        <v>1748</v>
      </c>
      <c r="G189" s="157"/>
      <c r="J189" s="37" t="s">
        <v>492</v>
      </c>
    </row>
    <row r="190">
      <c r="A190" s="29">
        <v>43537.0</v>
      </c>
      <c r="B190" s="63" t="s">
        <v>1749</v>
      </c>
      <c r="C190" s="58" t="s">
        <v>1750</v>
      </c>
      <c r="D190" s="114" t="s">
        <v>1751</v>
      </c>
      <c r="E190" s="63" t="s">
        <v>50</v>
      </c>
      <c r="F190" s="63" t="s">
        <v>1752</v>
      </c>
      <c r="G190" s="58" t="s">
        <v>1753</v>
      </c>
      <c r="J190" s="37" t="s">
        <v>492</v>
      </c>
    </row>
    <row r="191">
      <c r="A191" s="39">
        <v>43537.0</v>
      </c>
      <c r="B191" s="66" t="s">
        <v>1642</v>
      </c>
      <c r="C191" s="66" t="s">
        <v>1754</v>
      </c>
      <c r="D191" s="112" t="s">
        <v>1643</v>
      </c>
      <c r="E191" s="66" t="s">
        <v>26</v>
      </c>
      <c r="F191" s="66" t="s">
        <v>1755</v>
      </c>
      <c r="G191" s="52" t="s">
        <v>1756</v>
      </c>
      <c r="J191" s="36" t="s">
        <v>1622</v>
      </c>
    </row>
    <row r="192">
      <c r="A192" s="29">
        <v>43537.0</v>
      </c>
      <c r="B192" s="63" t="s">
        <v>1757</v>
      </c>
      <c r="C192" s="63" t="s">
        <v>1517</v>
      </c>
      <c r="D192" s="114" t="s">
        <v>1758</v>
      </c>
      <c r="E192" s="63" t="s">
        <v>26</v>
      </c>
      <c r="F192" s="63" t="s">
        <v>1759</v>
      </c>
      <c r="G192" s="159"/>
      <c r="J192" s="37" t="s">
        <v>1519</v>
      </c>
    </row>
    <row r="193">
      <c r="A193" s="39">
        <v>43538.0</v>
      </c>
      <c r="B193" s="66" t="s">
        <v>1760</v>
      </c>
      <c r="C193" s="52" t="s">
        <v>1761</v>
      </c>
      <c r="D193" s="112" t="s">
        <v>1762</v>
      </c>
      <c r="E193" s="66" t="s">
        <v>50</v>
      </c>
      <c r="F193" s="66" t="s">
        <v>1763</v>
      </c>
      <c r="G193" s="52" t="s">
        <v>1764</v>
      </c>
      <c r="J193" s="36" t="s">
        <v>82</v>
      </c>
    </row>
    <row r="194">
      <c r="A194" s="29">
        <v>43538.0</v>
      </c>
      <c r="B194" s="63" t="s">
        <v>1765</v>
      </c>
      <c r="C194" s="63" t="s">
        <v>1766</v>
      </c>
      <c r="D194" s="114" t="s">
        <v>1767</v>
      </c>
      <c r="E194" s="63" t="s">
        <v>50</v>
      </c>
      <c r="F194" s="63" t="s">
        <v>1768</v>
      </c>
      <c r="G194" s="159"/>
      <c r="I194" s="36" t="s">
        <v>1769</v>
      </c>
      <c r="J194" s="36" t="s">
        <v>32</v>
      </c>
    </row>
    <row r="195">
      <c r="A195" s="39">
        <v>43538.0</v>
      </c>
      <c r="B195" s="66" t="s">
        <v>1770</v>
      </c>
      <c r="C195" s="52" t="s">
        <v>1771</v>
      </c>
      <c r="D195" s="56" t="s">
        <v>1772</v>
      </c>
      <c r="E195" s="66" t="s">
        <v>50</v>
      </c>
      <c r="F195" s="66" t="s">
        <v>1773</v>
      </c>
      <c r="G195" s="52" t="s">
        <v>1774</v>
      </c>
      <c r="I195" s="36" t="s">
        <v>1775</v>
      </c>
      <c r="J195" s="37" t="s">
        <v>265</v>
      </c>
    </row>
    <row r="196">
      <c r="A196" s="29">
        <v>43540.0</v>
      </c>
      <c r="B196" s="58" t="s">
        <v>1776</v>
      </c>
      <c r="C196" s="58" t="s">
        <v>1777</v>
      </c>
      <c r="D196" s="61" t="s">
        <v>1778</v>
      </c>
      <c r="E196" s="63" t="s">
        <v>26</v>
      </c>
      <c r="F196" s="58" t="s">
        <v>1779</v>
      </c>
      <c r="G196" s="159"/>
      <c r="J196" s="36" t="s">
        <v>1780</v>
      </c>
    </row>
    <row r="197">
      <c r="A197" s="220">
        <v>43542.0</v>
      </c>
      <c r="B197" s="56" t="s">
        <v>1781</v>
      </c>
      <c r="C197" s="52" t="s">
        <v>1782</v>
      </c>
      <c r="D197" s="56" t="s">
        <v>1783</v>
      </c>
      <c r="E197" s="52" t="s">
        <v>1784</v>
      </c>
      <c r="F197" s="52" t="s">
        <v>1785</v>
      </c>
      <c r="G197" s="52" t="s">
        <v>1786</v>
      </c>
      <c r="I197" s="117" t="s">
        <v>1787</v>
      </c>
      <c r="J197" s="36" t="s">
        <v>492</v>
      </c>
    </row>
    <row r="198">
      <c r="A198" s="221">
        <v>43542.0</v>
      </c>
      <c r="B198" s="114" t="s">
        <v>1788</v>
      </c>
      <c r="C198" s="63" t="s">
        <v>1789</v>
      </c>
      <c r="D198" s="114" t="s">
        <v>1790</v>
      </c>
      <c r="E198" s="63" t="s">
        <v>26</v>
      </c>
      <c r="F198" s="63" t="s">
        <v>1791</v>
      </c>
      <c r="G198" s="159"/>
      <c r="J198" s="36" t="s">
        <v>492</v>
      </c>
    </row>
    <row r="199">
      <c r="A199" s="220">
        <v>43542.0</v>
      </c>
      <c r="B199" s="17" t="s">
        <v>1792</v>
      </c>
      <c r="C199" s="66" t="s">
        <v>1793</v>
      </c>
      <c r="D199" s="112" t="s">
        <v>1794</v>
      </c>
      <c r="E199" s="66" t="s">
        <v>115</v>
      </c>
      <c r="F199" s="66" t="s">
        <v>1795</v>
      </c>
      <c r="G199" s="157"/>
      <c r="I199" s="222" t="s">
        <v>1796</v>
      </c>
      <c r="J199" s="36" t="s">
        <v>362</v>
      </c>
    </row>
    <row r="200">
      <c r="A200" s="221">
        <v>43543.0</v>
      </c>
      <c r="B200" s="114" t="s">
        <v>1797</v>
      </c>
      <c r="C200" s="63" t="s">
        <v>1798</v>
      </c>
      <c r="D200" s="114" t="s">
        <v>1799</v>
      </c>
      <c r="E200" s="63" t="s">
        <v>26</v>
      </c>
      <c r="F200" s="63" t="s">
        <v>1800</v>
      </c>
      <c r="G200" s="159"/>
      <c r="J200" s="36" t="s">
        <v>492</v>
      </c>
    </row>
    <row r="201">
      <c r="A201" s="220">
        <v>43543.0</v>
      </c>
      <c r="B201" s="17" t="s">
        <v>1801</v>
      </c>
      <c r="C201" s="66" t="s">
        <v>1802</v>
      </c>
      <c r="D201" s="178" t="s">
        <v>1803</v>
      </c>
      <c r="E201" s="66" t="s">
        <v>115</v>
      </c>
      <c r="F201" s="66" t="s">
        <v>1804</v>
      </c>
      <c r="G201" s="157"/>
      <c r="J201" s="36" t="s">
        <v>1805</v>
      </c>
    </row>
    <row r="202">
      <c r="A202" s="221">
        <v>43544.0</v>
      </c>
      <c r="B202" s="63" t="s">
        <v>20</v>
      </c>
      <c r="C202" s="63" t="s">
        <v>1806</v>
      </c>
      <c r="D202" s="223" t="s">
        <v>1807</v>
      </c>
      <c r="E202" s="63" t="s">
        <v>50</v>
      </c>
      <c r="F202" s="63" t="s">
        <v>1808</v>
      </c>
      <c r="G202" s="63" t="s">
        <v>1043</v>
      </c>
      <c r="J202" s="36" t="s">
        <v>492</v>
      </c>
    </row>
    <row r="203">
      <c r="A203" s="39">
        <v>43547.0</v>
      </c>
      <c r="B203" s="66" t="s">
        <v>20</v>
      </c>
      <c r="C203" s="66" t="s">
        <v>1809</v>
      </c>
      <c r="D203" s="178" t="s">
        <v>1810</v>
      </c>
      <c r="E203" s="66" t="s">
        <v>50</v>
      </c>
      <c r="F203" s="66" t="s">
        <v>943</v>
      </c>
      <c r="G203" s="66" t="s">
        <v>966</v>
      </c>
      <c r="J203" s="36" t="s">
        <v>675</v>
      </c>
    </row>
    <row r="204">
      <c r="A204" s="29">
        <v>43547.0</v>
      </c>
      <c r="B204" s="63" t="s">
        <v>1811</v>
      </c>
      <c r="C204" s="58" t="s">
        <v>1812</v>
      </c>
      <c r="D204" s="142" t="s">
        <v>1813</v>
      </c>
      <c r="E204" s="63" t="s">
        <v>50</v>
      </c>
      <c r="F204" s="58" t="s">
        <v>1814</v>
      </c>
      <c r="G204" s="58" t="s">
        <v>1815</v>
      </c>
      <c r="I204" s="147" t="s">
        <v>1816</v>
      </c>
      <c r="J204" s="36" t="s">
        <v>362</v>
      </c>
    </row>
    <row r="205">
      <c r="A205" s="39">
        <v>43548.0</v>
      </c>
      <c r="B205" s="66" t="s">
        <v>1818</v>
      </c>
      <c r="C205" s="66" t="s">
        <v>1819</v>
      </c>
      <c r="D205" s="178" t="s">
        <v>1820</v>
      </c>
      <c r="E205" s="66" t="s">
        <v>26</v>
      </c>
      <c r="F205" s="66" t="s">
        <v>1821</v>
      </c>
      <c r="G205" s="157"/>
      <c r="J205" s="36" t="s">
        <v>45</v>
      </c>
    </row>
    <row r="206">
      <c r="A206" s="29">
        <v>43548.0</v>
      </c>
      <c r="B206" s="63" t="s">
        <v>1822</v>
      </c>
      <c r="C206" s="63" t="s">
        <v>1823</v>
      </c>
      <c r="D206" s="223" t="s">
        <v>1825</v>
      </c>
      <c r="E206" s="63" t="s">
        <v>26</v>
      </c>
      <c r="F206" s="63" t="s">
        <v>1827</v>
      </c>
      <c r="I206" s="212" t="s">
        <v>1686</v>
      </c>
      <c r="J206" s="36" t="s">
        <v>1489</v>
      </c>
    </row>
    <row r="207">
      <c r="A207" s="39">
        <v>43548.0</v>
      </c>
      <c r="B207" s="66" t="s">
        <v>1836</v>
      </c>
      <c r="C207" s="52" t="s">
        <v>1837</v>
      </c>
      <c r="D207" s="178" t="s">
        <v>1838</v>
      </c>
      <c r="E207" s="66" t="s">
        <v>50</v>
      </c>
      <c r="F207" s="66" t="s">
        <v>1841</v>
      </c>
      <c r="G207" s="52" t="s">
        <v>1842</v>
      </c>
      <c r="I207" s="147" t="s">
        <v>1843</v>
      </c>
      <c r="J207" s="36" t="s">
        <v>1052</v>
      </c>
    </row>
    <row r="208">
      <c r="A208" s="29">
        <v>43548.0</v>
      </c>
      <c r="B208" s="63" t="s">
        <v>1846</v>
      </c>
      <c r="C208" s="63" t="s">
        <v>1847</v>
      </c>
      <c r="D208" s="223" t="s">
        <v>1849</v>
      </c>
      <c r="E208" s="63" t="s">
        <v>50</v>
      </c>
      <c r="F208" s="63" t="s">
        <v>1850</v>
      </c>
      <c r="G208" s="58" t="s">
        <v>1851</v>
      </c>
      <c r="I208" s="36" t="s">
        <v>1852</v>
      </c>
      <c r="J208" s="36" t="s">
        <v>492</v>
      </c>
    </row>
    <row r="209">
      <c r="A209" s="39">
        <v>43548.0</v>
      </c>
      <c r="B209" s="66" t="s">
        <v>1853</v>
      </c>
      <c r="C209" s="66" t="s">
        <v>1854</v>
      </c>
      <c r="D209" s="178" t="s">
        <v>1856</v>
      </c>
      <c r="E209" s="66" t="s">
        <v>50</v>
      </c>
      <c r="F209" s="66" t="s">
        <v>1858</v>
      </c>
      <c r="G209" s="66" t="s">
        <v>1859</v>
      </c>
      <c r="I209" s="36" t="s">
        <v>1861</v>
      </c>
      <c r="J209" s="36" t="s">
        <v>492</v>
      </c>
    </row>
    <row r="210">
      <c r="A210" s="29">
        <v>76421.0</v>
      </c>
      <c r="B210" s="63" t="s">
        <v>1864</v>
      </c>
      <c r="C210" s="63" t="s">
        <v>1794</v>
      </c>
      <c r="D210" s="223" t="s">
        <v>1866</v>
      </c>
      <c r="E210" s="63" t="s">
        <v>50</v>
      </c>
      <c r="F210" s="63" t="s">
        <v>1867</v>
      </c>
      <c r="G210" s="58" t="s">
        <v>1868</v>
      </c>
      <c r="I210" s="36" t="s">
        <v>1869</v>
      </c>
      <c r="J210" s="36" t="s">
        <v>362</v>
      </c>
    </row>
    <row r="211">
      <c r="A211" s="39">
        <v>43186.0</v>
      </c>
      <c r="B211" s="52" t="s">
        <v>1870</v>
      </c>
      <c r="C211" s="52" t="s">
        <v>1871</v>
      </c>
      <c r="D211" s="247" t="s">
        <v>1872</v>
      </c>
      <c r="E211" s="52" t="s">
        <v>26</v>
      </c>
      <c r="F211" s="52" t="s">
        <v>1873</v>
      </c>
      <c r="G211" s="157"/>
    </row>
    <row r="212">
      <c r="A212" s="29">
        <v>43187.0</v>
      </c>
      <c r="B212" s="58" t="s">
        <v>1874</v>
      </c>
      <c r="C212" s="58" t="s">
        <v>1875</v>
      </c>
      <c r="D212" s="248"/>
      <c r="E212" s="63" t="s">
        <v>139</v>
      </c>
      <c r="F212" s="63" t="s">
        <v>1876</v>
      </c>
      <c r="G212" s="159"/>
      <c r="J212" s="36" t="s">
        <v>32</v>
      </c>
    </row>
    <row r="213" ht="16.5" customHeight="1">
      <c r="A213" s="249">
        <v>43554.0</v>
      </c>
      <c r="B213" s="97" t="s">
        <v>1877</v>
      </c>
      <c r="C213" s="56" t="s">
        <v>1878</v>
      </c>
      <c r="D213" s="122" t="s">
        <v>1879</v>
      </c>
      <c r="F213" s="97" t="s">
        <v>1880</v>
      </c>
      <c r="G213" s="52" t="s">
        <v>1881</v>
      </c>
      <c r="I213" s="119" t="s">
        <v>1882</v>
      </c>
      <c r="J213" s="36" t="s">
        <v>1519</v>
      </c>
    </row>
    <row r="214">
      <c r="A214" s="252">
        <v>43555.0</v>
      </c>
      <c r="B214" s="63" t="s">
        <v>1886</v>
      </c>
      <c r="C214" s="58" t="s">
        <v>1887</v>
      </c>
      <c r="D214" s="142" t="s">
        <v>1888</v>
      </c>
      <c r="E214" s="63" t="s">
        <v>115</v>
      </c>
      <c r="F214" s="58" t="s">
        <v>1889</v>
      </c>
      <c r="G214" s="159"/>
      <c r="J214" s="36" t="s">
        <v>1890</v>
      </c>
    </row>
    <row r="215">
      <c r="A215" s="249">
        <v>43555.0</v>
      </c>
      <c r="B215" s="66" t="s">
        <v>1892</v>
      </c>
      <c r="C215" s="66" t="s">
        <v>1893</v>
      </c>
      <c r="D215" s="178" t="s">
        <v>1894</v>
      </c>
      <c r="E215" s="66" t="s">
        <v>50</v>
      </c>
      <c r="F215" s="66" t="s">
        <v>1895</v>
      </c>
      <c r="G215" s="66" t="s">
        <v>1897</v>
      </c>
      <c r="H215" s="87" t="s">
        <v>1898</v>
      </c>
      <c r="I215" s="87" t="s">
        <v>1899</v>
      </c>
      <c r="J215" s="36" t="s">
        <v>1805</v>
      </c>
    </row>
    <row r="216">
      <c r="A216" s="252">
        <v>43555.0</v>
      </c>
      <c r="B216" s="63" t="s">
        <v>1900</v>
      </c>
      <c r="C216" s="72" t="s">
        <v>1901</v>
      </c>
      <c r="D216" s="223" t="s">
        <v>1902</v>
      </c>
      <c r="E216" s="63" t="s">
        <v>50</v>
      </c>
      <c r="F216" s="63" t="s">
        <v>1236</v>
      </c>
      <c r="G216" s="72" t="s">
        <v>1904</v>
      </c>
      <c r="I216" s="36" t="s">
        <v>1574</v>
      </c>
      <c r="J216" s="36" t="s">
        <v>492</v>
      </c>
    </row>
    <row r="217">
      <c r="A217" s="249">
        <v>43556.0</v>
      </c>
      <c r="B217" s="119" t="s">
        <v>1907</v>
      </c>
      <c r="C217" s="66" t="s">
        <v>1908</v>
      </c>
      <c r="D217" s="112" t="s">
        <v>1909</v>
      </c>
      <c r="E217" s="66" t="s">
        <v>115</v>
      </c>
      <c r="F217" s="66" t="s">
        <v>1910</v>
      </c>
    </row>
    <row r="218">
      <c r="A218" s="258">
        <v>43556.0</v>
      </c>
      <c r="B218" s="259" t="s">
        <v>1912</v>
      </c>
      <c r="C218" s="259" t="s">
        <v>1913</v>
      </c>
      <c r="D218" s="260" t="s">
        <v>1914</v>
      </c>
      <c r="E218" s="63" t="s">
        <v>50</v>
      </c>
      <c r="F218" s="259" t="s">
        <v>966</v>
      </c>
    </row>
    <row r="219">
      <c r="A219" s="261">
        <v>43556.0</v>
      </c>
      <c r="B219" s="66" t="s">
        <v>1915</v>
      </c>
      <c r="C219" s="206"/>
      <c r="D219" s="112" t="s">
        <v>1916</v>
      </c>
      <c r="E219" s="66" t="s">
        <v>13</v>
      </c>
      <c r="F219" s="66" t="s">
        <v>1918</v>
      </c>
      <c r="I219" s="36" t="s">
        <v>1921</v>
      </c>
      <c r="J219" s="36" t="s">
        <v>1922</v>
      </c>
    </row>
    <row r="220">
      <c r="A220" s="258">
        <v>43556.0</v>
      </c>
      <c r="B220" s="63" t="s">
        <v>1924</v>
      </c>
      <c r="C220" s="58" t="s">
        <v>1925</v>
      </c>
      <c r="D220" s="265">
        <f>+971529185317</f>
        <v>971529185317</v>
      </c>
      <c r="E220" s="63" t="s">
        <v>1931</v>
      </c>
      <c r="F220" s="267" t="s">
        <v>1933</v>
      </c>
      <c r="I220" s="36" t="s">
        <v>1934</v>
      </c>
    </row>
    <row r="221">
      <c r="A221" s="268">
        <v>43557.0</v>
      </c>
      <c r="B221" s="269" t="s">
        <v>1935</v>
      </c>
      <c r="C221" s="68" t="s">
        <v>1936</v>
      </c>
      <c r="D221" s="271">
        <f>+971569239267</f>
        <v>971569239267</v>
      </c>
      <c r="E221" s="56" t="s">
        <v>227</v>
      </c>
      <c r="I221" s="273" t="s">
        <v>1939</v>
      </c>
    </row>
    <row r="222">
      <c r="A222" s="274">
        <v>43557.0</v>
      </c>
      <c r="B222" s="61" t="s">
        <v>1944</v>
      </c>
      <c r="C222" s="276" t="s">
        <v>1945</v>
      </c>
      <c r="D222" s="277">
        <v>9.71555886699E11</v>
      </c>
      <c r="E222" s="61" t="s">
        <v>50</v>
      </c>
      <c r="F222" s="63" t="s">
        <v>1952</v>
      </c>
      <c r="I222" s="279" t="s">
        <v>1953</v>
      </c>
    </row>
    <row r="223">
      <c r="A223" s="268">
        <v>43557.0</v>
      </c>
      <c r="B223" s="52" t="s">
        <v>1954</v>
      </c>
      <c r="C223" s="52" t="s">
        <v>1955</v>
      </c>
      <c r="D223" s="247" t="s">
        <v>1956</v>
      </c>
      <c r="E223" s="66" t="s">
        <v>26</v>
      </c>
      <c r="F223" s="52" t="s">
        <v>1957</v>
      </c>
      <c r="J223" s="36" t="s">
        <v>998</v>
      </c>
    </row>
    <row r="224">
      <c r="A224" s="274">
        <v>43558.0</v>
      </c>
      <c r="B224" s="61" t="s">
        <v>1958</v>
      </c>
      <c r="C224" s="72" t="s">
        <v>1959</v>
      </c>
      <c r="D224" s="61" t="s">
        <v>1960</v>
      </c>
      <c r="E224" s="61" t="s">
        <v>50</v>
      </c>
      <c r="F224" s="63" t="s">
        <v>1963</v>
      </c>
      <c r="I224" s="279" t="s">
        <v>1965</v>
      </c>
    </row>
    <row r="225">
      <c r="A225" s="268">
        <v>43558.0</v>
      </c>
      <c r="B225" s="66" t="s">
        <v>1966</v>
      </c>
      <c r="C225" s="68" t="s">
        <v>1967</v>
      </c>
      <c r="D225" s="247" t="s">
        <v>1968</v>
      </c>
      <c r="E225" s="66" t="s">
        <v>26</v>
      </c>
      <c r="F225" s="66" t="s">
        <v>1969</v>
      </c>
      <c r="J225" s="36" t="s">
        <v>158</v>
      </c>
    </row>
    <row r="226">
      <c r="A226" s="274">
        <v>43558.0</v>
      </c>
      <c r="B226" s="63" t="s">
        <v>1971</v>
      </c>
      <c r="C226" s="76" t="s">
        <v>1973</v>
      </c>
      <c r="D226" s="142" t="s">
        <v>1977</v>
      </c>
      <c r="E226" s="63" t="s">
        <v>50</v>
      </c>
      <c r="F226" s="63" t="s">
        <v>1981</v>
      </c>
      <c r="G226" s="58" t="s">
        <v>1982</v>
      </c>
      <c r="I226" s="36" t="s">
        <v>1983</v>
      </c>
      <c r="J226" s="36" t="s">
        <v>265</v>
      </c>
    </row>
    <row r="227">
      <c r="A227" s="268">
        <v>43558.0</v>
      </c>
      <c r="B227" s="66" t="s">
        <v>1984</v>
      </c>
      <c r="C227" s="66" t="s">
        <v>1945</v>
      </c>
      <c r="D227" s="178" t="s">
        <v>1985</v>
      </c>
      <c r="E227" s="66" t="s">
        <v>50</v>
      </c>
      <c r="F227" s="66" t="s">
        <v>1986</v>
      </c>
      <c r="G227" s="52" t="s">
        <v>1952</v>
      </c>
      <c r="I227" s="36" t="s">
        <v>1989</v>
      </c>
      <c r="J227" s="36" t="s">
        <v>158</v>
      </c>
    </row>
    <row r="228">
      <c r="A228" s="274">
        <v>43558.0</v>
      </c>
      <c r="B228" s="63" t="s">
        <v>1991</v>
      </c>
      <c r="C228" s="63" t="s">
        <v>1994</v>
      </c>
      <c r="D228" s="223" t="s">
        <v>1997</v>
      </c>
      <c r="E228" s="63" t="s">
        <v>26</v>
      </c>
      <c r="F228" s="63" t="s">
        <v>1999</v>
      </c>
      <c r="G228" s="144"/>
      <c r="J228" s="36" t="s">
        <v>609</v>
      </c>
    </row>
    <row r="229">
      <c r="A229" s="268">
        <v>43558.0</v>
      </c>
      <c r="B229" s="66" t="s">
        <v>2002</v>
      </c>
      <c r="C229" s="66" t="s">
        <v>1887</v>
      </c>
      <c r="D229" s="178" t="s">
        <v>1888</v>
      </c>
      <c r="E229" s="66" t="s">
        <v>115</v>
      </c>
      <c r="F229" s="66" t="s">
        <v>2003</v>
      </c>
      <c r="G229" s="97"/>
      <c r="J229" s="36" t="s">
        <v>1506</v>
      </c>
    </row>
    <row r="230">
      <c r="A230" s="274">
        <v>43558.0</v>
      </c>
      <c r="B230" s="63" t="s">
        <v>1900</v>
      </c>
      <c r="C230" s="76" t="s">
        <v>1901</v>
      </c>
      <c r="D230" s="142" t="s">
        <v>1902</v>
      </c>
      <c r="E230" s="63" t="s">
        <v>50</v>
      </c>
      <c r="F230" s="63" t="s">
        <v>2008</v>
      </c>
      <c r="G230" s="58" t="s">
        <v>2010</v>
      </c>
      <c r="I230" s="36" t="s">
        <v>1574</v>
      </c>
      <c r="J230" s="36" t="s">
        <v>492</v>
      </c>
    </row>
    <row r="231">
      <c r="A231" s="268">
        <v>43561.0</v>
      </c>
      <c r="B231" s="66" t="s">
        <v>2012</v>
      </c>
      <c r="C231" s="68" t="s">
        <v>2013</v>
      </c>
      <c r="D231" s="178" t="s">
        <v>2014</v>
      </c>
      <c r="E231" s="66" t="s">
        <v>1126</v>
      </c>
      <c r="F231" s="66" t="s">
        <v>1664</v>
      </c>
      <c r="G231" s="97"/>
      <c r="I231" s="36" t="s">
        <v>2015</v>
      </c>
      <c r="J231" s="36" t="s">
        <v>265</v>
      </c>
    </row>
    <row r="232">
      <c r="A232" s="274">
        <v>43561.0</v>
      </c>
      <c r="B232" s="63" t="s">
        <v>2012</v>
      </c>
      <c r="C232" s="72" t="s">
        <v>2013</v>
      </c>
      <c r="D232" s="223" t="s">
        <v>2014</v>
      </c>
      <c r="E232" s="63" t="s">
        <v>26</v>
      </c>
      <c r="F232" s="63" t="s">
        <v>2017</v>
      </c>
      <c r="I232" s="36" t="s">
        <v>2018</v>
      </c>
      <c r="J232" s="36" t="s">
        <v>265</v>
      </c>
    </row>
    <row r="233">
      <c r="A233" s="268">
        <v>43562.0</v>
      </c>
      <c r="B233" s="66" t="s">
        <v>2019</v>
      </c>
      <c r="C233" s="66" t="s">
        <v>2020</v>
      </c>
      <c r="D233" s="178" t="s">
        <v>2021</v>
      </c>
      <c r="E233" s="66" t="s">
        <v>50</v>
      </c>
      <c r="F233" s="66" t="s">
        <v>2022</v>
      </c>
      <c r="G233" s="52" t="s">
        <v>2023</v>
      </c>
      <c r="I233" s="36" t="s">
        <v>2024</v>
      </c>
      <c r="J233" s="36" t="s">
        <v>265</v>
      </c>
    </row>
    <row r="234">
      <c r="A234" s="274">
        <v>43562.0</v>
      </c>
      <c r="B234" s="63" t="s">
        <v>2025</v>
      </c>
      <c r="C234" s="63" t="s">
        <v>2026</v>
      </c>
      <c r="D234" s="223" t="s">
        <v>2027</v>
      </c>
      <c r="E234" s="63" t="s">
        <v>115</v>
      </c>
      <c r="F234" s="286" t="s">
        <v>2029</v>
      </c>
      <c r="G234" s="144"/>
      <c r="J234" s="36" t="s">
        <v>2031</v>
      </c>
    </row>
    <row r="235">
      <c r="A235" s="268">
        <v>43562.0</v>
      </c>
      <c r="B235" s="66" t="s">
        <v>2032</v>
      </c>
      <c r="C235" s="52" t="s">
        <v>2033</v>
      </c>
      <c r="D235" s="247" t="s">
        <v>2034</v>
      </c>
      <c r="E235" s="66" t="s">
        <v>50</v>
      </c>
      <c r="F235" s="66" t="s">
        <v>2035</v>
      </c>
      <c r="G235" s="52" t="s">
        <v>2037</v>
      </c>
      <c r="I235" s="36" t="s">
        <v>2038</v>
      </c>
      <c r="J235" s="36" t="s">
        <v>265</v>
      </c>
    </row>
    <row r="236">
      <c r="A236" s="274">
        <v>43563.0</v>
      </c>
      <c r="B236" s="63" t="s">
        <v>2042</v>
      </c>
      <c r="C236" s="63" t="s">
        <v>2043</v>
      </c>
      <c r="D236" s="114">
        <v>9.71551844566E11</v>
      </c>
      <c r="E236" s="63" t="s">
        <v>1126</v>
      </c>
      <c r="F236" s="63" t="s">
        <v>2044</v>
      </c>
      <c r="G236" s="144"/>
      <c r="I236" s="212" t="s">
        <v>2045</v>
      </c>
      <c r="J236" s="36" t="s">
        <v>492</v>
      </c>
    </row>
    <row r="237">
      <c r="A237" s="268">
        <v>43564.0</v>
      </c>
      <c r="B237" s="66" t="s">
        <v>487</v>
      </c>
      <c r="C237" s="66" t="s">
        <v>2065</v>
      </c>
      <c r="D237" s="178" t="s">
        <v>2067</v>
      </c>
      <c r="E237" s="66" t="s">
        <v>1126</v>
      </c>
      <c r="F237" s="66" t="s">
        <v>2070</v>
      </c>
      <c r="G237" s="97"/>
      <c r="I237" s="119" t="s">
        <v>2074</v>
      </c>
      <c r="J237" s="36" t="s">
        <v>82</v>
      </c>
    </row>
    <row r="238">
      <c r="A238" s="274">
        <v>43564.0</v>
      </c>
      <c r="B238" s="63" t="s">
        <v>2075</v>
      </c>
      <c r="D238" s="72" t="s">
        <v>2076</v>
      </c>
      <c r="E238" s="63" t="s">
        <v>476</v>
      </c>
      <c r="F238" s="63" t="s">
        <v>2077</v>
      </c>
      <c r="G238" s="144"/>
    </row>
    <row r="239">
      <c r="A239" s="268">
        <v>43565.0</v>
      </c>
      <c r="B239" s="119" t="s">
        <v>2078</v>
      </c>
      <c r="C239" s="66" t="s">
        <v>2080</v>
      </c>
      <c r="D239" s="68" t="s">
        <v>2081</v>
      </c>
      <c r="E239" s="66" t="s">
        <v>1126</v>
      </c>
      <c r="F239" s="52" t="s">
        <v>2082</v>
      </c>
      <c r="G239" s="52" t="s">
        <v>2083</v>
      </c>
    </row>
    <row r="240">
      <c r="A240" s="274">
        <v>43565.0</v>
      </c>
      <c r="B240" s="63" t="s">
        <v>2084</v>
      </c>
      <c r="C240" s="63" t="s">
        <v>2085</v>
      </c>
      <c r="D240" s="72" t="s">
        <v>2086</v>
      </c>
      <c r="E240" s="63" t="s">
        <v>1126</v>
      </c>
      <c r="F240" s="63" t="s">
        <v>2087</v>
      </c>
      <c r="G240" s="144"/>
      <c r="J240" s="36" t="s">
        <v>675</v>
      </c>
    </row>
    <row r="241">
      <c r="A241" s="268">
        <v>43566.0</v>
      </c>
      <c r="B241" s="66" t="s">
        <v>2088</v>
      </c>
      <c r="C241" s="66" t="s">
        <v>2089</v>
      </c>
      <c r="D241" s="68" t="s">
        <v>2090</v>
      </c>
      <c r="E241" s="66" t="s">
        <v>1126</v>
      </c>
      <c r="F241" s="52" t="s">
        <v>2091</v>
      </c>
      <c r="G241" s="52" t="s">
        <v>2092</v>
      </c>
      <c r="H241" s="147" t="s">
        <v>2093</v>
      </c>
      <c r="I241" s="288" t="s">
        <v>2094</v>
      </c>
    </row>
    <row r="242">
      <c r="A242" s="274">
        <v>43568.0</v>
      </c>
      <c r="B242" s="63" t="s">
        <v>2095</v>
      </c>
      <c r="C242" s="63" t="s">
        <v>2096</v>
      </c>
      <c r="D242" s="76" t="s">
        <v>2097</v>
      </c>
      <c r="E242" s="63" t="s">
        <v>1126</v>
      </c>
      <c r="F242" s="63" t="s">
        <v>2098</v>
      </c>
      <c r="G242" s="63" t="s">
        <v>2099</v>
      </c>
      <c r="J242" s="36" t="s">
        <v>2101</v>
      </c>
    </row>
    <row r="243">
      <c r="A243" s="268">
        <v>43569.0</v>
      </c>
      <c r="B243" s="66" t="s">
        <v>20</v>
      </c>
      <c r="C243" s="66" t="s">
        <v>2107</v>
      </c>
      <c r="D243" s="68" t="s">
        <v>2108</v>
      </c>
      <c r="E243" s="66" t="s">
        <v>50</v>
      </c>
      <c r="F243" s="66" t="s">
        <v>2111</v>
      </c>
      <c r="G243" s="52" t="s">
        <v>2112</v>
      </c>
      <c r="I243" s="36" t="s">
        <v>2115</v>
      </c>
    </row>
    <row r="244">
      <c r="A244" s="29"/>
      <c r="B244" s="290"/>
      <c r="D244" s="248"/>
      <c r="F244" s="159"/>
      <c r="G244" s="144"/>
    </row>
    <row r="245">
      <c r="A245" s="39"/>
      <c r="B245" s="292"/>
      <c r="D245" s="271"/>
      <c r="F245" s="157"/>
      <c r="G245" s="97"/>
    </row>
    <row r="246">
      <c r="A246" s="29"/>
      <c r="C246" s="144"/>
      <c r="D246" s="248"/>
      <c r="F246" s="159"/>
      <c r="G246" s="144"/>
    </row>
    <row r="247">
      <c r="A247" s="39"/>
      <c r="C247" s="97"/>
      <c r="D247" s="271"/>
      <c r="F247" s="157"/>
      <c r="G247" s="97"/>
    </row>
    <row r="248">
      <c r="A248" s="29"/>
      <c r="C248" s="293"/>
      <c r="D248" s="248"/>
      <c r="F248" s="159"/>
      <c r="G248" s="144"/>
    </row>
    <row r="249">
      <c r="A249" s="39"/>
      <c r="B249" s="97"/>
      <c r="C249" s="294"/>
      <c r="D249" s="271"/>
      <c r="F249" s="157"/>
      <c r="G249" s="97"/>
    </row>
    <row r="250">
      <c r="A250" s="295"/>
      <c r="B250" s="296"/>
      <c r="C250" s="297"/>
      <c r="D250" s="297"/>
      <c r="F250" s="296"/>
      <c r="G250" s="296"/>
    </row>
    <row r="251">
      <c r="A251" s="295"/>
      <c r="B251" s="296"/>
      <c r="C251" s="297"/>
      <c r="D251" s="297"/>
      <c r="E251" s="296"/>
      <c r="F251" s="296"/>
      <c r="G251" s="296"/>
    </row>
    <row r="252">
      <c r="A252" s="295"/>
      <c r="B252" s="296"/>
      <c r="C252" s="297"/>
      <c r="D252" s="297"/>
      <c r="E252" s="296"/>
      <c r="F252" s="296"/>
      <c r="G252" s="296"/>
    </row>
    <row r="253">
      <c r="A253" s="295"/>
      <c r="B253" s="296"/>
      <c r="C253" s="297"/>
      <c r="D253" s="297"/>
      <c r="E253" s="296"/>
      <c r="F253" s="296"/>
      <c r="G253" s="296"/>
    </row>
    <row r="254">
      <c r="A254" s="295"/>
      <c r="B254" s="296"/>
      <c r="C254" s="297"/>
      <c r="D254" s="297"/>
      <c r="E254" s="296"/>
      <c r="F254" s="296"/>
      <c r="G254" s="296"/>
    </row>
    <row r="255">
      <c r="A255" s="295"/>
      <c r="B255" s="296"/>
      <c r="C255" s="297"/>
      <c r="D255" s="297"/>
      <c r="E255" s="296"/>
      <c r="F255" s="296"/>
      <c r="G255" s="296"/>
    </row>
    <row r="256">
      <c r="A256" s="295"/>
      <c r="B256" s="296"/>
      <c r="C256" s="297"/>
      <c r="D256" s="297"/>
      <c r="E256" s="296"/>
      <c r="F256" s="296"/>
      <c r="G256" s="296"/>
    </row>
    <row r="257">
      <c r="A257" s="295"/>
      <c r="B257" s="296"/>
      <c r="C257" s="297"/>
      <c r="D257" s="297"/>
      <c r="E257" s="296"/>
      <c r="F257" s="296"/>
      <c r="G257" s="296"/>
    </row>
    <row r="258">
      <c r="A258" s="295"/>
      <c r="B258" s="296"/>
      <c r="C258" s="297"/>
      <c r="D258" s="297"/>
      <c r="E258" s="296"/>
      <c r="F258" s="296"/>
      <c r="G258" s="296"/>
    </row>
    <row r="259">
      <c r="A259" s="295"/>
      <c r="B259" s="296"/>
      <c r="C259" s="297"/>
      <c r="D259" s="297"/>
      <c r="E259" s="296"/>
      <c r="F259" s="296"/>
      <c r="G259" s="296"/>
    </row>
    <row r="260">
      <c r="A260" s="295"/>
      <c r="B260" s="296"/>
      <c r="C260" s="297"/>
      <c r="D260" s="297"/>
      <c r="E260" s="296"/>
      <c r="F260" s="296"/>
      <c r="G260" s="296"/>
    </row>
    <row r="261">
      <c r="A261" s="295"/>
      <c r="B261" s="296"/>
      <c r="C261" s="297"/>
      <c r="D261" s="297"/>
      <c r="E261" s="296"/>
      <c r="F261" s="296"/>
      <c r="G261" s="296"/>
    </row>
    <row r="262">
      <c r="A262" s="295"/>
      <c r="B262" s="296"/>
      <c r="C262" s="297"/>
      <c r="D262" s="297"/>
      <c r="E262" s="296"/>
      <c r="F262" s="296"/>
      <c r="G262" s="296"/>
    </row>
    <row r="263">
      <c r="A263" s="295"/>
      <c r="B263" s="296"/>
      <c r="C263" s="297"/>
      <c r="D263" s="297"/>
      <c r="E263" s="296"/>
      <c r="F263" s="296"/>
      <c r="G263" s="296"/>
    </row>
    <row r="264">
      <c r="A264" s="295"/>
      <c r="B264" s="296"/>
      <c r="C264" s="297"/>
      <c r="D264" s="297"/>
      <c r="E264" s="296"/>
      <c r="F264" s="296"/>
      <c r="G264" s="296"/>
    </row>
    <row r="265">
      <c r="A265" s="295"/>
      <c r="B265" s="296"/>
      <c r="C265" s="297"/>
      <c r="D265" s="297"/>
      <c r="E265" s="296"/>
      <c r="F265" s="296"/>
      <c r="G265" s="296"/>
    </row>
    <row r="266">
      <c r="A266" s="295"/>
      <c r="B266" s="296"/>
      <c r="C266" s="297"/>
      <c r="D266" s="297"/>
      <c r="E266" s="296"/>
      <c r="F266" s="296"/>
      <c r="G266" s="296"/>
    </row>
    <row r="267">
      <c r="A267" s="295"/>
      <c r="B267" s="296"/>
      <c r="C267" s="297"/>
      <c r="D267" s="297"/>
      <c r="E267" s="296"/>
      <c r="F267" s="296"/>
      <c r="G267" s="296"/>
    </row>
    <row r="268">
      <c r="A268" s="295"/>
      <c r="B268" s="296"/>
      <c r="C268" s="297"/>
      <c r="D268" s="297"/>
      <c r="E268" s="296"/>
      <c r="F268" s="296"/>
      <c r="G268" s="296"/>
    </row>
    <row r="269">
      <c r="A269" s="295"/>
      <c r="B269" s="296"/>
      <c r="C269" s="297"/>
      <c r="D269" s="297"/>
      <c r="E269" s="296"/>
      <c r="F269" s="296"/>
      <c r="G269" s="296"/>
    </row>
    <row r="270">
      <c r="A270" s="295"/>
      <c r="B270" s="296"/>
      <c r="C270" s="297"/>
      <c r="D270" s="297"/>
      <c r="E270" s="296"/>
      <c r="F270" s="296"/>
      <c r="G270" s="296"/>
    </row>
    <row r="271">
      <c r="A271" s="295"/>
      <c r="B271" s="296"/>
      <c r="C271" s="297"/>
      <c r="D271" s="297"/>
      <c r="E271" s="296"/>
      <c r="F271" s="296"/>
      <c r="G271" s="296"/>
    </row>
    <row r="272">
      <c r="A272" s="295"/>
      <c r="B272" s="296"/>
      <c r="C272" s="297"/>
      <c r="D272" s="297"/>
      <c r="E272" s="296"/>
      <c r="F272" s="296"/>
      <c r="G272" s="296"/>
    </row>
    <row r="273">
      <c r="A273" s="295"/>
      <c r="B273" s="296"/>
      <c r="C273" s="297"/>
      <c r="D273" s="297"/>
      <c r="E273" s="296"/>
      <c r="F273" s="296"/>
      <c r="G273" s="296"/>
    </row>
    <row r="274">
      <c r="A274" s="295"/>
      <c r="B274" s="296"/>
      <c r="C274" s="297"/>
      <c r="D274" s="297"/>
      <c r="E274" s="296"/>
      <c r="F274" s="296"/>
      <c r="G274" s="296"/>
    </row>
    <row r="275">
      <c r="A275" s="295"/>
      <c r="B275" s="296"/>
      <c r="C275" s="297"/>
      <c r="D275" s="297"/>
      <c r="E275" s="296"/>
      <c r="F275" s="296"/>
      <c r="G275" s="296"/>
    </row>
    <row r="276">
      <c r="A276" s="295"/>
      <c r="B276" s="296"/>
      <c r="C276" s="297"/>
      <c r="D276" s="297"/>
      <c r="E276" s="296"/>
      <c r="F276" s="296"/>
      <c r="G276" s="296"/>
    </row>
    <row r="277">
      <c r="A277" s="295"/>
      <c r="B277" s="296"/>
      <c r="C277" s="297"/>
      <c r="D277" s="297"/>
      <c r="E277" s="296"/>
      <c r="F277" s="296"/>
      <c r="G277" s="296"/>
    </row>
    <row r="278">
      <c r="A278" s="295"/>
      <c r="B278" s="296"/>
      <c r="C278" s="297"/>
      <c r="D278" s="297"/>
      <c r="E278" s="296"/>
      <c r="F278" s="296"/>
      <c r="G278" s="296"/>
    </row>
    <row r="279">
      <c r="A279" s="295"/>
      <c r="B279" s="296"/>
      <c r="C279" s="297"/>
      <c r="D279" s="297"/>
      <c r="E279" s="296"/>
      <c r="F279" s="296"/>
      <c r="G279" s="296"/>
    </row>
    <row r="280">
      <c r="A280" s="295"/>
      <c r="B280" s="296"/>
      <c r="C280" s="297"/>
      <c r="D280" s="297"/>
      <c r="E280" s="296"/>
      <c r="F280" s="296"/>
      <c r="G280" s="296"/>
    </row>
    <row r="281">
      <c r="A281" s="295"/>
      <c r="B281" s="296"/>
      <c r="C281" s="297"/>
      <c r="D281" s="297"/>
      <c r="E281" s="296"/>
      <c r="F281" s="296"/>
      <c r="G281" s="296"/>
    </row>
    <row r="282">
      <c r="A282" s="295"/>
      <c r="B282" s="296"/>
      <c r="C282" s="297"/>
      <c r="D282" s="297"/>
      <c r="E282" s="296"/>
      <c r="F282" s="296"/>
      <c r="G282" s="296"/>
    </row>
    <row r="283">
      <c r="A283" s="295"/>
      <c r="B283" s="296"/>
      <c r="C283" s="297"/>
      <c r="D283" s="297"/>
      <c r="E283" s="296"/>
      <c r="F283" s="296"/>
      <c r="G283" s="296"/>
    </row>
    <row r="284">
      <c r="A284" s="295"/>
      <c r="B284" s="296"/>
      <c r="C284" s="297"/>
      <c r="D284" s="297"/>
      <c r="E284" s="296"/>
      <c r="F284" s="296"/>
      <c r="G284" s="296"/>
    </row>
    <row r="285">
      <c r="A285" s="295"/>
      <c r="B285" s="296"/>
      <c r="C285" s="297"/>
      <c r="D285" s="297"/>
      <c r="E285" s="296"/>
      <c r="F285" s="296"/>
      <c r="G285" s="296"/>
    </row>
    <row r="286">
      <c r="A286" s="295"/>
      <c r="B286" s="296"/>
      <c r="C286" s="297"/>
      <c r="D286" s="297"/>
      <c r="E286" s="296"/>
      <c r="F286" s="296"/>
      <c r="G286" s="296"/>
    </row>
    <row r="287">
      <c r="A287" s="295"/>
      <c r="B287" s="296"/>
      <c r="C287" s="297"/>
      <c r="D287" s="297"/>
      <c r="E287" s="296"/>
      <c r="F287" s="296"/>
      <c r="G287" s="296"/>
    </row>
    <row r="288">
      <c r="A288" s="295"/>
      <c r="B288" s="296"/>
      <c r="C288" s="297"/>
      <c r="D288" s="297"/>
      <c r="E288" s="296"/>
      <c r="F288" s="296"/>
      <c r="G288" s="296"/>
    </row>
    <row r="289">
      <c r="A289" s="295"/>
      <c r="B289" s="296"/>
      <c r="C289" s="297"/>
      <c r="D289" s="297"/>
      <c r="E289" s="296"/>
      <c r="F289" s="296"/>
      <c r="G289" s="296"/>
    </row>
    <row r="290">
      <c r="A290" s="295"/>
      <c r="B290" s="296"/>
      <c r="C290" s="297"/>
      <c r="D290" s="297"/>
      <c r="E290" s="296"/>
      <c r="F290" s="296"/>
      <c r="G290" s="296"/>
    </row>
    <row r="291">
      <c r="A291" s="295"/>
      <c r="B291" s="296"/>
      <c r="C291" s="297"/>
      <c r="D291" s="297"/>
      <c r="E291" s="296"/>
      <c r="F291" s="296"/>
      <c r="G291" s="296"/>
    </row>
    <row r="292">
      <c r="A292" s="295"/>
      <c r="B292" s="296"/>
      <c r="C292" s="297"/>
      <c r="D292" s="297"/>
      <c r="E292" s="296"/>
      <c r="F292" s="296"/>
      <c r="G292" s="296"/>
    </row>
    <row r="293">
      <c r="A293" s="295"/>
      <c r="B293" s="296"/>
      <c r="C293" s="297"/>
      <c r="D293" s="297"/>
      <c r="E293" s="296"/>
      <c r="F293" s="296"/>
      <c r="G293" s="296"/>
    </row>
    <row r="294">
      <c r="A294" s="295"/>
      <c r="B294" s="296"/>
      <c r="C294" s="297"/>
      <c r="D294" s="297"/>
      <c r="E294" s="296"/>
      <c r="F294" s="296"/>
      <c r="G294" s="296"/>
    </row>
    <row r="295">
      <c r="A295" s="295"/>
      <c r="B295" s="296"/>
      <c r="C295" s="297"/>
      <c r="D295" s="297"/>
      <c r="E295" s="296"/>
      <c r="F295" s="296"/>
      <c r="G295" s="296"/>
    </row>
    <row r="296">
      <c r="A296" s="295"/>
      <c r="B296" s="296"/>
      <c r="C296" s="297"/>
      <c r="D296" s="297"/>
      <c r="E296" s="296"/>
      <c r="F296" s="296"/>
      <c r="G296" s="296"/>
    </row>
    <row r="297">
      <c r="A297" s="295"/>
      <c r="B297" s="296"/>
      <c r="C297" s="297"/>
      <c r="D297" s="297"/>
      <c r="E297" s="296"/>
      <c r="F297" s="296"/>
      <c r="G297" s="296"/>
    </row>
    <row r="298">
      <c r="A298" s="295"/>
      <c r="B298" s="296"/>
      <c r="C298" s="297"/>
      <c r="D298" s="297"/>
      <c r="E298" s="296"/>
      <c r="F298" s="296"/>
      <c r="G298" s="296"/>
    </row>
    <row r="299">
      <c r="A299" s="295"/>
      <c r="B299" s="296"/>
      <c r="C299" s="297"/>
      <c r="D299" s="297"/>
      <c r="E299" s="296"/>
      <c r="F299" s="296"/>
      <c r="G299" s="296"/>
    </row>
    <row r="300">
      <c r="A300" s="295"/>
      <c r="B300" s="296"/>
      <c r="C300" s="297"/>
      <c r="D300" s="297"/>
      <c r="E300" s="296"/>
      <c r="F300" s="296"/>
      <c r="G300" s="296"/>
    </row>
    <row r="301">
      <c r="A301" s="295"/>
      <c r="B301" s="296"/>
      <c r="C301" s="297"/>
      <c r="D301" s="297"/>
      <c r="E301" s="296"/>
      <c r="F301" s="296"/>
      <c r="G301" s="296"/>
    </row>
    <row r="302">
      <c r="A302" s="295"/>
      <c r="B302" s="296"/>
      <c r="C302" s="297"/>
      <c r="D302" s="297"/>
      <c r="E302" s="296"/>
      <c r="F302" s="296"/>
      <c r="G302" s="296"/>
    </row>
    <row r="303">
      <c r="A303" s="295"/>
      <c r="B303" s="296"/>
      <c r="C303" s="297"/>
      <c r="D303" s="297"/>
      <c r="E303" s="296"/>
      <c r="F303" s="296"/>
      <c r="G303" s="296"/>
    </row>
    <row r="304">
      <c r="A304" s="295"/>
      <c r="B304" s="296"/>
      <c r="C304" s="297"/>
      <c r="D304" s="297"/>
      <c r="E304" s="296"/>
      <c r="F304" s="296"/>
      <c r="G304" s="296"/>
    </row>
    <row r="305">
      <c r="A305" s="295"/>
      <c r="B305" s="296"/>
      <c r="C305" s="297"/>
      <c r="D305" s="297"/>
      <c r="E305" s="296"/>
      <c r="F305" s="296"/>
      <c r="G305" s="296"/>
    </row>
    <row r="306">
      <c r="A306" s="295"/>
      <c r="B306" s="296"/>
      <c r="C306" s="297"/>
      <c r="D306" s="297"/>
      <c r="E306" s="296"/>
      <c r="F306" s="296"/>
      <c r="G306" s="296"/>
    </row>
    <row r="307">
      <c r="A307" s="295"/>
      <c r="B307" s="296"/>
      <c r="C307" s="297"/>
      <c r="D307" s="297"/>
      <c r="E307" s="296"/>
      <c r="F307" s="296"/>
      <c r="G307" s="296"/>
    </row>
    <row r="308">
      <c r="A308" s="295"/>
      <c r="B308" s="296"/>
      <c r="C308" s="297"/>
      <c r="D308" s="297"/>
      <c r="E308" s="296"/>
      <c r="F308" s="296"/>
      <c r="G308" s="296"/>
    </row>
    <row r="309">
      <c r="A309" s="295"/>
      <c r="B309" s="296"/>
      <c r="C309" s="297"/>
      <c r="D309" s="297"/>
      <c r="E309" s="296"/>
      <c r="F309" s="296"/>
      <c r="G309" s="296"/>
    </row>
    <row r="310">
      <c r="A310" s="295"/>
      <c r="B310" s="296"/>
      <c r="C310" s="297"/>
      <c r="D310" s="297"/>
      <c r="E310" s="296"/>
      <c r="F310" s="296"/>
      <c r="G310" s="296"/>
    </row>
    <row r="311">
      <c r="A311" s="295"/>
      <c r="B311" s="296"/>
      <c r="C311" s="297"/>
      <c r="D311" s="297"/>
      <c r="E311" s="296"/>
      <c r="F311" s="296"/>
      <c r="G311" s="296"/>
    </row>
    <row r="312">
      <c r="A312" s="295"/>
      <c r="B312" s="296"/>
      <c r="C312" s="297"/>
      <c r="D312" s="297"/>
      <c r="E312" s="296"/>
      <c r="F312" s="296"/>
      <c r="G312" s="296"/>
    </row>
    <row r="313">
      <c r="A313" s="295"/>
      <c r="B313" s="296"/>
      <c r="C313" s="297"/>
      <c r="D313" s="297"/>
      <c r="E313" s="296"/>
      <c r="F313" s="296"/>
      <c r="G313" s="296"/>
    </row>
    <row r="314">
      <c r="A314" s="295"/>
      <c r="B314" s="296"/>
      <c r="C314" s="297"/>
      <c r="D314" s="297"/>
      <c r="E314" s="296"/>
      <c r="F314" s="296"/>
      <c r="G314" s="296"/>
    </row>
    <row r="315">
      <c r="A315" s="295"/>
      <c r="B315" s="296"/>
      <c r="C315" s="297"/>
      <c r="D315" s="297"/>
      <c r="E315" s="296"/>
      <c r="F315" s="296"/>
      <c r="G315" s="296"/>
    </row>
    <row r="316">
      <c r="A316" s="295"/>
      <c r="B316" s="296"/>
      <c r="C316" s="297"/>
      <c r="D316" s="297"/>
      <c r="E316" s="296"/>
      <c r="F316" s="296"/>
      <c r="G316" s="296"/>
    </row>
    <row r="317">
      <c r="A317" s="295"/>
      <c r="B317" s="296"/>
      <c r="C317" s="297"/>
      <c r="D317" s="297"/>
      <c r="E317" s="296"/>
      <c r="F317" s="296"/>
      <c r="G317" s="296"/>
    </row>
    <row r="318">
      <c r="A318" s="295"/>
      <c r="B318" s="296"/>
      <c r="C318" s="297"/>
      <c r="D318" s="297"/>
      <c r="E318" s="296"/>
      <c r="F318" s="296"/>
      <c r="G318" s="296"/>
    </row>
    <row r="319">
      <c r="A319" s="295"/>
      <c r="B319" s="296"/>
      <c r="C319" s="297"/>
      <c r="D319" s="297"/>
      <c r="E319" s="296"/>
      <c r="F319" s="296"/>
      <c r="G319" s="296"/>
    </row>
    <row r="320">
      <c r="A320" s="295"/>
      <c r="B320" s="296"/>
      <c r="C320" s="297"/>
      <c r="D320" s="297"/>
      <c r="E320" s="296"/>
      <c r="F320" s="296"/>
      <c r="G320" s="296"/>
    </row>
    <row r="321">
      <c r="A321" s="295"/>
      <c r="B321" s="296"/>
      <c r="C321" s="297"/>
      <c r="D321" s="297"/>
      <c r="E321" s="296"/>
      <c r="F321" s="296"/>
      <c r="G321" s="296"/>
    </row>
    <row r="322">
      <c r="A322" s="295"/>
      <c r="B322" s="296"/>
      <c r="C322" s="297"/>
      <c r="D322" s="297"/>
      <c r="E322" s="296"/>
      <c r="F322" s="296"/>
      <c r="G322" s="296"/>
    </row>
    <row r="323">
      <c r="A323" s="295"/>
      <c r="B323" s="296"/>
      <c r="C323" s="297"/>
      <c r="D323" s="297"/>
      <c r="E323" s="296"/>
      <c r="F323" s="296"/>
      <c r="G323" s="296"/>
    </row>
    <row r="324">
      <c r="A324" s="295"/>
      <c r="B324" s="296"/>
      <c r="C324" s="297"/>
      <c r="D324" s="297"/>
      <c r="E324" s="296"/>
      <c r="F324" s="296"/>
      <c r="G324" s="296"/>
    </row>
    <row r="325">
      <c r="A325" s="295"/>
      <c r="B325" s="296"/>
      <c r="C325" s="297"/>
      <c r="D325" s="297"/>
      <c r="E325" s="296"/>
      <c r="F325" s="296"/>
      <c r="G325" s="296"/>
    </row>
    <row r="326">
      <c r="A326" s="295"/>
      <c r="B326" s="296"/>
      <c r="C326" s="297"/>
      <c r="D326" s="297"/>
      <c r="E326" s="296"/>
      <c r="F326" s="296"/>
      <c r="G326" s="296"/>
    </row>
    <row r="327">
      <c r="A327" s="295"/>
      <c r="B327" s="296"/>
      <c r="C327" s="297"/>
      <c r="D327" s="297"/>
      <c r="E327" s="296"/>
      <c r="F327" s="296"/>
      <c r="G327" s="296"/>
    </row>
    <row r="328">
      <c r="A328" s="295"/>
      <c r="B328" s="296"/>
      <c r="C328" s="297"/>
      <c r="D328" s="297"/>
      <c r="E328" s="296"/>
      <c r="F328" s="296"/>
      <c r="G328" s="296"/>
    </row>
    <row r="329">
      <c r="A329" s="295"/>
      <c r="B329" s="296"/>
      <c r="C329" s="297"/>
      <c r="D329" s="297"/>
      <c r="E329" s="296"/>
      <c r="F329" s="296"/>
      <c r="G329" s="296"/>
    </row>
    <row r="330">
      <c r="A330" s="295"/>
      <c r="B330" s="296"/>
      <c r="C330" s="297"/>
      <c r="D330" s="297"/>
      <c r="E330" s="296"/>
      <c r="F330" s="296"/>
      <c r="G330" s="296"/>
    </row>
    <row r="331">
      <c r="A331" s="295"/>
      <c r="B331" s="296"/>
      <c r="C331" s="297"/>
      <c r="D331" s="297"/>
      <c r="E331" s="296"/>
      <c r="F331" s="296"/>
      <c r="G331" s="296"/>
    </row>
    <row r="332">
      <c r="A332" s="295"/>
      <c r="B332" s="296"/>
      <c r="C332" s="297"/>
      <c r="D332" s="297"/>
      <c r="E332" s="296"/>
      <c r="F332" s="296"/>
      <c r="G332" s="296"/>
    </row>
    <row r="333">
      <c r="A333" s="295"/>
      <c r="B333" s="296"/>
      <c r="C333" s="297"/>
      <c r="D333" s="297"/>
      <c r="E333" s="296"/>
      <c r="F333" s="296"/>
      <c r="G333" s="296"/>
    </row>
    <row r="334">
      <c r="A334" s="295"/>
      <c r="B334" s="296"/>
      <c r="C334" s="297"/>
      <c r="D334" s="297"/>
      <c r="E334" s="296"/>
      <c r="F334" s="296"/>
      <c r="G334" s="296"/>
    </row>
    <row r="335">
      <c r="A335" s="295"/>
      <c r="B335" s="296"/>
      <c r="C335" s="297"/>
      <c r="D335" s="297"/>
      <c r="E335" s="296"/>
      <c r="F335" s="296"/>
      <c r="G335" s="296"/>
    </row>
    <row r="336">
      <c r="A336" s="295"/>
      <c r="B336" s="296"/>
      <c r="C336" s="297"/>
      <c r="D336" s="297"/>
      <c r="E336" s="296"/>
      <c r="F336" s="296"/>
      <c r="G336" s="296"/>
    </row>
    <row r="337">
      <c r="A337" s="295"/>
      <c r="B337" s="296"/>
      <c r="C337" s="297"/>
      <c r="D337" s="297"/>
      <c r="E337" s="296"/>
      <c r="F337" s="296"/>
      <c r="G337" s="296"/>
    </row>
    <row r="338">
      <c r="A338" s="295"/>
      <c r="B338" s="296"/>
      <c r="C338" s="297"/>
      <c r="D338" s="297"/>
      <c r="E338" s="296"/>
      <c r="F338" s="296"/>
      <c r="G338" s="296"/>
    </row>
    <row r="339">
      <c r="A339" s="295"/>
      <c r="B339" s="296"/>
      <c r="C339" s="297"/>
      <c r="D339" s="297"/>
      <c r="E339" s="296"/>
      <c r="F339" s="296"/>
      <c r="G339" s="296"/>
    </row>
    <row r="340">
      <c r="A340" s="295"/>
      <c r="B340" s="296"/>
      <c r="C340" s="297"/>
      <c r="D340" s="297"/>
      <c r="E340" s="296"/>
      <c r="F340" s="296"/>
      <c r="G340" s="296"/>
    </row>
    <row r="341">
      <c r="A341" s="295"/>
      <c r="B341" s="296"/>
      <c r="C341" s="297"/>
      <c r="D341" s="297"/>
      <c r="E341" s="296"/>
      <c r="F341" s="296"/>
      <c r="G341" s="296"/>
    </row>
    <row r="342">
      <c r="A342" s="295"/>
      <c r="B342" s="296"/>
      <c r="C342" s="297"/>
      <c r="D342" s="297"/>
      <c r="E342" s="296"/>
      <c r="F342" s="296"/>
      <c r="G342" s="296"/>
    </row>
    <row r="343">
      <c r="A343" s="295"/>
      <c r="B343" s="296"/>
      <c r="C343" s="297"/>
      <c r="D343" s="297"/>
      <c r="E343" s="296"/>
      <c r="F343" s="296"/>
      <c r="G343" s="296"/>
    </row>
    <row r="344">
      <c r="A344" s="295"/>
      <c r="B344" s="296"/>
      <c r="C344" s="297"/>
      <c r="D344" s="297"/>
      <c r="E344" s="296"/>
      <c r="F344" s="296"/>
      <c r="G344" s="296"/>
    </row>
    <row r="345">
      <c r="A345" s="295"/>
      <c r="B345" s="296"/>
      <c r="C345" s="297"/>
      <c r="D345" s="297"/>
      <c r="E345" s="296"/>
      <c r="F345" s="296"/>
      <c r="G345" s="296"/>
    </row>
    <row r="346">
      <c r="A346" s="295"/>
      <c r="B346" s="296"/>
      <c r="C346" s="297"/>
      <c r="D346" s="297"/>
      <c r="E346" s="296"/>
      <c r="F346" s="296"/>
      <c r="G346" s="296"/>
    </row>
    <row r="347">
      <c r="A347" s="295"/>
      <c r="B347" s="296"/>
      <c r="C347" s="297"/>
      <c r="D347" s="297"/>
      <c r="E347" s="296"/>
      <c r="F347" s="296"/>
      <c r="G347" s="296"/>
    </row>
    <row r="348">
      <c r="A348" s="295"/>
      <c r="B348" s="296"/>
      <c r="C348" s="297"/>
      <c r="D348" s="297"/>
      <c r="E348" s="296"/>
      <c r="F348" s="296"/>
      <c r="G348" s="296"/>
    </row>
    <row r="349">
      <c r="A349" s="295"/>
      <c r="B349" s="296"/>
      <c r="C349" s="297"/>
      <c r="D349" s="297"/>
      <c r="E349" s="296"/>
      <c r="F349" s="296"/>
      <c r="G349" s="296"/>
    </row>
    <row r="350">
      <c r="A350" s="295"/>
      <c r="B350" s="296"/>
      <c r="C350" s="297"/>
      <c r="D350" s="297"/>
      <c r="E350" s="296"/>
      <c r="F350" s="296"/>
      <c r="G350" s="296"/>
    </row>
    <row r="351">
      <c r="A351" s="295"/>
      <c r="B351" s="296"/>
      <c r="C351" s="297"/>
      <c r="D351" s="297"/>
      <c r="E351" s="296"/>
      <c r="F351" s="296"/>
      <c r="G351" s="296"/>
    </row>
    <row r="352">
      <c r="A352" s="295"/>
      <c r="B352" s="296"/>
      <c r="C352" s="297"/>
      <c r="D352" s="297"/>
      <c r="E352" s="296"/>
      <c r="F352" s="296"/>
      <c r="G352" s="296"/>
    </row>
    <row r="353">
      <c r="A353" s="295"/>
      <c r="B353" s="296"/>
      <c r="C353" s="297"/>
      <c r="D353" s="297"/>
      <c r="E353" s="296"/>
      <c r="F353" s="296"/>
      <c r="G353" s="296"/>
    </row>
    <row r="354">
      <c r="A354" s="295"/>
      <c r="B354" s="296"/>
      <c r="C354" s="297"/>
      <c r="D354" s="297"/>
      <c r="E354" s="296"/>
      <c r="F354" s="296"/>
      <c r="G354" s="296"/>
    </row>
    <row r="355">
      <c r="A355" s="295"/>
      <c r="B355" s="296"/>
      <c r="C355" s="297"/>
      <c r="D355" s="297"/>
      <c r="E355" s="296"/>
      <c r="F355" s="296"/>
      <c r="G355" s="296"/>
    </row>
    <row r="356">
      <c r="A356" s="295"/>
      <c r="B356" s="296"/>
      <c r="C356" s="297"/>
      <c r="D356" s="297"/>
      <c r="E356" s="296"/>
      <c r="F356" s="296"/>
      <c r="G356" s="296"/>
    </row>
    <row r="357">
      <c r="A357" s="295"/>
      <c r="B357" s="296"/>
      <c r="C357" s="297"/>
      <c r="D357" s="297"/>
      <c r="E357" s="296"/>
      <c r="F357" s="296"/>
      <c r="G357" s="296"/>
    </row>
    <row r="358">
      <c r="A358" s="295"/>
      <c r="B358" s="296"/>
      <c r="C358" s="297"/>
      <c r="D358" s="297"/>
      <c r="E358" s="296"/>
      <c r="F358" s="296"/>
      <c r="G358" s="296"/>
    </row>
    <row r="359">
      <c r="A359" s="295"/>
      <c r="B359" s="296"/>
      <c r="C359" s="297"/>
      <c r="D359" s="297"/>
      <c r="E359" s="296"/>
      <c r="F359" s="296"/>
      <c r="G359" s="296"/>
    </row>
    <row r="360">
      <c r="A360" s="295"/>
      <c r="B360" s="296"/>
      <c r="C360" s="297"/>
      <c r="D360" s="297"/>
      <c r="E360" s="296"/>
      <c r="F360" s="296"/>
      <c r="G360" s="296"/>
    </row>
    <row r="361">
      <c r="A361" s="295"/>
      <c r="B361" s="296"/>
      <c r="C361" s="297"/>
      <c r="D361" s="297"/>
      <c r="E361" s="296"/>
      <c r="F361" s="296"/>
      <c r="G361" s="296"/>
    </row>
    <row r="362">
      <c r="A362" s="295"/>
      <c r="B362" s="296"/>
      <c r="C362" s="297"/>
      <c r="D362" s="297"/>
      <c r="E362" s="296"/>
      <c r="F362" s="296"/>
      <c r="G362" s="296"/>
    </row>
    <row r="363">
      <c r="A363" s="295"/>
      <c r="B363" s="296"/>
      <c r="C363" s="297"/>
      <c r="D363" s="297"/>
      <c r="E363" s="296"/>
      <c r="F363" s="296"/>
      <c r="G363" s="296"/>
    </row>
    <row r="364">
      <c r="A364" s="295"/>
      <c r="B364" s="296"/>
      <c r="C364" s="297"/>
      <c r="D364" s="297"/>
      <c r="E364" s="296"/>
      <c r="F364" s="296"/>
      <c r="G364" s="296"/>
    </row>
    <row r="365">
      <c r="A365" s="295"/>
      <c r="B365" s="296"/>
      <c r="C365" s="297"/>
      <c r="D365" s="297"/>
      <c r="E365" s="296"/>
      <c r="F365" s="296"/>
      <c r="G365" s="296"/>
    </row>
    <row r="366">
      <c r="A366" s="295"/>
      <c r="B366" s="296"/>
      <c r="C366" s="297"/>
      <c r="D366" s="297"/>
      <c r="E366" s="296"/>
      <c r="F366" s="296"/>
      <c r="G366" s="296"/>
    </row>
    <row r="367">
      <c r="A367" s="295"/>
      <c r="B367" s="296"/>
      <c r="C367" s="297"/>
      <c r="D367" s="297"/>
      <c r="E367" s="296"/>
      <c r="F367" s="296"/>
      <c r="G367" s="296"/>
    </row>
    <row r="368">
      <c r="A368" s="295"/>
      <c r="B368" s="296"/>
      <c r="C368" s="297"/>
      <c r="D368" s="297"/>
      <c r="E368" s="296"/>
      <c r="F368" s="296"/>
      <c r="G368" s="296"/>
    </row>
    <row r="369">
      <c r="A369" s="295"/>
      <c r="B369" s="296"/>
      <c r="C369" s="297"/>
      <c r="D369" s="297"/>
      <c r="E369" s="296"/>
      <c r="F369" s="296"/>
      <c r="G369" s="296"/>
    </row>
    <row r="370">
      <c r="A370" s="295"/>
      <c r="B370" s="296"/>
      <c r="C370" s="297"/>
      <c r="D370" s="297"/>
      <c r="E370" s="296"/>
      <c r="F370" s="296"/>
      <c r="G370" s="296"/>
    </row>
    <row r="371">
      <c r="A371" s="295"/>
      <c r="B371" s="296"/>
      <c r="C371" s="297"/>
      <c r="D371" s="297"/>
      <c r="E371" s="296"/>
      <c r="F371" s="296"/>
      <c r="G371" s="296"/>
    </row>
    <row r="372">
      <c r="A372" s="295"/>
      <c r="B372" s="296"/>
      <c r="C372" s="297"/>
      <c r="D372" s="297"/>
      <c r="E372" s="296"/>
      <c r="F372" s="296"/>
      <c r="G372" s="296"/>
    </row>
    <row r="373">
      <c r="A373" s="295"/>
      <c r="B373" s="296"/>
      <c r="C373" s="297"/>
      <c r="D373" s="297"/>
      <c r="E373" s="296"/>
      <c r="F373" s="296"/>
      <c r="G373" s="296"/>
    </row>
    <row r="374">
      <c r="A374" s="295"/>
      <c r="B374" s="296"/>
      <c r="C374" s="297"/>
      <c r="D374" s="297"/>
      <c r="E374" s="296"/>
      <c r="F374" s="296"/>
      <c r="G374" s="296"/>
    </row>
    <row r="375">
      <c r="A375" s="295"/>
      <c r="B375" s="296"/>
      <c r="C375" s="297"/>
      <c r="D375" s="297"/>
      <c r="E375" s="296"/>
      <c r="F375" s="296"/>
      <c r="G375" s="296"/>
    </row>
    <row r="376">
      <c r="A376" s="295"/>
      <c r="B376" s="296"/>
      <c r="C376" s="297"/>
      <c r="D376" s="297"/>
      <c r="E376" s="296"/>
      <c r="F376" s="296"/>
      <c r="G376" s="296"/>
    </row>
    <row r="377">
      <c r="A377" s="295"/>
      <c r="B377" s="296"/>
      <c r="C377" s="297"/>
      <c r="D377" s="297"/>
      <c r="E377" s="296"/>
      <c r="F377" s="296"/>
      <c r="G377" s="296"/>
    </row>
    <row r="378">
      <c r="A378" s="295"/>
      <c r="B378" s="296"/>
      <c r="C378" s="297"/>
      <c r="D378" s="297"/>
      <c r="E378" s="296"/>
      <c r="F378" s="296"/>
      <c r="G378" s="296"/>
    </row>
    <row r="379">
      <c r="A379" s="295"/>
      <c r="B379" s="296"/>
      <c r="C379" s="297"/>
      <c r="D379" s="297"/>
      <c r="E379" s="296"/>
      <c r="F379" s="296"/>
      <c r="G379" s="296"/>
    </row>
    <row r="380">
      <c r="A380" s="295"/>
      <c r="B380" s="296"/>
      <c r="C380" s="297"/>
      <c r="D380" s="297"/>
      <c r="E380" s="296"/>
      <c r="F380" s="296"/>
      <c r="G380" s="296"/>
    </row>
    <row r="381">
      <c r="A381" s="295"/>
      <c r="B381" s="296"/>
      <c r="C381" s="297"/>
      <c r="D381" s="297"/>
      <c r="E381" s="296"/>
      <c r="F381" s="296"/>
      <c r="G381" s="296"/>
    </row>
    <row r="382">
      <c r="A382" s="295"/>
      <c r="B382" s="296"/>
      <c r="C382" s="297"/>
      <c r="D382" s="297"/>
      <c r="E382" s="296"/>
      <c r="F382" s="296"/>
      <c r="G382" s="296"/>
    </row>
    <row r="383">
      <c r="A383" s="295"/>
      <c r="B383" s="296"/>
      <c r="C383" s="297"/>
      <c r="D383" s="297"/>
      <c r="E383" s="296"/>
      <c r="F383" s="296"/>
      <c r="G383" s="296"/>
    </row>
    <row r="384">
      <c r="A384" s="295"/>
      <c r="B384" s="296"/>
      <c r="C384" s="297"/>
      <c r="D384" s="297"/>
      <c r="E384" s="296"/>
      <c r="F384" s="296"/>
      <c r="G384" s="296"/>
    </row>
    <row r="385">
      <c r="A385" s="295"/>
      <c r="B385" s="296"/>
      <c r="C385" s="297"/>
      <c r="D385" s="297"/>
      <c r="E385" s="296"/>
      <c r="F385" s="296"/>
      <c r="G385" s="296"/>
    </row>
    <row r="386">
      <c r="A386" s="295"/>
      <c r="B386" s="296"/>
      <c r="C386" s="297"/>
      <c r="D386" s="297"/>
      <c r="E386" s="296"/>
      <c r="F386" s="296"/>
      <c r="G386" s="296"/>
    </row>
    <row r="387">
      <c r="A387" s="295"/>
      <c r="B387" s="296"/>
      <c r="C387" s="297"/>
      <c r="D387" s="297"/>
      <c r="E387" s="296"/>
      <c r="F387" s="296"/>
      <c r="G387" s="296"/>
    </row>
    <row r="388">
      <c r="A388" s="295"/>
      <c r="B388" s="296"/>
      <c r="C388" s="297"/>
      <c r="D388" s="297"/>
      <c r="E388" s="296"/>
      <c r="F388" s="296"/>
      <c r="G388" s="296"/>
    </row>
    <row r="389">
      <c r="A389" s="295"/>
      <c r="B389" s="296"/>
      <c r="C389" s="297"/>
      <c r="D389" s="297"/>
      <c r="E389" s="296"/>
      <c r="F389" s="296"/>
      <c r="G389" s="296"/>
    </row>
    <row r="390">
      <c r="A390" s="295"/>
      <c r="B390" s="296"/>
      <c r="C390" s="297"/>
      <c r="D390" s="297"/>
      <c r="E390" s="296"/>
      <c r="F390" s="296"/>
      <c r="G390" s="296"/>
    </row>
    <row r="391">
      <c r="A391" s="295"/>
      <c r="B391" s="296"/>
      <c r="C391" s="297"/>
      <c r="D391" s="297"/>
      <c r="E391" s="296"/>
      <c r="F391" s="296"/>
      <c r="G391" s="296"/>
    </row>
    <row r="392">
      <c r="A392" s="295"/>
      <c r="B392" s="296"/>
      <c r="C392" s="297"/>
      <c r="D392" s="297"/>
      <c r="E392" s="296"/>
      <c r="F392" s="296"/>
      <c r="G392" s="296"/>
    </row>
    <row r="393">
      <c r="A393" s="295"/>
      <c r="B393" s="296"/>
      <c r="C393" s="297"/>
      <c r="D393" s="297"/>
      <c r="E393" s="296"/>
      <c r="F393" s="296"/>
      <c r="G393" s="296"/>
    </row>
    <row r="394">
      <c r="A394" s="295"/>
      <c r="B394" s="296"/>
      <c r="C394" s="297"/>
      <c r="D394" s="297"/>
      <c r="E394" s="296"/>
      <c r="F394" s="296"/>
      <c r="G394" s="296"/>
    </row>
    <row r="395">
      <c r="A395" s="295"/>
      <c r="B395" s="296"/>
      <c r="C395" s="297"/>
      <c r="D395" s="297"/>
      <c r="E395" s="296"/>
      <c r="F395" s="296"/>
      <c r="G395" s="296"/>
    </row>
    <row r="396">
      <c r="A396" s="295"/>
      <c r="B396" s="296"/>
      <c r="C396" s="297"/>
      <c r="D396" s="297"/>
      <c r="E396" s="296"/>
      <c r="F396" s="296"/>
      <c r="G396" s="296"/>
    </row>
    <row r="397">
      <c r="A397" s="295"/>
      <c r="B397" s="296"/>
      <c r="C397" s="297"/>
      <c r="D397" s="297"/>
      <c r="E397" s="296"/>
      <c r="F397" s="296"/>
      <c r="G397" s="296"/>
    </row>
    <row r="398">
      <c r="A398" s="295"/>
      <c r="B398" s="296"/>
      <c r="C398" s="297"/>
      <c r="D398" s="297"/>
      <c r="E398" s="296"/>
      <c r="F398" s="296"/>
      <c r="G398" s="296"/>
    </row>
    <row r="399">
      <c r="A399" s="295"/>
      <c r="B399" s="296"/>
      <c r="C399" s="297"/>
      <c r="D399" s="297"/>
      <c r="E399" s="296"/>
      <c r="F399" s="296"/>
      <c r="G399" s="296"/>
    </row>
    <row r="400">
      <c r="A400" s="295"/>
      <c r="B400" s="296"/>
      <c r="C400" s="297"/>
      <c r="D400" s="297"/>
      <c r="E400" s="296"/>
      <c r="F400" s="296"/>
      <c r="G400" s="296"/>
    </row>
    <row r="401">
      <c r="A401" s="295"/>
      <c r="B401" s="296"/>
      <c r="C401" s="297"/>
      <c r="D401" s="297"/>
      <c r="E401" s="296"/>
      <c r="F401" s="296"/>
      <c r="G401" s="296"/>
    </row>
    <row r="402">
      <c r="A402" s="295"/>
      <c r="B402" s="296"/>
      <c r="C402" s="297"/>
      <c r="D402" s="297"/>
      <c r="E402" s="296"/>
      <c r="F402" s="296"/>
      <c r="G402" s="296"/>
    </row>
    <row r="403">
      <c r="A403" s="295"/>
      <c r="B403" s="296"/>
      <c r="C403" s="297"/>
      <c r="D403" s="297"/>
      <c r="E403" s="296"/>
      <c r="F403" s="296"/>
      <c r="G403" s="296"/>
    </row>
    <row r="404">
      <c r="A404" s="295"/>
      <c r="B404" s="296"/>
      <c r="C404" s="297"/>
      <c r="D404" s="297"/>
      <c r="E404" s="296"/>
      <c r="F404" s="296"/>
      <c r="G404" s="296"/>
    </row>
    <row r="405">
      <c r="A405" s="295"/>
      <c r="B405" s="296"/>
      <c r="C405" s="297"/>
      <c r="D405" s="297"/>
      <c r="E405" s="296"/>
      <c r="F405" s="296"/>
      <c r="G405" s="296"/>
    </row>
    <row r="406">
      <c r="A406" s="295"/>
      <c r="B406" s="296"/>
      <c r="C406" s="297"/>
      <c r="D406" s="297"/>
      <c r="E406" s="296"/>
      <c r="F406" s="296"/>
      <c r="G406" s="296"/>
    </row>
    <row r="407">
      <c r="A407" s="295"/>
      <c r="B407" s="296"/>
      <c r="C407" s="297"/>
      <c r="D407" s="297"/>
      <c r="E407" s="296"/>
      <c r="F407" s="296"/>
      <c r="G407" s="296"/>
    </row>
    <row r="408">
      <c r="A408" s="295"/>
      <c r="B408" s="296"/>
      <c r="C408" s="297"/>
      <c r="D408" s="297"/>
      <c r="E408" s="296"/>
      <c r="F408" s="296"/>
      <c r="G408" s="296"/>
    </row>
    <row r="409">
      <c r="A409" s="295"/>
      <c r="B409" s="296"/>
      <c r="C409" s="297"/>
      <c r="D409" s="297"/>
      <c r="E409" s="296"/>
      <c r="F409" s="296"/>
      <c r="G409" s="296"/>
    </row>
    <row r="410">
      <c r="A410" s="295"/>
      <c r="B410" s="296"/>
      <c r="C410" s="297"/>
      <c r="D410" s="297"/>
      <c r="E410" s="296"/>
      <c r="F410" s="296"/>
      <c r="G410" s="296"/>
    </row>
    <row r="411">
      <c r="A411" s="295"/>
      <c r="B411" s="296"/>
      <c r="C411" s="297"/>
      <c r="D411" s="297"/>
      <c r="E411" s="296"/>
      <c r="F411" s="296"/>
      <c r="G411" s="296"/>
    </row>
    <row r="412">
      <c r="A412" s="295"/>
      <c r="B412" s="296"/>
      <c r="C412" s="297"/>
      <c r="D412" s="297"/>
      <c r="E412" s="296"/>
      <c r="F412" s="296"/>
      <c r="G412" s="296"/>
    </row>
    <row r="413">
      <c r="A413" s="295"/>
      <c r="B413" s="296"/>
      <c r="C413" s="297"/>
      <c r="D413" s="297"/>
      <c r="E413" s="296"/>
      <c r="F413" s="296"/>
      <c r="G413" s="296"/>
    </row>
    <row r="414">
      <c r="A414" s="295"/>
      <c r="B414" s="296"/>
      <c r="C414" s="297"/>
      <c r="D414" s="297"/>
      <c r="E414" s="296"/>
      <c r="F414" s="296"/>
      <c r="G414" s="296"/>
    </row>
    <row r="415">
      <c r="A415" s="295"/>
      <c r="B415" s="296"/>
      <c r="C415" s="297"/>
      <c r="D415" s="297"/>
      <c r="E415" s="296"/>
      <c r="F415" s="296"/>
      <c r="G415" s="296"/>
    </row>
    <row r="416">
      <c r="A416" s="295"/>
      <c r="B416" s="296"/>
      <c r="C416" s="297"/>
      <c r="D416" s="297"/>
      <c r="E416" s="296"/>
      <c r="F416" s="296"/>
      <c r="G416" s="296"/>
    </row>
    <row r="417">
      <c r="A417" s="295"/>
      <c r="B417" s="296"/>
      <c r="C417" s="297"/>
      <c r="D417" s="297"/>
      <c r="E417" s="296"/>
      <c r="F417" s="296"/>
      <c r="G417" s="296"/>
    </row>
    <row r="418">
      <c r="A418" s="295"/>
      <c r="B418" s="296"/>
      <c r="C418" s="297"/>
      <c r="D418" s="297"/>
      <c r="E418" s="296"/>
      <c r="F418" s="296"/>
      <c r="G418" s="296"/>
    </row>
    <row r="419">
      <c r="A419" s="295"/>
      <c r="B419" s="296"/>
      <c r="C419" s="297"/>
      <c r="D419" s="297"/>
      <c r="E419" s="296"/>
      <c r="F419" s="296"/>
      <c r="G419" s="296"/>
    </row>
    <row r="420">
      <c r="A420" s="295"/>
      <c r="B420" s="296"/>
      <c r="C420" s="297"/>
      <c r="D420" s="297"/>
      <c r="E420" s="296"/>
      <c r="F420" s="296"/>
      <c r="G420" s="296"/>
    </row>
    <row r="421">
      <c r="A421" s="295"/>
      <c r="B421" s="296"/>
      <c r="C421" s="297"/>
      <c r="D421" s="297"/>
      <c r="E421" s="296"/>
      <c r="F421" s="296"/>
      <c r="G421" s="296"/>
    </row>
    <row r="422">
      <c r="A422" s="295"/>
      <c r="B422" s="296"/>
      <c r="C422" s="297"/>
      <c r="D422" s="297"/>
      <c r="E422" s="296"/>
      <c r="F422" s="296"/>
      <c r="G422" s="296"/>
    </row>
    <row r="423">
      <c r="A423" s="295"/>
      <c r="B423" s="296"/>
      <c r="C423" s="297"/>
      <c r="D423" s="297"/>
      <c r="E423" s="296"/>
      <c r="F423" s="296"/>
      <c r="G423" s="296"/>
    </row>
    <row r="424">
      <c r="A424" s="295"/>
      <c r="B424" s="296"/>
      <c r="C424" s="297"/>
      <c r="D424" s="297"/>
      <c r="E424" s="296"/>
      <c r="F424" s="296"/>
      <c r="G424" s="296"/>
    </row>
    <row r="425">
      <c r="A425" s="295"/>
      <c r="B425" s="296"/>
      <c r="C425" s="297"/>
      <c r="D425" s="297"/>
      <c r="E425" s="296"/>
      <c r="F425" s="296"/>
      <c r="G425" s="296"/>
    </row>
    <row r="426">
      <c r="A426" s="295"/>
      <c r="B426" s="296"/>
      <c r="C426" s="297"/>
      <c r="D426" s="297"/>
      <c r="E426" s="296"/>
      <c r="F426" s="296"/>
      <c r="G426" s="296"/>
    </row>
    <row r="427">
      <c r="A427" s="295"/>
      <c r="B427" s="296"/>
      <c r="C427" s="297"/>
      <c r="D427" s="297"/>
      <c r="E427" s="296"/>
      <c r="F427" s="296"/>
      <c r="G427" s="296"/>
    </row>
    <row r="428">
      <c r="A428" s="295"/>
      <c r="B428" s="296"/>
      <c r="C428" s="297"/>
      <c r="D428" s="297"/>
      <c r="E428" s="296"/>
      <c r="F428" s="296"/>
      <c r="G428" s="296"/>
    </row>
    <row r="429">
      <c r="A429" s="295"/>
      <c r="B429" s="296"/>
      <c r="C429" s="297"/>
      <c r="D429" s="297"/>
      <c r="E429" s="296"/>
      <c r="F429" s="296"/>
      <c r="G429" s="296"/>
    </row>
    <row r="430">
      <c r="A430" s="295"/>
      <c r="B430" s="296"/>
      <c r="C430" s="297"/>
      <c r="D430" s="297"/>
      <c r="E430" s="296"/>
      <c r="F430" s="296"/>
      <c r="G430" s="296"/>
    </row>
    <row r="431">
      <c r="A431" s="295"/>
      <c r="B431" s="296"/>
      <c r="C431" s="297"/>
      <c r="D431" s="297"/>
      <c r="E431" s="296"/>
      <c r="F431" s="296"/>
      <c r="G431" s="296"/>
    </row>
    <row r="432">
      <c r="A432" s="295"/>
      <c r="B432" s="296"/>
      <c r="C432" s="297"/>
      <c r="D432" s="297"/>
      <c r="E432" s="296"/>
      <c r="F432" s="296"/>
      <c r="G432" s="296"/>
    </row>
    <row r="433">
      <c r="A433" s="295"/>
      <c r="B433" s="296"/>
      <c r="C433" s="297"/>
      <c r="D433" s="297"/>
      <c r="E433" s="296"/>
      <c r="F433" s="296"/>
      <c r="G433" s="296"/>
    </row>
    <row r="434">
      <c r="A434" s="295"/>
      <c r="B434" s="296"/>
      <c r="C434" s="297"/>
      <c r="D434" s="297"/>
      <c r="E434" s="296"/>
      <c r="F434" s="296"/>
      <c r="G434" s="296"/>
    </row>
    <row r="435">
      <c r="A435" s="295"/>
      <c r="B435" s="296"/>
      <c r="C435" s="297"/>
      <c r="D435" s="297"/>
      <c r="E435" s="296"/>
      <c r="F435" s="296"/>
      <c r="G435" s="296"/>
    </row>
    <row r="436">
      <c r="A436" s="295"/>
      <c r="B436" s="296"/>
      <c r="C436" s="297"/>
      <c r="D436" s="297"/>
      <c r="E436" s="296"/>
      <c r="F436" s="296"/>
      <c r="G436" s="296"/>
    </row>
    <row r="437">
      <c r="A437" s="295"/>
      <c r="B437" s="296"/>
      <c r="C437" s="297"/>
      <c r="D437" s="297"/>
      <c r="E437" s="296"/>
      <c r="F437" s="296"/>
      <c r="G437" s="296"/>
    </row>
    <row r="438">
      <c r="A438" s="295"/>
      <c r="B438" s="296"/>
      <c r="C438" s="297"/>
      <c r="D438" s="297"/>
      <c r="E438" s="296"/>
      <c r="F438" s="296"/>
      <c r="G438" s="296"/>
    </row>
    <row r="439">
      <c r="A439" s="295"/>
      <c r="B439" s="296"/>
      <c r="C439" s="297"/>
      <c r="D439" s="297"/>
      <c r="E439" s="296"/>
      <c r="F439" s="296"/>
      <c r="G439" s="296"/>
    </row>
    <row r="440">
      <c r="A440" s="295"/>
      <c r="B440" s="296"/>
      <c r="C440" s="297"/>
      <c r="D440" s="297"/>
      <c r="E440" s="296"/>
      <c r="F440" s="296"/>
      <c r="G440" s="296"/>
    </row>
    <row r="441">
      <c r="A441" s="295"/>
      <c r="B441" s="296"/>
      <c r="C441" s="297"/>
      <c r="D441" s="297"/>
      <c r="E441" s="296"/>
      <c r="F441" s="296"/>
      <c r="G441" s="296"/>
    </row>
    <row r="442">
      <c r="A442" s="295"/>
      <c r="B442" s="296"/>
      <c r="C442" s="297"/>
      <c r="D442" s="297"/>
      <c r="E442" s="296"/>
      <c r="F442" s="296"/>
      <c r="G442" s="296"/>
    </row>
    <row r="443">
      <c r="A443" s="295"/>
      <c r="B443" s="296"/>
      <c r="C443" s="297"/>
      <c r="D443" s="297"/>
      <c r="E443" s="296"/>
      <c r="F443" s="296"/>
      <c r="G443" s="296"/>
    </row>
    <row r="444">
      <c r="A444" s="295"/>
      <c r="B444" s="296"/>
      <c r="C444" s="297"/>
      <c r="D444" s="297"/>
      <c r="E444" s="296"/>
      <c r="F444" s="296"/>
      <c r="G444" s="296"/>
    </row>
    <row r="445">
      <c r="A445" s="295"/>
      <c r="B445" s="296"/>
      <c r="C445" s="297"/>
      <c r="D445" s="297"/>
      <c r="E445" s="296"/>
      <c r="F445" s="296"/>
      <c r="G445" s="296"/>
    </row>
    <row r="446">
      <c r="A446" s="295"/>
      <c r="B446" s="296"/>
      <c r="C446" s="297"/>
      <c r="D446" s="297"/>
      <c r="E446" s="296"/>
      <c r="F446" s="296"/>
      <c r="G446" s="296"/>
    </row>
    <row r="447">
      <c r="A447" s="295"/>
      <c r="B447" s="296"/>
      <c r="C447" s="297"/>
      <c r="D447" s="297"/>
      <c r="E447" s="296"/>
      <c r="F447" s="296"/>
      <c r="G447" s="296"/>
    </row>
    <row r="448">
      <c r="A448" s="295"/>
      <c r="B448" s="296"/>
      <c r="C448" s="297"/>
      <c r="D448" s="297"/>
      <c r="E448" s="296"/>
      <c r="F448" s="296"/>
      <c r="G448" s="296"/>
    </row>
    <row r="449">
      <c r="A449" s="295"/>
      <c r="B449" s="296"/>
      <c r="C449" s="297"/>
      <c r="D449" s="297"/>
      <c r="E449" s="296"/>
      <c r="F449" s="296"/>
      <c r="G449" s="296"/>
    </row>
    <row r="450">
      <c r="A450" s="295"/>
      <c r="B450" s="296"/>
      <c r="C450" s="297"/>
      <c r="D450" s="297"/>
      <c r="E450" s="296"/>
      <c r="F450" s="296"/>
      <c r="G450" s="296"/>
    </row>
    <row r="451">
      <c r="A451" s="295"/>
      <c r="B451" s="296"/>
      <c r="C451" s="297"/>
      <c r="D451" s="297"/>
      <c r="E451" s="296"/>
      <c r="F451" s="296"/>
      <c r="G451" s="296"/>
    </row>
    <row r="452">
      <c r="A452" s="295"/>
      <c r="B452" s="296"/>
      <c r="C452" s="297"/>
      <c r="D452" s="297"/>
      <c r="E452" s="296"/>
      <c r="F452" s="296"/>
      <c r="G452" s="296"/>
    </row>
    <row r="453">
      <c r="A453" s="295"/>
      <c r="B453" s="296"/>
      <c r="C453" s="297"/>
      <c r="D453" s="297"/>
      <c r="E453" s="296"/>
      <c r="F453" s="296"/>
      <c r="G453" s="296"/>
    </row>
    <row r="454">
      <c r="A454" s="295"/>
      <c r="B454" s="296"/>
      <c r="C454" s="297"/>
      <c r="D454" s="297"/>
      <c r="E454" s="296"/>
      <c r="F454" s="296"/>
      <c r="G454" s="296"/>
    </row>
    <row r="455">
      <c r="A455" s="295"/>
      <c r="B455" s="296"/>
      <c r="C455" s="297"/>
      <c r="D455" s="297"/>
      <c r="E455" s="296"/>
      <c r="F455" s="296"/>
      <c r="G455" s="296"/>
    </row>
    <row r="456">
      <c r="A456" s="295"/>
      <c r="B456" s="296"/>
      <c r="C456" s="297"/>
      <c r="D456" s="297"/>
      <c r="E456" s="296"/>
      <c r="F456" s="296"/>
      <c r="G456" s="296"/>
    </row>
    <row r="457">
      <c r="A457" s="295"/>
      <c r="B457" s="296"/>
      <c r="C457" s="297"/>
      <c r="D457" s="297"/>
      <c r="E457" s="296"/>
      <c r="F457" s="296"/>
      <c r="G457" s="296"/>
    </row>
    <row r="458">
      <c r="A458" s="295"/>
      <c r="B458" s="296"/>
      <c r="C458" s="297"/>
      <c r="D458" s="297"/>
      <c r="E458" s="296"/>
      <c r="F458" s="296"/>
      <c r="G458" s="296"/>
    </row>
    <row r="459">
      <c r="A459" s="295"/>
      <c r="B459" s="296"/>
      <c r="C459" s="297"/>
      <c r="D459" s="297"/>
      <c r="E459" s="296"/>
      <c r="F459" s="296"/>
      <c r="G459" s="296"/>
    </row>
    <row r="460">
      <c r="A460" s="295"/>
      <c r="B460" s="296"/>
      <c r="C460" s="297"/>
      <c r="D460" s="297"/>
      <c r="E460" s="296"/>
      <c r="F460" s="296"/>
      <c r="G460" s="296"/>
    </row>
    <row r="461">
      <c r="A461" s="295"/>
      <c r="B461" s="296"/>
      <c r="C461" s="297"/>
      <c r="D461" s="297"/>
      <c r="E461" s="296"/>
      <c r="F461" s="296"/>
      <c r="G461" s="296"/>
    </row>
    <row r="462">
      <c r="A462" s="295"/>
      <c r="B462" s="296"/>
      <c r="C462" s="297"/>
      <c r="D462" s="297"/>
      <c r="E462" s="296"/>
      <c r="F462" s="296"/>
      <c r="G462" s="296"/>
    </row>
    <row r="463">
      <c r="A463" s="295"/>
      <c r="B463" s="296"/>
      <c r="C463" s="297"/>
      <c r="D463" s="297"/>
      <c r="E463" s="296"/>
      <c r="F463" s="296"/>
      <c r="G463" s="296"/>
    </row>
    <row r="464">
      <c r="A464" s="295"/>
      <c r="B464" s="296"/>
      <c r="C464" s="297"/>
      <c r="D464" s="297"/>
      <c r="E464" s="296"/>
      <c r="F464" s="296"/>
      <c r="G464" s="296"/>
    </row>
    <row r="465">
      <c r="A465" s="295"/>
      <c r="B465" s="296"/>
      <c r="C465" s="297"/>
      <c r="D465" s="297"/>
      <c r="E465" s="296"/>
      <c r="F465" s="296"/>
      <c r="G465" s="296"/>
    </row>
    <row r="466">
      <c r="A466" s="295"/>
      <c r="B466" s="296"/>
      <c r="C466" s="297"/>
      <c r="D466" s="297"/>
      <c r="E466" s="296"/>
      <c r="F466" s="296"/>
      <c r="G466" s="296"/>
    </row>
    <row r="467">
      <c r="A467" s="295"/>
      <c r="B467" s="296"/>
      <c r="C467" s="297"/>
      <c r="D467" s="297"/>
      <c r="E467" s="296"/>
      <c r="F467" s="296"/>
      <c r="G467" s="296"/>
    </row>
    <row r="468">
      <c r="A468" s="295"/>
      <c r="B468" s="296"/>
      <c r="C468" s="297"/>
      <c r="D468" s="297"/>
      <c r="E468" s="296"/>
      <c r="F468" s="296"/>
      <c r="G468" s="296"/>
    </row>
    <row r="469">
      <c r="A469" s="295"/>
      <c r="B469" s="296"/>
      <c r="C469" s="297"/>
      <c r="D469" s="297"/>
      <c r="E469" s="296"/>
      <c r="F469" s="296"/>
      <c r="G469" s="296"/>
    </row>
    <row r="470">
      <c r="A470" s="295"/>
      <c r="B470" s="296"/>
      <c r="C470" s="297"/>
      <c r="D470" s="297"/>
      <c r="E470" s="296"/>
      <c r="F470" s="296"/>
      <c r="G470" s="296"/>
    </row>
    <row r="471">
      <c r="A471" s="295"/>
      <c r="B471" s="296"/>
      <c r="C471" s="297"/>
      <c r="D471" s="297"/>
      <c r="E471" s="296"/>
      <c r="F471" s="296"/>
      <c r="G471" s="296"/>
    </row>
    <row r="472">
      <c r="A472" s="295"/>
      <c r="B472" s="296"/>
      <c r="C472" s="297"/>
      <c r="D472" s="297"/>
      <c r="E472" s="296"/>
      <c r="F472" s="296"/>
      <c r="G472" s="296"/>
    </row>
    <row r="473">
      <c r="A473" s="295"/>
      <c r="B473" s="296"/>
      <c r="C473" s="297"/>
      <c r="D473" s="297"/>
      <c r="E473" s="296"/>
      <c r="F473" s="296"/>
      <c r="G473" s="296"/>
    </row>
    <row r="474">
      <c r="A474" s="295"/>
      <c r="B474" s="296"/>
      <c r="C474" s="297"/>
      <c r="D474" s="297"/>
      <c r="E474" s="296"/>
      <c r="F474" s="296"/>
      <c r="G474" s="296"/>
    </row>
    <row r="475">
      <c r="A475" s="295"/>
      <c r="B475" s="296"/>
      <c r="C475" s="297"/>
      <c r="D475" s="297"/>
      <c r="E475" s="296"/>
      <c r="F475" s="296"/>
      <c r="G475" s="296"/>
    </row>
    <row r="476">
      <c r="A476" s="295"/>
      <c r="B476" s="296"/>
      <c r="C476" s="297"/>
      <c r="D476" s="297"/>
      <c r="E476" s="296"/>
      <c r="F476" s="296"/>
      <c r="G476" s="296"/>
    </row>
    <row r="477">
      <c r="A477" s="295"/>
      <c r="B477" s="296"/>
      <c r="C477" s="297"/>
      <c r="D477" s="297"/>
      <c r="E477" s="296"/>
      <c r="F477" s="296"/>
      <c r="G477" s="296"/>
    </row>
    <row r="478">
      <c r="A478" s="295"/>
      <c r="B478" s="296"/>
      <c r="C478" s="297"/>
      <c r="D478" s="297"/>
      <c r="E478" s="296"/>
      <c r="F478" s="296"/>
      <c r="G478" s="296"/>
    </row>
    <row r="479">
      <c r="A479" s="295"/>
      <c r="B479" s="296"/>
      <c r="C479" s="297"/>
      <c r="D479" s="297"/>
      <c r="E479" s="296"/>
      <c r="F479" s="296"/>
      <c r="G479" s="296"/>
    </row>
    <row r="480">
      <c r="A480" s="295"/>
      <c r="B480" s="296"/>
      <c r="C480" s="297"/>
      <c r="D480" s="297"/>
      <c r="E480" s="296"/>
      <c r="F480" s="296"/>
      <c r="G480" s="296"/>
    </row>
    <row r="481">
      <c r="A481" s="295"/>
      <c r="B481" s="296"/>
      <c r="C481" s="297"/>
      <c r="D481" s="297"/>
      <c r="E481" s="296"/>
      <c r="F481" s="296"/>
      <c r="G481" s="296"/>
    </row>
    <row r="482">
      <c r="A482" s="295"/>
      <c r="B482" s="296"/>
      <c r="C482" s="297"/>
      <c r="D482" s="297"/>
      <c r="E482" s="296"/>
      <c r="F482" s="296"/>
      <c r="G482" s="296"/>
    </row>
    <row r="483">
      <c r="A483" s="295"/>
      <c r="B483" s="296"/>
      <c r="C483" s="297"/>
      <c r="D483" s="297"/>
      <c r="E483" s="296"/>
      <c r="F483" s="296"/>
      <c r="G483" s="296"/>
    </row>
    <row r="484">
      <c r="A484" s="295"/>
      <c r="B484" s="296"/>
      <c r="C484" s="297"/>
      <c r="D484" s="297"/>
      <c r="E484" s="296"/>
      <c r="F484" s="296"/>
      <c r="G484" s="296"/>
    </row>
    <row r="485">
      <c r="A485" s="295"/>
      <c r="B485" s="296"/>
      <c r="C485" s="297"/>
      <c r="D485" s="297"/>
      <c r="E485" s="296"/>
      <c r="F485" s="296"/>
      <c r="G485" s="296"/>
    </row>
    <row r="486">
      <c r="A486" s="295"/>
      <c r="B486" s="296"/>
      <c r="C486" s="297"/>
      <c r="D486" s="297"/>
      <c r="E486" s="296"/>
      <c r="F486" s="296"/>
      <c r="G486" s="296"/>
    </row>
    <row r="487">
      <c r="A487" s="295"/>
      <c r="B487" s="296"/>
      <c r="C487" s="297"/>
      <c r="D487" s="297"/>
      <c r="E487" s="296"/>
      <c r="F487" s="296"/>
      <c r="G487" s="296"/>
    </row>
    <row r="488">
      <c r="A488" s="295"/>
      <c r="B488" s="296"/>
      <c r="C488" s="297"/>
      <c r="D488" s="297"/>
      <c r="E488" s="296"/>
      <c r="F488" s="296"/>
      <c r="G488" s="296"/>
    </row>
    <row r="489">
      <c r="A489" s="295"/>
      <c r="B489" s="296"/>
      <c r="C489" s="297"/>
      <c r="D489" s="297"/>
      <c r="E489" s="296"/>
      <c r="F489" s="296"/>
      <c r="G489" s="296"/>
    </row>
    <row r="490">
      <c r="A490" s="295"/>
      <c r="B490" s="296"/>
      <c r="C490" s="297"/>
      <c r="D490" s="297"/>
      <c r="E490" s="296"/>
      <c r="F490" s="296"/>
      <c r="G490" s="296"/>
    </row>
    <row r="491">
      <c r="A491" s="295"/>
      <c r="B491" s="296"/>
      <c r="C491" s="297"/>
      <c r="D491" s="297"/>
      <c r="E491" s="296"/>
      <c r="F491" s="296"/>
      <c r="G491" s="296"/>
    </row>
    <row r="492">
      <c r="A492" s="295"/>
      <c r="B492" s="296"/>
      <c r="C492" s="297"/>
      <c r="D492" s="297"/>
      <c r="E492" s="296"/>
      <c r="F492" s="296"/>
      <c r="G492" s="296"/>
    </row>
    <row r="493">
      <c r="A493" s="295"/>
      <c r="B493" s="296"/>
      <c r="C493" s="297"/>
      <c r="D493" s="297"/>
      <c r="E493" s="296"/>
      <c r="F493" s="296"/>
      <c r="G493" s="296"/>
    </row>
    <row r="494">
      <c r="A494" s="295"/>
      <c r="B494" s="296"/>
      <c r="C494" s="297"/>
      <c r="D494" s="297"/>
      <c r="E494" s="296"/>
      <c r="F494" s="296"/>
      <c r="G494" s="296"/>
    </row>
    <row r="495">
      <c r="A495" s="295"/>
      <c r="B495" s="296"/>
      <c r="C495" s="297"/>
      <c r="D495" s="297"/>
      <c r="E495" s="296"/>
      <c r="F495" s="296"/>
      <c r="G495" s="296"/>
    </row>
    <row r="496">
      <c r="A496" s="295"/>
      <c r="B496" s="296"/>
      <c r="C496" s="297"/>
      <c r="D496" s="297"/>
      <c r="E496" s="296"/>
      <c r="F496" s="296"/>
      <c r="G496" s="296"/>
    </row>
    <row r="497">
      <c r="A497" s="295"/>
      <c r="B497" s="296"/>
      <c r="C497" s="297"/>
      <c r="D497" s="297"/>
      <c r="E497" s="296"/>
      <c r="F497" s="296"/>
      <c r="G497" s="296"/>
    </row>
    <row r="498">
      <c r="A498" s="295"/>
      <c r="B498" s="296"/>
      <c r="C498" s="297"/>
      <c r="D498" s="297"/>
      <c r="E498" s="296"/>
      <c r="F498" s="296"/>
      <c r="G498" s="296"/>
    </row>
    <row r="499">
      <c r="A499" s="295"/>
      <c r="B499" s="296"/>
      <c r="C499" s="297"/>
      <c r="D499" s="297"/>
      <c r="E499" s="296"/>
      <c r="F499" s="296"/>
      <c r="G499" s="296"/>
    </row>
    <row r="500">
      <c r="A500" s="295"/>
      <c r="B500" s="296"/>
      <c r="C500" s="297"/>
      <c r="D500" s="297"/>
      <c r="E500" s="296"/>
      <c r="F500" s="296"/>
      <c r="G500" s="296"/>
    </row>
    <row r="501">
      <c r="A501" s="295"/>
      <c r="B501" s="296"/>
      <c r="C501" s="297"/>
      <c r="D501" s="297"/>
      <c r="E501" s="296"/>
      <c r="F501" s="296"/>
      <c r="G501" s="296"/>
    </row>
    <row r="502">
      <c r="A502" s="295"/>
      <c r="B502" s="296"/>
      <c r="C502" s="297"/>
      <c r="D502" s="297"/>
      <c r="E502" s="296"/>
      <c r="F502" s="296"/>
      <c r="G502" s="296"/>
    </row>
    <row r="503">
      <c r="A503" s="295"/>
      <c r="B503" s="296"/>
      <c r="C503" s="297"/>
      <c r="D503" s="297"/>
      <c r="E503" s="296"/>
      <c r="F503" s="296"/>
      <c r="G503" s="296"/>
    </row>
    <row r="504">
      <c r="A504" s="295"/>
      <c r="B504" s="296"/>
      <c r="C504" s="297"/>
      <c r="D504" s="297"/>
      <c r="E504" s="296"/>
      <c r="F504" s="296"/>
      <c r="G504" s="296"/>
    </row>
    <row r="505">
      <c r="A505" s="295"/>
      <c r="B505" s="296"/>
      <c r="C505" s="297"/>
      <c r="D505" s="297"/>
      <c r="E505" s="296"/>
      <c r="F505" s="296"/>
      <c r="G505" s="296"/>
    </row>
    <row r="506">
      <c r="A506" s="295"/>
      <c r="B506" s="296"/>
      <c r="C506" s="297"/>
      <c r="D506" s="297"/>
      <c r="E506" s="296"/>
      <c r="F506" s="296"/>
      <c r="G506" s="296"/>
    </row>
    <row r="507">
      <c r="A507" s="295"/>
      <c r="B507" s="296"/>
      <c r="C507" s="297"/>
      <c r="D507" s="297"/>
      <c r="E507" s="296"/>
      <c r="F507" s="296"/>
      <c r="G507" s="296"/>
    </row>
    <row r="508">
      <c r="A508" s="295"/>
      <c r="B508" s="296"/>
      <c r="C508" s="297"/>
      <c r="D508" s="297"/>
      <c r="E508" s="296"/>
      <c r="F508" s="296"/>
      <c r="G508" s="296"/>
    </row>
    <row r="509">
      <c r="A509" s="295"/>
      <c r="B509" s="296"/>
      <c r="C509" s="297"/>
      <c r="D509" s="297"/>
      <c r="E509" s="296"/>
      <c r="F509" s="296"/>
      <c r="G509" s="296"/>
    </row>
    <row r="510">
      <c r="A510" s="295"/>
      <c r="B510" s="296"/>
      <c r="C510" s="297"/>
      <c r="D510" s="297"/>
      <c r="E510" s="296"/>
      <c r="F510" s="296"/>
      <c r="G510" s="296"/>
    </row>
    <row r="511">
      <c r="A511" s="295"/>
      <c r="B511" s="296"/>
      <c r="C511" s="297"/>
      <c r="D511" s="297"/>
      <c r="E511" s="296"/>
      <c r="F511" s="296"/>
      <c r="G511" s="296"/>
    </row>
    <row r="512">
      <c r="A512" s="295"/>
      <c r="B512" s="296"/>
      <c r="C512" s="297"/>
      <c r="D512" s="297"/>
      <c r="E512" s="296"/>
      <c r="F512" s="296"/>
      <c r="G512" s="296"/>
    </row>
    <row r="513">
      <c r="A513" s="295"/>
      <c r="B513" s="296"/>
      <c r="C513" s="297"/>
      <c r="D513" s="297"/>
      <c r="E513" s="296"/>
      <c r="F513" s="296"/>
      <c r="G513" s="296"/>
    </row>
    <row r="514">
      <c r="A514" s="295"/>
      <c r="B514" s="296"/>
      <c r="C514" s="297"/>
      <c r="D514" s="297"/>
      <c r="E514" s="296"/>
      <c r="F514" s="296"/>
      <c r="G514" s="296"/>
    </row>
    <row r="515">
      <c r="A515" s="295"/>
      <c r="B515" s="296"/>
      <c r="C515" s="297"/>
      <c r="D515" s="297"/>
      <c r="E515" s="296"/>
      <c r="F515" s="296"/>
      <c r="G515" s="296"/>
    </row>
    <row r="516">
      <c r="A516" s="295"/>
      <c r="B516" s="296"/>
      <c r="C516" s="297"/>
      <c r="D516" s="297"/>
      <c r="E516" s="296"/>
      <c r="F516" s="296"/>
      <c r="G516" s="296"/>
    </row>
    <row r="517">
      <c r="A517" s="295"/>
      <c r="B517" s="296"/>
      <c r="C517" s="297"/>
      <c r="D517" s="297"/>
      <c r="E517" s="296"/>
      <c r="F517" s="296"/>
      <c r="G517" s="296"/>
    </row>
    <row r="518">
      <c r="A518" s="295"/>
      <c r="B518" s="296"/>
      <c r="C518" s="297"/>
      <c r="D518" s="297"/>
      <c r="E518" s="296"/>
      <c r="F518" s="296"/>
      <c r="G518" s="296"/>
    </row>
    <row r="519">
      <c r="A519" s="295"/>
      <c r="B519" s="296"/>
      <c r="C519" s="297"/>
      <c r="D519" s="297"/>
      <c r="E519" s="296"/>
      <c r="F519" s="296"/>
      <c r="G519" s="296"/>
    </row>
    <row r="520">
      <c r="A520" s="295"/>
      <c r="B520" s="296"/>
      <c r="C520" s="297"/>
      <c r="D520" s="297"/>
      <c r="E520" s="296"/>
      <c r="F520" s="296"/>
      <c r="G520" s="296"/>
    </row>
    <row r="521">
      <c r="A521" s="295"/>
      <c r="B521" s="296"/>
      <c r="C521" s="297"/>
      <c r="D521" s="297"/>
      <c r="E521" s="296"/>
      <c r="F521" s="296"/>
      <c r="G521" s="296"/>
    </row>
    <row r="522">
      <c r="A522" s="295"/>
      <c r="B522" s="296"/>
      <c r="C522" s="297"/>
      <c r="D522" s="297"/>
      <c r="E522" s="296"/>
      <c r="F522" s="296"/>
      <c r="G522" s="296"/>
    </row>
    <row r="523">
      <c r="A523" s="295"/>
      <c r="B523" s="296"/>
      <c r="C523" s="297"/>
      <c r="D523" s="297"/>
      <c r="E523" s="296"/>
      <c r="F523" s="296"/>
      <c r="G523" s="296"/>
    </row>
    <row r="524">
      <c r="A524" s="295"/>
      <c r="B524" s="296"/>
      <c r="C524" s="297"/>
      <c r="D524" s="297"/>
      <c r="E524" s="296"/>
      <c r="F524" s="296"/>
      <c r="G524" s="296"/>
    </row>
    <row r="525">
      <c r="A525" s="295"/>
      <c r="B525" s="296"/>
      <c r="C525" s="297"/>
      <c r="D525" s="297"/>
      <c r="E525" s="296"/>
      <c r="F525" s="296"/>
      <c r="G525" s="296"/>
    </row>
    <row r="526">
      <c r="A526" s="295"/>
      <c r="B526" s="296"/>
      <c r="C526" s="297"/>
      <c r="D526" s="297"/>
      <c r="E526" s="296"/>
      <c r="F526" s="296"/>
      <c r="G526" s="296"/>
    </row>
    <row r="527">
      <c r="A527" s="295"/>
      <c r="B527" s="296"/>
      <c r="C527" s="297"/>
      <c r="D527" s="297"/>
      <c r="E527" s="296"/>
      <c r="F527" s="296"/>
      <c r="G527" s="296"/>
    </row>
    <row r="528">
      <c r="A528" s="295"/>
      <c r="B528" s="296"/>
      <c r="C528" s="297"/>
      <c r="D528" s="297"/>
      <c r="E528" s="296"/>
      <c r="F528" s="296"/>
      <c r="G528" s="296"/>
    </row>
    <row r="529">
      <c r="A529" s="295"/>
      <c r="B529" s="296"/>
      <c r="C529" s="297"/>
      <c r="D529" s="297"/>
      <c r="E529" s="296"/>
      <c r="F529" s="296"/>
      <c r="G529" s="296"/>
    </row>
    <row r="530">
      <c r="A530" s="295"/>
      <c r="B530" s="296"/>
      <c r="C530" s="297"/>
      <c r="D530" s="297"/>
      <c r="E530" s="296"/>
      <c r="F530" s="296"/>
      <c r="G530" s="296"/>
    </row>
    <row r="531">
      <c r="A531" s="295"/>
      <c r="B531" s="296"/>
      <c r="C531" s="297"/>
      <c r="D531" s="297"/>
      <c r="E531" s="296"/>
      <c r="F531" s="296"/>
      <c r="G531" s="296"/>
    </row>
    <row r="532">
      <c r="A532" s="295"/>
      <c r="B532" s="296"/>
      <c r="C532" s="297"/>
      <c r="D532" s="297"/>
      <c r="E532" s="296"/>
      <c r="F532" s="296"/>
      <c r="G532" s="296"/>
    </row>
    <row r="533">
      <c r="A533" s="295"/>
      <c r="B533" s="296"/>
      <c r="C533" s="297"/>
      <c r="D533" s="297"/>
      <c r="E533" s="296"/>
      <c r="F533" s="296"/>
      <c r="G533" s="296"/>
    </row>
    <row r="534">
      <c r="A534" s="295"/>
      <c r="B534" s="296"/>
      <c r="C534" s="297"/>
      <c r="D534" s="297"/>
      <c r="E534" s="296"/>
      <c r="F534" s="296"/>
      <c r="G534" s="296"/>
    </row>
    <row r="535">
      <c r="A535" s="295"/>
      <c r="B535" s="296"/>
      <c r="C535" s="297"/>
      <c r="D535" s="297"/>
      <c r="E535" s="296"/>
      <c r="F535" s="296"/>
      <c r="G535" s="296"/>
    </row>
    <row r="536">
      <c r="A536" s="295"/>
      <c r="B536" s="296"/>
      <c r="C536" s="297"/>
      <c r="D536" s="297"/>
      <c r="E536" s="296"/>
      <c r="F536" s="296"/>
      <c r="G536" s="296"/>
    </row>
    <row r="537">
      <c r="A537" s="295"/>
      <c r="B537" s="296"/>
      <c r="C537" s="297"/>
      <c r="D537" s="297"/>
      <c r="E537" s="296"/>
      <c r="F537" s="296"/>
      <c r="G537" s="296"/>
    </row>
    <row r="538">
      <c r="A538" s="295"/>
      <c r="B538" s="296"/>
      <c r="C538" s="297"/>
      <c r="D538" s="297"/>
      <c r="E538" s="296"/>
      <c r="F538" s="296"/>
      <c r="G538" s="296"/>
    </row>
    <row r="539">
      <c r="A539" s="295"/>
      <c r="B539" s="296"/>
      <c r="C539" s="297"/>
      <c r="D539" s="297"/>
      <c r="E539" s="296"/>
      <c r="F539" s="296"/>
      <c r="G539" s="296"/>
    </row>
    <row r="540">
      <c r="A540" s="295"/>
      <c r="B540" s="296"/>
      <c r="C540" s="297"/>
      <c r="D540" s="297"/>
      <c r="E540" s="296"/>
      <c r="F540" s="296"/>
      <c r="G540" s="296"/>
    </row>
    <row r="541">
      <c r="A541" s="295"/>
      <c r="B541" s="296"/>
      <c r="C541" s="297"/>
      <c r="D541" s="297"/>
      <c r="E541" s="296"/>
      <c r="F541" s="296"/>
      <c r="G541" s="296"/>
    </row>
    <row r="542">
      <c r="A542" s="295"/>
      <c r="B542" s="296"/>
      <c r="C542" s="297"/>
      <c r="D542" s="297"/>
      <c r="E542" s="296"/>
      <c r="F542" s="296"/>
      <c r="G542" s="296"/>
    </row>
    <row r="543">
      <c r="A543" s="295"/>
      <c r="B543" s="296"/>
      <c r="C543" s="297"/>
      <c r="D543" s="297"/>
      <c r="E543" s="296"/>
      <c r="F543" s="296"/>
      <c r="G543" s="296"/>
    </row>
    <row r="544">
      <c r="A544" s="295"/>
      <c r="B544" s="296"/>
      <c r="C544" s="297"/>
      <c r="D544" s="297"/>
      <c r="E544" s="296"/>
      <c r="F544" s="296"/>
      <c r="G544" s="296"/>
    </row>
    <row r="545">
      <c r="A545" s="295"/>
      <c r="B545" s="296"/>
      <c r="C545" s="297"/>
      <c r="D545" s="297"/>
      <c r="E545" s="296"/>
      <c r="F545" s="296"/>
      <c r="G545" s="296"/>
    </row>
    <row r="546">
      <c r="A546" s="295"/>
      <c r="B546" s="296"/>
      <c r="C546" s="297"/>
      <c r="D546" s="297"/>
      <c r="E546" s="296"/>
      <c r="F546" s="296"/>
      <c r="G546" s="296"/>
    </row>
    <row r="547">
      <c r="A547" s="295"/>
      <c r="B547" s="296"/>
      <c r="C547" s="297"/>
      <c r="D547" s="297"/>
      <c r="E547" s="296"/>
      <c r="F547" s="296"/>
      <c r="G547" s="296"/>
    </row>
    <row r="548">
      <c r="A548" s="295"/>
      <c r="B548" s="296"/>
      <c r="C548" s="297"/>
      <c r="D548" s="297"/>
      <c r="E548" s="296"/>
      <c r="F548" s="296"/>
      <c r="G548" s="296"/>
    </row>
    <row r="549">
      <c r="A549" s="295"/>
      <c r="B549" s="296"/>
      <c r="C549" s="297"/>
      <c r="D549" s="297"/>
      <c r="E549" s="296"/>
      <c r="F549" s="296"/>
      <c r="G549" s="296"/>
    </row>
    <row r="550">
      <c r="A550" s="295"/>
      <c r="B550" s="296"/>
      <c r="C550" s="297"/>
      <c r="D550" s="297"/>
      <c r="E550" s="296"/>
      <c r="F550" s="296"/>
      <c r="G550" s="296"/>
    </row>
    <row r="551">
      <c r="A551" s="295"/>
      <c r="B551" s="296"/>
      <c r="C551" s="297"/>
      <c r="D551" s="297"/>
      <c r="E551" s="296"/>
      <c r="F551" s="296"/>
      <c r="G551" s="296"/>
    </row>
    <row r="552">
      <c r="A552" s="295"/>
      <c r="B552" s="296"/>
      <c r="C552" s="297"/>
      <c r="D552" s="297"/>
      <c r="E552" s="296"/>
      <c r="F552" s="296"/>
      <c r="G552" s="296"/>
    </row>
    <row r="553">
      <c r="A553" s="295"/>
      <c r="B553" s="296"/>
      <c r="C553" s="297"/>
      <c r="D553" s="297"/>
      <c r="E553" s="296"/>
      <c r="F553" s="296"/>
      <c r="G553" s="296"/>
    </row>
    <row r="554">
      <c r="A554" s="295"/>
      <c r="B554" s="296"/>
      <c r="C554" s="297"/>
      <c r="D554" s="297"/>
      <c r="E554" s="296"/>
      <c r="F554" s="296"/>
      <c r="G554" s="296"/>
    </row>
    <row r="555">
      <c r="A555" s="295"/>
      <c r="B555" s="296"/>
      <c r="C555" s="297"/>
      <c r="D555" s="297"/>
      <c r="E555" s="296"/>
      <c r="F555" s="296"/>
      <c r="G555" s="296"/>
    </row>
    <row r="556">
      <c r="A556" s="295"/>
      <c r="B556" s="296"/>
      <c r="C556" s="297"/>
      <c r="D556" s="297"/>
      <c r="E556" s="296"/>
      <c r="F556" s="296"/>
      <c r="G556" s="296"/>
    </row>
    <row r="557">
      <c r="A557" s="295"/>
      <c r="B557" s="296"/>
      <c r="C557" s="297"/>
      <c r="D557" s="297"/>
      <c r="E557" s="296"/>
      <c r="F557" s="296"/>
      <c r="G557" s="296"/>
    </row>
    <row r="558">
      <c r="A558" s="295"/>
      <c r="B558" s="296"/>
      <c r="C558" s="297"/>
      <c r="D558" s="297"/>
      <c r="E558" s="296"/>
      <c r="F558" s="296"/>
      <c r="G558" s="296"/>
    </row>
    <row r="559">
      <c r="A559" s="295"/>
      <c r="B559" s="296"/>
      <c r="C559" s="297"/>
      <c r="D559" s="297"/>
      <c r="E559" s="296"/>
      <c r="F559" s="296"/>
      <c r="G559" s="296"/>
    </row>
    <row r="560">
      <c r="A560" s="295"/>
      <c r="B560" s="296"/>
      <c r="C560" s="297"/>
      <c r="D560" s="297"/>
      <c r="E560" s="296"/>
      <c r="F560" s="296"/>
      <c r="G560" s="296"/>
    </row>
    <row r="561">
      <c r="A561" s="295"/>
      <c r="B561" s="296"/>
      <c r="C561" s="297"/>
      <c r="D561" s="297"/>
      <c r="E561" s="296"/>
      <c r="F561" s="296"/>
      <c r="G561" s="296"/>
    </row>
    <row r="562">
      <c r="A562" s="295"/>
      <c r="B562" s="296"/>
      <c r="C562" s="297"/>
      <c r="D562" s="297"/>
      <c r="E562" s="296"/>
      <c r="F562" s="296"/>
      <c r="G562" s="296"/>
    </row>
    <row r="563">
      <c r="A563" s="295"/>
      <c r="B563" s="296"/>
      <c r="C563" s="297"/>
      <c r="D563" s="297"/>
      <c r="E563" s="296"/>
      <c r="F563" s="296"/>
      <c r="G563" s="296"/>
    </row>
    <row r="564">
      <c r="A564" s="295"/>
      <c r="B564" s="296"/>
      <c r="C564" s="297"/>
      <c r="D564" s="297"/>
      <c r="E564" s="296"/>
      <c r="F564" s="296"/>
      <c r="G564" s="296"/>
    </row>
    <row r="565">
      <c r="A565" s="295"/>
      <c r="B565" s="296"/>
      <c r="C565" s="297"/>
      <c r="D565" s="297"/>
      <c r="E565" s="296"/>
      <c r="F565" s="296"/>
      <c r="G565" s="296"/>
    </row>
    <row r="566">
      <c r="A566" s="295"/>
      <c r="B566" s="296"/>
      <c r="C566" s="297"/>
      <c r="D566" s="297"/>
      <c r="E566" s="296"/>
      <c r="F566" s="296"/>
      <c r="G566" s="296"/>
    </row>
    <row r="567">
      <c r="A567" s="295"/>
      <c r="B567" s="296"/>
      <c r="C567" s="297"/>
      <c r="D567" s="297"/>
      <c r="E567" s="296"/>
      <c r="F567" s="296"/>
      <c r="G567" s="296"/>
    </row>
    <row r="568">
      <c r="A568" s="295"/>
      <c r="B568" s="296"/>
      <c r="C568" s="297"/>
      <c r="D568" s="297"/>
      <c r="E568" s="296"/>
      <c r="F568" s="296"/>
      <c r="G568" s="296"/>
    </row>
    <row r="569">
      <c r="A569" s="295"/>
      <c r="B569" s="296"/>
      <c r="C569" s="297"/>
      <c r="D569" s="297"/>
      <c r="E569" s="296"/>
      <c r="F569" s="296"/>
      <c r="G569" s="296"/>
    </row>
    <row r="570">
      <c r="A570" s="295"/>
      <c r="B570" s="296"/>
      <c r="C570" s="297"/>
      <c r="D570" s="297"/>
      <c r="E570" s="296"/>
      <c r="F570" s="296"/>
      <c r="G570" s="296"/>
    </row>
    <row r="571">
      <c r="A571" s="295"/>
      <c r="B571" s="296"/>
      <c r="C571" s="297"/>
      <c r="D571" s="297"/>
      <c r="E571" s="296"/>
      <c r="F571" s="296"/>
      <c r="G571" s="296"/>
    </row>
    <row r="572">
      <c r="A572" s="295"/>
      <c r="B572" s="296"/>
      <c r="C572" s="297"/>
      <c r="D572" s="297"/>
      <c r="E572" s="296"/>
      <c r="F572" s="296"/>
      <c r="G572" s="296"/>
    </row>
    <row r="573">
      <c r="A573" s="295"/>
      <c r="B573" s="296"/>
      <c r="C573" s="297"/>
      <c r="D573" s="297"/>
      <c r="E573" s="296"/>
      <c r="F573" s="296"/>
      <c r="G573" s="296"/>
    </row>
    <row r="574">
      <c r="A574" s="295"/>
      <c r="B574" s="296"/>
      <c r="C574" s="297"/>
      <c r="D574" s="297"/>
      <c r="E574" s="296"/>
      <c r="F574" s="296"/>
      <c r="G574" s="296"/>
    </row>
    <row r="575">
      <c r="A575" s="295"/>
      <c r="B575" s="296"/>
      <c r="C575" s="297"/>
      <c r="D575" s="297"/>
      <c r="E575" s="296"/>
      <c r="F575" s="296"/>
      <c r="G575" s="296"/>
    </row>
    <row r="576">
      <c r="A576" s="295"/>
      <c r="B576" s="296"/>
      <c r="C576" s="297"/>
      <c r="D576" s="297"/>
      <c r="E576" s="296"/>
      <c r="F576" s="296"/>
      <c r="G576" s="296"/>
    </row>
    <row r="577">
      <c r="A577" s="295"/>
      <c r="B577" s="296"/>
      <c r="C577" s="297"/>
      <c r="D577" s="297"/>
      <c r="E577" s="296"/>
      <c r="F577" s="296"/>
      <c r="G577" s="296"/>
    </row>
    <row r="578">
      <c r="A578" s="295"/>
      <c r="B578" s="296"/>
      <c r="C578" s="297"/>
      <c r="D578" s="297"/>
      <c r="E578" s="296"/>
      <c r="F578" s="296"/>
      <c r="G578" s="296"/>
    </row>
    <row r="579">
      <c r="A579" s="295"/>
      <c r="B579" s="296"/>
      <c r="C579" s="297"/>
      <c r="D579" s="297"/>
      <c r="E579" s="296"/>
      <c r="F579" s="296"/>
      <c r="G579" s="296"/>
    </row>
    <row r="580">
      <c r="A580" s="295"/>
      <c r="B580" s="296"/>
      <c r="C580" s="297"/>
      <c r="D580" s="297"/>
      <c r="E580" s="296"/>
      <c r="F580" s="296"/>
      <c r="G580" s="296"/>
    </row>
    <row r="581">
      <c r="A581" s="295"/>
      <c r="B581" s="296"/>
      <c r="C581" s="297"/>
      <c r="D581" s="297"/>
      <c r="E581" s="296"/>
      <c r="F581" s="296"/>
      <c r="G581" s="296"/>
    </row>
    <row r="582">
      <c r="A582" s="295"/>
      <c r="B582" s="296"/>
      <c r="C582" s="297"/>
      <c r="D582" s="297"/>
      <c r="E582" s="296"/>
      <c r="F582" s="296"/>
      <c r="G582" s="296"/>
    </row>
    <row r="583">
      <c r="A583" s="295"/>
      <c r="B583" s="296"/>
      <c r="C583" s="297"/>
      <c r="D583" s="297"/>
      <c r="E583" s="296"/>
      <c r="F583" s="296"/>
      <c r="G583" s="296"/>
    </row>
    <row r="584">
      <c r="A584" s="295"/>
      <c r="B584" s="296"/>
      <c r="C584" s="297"/>
      <c r="D584" s="297"/>
      <c r="E584" s="296"/>
      <c r="F584" s="296"/>
      <c r="G584" s="296"/>
    </row>
    <row r="585">
      <c r="A585" s="295"/>
      <c r="B585" s="296"/>
      <c r="C585" s="297"/>
      <c r="D585" s="297"/>
      <c r="E585" s="296"/>
      <c r="F585" s="296"/>
      <c r="G585" s="296"/>
    </row>
    <row r="586">
      <c r="A586" s="295"/>
      <c r="B586" s="296"/>
      <c r="C586" s="297"/>
      <c r="D586" s="297"/>
      <c r="E586" s="296"/>
      <c r="F586" s="296"/>
      <c r="G586" s="296"/>
    </row>
    <row r="587">
      <c r="A587" s="295"/>
      <c r="B587" s="296"/>
      <c r="C587" s="297"/>
      <c r="D587" s="297"/>
      <c r="E587" s="296"/>
      <c r="F587" s="296"/>
      <c r="G587" s="296"/>
    </row>
    <row r="588">
      <c r="A588" s="295"/>
      <c r="B588" s="296"/>
      <c r="C588" s="297"/>
      <c r="D588" s="297"/>
      <c r="E588" s="296"/>
      <c r="F588" s="296"/>
      <c r="G588" s="296"/>
    </row>
    <row r="589">
      <c r="A589" s="295"/>
      <c r="B589" s="296"/>
      <c r="C589" s="297"/>
      <c r="D589" s="297"/>
      <c r="E589" s="296"/>
      <c r="F589" s="296"/>
      <c r="G589" s="296"/>
    </row>
    <row r="590">
      <c r="A590" s="295"/>
      <c r="B590" s="296"/>
      <c r="C590" s="297"/>
      <c r="D590" s="297"/>
      <c r="E590" s="296"/>
      <c r="F590" s="296"/>
      <c r="G590" s="296"/>
    </row>
    <row r="591">
      <c r="A591" s="295"/>
      <c r="B591" s="296"/>
      <c r="C591" s="297"/>
      <c r="D591" s="297"/>
      <c r="E591" s="296"/>
      <c r="F591" s="296"/>
      <c r="G591" s="296"/>
    </row>
    <row r="592">
      <c r="A592" s="295"/>
      <c r="B592" s="296"/>
      <c r="C592" s="297"/>
      <c r="D592" s="297"/>
      <c r="E592" s="296"/>
      <c r="F592" s="296"/>
      <c r="G592" s="296"/>
    </row>
    <row r="593">
      <c r="A593" s="295"/>
      <c r="B593" s="296"/>
      <c r="C593" s="297"/>
      <c r="D593" s="297"/>
      <c r="E593" s="296"/>
      <c r="F593" s="296"/>
      <c r="G593" s="296"/>
    </row>
    <row r="594">
      <c r="A594" s="295"/>
      <c r="B594" s="296"/>
      <c r="C594" s="297"/>
      <c r="D594" s="297"/>
      <c r="E594" s="296"/>
      <c r="F594" s="296"/>
      <c r="G594" s="296"/>
    </row>
    <row r="595">
      <c r="A595" s="295"/>
      <c r="B595" s="296"/>
      <c r="C595" s="297"/>
      <c r="D595" s="297"/>
      <c r="E595" s="296"/>
      <c r="F595" s="296"/>
      <c r="G595" s="296"/>
    </row>
    <row r="596">
      <c r="A596" s="295"/>
      <c r="B596" s="296"/>
      <c r="C596" s="297"/>
      <c r="D596" s="297"/>
      <c r="E596" s="296"/>
      <c r="F596" s="296"/>
      <c r="G596" s="296"/>
    </row>
    <row r="597">
      <c r="A597" s="295"/>
      <c r="B597" s="296"/>
      <c r="C597" s="297"/>
      <c r="D597" s="297"/>
      <c r="E597" s="296"/>
      <c r="F597" s="296"/>
      <c r="G597" s="296"/>
    </row>
    <row r="598">
      <c r="A598" s="295"/>
      <c r="B598" s="296"/>
      <c r="C598" s="297"/>
      <c r="D598" s="297"/>
      <c r="E598" s="296"/>
      <c r="F598" s="296"/>
      <c r="G598" s="296"/>
    </row>
    <row r="599">
      <c r="A599" s="295"/>
      <c r="B599" s="296"/>
      <c r="C599" s="297"/>
      <c r="D599" s="297"/>
      <c r="E599" s="296"/>
      <c r="F599" s="296"/>
      <c r="G599" s="296"/>
    </row>
    <row r="600">
      <c r="A600" s="295"/>
      <c r="B600" s="296"/>
      <c r="C600" s="297"/>
      <c r="D600" s="297"/>
      <c r="E600" s="296"/>
      <c r="F600" s="296"/>
      <c r="G600" s="296"/>
    </row>
    <row r="601">
      <c r="A601" s="295"/>
      <c r="B601" s="296"/>
      <c r="C601" s="297"/>
      <c r="D601" s="297"/>
      <c r="E601" s="296"/>
      <c r="F601" s="296"/>
      <c r="G601" s="296"/>
    </row>
    <row r="602">
      <c r="A602" s="295"/>
      <c r="B602" s="296"/>
      <c r="C602" s="297"/>
      <c r="D602" s="297"/>
      <c r="E602" s="296"/>
      <c r="F602" s="296"/>
      <c r="G602" s="296"/>
    </row>
    <row r="603">
      <c r="A603" s="295"/>
      <c r="B603" s="296"/>
      <c r="C603" s="297"/>
      <c r="D603" s="297"/>
      <c r="E603" s="296"/>
      <c r="F603" s="296"/>
      <c r="G603" s="296"/>
    </row>
    <row r="604">
      <c r="A604" s="295"/>
      <c r="B604" s="296"/>
      <c r="C604" s="297"/>
      <c r="D604" s="297"/>
      <c r="E604" s="296"/>
      <c r="F604" s="296"/>
      <c r="G604" s="296"/>
    </row>
    <row r="605">
      <c r="A605" s="295"/>
      <c r="B605" s="296"/>
      <c r="C605" s="297"/>
      <c r="D605" s="297"/>
      <c r="E605" s="296"/>
      <c r="F605" s="296"/>
      <c r="G605" s="296"/>
    </row>
    <row r="606">
      <c r="A606" s="295"/>
      <c r="B606" s="296"/>
      <c r="C606" s="297"/>
      <c r="D606" s="297"/>
      <c r="E606" s="296"/>
      <c r="F606" s="296"/>
      <c r="G606" s="296"/>
    </row>
    <row r="607">
      <c r="A607" s="295"/>
      <c r="B607" s="296"/>
      <c r="C607" s="297"/>
      <c r="D607" s="297"/>
      <c r="E607" s="296"/>
      <c r="F607" s="296"/>
      <c r="G607" s="296"/>
    </row>
    <row r="608">
      <c r="A608" s="295"/>
      <c r="B608" s="296"/>
      <c r="C608" s="297"/>
      <c r="D608" s="297"/>
      <c r="E608" s="296"/>
      <c r="F608" s="296"/>
      <c r="G608" s="296"/>
    </row>
    <row r="609">
      <c r="A609" s="295"/>
      <c r="B609" s="296"/>
      <c r="C609" s="297"/>
      <c r="D609" s="297"/>
      <c r="E609" s="296"/>
      <c r="F609" s="296"/>
      <c r="G609" s="296"/>
    </row>
    <row r="610">
      <c r="A610" s="295"/>
      <c r="B610" s="296"/>
      <c r="C610" s="297"/>
      <c r="D610" s="297"/>
      <c r="E610" s="296"/>
      <c r="F610" s="296"/>
      <c r="G610" s="296"/>
    </row>
    <row r="611">
      <c r="A611" s="295"/>
      <c r="B611" s="296"/>
      <c r="C611" s="297"/>
      <c r="D611" s="297"/>
      <c r="E611" s="296"/>
      <c r="F611" s="296"/>
      <c r="G611" s="296"/>
    </row>
    <row r="612">
      <c r="A612" s="295"/>
      <c r="B612" s="296"/>
      <c r="C612" s="297"/>
      <c r="D612" s="297"/>
      <c r="E612" s="296"/>
      <c r="F612" s="296"/>
      <c r="G612" s="296"/>
    </row>
    <row r="613">
      <c r="A613" s="295"/>
      <c r="B613" s="296"/>
      <c r="C613" s="297"/>
      <c r="D613" s="297"/>
      <c r="E613" s="296"/>
      <c r="F613" s="296"/>
      <c r="G613" s="296"/>
    </row>
    <row r="614">
      <c r="A614" s="295"/>
      <c r="B614" s="296"/>
      <c r="C614" s="297"/>
      <c r="D614" s="297"/>
      <c r="E614" s="296"/>
      <c r="F614" s="296"/>
      <c r="G614" s="296"/>
    </row>
    <row r="615">
      <c r="A615" s="295"/>
      <c r="B615" s="296"/>
      <c r="C615" s="297"/>
      <c r="D615" s="297"/>
      <c r="E615" s="296"/>
      <c r="F615" s="296"/>
      <c r="G615" s="296"/>
    </row>
    <row r="616">
      <c r="A616" s="295"/>
      <c r="B616" s="296"/>
      <c r="C616" s="297"/>
      <c r="D616" s="297"/>
      <c r="E616" s="296"/>
      <c r="F616" s="296"/>
      <c r="G616" s="296"/>
    </row>
    <row r="617">
      <c r="A617" s="295"/>
      <c r="B617" s="296"/>
      <c r="C617" s="297"/>
      <c r="D617" s="297"/>
      <c r="E617" s="296"/>
      <c r="F617" s="296"/>
      <c r="G617" s="296"/>
    </row>
    <row r="618">
      <c r="A618" s="295"/>
      <c r="B618" s="296"/>
      <c r="C618" s="297"/>
      <c r="D618" s="297"/>
      <c r="E618" s="296"/>
      <c r="F618" s="296"/>
      <c r="G618" s="296"/>
    </row>
    <row r="619">
      <c r="A619" s="295"/>
      <c r="B619" s="296"/>
      <c r="C619" s="297"/>
      <c r="D619" s="297"/>
      <c r="E619" s="296"/>
      <c r="F619" s="296"/>
      <c r="G619" s="296"/>
    </row>
    <row r="620">
      <c r="A620" s="295"/>
      <c r="B620" s="296"/>
      <c r="C620" s="297"/>
      <c r="D620" s="297"/>
      <c r="E620" s="296"/>
      <c r="F620" s="296"/>
      <c r="G620" s="296"/>
    </row>
    <row r="621">
      <c r="A621" s="295"/>
      <c r="B621" s="296"/>
      <c r="C621" s="297"/>
      <c r="D621" s="297"/>
      <c r="E621" s="296"/>
      <c r="F621" s="296"/>
      <c r="G621" s="296"/>
    </row>
    <row r="622">
      <c r="A622" s="295"/>
      <c r="B622" s="296"/>
      <c r="C622" s="297"/>
      <c r="D622" s="297"/>
      <c r="E622" s="296"/>
      <c r="F622" s="296"/>
      <c r="G622" s="296"/>
    </row>
    <row r="623">
      <c r="A623" s="295"/>
      <c r="B623" s="296"/>
      <c r="C623" s="297"/>
      <c r="D623" s="297"/>
      <c r="E623" s="296"/>
      <c r="F623" s="296"/>
      <c r="G623" s="296"/>
    </row>
    <row r="624">
      <c r="A624" s="295"/>
      <c r="B624" s="296"/>
      <c r="C624" s="297"/>
      <c r="D624" s="297"/>
      <c r="E624" s="296"/>
      <c r="F624" s="296"/>
      <c r="G624" s="296"/>
    </row>
    <row r="625">
      <c r="A625" s="295"/>
      <c r="B625" s="296"/>
      <c r="C625" s="297"/>
      <c r="D625" s="297"/>
      <c r="E625" s="296"/>
      <c r="F625" s="296"/>
      <c r="G625" s="296"/>
    </row>
    <row r="626">
      <c r="A626" s="295"/>
      <c r="B626" s="296"/>
      <c r="C626" s="297"/>
      <c r="D626" s="297"/>
      <c r="E626" s="296"/>
      <c r="F626" s="296"/>
      <c r="G626" s="296"/>
    </row>
    <row r="627">
      <c r="A627" s="295"/>
      <c r="B627" s="296"/>
      <c r="C627" s="297"/>
      <c r="D627" s="297"/>
      <c r="E627" s="296"/>
      <c r="F627" s="296"/>
      <c r="G627" s="296"/>
    </row>
    <row r="628">
      <c r="A628" s="295"/>
      <c r="B628" s="296"/>
      <c r="C628" s="297"/>
      <c r="D628" s="297"/>
      <c r="E628" s="296"/>
      <c r="F628" s="296"/>
      <c r="G628" s="296"/>
    </row>
    <row r="629">
      <c r="A629" s="295"/>
      <c r="B629" s="296"/>
      <c r="C629" s="297"/>
      <c r="D629" s="297"/>
      <c r="E629" s="296"/>
      <c r="F629" s="296"/>
      <c r="G629" s="296"/>
    </row>
    <row r="630">
      <c r="A630" s="295"/>
      <c r="B630" s="296"/>
      <c r="C630" s="297"/>
      <c r="D630" s="297"/>
      <c r="E630" s="296"/>
      <c r="F630" s="296"/>
      <c r="G630" s="296"/>
    </row>
    <row r="631">
      <c r="A631" s="295"/>
      <c r="B631" s="296"/>
      <c r="C631" s="297"/>
      <c r="D631" s="297"/>
      <c r="E631" s="296"/>
      <c r="F631" s="296"/>
      <c r="G631" s="296"/>
    </row>
    <row r="632">
      <c r="A632" s="295"/>
      <c r="B632" s="296"/>
      <c r="C632" s="297"/>
      <c r="D632" s="297"/>
      <c r="E632" s="296"/>
      <c r="F632" s="296"/>
      <c r="G632" s="296"/>
    </row>
    <row r="633">
      <c r="A633" s="295"/>
      <c r="B633" s="296"/>
      <c r="C633" s="297"/>
      <c r="D633" s="297"/>
      <c r="E633" s="296"/>
      <c r="F633" s="296"/>
      <c r="G633" s="296"/>
    </row>
    <row r="634">
      <c r="A634" s="295"/>
      <c r="B634" s="296"/>
      <c r="C634" s="297"/>
      <c r="D634" s="297"/>
      <c r="E634" s="296"/>
      <c r="F634" s="296"/>
      <c r="G634" s="296"/>
    </row>
    <row r="635">
      <c r="A635" s="295"/>
      <c r="B635" s="296"/>
      <c r="C635" s="297"/>
      <c r="D635" s="297"/>
      <c r="E635" s="296"/>
      <c r="F635" s="296"/>
      <c r="G635" s="296"/>
    </row>
    <row r="636">
      <c r="A636" s="295"/>
      <c r="B636" s="296"/>
      <c r="C636" s="297"/>
      <c r="D636" s="297"/>
      <c r="E636" s="296"/>
      <c r="F636" s="296"/>
      <c r="G636" s="296"/>
    </row>
    <row r="637">
      <c r="A637" s="295"/>
      <c r="B637" s="296"/>
      <c r="C637" s="297"/>
      <c r="D637" s="297"/>
      <c r="E637" s="296"/>
      <c r="F637" s="296"/>
      <c r="G637" s="296"/>
    </row>
    <row r="638">
      <c r="A638" s="295"/>
      <c r="B638" s="296"/>
      <c r="C638" s="297"/>
      <c r="D638" s="297"/>
      <c r="E638" s="296"/>
      <c r="F638" s="296"/>
      <c r="G638" s="296"/>
    </row>
    <row r="639">
      <c r="A639" s="295"/>
      <c r="B639" s="296"/>
      <c r="C639" s="297"/>
      <c r="D639" s="297"/>
      <c r="E639" s="296"/>
      <c r="F639" s="296"/>
      <c r="G639" s="296"/>
    </row>
    <row r="640">
      <c r="A640" s="295"/>
      <c r="B640" s="296"/>
      <c r="C640" s="297"/>
      <c r="D640" s="297"/>
      <c r="E640" s="296"/>
      <c r="F640" s="296"/>
      <c r="G640" s="296"/>
    </row>
    <row r="641">
      <c r="A641" s="295"/>
      <c r="B641" s="296"/>
      <c r="C641" s="297"/>
      <c r="D641" s="297"/>
      <c r="E641" s="296"/>
      <c r="F641" s="296"/>
      <c r="G641" s="296"/>
    </row>
    <row r="642">
      <c r="A642" s="295"/>
      <c r="B642" s="296"/>
      <c r="C642" s="297"/>
      <c r="D642" s="297"/>
      <c r="E642" s="296"/>
      <c r="F642" s="296"/>
      <c r="G642" s="296"/>
    </row>
    <row r="643">
      <c r="A643" s="295"/>
      <c r="B643" s="296"/>
      <c r="C643" s="297"/>
      <c r="D643" s="297"/>
      <c r="E643" s="296"/>
      <c r="F643" s="296"/>
      <c r="G643" s="296"/>
    </row>
    <row r="644">
      <c r="A644" s="295"/>
      <c r="B644" s="296"/>
      <c r="C644" s="297"/>
      <c r="D644" s="297"/>
      <c r="E644" s="296"/>
      <c r="F644" s="296"/>
      <c r="G644" s="296"/>
    </row>
    <row r="645">
      <c r="A645" s="295"/>
      <c r="B645" s="296"/>
      <c r="C645" s="297"/>
      <c r="D645" s="297"/>
      <c r="E645" s="296"/>
      <c r="F645" s="296"/>
      <c r="G645" s="296"/>
    </row>
    <row r="646">
      <c r="A646" s="295"/>
      <c r="B646" s="296"/>
      <c r="C646" s="297"/>
      <c r="D646" s="297"/>
      <c r="E646" s="296"/>
      <c r="F646" s="296"/>
      <c r="G646" s="296"/>
    </row>
    <row r="647">
      <c r="A647" s="295"/>
      <c r="B647" s="296"/>
      <c r="C647" s="297"/>
      <c r="D647" s="297"/>
      <c r="E647" s="296"/>
      <c r="F647" s="296"/>
      <c r="G647" s="296"/>
    </row>
    <row r="648">
      <c r="A648" s="295"/>
      <c r="B648" s="296"/>
      <c r="C648" s="297"/>
      <c r="D648" s="297"/>
      <c r="E648" s="296"/>
      <c r="F648" s="296"/>
      <c r="G648" s="296"/>
    </row>
    <row r="649">
      <c r="A649" s="295"/>
      <c r="B649" s="296"/>
      <c r="C649" s="297"/>
      <c r="D649" s="297"/>
      <c r="E649" s="296"/>
      <c r="F649" s="296"/>
      <c r="G649" s="296"/>
    </row>
    <row r="650">
      <c r="A650" s="295"/>
      <c r="B650" s="296"/>
      <c r="C650" s="297"/>
      <c r="D650" s="297"/>
      <c r="E650" s="296"/>
      <c r="F650" s="296"/>
      <c r="G650" s="296"/>
    </row>
    <row r="651">
      <c r="A651" s="295"/>
      <c r="B651" s="296"/>
      <c r="C651" s="297"/>
      <c r="D651" s="297"/>
      <c r="E651" s="296"/>
      <c r="F651" s="296"/>
      <c r="G651" s="296"/>
    </row>
    <row r="652">
      <c r="A652" s="295"/>
      <c r="B652" s="296"/>
      <c r="C652" s="297"/>
      <c r="D652" s="297"/>
      <c r="E652" s="296"/>
      <c r="F652" s="296"/>
      <c r="G652" s="296"/>
    </row>
    <row r="653">
      <c r="A653" s="295"/>
      <c r="B653" s="296"/>
      <c r="C653" s="297"/>
      <c r="D653" s="297"/>
      <c r="E653" s="296"/>
      <c r="F653" s="296"/>
      <c r="G653" s="296"/>
    </row>
    <row r="654">
      <c r="A654" s="295"/>
      <c r="B654" s="296"/>
      <c r="C654" s="297"/>
      <c r="D654" s="297"/>
      <c r="E654" s="296"/>
      <c r="F654" s="296"/>
      <c r="G654" s="296"/>
    </row>
    <row r="655">
      <c r="A655" s="295"/>
      <c r="B655" s="296"/>
      <c r="C655" s="297"/>
      <c r="D655" s="297"/>
      <c r="E655" s="296"/>
      <c r="F655" s="296"/>
      <c r="G655" s="296"/>
    </row>
    <row r="656">
      <c r="A656" s="295"/>
      <c r="B656" s="296"/>
      <c r="C656" s="297"/>
      <c r="D656" s="297"/>
      <c r="E656" s="296"/>
      <c r="F656" s="296"/>
      <c r="G656" s="296"/>
    </row>
    <row r="657">
      <c r="A657" s="295"/>
      <c r="B657" s="296"/>
      <c r="C657" s="297"/>
      <c r="D657" s="297"/>
      <c r="E657" s="296"/>
      <c r="F657" s="296"/>
      <c r="G657" s="296"/>
    </row>
    <row r="658">
      <c r="A658" s="295"/>
      <c r="B658" s="296"/>
      <c r="C658" s="297"/>
      <c r="D658" s="297"/>
      <c r="E658" s="296"/>
      <c r="F658" s="296"/>
      <c r="G658" s="296"/>
    </row>
    <row r="659">
      <c r="A659" s="295"/>
      <c r="B659" s="296"/>
      <c r="C659" s="297"/>
      <c r="D659" s="297"/>
      <c r="E659" s="296"/>
      <c r="F659" s="296"/>
      <c r="G659" s="296"/>
    </row>
    <row r="660">
      <c r="A660" s="295"/>
      <c r="B660" s="296"/>
      <c r="C660" s="297"/>
      <c r="D660" s="297"/>
      <c r="E660" s="296"/>
      <c r="F660" s="296"/>
      <c r="G660" s="296"/>
    </row>
    <row r="661">
      <c r="A661" s="295"/>
      <c r="B661" s="296"/>
      <c r="C661" s="297"/>
      <c r="D661" s="297"/>
      <c r="E661" s="296"/>
      <c r="F661" s="296"/>
      <c r="G661" s="296"/>
    </row>
    <row r="662">
      <c r="A662" s="295"/>
      <c r="B662" s="296"/>
      <c r="C662" s="297"/>
      <c r="D662" s="297"/>
      <c r="E662" s="296"/>
      <c r="F662" s="296"/>
      <c r="G662" s="296"/>
    </row>
    <row r="663">
      <c r="A663" s="295"/>
      <c r="B663" s="296"/>
      <c r="C663" s="297"/>
      <c r="D663" s="297"/>
      <c r="E663" s="296"/>
      <c r="F663" s="296"/>
      <c r="G663" s="296"/>
    </row>
    <row r="664">
      <c r="A664" s="295"/>
      <c r="B664" s="296"/>
      <c r="C664" s="297"/>
      <c r="D664" s="297"/>
      <c r="E664" s="296"/>
      <c r="F664" s="296"/>
      <c r="G664" s="296"/>
    </row>
    <row r="665">
      <c r="A665" s="295"/>
      <c r="B665" s="296"/>
      <c r="C665" s="297"/>
      <c r="D665" s="297"/>
      <c r="E665" s="296"/>
      <c r="F665" s="296"/>
      <c r="G665" s="296"/>
    </row>
    <row r="666">
      <c r="A666" s="295"/>
      <c r="B666" s="296"/>
      <c r="C666" s="297"/>
      <c r="D666" s="297"/>
      <c r="E666" s="296"/>
      <c r="F666" s="296"/>
      <c r="G666" s="296"/>
    </row>
    <row r="667">
      <c r="A667" s="295"/>
      <c r="B667" s="296"/>
      <c r="C667" s="297"/>
      <c r="D667" s="297"/>
      <c r="E667" s="296"/>
      <c r="F667" s="296"/>
      <c r="G667" s="296"/>
    </row>
    <row r="668">
      <c r="A668" s="295"/>
      <c r="B668" s="296"/>
      <c r="C668" s="297"/>
      <c r="D668" s="297"/>
      <c r="E668" s="296"/>
      <c r="F668" s="296"/>
      <c r="G668" s="296"/>
    </row>
    <row r="669">
      <c r="A669" s="295"/>
      <c r="B669" s="296"/>
      <c r="C669" s="297"/>
      <c r="D669" s="297"/>
      <c r="E669" s="296"/>
      <c r="F669" s="296"/>
      <c r="G669" s="296"/>
    </row>
    <row r="670">
      <c r="A670" s="295"/>
      <c r="B670" s="296"/>
      <c r="C670" s="297"/>
      <c r="D670" s="297"/>
      <c r="E670" s="296"/>
      <c r="F670" s="296"/>
      <c r="G670" s="296"/>
    </row>
    <row r="671">
      <c r="A671" s="295"/>
      <c r="B671" s="296"/>
      <c r="C671" s="297"/>
      <c r="D671" s="297"/>
      <c r="E671" s="296"/>
      <c r="F671" s="296"/>
      <c r="G671" s="296"/>
    </row>
    <row r="672">
      <c r="A672" s="295"/>
      <c r="B672" s="296"/>
      <c r="C672" s="297"/>
      <c r="D672" s="297"/>
      <c r="E672" s="296"/>
      <c r="F672" s="296"/>
      <c r="G672" s="296"/>
    </row>
    <row r="673">
      <c r="A673" s="295"/>
      <c r="B673" s="296"/>
      <c r="C673" s="297"/>
      <c r="D673" s="297"/>
      <c r="E673" s="296"/>
      <c r="F673" s="296"/>
      <c r="G673" s="296"/>
    </row>
    <row r="674">
      <c r="A674" s="295"/>
      <c r="B674" s="296"/>
      <c r="C674" s="297"/>
      <c r="D674" s="297"/>
      <c r="E674" s="296"/>
      <c r="F674" s="296"/>
      <c r="G674" s="296"/>
    </row>
    <row r="675">
      <c r="A675" s="295"/>
      <c r="B675" s="296"/>
      <c r="C675" s="297"/>
      <c r="D675" s="297"/>
      <c r="E675" s="296"/>
      <c r="F675" s="296"/>
      <c r="G675" s="296"/>
    </row>
    <row r="676">
      <c r="A676" s="295"/>
      <c r="B676" s="296"/>
      <c r="C676" s="297"/>
      <c r="D676" s="297"/>
      <c r="E676" s="296"/>
      <c r="F676" s="296"/>
      <c r="G676" s="296"/>
    </row>
    <row r="677">
      <c r="A677" s="295"/>
      <c r="B677" s="296"/>
      <c r="C677" s="297"/>
      <c r="D677" s="297"/>
      <c r="E677" s="296"/>
      <c r="F677" s="296"/>
      <c r="G677" s="296"/>
    </row>
    <row r="678">
      <c r="A678" s="295"/>
      <c r="B678" s="296"/>
      <c r="C678" s="297"/>
      <c r="D678" s="297"/>
      <c r="E678" s="296"/>
      <c r="F678" s="296"/>
      <c r="G678" s="296"/>
    </row>
    <row r="679">
      <c r="A679" s="295"/>
      <c r="B679" s="296"/>
      <c r="C679" s="297"/>
      <c r="D679" s="297"/>
      <c r="E679" s="296"/>
      <c r="F679" s="296"/>
      <c r="G679" s="296"/>
    </row>
    <row r="680">
      <c r="A680" s="295"/>
      <c r="B680" s="296"/>
      <c r="C680" s="297"/>
      <c r="D680" s="297"/>
      <c r="E680" s="296"/>
      <c r="F680" s="296"/>
      <c r="G680" s="296"/>
    </row>
    <row r="681">
      <c r="A681" s="295"/>
      <c r="B681" s="296"/>
      <c r="C681" s="297"/>
      <c r="D681" s="297"/>
      <c r="E681" s="296"/>
      <c r="F681" s="296"/>
      <c r="G681" s="296"/>
    </row>
    <row r="682">
      <c r="A682" s="295"/>
      <c r="B682" s="296"/>
      <c r="C682" s="297"/>
      <c r="D682" s="297"/>
      <c r="E682" s="296"/>
      <c r="F682" s="296"/>
      <c r="G682" s="296"/>
    </row>
    <row r="683">
      <c r="A683" s="295"/>
      <c r="B683" s="296"/>
      <c r="C683" s="297"/>
      <c r="D683" s="297"/>
      <c r="E683" s="296"/>
      <c r="F683" s="296"/>
      <c r="G683" s="296"/>
    </row>
    <row r="684">
      <c r="A684" s="295"/>
      <c r="B684" s="296"/>
      <c r="C684" s="297"/>
      <c r="D684" s="297"/>
      <c r="E684" s="296"/>
      <c r="F684" s="296"/>
      <c r="G684" s="296"/>
    </row>
    <row r="685">
      <c r="A685" s="295"/>
      <c r="B685" s="296"/>
      <c r="C685" s="297"/>
      <c r="D685" s="297"/>
      <c r="E685" s="296"/>
      <c r="F685" s="296"/>
      <c r="G685" s="296"/>
    </row>
    <row r="686">
      <c r="A686" s="295"/>
      <c r="B686" s="296"/>
      <c r="C686" s="297"/>
      <c r="D686" s="297"/>
      <c r="E686" s="296"/>
      <c r="F686" s="296"/>
      <c r="G686" s="296"/>
    </row>
    <row r="687">
      <c r="A687" s="295"/>
      <c r="B687" s="296"/>
      <c r="C687" s="297"/>
      <c r="D687" s="297"/>
      <c r="E687" s="296"/>
      <c r="F687" s="296"/>
      <c r="G687" s="296"/>
    </row>
    <row r="688">
      <c r="A688" s="295"/>
      <c r="B688" s="296"/>
      <c r="C688" s="297"/>
      <c r="D688" s="297"/>
      <c r="E688" s="296"/>
      <c r="F688" s="296"/>
      <c r="G688" s="296"/>
    </row>
    <row r="689">
      <c r="A689" s="295"/>
      <c r="B689" s="296"/>
      <c r="C689" s="297"/>
      <c r="D689" s="297"/>
      <c r="E689" s="296"/>
      <c r="F689" s="296"/>
      <c r="G689" s="296"/>
    </row>
    <row r="690">
      <c r="A690" s="295"/>
      <c r="B690" s="296"/>
      <c r="C690" s="297"/>
      <c r="D690" s="297"/>
      <c r="E690" s="296"/>
      <c r="F690" s="296"/>
      <c r="G690" s="296"/>
    </row>
    <row r="691">
      <c r="A691" s="295"/>
      <c r="B691" s="296"/>
      <c r="C691" s="297"/>
      <c r="D691" s="297"/>
      <c r="E691" s="296"/>
      <c r="F691" s="296"/>
      <c r="G691" s="296"/>
    </row>
    <row r="692">
      <c r="A692" s="295"/>
      <c r="B692" s="296"/>
      <c r="C692" s="297"/>
      <c r="D692" s="297"/>
      <c r="E692" s="296"/>
      <c r="F692" s="296"/>
      <c r="G692" s="296"/>
    </row>
    <row r="693">
      <c r="A693" s="295"/>
      <c r="B693" s="296"/>
      <c r="C693" s="297"/>
      <c r="D693" s="297"/>
      <c r="E693" s="296"/>
      <c r="F693" s="296"/>
      <c r="G693" s="296"/>
    </row>
    <row r="694">
      <c r="A694" s="295"/>
      <c r="B694" s="296"/>
      <c r="C694" s="297"/>
      <c r="D694" s="297"/>
      <c r="E694" s="296"/>
      <c r="F694" s="296"/>
      <c r="G694" s="296"/>
    </row>
    <row r="695">
      <c r="A695" s="295"/>
      <c r="B695" s="296"/>
      <c r="C695" s="297"/>
      <c r="D695" s="297"/>
      <c r="E695" s="296"/>
      <c r="F695" s="296"/>
      <c r="G695" s="296"/>
    </row>
    <row r="696">
      <c r="A696" s="295"/>
      <c r="B696" s="296"/>
      <c r="C696" s="297"/>
      <c r="D696" s="297"/>
      <c r="E696" s="296"/>
      <c r="F696" s="296"/>
      <c r="G696" s="296"/>
    </row>
    <row r="697">
      <c r="A697" s="295"/>
      <c r="B697" s="296"/>
      <c r="C697" s="297"/>
      <c r="D697" s="297"/>
      <c r="E697" s="296"/>
      <c r="F697" s="296"/>
      <c r="G697" s="296"/>
    </row>
    <row r="698">
      <c r="A698" s="295"/>
      <c r="B698" s="296"/>
      <c r="C698" s="297"/>
      <c r="D698" s="297"/>
      <c r="E698" s="296"/>
      <c r="F698" s="296"/>
      <c r="G698" s="296"/>
    </row>
    <row r="699">
      <c r="A699" s="295"/>
      <c r="B699" s="296"/>
      <c r="C699" s="297"/>
      <c r="D699" s="297"/>
      <c r="E699" s="296"/>
      <c r="F699" s="296"/>
      <c r="G699" s="296"/>
    </row>
    <row r="700">
      <c r="A700" s="295"/>
      <c r="B700" s="296"/>
      <c r="C700" s="297"/>
      <c r="D700" s="297"/>
      <c r="E700" s="296"/>
      <c r="F700" s="296"/>
      <c r="G700" s="296"/>
    </row>
    <row r="701">
      <c r="A701" s="295"/>
      <c r="B701" s="296"/>
      <c r="C701" s="297"/>
      <c r="D701" s="297"/>
      <c r="E701" s="296"/>
      <c r="F701" s="296"/>
      <c r="G701" s="296"/>
    </row>
    <row r="702">
      <c r="A702" s="295"/>
      <c r="B702" s="296"/>
      <c r="C702" s="297"/>
      <c r="D702" s="297"/>
      <c r="E702" s="296"/>
      <c r="F702" s="296"/>
      <c r="G702" s="296"/>
    </row>
    <row r="703">
      <c r="A703" s="295"/>
      <c r="B703" s="296"/>
      <c r="C703" s="297"/>
      <c r="D703" s="297"/>
      <c r="E703" s="296"/>
      <c r="F703" s="296"/>
      <c r="G703" s="296"/>
    </row>
    <row r="704">
      <c r="A704" s="295"/>
      <c r="B704" s="296"/>
      <c r="C704" s="297"/>
      <c r="D704" s="297"/>
      <c r="E704" s="296"/>
      <c r="F704" s="296"/>
      <c r="G704" s="296"/>
    </row>
    <row r="705">
      <c r="A705" s="295"/>
      <c r="B705" s="296"/>
      <c r="C705" s="297"/>
      <c r="D705" s="297"/>
      <c r="E705" s="296"/>
      <c r="F705" s="296"/>
      <c r="G705" s="296"/>
    </row>
    <row r="706">
      <c r="A706" s="295"/>
      <c r="B706" s="296"/>
      <c r="C706" s="297"/>
      <c r="D706" s="297"/>
      <c r="E706" s="296"/>
      <c r="F706" s="296"/>
      <c r="G706" s="296"/>
    </row>
    <row r="707">
      <c r="A707" s="295"/>
      <c r="B707" s="296"/>
      <c r="C707" s="297"/>
      <c r="D707" s="297"/>
      <c r="E707" s="296"/>
      <c r="F707" s="296"/>
      <c r="G707" s="296"/>
    </row>
    <row r="708">
      <c r="A708" s="295"/>
      <c r="B708" s="296"/>
      <c r="C708" s="297"/>
      <c r="D708" s="297"/>
      <c r="E708" s="296"/>
      <c r="F708" s="296"/>
      <c r="G708" s="296"/>
    </row>
    <row r="709">
      <c r="A709" s="295"/>
      <c r="B709" s="296"/>
      <c r="C709" s="297"/>
      <c r="D709" s="297"/>
      <c r="E709" s="296"/>
      <c r="F709" s="296"/>
      <c r="G709" s="296"/>
    </row>
    <row r="710">
      <c r="A710" s="295"/>
      <c r="B710" s="296"/>
      <c r="C710" s="297"/>
      <c r="D710" s="297"/>
      <c r="E710" s="296"/>
      <c r="F710" s="296"/>
      <c r="G710" s="296"/>
    </row>
    <row r="711">
      <c r="A711" s="295"/>
      <c r="B711" s="296"/>
      <c r="C711" s="297"/>
      <c r="D711" s="297"/>
      <c r="E711" s="296"/>
      <c r="F711" s="296"/>
      <c r="G711" s="296"/>
    </row>
    <row r="712">
      <c r="A712" s="295"/>
      <c r="B712" s="296"/>
      <c r="C712" s="297"/>
      <c r="D712" s="297"/>
      <c r="E712" s="296"/>
      <c r="F712" s="296"/>
      <c r="G712" s="296"/>
    </row>
    <row r="713">
      <c r="A713" s="295"/>
      <c r="B713" s="296"/>
      <c r="C713" s="297"/>
      <c r="D713" s="297"/>
      <c r="E713" s="296"/>
      <c r="F713" s="296"/>
      <c r="G713" s="296"/>
    </row>
    <row r="714">
      <c r="A714" s="295"/>
      <c r="B714" s="296"/>
      <c r="C714" s="297"/>
      <c r="D714" s="297"/>
      <c r="E714" s="296"/>
      <c r="F714" s="296"/>
      <c r="G714" s="296"/>
    </row>
    <row r="715">
      <c r="A715" s="295"/>
      <c r="B715" s="296"/>
      <c r="C715" s="297"/>
      <c r="D715" s="297"/>
      <c r="E715" s="296"/>
      <c r="F715" s="296"/>
      <c r="G715" s="296"/>
    </row>
    <row r="716">
      <c r="A716" s="295"/>
      <c r="B716" s="296"/>
      <c r="C716" s="297"/>
      <c r="D716" s="297"/>
      <c r="E716" s="296"/>
      <c r="F716" s="296"/>
      <c r="G716" s="296"/>
    </row>
    <row r="717">
      <c r="A717" s="295"/>
      <c r="B717" s="296"/>
      <c r="C717" s="297"/>
      <c r="D717" s="297"/>
      <c r="E717" s="296"/>
      <c r="F717" s="296"/>
      <c r="G717" s="296"/>
    </row>
    <row r="718">
      <c r="A718" s="295"/>
      <c r="B718" s="296"/>
      <c r="C718" s="297"/>
      <c r="D718" s="297"/>
      <c r="E718" s="296"/>
      <c r="F718" s="296"/>
      <c r="G718" s="296"/>
    </row>
    <row r="719">
      <c r="A719" s="295"/>
      <c r="B719" s="296"/>
      <c r="C719" s="297"/>
      <c r="D719" s="297"/>
      <c r="E719" s="296"/>
      <c r="F719" s="296"/>
      <c r="G719" s="296"/>
    </row>
    <row r="720">
      <c r="A720" s="295"/>
      <c r="B720" s="296"/>
      <c r="C720" s="297"/>
      <c r="D720" s="297"/>
      <c r="E720" s="296"/>
      <c r="F720" s="296"/>
      <c r="G720" s="296"/>
    </row>
    <row r="721">
      <c r="A721" s="295"/>
      <c r="B721" s="296"/>
      <c r="C721" s="297"/>
      <c r="D721" s="297"/>
      <c r="E721" s="296"/>
      <c r="F721" s="296"/>
      <c r="G721" s="296"/>
    </row>
    <row r="722">
      <c r="A722" s="295"/>
      <c r="B722" s="296"/>
      <c r="C722" s="297"/>
      <c r="D722" s="297"/>
      <c r="E722" s="296"/>
      <c r="F722" s="296"/>
      <c r="G722" s="296"/>
    </row>
    <row r="723">
      <c r="A723" s="295"/>
      <c r="B723" s="296"/>
      <c r="C723" s="297"/>
      <c r="D723" s="297"/>
      <c r="E723" s="296"/>
      <c r="F723" s="296"/>
      <c r="G723" s="296"/>
    </row>
    <row r="724">
      <c r="A724" s="295"/>
      <c r="B724" s="296"/>
      <c r="C724" s="297"/>
      <c r="D724" s="297"/>
      <c r="E724" s="296"/>
      <c r="F724" s="296"/>
      <c r="G724" s="296"/>
    </row>
    <row r="725">
      <c r="A725" s="295"/>
      <c r="B725" s="296"/>
      <c r="C725" s="297"/>
      <c r="D725" s="297"/>
      <c r="E725" s="296"/>
      <c r="F725" s="296"/>
      <c r="G725" s="296"/>
    </row>
    <row r="726">
      <c r="A726" s="295"/>
      <c r="B726" s="296"/>
      <c r="C726" s="297"/>
      <c r="D726" s="297"/>
      <c r="E726" s="296"/>
      <c r="F726" s="296"/>
      <c r="G726" s="296"/>
    </row>
    <row r="727">
      <c r="A727" s="295"/>
      <c r="B727" s="296"/>
      <c r="C727" s="297"/>
      <c r="D727" s="297"/>
      <c r="E727" s="296"/>
      <c r="F727" s="296"/>
      <c r="G727" s="296"/>
    </row>
    <row r="728">
      <c r="A728" s="295"/>
      <c r="B728" s="296"/>
      <c r="C728" s="297"/>
      <c r="D728" s="297"/>
      <c r="E728" s="296"/>
      <c r="F728" s="296"/>
      <c r="G728" s="296"/>
    </row>
    <row r="729">
      <c r="A729" s="295"/>
      <c r="B729" s="296"/>
      <c r="C729" s="297"/>
      <c r="D729" s="297"/>
      <c r="E729" s="296"/>
      <c r="F729" s="296"/>
      <c r="G729" s="296"/>
    </row>
    <row r="730">
      <c r="A730" s="295"/>
      <c r="B730" s="296"/>
      <c r="C730" s="297"/>
      <c r="D730" s="297"/>
      <c r="E730" s="296"/>
      <c r="F730" s="296"/>
      <c r="G730" s="296"/>
    </row>
    <row r="731">
      <c r="A731" s="295"/>
      <c r="B731" s="296"/>
      <c r="C731" s="297"/>
      <c r="D731" s="297"/>
      <c r="E731" s="296"/>
      <c r="F731" s="296"/>
      <c r="G731" s="296"/>
    </row>
    <row r="732">
      <c r="A732" s="295"/>
      <c r="B732" s="296"/>
      <c r="C732" s="297"/>
      <c r="D732" s="297"/>
      <c r="E732" s="296"/>
      <c r="F732" s="296"/>
      <c r="G732" s="296"/>
    </row>
    <row r="733">
      <c r="A733" s="295"/>
      <c r="B733" s="296"/>
      <c r="C733" s="297"/>
      <c r="D733" s="297"/>
      <c r="E733" s="296"/>
      <c r="F733" s="296"/>
      <c r="G733" s="296"/>
    </row>
    <row r="734">
      <c r="A734" s="295"/>
      <c r="B734" s="296"/>
      <c r="C734" s="297"/>
      <c r="D734" s="297"/>
      <c r="E734" s="296"/>
      <c r="F734" s="296"/>
      <c r="G734" s="296"/>
    </row>
    <row r="735">
      <c r="A735" s="295"/>
      <c r="B735" s="296"/>
      <c r="C735" s="297"/>
      <c r="D735" s="297"/>
      <c r="E735" s="296"/>
      <c r="F735" s="296"/>
      <c r="G735" s="296"/>
    </row>
    <row r="736">
      <c r="A736" s="295"/>
      <c r="B736" s="296"/>
      <c r="C736" s="297"/>
      <c r="D736" s="297"/>
      <c r="E736" s="296"/>
      <c r="F736" s="296"/>
      <c r="G736" s="296"/>
    </row>
    <row r="737">
      <c r="A737" s="295"/>
      <c r="B737" s="296"/>
      <c r="C737" s="297"/>
      <c r="D737" s="297"/>
      <c r="E737" s="296"/>
      <c r="F737" s="296"/>
      <c r="G737" s="296"/>
    </row>
    <row r="738">
      <c r="A738" s="295"/>
      <c r="B738" s="296"/>
      <c r="C738" s="297"/>
      <c r="D738" s="297"/>
      <c r="E738" s="296"/>
      <c r="F738" s="296"/>
      <c r="G738" s="296"/>
    </row>
    <row r="739">
      <c r="A739" s="295"/>
      <c r="B739" s="296"/>
      <c r="C739" s="297"/>
      <c r="D739" s="297"/>
      <c r="E739" s="296"/>
      <c r="F739" s="296"/>
      <c r="G739" s="296"/>
    </row>
    <row r="740">
      <c r="A740" s="295"/>
      <c r="B740" s="296"/>
      <c r="C740" s="297"/>
      <c r="D740" s="297"/>
      <c r="E740" s="296"/>
      <c r="F740" s="296"/>
      <c r="G740" s="296"/>
    </row>
    <row r="741">
      <c r="A741" s="295"/>
      <c r="B741" s="296"/>
      <c r="C741" s="297"/>
      <c r="D741" s="297"/>
      <c r="E741" s="296"/>
      <c r="F741" s="296"/>
      <c r="G741" s="296"/>
    </row>
    <row r="742">
      <c r="A742" s="295"/>
      <c r="B742" s="296"/>
      <c r="C742" s="297"/>
      <c r="D742" s="297"/>
      <c r="E742" s="296"/>
      <c r="F742" s="296"/>
      <c r="G742" s="296"/>
    </row>
    <row r="743">
      <c r="A743" s="295"/>
      <c r="B743" s="296"/>
      <c r="C743" s="297"/>
      <c r="D743" s="297"/>
      <c r="E743" s="296"/>
      <c r="F743" s="296"/>
      <c r="G743" s="296"/>
    </row>
    <row r="744">
      <c r="A744" s="295"/>
      <c r="B744" s="296"/>
      <c r="C744" s="297"/>
      <c r="D744" s="297"/>
      <c r="E744" s="296"/>
      <c r="F744" s="296"/>
      <c r="G744" s="296"/>
    </row>
    <row r="745">
      <c r="A745" s="295"/>
      <c r="B745" s="296"/>
      <c r="C745" s="297"/>
      <c r="D745" s="297"/>
      <c r="E745" s="296"/>
      <c r="F745" s="296"/>
      <c r="G745" s="296"/>
    </row>
    <row r="746">
      <c r="A746" s="295"/>
      <c r="B746" s="296"/>
      <c r="C746" s="297"/>
      <c r="D746" s="297"/>
      <c r="E746" s="296"/>
      <c r="F746" s="296"/>
      <c r="G746" s="296"/>
    </row>
    <row r="747">
      <c r="A747" s="295"/>
      <c r="B747" s="296"/>
      <c r="C747" s="297"/>
      <c r="D747" s="297"/>
      <c r="E747" s="296"/>
      <c r="F747" s="296"/>
      <c r="G747" s="296"/>
    </row>
    <row r="748">
      <c r="A748" s="295"/>
      <c r="B748" s="296"/>
      <c r="C748" s="297"/>
      <c r="D748" s="297"/>
      <c r="E748" s="296"/>
      <c r="F748" s="296"/>
      <c r="G748" s="296"/>
    </row>
    <row r="749">
      <c r="A749" s="295"/>
      <c r="B749" s="296"/>
      <c r="C749" s="297"/>
      <c r="D749" s="297"/>
      <c r="E749" s="296"/>
      <c r="F749" s="296"/>
      <c r="G749" s="296"/>
    </row>
    <row r="750">
      <c r="A750" s="295"/>
      <c r="B750" s="296"/>
      <c r="C750" s="297"/>
      <c r="D750" s="297"/>
      <c r="E750" s="296"/>
      <c r="F750" s="296"/>
      <c r="G750" s="296"/>
    </row>
    <row r="751">
      <c r="A751" s="295"/>
      <c r="B751" s="296"/>
      <c r="C751" s="297"/>
      <c r="D751" s="297"/>
      <c r="E751" s="296"/>
      <c r="F751" s="296"/>
      <c r="G751" s="296"/>
    </row>
    <row r="752">
      <c r="A752" s="295"/>
      <c r="B752" s="296"/>
      <c r="C752" s="297"/>
      <c r="D752" s="297"/>
      <c r="E752" s="296"/>
      <c r="F752" s="296"/>
      <c r="G752" s="296"/>
    </row>
    <row r="753">
      <c r="A753" s="295"/>
      <c r="B753" s="296"/>
      <c r="C753" s="297"/>
      <c r="D753" s="297"/>
      <c r="E753" s="296"/>
      <c r="F753" s="296"/>
      <c r="G753" s="296"/>
    </row>
    <row r="754">
      <c r="A754" s="295"/>
      <c r="B754" s="296"/>
      <c r="C754" s="297"/>
      <c r="D754" s="297"/>
      <c r="E754" s="296"/>
      <c r="F754" s="296"/>
      <c r="G754" s="296"/>
    </row>
    <row r="755">
      <c r="A755" s="295"/>
      <c r="B755" s="296"/>
      <c r="C755" s="297"/>
      <c r="D755" s="297"/>
      <c r="E755" s="296"/>
      <c r="F755" s="296"/>
      <c r="G755" s="296"/>
    </row>
    <row r="756">
      <c r="A756" s="295"/>
      <c r="B756" s="296"/>
      <c r="C756" s="297"/>
      <c r="D756" s="297"/>
      <c r="E756" s="296"/>
      <c r="F756" s="296"/>
      <c r="G756" s="296"/>
    </row>
    <row r="757">
      <c r="A757" s="295"/>
      <c r="B757" s="296"/>
      <c r="C757" s="297"/>
      <c r="D757" s="297"/>
      <c r="E757" s="296"/>
      <c r="F757" s="296"/>
      <c r="G757" s="296"/>
    </row>
    <row r="758">
      <c r="A758" s="295"/>
      <c r="B758" s="296"/>
      <c r="C758" s="297"/>
      <c r="D758" s="297"/>
      <c r="E758" s="296"/>
      <c r="F758" s="296"/>
      <c r="G758" s="296"/>
    </row>
    <row r="759">
      <c r="A759" s="295"/>
      <c r="B759" s="296"/>
      <c r="C759" s="297"/>
      <c r="D759" s="297"/>
      <c r="E759" s="296"/>
      <c r="F759" s="296"/>
      <c r="G759" s="296"/>
    </row>
    <row r="760">
      <c r="A760" s="295"/>
      <c r="B760" s="296"/>
      <c r="C760" s="297"/>
      <c r="D760" s="297"/>
      <c r="E760" s="296"/>
      <c r="F760" s="296"/>
      <c r="G760" s="296"/>
    </row>
    <row r="761">
      <c r="A761" s="295"/>
      <c r="B761" s="296"/>
      <c r="C761" s="297"/>
      <c r="D761" s="297"/>
      <c r="E761" s="296"/>
      <c r="F761" s="296"/>
      <c r="G761" s="296"/>
    </row>
    <row r="762">
      <c r="A762" s="295"/>
      <c r="B762" s="296"/>
      <c r="C762" s="297"/>
      <c r="D762" s="297"/>
      <c r="E762" s="296"/>
      <c r="F762" s="296"/>
      <c r="G762" s="296"/>
    </row>
    <row r="763">
      <c r="A763" s="295"/>
      <c r="B763" s="296"/>
      <c r="C763" s="297"/>
      <c r="D763" s="297"/>
      <c r="E763" s="296"/>
      <c r="F763" s="296"/>
      <c r="G763" s="296"/>
    </row>
    <row r="764">
      <c r="A764" s="295"/>
      <c r="B764" s="296"/>
      <c r="C764" s="297"/>
      <c r="D764" s="297"/>
      <c r="E764" s="296"/>
      <c r="F764" s="296"/>
      <c r="G764" s="296"/>
    </row>
    <row r="765">
      <c r="A765" s="295"/>
      <c r="B765" s="296"/>
      <c r="C765" s="297"/>
      <c r="D765" s="297"/>
      <c r="E765" s="296"/>
      <c r="F765" s="296"/>
      <c r="G765" s="296"/>
    </row>
    <row r="766">
      <c r="A766" s="295"/>
      <c r="B766" s="296"/>
      <c r="C766" s="297"/>
      <c r="D766" s="297"/>
      <c r="E766" s="296"/>
      <c r="F766" s="296"/>
      <c r="G766" s="296"/>
    </row>
    <row r="767">
      <c r="A767" s="295"/>
      <c r="B767" s="296"/>
      <c r="C767" s="297"/>
      <c r="D767" s="297"/>
      <c r="E767" s="296"/>
      <c r="F767" s="296"/>
      <c r="G767" s="296"/>
    </row>
    <row r="768">
      <c r="A768" s="295"/>
      <c r="B768" s="296"/>
      <c r="C768" s="297"/>
      <c r="D768" s="297"/>
      <c r="E768" s="296"/>
      <c r="F768" s="296"/>
      <c r="G768" s="296"/>
    </row>
    <row r="769">
      <c r="A769" s="295"/>
      <c r="B769" s="296"/>
      <c r="C769" s="297"/>
      <c r="D769" s="297"/>
      <c r="E769" s="296"/>
      <c r="F769" s="296"/>
      <c r="G769" s="296"/>
    </row>
    <row r="770">
      <c r="A770" s="295"/>
      <c r="B770" s="296"/>
      <c r="C770" s="297"/>
      <c r="D770" s="297"/>
      <c r="E770" s="296"/>
      <c r="F770" s="296"/>
      <c r="G770" s="296"/>
    </row>
    <row r="771">
      <c r="A771" s="295"/>
      <c r="B771" s="296"/>
      <c r="C771" s="297"/>
      <c r="D771" s="297"/>
      <c r="E771" s="296"/>
      <c r="F771" s="296"/>
      <c r="G771" s="296"/>
    </row>
    <row r="772">
      <c r="A772" s="295"/>
      <c r="B772" s="296"/>
      <c r="C772" s="297"/>
      <c r="D772" s="297"/>
      <c r="E772" s="296"/>
      <c r="F772" s="296"/>
      <c r="G772" s="296"/>
    </row>
    <row r="773">
      <c r="A773" s="295"/>
      <c r="B773" s="296"/>
      <c r="C773" s="297"/>
      <c r="D773" s="297"/>
      <c r="E773" s="296"/>
      <c r="F773" s="296"/>
      <c r="G773" s="296"/>
    </row>
    <row r="774">
      <c r="A774" s="295"/>
      <c r="B774" s="296"/>
      <c r="C774" s="297"/>
      <c r="D774" s="297"/>
      <c r="E774" s="296"/>
      <c r="F774" s="296"/>
      <c r="G774" s="296"/>
    </row>
    <row r="775">
      <c r="A775" s="295"/>
      <c r="B775" s="296"/>
      <c r="C775" s="297"/>
      <c r="D775" s="297"/>
      <c r="E775" s="296"/>
      <c r="F775" s="296"/>
      <c r="G775" s="296"/>
    </row>
    <row r="776">
      <c r="A776" s="295"/>
      <c r="B776" s="296"/>
      <c r="C776" s="297"/>
      <c r="D776" s="297"/>
      <c r="E776" s="296"/>
      <c r="F776" s="296"/>
      <c r="G776" s="296"/>
    </row>
    <row r="777">
      <c r="A777" s="295"/>
      <c r="B777" s="296"/>
      <c r="C777" s="297"/>
      <c r="D777" s="297"/>
      <c r="E777" s="296"/>
      <c r="F777" s="296"/>
      <c r="G777" s="296"/>
    </row>
    <row r="778">
      <c r="A778" s="295"/>
      <c r="B778" s="296"/>
      <c r="C778" s="297"/>
      <c r="D778" s="297"/>
      <c r="E778" s="296"/>
      <c r="F778" s="296"/>
      <c r="G778" s="296"/>
    </row>
    <row r="779">
      <c r="A779" s="295"/>
      <c r="B779" s="296"/>
      <c r="C779" s="297"/>
      <c r="D779" s="297"/>
      <c r="E779" s="296"/>
      <c r="F779" s="296"/>
      <c r="G779" s="296"/>
    </row>
    <row r="780">
      <c r="A780" s="295"/>
      <c r="B780" s="296"/>
      <c r="C780" s="297"/>
      <c r="D780" s="297"/>
      <c r="E780" s="296"/>
      <c r="F780" s="296"/>
      <c r="G780" s="296"/>
    </row>
    <row r="781">
      <c r="A781" s="295"/>
      <c r="B781" s="296"/>
      <c r="C781" s="297"/>
      <c r="D781" s="297"/>
      <c r="E781" s="296"/>
      <c r="F781" s="296"/>
      <c r="G781" s="296"/>
    </row>
    <row r="782">
      <c r="A782" s="295"/>
      <c r="B782" s="296"/>
      <c r="C782" s="297"/>
      <c r="D782" s="297"/>
      <c r="E782" s="296"/>
      <c r="F782" s="296"/>
      <c r="G782" s="296"/>
    </row>
    <row r="783">
      <c r="A783" s="295"/>
      <c r="B783" s="296"/>
      <c r="C783" s="297"/>
      <c r="D783" s="297"/>
      <c r="E783" s="296"/>
      <c r="F783" s="296"/>
      <c r="G783" s="296"/>
    </row>
    <row r="784">
      <c r="A784" s="295"/>
      <c r="B784" s="296"/>
      <c r="C784" s="297"/>
      <c r="D784" s="297"/>
      <c r="E784" s="296"/>
      <c r="F784" s="296"/>
      <c r="G784" s="296"/>
    </row>
    <row r="785">
      <c r="A785" s="295"/>
      <c r="B785" s="296"/>
      <c r="C785" s="297"/>
      <c r="D785" s="297"/>
      <c r="E785" s="296"/>
      <c r="F785" s="296"/>
      <c r="G785" s="296"/>
    </row>
    <row r="786">
      <c r="A786" s="295"/>
      <c r="B786" s="296"/>
      <c r="C786" s="297"/>
      <c r="D786" s="297"/>
      <c r="E786" s="296"/>
      <c r="F786" s="296"/>
      <c r="G786" s="296"/>
    </row>
    <row r="787">
      <c r="A787" s="295"/>
      <c r="B787" s="296"/>
      <c r="C787" s="297"/>
      <c r="D787" s="297"/>
      <c r="E787" s="296"/>
      <c r="F787" s="296"/>
      <c r="G787" s="296"/>
    </row>
    <row r="788">
      <c r="A788" s="295"/>
      <c r="B788" s="296"/>
      <c r="C788" s="297"/>
      <c r="D788" s="297"/>
      <c r="E788" s="296"/>
      <c r="F788" s="296"/>
      <c r="G788" s="296"/>
    </row>
    <row r="789">
      <c r="A789" s="295"/>
      <c r="B789" s="296"/>
      <c r="C789" s="297"/>
      <c r="D789" s="297"/>
      <c r="E789" s="296"/>
      <c r="F789" s="296"/>
      <c r="G789" s="296"/>
    </row>
    <row r="790">
      <c r="A790" s="295"/>
      <c r="B790" s="296"/>
      <c r="C790" s="297"/>
      <c r="D790" s="297"/>
      <c r="E790" s="296"/>
      <c r="F790" s="296"/>
      <c r="G790" s="296"/>
    </row>
    <row r="791">
      <c r="A791" s="295"/>
      <c r="B791" s="296"/>
      <c r="C791" s="297"/>
      <c r="D791" s="297"/>
      <c r="E791" s="296"/>
      <c r="F791" s="296"/>
      <c r="G791" s="296"/>
    </row>
    <row r="792">
      <c r="A792" s="295"/>
      <c r="B792" s="296"/>
      <c r="C792" s="297"/>
      <c r="D792" s="297"/>
      <c r="E792" s="296"/>
      <c r="F792" s="296"/>
      <c r="G792" s="296"/>
    </row>
    <row r="793">
      <c r="A793" s="295"/>
      <c r="B793" s="296"/>
      <c r="C793" s="297"/>
      <c r="D793" s="297"/>
      <c r="E793" s="296"/>
      <c r="F793" s="296"/>
      <c r="G793" s="296"/>
    </row>
    <row r="794">
      <c r="A794" s="295"/>
      <c r="B794" s="296"/>
      <c r="C794" s="297"/>
      <c r="D794" s="297"/>
      <c r="E794" s="296"/>
      <c r="F794" s="296"/>
      <c r="G794" s="296"/>
    </row>
    <row r="795">
      <c r="A795" s="295"/>
      <c r="B795" s="296"/>
      <c r="C795" s="297"/>
      <c r="D795" s="297"/>
      <c r="E795" s="296"/>
      <c r="F795" s="296"/>
      <c r="G795" s="296"/>
    </row>
    <row r="796">
      <c r="A796" s="295"/>
      <c r="B796" s="296"/>
      <c r="C796" s="297"/>
      <c r="D796" s="297"/>
      <c r="E796" s="296"/>
      <c r="F796" s="296"/>
      <c r="G796" s="296"/>
    </row>
    <row r="797">
      <c r="A797" s="295"/>
      <c r="B797" s="296"/>
      <c r="C797" s="297"/>
      <c r="D797" s="297"/>
      <c r="E797" s="296"/>
      <c r="F797" s="296"/>
      <c r="G797" s="296"/>
    </row>
    <row r="798">
      <c r="A798" s="295"/>
      <c r="B798" s="296"/>
      <c r="C798" s="297"/>
      <c r="D798" s="297"/>
      <c r="E798" s="296"/>
      <c r="F798" s="296"/>
      <c r="G798" s="296"/>
    </row>
    <row r="799">
      <c r="A799" s="295"/>
      <c r="B799" s="296"/>
      <c r="C799" s="297"/>
      <c r="D799" s="297"/>
      <c r="E799" s="296"/>
      <c r="F799" s="296"/>
      <c r="G799" s="296"/>
    </row>
    <row r="800">
      <c r="A800" s="295"/>
      <c r="B800" s="296"/>
      <c r="C800" s="297"/>
      <c r="D800" s="297"/>
      <c r="E800" s="296"/>
      <c r="F800" s="296"/>
      <c r="G800" s="296"/>
    </row>
    <row r="801">
      <c r="A801" s="295"/>
      <c r="B801" s="296"/>
      <c r="C801" s="297"/>
      <c r="D801" s="297"/>
      <c r="E801" s="296"/>
      <c r="F801" s="296"/>
      <c r="G801" s="296"/>
    </row>
    <row r="802">
      <c r="A802" s="295"/>
      <c r="B802" s="296"/>
      <c r="C802" s="297"/>
      <c r="D802" s="297"/>
      <c r="E802" s="296"/>
      <c r="F802" s="296"/>
      <c r="G802" s="296"/>
    </row>
    <row r="803">
      <c r="A803" s="295"/>
      <c r="B803" s="296"/>
      <c r="C803" s="297"/>
      <c r="D803" s="297"/>
      <c r="E803" s="296"/>
      <c r="F803" s="296"/>
      <c r="G803" s="296"/>
    </row>
    <row r="804">
      <c r="A804" s="295"/>
      <c r="B804" s="296"/>
      <c r="C804" s="297"/>
      <c r="D804" s="297"/>
      <c r="E804" s="296"/>
      <c r="F804" s="296"/>
      <c r="G804" s="296"/>
    </row>
    <row r="805">
      <c r="A805" s="295"/>
      <c r="B805" s="296"/>
      <c r="C805" s="297"/>
      <c r="D805" s="297"/>
      <c r="E805" s="296"/>
      <c r="F805" s="296"/>
      <c r="G805" s="296"/>
    </row>
    <row r="806">
      <c r="A806" s="295"/>
      <c r="B806" s="296"/>
      <c r="C806" s="297"/>
      <c r="D806" s="297"/>
      <c r="E806" s="296"/>
      <c r="F806" s="296"/>
      <c r="G806" s="296"/>
    </row>
    <row r="807">
      <c r="A807" s="295"/>
      <c r="B807" s="296"/>
      <c r="C807" s="297"/>
      <c r="D807" s="297"/>
      <c r="E807" s="296"/>
      <c r="F807" s="296"/>
      <c r="G807" s="296"/>
    </row>
    <row r="808">
      <c r="A808" s="295"/>
      <c r="B808" s="296"/>
      <c r="C808" s="297"/>
      <c r="D808" s="297"/>
      <c r="E808" s="296"/>
      <c r="F808" s="296"/>
      <c r="G808" s="296"/>
    </row>
    <row r="809">
      <c r="A809" s="295"/>
      <c r="B809" s="296"/>
      <c r="C809" s="297"/>
      <c r="D809" s="297"/>
      <c r="E809" s="296"/>
      <c r="F809" s="296"/>
      <c r="G809" s="296"/>
    </row>
    <row r="810">
      <c r="A810" s="295"/>
      <c r="B810" s="296"/>
      <c r="C810" s="297"/>
      <c r="D810" s="297"/>
      <c r="E810" s="296"/>
      <c r="F810" s="296"/>
      <c r="G810" s="296"/>
    </row>
    <row r="811">
      <c r="A811" s="295"/>
      <c r="B811" s="296"/>
      <c r="C811" s="297"/>
      <c r="D811" s="297"/>
      <c r="E811" s="296"/>
      <c r="F811" s="296"/>
      <c r="G811" s="296"/>
    </row>
    <row r="812">
      <c r="A812" s="295"/>
      <c r="B812" s="296"/>
      <c r="C812" s="297"/>
      <c r="D812" s="297"/>
      <c r="E812" s="296"/>
      <c r="F812" s="296"/>
      <c r="G812" s="296"/>
    </row>
    <row r="813">
      <c r="A813" s="295"/>
      <c r="B813" s="296"/>
      <c r="C813" s="297"/>
      <c r="D813" s="297"/>
      <c r="E813" s="296"/>
      <c r="F813" s="296"/>
      <c r="G813" s="296"/>
    </row>
    <row r="814">
      <c r="A814" s="295"/>
      <c r="B814" s="296"/>
      <c r="C814" s="297"/>
      <c r="D814" s="297"/>
      <c r="E814" s="296"/>
      <c r="F814" s="296"/>
      <c r="G814" s="296"/>
    </row>
    <row r="815">
      <c r="A815" s="295"/>
      <c r="B815" s="296"/>
      <c r="C815" s="297"/>
      <c r="D815" s="297"/>
      <c r="E815" s="296"/>
      <c r="F815" s="296"/>
      <c r="G815" s="296"/>
    </row>
    <row r="816">
      <c r="A816" s="295"/>
      <c r="B816" s="296"/>
      <c r="C816" s="297"/>
      <c r="D816" s="297"/>
      <c r="E816" s="296"/>
      <c r="F816" s="296"/>
      <c r="G816" s="296"/>
    </row>
    <row r="817">
      <c r="A817" s="295"/>
      <c r="B817" s="296"/>
      <c r="C817" s="297"/>
      <c r="D817" s="297"/>
      <c r="E817" s="296"/>
      <c r="F817" s="296"/>
      <c r="G817" s="296"/>
    </row>
    <row r="818">
      <c r="A818" s="295"/>
      <c r="B818" s="296"/>
      <c r="C818" s="297"/>
      <c r="D818" s="297"/>
      <c r="E818" s="296"/>
      <c r="F818" s="296"/>
      <c r="G818" s="296"/>
    </row>
    <row r="819">
      <c r="A819" s="295"/>
      <c r="B819" s="296"/>
      <c r="C819" s="297"/>
      <c r="D819" s="297"/>
      <c r="E819" s="296"/>
      <c r="F819" s="296"/>
      <c r="G819" s="296"/>
    </row>
    <row r="820">
      <c r="A820" s="295"/>
      <c r="B820" s="296"/>
      <c r="C820" s="297"/>
      <c r="D820" s="297"/>
      <c r="E820" s="296"/>
      <c r="F820" s="296"/>
      <c r="G820" s="296"/>
    </row>
    <row r="821">
      <c r="A821" s="295"/>
      <c r="B821" s="296"/>
      <c r="C821" s="297"/>
      <c r="D821" s="297"/>
      <c r="E821" s="296"/>
      <c r="F821" s="296"/>
      <c r="G821" s="296"/>
    </row>
    <row r="822">
      <c r="A822" s="295"/>
      <c r="B822" s="296"/>
      <c r="C822" s="297"/>
      <c r="D822" s="297"/>
      <c r="E822" s="296"/>
      <c r="F822" s="296"/>
      <c r="G822" s="296"/>
    </row>
    <row r="823">
      <c r="A823" s="295"/>
      <c r="B823" s="296"/>
      <c r="C823" s="297"/>
      <c r="D823" s="297"/>
      <c r="E823" s="296"/>
      <c r="F823" s="296"/>
      <c r="G823" s="296"/>
    </row>
    <row r="824">
      <c r="A824" s="295"/>
      <c r="B824" s="296"/>
      <c r="C824" s="297"/>
      <c r="D824" s="297"/>
      <c r="E824" s="296"/>
      <c r="F824" s="296"/>
      <c r="G824" s="296"/>
    </row>
    <row r="825">
      <c r="A825" s="295"/>
      <c r="B825" s="296"/>
      <c r="C825" s="297"/>
      <c r="D825" s="297"/>
      <c r="E825" s="296"/>
      <c r="F825" s="296"/>
      <c r="G825" s="296"/>
    </row>
    <row r="826">
      <c r="A826" s="295"/>
      <c r="B826" s="296"/>
      <c r="C826" s="297"/>
      <c r="D826" s="297"/>
      <c r="E826" s="296"/>
      <c r="F826" s="296"/>
      <c r="G826" s="296"/>
    </row>
    <row r="827">
      <c r="A827" s="295"/>
      <c r="B827" s="296"/>
      <c r="C827" s="297"/>
      <c r="D827" s="297"/>
      <c r="E827" s="296"/>
      <c r="F827" s="296"/>
      <c r="G827" s="296"/>
    </row>
    <row r="828">
      <c r="A828" s="295"/>
      <c r="B828" s="296"/>
      <c r="C828" s="297"/>
      <c r="D828" s="297"/>
      <c r="E828" s="296"/>
      <c r="F828" s="296"/>
      <c r="G828" s="296"/>
    </row>
    <row r="829">
      <c r="A829" s="295"/>
      <c r="B829" s="296"/>
      <c r="C829" s="297"/>
      <c r="D829" s="297"/>
      <c r="E829" s="296"/>
      <c r="F829" s="296"/>
      <c r="G829" s="296"/>
    </row>
    <row r="830">
      <c r="A830" s="295"/>
      <c r="B830" s="296"/>
      <c r="C830" s="297"/>
      <c r="D830" s="297"/>
      <c r="E830" s="296"/>
      <c r="F830" s="296"/>
      <c r="G830" s="296"/>
    </row>
    <row r="831">
      <c r="A831" s="295"/>
      <c r="B831" s="296"/>
      <c r="C831" s="297"/>
      <c r="D831" s="297"/>
      <c r="E831" s="296"/>
      <c r="F831" s="296"/>
      <c r="G831" s="296"/>
    </row>
    <row r="832">
      <c r="A832" s="295"/>
      <c r="B832" s="296"/>
      <c r="C832" s="297"/>
      <c r="D832" s="297"/>
      <c r="E832" s="296"/>
      <c r="F832" s="296"/>
      <c r="G832" s="296"/>
    </row>
    <row r="833">
      <c r="A833" s="295"/>
      <c r="B833" s="296"/>
      <c r="C833" s="297"/>
      <c r="D833" s="297"/>
      <c r="E833" s="296"/>
      <c r="F833" s="296"/>
      <c r="G833" s="296"/>
    </row>
    <row r="834">
      <c r="A834" s="295"/>
      <c r="B834" s="296"/>
      <c r="C834" s="297"/>
      <c r="D834" s="297"/>
      <c r="E834" s="296"/>
      <c r="F834" s="296"/>
      <c r="G834" s="296"/>
    </row>
    <row r="835">
      <c r="A835" s="295"/>
      <c r="B835" s="296"/>
      <c r="C835" s="297"/>
      <c r="D835" s="297"/>
      <c r="E835" s="296"/>
      <c r="F835" s="296"/>
      <c r="G835" s="296"/>
    </row>
    <row r="836">
      <c r="A836" s="295"/>
      <c r="B836" s="296"/>
      <c r="C836" s="297"/>
      <c r="D836" s="297"/>
      <c r="E836" s="296"/>
      <c r="F836" s="296"/>
      <c r="G836" s="296"/>
    </row>
    <row r="837">
      <c r="A837" s="295"/>
      <c r="B837" s="296"/>
      <c r="C837" s="297"/>
      <c r="D837" s="297"/>
      <c r="E837" s="296"/>
      <c r="F837" s="296"/>
      <c r="G837" s="296"/>
    </row>
    <row r="838">
      <c r="A838" s="295"/>
      <c r="B838" s="296"/>
      <c r="C838" s="297"/>
      <c r="D838" s="297"/>
      <c r="E838" s="296"/>
      <c r="F838" s="296"/>
      <c r="G838" s="296"/>
    </row>
    <row r="839">
      <c r="A839" s="295"/>
      <c r="B839" s="296"/>
      <c r="C839" s="297"/>
      <c r="D839" s="297"/>
      <c r="E839" s="296"/>
      <c r="F839" s="296"/>
      <c r="G839" s="296"/>
    </row>
    <row r="840">
      <c r="A840" s="295"/>
      <c r="B840" s="296"/>
      <c r="C840" s="297"/>
      <c r="D840" s="297"/>
      <c r="E840" s="296"/>
      <c r="F840" s="296"/>
      <c r="G840" s="296"/>
    </row>
    <row r="841">
      <c r="A841" s="295"/>
      <c r="B841" s="296"/>
      <c r="C841" s="297"/>
      <c r="D841" s="297"/>
      <c r="E841" s="296"/>
      <c r="F841" s="296"/>
      <c r="G841" s="296"/>
    </row>
    <row r="842">
      <c r="A842" s="295"/>
      <c r="B842" s="296"/>
      <c r="C842" s="297"/>
      <c r="D842" s="297"/>
      <c r="E842" s="296"/>
      <c r="F842" s="296"/>
      <c r="G842" s="296"/>
    </row>
    <row r="843">
      <c r="A843" s="295"/>
      <c r="B843" s="296"/>
      <c r="C843" s="297"/>
      <c r="D843" s="297"/>
      <c r="E843" s="296"/>
      <c r="F843" s="296"/>
      <c r="G843" s="296"/>
    </row>
    <row r="844">
      <c r="A844" s="295"/>
      <c r="B844" s="296"/>
      <c r="C844" s="297"/>
      <c r="D844" s="297"/>
      <c r="E844" s="296"/>
      <c r="F844" s="296"/>
      <c r="G844" s="296"/>
    </row>
    <row r="845">
      <c r="A845" s="295"/>
      <c r="B845" s="296"/>
      <c r="C845" s="297"/>
      <c r="D845" s="297"/>
      <c r="E845" s="296"/>
      <c r="F845" s="296"/>
      <c r="G845" s="296"/>
    </row>
    <row r="846">
      <c r="A846" s="295"/>
      <c r="B846" s="296"/>
      <c r="C846" s="297"/>
      <c r="D846" s="297"/>
      <c r="E846" s="296"/>
      <c r="F846" s="296"/>
      <c r="G846" s="296"/>
    </row>
    <row r="847">
      <c r="A847" s="295"/>
      <c r="B847" s="296"/>
      <c r="C847" s="297"/>
      <c r="D847" s="297"/>
      <c r="E847" s="296"/>
      <c r="F847" s="296"/>
      <c r="G847" s="296"/>
    </row>
    <row r="848">
      <c r="A848" s="295"/>
      <c r="B848" s="296"/>
      <c r="C848" s="297"/>
      <c r="D848" s="297"/>
      <c r="E848" s="296"/>
      <c r="F848" s="296"/>
      <c r="G848" s="296"/>
    </row>
    <row r="849">
      <c r="A849" s="295"/>
      <c r="B849" s="296"/>
      <c r="C849" s="297"/>
      <c r="D849" s="297"/>
      <c r="E849" s="296"/>
      <c r="F849" s="296"/>
      <c r="G849" s="296"/>
    </row>
    <row r="850">
      <c r="A850" s="295"/>
      <c r="B850" s="296"/>
      <c r="C850" s="297"/>
      <c r="D850" s="297"/>
      <c r="E850" s="296"/>
      <c r="F850" s="296"/>
      <c r="G850" s="296"/>
    </row>
    <row r="851">
      <c r="A851" s="295"/>
      <c r="B851" s="296"/>
      <c r="C851" s="297"/>
      <c r="D851" s="297"/>
      <c r="E851" s="296"/>
      <c r="F851" s="296"/>
      <c r="G851" s="296"/>
    </row>
    <row r="852">
      <c r="A852" s="295"/>
      <c r="B852" s="296"/>
      <c r="C852" s="297"/>
      <c r="D852" s="297"/>
      <c r="E852" s="296"/>
      <c r="F852" s="296"/>
      <c r="G852" s="296"/>
    </row>
    <row r="853">
      <c r="A853" s="295"/>
      <c r="B853" s="296"/>
      <c r="C853" s="297"/>
      <c r="D853" s="297"/>
      <c r="E853" s="296"/>
      <c r="F853" s="296"/>
      <c r="G853" s="296"/>
    </row>
    <row r="854">
      <c r="A854" s="295"/>
      <c r="B854" s="296"/>
      <c r="C854" s="297"/>
      <c r="D854" s="297"/>
      <c r="E854" s="296"/>
      <c r="F854" s="296"/>
      <c r="G854" s="296"/>
    </row>
    <row r="855">
      <c r="A855" s="295"/>
      <c r="B855" s="296"/>
      <c r="C855" s="297"/>
      <c r="D855" s="297"/>
      <c r="E855" s="296"/>
      <c r="F855" s="296"/>
      <c r="G855" s="296"/>
    </row>
    <row r="856">
      <c r="A856" s="295"/>
      <c r="B856" s="296"/>
      <c r="C856" s="297"/>
      <c r="D856" s="297"/>
      <c r="E856" s="296"/>
      <c r="F856" s="296"/>
      <c r="G856" s="296"/>
    </row>
    <row r="857">
      <c r="A857" s="295"/>
      <c r="B857" s="296"/>
      <c r="C857" s="297"/>
      <c r="D857" s="297"/>
      <c r="E857" s="296"/>
      <c r="F857" s="296"/>
      <c r="G857" s="296"/>
    </row>
    <row r="858">
      <c r="A858" s="295"/>
      <c r="B858" s="296"/>
      <c r="C858" s="297"/>
      <c r="D858" s="297"/>
      <c r="E858" s="296"/>
      <c r="F858" s="296"/>
      <c r="G858" s="296"/>
    </row>
    <row r="859">
      <c r="A859" s="295"/>
      <c r="B859" s="296"/>
      <c r="C859" s="297"/>
      <c r="D859" s="297"/>
      <c r="E859" s="296"/>
      <c r="F859" s="296"/>
      <c r="G859" s="296"/>
    </row>
    <row r="860">
      <c r="A860" s="295"/>
      <c r="B860" s="296"/>
      <c r="C860" s="297"/>
      <c r="D860" s="297"/>
      <c r="E860" s="296"/>
      <c r="F860" s="296"/>
      <c r="G860" s="296"/>
    </row>
    <row r="861">
      <c r="A861" s="295"/>
      <c r="B861" s="296"/>
      <c r="C861" s="297"/>
      <c r="D861" s="297"/>
      <c r="E861" s="296"/>
      <c r="F861" s="296"/>
      <c r="G861" s="296"/>
    </row>
    <row r="862">
      <c r="A862" s="295"/>
      <c r="B862" s="296"/>
      <c r="C862" s="297"/>
      <c r="D862" s="297"/>
      <c r="E862" s="296"/>
      <c r="F862" s="296"/>
      <c r="G862" s="296"/>
    </row>
    <row r="863">
      <c r="A863" s="295"/>
      <c r="B863" s="296"/>
      <c r="C863" s="297"/>
      <c r="D863" s="297"/>
      <c r="E863" s="296"/>
      <c r="F863" s="296"/>
      <c r="G863" s="296"/>
    </row>
    <row r="864">
      <c r="A864" s="295"/>
      <c r="B864" s="296"/>
      <c r="C864" s="297"/>
      <c r="D864" s="297"/>
      <c r="E864" s="296"/>
      <c r="F864" s="296"/>
      <c r="G864" s="296"/>
    </row>
    <row r="865">
      <c r="A865" s="295"/>
      <c r="B865" s="296"/>
      <c r="C865" s="297"/>
      <c r="D865" s="297"/>
      <c r="E865" s="296"/>
      <c r="F865" s="296"/>
      <c r="G865" s="296"/>
    </row>
    <row r="866">
      <c r="A866" s="295"/>
      <c r="B866" s="296"/>
      <c r="C866" s="297"/>
      <c r="D866" s="297"/>
      <c r="E866" s="296"/>
      <c r="F866" s="296"/>
      <c r="G866" s="296"/>
    </row>
    <row r="867">
      <c r="A867" s="295"/>
      <c r="B867" s="296"/>
      <c r="C867" s="297"/>
      <c r="D867" s="297"/>
      <c r="E867" s="296"/>
      <c r="F867" s="296"/>
      <c r="G867" s="296"/>
    </row>
    <row r="868">
      <c r="A868" s="295"/>
      <c r="B868" s="296"/>
      <c r="C868" s="297"/>
      <c r="D868" s="297"/>
      <c r="E868" s="296"/>
      <c r="F868" s="296"/>
      <c r="G868" s="296"/>
    </row>
    <row r="869">
      <c r="A869" s="295"/>
      <c r="B869" s="296"/>
      <c r="C869" s="297"/>
      <c r="D869" s="297"/>
      <c r="E869" s="296"/>
      <c r="F869" s="296"/>
      <c r="G869" s="296"/>
    </row>
    <row r="870">
      <c r="A870" s="295"/>
      <c r="B870" s="296"/>
      <c r="C870" s="297"/>
      <c r="D870" s="297"/>
      <c r="E870" s="296"/>
      <c r="F870" s="296"/>
      <c r="G870" s="296"/>
    </row>
    <row r="871">
      <c r="A871" s="295"/>
      <c r="B871" s="296"/>
      <c r="C871" s="297"/>
      <c r="D871" s="297"/>
      <c r="E871" s="296"/>
      <c r="F871" s="296"/>
      <c r="G871" s="296"/>
    </row>
    <row r="872">
      <c r="A872" s="295"/>
      <c r="B872" s="296"/>
      <c r="C872" s="297"/>
      <c r="D872" s="297"/>
      <c r="E872" s="296"/>
      <c r="F872" s="296"/>
      <c r="G872" s="296"/>
    </row>
    <row r="873">
      <c r="A873" s="295"/>
      <c r="B873" s="296"/>
      <c r="C873" s="297"/>
      <c r="D873" s="297"/>
      <c r="E873" s="296"/>
      <c r="F873" s="296"/>
      <c r="G873" s="296"/>
    </row>
    <row r="874">
      <c r="A874" s="295"/>
      <c r="B874" s="296"/>
      <c r="C874" s="297"/>
      <c r="D874" s="297"/>
      <c r="E874" s="296"/>
      <c r="F874" s="296"/>
      <c r="G874" s="296"/>
    </row>
    <row r="875">
      <c r="A875" s="295"/>
      <c r="B875" s="296"/>
      <c r="C875" s="297"/>
      <c r="D875" s="297"/>
      <c r="E875" s="296"/>
      <c r="F875" s="296"/>
      <c r="G875" s="296"/>
    </row>
    <row r="876">
      <c r="A876" s="295"/>
      <c r="B876" s="296"/>
      <c r="C876" s="297"/>
      <c r="D876" s="297"/>
      <c r="E876" s="296"/>
      <c r="F876" s="296"/>
      <c r="G876" s="296"/>
    </row>
    <row r="877">
      <c r="A877" s="295"/>
      <c r="B877" s="296"/>
      <c r="C877" s="297"/>
      <c r="D877" s="297"/>
      <c r="E877" s="296"/>
      <c r="F877" s="296"/>
      <c r="G877" s="296"/>
    </row>
    <row r="878">
      <c r="A878" s="295"/>
      <c r="B878" s="296"/>
      <c r="C878" s="297"/>
      <c r="D878" s="297"/>
      <c r="E878" s="296"/>
      <c r="F878" s="296"/>
      <c r="G878" s="296"/>
    </row>
    <row r="879">
      <c r="A879" s="295"/>
      <c r="B879" s="296"/>
      <c r="C879" s="297"/>
      <c r="D879" s="297"/>
      <c r="E879" s="296"/>
      <c r="F879" s="296"/>
      <c r="G879" s="296"/>
    </row>
    <row r="880">
      <c r="A880" s="295"/>
      <c r="B880" s="296"/>
      <c r="C880" s="297"/>
      <c r="D880" s="297"/>
      <c r="E880" s="296"/>
      <c r="F880" s="296"/>
      <c r="G880" s="296"/>
    </row>
    <row r="881">
      <c r="A881" s="295"/>
      <c r="B881" s="296"/>
      <c r="C881" s="297"/>
      <c r="D881" s="297"/>
      <c r="E881" s="296"/>
      <c r="F881" s="296"/>
      <c r="G881" s="296"/>
    </row>
    <row r="882">
      <c r="A882" s="295"/>
      <c r="B882" s="296"/>
      <c r="C882" s="297"/>
      <c r="D882" s="297"/>
      <c r="E882" s="296"/>
      <c r="F882" s="296"/>
      <c r="G882" s="296"/>
    </row>
    <row r="883">
      <c r="A883" s="295"/>
      <c r="B883" s="296"/>
      <c r="C883" s="297"/>
      <c r="D883" s="297"/>
      <c r="E883" s="296"/>
      <c r="F883" s="296"/>
      <c r="G883" s="296"/>
    </row>
    <row r="884">
      <c r="A884" s="295"/>
      <c r="B884" s="296"/>
      <c r="C884" s="297"/>
      <c r="D884" s="297"/>
      <c r="E884" s="296"/>
      <c r="F884" s="296"/>
      <c r="G884" s="296"/>
    </row>
    <row r="885">
      <c r="A885" s="295"/>
      <c r="B885" s="296"/>
      <c r="C885" s="297"/>
      <c r="D885" s="297"/>
      <c r="E885" s="296"/>
      <c r="F885" s="296"/>
      <c r="G885" s="296"/>
    </row>
    <row r="886">
      <c r="A886" s="295"/>
      <c r="B886" s="296"/>
      <c r="C886" s="297"/>
      <c r="D886" s="297"/>
      <c r="E886" s="296"/>
      <c r="F886" s="296"/>
      <c r="G886" s="296"/>
    </row>
    <row r="887">
      <c r="A887" s="295"/>
      <c r="B887" s="296"/>
      <c r="C887" s="297"/>
      <c r="D887" s="297"/>
      <c r="E887" s="296"/>
      <c r="F887" s="296"/>
      <c r="G887" s="296"/>
    </row>
    <row r="888">
      <c r="A888" s="295"/>
      <c r="B888" s="296"/>
      <c r="C888" s="297"/>
      <c r="D888" s="297"/>
      <c r="E888" s="296"/>
      <c r="F888" s="296"/>
      <c r="G888" s="296"/>
    </row>
    <row r="889">
      <c r="A889" s="295"/>
      <c r="B889" s="296"/>
      <c r="C889" s="297"/>
      <c r="D889" s="297"/>
      <c r="E889" s="296"/>
      <c r="F889" s="296"/>
      <c r="G889" s="296"/>
    </row>
    <row r="890">
      <c r="A890" s="295"/>
      <c r="B890" s="296"/>
      <c r="C890" s="297"/>
      <c r="D890" s="297"/>
      <c r="E890" s="296"/>
      <c r="F890" s="296"/>
      <c r="G890" s="296"/>
    </row>
    <row r="891">
      <c r="A891" s="295"/>
      <c r="B891" s="296"/>
      <c r="C891" s="297"/>
      <c r="D891" s="297"/>
      <c r="E891" s="296"/>
      <c r="F891" s="296"/>
      <c r="G891" s="296"/>
    </row>
    <row r="892">
      <c r="A892" s="295"/>
      <c r="B892" s="296"/>
      <c r="C892" s="297"/>
      <c r="D892" s="297"/>
      <c r="E892" s="296"/>
      <c r="F892" s="296"/>
      <c r="G892" s="296"/>
    </row>
    <row r="893">
      <c r="A893" s="295"/>
      <c r="B893" s="296"/>
      <c r="C893" s="297"/>
      <c r="D893" s="297"/>
      <c r="E893" s="296"/>
      <c r="F893" s="296"/>
      <c r="G893" s="296"/>
    </row>
    <row r="894">
      <c r="A894" s="295"/>
      <c r="B894" s="296"/>
      <c r="C894" s="297"/>
      <c r="D894" s="297"/>
      <c r="E894" s="296"/>
      <c r="F894" s="296"/>
      <c r="G894" s="296"/>
    </row>
    <row r="895">
      <c r="A895" s="295"/>
      <c r="B895" s="296"/>
      <c r="C895" s="297"/>
      <c r="D895" s="297"/>
      <c r="E895" s="296"/>
      <c r="F895" s="296"/>
      <c r="G895" s="296"/>
    </row>
    <row r="896">
      <c r="A896" s="295"/>
      <c r="B896" s="296"/>
      <c r="C896" s="297"/>
      <c r="D896" s="297"/>
      <c r="E896" s="296"/>
      <c r="F896" s="296"/>
      <c r="G896" s="296"/>
    </row>
    <row r="897">
      <c r="A897" s="295"/>
      <c r="B897" s="296"/>
      <c r="C897" s="297"/>
      <c r="D897" s="297"/>
      <c r="E897" s="296"/>
      <c r="F897" s="296"/>
      <c r="G897" s="296"/>
    </row>
    <row r="898">
      <c r="A898" s="295"/>
      <c r="B898" s="296"/>
      <c r="C898" s="297"/>
      <c r="D898" s="297"/>
      <c r="E898" s="296"/>
      <c r="F898" s="296"/>
      <c r="G898" s="296"/>
    </row>
    <row r="899">
      <c r="A899" s="295"/>
      <c r="B899" s="296"/>
      <c r="C899" s="297"/>
      <c r="D899" s="297"/>
      <c r="E899" s="296"/>
      <c r="F899" s="296"/>
      <c r="G899" s="296"/>
    </row>
    <row r="900">
      <c r="A900" s="295"/>
      <c r="B900" s="296"/>
      <c r="C900" s="297"/>
      <c r="D900" s="297"/>
      <c r="E900" s="296"/>
      <c r="F900" s="296"/>
      <c r="G900" s="296"/>
    </row>
    <row r="901">
      <c r="A901" s="295"/>
      <c r="B901" s="296"/>
      <c r="C901" s="297"/>
      <c r="D901" s="297"/>
      <c r="E901" s="296"/>
      <c r="F901" s="296"/>
      <c r="G901" s="296"/>
    </row>
    <row r="902">
      <c r="A902" s="295"/>
      <c r="B902" s="296"/>
      <c r="C902" s="297"/>
      <c r="D902" s="297"/>
      <c r="E902" s="296"/>
      <c r="F902" s="296"/>
      <c r="G902" s="296"/>
    </row>
    <row r="903">
      <c r="A903" s="295"/>
      <c r="B903" s="296"/>
      <c r="C903" s="297"/>
      <c r="D903" s="297"/>
      <c r="E903" s="296"/>
      <c r="F903" s="296"/>
      <c r="G903" s="296"/>
    </row>
    <row r="904">
      <c r="A904" s="295"/>
      <c r="B904" s="296"/>
      <c r="C904" s="297"/>
      <c r="D904" s="297"/>
      <c r="E904" s="296"/>
      <c r="F904" s="296"/>
      <c r="G904" s="296"/>
    </row>
    <row r="905">
      <c r="A905" s="295"/>
      <c r="B905" s="296"/>
      <c r="C905" s="297"/>
      <c r="D905" s="297"/>
      <c r="E905" s="296"/>
      <c r="F905" s="296"/>
      <c r="G905" s="296"/>
    </row>
    <row r="906">
      <c r="A906" s="295"/>
      <c r="B906" s="296"/>
      <c r="C906" s="297"/>
      <c r="D906" s="297"/>
      <c r="E906" s="296"/>
      <c r="F906" s="296"/>
      <c r="G906" s="296"/>
    </row>
    <row r="907">
      <c r="A907" s="295"/>
      <c r="B907" s="296"/>
      <c r="C907" s="297"/>
      <c r="D907" s="297"/>
      <c r="E907" s="296"/>
      <c r="F907" s="296"/>
      <c r="G907" s="296"/>
    </row>
    <row r="908">
      <c r="A908" s="295"/>
      <c r="B908" s="296"/>
      <c r="C908" s="297"/>
      <c r="D908" s="297"/>
      <c r="E908" s="296"/>
      <c r="F908" s="296"/>
      <c r="G908" s="296"/>
    </row>
    <row r="909">
      <c r="A909" s="295"/>
      <c r="B909" s="296"/>
      <c r="C909" s="297"/>
      <c r="D909" s="297"/>
      <c r="E909" s="296"/>
      <c r="F909" s="296"/>
      <c r="G909" s="296"/>
    </row>
    <row r="910">
      <c r="A910" s="295"/>
      <c r="B910" s="296"/>
      <c r="C910" s="297"/>
      <c r="D910" s="297"/>
      <c r="E910" s="296"/>
      <c r="F910" s="296"/>
      <c r="G910" s="296"/>
    </row>
    <row r="911">
      <c r="A911" s="295"/>
      <c r="B911" s="296"/>
      <c r="C911" s="297"/>
      <c r="D911" s="297"/>
      <c r="E911" s="296"/>
      <c r="F911" s="296"/>
      <c r="G911" s="296"/>
    </row>
    <row r="912">
      <c r="A912" s="295"/>
      <c r="B912" s="296"/>
      <c r="C912" s="297"/>
      <c r="D912" s="297"/>
      <c r="E912" s="296"/>
      <c r="F912" s="296"/>
      <c r="G912" s="296"/>
    </row>
    <row r="913">
      <c r="A913" s="295"/>
      <c r="B913" s="296"/>
      <c r="C913" s="297"/>
      <c r="D913" s="297"/>
      <c r="E913" s="296"/>
      <c r="F913" s="296"/>
      <c r="G913" s="296"/>
    </row>
    <row r="914">
      <c r="A914" s="295"/>
      <c r="B914" s="296"/>
      <c r="C914" s="297"/>
      <c r="D914" s="297"/>
      <c r="E914" s="296"/>
      <c r="F914" s="296"/>
      <c r="G914" s="296"/>
    </row>
    <row r="915">
      <c r="A915" s="295"/>
      <c r="B915" s="296"/>
      <c r="C915" s="297"/>
      <c r="D915" s="297"/>
      <c r="E915" s="296"/>
      <c r="F915" s="296"/>
      <c r="G915" s="296"/>
    </row>
    <row r="916">
      <c r="A916" s="295"/>
      <c r="B916" s="296"/>
      <c r="C916" s="297"/>
      <c r="D916" s="297"/>
      <c r="E916" s="296"/>
      <c r="F916" s="296"/>
      <c r="G916" s="296"/>
    </row>
    <row r="917">
      <c r="A917" s="295"/>
      <c r="B917" s="296"/>
      <c r="C917" s="297"/>
      <c r="D917" s="297"/>
      <c r="E917" s="296"/>
      <c r="F917" s="296"/>
      <c r="G917" s="296"/>
    </row>
    <row r="918">
      <c r="A918" s="295"/>
      <c r="B918" s="296"/>
      <c r="C918" s="297"/>
      <c r="D918" s="297"/>
      <c r="E918" s="296"/>
      <c r="F918" s="296"/>
      <c r="G918" s="296"/>
    </row>
    <row r="919">
      <c r="A919" s="295"/>
      <c r="B919" s="296"/>
      <c r="C919" s="297"/>
      <c r="D919" s="297"/>
      <c r="E919" s="296"/>
      <c r="F919" s="296"/>
      <c r="G919" s="296"/>
    </row>
    <row r="920">
      <c r="A920" s="295"/>
      <c r="B920" s="296"/>
      <c r="C920" s="297"/>
      <c r="D920" s="297"/>
      <c r="E920" s="296"/>
      <c r="F920" s="296"/>
      <c r="G920" s="296"/>
    </row>
    <row r="921">
      <c r="A921" s="295"/>
      <c r="B921" s="296"/>
      <c r="C921" s="297"/>
      <c r="D921" s="297"/>
      <c r="E921" s="296"/>
      <c r="F921" s="296"/>
      <c r="G921" s="296"/>
    </row>
    <row r="922">
      <c r="A922" s="295"/>
      <c r="B922" s="296"/>
      <c r="C922" s="297"/>
      <c r="D922" s="297"/>
      <c r="E922" s="296"/>
      <c r="F922" s="296"/>
      <c r="G922" s="296"/>
    </row>
    <row r="923">
      <c r="A923" s="295"/>
      <c r="B923" s="296"/>
      <c r="C923" s="297"/>
      <c r="D923" s="297"/>
      <c r="E923" s="296"/>
      <c r="F923" s="296"/>
      <c r="G923" s="296"/>
    </row>
    <row r="924">
      <c r="A924" s="295"/>
      <c r="B924" s="296"/>
      <c r="C924" s="297"/>
      <c r="D924" s="297"/>
      <c r="E924" s="296"/>
      <c r="F924" s="296"/>
      <c r="G924" s="296"/>
    </row>
    <row r="925">
      <c r="A925" s="295"/>
      <c r="B925" s="296"/>
      <c r="C925" s="297"/>
      <c r="D925" s="297"/>
      <c r="E925" s="296"/>
      <c r="F925" s="296"/>
      <c r="G925" s="296"/>
    </row>
    <row r="926">
      <c r="A926" s="295"/>
      <c r="B926" s="296"/>
      <c r="C926" s="297"/>
      <c r="D926" s="297"/>
      <c r="E926" s="296"/>
      <c r="F926" s="296"/>
      <c r="G926" s="296"/>
    </row>
    <row r="927">
      <c r="A927" s="295"/>
      <c r="B927" s="296"/>
      <c r="C927" s="297"/>
      <c r="D927" s="297"/>
      <c r="E927" s="296"/>
      <c r="F927" s="296"/>
      <c r="G927" s="296"/>
    </row>
    <row r="928">
      <c r="A928" s="295"/>
      <c r="B928" s="296"/>
      <c r="C928" s="297"/>
      <c r="D928" s="297"/>
      <c r="E928" s="296"/>
      <c r="F928" s="296"/>
      <c r="G928" s="296"/>
    </row>
    <row r="929">
      <c r="A929" s="295"/>
      <c r="B929" s="296"/>
      <c r="C929" s="297"/>
      <c r="D929" s="297"/>
      <c r="E929" s="296"/>
      <c r="F929" s="296"/>
      <c r="G929" s="296"/>
    </row>
    <row r="930">
      <c r="A930" s="295"/>
      <c r="B930" s="296"/>
      <c r="C930" s="297"/>
      <c r="D930" s="297"/>
      <c r="E930" s="296"/>
      <c r="F930" s="296"/>
      <c r="G930" s="296"/>
    </row>
    <row r="931">
      <c r="A931" s="295"/>
      <c r="B931" s="296"/>
      <c r="C931" s="297"/>
      <c r="D931" s="297"/>
      <c r="E931" s="296"/>
      <c r="F931" s="296"/>
      <c r="G931" s="296"/>
    </row>
    <row r="932">
      <c r="A932" s="295"/>
      <c r="B932" s="296"/>
      <c r="C932" s="297"/>
      <c r="D932" s="297"/>
      <c r="E932" s="296"/>
      <c r="F932" s="296"/>
      <c r="G932" s="296"/>
    </row>
    <row r="933">
      <c r="A933" s="295"/>
      <c r="B933" s="296"/>
      <c r="C933" s="297"/>
      <c r="D933" s="297"/>
      <c r="E933" s="296"/>
      <c r="F933" s="296"/>
      <c r="G933" s="296"/>
    </row>
    <row r="934">
      <c r="A934" s="295"/>
      <c r="B934" s="296"/>
      <c r="C934" s="297"/>
      <c r="D934" s="297"/>
      <c r="E934" s="296"/>
      <c r="F934" s="296"/>
      <c r="G934" s="296"/>
    </row>
    <row r="935">
      <c r="A935" s="295"/>
      <c r="B935" s="296"/>
      <c r="C935" s="297"/>
      <c r="D935" s="297"/>
      <c r="E935" s="296"/>
      <c r="F935" s="296"/>
      <c r="G935" s="296"/>
    </row>
    <row r="936">
      <c r="A936" s="295"/>
      <c r="B936" s="296"/>
      <c r="C936" s="297"/>
      <c r="D936" s="297"/>
      <c r="E936" s="296"/>
      <c r="F936" s="296"/>
      <c r="G936" s="296"/>
    </row>
    <row r="937">
      <c r="A937" s="295"/>
      <c r="B937" s="296"/>
      <c r="C937" s="297"/>
      <c r="D937" s="297"/>
      <c r="E937" s="296"/>
      <c r="F937" s="296"/>
      <c r="G937" s="296"/>
    </row>
    <row r="938">
      <c r="A938" s="295"/>
      <c r="B938" s="296"/>
      <c r="C938" s="297"/>
      <c r="D938" s="297"/>
      <c r="E938" s="296"/>
      <c r="F938" s="296"/>
      <c r="G938" s="296"/>
    </row>
    <row r="939">
      <c r="A939" s="295"/>
      <c r="B939" s="296"/>
      <c r="C939" s="297"/>
      <c r="D939" s="297"/>
      <c r="E939" s="296"/>
      <c r="F939" s="296"/>
      <c r="G939" s="296"/>
    </row>
    <row r="940">
      <c r="A940" s="295"/>
      <c r="B940" s="296"/>
      <c r="C940" s="297"/>
      <c r="D940" s="297"/>
      <c r="E940" s="296"/>
      <c r="F940" s="296"/>
      <c r="G940" s="296"/>
    </row>
    <row r="941">
      <c r="A941" s="295"/>
      <c r="B941" s="296"/>
      <c r="C941" s="297"/>
      <c r="D941" s="297"/>
      <c r="E941" s="296"/>
      <c r="F941" s="296"/>
      <c r="G941" s="296"/>
    </row>
    <row r="942">
      <c r="A942" s="295"/>
      <c r="B942" s="296"/>
      <c r="C942" s="297"/>
      <c r="D942" s="297"/>
      <c r="E942" s="296"/>
      <c r="F942" s="296"/>
      <c r="G942" s="296"/>
    </row>
    <row r="943">
      <c r="A943" s="295"/>
      <c r="B943" s="296"/>
      <c r="C943" s="297"/>
      <c r="D943" s="297"/>
      <c r="E943" s="296"/>
      <c r="F943" s="296"/>
      <c r="G943" s="296"/>
    </row>
    <row r="944">
      <c r="A944" s="295"/>
      <c r="B944" s="296"/>
      <c r="C944" s="297"/>
      <c r="D944" s="297"/>
      <c r="E944" s="296"/>
      <c r="F944" s="296"/>
      <c r="G944" s="296"/>
    </row>
    <row r="945">
      <c r="A945" s="295"/>
      <c r="B945" s="296"/>
      <c r="C945" s="297"/>
      <c r="D945" s="297"/>
      <c r="E945" s="296"/>
      <c r="F945" s="296"/>
      <c r="G945" s="296"/>
    </row>
    <row r="946">
      <c r="A946" s="295"/>
      <c r="B946" s="296"/>
      <c r="C946" s="297"/>
      <c r="D946" s="297"/>
      <c r="E946" s="296"/>
      <c r="F946" s="296"/>
      <c r="G946" s="296"/>
    </row>
    <row r="947">
      <c r="A947" s="295"/>
      <c r="B947" s="296"/>
      <c r="C947" s="297"/>
      <c r="D947" s="297"/>
      <c r="E947" s="296"/>
      <c r="F947" s="296"/>
      <c r="G947" s="296"/>
    </row>
    <row r="948">
      <c r="A948" s="295"/>
      <c r="B948" s="296"/>
      <c r="C948" s="297"/>
      <c r="D948" s="297"/>
      <c r="E948" s="296"/>
      <c r="F948" s="296"/>
      <c r="G948" s="296"/>
    </row>
    <row r="949">
      <c r="A949" s="295"/>
      <c r="B949" s="296"/>
      <c r="C949" s="297"/>
      <c r="D949" s="297"/>
      <c r="E949" s="296"/>
      <c r="F949" s="296"/>
      <c r="G949" s="296"/>
    </row>
    <row r="950">
      <c r="A950" s="295"/>
      <c r="B950" s="296"/>
      <c r="C950" s="297"/>
      <c r="D950" s="297"/>
      <c r="E950" s="296"/>
      <c r="F950" s="296"/>
      <c r="G950" s="296"/>
    </row>
    <row r="951">
      <c r="A951" s="295"/>
      <c r="B951" s="296"/>
      <c r="C951" s="297"/>
      <c r="D951" s="297"/>
      <c r="E951" s="296"/>
      <c r="F951" s="296"/>
      <c r="G951" s="296"/>
    </row>
    <row r="952">
      <c r="A952" s="295"/>
      <c r="B952" s="296"/>
      <c r="C952" s="297"/>
      <c r="D952" s="297"/>
      <c r="E952" s="296"/>
      <c r="F952" s="296"/>
      <c r="G952" s="296"/>
    </row>
    <row r="953">
      <c r="A953" s="295"/>
      <c r="B953" s="296"/>
      <c r="C953" s="297"/>
      <c r="D953" s="297"/>
      <c r="E953" s="296"/>
      <c r="F953" s="296"/>
      <c r="G953" s="296"/>
    </row>
    <row r="954">
      <c r="A954" s="295"/>
      <c r="B954" s="296"/>
      <c r="C954" s="297"/>
      <c r="D954" s="297"/>
      <c r="E954" s="296"/>
      <c r="F954" s="296"/>
      <c r="G954" s="296"/>
    </row>
    <row r="955">
      <c r="A955" s="295"/>
      <c r="B955" s="296"/>
      <c r="C955" s="297"/>
      <c r="D955" s="297"/>
      <c r="E955" s="296"/>
      <c r="F955" s="296"/>
      <c r="G955" s="296"/>
    </row>
    <row r="956">
      <c r="A956" s="295"/>
      <c r="B956" s="296"/>
      <c r="C956" s="297"/>
      <c r="D956" s="297"/>
      <c r="E956" s="296"/>
      <c r="F956" s="296"/>
      <c r="G956" s="296"/>
    </row>
    <row r="957">
      <c r="A957" s="295"/>
      <c r="B957" s="296"/>
      <c r="C957" s="297"/>
      <c r="D957" s="297"/>
      <c r="E957" s="296"/>
      <c r="F957" s="296"/>
      <c r="G957" s="296"/>
    </row>
    <row r="958">
      <c r="A958" s="295"/>
      <c r="B958" s="296"/>
      <c r="C958" s="297"/>
      <c r="D958" s="297"/>
      <c r="E958" s="296"/>
      <c r="F958" s="296"/>
      <c r="G958" s="296"/>
    </row>
    <row r="959">
      <c r="A959" s="295"/>
      <c r="B959" s="296"/>
      <c r="C959" s="297"/>
      <c r="D959" s="297"/>
      <c r="E959" s="296"/>
      <c r="F959" s="296"/>
      <c r="G959" s="296"/>
    </row>
    <row r="960">
      <c r="A960" s="295"/>
      <c r="B960" s="296"/>
      <c r="C960" s="297"/>
      <c r="D960" s="297"/>
      <c r="E960" s="296"/>
      <c r="F960" s="296"/>
      <c r="G960" s="296"/>
    </row>
    <row r="961">
      <c r="A961" s="295"/>
      <c r="B961" s="296"/>
      <c r="C961" s="297"/>
      <c r="D961" s="297"/>
      <c r="E961" s="296"/>
      <c r="F961" s="296"/>
      <c r="G961" s="296"/>
    </row>
    <row r="962">
      <c r="A962" s="295"/>
      <c r="B962" s="296"/>
      <c r="C962" s="297"/>
      <c r="D962" s="297"/>
      <c r="E962" s="296"/>
      <c r="F962" s="296"/>
      <c r="G962" s="296"/>
    </row>
    <row r="963">
      <c r="A963" s="295"/>
      <c r="B963" s="296"/>
      <c r="C963" s="297"/>
      <c r="D963" s="297"/>
      <c r="E963" s="296"/>
      <c r="F963" s="296"/>
      <c r="G963" s="296"/>
    </row>
    <row r="964">
      <c r="A964" s="295"/>
      <c r="B964" s="296"/>
      <c r="C964" s="297"/>
      <c r="D964" s="297"/>
      <c r="E964" s="296"/>
      <c r="F964" s="296"/>
      <c r="G964" s="296"/>
    </row>
    <row r="965">
      <c r="A965" s="295"/>
      <c r="B965" s="296"/>
      <c r="C965" s="297"/>
      <c r="D965" s="297"/>
      <c r="E965" s="296"/>
      <c r="F965" s="296"/>
      <c r="G965" s="296"/>
    </row>
    <row r="966">
      <c r="A966" s="295"/>
      <c r="B966" s="296"/>
      <c r="C966" s="297"/>
      <c r="D966" s="297"/>
      <c r="E966" s="296"/>
      <c r="F966" s="296"/>
      <c r="G966" s="296"/>
    </row>
    <row r="967">
      <c r="A967" s="295"/>
      <c r="B967" s="296"/>
      <c r="C967" s="297"/>
      <c r="D967" s="297"/>
      <c r="E967" s="296"/>
      <c r="F967" s="296"/>
      <c r="G967" s="296"/>
    </row>
    <row r="968">
      <c r="A968" s="295"/>
      <c r="B968" s="296"/>
      <c r="C968" s="297"/>
      <c r="D968" s="297"/>
      <c r="E968" s="296"/>
      <c r="F968" s="296"/>
      <c r="G968" s="296"/>
    </row>
    <row r="969">
      <c r="A969" s="295"/>
      <c r="B969" s="296"/>
      <c r="C969" s="297"/>
      <c r="D969" s="297"/>
      <c r="E969" s="296"/>
      <c r="F969" s="296"/>
      <c r="G969" s="296"/>
    </row>
    <row r="970">
      <c r="A970" s="295"/>
      <c r="B970" s="296"/>
      <c r="C970" s="297"/>
      <c r="D970" s="297"/>
      <c r="E970" s="296"/>
      <c r="F970" s="296"/>
      <c r="G970" s="296"/>
    </row>
    <row r="971">
      <c r="A971" s="295"/>
      <c r="B971" s="296"/>
      <c r="C971" s="297"/>
      <c r="D971" s="297"/>
      <c r="E971" s="296"/>
      <c r="F971" s="296"/>
      <c r="G971" s="296"/>
    </row>
    <row r="972">
      <c r="A972" s="295"/>
      <c r="B972" s="296"/>
      <c r="C972" s="297"/>
      <c r="D972" s="297"/>
      <c r="E972" s="296"/>
      <c r="F972" s="296"/>
      <c r="G972" s="296"/>
    </row>
    <row r="973">
      <c r="A973" s="295"/>
      <c r="B973" s="296"/>
      <c r="C973" s="297"/>
      <c r="D973" s="297"/>
      <c r="E973" s="296"/>
      <c r="F973" s="296"/>
      <c r="G973" s="296"/>
    </row>
    <row r="974">
      <c r="A974" s="295"/>
      <c r="B974" s="296"/>
      <c r="C974" s="297"/>
      <c r="D974" s="297"/>
      <c r="E974" s="296"/>
      <c r="F974" s="296"/>
      <c r="G974" s="296"/>
    </row>
    <row r="975">
      <c r="A975" s="295"/>
      <c r="B975" s="296"/>
      <c r="C975" s="297"/>
      <c r="D975" s="297"/>
      <c r="E975" s="296"/>
      <c r="F975" s="296"/>
      <c r="G975" s="296"/>
    </row>
    <row r="976">
      <c r="A976" s="295"/>
      <c r="B976" s="296"/>
      <c r="C976" s="297"/>
      <c r="D976" s="297"/>
      <c r="E976" s="296"/>
      <c r="F976" s="296"/>
      <c r="G976" s="296"/>
    </row>
    <row r="977">
      <c r="A977" s="295"/>
      <c r="B977" s="296"/>
      <c r="C977" s="297"/>
      <c r="D977" s="297"/>
      <c r="E977" s="296"/>
      <c r="F977" s="296"/>
      <c r="G977" s="296"/>
    </row>
    <row r="978">
      <c r="A978" s="295"/>
      <c r="B978" s="296"/>
      <c r="C978" s="297"/>
      <c r="D978" s="297"/>
      <c r="E978" s="296"/>
      <c r="F978" s="296"/>
      <c r="G978" s="296"/>
    </row>
    <row r="979">
      <c r="A979" s="295"/>
      <c r="B979" s="296"/>
      <c r="C979" s="297"/>
      <c r="D979" s="297"/>
      <c r="E979" s="296"/>
      <c r="F979" s="296"/>
      <c r="G979" s="296"/>
    </row>
    <row r="980">
      <c r="A980" s="295"/>
      <c r="B980" s="296"/>
      <c r="C980" s="297"/>
      <c r="D980" s="297"/>
      <c r="E980" s="296"/>
      <c r="F980" s="296"/>
      <c r="G980" s="296"/>
    </row>
    <row r="981">
      <c r="A981" s="295"/>
      <c r="B981" s="296"/>
      <c r="C981" s="297"/>
      <c r="D981" s="297"/>
      <c r="E981" s="296"/>
      <c r="F981" s="296"/>
      <c r="G981" s="296"/>
    </row>
    <row r="982">
      <c r="A982" s="295"/>
      <c r="B982" s="296"/>
      <c r="C982" s="297"/>
      <c r="D982" s="297"/>
      <c r="E982" s="296"/>
      <c r="F982" s="296"/>
      <c r="G982" s="296"/>
    </row>
    <row r="983">
      <c r="A983" s="295"/>
      <c r="B983" s="296"/>
      <c r="C983" s="297"/>
      <c r="D983" s="297"/>
      <c r="E983" s="296"/>
      <c r="F983" s="296"/>
      <c r="G983" s="296"/>
    </row>
    <row r="984">
      <c r="A984" s="295"/>
      <c r="B984" s="296"/>
      <c r="C984" s="297"/>
      <c r="D984" s="297"/>
      <c r="E984" s="296"/>
      <c r="F984" s="296"/>
      <c r="G984" s="296"/>
    </row>
    <row r="985">
      <c r="A985" s="295"/>
      <c r="B985" s="296"/>
      <c r="C985" s="297"/>
      <c r="D985" s="297"/>
      <c r="E985" s="296"/>
      <c r="F985" s="296"/>
      <c r="G985" s="296"/>
    </row>
    <row r="986">
      <c r="A986" s="295"/>
      <c r="B986" s="296"/>
      <c r="C986" s="297"/>
      <c r="D986" s="297"/>
      <c r="E986" s="296"/>
      <c r="F986" s="296"/>
      <c r="G986" s="296"/>
    </row>
    <row r="987">
      <c r="A987" s="295"/>
      <c r="B987" s="296"/>
      <c r="C987" s="297"/>
      <c r="D987" s="297"/>
      <c r="E987" s="296"/>
      <c r="F987" s="296"/>
      <c r="G987" s="296"/>
    </row>
    <row r="988">
      <c r="A988" s="295"/>
      <c r="B988" s="296"/>
      <c r="C988" s="297"/>
      <c r="D988" s="297"/>
      <c r="E988" s="296"/>
      <c r="F988" s="296"/>
      <c r="G988" s="296"/>
    </row>
    <row r="989">
      <c r="A989" s="295"/>
      <c r="B989" s="296"/>
      <c r="C989" s="297"/>
      <c r="D989" s="297"/>
      <c r="E989" s="296"/>
      <c r="F989" s="296"/>
      <c r="G989" s="296"/>
    </row>
    <row r="990">
      <c r="A990" s="295"/>
      <c r="B990" s="296"/>
      <c r="C990" s="297"/>
      <c r="D990" s="297"/>
      <c r="E990" s="296"/>
      <c r="F990" s="296"/>
      <c r="G990" s="296"/>
    </row>
    <row r="991">
      <c r="A991" s="295"/>
      <c r="B991" s="296"/>
      <c r="C991" s="297"/>
      <c r="D991" s="297"/>
      <c r="E991" s="296"/>
      <c r="F991" s="296"/>
      <c r="G991" s="296"/>
    </row>
    <row r="992">
      <c r="A992" s="295"/>
      <c r="B992" s="296"/>
      <c r="C992" s="297"/>
      <c r="D992" s="297"/>
      <c r="E992" s="296"/>
      <c r="F992" s="296"/>
      <c r="G992" s="296"/>
    </row>
    <row r="993">
      <c r="A993" s="295"/>
      <c r="B993" s="296"/>
      <c r="C993" s="297"/>
      <c r="D993" s="297"/>
      <c r="E993" s="296"/>
      <c r="F993" s="296"/>
      <c r="G993" s="296"/>
    </row>
    <row r="994">
      <c r="A994" s="295"/>
      <c r="B994" s="296"/>
      <c r="C994" s="297"/>
      <c r="D994" s="297"/>
      <c r="E994" s="296"/>
      <c r="F994" s="296"/>
      <c r="G994" s="296"/>
    </row>
    <row r="995">
      <c r="A995" s="295"/>
      <c r="B995" s="296"/>
      <c r="C995" s="297"/>
      <c r="D995" s="297"/>
      <c r="E995" s="296"/>
      <c r="F995" s="296"/>
      <c r="G995" s="296"/>
    </row>
    <row r="996">
      <c r="A996" s="295"/>
      <c r="B996" s="296"/>
      <c r="C996" s="297"/>
      <c r="D996" s="297"/>
      <c r="E996" s="296"/>
      <c r="F996" s="296"/>
      <c r="G996" s="296"/>
    </row>
    <row r="997">
      <c r="A997" s="295"/>
      <c r="B997" s="296"/>
      <c r="C997" s="297"/>
      <c r="D997" s="297"/>
      <c r="E997" s="296"/>
      <c r="F997" s="296"/>
      <c r="G997" s="296"/>
    </row>
    <row r="998">
      <c r="A998" s="295"/>
      <c r="B998" s="296"/>
      <c r="C998" s="297"/>
      <c r="D998" s="297"/>
      <c r="E998" s="296"/>
      <c r="F998" s="296"/>
      <c r="G998" s="296"/>
    </row>
    <row r="999">
      <c r="A999" s="295"/>
      <c r="B999" s="296"/>
      <c r="C999" s="297"/>
      <c r="D999" s="297"/>
      <c r="E999" s="296"/>
      <c r="F999" s="296"/>
      <c r="G999" s="296"/>
    </row>
    <row r="1000">
      <c r="A1000" s="295"/>
      <c r="B1000" s="296"/>
      <c r="C1000" s="297"/>
      <c r="D1000" s="297"/>
      <c r="E1000" s="296"/>
      <c r="F1000" s="296"/>
      <c r="G1000" s="296"/>
    </row>
  </sheetData>
  <autoFilter ref="$A$1:$AG$249"/>
  <customSheetViews>
    <customSheetView guid="{CC23A891-D95F-4582-8EE6-90FE54A6989D}" filter="1" showAutoFilter="1">
      <autoFilter ref="$E$1:$E$1000"/>
    </customSheetView>
    <customSheetView guid="{1A0EF219-A6AE-4F07-8056-7B247C03A825}" filter="1" showAutoFilter="1">
      <autoFilter ref="$E$1:$E$1000">
        <filterColumn colId="0">
          <filters>
            <filter val="Dubbizle"/>
            <filter val="Green-Acres"/>
            <filter val="Propspace"/>
            <filter val="Justproperty"/>
            <filter val="Property Wifi"/>
            <filter val="Property Finder"/>
            <filter val="bayut"/>
            <filter val="From: Propertyfrinder"/>
            <filter val="PropertyWifi"/>
            <filter val="propspace"/>
            <filter val="Dubizzle:"/>
          </filters>
        </filterColumn>
      </autoFilter>
    </customSheetView>
    <customSheetView guid="{9D2F5B4C-BA7D-479C-B7FF-4F2FBA79609E}" filter="1" showAutoFilter="1">
      <autoFilter ref="$A$1:$AG$249">
        <filterColumn colId="2">
          <customFilters>
            <customFilter val="*971*"/>
          </customFilters>
        </filterColumn>
      </autoFilter>
    </customSheetView>
    <customSheetView guid="{3F517011-DA5E-46BD-A2D4-296A5DF083B2}" filter="1" showAutoFilter="1">
      <autoFilter ref="$A$1:$AG$249">
        <filterColumn colId="4">
          <filters>
            <filter val="Dubbizle"/>
            <filter val="Green-Acres"/>
            <filter val="Propspace"/>
            <filter val="Propertyfinder"/>
            <filter val="Justproperty"/>
            <filter val="Property Wifi"/>
            <filter val="Property Finder"/>
            <filter val="From:  Dubizzle"/>
            <filter val="bayut"/>
            <filter val="From: Propertyfrinder"/>
            <filter val="PropertyWifi"/>
            <filter val="propspace"/>
            <filter val="Dubizzle:"/>
          </filters>
        </filterColumn>
      </autoFilter>
    </customSheetView>
  </customSheetViews>
  <hyperlinks>
    <hyperlink r:id="rId1" ref="I31"/>
    <hyperlink r:id="rId2" ref="D131"/>
    <hyperlink r:id="rId3" ref="I153"/>
    <hyperlink r:id="rId4" ref="D161"/>
    <hyperlink r:id="rId5" ref="I168"/>
    <hyperlink r:id="rId6" ref="I173"/>
    <hyperlink r:id="rId7" ref="I175"/>
    <hyperlink r:id="rId8" ref="F188"/>
    <hyperlink r:id="rId9" ref="I206"/>
    <hyperlink r:id="rId10" ref="I236"/>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4.43" defaultRowHeight="15.75"/>
  <cols>
    <col customWidth="1" min="3" max="3" width="4.29"/>
    <col customWidth="1" min="4" max="4" width="19.57"/>
    <col customWidth="1" min="5" max="5" width="21.14"/>
    <col customWidth="1" min="6" max="6" width="19.29"/>
    <col customWidth="1" min="7" max="7" width="18.29"/>
  </cols>
  <sheetData>
    <row r="1">
      <c r="A1" s="1" t="s">
        <v>0</v>
      </c>
      <c r="B1" s="2" t="s">
        <v>1</v>
      </c>
      <c r="C1" s="2"/>
      <c r="D1" s="2" t="s">
        <v>2</v>
      </c>
      <c r="E1" s="2" t="s">
        <v>3</v>
      </c>
      <c r="F1" s="2" t="s">
        <v>4</v>
      </c>
      <c r="G1" s="3" t="s">
        <v>5</v>
      </c>
      <c r="H1" s="4" t="s">
        <v>6</v>
      </c>
      <c r="I1" s="6" t="s">
        <v>8</v>
      </c>
      <c r="J1" s="4" t="s">
        <v>9</v>
      </c>
      <c r="K1" s="8"/>
      <c r="L1" s="9"/>
      <c r="M1" s="9"/>
      <c r="N1" s="9"/>
      <c r="O1" s="9"/>
      <c r="P1" s="9"/>
      <c r="Q1" s="9"/>
      <c r="R1" s="9"/>
      <c r="S1" s="9"/>
      <c r="T1" s="9"/>
      <c r="U1" s="9"/>
      <c r="V1" s="9"/>
      <c r="W1" s="9"/>
      <c r="X1" s="9"/>
      <c r="Y1" s="9"/>
      <c r="Z1" s="9"/>
      <c r="AA1" s="9"/>
      <c r="AB1" s="9"/>
      <c r="AC1" s="9"/>
      <c r="AD1" s="9"/>
      <c r="AE1" s="9"/>
      <c r="AF1" s="9"/>
      <c r="AG1" s="9"/>
    </row>
    <row r="2">
      <c r="A2" s="12">
        <v>43407.0</v>
      </c>
      <c r="B2" s="14" t="s">
        <v>10</v>
      </c>
      <c r="C2" s="15"/>
      <c r="D2" s="16" t="s">
        <v>11</v>
      </c>
      <c r="E2" s="17" t="s">
        <v>12</v>
      </c>
      <c r="F2" s="14" t="s">
        <v>13</v>
      </c>
      <c r="G2" s="19" t="s">
        <v>14</v>
      </c>
      <c r="H2" s="20"/>
      <c r="I2" s="20"/>
      <c r="J2" s="21" t="s">
        <v>15</v>
      </c>
      <c r="K2" s="20"/>
      <c r="L2" s="22"/>
      <c r="M2" s="22"/>
      <c r="N2" s="22"/>
      <c r="O2" s="22"/>
      <c r="P2" s="22"/>
      <c r="Q2" s="22"/>
      <c r="R2" s="22"/>
      <c r="S2" s="22"/>
      <c r="T2" s="22"/>
      <c r="U2" s="22"/>
      <c r="V2" s="22"/>
      <c r="W2" s="22"/>
      <c r="X2" s="22"/>
      <c r="Y2" s="22"/>
      <c r="Z2" s="22"/>
      <c r="AA2" s="22"/>
      <c r="AB2" s="22"/>
      <c r="AC2" s="22"/>
      <c r="AD2" s="22"/>
      <c r="AE2" s="22"/>
      <c r="AF2" s="22"/>
      <c r="AG2" s="22"/>
    </row>
    <row r="3">
      <c r="A3" s="12">
        <v>43407.0</v>
      </c>
      <c r="B3" s="17" t="s">
        <v>16</v>
      </c>
      <c r="C3" s="15"/>
      <c r="D3" s="16" t="s">
        <v>17</v>
      </c>
      <c r="E3" s="17" t="s">
        <v>18</v>
      </c>
      <c r="F3" s="35" t="s">
        <v>19</v>
      </c>
      <c r="G3" s="19" t="s">
        <v>29</v>
      </c>
      <c r="H3" s="17" t="s">
        <v>31</v>
      </c>
      <c r="I3" s="38"/>
      <c r="J3" s="19" t="s">
        <v>32</v>
      </c>
      <c r="K3" s="38"/>
    </row>
    <row r="4">
      <c r="A4" s="40">
        <v>43407.0</v>
      </c>
      <c r="B4" s="19" t="s">
        <v>34</v>
      </c>
      <c r="C4" s="38"/>
      <c r="D4" s="42" t="s">
        <v>35</v>
      </c>
      <c r="E4" s="38"/>
      <c r="F4" s="19" t="s">
        <v>37</v>
      </c>
      <c r="G4" s="17" t="s">
        <v>38</v>
      </c>
      <c r="H4" s="38"/>
      <c r="I4" s="38"/>
      <c r="J4" s="19" t="s">
        <v>15</v>
      </c>
      <c r="K4" s="38"/>
    </row>
    <row r="5">
      <c r="A5" s="40">
        <v>43407.0</v>
      </c>
      <c r="B5" s="19" t="s">
        <v>40</v>
      </c>
      <c r="C5" s="38"/>
      <c r="D5" s="42" t="s">
        <v>41</v>
      </c>
      <c r="E5" s="19" t="s">
        <v>43</v>
      </c>
      <c r="F5" s="17" t="s">
        <v>26</v>
      </c>
      <c r="G5" s="17" t="s">
        <v>44</v>
      </c>
      <c r="H5" s="38"/>
      <c r="I5" s="38"/>
      <c r="J5" s="19" t="s">
        <v>45</v>
      </c>
      <c r="K5" s="38"/>
    </row>
    <row r="6">
      <c r="A6" s="12">
        <v>43408.0</v>
      </c>
      <c r="B6" s="17" t="s">
        <v>47</v>
      </c>
      <c r="C6" s="15"/>
      <c r="D6" s="19" t="s">
        <v>48</v>
      </c>
      <c r="E6" s="46"/>
      <c r="F6" s="17" t="s">
        <v>26</v>
      </c>
      <c r="G6" s="19" t="s">
        <v>51</v>
      </c>
      <c r="H6" s="50"/>
      <c r="I6" s="38"/>
      <c r="J6" s="19" t="s">
        <v>45</v>
      </c>
      <c r="K6" s="38"/>
    </row>
    <row r="7">
      <c r="A7" s="12">
        <v>43408.0</v>
      </c>
      <c r="B7" s="19" t="s">
        <v>65</v>
      </c>
      <c r="C7" s="15"/>
      <c r="D7" s="42" t="s">
        <v>66</v>
      </c>
      <c r="E7" s="19" t="s">
        <v>67</v>
      </c>
      <c r="F7" s="17" t="s">
        <v>26</v>
      </c>
      <c r="G7" s="19" t="s">
        <v>70</v>
      </c>
      <c r="H7" s="50"/>
      <c r="I7" s="38"/>
      <c r="J7" s="19" t="s">
        <v>45</v>
      </c>
      <c r="K7" s="38"/>
    </row>
    <row r="8">
      <c r="A8" s="12">
        <v>43408.0</v>
      </c>
      <c r="B8" s="60" t="s">
        <v>73</v>
      </c>
      <c r="C8" s="15"/>
      <c r="D8" s="42" t="s">
        <v>75</v>
      </c>
      <c r="E8" s="19" t="s">
        <v>76</v>
      </c>
      <c r="F8" s="62" t="s">
        <v>77</v>
      </c>
      <c r="G8" s="19" t="s">
        <v>81</v>
      </c>
      <c r="H8" s="50"/>
      <c r="I8" s="38"/>
      <c r="J8" s="19" t="s">
        <v>82</v>
      </c>
      <c r="K8" s="38"/>
    </row>
    <row r="9">
      <c r="A9" s="12">
        <v>43409.0</v>
      </c>
      <c r="B9" s="19" t="s">
        <v>84</v>
      </c>
      <c r="C9" s="15"/>
      <c r="D9" s="42" t="s">
        <v>85</v>
      </c>
      <c r="E9" s="19" t="s">
        <v>86</v>
      </c>
      <c r="F9" s="17" t="s">
        <v>87</v>
      </c>
      <c r="G9" s="17" t="s">
        <v>88</v>
      </c>
      <c r="H9" s="62" t="s">
        <v>91</v>
      </c>
      <c r="I9" s="38"/>
      <c r="J9" s="19" t="s">
        <v>82</v>
      </c>
      <c r="K9" s="38"/>
    </row>
    <row r="10">
      <c r="A10" s="65">
        <v>43414.0</v>
      </c>
      <c r="B10" s="19" t="s">
        <v>96</v>
      </c>
      <c r="C10" s="38"/>
      <c r="D10" s="42" t="s">
        <v>99</v>
      </c>
      <c r="E10" s="19" t="s">
        <v>100</v>
      </c>
      <c r="F10" s="17" t="s">
        <v>26</v>
      </c>
      <c r="G10" s="17" t="s">
        <v>101</v>
      </c>
      <c r="H10" s="38"/>
      <c r="I10" s="38"/>
      <c r="J10" s="19" t="s">
        <v>32</v>
      </c>
      <c r="K10" s="38"/>
    </row>
    <row r="11">
      <c r="A11" s="65">
        <v>43414.0</v>
      </c>
      <c r="B11" s="19" t="s">
        <v>105</v>
      </c>
      <c r="C11" s="38"/>
      <c r="D11" s="42" t="s">
        <v>106</v>
      </c>
      <c r="E11" s="19" t="s">
        <v>107</v>
      </c>
      <c r="F11" s="17" t="s">
        <v>26</v>
      </c>
      <c r="G11" s="17" t="s">
        <v>108</v>
      </c>
      <c r="H11" s="19" t="s">
        <v>109</v>
      </c>
      <c r="I11" s="38"/>
      <c r="J11" s="19" t="s">
        <v>97</v>
      </c>
      <c r="K11" s="38"/>
    </row>
    <row r="12">
      <c r="A12" s="65">
        <v>43414.0</v>
      </c>
      <c r="B12" s="67" t="s">
        <v>112</v>
      </c>
      <c r="C12" s="38"/>
      <c r="D12" s="69" t="s">
        <v>116</v>
      </c>
      <c r="E12" s="73" t="s">
        <v>119</v>
      </c>
      <c r="F12" s="17" t="s">
        <v>26</v>
      </c>
      <c r="G12" s="67" t="s">
        <v>130</v>
      </c>
      <c r="H12" s="38"/>
      <c r="I12" s="38"/>
      <c r="J12" s="19" t="s">
        <v>45</v>
      </c>
      <c r="K12" s="38"/>
    </row>
    <row r="13">
      <c r="A13" s="65">
        <v>43414.0</v>
      </c>
      <c r="B13" s="19" t="s">
        <v>133</v>
      </c>
      <c r="C13" s="38"/>
      <c r="D13" s="75" t="s">
        <v>134</v>
      </c>
      <c r="E13" s="19" t="s">
        <v>136</v>
      </c>
      <c r="F13" s="17" t="s">
        <v>26</v>
      </c>
      <c r="G13" s="17" t="s">
        <v>137</v>
      </c>
      <c r="H13" s="38"/>
      <c r="I13" s="38"/>
      <c r="J13" s="19" t="s">
        <v>97</v>
      </c>
      <c r="K13" s="38"/>
    </row>
    <row r="14">
      <c r="A14" s="65">
        <v>43414.0</v>
      </c>
      <c r="B14" s="77" t="s">
        <v>141</v>
      </c>
      <c r="C14" s="38"/>
      <c r="D14" s="42" t="s">
        <v>144</v>
      </c>
      <c r="E14" s="80" t="s">
        <v>146</v>
      </c>
      <c r="F14" s="17" t="s">
        <v>26</v>
      </c>
      <c r="G14" s="83" t="s">
        <v>164</v>
      </c>
      <c r="H14" s="38"/>
      <c r="I14" s="38"/>
      <c r="J14" s="19" t="s">
        <v>45</v>
      </c>
      <c r="K14" s="38"/>
    </row>
    <row r="15">
      <c r="A15" s="65">
        <v>43414.0</v>
      </c>
      <c r="B15" s="19" t="s">
        <v>195</v>
      </c>
      <c r="C15" s="38"/>
      <c r="D15" s="42" t="s">
        <v>196</v>
      </c>
      <c r="E15" s="19" t="s">
        <v>198</v>
      </c>
      <c r="F15" s="17" t="s">
        <v>26</v>
      </c>
      <c r="G15" s="17" t="s">
        <v>200</v>
      </c>
      <c r="H15" s="38"/>
      <c r="I15" s="38"/>
      <c r="J15" s="19" t="s">
        <v>203</v>
      </c>
      <c r="K15" s="38"/>
    </row>
    <row r="16">
      <c r="A16" s="65">
        <v>43414.0</v>
      </c>
      <c r="B16" s="77" t="s">
        <v>206</v>
      </c>
      <c r="C16" s="38"/>
      <c r="D16" s="84" t="s">
        <v>207</v>
      </c>
      <c r="E16" s="80" t="s">
        <v>210</v>
      </c>
      <c r="F16" s="17" t="s">
        <v>26</v>
      </c>
      <c r="G16" s="17" t="s">
        <v>26</v>
      </c>
      <c r="H16" s="83" t="s">
        <v>232</v>
      </c>
      <c r="I16" s="38"/>
      <c r="J16" s="19" t="s">
        <v>32</v>
      </c>
      <c r="K16" s="38"/>
    </row>
    <row r="17">
      <c r="A17" s="65">
        <v>43414.0</v>
      </c>
      <c r="B17" s="19" t="s">
        <v>256</v>
      </c>
      <c r="C17" s="38"/>
      <c r="D17" s="75" t="s">
        <v>258</v>
      </c>
      <c r="E17" s="19" t="s">
        <v>259</v>
      </c>
      <c r="F17" s="17" t="s">
        <v>26</v>
      </c>
      <c r="G17" s="17" t="s">
        <v>261</v>
      </c>
      <c r="H17" s="83" t="s">
        <v>262</v>
      </c>
      <c r="I17" s="38"/>
      <c r="J17" s="19" t="s">
        <v>32</v>
      </c>
      <c r="K17" s="38"/>
    </row>
    <row r="18">
      <c r="A18" s="40">
        <v>43411.0</v>
      </c>
      <c r="B18" s="19" t="s">
        <v>299</v>
      </c>
      <c r="C18" s="38"/>
      <c r="D18" s="42" t="s">
        <v>301</v>
      </c>
      <c r="E18" s="19" t="s">
        <v>302</v>
      </c>
      <c r="F18" s="17" t="s">
        <v>26</v>
      </c>
      <c r="G18" s="17" t="s">
        <v>304</v>
      </c>
      <c r="H18" s="38"/>
      <c r="I18" s="38"/>
      <c r="J18" s="38"/>
      <c r="K18" s="38"/>
    </row>
    <row r="19">
      <c r="A19" s="40">
        <v>43411.0</v>
      </c>
      <c r="B19" s="19" t="s">
        <v>308</v>
      </c>
      <c r="C19" s="38"/>
      <c r="D19" s="19" t="s">
        <v>311</v>
      </c>
      <c r="E19" s="19" t="s">
        <v>312</v>
      </c>
      <c r="F19" s="19" t="s">
        <v>314</v>
      </c>
      <c r="G19" s="17" t="s">
        <v>315</v>
      </c>
      <c r="H19" s="19" t="s">
        <v>317</v>
      </c>
      <c r="I19" s="38"/>
      <c r="J19" s="38"/>
      <c r="K19" s="38"/>
    </row>
    <row r="20">
      <c r="A20" s="40">
        <v>43412.0</v>
      </c>
      <c r="B20" s="19" t="s">
        <v>321</v>
      </c>
      <c r="C20" s="38"/>
      <c r="D20" s="19">
        <f>971-555-553087</f>
        <v>-552671</v>
      </c>
      <c r="E20" s="19" t="s">
        <v>345</v>
      </c>
      <c r="F20" s="19" t="s">
        <v>77</v>
      </c>
      <c r="G20" s="91" t="s">
        <v>346</v>
      </c>
      <c r="H20" s="19" t="s">
        <v>350</v>
      </c>
      <c r="I20" s="38"/>
      <c r="J20" s="38"/>
      <c r="K20" s="38"/>
    </row>
    <row r="21">
      <c r="A21" s="40">
        <v>43412.0</v>
      </c>
      <c r="B21" s="19" t="s">
        <v>356</v>
      </c>
      <c r="C21" s="38"/>
      <c r="D21" s="42" t="s">
        <v>357</v>
      </c>
      <c r="E21" s="38"/>
      <c r="F21" s="19" t="s">
        <v>359</v>
      </c>
      <c r="G21" s="19" t="s">
        <v>360</v>
      </c>
      <c r="H21" s="38"/>
      <c r="I21" s="38"/>
      <c r="J21" s="19" t="s">
        <v>361</v>
      </c>
      <c r="K21" s="38"/>
    </row>
    <row r="22">
      <c r="A22" s="65">
        <v>43414.0</v>
      </c>
      <c r="B22" s="19" t="s">
        <v>105</v>
      </c>
      <c r="C22" s="38"/>
      <c r="D22" s="42" t="s">
        <v>106</v>
      </c>
      <c r="E22" s="19" t="s">
        <v>364</v>
      </c>
      <c r="F22" s="17" t="s">
        <v>26</v>
      </c>
      <c r="G22" s="93" t="s">
        <v>366</v>
      </c>
      <c r="H22" s="38"/>
      <c r="I22" s="38"/>
      <c r="J22" s="19" t="s">
        <v>203</v>
      </c>
      <c r="K22" s="38"/>
    </row>
    <row r="23">
      <c r="A23" s="65">
        <v>43414.0</v>
      </c>
      <c r="B23" s="19" t="s">
        <v>112</v>
      </c>
      <c r="C23" s="38"/>
      <c r="D23" s="75" t="s">
        <v>116</v>
      </c>
      <c r="E23" s="19" t="s">
        <v>119</v>
      </c>
      <c r="F23" s="17" t="s">
        <v>26</v>
      </c>
      <c r="G23" s="19" t="s">
        <v>378</v>
      </c>
      <c r="H23" s="38"/>
      <c r="I23" s="38"/>
      <c r="J23" s="19" t="s">
        <v>45</v>
      </c>
      <c r="K23" s="38"/>
    </row>
    <row r="24">
      <c r="A24" s="65">
        <v>43414.0</v>
      </c>
      <c r="B24" s="91" t="s">
        <v>383</v>
      </c>
      <c r="C24" s="38"/>
      <c r="D24" s="95">
        <f>+971501172266</f>
        <v>971501172266</v>
      </c>
      <c r="E24" s="19" t="s">
        <v>396</v>
      </c>
      <c r="F24" s="93" t="s">
        <v>328</v>
      </c>
      <c r="G24" s="19" t="s">
        <v>398</v>
      </c>
      <c r="H24" s="38"/>
      <c r="I24" s="38"/>
      <c r="J24" s="38"/>
      <c r="K24" s="38"/>
    </row>
    <row r="25">
      <c r="A25" s="65">
        <v>43414.0</v>
      </c>
      <c r="B25" s="19" t="s">
        <v>401</v>
      </c>
      <c r="C25" s="38"/>
      <c r="D25" s="42" t="s">
        <v>402</v>
      </c>
      <c r="E25" s="38"/>
      <c r="F25" s="19" t="s">
        <v>403</v>
      </c>
      <c r="G25" s="38"/>
      <c r="H25" s="38"/>
      <c r="I25" s="38"/>
      <c r="J25" s="38"/>
      <c r="K25" s="38"/>
    </row>
    <row r="26">
      <c r="A26" s="65">
        <v>43414.0</v>
      </c>
      <c r="B26" s="91" t="s">
        <v>408</v>
      </c>
      <c r="C26" s="38"/>
      <c r="D26" s="95">
        <f>+971557197445</f>
        <v>971557197445</v>
      </c>
      <c r="E26" s="19" t="s">
        <v>410</v>
      </c>
      <c r="F26" s="98" t="s">
        <v>328</v>
      </c>
      <c r="G26" s="19" t="s">
        <v>229</v>
      </c>
      <c r="H26" s="19" t="s">
        <v>411</v>
      </c>
      <c r="I26" s="38"/>
      <c r="J26" s="38"/>
      <c r="K26" s="38"/>
    </row>
    <row r="27">
      <c r="A27" s="100">
        <v>43415.0</v>
      </c>
      <c r="B27" s="102" t="s">
        <v>415</v>
      </c>
      <c r="C27" s="102"/>
      <c r="D27" s="103">
        <v>9.71502429809E11</v>
      </c>
      <c r="E27" s="104" t="s">
        <v>424</v>
      </c>
      <c r="F27" s="105"/>
      <c r="G27" s="102"/>
      <c r="H27" s="102"/>
      <c r="I27" s="102"/>
      <c r="J27" s="102"/>
      <c r="K27" s="102"/>
      <c r="L27" s="106"/>
      <c r="M27" s="106"/>
      <c r="N27" s="106"/>
      <c r="O27" s="106"/>
      <c r="P27" s="106"/>
      <c r="Q27" s="106"/>
      <c r="R27" s="106"/>
      <c r="S27" s="106"/>
      <c r="T27" s="106"/>
      <c r="U27" s="106"/>
      <c r="V27" s="106"/>
      <c r="W27" s="106"/>
      <c r="X27" s="106"/>
      <c r="Y27" s="106"/>
      <c r="Z27" s="106"/>
    </row>
    <row r="28">
      <c r="A28" s="65">
        <v>43416.0</v>
      </c>
      <c r="B28" s="19" t="s">
        <v>437</v>
      </c>
      <c r="C28" s="38"/>
      <c r="D28" s="107">
        <v>9.71547704125E11</v>
      </c>
      <c r="E28" s="19" t="s">
        <v>439</v>
      </c>
      <c r="F28" s="38"/>
      <c r="G28" s="38"/>
      <c r="H28" s="38"/>
      <c r="I28" s="38"/>
      <c r="J28" s="38"/>
      <c r="K28" s="38"/>
    </row>
    <row r="29">
      <c r="A29" s="65">
        <v>43417.0</v>
      </c>
      <c r="B29" s="19" t="s">
        <v>440</v>
      </c>
      <c r="C29" s="38"/>
      <c r="D29" s="108" t="s">
        <v>441</v>
      </c>
      <c r="E29" s="38"/>
      <c r="F29" s="19" t="s">
        <v>442</v>
      </c>
      <c r="G29" s="19" t="s">
        <v>443</v>
      </c>
      <c r="H29" s="38"/>
      <c r="I29" s="38"/>
      <c r="J29" s="38"/>
      <c r="K29" s="38"/>
    </row>
    <row r="30">
      <c r="A30" s="65">
        <v>43417.0</v>
      </c>
      <c r="B30" s="19" t="s">
        <v>299</v>
      </c>
      <c r="C30" s="38"/>
      <c r="D30" s="109" t="s">
        <v>446</v>
      </c>
      <c r="E30" s="19" t="s">
        <v>302</v>
      </c>
      <c r="F30" s="17" t="s">
        <v>26</v>
      </c>
      <c r="G30" s="19" t="s">
        <v>448</v>
      </c>
      <c r="H30" s="38"/>
      <c r="I30" s="38"/>
      <c r="J30" s="38"/>
      <c r="K30" s="38"/>
    </row>
    <row r="31">
      <c r="A31" s="65">
        <v>43417.0</v>
      </c>
      <c r="B31" s="19" t="s">
        <v>450</v>
      </c>
      <c r="C31" s="38"/>
      <c r="D31" s="108" t="s">
        <v>451</v>
      </c>
      <c r="E31" s="19" t="s">
        <v>452</v>
      </c>
      <c r="F31" s="19" t="s">
        <v>453</v>
      </c>
      <c r="G31" s="93" t="s">
        <v>454</v>
      </c>
      <c r="H31" s="38"/>
      <c r="I31" s="19" t="s">
        <v>456</v>
      </c>
      <c r="J31" s="38"/>
      <c r="K31" s="38"/>
    </row>
    <row r="32">
      <c r="A32" s="65">
        <v>43418.0</v>
      </c>
      <c r="B32" s="19" t="s">
        <v>457</v>
      </c>
      <c r="C32" s="38"/>
      <c r="D32" s="103">
        <v>9.71563161782E11</v>
      </c>
      <c r="E32" s="38"/>
      <c r="F32" s="19" t="s">
        <v>458</v>
      </c>
      <c r="G32" s="17" t="s">
        <v>459</v>
      </c>
      <c r="H32" s="38"/>
      <c r="I32" s="38"/>
      <c r="J32" s="38"/>
      <c r="K32" s="38"/>
    </row>
    <row r="33">
      <c r="A33" s="65">
        <v>43419.0</v>
      </c>
      <c r="B33" s="19" t="s">
        <v>460</v>
      </c>
      <c r="C33" s="38"/>
      <c r="D33" s="111">
        <f>+971507478227</f>
        <v>971507478227</v>
      </c>
      <c r="E33" s="19" t="s">
        <v>474</v>
      </c>
      <c r="F33" s="19" t="s">
        <v>476</v>
      </c>
      <c r="G33" s="17" t="s">
        <v>477</v>
      </c>
      <c r="H33" s="38"/>
      <c r="I33" s="38"/>
      <c r="J33" s="19" t="s">
        <v>97</v>
      </c>
      <c r="K33" s="38"/>
    </row>
    <row r="34">
      <c r="A34" s="65">
        <v>43419.0</v>
      </c>
      <c r="B34" s="19" t="s">
        <v>20</v>
      </c>
      <c r="C34" s="38"/>
      <c r="D34" s="42" t="s">
        <v>481</v>
      </c>
      <c r="E34" s="75" t="s">
        <v>482</v>
      </c>
      <c r="F34" s="19" t="s">
        <v>50</v>
      </c>
      <c r="G34" s="17" t="s">
        <v>483</v>
      </c>
      <c r="H34" s="19" t="s">
        <v>484</v>
      </c>
      <c r="I34" s="19" t="s">
        <v>485</v>
      </c>
      <c r="J34" s="19" t="s">
        <v>45</v>
      </c>
      <c r="K34" s="38"/>
    </row>
    <row r="35">
      <c r="A35" s="65">
        <v>43419.0</v>
      </c>
      <c r="B35" s="75" t="s">
        <v>487</v>
      </c>
      <c r="C35" s="38"/>
      <c r="D35" s="42" t="s">
        <v>489</v>
      </c>
      <c r="E35" s="38"/>
      <c r="F35" s="19" t="s">
        <v>476</v>
      </c>
      <c r="G35" s="17" t="s">
        <v>490</v>
      </c>
      <c r="H35" s="38"/>
      <c r="I35" s="38"/>
      <c r="J35" s="19" t="s">
        <v>492</v>
      </c>
      <c r="K35" s="38"/>
    </row>
    <row r="36">
      <c r="A36" s="65">
        <v>43421.0</v>
      </c>
      <c r="B36" s="19" t="s">
        <v>494</v>
      </c>
      <c r="C36" s="38"/>
      <c r="D36" s="42" t="s">
        <v>495</v>
      </c>
      <c r="E36" s="19" t="s">
        <v>496</v>
      </c>
      <c r="F36" s="19" t="s">
        <v>476</v>
      </c>
      <c r="G36" s="19" t="s">
        <v>497</v>
      </c>
      <c r="H36" s="38"/>
      <c r="I36" s="38"/>
      <c r="J36" s="19" t="s">
        <v>97</v>
      </c>
      <c r="K36" s="38"/>
    </row>
    <row r="37">
      <c r="A37" s="65">
        <v>43421.0</v>
      </c>
      <c r="B37" s="19" t="s">
        <v>501</v>
      </c>
      <c r="C37" s="38"/>
      <c r="D37" s="42" t="s">
        <v>502</v>
      </c>
      <c r="E37" s="19" t="s">
        <v>503</v>
      </c>
      <c r="F37" s="17" t="s">
        <v>26</v>
      </c>
      <c r="G37" s="17" t="s">
        <v>505</v>
      </c>
      <c r="H37" s="38"/>
      <c r="I37" s="38"/>
      <c r="J37" s="19" t="s">
        <v>97</v>
      </c>
      <c r="K37" s="38"/>
    </row>
    <row r="38">
      <c r="A38" s="65">
        <v>43415.0</v>
      </c>
      <c r="B38" s="19" t="s">
        <v>509</v>
      </c>
      <c r="C38" s="38"/>
      <c r="D38" s="42" t="s">
        <v>510</v>
      </c>
      <c r="E38" s="19" t="s">
        <v>511</v>
      </c>
      <c r="F38" s="17" t="s">
        <v>26</v>
      </c>
      <c r="G38" s="17" t="s">
        <v>513</v>
      </c>
      <c r="H38" s="38"/>
      <c r="I38" s="38"/>
      <c r="J38" s="19" t="s">
        <v>97</v>
      </c>
      <c r="K38" s="38"/>
    </row>
    <row r="39">
      <c r="A39" s="65">
        <v>43414.0</v>
      </c>
      <c r="B39" s="19" t="s">
        <v>517</v>
      </c>
      <c r="C39" s="38"/>
      <c r="D39" s="113">
        <v>9.71502547024E11</v>
      </c>
      <c r="E39" s="19" t="s">
        <v>198</v>
      </c>
      <c r="F39" s="17" t="s">
        <v>26</v>
      </c>
      <c r="G39" s="17" t="s">
        <v>520</v>
      </c>
      <c r="H39" s="38"/>
      <c r="I39" s="38"/>
      <c r="J39" s="19" t="s">
        <v>97</v>
      </c>
      <c r="K39" s="38"/>
    </row>
    <row r="40">
      <c r="A40" s="115">
        <v>43414.0</v>
      </c>
      <c r="B40" s="116" t="s">
        <v>133</v>
      </c>
      <c r="C40" s="102"/>
      <c r="D40" s="118">
        <v>9.7158153307E11</v>
      </c>
      <c r="E40" s="116" t="s">
        <v>527</v>
      </c>
      <c r="F40" s="17" t="s">
        <v>26</v>
      </c>
      <c r="G40" s="17" t="s">
        <v>137</v>
      </c>
      <c r="H40" s="102"/>
      <c r="I40" s="102"/>
      <c r="J40" s="102" t="s">
        <v>97</v>
      </c>
      <c r="K40" s="102"/>
      <c r="L40" s="106"/>
      <c r="M40" s="106"/>
      <c r="N40" s="106"/>
      <c r="O40" s="106"/>
      <c r="P40" s="106"/>
      <c r="Q40" s="106"/>
      <c r="R40" s="106"/>
      <c r="S40" s="106"/>
      <c r="T40" s="106"/>
      <c r="U40" s="106"/>
      <c r="V40" s="106"/>
      <c r="W40" s="106"/>
      <c r="X40" s="106"/>
      <c r="Y40" s="106"/>
      <c r="Z40" s="106"/>
      <c r="AA40" s="106"/>
      <c r="AB40" s="106"/>
      <c r="AC40" s="106"/>
      <c r="AD40" s="106"/>
      <c r="AE40" s="106"/>
      <c r="AF40" s="106"/>
      <c r="AG40" s="106"/>
    </row>
    <row r="41">
      <c r="A41" s="40">
        <v>43411.0</v>
      </c>
      <c r="B41" s="19" t="s">
        <v>536</v>
      </c>
      <c r="C41" s="38"/>
      <c r="D41" s="38"/>
      <c r="E41" s="19" t="s">
        <v>537</v>
      </c>
      <c r="F41" s="17" t="s">
        <v>26</v>
      </c>
      <c r="G41" s="19" t="s">
        <v>540</v>
      </c>
      <c r="H41" s="38"/>
      <c r="I41" s="38"/>
      <c r="J41" s="102" t="s">
        <v>97</v>
      </c>
      <c r="K41" s="38"/>
    </row>
    <row r="42">
      <c r="A42" s="40">
        <v>43408.0</v>
      </c>
      <c r="B42" s="19" t="s">
        <v>543</v>
      </c>
      <c r="C42" s="38"/>
      <c r="D42" s="42" t="s">
        <v>544</v>
      </c>
      <c r="E42" s="19" t="s">
        <v>545</v>
      </c>
      <c r="F42" s="17" t="s">
        <v>26</v>
      </c>
      <c r="G42" s="17" t="s">
        <v>547</v>
      </c>
      <c r="H42" s="38"/>
      <c r="I42" s="38"/>
      <c r="J42" s="102" t="s">
        <v>97</v>
      </c>
      <c r="K42" s="38"/>
    </row>
    <row r="43">
      <c r="A43" s="65">
        <v>43421.0</v>
      </c>
      <c r="B43" s="19" t="s">
        <v>549</v>
      </c>
      <c r="C43" s="38"/>
      <c r="D43" s="75" t="s">
        <v>551</v>
      </c>
      <c r="E43" s="19" t="s">
        <v>552</v>
      </c>
      <c r="F43" s="17" t="s">
        <v>26</v>
      </c>
      <c r="G43" s="17" t="s">
        <v>553</v>
      </c>
      <c r="H43" s="38"/>
      <c r="I43" s="38"/>
      <c r="J43" s="19" t="s">
        <v>32</v>
      </c>
      <c r="K43" s="38"/>
    </row>
    <row r="44">
      <c r="A44" s="65">
        <v>43421.0</v>
      </c>
      <c r="B44" s="19" t="s">
        <v>556</v>
      </c>
      <c r="C44" s="38"/>
      <c r="D44" s="113">
        <v>9.71562160492E11</v>
      </c>
      <c r="E44" s="19" t="s">
        <v>557</v>
      </c>
      <c r="F44" s="19" t="s">
        <v>476</v>
      </c>
      <c r="G44" s="17" t="s">
        <v>559</v>
      </c>
      <c r="H44" s="38"/>
      <c r="I44" s="38"/>
      <c r="J44" s="19" t="s">
        <v>32</v>
      </c>
      <c r="K44" s="38"/>
    </row>
    <row r="45">
      <c r="A45" s="65">
        <v>43423.0</v>
      </c>
      <c r="B45" s="19" t="s">
        <v>562</v>
      </c>
      <c r="C45" s="38"/>
      <c r="D45" s="75" t="s">
        <v>563</v>
      </c>
      <c r="E45" s="19" t="s">
        <v>564</v>
      </c>
      <c r="F45" s="19" t="s">
        <v>50</v>
      </c>
      <c r="G45" s="19" t="s">
        <v>565</v>
      </c>
      <c r="H45" s="19" t="s">
        <v>566</v>
      </c>
      <c r="I45" s="38"/>
      <c r="J45" s="19" t="s">
        <v>45</v>
      </c>
      <c r="K45" s="38"/>
    </row>
    <row r="46">
      <c r="A46" s="65">
        <v>43423.0</v>
      </c>
      <c r="B46" s="19" t="s">
        <v>569</v>
      </c>
      <c r="C46" s="38"/>
      <c r="D46" s="19">
        <v>9.18447754411E11</v>
      </c>
      <c r="E46" s="19" t="s">
        <v>570</v>
      </c>
      <c r="F46" s="17" t="s">
        <v>26</v>
      </c>
      <c r="G46" s="19" t="s">
        <v>573</v>
      </c>
      <c r="H46" s="19" t="s">
        <v>574</v>
      </c>
      <c r="I46" s="17" t="s">
        <v>575</v>
      </c>
      <c r="J46" s="19" t="s">
        <v>32</v>
      </c>
      <c r="K46" s="38"/>
    </row>
    <row r="47">
      <c r="A47" s="65">
        <v>43423.0</v>
      </c>
      <c r="B47" s="19" t="s">
        <v>576</v>
      </c>
      <c r="C47" s="38"/>
      <c r="D47" s="75" t="s">
        <v>578</v>
      </c>
      <c r="E47" s="19" t="s">
        <v>579</v>
      </c>
      <c r="F47" s="17" t="s">
        <v>26</v>
      </c>
      <c r="G47" s="19" t="s">
        <v>581</v>
      </c>
      <c r="H47" s="19" t="s">
        <v>582</v>
      </c>
      <c r="I47" s="17" t="s">
        <v>583</v>
      </c>
      <c r="J47" s="19" t="s">
        <v>32</v>
      </c>
      <c r="K47" s="38"/>
    </row>
    <row r="48">
      <c r="A48" s="65">
        <v>43423.0</v>
      </c>
      <c r="B48" s="19" t="s">
        <v>20</v>
      </c>
      <c r="C48" s="38"/>
      <c r="D48" s="42" t="s">
        <v>585</v>
      </c>
      <c r="E48" s="19" t="s">
        <v>474</v>
      </c>
      <c r="F48" s="19" t="s">
        <v>50</v>
      </c>
      <c r="G48" s="17" t="s">
        <v>586</v>
      </c>
      <c r="H48" s="19" t="s">
        <v>587</v>
      </c>
      <c r="I48" s="19" t="s">
        <v>189</v>
      </c>
      <c r="J48" s="19" t="s">
        <v>97</v>
      </c>
      <c r="K48" s="38"/>
    </row>
    <row r="49">
      <c r="A49" s="65">
        <v>43423.0</v>
      </c>
      <c r="B49" s="19" t="s">
        <v>168</v>
      </c>
      <c r="C49" s="38"/>
      <c r="D49" s="75" t="s">
        <v>591</v>
      </c>
      <c r="E49" s="19" t="s">
        <v>173</v>
      </c>
      <c r="F49" s="19" t="s">
        <v>50</v>
      </c>
      <c r="G49" s="17" t="s">
        <v>589</v>
      </c>
      <c r="H49" s="19" t="s">
        <v>593</v>
      </c>
      <c r="I49" s="19" t="s">
        <v>581</v>
      </c>
      <c r="J49" s="19" t="s">
        <v>45</v>
      </c>
      <c r="K49" s="38"/>
    </row>
    <row r="50" ht="15.0" customHeight="1">
      <c r="A50" s="65">
        <v>43424.0</v>
      </c>
      <c r="B50" s="19" t="s">
        <v>595</v>
      </c>
      <c r="C50" s="38"/>
      <c r="D50" s="42" t="s">
        <v>596</v>
      </c>
      <c r="E50" s="19" t="s">
        <v>597</v>
      </c>
      <c r="F50" s="19" t="s">
        <v>598</v>
      </c>
      <c r="G50" s="17" t="s">
        <v>599</v>
      </c>
      <c r="H50" s="19" t="s">
        <v>600</v>
      </c>
      <c r="I50" s="38"/>
      <c r="J50" s="19" t="s">
        <v>97</v>
      </c>
      <c r="K50" s="38"/>
    </row>
    <row r="51">
      <c r="A51" s="65">
        <v>43424.0</v>
      </c>
      <c r="B51" s="19" t="s">
        <v>602</v>
      </c>
      <c r="C51" s="38"/>
      <c r="D51" s="42" t="s">
        <v>603</v>
      </c>
      <c r="E51" s="19" t="s">
        <v>604</v>
      </c>
      <c r="F51" s="19" t="s">
        <v>606</v>
      </c>
      <c r="G51" s="17" t="s">
        <v>607</v>
      </c>
      <c r="H51" s="19" t="s">
        <v>608</v>
      </c>
      <c r="I51" s="38"/>
      <c r="J51" s="19" t="s">
        <v>609</v>
      </c>
      <c r="K51" s="38"/>
    </row>
    <row r="52">
      <c r="A52" s="65">
        <v>43424.0</v>
      </c>
      <c r="B52" s="19" t="s">
        <v>610</v>
      </c>
      <c r="C52" s="38"/>
      <c r="D52" s="75" t="s">
        <v>611</v>
      </c>
      <c r="E52" s="19" t="s">
        <v>612</v>
      </c>
      <c r="F52" s="19" t="s">
        <v>613</v>
      </c>
      <c r="G52" s="17" t="s">
        <v>575</v>
      </c>
      <c r="H52" s="38"/>
      <c r="I52" s="38"/>
      <c r="J52" s="19" t="s">
        <v>32</v>
      </c>
      <c r="K52" s="38"/>
    </row>
    <row r="53">
      <c r="A53" s="65">
        <v>43424.0</v>
      </c>
      <c r="B53" s="91" t="s">
        <v>614</v>
      </c>
      <c r="C53" s="38"/>
      <c r="D53" s="42" t="s">
        <v>615</v>
      </c>
      <c r="E53" s="19" t="s">
        <v>616</v>
      </c>
      <c r="F53" s="19" t="s">
        <v>618</v>
      </c>
      <c r="G53" s="38"/>
      <c r="H53" s="38"/>
      <c r="I53" s="38"/>
      <c r="J53" s="19" t="s">
        <v>231</v>
      </c>
      <c r="K53" s="38"/>
    </row>
    <row r="54">
      <c r="A54" s="65">
        <v>43426.0</v>
      </c>
      <c r="B54" s="19" t="s">
        <v>621</v>
      </c>
      <c r="C54" s="38"/>
      <c r="D54" s="42" t="s">
        <v>622</v>
      </c>
      <c r="E54" s="19" t="s">
        <v>624</v>
      </c>
      <c r="F54" s="17" t="s">
        <v>26</v>
      </c>
      <c r="G54" s="119" t="s">
        <v>625</v>
      </c>
      <c r="H54" s="38"/>
      <c r="I54" s="38"/>
      <c r="J54" s="19" t="s">
        <v>231</v>
      </c>
      <c r="K54" s="38"/>
    </row>
    <row r="55">
      <c r="A55" s="65">
        <v>43428.0</v>
      </c>
      <c r="B55" s="19" t="s">
        <v>630</v>
      </c>
      <c r="C55" s="38"/>
      <c r="D55" s="42" t="s">
        <v>631</v>
      </c>
      <c r="E55" s="36" t="s">
        <v>632</v>
      </c>
      <c r="F55" s="17" t="s">
        <v>26</v>
      </c>
      <c r="G55" s="119" t="s">
        <v>634</v>
      </c>
      <c r="H55" s="19" t="s">
        <v>636</v>
      </c>
      <c r="I55" s="38"/>
      <c r="J55" s="123" t="s">
        <v>637</v>
      </c>
      <c r="K55" s="38"/>
    </row>
    <row r="56">
      <c r="A56" s="65">
        <v>43428.0</v>
      </c>
      <c r="B56" s="19" t="s">
        <v>639</v>
      </c>
      <c r="C56" s="38"/>
      <c r="D56" s="42" t="s">
        <v>641</v>
      </c>
      <c r="E56" s="36" t="s">
        <v>642</v>
      </c>
      <c r="F56" s="17" t="s">
        <v>26</v>
      </c>
      <c r="G56" s="119" t="s">
        <v>504</v>
      </c>
      <c r="H56" s="19" t="s">
        <v>507</v>
      </c>
      <c r="I56" s="38"/>
      <c r="J56" s="19" t="s">
        <v>45</v>
      </c>
      <c r="K56" s="38"/>
    </row>
    <row r="57">
      <c r="A57" s="65">
        <v>43428.0</v>
      </c>
      <c r="B57" s="19" t="s">
        <v>644</v>
      </c>
      <c r="C57" s="38"/>
      <c r="D57" s="42" t="s">
        <v>647</v>
      </c>
      <c r="E57" s="38"/>
      <c r="F57" s="36" t="s">
        <v>431</v>
      </c>
      <c r="G57" s="119" t="s">
        <v>648</v>
      </c>
      <c r="H57" s="19" t="s">
        <v>650</v>
      </c>
      <c r="I57" s="38"/>
      <c r="J57" s="19" t="s">
        <v>492</v>
      </c>
      <c r="K57" s="38"/>
    </row>
    <row r="58">
      <c r="A58" s="65">
        <v>43428.0</v>
      </c>
      <c r="B58" s="19" t="s">
        <v>168</v>
      </c>
      <c r="C58" s="38"/>
      <c r="D58" s="75" t="s">
        <v>591</v>
      </c>
      <c r="E58" s="19" t="s">
        <v>173</v>
      </c>
      <c r="F58" s="17" t="s">
        <v>26</v>
      </c>
      <c r="G58" s="119" t="s">
        <v>589</v>
      </c>
      <c r="H58" s="19" t="s">
        <v>593</v>
      </c>
      <c r="I58" s="38"/>
      <c r="J58" s="19" t="s">
        <v>45</v>
      </c>
      <c r="K58" s="38"/>
    </row>
    <row r="59">
      <c r="A59" s="65">
        <v>43428.0</v>
      </c>
      <c r="B59" s="19" t="s">
        <v>654</v>
      </c>
      <c r="C59" s="38"/>
      <c r="D59" s="42" t="s">
        <v>657</v>
      </c>
      <c r="E59" s="36" t="s">
        <v>659</v>
      </c>
      <c r="F59" s="36" t="s">
        <v>50</v>
      </c>
      <c r="G59" s="19" t="s">
        <v>660</v>
      </c>
      <c r="H59" s="19" t="s">
        <v>661</v>
      </c>
      <c r="I59" s="38"/>
      <c r="J59" s="123" t="s">
        <v>637</v>
      </c>
      <c r="K59" s="38"/>
    </row>
    <row r="60">
      <c r="A60" s="65">
        <v>43428.0</v>
      </c>
      <c r="B60" s="19" t="s">
        <v>663</v>
      </c>
      <c r="C60" s="38"/>
      <c r="D60" s="42" t="s">
        <v>664</v>
      </c>
      <c r="E60" s="19" t="s">
        <v>665</v>
      </c>
      <c r="F60" s="19" t="s">
        <v>667</v>
      </c>
      <c r="G60" s="119" t="s">
        <v>668</v>
      </c>
      <c r="H60" s="19" t="s">
        <v>574</v>
      </c>
      <c r="I60" s="38"/>
      <c r="J60" s="19" t="s">
        <v>32</v>
      </c>
      <c r="K60" s="38"/>
    </row>
    <row r="61">
      <c r="A61" s="65">
        <v>43429.0</v>
      </c>
      <c r="B61" s="91" t="s">
        <v>670</v>
      </c>
      <c r="C61" s="38"/>
      <c r="D61" s="124" t="s">
        <v>672</v>
      </c>
      <c r="E61" s="19" t="s">
        <v>673</v>
      </c>
      <c r="F61" s="17" t="s">
        <v>26</v>
      </c>
      <c r="G61" s="119" t="s">
        <v>674</v>
      </c>
      <c r="H61" s="38"/>
      <c r="I61" s="38"/>
      <c r="J61" s="19" t="s">
        <v>675</v>
      </c>
      <c r="K61" s="38"/>
    </row>
    <row r="62">
      <c r="A62" s="65">
        <v>43429.0</v>
      </c>
      <c r="B62" s="19" t="s">
        <v>676</v>
      </c>
      <c r="C62" s="38"/>
      <c r="D62" s="42" t="s">
        <v>677</v>
      </c>
      <c r="E62" s="36" t="s">
        <v>678</v>
      </c>
      <c r="F62" s="17" t="s">
        <v>26</v>
      </c>
      <c r="H62" s="19" t="s">
        <v>300</v>
      </c>
      <c r="I62" s="38"/>
      <c r="J62" s="19" t="s">
        <v>32</v>
      </c>
      <c r="K62" s="38"/>
    </row>
    <row r="63">
      <c r="A63" s="65">
        <v>43429.0</v>
      </c>
      <c r="B63" s="19" t="s">
        <v>680</v>
      </c>
      <c r="C63" s="38"/>
      <c r="D63" s="42" t="s">
        <v>682</v>
      </c>
      <c r="E63" s="36" t="s">
        <v>683</v>
      </c>
      <c r="F63" s="17" t="s">
        <v>26</v>
      </c>
      <c r="G63" s="119" t="s">
        <v>684</v>
      </c>
      <c r="H63" s="19" t="s">
        <v>685</v>
      </c>
      <c r="I63" s="38"/>
      <c r="J63" s="19" t="s">
        <v>32</v>
      </c>
      <c r="K63" s="38"/>
    </row>
    <row r="64">
      <c r="A64" s="65">
        <v>43429.0</v>
      </c>
      <c r="B64" s="19" t="s">
        <v>686</v>
      </c>
      <c r="C64" s="38"/>
      <c r="D64" s="42" t="s">
        <v>688</v>
      </c>
      <c r="E64" s="36" t="s">
        <v>689</v>
      </c>
      <c r="F64" s="36" t="s">
        <v>50</v>
      </c>
      <c r="G64" s="19" t="s">
        <v>690</v>
      </c>
      <c r="H64" s="38"/>
      <c r="I64" s="119" t="s">
        <v>691</v>
      </c>
      <c r="J64" s="19" t="s">
        <v>97</v>
      </c>
      <c r="K64" s="38"/>
    </row>
    <row r="65">
      <c r="A65" s="65">
        <v>43429.0</v>
      </c>
      <c r="B65" s="19" t="s">
        <v>20</v>
      </c>
      <c r="C65" s="38"/>
      <c r="D65" s="42" t="s">
        <v>693</v>
      </c>
      <c r="E65" s="36" t="s">
        <v>694</v>
      </c>
      <c r="F65" s="36" t="s">
        <v>50</v>
      </c>
      <c r="G65" s="119" t="s">
        <v>696</v>
      </c>
      <c r="H65" s="19" t="s">
        <v>697</v>
      </c>
      <c r="I65" s="19" t="s">
        <v>698</v>
      </c>
      <c r="J65" s="19" t="s">
        <v>32</v>
      </c>
      <c r="K65" s="38"/>
    </row>
    <row r="66">
      <c r="A66" s="65">
        <v>43429.0</v>
      </c>
      <c r="B66" s="36" t="s">
        <v>699</v>
      </c>
      <c r="C66" s="38"/>
      <c r="D66" s="126" t="s">
        <v>701</v>
      </c>
      <c r="E66" s="36" t="s">
        <v>702</v>
      </c>
      <c r="F66" s="36" t="s">
        <v>50</v>
      </c>
      <c r="G66" s="119" t="s">
        <v>703</v>
      </c>
      <c r="H66" s="19" t="s">
        <v>704</v>
      </c>
      <c r="I66" s="19" t="s">
        <v>705</v>
      </c>
      <c r="J66" s="36" t="s">
        <v>706</v>
      </c>
      <c r="K66" s="38"/>
    </row>
    <row r="67">
      <c r="A67" s="65">
        <v>43430.0</v>
      </c>
      <c r="B67" s="36" t="s">
        <v>707</v>
      </c>
      <c r="C67" s="38"/>
      <c r="D67" s="42" t="s">
        <v>708</v>
      </c>
      <c r="E67" s="36" t="s">
        <v>709</v>
      </c>
      <c r="F67" s="17" t="s">
        <v>26</v>
      </c>
      <c r="G67" s="36" t="s">
        <v>710</v>
      </c>
      <c r="H67" s="19" t="s">
        <v>574</v>
      </c>
      <c r="I67" s="38"/>
      <c r="J67" s="19" t="s">
        <v>32</v>
      </c>
      <c r="K67" s="38"/>
    </row>
    <row r="68">
      <c r="A68" s="65">
        <v>43430.0</v>
      </c>
      <c r="B68" s="19" t="s">
        <v>20</v>
      </c>
      <c r="C68" s="38"/>
      <c r="D68" s="42" t="s">
        <v>711</v>
      </c>
      <c r="E68" s="36" t="s">
        <v>712</v>
      </c>
      <c r="F68" s="36" t="s">
        <v>50</v>
      </c>
      <c r="G68" s="36" t="s">
        <v>713</v>
      </c>
      <c r="H68" s="19" t="s">
        <v>714</v>
      </c>
      <c r="I68" s="38"/>
      <c r="J68" s="19" t="s">
        <v>715</v>
      </c>
      <c r="K68" s="38"/>
    </row>
    <row r="69">
      <c r="A69" s="65">
        <v>43430.0</v>
      </c>
      <c r="B69" s="36" t="s">
        <v>716</v>
      </c>
      <c r="C69" s="38"/>
      <c r="D69" s="42" t="s">
        <v>717</v>
      </c>
      <c r="E69" s="36" t="s">
        <v>709</v>
      </c>
      <c r="F69" s="36" t="s">
        <v>613</v>
      </c>
      <c r="G69" s="119" t="s">
        <v>668</v>
      </c>
      <c r="H69" s="19" t="s">
        <v>574</v>
      </c>
      <c r="I69" s="38"/>
      <c r="J69" s="19" t="s">
        <v>32</v>
      </c>
      <c r="K69" s="38"/>
    </row>
    <row r="70">
      <c r="A70" s="65">
        <v>43430.0</v>
      </c>
      <c r="B70" s="36" t="s">
        <v>718</v>
      </c>
      <c r="C70" s="38"/>
      <c r="D70" s="42" t="s">
        <v>719</v>
      </c>
      <c r="E70" s="36" t="s">
        <v>720</v>
      </c>
      <c r="F70" s="36" t="s">
        <v>50</v>
      </c>
      <c r="G70" s="36" t="s">
        <v>722</v>
      </c>
      <c r="H70" s="38"/>
      <c r="I70" s="38"/>
      <c r="J70" s="19" t="s">
        <v>45</v>
      </c>
      <c r="K70" s="38"/>
    </row>
    <row r="71">
      <c r="A71" s="65">
        <v>43430.0</v>
      </c>
      <c r="B71" s="19" t="s">
        <v>609</v>
      </c>
      <c r="C71" s="38"/>
      <c r="D71" s="75" t="s">
        <v>724</v>
      </c>
      <c r="E71" s="36" t="s">
        <v>725</v>
      </c>
      <c r="F71" s="36" t="s">
        <v>726</v>
      </c>
      <c r="G71" s="36" t="s">
        <v>727</v>
      </c>
      <c r="H71" s="19" t="s">
        <v>728</v>
      </c>
      <c r="I71" s="38"/>
      <c r="J71" s="19" t="s">
        <v>730</v>
      </c>
      <c r="K71" s="38"/>
    </row>
    <row r="72">
      <c r="A72" s="65">
        <v>43431.0</v>
      </c>
      <c r="B72" s="36" t="s">
        <v>732</v>
      </c>
      <c r="C72" s="38"/>
      <c r="D72" s="42" t="s">
        <v>733</v>
      </c>
      <c r="E72" s="36" t="s">
        <v>734</v>
      </c>
      <c r="F72" s="36" t="s">
        <v>50</v>
      </c>
      <c r="G72" s="36" t="s">
        <v>735</v>
      </c>
      <c r="H72" s="19" t="s">
        <v>736</v>
      </c>
      <c r="I72" s="19" t="s">
        <v>737</v>
      </c>
      <c r="J72" s="19" t="s">
        <v>32</v>
      </c>
      <c r="K72" s="38"/>
    </row>
    <row r="73">
      <c r="A73" s="65">
        <v>43431.0</v>
      </c>
      <c r="B73" s="36" t="s">
        <v>738</v>
      </c>
      <c r="C73" s="38"/>
      <c r="D73" s="124" t="s">
        <v>740</v>
      </c>
      <c r="E73" s="36" t="s">
        <v>741</v>
      </c>
      <c r="F73" s="17" t="s">
        <v>26</v>
      </c>
      <c r="G73" s="36" t="s">
        <v>742</v>
      </c>
      <c r="H73" s="38"/>
      <c r="I73" s="38"/>
      <c r="J73" s="19" t="s">
        <v>32</v>
      </c>
      <c r="K73" s="38"/>
    </row>
    <row r="74">
      <c r="A74" s="65">
        <v>43431.0</v>
      </c>
      <c r="B74" s="36" t="s">
        <v>744</v>
      </c>
      <c r="C74" s="38"/>
      <c r="D74" s="126" t="s">
        <v>745</v>
      </c>
      <c r="E74" s="38"/>
      <c r="F74" s="36" t="s">
        <v>50</v>
      </c>
      <c r="G74" s="36" t="s">
        <v>747</v>
      </c>
      <c r="H74" s="19" t="s">
        <v>748</v>
      </c>
      <c r="I74" s="38"/>
      <c r="J74" s="19" t="s">
        <v>97</v>
      </c>
      <c r="K74" s="38"/>
    </row>
    <row r="75">
      <c r="A75" s="65">
        <v>43432.0</v>
      </c>
      <c r="B75" s="36" t="s">
        <v>749</v>
      </c>
      <c r="C75" s="38"/>
      <c r="D75" s="75" t="s">
        <v>750</v>
      </c>
      <c r="E75" s="19" t="s">
        <v>751</v>
      </c>
      <c r="F75" s="17" t="s">
        <v>26</v>
      </c>
      <c r="G75" s="36" t="s">
        <v>752</v>
      </c>
      <c r="H75" s="19" t="s">
        <v>507</v>
      </c>
      <c r="I75" s="38"/>
      <c r="J75" s="19" t="s">
        <v>54</v>
      </c>
      <c r="K75" s="38"/>
    </row>
    <row r="76">
      <c r="A76" s="65">
        <v>43432.0</v>
      </c>
      <c r="B76" s="19" t="s">
        <v>753</v>
      </c>
      <c r="C76" s="38"/>
      <c r="D76" s="42" t="s">
        <v>754</v>
      </c>
      <c r="E76" s="19" t="s">
        <v>755</v>
      </c>
      <c r="F76" s="17" t="s">
        <v>26</v>
      </c>
      <c r="G76" s="119" t="s">
        <v>756</v>
      </c>
      <c r="H76" s="19" t="s">
        <v>251</v>
      </c>
      <c r="I76" s="38"/>
      <c r="J76" s="19" t="s">
        <v>32</v>
      </c>
      <c r="K76" s="38"/>
    </row>
    <row r="77">
      <c r="A77" s="65">
        <v>43432.0</v>
      </c>
      <c r="B77" s="19" t="s">
        <v>759</v>
      </c>
      <c r="C77" s="38"/>
      <c r="D77" s="42" t="s">
        <v>760</v>
      </c>
      <c r="E77" s="19" t="s">
        <v>761</v>
      </c>
      <c r="F77" s="17" t="s">
        <v>26</v>
      </c>
      <c r="G77" s="119" t="s">
        <v>756</v>
      </c>
      <c r="H77" s="19" t="s">
        <v>251</v>
      </c>
      <c r="I77" s="38"/>
      <c r="J77" s="19" t="s">
        <v>32</v>
      </c>
      <c r="K77" s="38"/>
    </row>
    <row r="78">
      <c r="A78" s="65">
        <v>43432.0</v>
      </c>
      <c r="B78" s="117" t="s">
        <v>765</v>
      </c>
      <c r="C78" s="38"/>
      <c r="D78" s="129" t="s">
        <v>767</v>
      </c>
      <c r="E78" s="117" t="s">
        <v>769</v>
      </c>
      <c r="F78" s="36" t="s">
        <v>770</v>
      </c>
      <c r="H78" s="38"/>
      <c r="I78" s="38"/>
      <c r="J78" s="38"/>
      <c r="K78" s="38"/>
    </row>
    <row r="79">
      <c r="A79" s="65">
        <v>43432.0</v>
      </c>
      <c r="B79" s="19" t="s">
        <v>772</v>
      </c>
      <c r="C79" s="38"/>
      <c r="D79" s="42" t="s">
        <v>773</v>
      </c>
      <c r="E79" s="38"/>
      <c r="G79" s="36" t="s">
        <v>252</v>
      </c>
      <c r="H79" s="38"/>
      <c r="I79" s="19" t="s">
        <v>775</v>
      </c>
      <c r="J79" s="19" t="s">
        <v>97</v>
      </c>
      <c r="K79" s="38"/>
    </row>
    <row r="80">
      <c r="A80" s="65">
        <v>43433.0</v>
      </c>
      <c r="B80" s="19" t="s">
        <v>181</v>
      </c>
      <c r="C80" s="38"/>
      <c r="D80" s="42" t="s">
        <v>182</v>
      </c>
      <c r="E80" s="19" t="s">
        <v>183</v>
      </c>
      <c r="F80" s="36" t="s">
        <v>50</v>
      </c>
      <c r="G80" s="117" t="s">
        <v>205</v>
      </c>
      <c r="H80" s="19" t="s">
        <v>53</v>
      </c>
      <c r="I80" s="38"/>
      <c r="J80" s="19" t="s">
        <v>54</v>
      </c>
      <c r="K80" s="38"/>
    </row>
    <row r="81">
      <c r="A81" s="65">
        <v>43433.0</v>
      </c>
      <c r="B81" s="36" t="s">
        <v>777</v>
      </c>
      <c r="C81" s="38"/>
      <c r="D81" s="131">
        <v>9.71585859002E11</v>
      </c>
      <c r="E81" s="36" t="s">
        <v>780</v>
      </c>
      <c r="F81" s="17" t="s">
        <v>26</v>
      </c>
      <c r="G81" s="36" t="s">
        <v>205</v>
      </c>
      <c r="H81" s="38"/>
      <c r="I81" s="38"/>
      <c r="J81" s="19" t="s">
        <v>54</v>
      </c>
      <c r="K81" s="38"/>
    </row>
    <row r="82">
      <c r="A82" s="65">
        <v>43433.0</v>
      </c>
      <c r="B82" s="36" t="s">
        <v>20</v>
      </c>
      <c r="C82" s="38"/>
      <c r="D82" s="75" t="s">
        <v>782</v>
      </c>
      <c r="E82" s="36" t="s">
        <v>783</v>
      </c>
      <c r="F82" s="36" t="s">
        <v>50</v>
      </c>
      <c r="G82" s="36" t="s">
        <v>784</v>
      </c>
      <c r="H82" s="36" t="s">
        <v>323</v>
      </c>
      <c r="I82" s="91" t="s">
        <v>785</v>
      </c>
      <c r="J82" s="19" t="s">
        <v>54</v>
      </c>
      <c r="K82" s="38"/>
    </row>
    <row r="83">
      <c r="A83" s="65">
        <v>43433.0</v>
      </c>
      <c r="B83" s="36" t="s">
        <v>20</v>
      </c>
      <c r="C83" s="38"/>
      <c r="D83" s="42" t="s">
        <v>787</v>
      </c>
      <c r="E83" s="36" t="s">
        <v>788</v>
      </c>
      <c r="F83" s="36" t="s">
        <v>50</v>
      </c>
      <c r="G83" s="36" t="s">
        <v>789</v>
      </c>
      <c r="H83" s="19" t="s">
        <v>790</v>
      </c>
      <c r="I83" s="19" t="s">
        <v>791</v>
      </c>
      <c r="J83" s="19" t="s">
        <v>32</v>
      </c>
      <c r="K83" s="38"/>
    </row>
    <row r="84">
      <c r="A84" s="65">
        <v>43433.0</v>
      </c>
      <c r="B84" s="36" t="s">
        <v>792</v>
      </c>
      <c r="C84" s="38"/>
      <c r="D84" s="124" t="s">
        <v>793</v>
      </c>
      <c r="E84" s="36" t="s">
        <v>794</v>
      </c>
      <c r="F84" s="36" t="s">
        <v>50</v>
      </c>
      <c r="G84" s="36" t="s">
        <v>696</v>
      </c>
      <c r="H84" s="19" t="s">
        <v>697</v>
      </c>
      <c r="I84" s="19" t="s">
        <v>795</v>
      </c>
      <c r="J84" s="19" t="s">
        <v>32</v>
      </c>
      <c r="K84" s="38"/>
    </row>
    <row r="85">
      <c r="A85" s="65">
        <v>43433.0</v>
      </c>
      <c r="B85" s="36" t="s">
        <v>797</v>
      </c>
      <c r="C85" s="38"/>
      <c r="D85" s="126" t="s">
        <v>799</v>
      </c>
      <c r="E85" s="36" t="s">
        <v>800</v>
      </c>
      <c r="F85" s="17" t="s">
        <v>26</v>
      </c>
      <c r="G85" s="36" t="s">
        <v>801</v>
      </c>
      <c r="H85" s="19" t="s">
        <v>802</v>
      </c>
      <c r="I85" s="38"/>
      <c r="J85" s="19" t="s">
        <v>803</v>
      </c>
      <c r="K85" s="38"/>
    </row>
    <row r="86">
      <c r="A86" s="65">
        <v>43433.0</v>
      </c>
      <c r="B86" s="36" t="s">
        <v>806</v>
      </c>
      <c r="C86" s="38"/>
      <c r="D86" s="42" t="s">
        <v>807</v>
      </c>
      <c r="E86" s="124" t="s">
        <v>808</v>
      </c>
      <c r="F86" s="17" t="s">
        <v>26</v>
      </c>
      <c r="G86" s="36" t="s">
        <v>205</v>
      </c>
      <c r="H86" s="19" t="s">
        <v>53</v>
      </c>
      <c r="I86" s="38"/>
      <c r="J86" s="19" t="s">
        <v>54</v>
      </c>
      <c r="K86" s="38"/>
    </row>
    <row r="87">
      <c r="A87" s="65">
        <v>43433.0</v>
      </c>
      <c r="B87" s="36" t="s">
        <v>810</v>
      </c>
      <c r="C87" s="38"/>
      <c r="D87" s="42" t="s">
        <v>812</v>
      </c>
      <c r="E87" s="36" t="s">
        <v>813</v>
      </c>
      <c r="F87" s="36" t="s">
        <v>814</v>
      </c>
      <c r="G87" s="36" t="s">
        <v>816</v>
      </c>
      <c r="H87" s="19" t="s">
        <v>818</v>
      </c>
      <c r="J87" s="19" t="s">
        <v>54</v>
      </c>
      <c r="K87" s="38"/>
    </row>
    <row r="88">
      <c r="A88" s="132">
        <v>43424.0</v>
      </c>
      <c r="B88" s="106" t="s">
        <v>195</v>
      </c>
      <c r="C88" s="106"/>
      <c r="D88" s="133" t="s">
        <v>196</v>
      </c>
      <c r="E88" s="106" t="s">
        <v>198</v>
      </c>
      <c r="F88" s="134" t="s">
        <v>26</v>
      </c>
      <c r="G88" s="135" t="s">
        <v>200</v>
      </c>
      <c r="H88" s="106"/>
      <c r="J88" s="106" t="s">
        <v>203</v>
      </c>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row>
    <row r="89">
      <c r="A89" s="38"/>
      <c r="B89" s="38"/>
      <c r="C89" s="38"/>
      <c r="D89" s="38"/>
      <c r="E89" s="38"/>
      <c r="G89" s="38"/>
      <c r="H89" s="38"/>
      <c r="I89" s="38"/>
      <c r="J89" s="38"/>
      <c r="K89" s="38"/>
    </row>
    <row r="90">
      <c r="A90" s="38"/>
      <c r="B90" s="38"/>
      <c r="C90" s="38"/>
      <c r="D90" s="38"/>
      <c r="E90" s="38"/>
      <c r="G90" s="38"/>
      <c r="H90" s="38"/>
      <c r="I90" s="38"/>
      <c r="J90" s="38"/>
      <c r="K90" s="38"/>
    </row>
    <row r="91">
      <c r="A91" s="38"/>
      <c r="B91" s="38"/>
      <c r="C91" s="38"/>
      <c r="D91" s="38"/>
      <c r="E91" s="38"/>
      <c r="G91" s="38"/>
      <c r="H91" s="38"/>
      <c r="I91" s="38"/>
      <c r="J91" s="38"/>
      <c r="K91" s="38"/>
    </row>
    <row r="92">
      <c r="A92" s="38"/>
      <c r="B92" s="38"/>
      <c r="C92" s="38"/>
      <c r="D92" s="38"/>
      <c r="E92" s="38"/>
      <c r="F92" s="19"/>
      <c r="G92" s="38"/>
      <c r="H92" s="38"/>
      <c r="I92" s="38"/>
      <c r="J92" s="38"/>
      <c r="K92" s="38"/>
    </row>
    <row r="93">
      <c r="A93" s="38"/>
      <c r="B93" s="38"/>
      <c r="C93" s="38"/>
      <c r="D93" s="38"/>
      <c r="E93" s="38"/>
      <c r="F93" s="38"/>
      <c r="G93" s="38"/>
      <c r="H93" s="38"/>
      <c r="I93" s="38"/>
      <c r="J93" s="38"/>
      <c r="K93" s="38"/>
    </row>
    <row r="94">
      <c r="A94" s="38"/>
      <c r="B94" s="38"/>
      <c r="C94" s="38"/>
      <c r="D94" s="38"/>
      <c r="E94" s="38"/>
      <c r="F94" s="38"/>
      <c r="G94" s="38"/>
      <c r="H94" s="38"/>
      <c r="I94" s="38"/>
      <c r="J94" s="38"/>
      <c r="K94" s="38"/>
    </row>
    <row r="95">
      <c r="A95" s="38"/>
      <c r="B95" s="38"/>
      <c r="C95" s="38"/>
      <c r="D95" s="38"/>
      <c r="E95" s="38"/>
      <c r="F95" s="38"/>
      <c r="G95" s="38"/>
      <c r="H95" s="38"/>
      <c r="I95" s="38"/>
      <c r="J95" s="38"/>
      <c r="K95" s="38"/>
    </row>
    <row r="96">
      <c r="A96" s="38"/>
      <c r="B96" s="38"/>
      <c r="C96" s="38"/>
      <c r="D96" s="38"/>
      <c r="E96" s="38"/>
      <c r="F96" s="38"/>
      <c r="G96" s="38"/>
      <c r="H96" s="38"/>
      <c r="I96" s="38"/>
      <c r="J96" s="38"/>
      <c r="K96" s="38"/>
    </row>
    <row r="97">
      <c r="A97" s="38"/>
      <c r="B97" s="38"/>
      <c r="C97" s="38"/>
      <c r="D97" s="38"/>
      <c r="E97" s="38"/>
      <c r="F97" s="38"/>
      <c r="G97" s="38"/>
      <c r="H97" s="38"/>
      <c r="I97" s="38"/>
      <c r="J97" s="38"/>
      <c r="K97" s="38"/>
    </row>
    <row r="98">
      <c r="A98" s="38"/>
      <c r="B98" s="38"/>
      <c r="C98" s="38"/>
      <c r="D98" s="38"/>
      <c r="E98" s="38"/>
      <c r="F98" s="38"/>
      <c r="G98" s="38"/>
      <c r="H98" s="38"/>
      <c r="I98" s="38"/>
      <c r="J98" s="38"/>
      <c r="K98" s="38"/>
    </row>
    <row r="99">
      <c r="A99" s="38"/>
      <c r="B99" s="38"/>
      <c r="C99" s="38"/>
      <c r="D99" s="38"/>
      <c r="E99" s="38"/>
      <c r="F99" s="38"/>
      <c r="G99" s="38"/>
      <c r="H99" s="38"/>
      <c r="I99" s="38"/>
      <c r="J99" s="38"/>
      <c r="K99" s="38"/>
    </row>
    <row r="100">
      <c r="A100" s="38"/>
      <c r="B100" s="38"/>
      <c r="C100" s="38"/>
      <c r="D100" s="38"/>
      <c r="E100" s="38"/>
      <c r="F100" s="38"/>
      <c r="G100" s="38"/>
      <c r="H100" s="38"/>
      <c r="I100" s="38"/>
      <c r="J100" s="38"/>
      <c r="K100" s="38"/>
    </row>
    <row r="101">
      <c r="A101" s="38"/>
      <c r="B101" s="38"/>
      <c r="C101" s="38"/>
      <c r="D101" s="38"/>
      <c r="E101" s="38"/>
      <c r="F101" s="38"/>
      <c r="G101" s="38"/>
      <c r="H101" s="38"/>
      <c r="I101" s="38"/>
      <c r="J101" s="38"/>
      <c r="K101" s="38"/>
    </row>
    <row r="102">
      <c r="A102" s="38"/>
      <c r="B102" s="38"/>
      <c r="C102" s="38"/>
      <c r="D102" s="38"/>
      <c r="E102" s="38"/>
      <c r="F102" s="38"/>
      <c r="G102" s="38"/>
      <c r="H102" s="38"/>
      <c r="I102" s="38"/>
      <c r="J102" s="38"/>
      <c r="K102" s="38"/>
    </row>
    <row r="103">
      <c r="A103" s="38"/>
      <c r="B103" s="38"/>
      <c r="C103" s="38"/>
      <c r="D103" s="38"/>
      <c r="E103" s="38"/>
      <c r="F103" s="38"/>
      <c r="G103" s="38"/>
      <c r="H103" s="38"/>
      <c r="I103" s="38"/>
      <c r="J103" s="38"/>
      <c r="K103" s="38"/>
    </row>
    <row r="104">
      <c r="A104" s="38"/>
      <c r="B104" s="38"/>
      <c r="C104" s="38"/>
      <c r="D104" s="38"/>
      <c r="E104" s="38"/>
      <c r="F104" s="38"/>
      <c r="G104" s="38"/>
      <c r="H104" s="38"/>
      <c r="I104" s="38"/>
      <c r="J104" s="38"/>
      <c r="K104" s="38"/>
    </row>
    <row r="105">
      <c r="A105" s="38"/>
      <c r="B105" s="38"/>
      <c r="C105" s="38"/>
      <c r="D105" s="38"/>
      <c r="E105" s="38"/>
      <c r="F105" s="38"/>
      <c r="G105" s="38"/>
      <c r="H105" s="38"/>
      <c r="I105" s="38"/>
      <c r="J105" s="38"/>
      <c r="K105" s="38"/>
    </row>
    <row r="106">
      <c r="A106" s="38"/>
      <c r="B106" s="38"/>
      <c r="C106" s="38"/>
      <c r="D106" s="38"/>
      <c r="E106" s="38"/>
      <c r="F106" s="38"/>
      <c r="G106" s="38"/>
      <c r="H106" s="38"/>
      <c r="I106" s="38"/>
      <c r="J106" s="38"/>
      <c r="K106" s="38"/>
    </row>
    <row r="107">
      <c r="A107" s="38"/>
      <c r="B107" s="38"/>
      <c r="C107" s="38"/>
      <c r="D107" s="38"/>
      <c r="E107" s="38"/>
      <c r="F107" s="38"/>
      <c r="G107" s="38"/>
      <c r="H107" s="38"/>
      <c r="I107" s="38"/>
      <c r="J107" s="38"/>
      <c r="K107" s="38"/>
    </row>
    <row r="108">
      <c r="A108" s="38"/>
      <c r="B108" s="38"/>
      <c r="C108" s="38"/>
      <c r="D108" s="38"/>
      <c r="E108" s="38"/>
      <c r="F108" s="38"/>
      <c r="G108" s="38"/>
      <c r="H108" s="38"/>
      <c r="I108" s="38"/>
      <c r="J108" s="38"/>
      <c r="K108" s="38"/>
    </row>
    <row r="109">
      <c r="A109" s="38"/>
      <c r="B109" s="38"/>
      <c r="C109" s="38"/>
      <c r="D109" s="38"/>
      <c r="E109" s="38"/>
      <c r="F109" s="38"/>
      <c r="G109" s="38"/>
      <c r="H109" s="38"/>
      <c r="I109" s="38"/>
      <c r="J109" s="38"/>
      <c r="K109" s="38"/>
    </row>
    <row r="110">
      <c r="A110" s="38"/>
      <c r="B110" s="38"/>
      <c r="C110" s="38"/>
      <c r="D110" s="38"/>
      <c r="E110" s="38"/>
      <c r="F110" s="38"/>
      <c r="G110" s="38"/>
      <c r="H110" s="38"/>
      <c r="I110" s="38"/>
      <c r="J110" s="38"/>
      <c r="K110" s="38"/>
    </row>
    <row r="111">
      <c r="A111" s="38"/>
      <c r="B111" s="38"/>
      <c r="C111" s="38"/>
      <c r="D111" s="38"/>
      <c r="E111" s="38"/>
      <c r="F111" s="38"/>
      <c r="G111" s="38"/>
      <c r="H111" s="38"/>
      <c r="I111" s="38"/>
      <c r="J111" s="38"/>
      <c r="K111" s="38"/>
    </row>
    <row r="112">
      <c r="A112" s="38"/>
      <c r="B112" s="38"/>
      <c r="C112" s="38"/>
      <c r="D112" s="38"/>
      <c r="E112" s="38"/>
      <c r="F112" s="38"/>
      <c r="G112" s="38"/>
      <c r="H112" s="38"/>
      <c r="I112" s="38"/>
      <c r="J112" s="38"/>
      <c r="K112" s="38"/>
    </row>
    <row r="113">
      <c r="A113" s="38"/>
      <c r="B113" s="38"/>
      <c r="C113" s="38"/>
      <c r="D113" s="38"/>
      <c r="E113" s="38"/>
      <c r="F113" s="38"/>
      <c r="G113" s="38"/>
      <c r="H113" s="38"/>
      <c r="I113" s="38"/>
      <c r="J113" s="38"/>
      <c r="K113" s="38"/>
    </row>
    <row r="114">
      <c r="A114" s="38"/>
      <c r="B114" s="38"/>
      <c r="C114" s="38"/>
      <c r="D114" s="38"/>
      <c r="E114" s="38"/>
      <c r="F114" s="38"/>
      <c r="G114" s="38"/>
      <c r="H114" s="38"/>
      <c r="I114" s="38"/>
      <c r="J114" s="38"/>
      <c r="K114" s="38"/>
    </row>
    <row r="115">
      <c r="A115" s="38"/>
      <c r="B115" s="38"/>
      <c r="C115" s="38"/>
      <c r="D115" s="38"/>
      <c r="E115" s="38"/>
      <c r="F115" s="38"/>
      <c r="G115" s="38"/>
      <c r="H115" s="38"/>
      <c r="I115" s="38"/>
      <c r="J115" s="38"/>
      <c r="K115" s="38"/>
    </row>
    <row r="116">
      <c r="A116" s="38"/>
      <c r="B116" s="38"/>
      <c r="C116" s="38"/>
      <c r="D116" s="38"/>
      <c r="E116" s="38"/>
      <c r="F116" s="38"/>
      <c r="G116" s="38"/>
      <c r="H116" s="38"/>
      <c r="I116" s="38"/>
      <c r="J116" s="38"/>
      <c r="K116" s="38"/>
    </row>
    <row r="117">
      <c r="A117" s="38"/>
      <c r="B117" s="38"/>
      <c r="C117" s="38"/>
      <c r="D117" s="38"/>
      <c r="E117" s="38"/>
      <c r="F117" s="38"/>
      <c r="G117" s="38"/>
      <c r="H117" s="38"/>
      <c r="I117" s="38"/>
      <c r="J117" s="38"/>
      <c r="K117" s="38"/>
    </row>
    <row r="118">
      <c r="A118" s="38"/>
      <c r="B118" s="38"/>
      <c r="C118" s="38"/>
      <c r="D118" s="38"/>
      <c r="E118" s="38"/>
      <c r="F118" s="38"/>
      <c r="G118" s="38"/>
      <c r="H118" s="38"/>
      <c r="I118" s="38"/>
      <c r="J118" s="38"/>
      <c r="K118" s="38"/>
    </row>
    <row r="119">
      <c r="A119" s="38"/>
      <c r="B119" s="38"/>
      <c r="C119" s="38"/>
      <c r="D119" s="38"/>
      <c r="E119" s="38"/>
      <c r="F119" s="38"/>
      <c r="G119" s="38"/>
      <c r="H119" s="38"/>
      <c r="I119" s="38"/>
      <c r="J119" s="38"/>
      <c r="K119" s="38"/>
    </row>
    <row r="120">
      <c r="A120" s="38"/>
      <c r="B120" s="38"/>
      <c r="C120" s="38"/>
      <c r="D120" s="38"/>
      <c r="E120" s="38"/>
      <c r="F120" s="38"/>
      <c r="G120" s="38"/>
      <c r="H120" s="38"/>
      <c r="I120" s="38"/>
      <c r="J120" s="38"/>
      <c r="K120" s="38"/>
    </row>
    <row r="121">
      <c r="A121" s="38"/>
      <c r="B121" s="38"/>
      <c r="C121" s="38"/>
      <c r="D121" s="38"/>
      <c r="E121" s="38"/>
      <c r="F121" s="38"/>
      <c r="G121" s="38"/>
      <c r="H121" s="38"/>
      <c r="I121" s="38"/>
      <c r="J121" s="38"/>
      <c r="K121" s="38"/>
    </row>
    <row r="122">
      <c r="A122" s="38"/>
      <c r="B122" s="38"/>
      <c r="C122" s="38"/>
      <c r="D122" s="38"/>
      <c r="E122" s="38"/>
      <c r="F122" s="38"/>
      <c r="G122" s="38"/>
      <c r="H122" s="38"/>
      <c r="I122" s="38"/>
      <c r="J122" s="38"/>
      <c r="K122" s="38"/>
    </row>
    <row r="123">
      <c r="A123" s="38"/>
      <c r="B123" s="38"/>
      <c r="C123" s="38"/>
      <c r="D123" s="38"/>
      <c r="E123" s="38"/>
      <c r="F123" s="38"/>
      <c r="G123" s="38"/>
      <c r="H123" s="38"/>
      <c r="I123" s="38"/>
      <c r="J123" s="38"/>
      <c r="K123" s="38"/>
    </row>
    <row r="124">
      <c r="A124" s="38"/>
      <c r="B124" s="38"/>
      <c r="C124" s="38"/>
      <c r="D124" s="38"/>
      <c r="E124" s="38"/>
      <c r="F124" s="38"/>
      <c r="G124" s="38"/>
      <c r="H124" s="38"/>
      <c r="I124" s="38"/>
      <c r="J124" s="38"/>
      <c r="K124" s="38"/>
    </row>
    <row r="125">
      <c r="A125" s="38"/>
      <c r="B125" s="38"/>
      <c r="C125" s="38"/>
      <c r="D125" s="38"/>
      <c r="E125" s="38"/>
      <c r="F125" s="38"/>
      <c r="G125" s="38"/>
      <c r="H125" s="38"/>
      <c r="I125" s="38"/>
      <c r="J125" s="38"/>
      <c r="K125" s="38"/>
    </row>
    <row r="126">
      <c r="A126" s="38"/>
      <c r="B126" s="38"/>
      <c r="C126" s="38"/>
      <c r="D126" s="38"/>
      <c r="E126" s="38"/>
      <c r="F126" s="38"/>
      <c r="G126" s="38"/>
      <c r="H126" s="38"/>
      <c r="I126" s="38"/>
      <c r="J126" s="38"/>
      <c r="K126" s="38"/>
    </row>
    <row r="127">
      <c r="A127" s="38"/>
      <c r="B127" s="38"/>
      <c r="C127" s="38"/>
      <c r="D127" s="38"/>
      <c r="E127" s="38"/>
      <c r="F127" s="38"/>
      <c r="G127" s="38"/>
      <c r="H127" s="38"/>
      <c r="I127" s="38"/>
      <c r="J127" s="38"/>
      <c r="K127" s="38"/>
    </row>
    <row r="128">
      <c r="A128" s="38"/>
      <c r="B128" s="38"/>
      <c r="C128" s="38"/>
      <c r="D128" s="38"/>
      <c r="E128" s="38"/>
      <c r="F128" s="38"/>
      <c r="G128" s="38"/>
      <c r="H128" s="38"/>
      <c r="I128" s="38"/>
      <c r="J128" s="38"/>
      <c r="K128" s="38"/>
    </row>
    <row r="129">
      <c r="A129" s="38"/>
      <c r="B129" s="38"/>
      <c r="C129" s="38"/>
      <c r="D129" s="38"/>
      <c r="E129" s="38"/>
      <c r="F129" s="38"/>
      <c r="G129" s="38"/>
      <c r="H129" s="38"/>
      <c r="I129" s="38"/>
      <c r="J129" s="38"/>
      <c r="K129" s="38"/>
    </row>
    <row r="130">
      <c r="A130" s="38"/>
      <c r="B130" s="38"/>
      <c r="C130" s="38"/>
      <c r="D130" s="38"/>
      <c r="E130" s="38"/>
      <c r="F130" s="38"/>
      <c r="G130" s="38"/>
      <c r="H130" s="38"/>
      <c r="I130" s="38"/>
      <c r="J130" s="38"/>
      <c r="K130" s="38"/>
    </row>
    <row r="131">
      <c r="A131" s="38"/>
      <c r="B131" s="38"/>
      <c r="C131" s="38"/>
      <c r="D131" s="38"/>
      <c r="E131" s="38"/>
      <c r="F131" s="38"/>
      <c r="G131" s="38"/>
      <c r="H131" s="38"/>
      <c r="I131" s="38"/>
      <c r="J131" s="38"/>
      <c r="K131" s="38"/>
    </row>
    <row r="132">
      <c r="A132" s="38"/>
      <c r="B132" s="38"/>
      <c r="C132" s="38"/>
      <c r="D132" s="38"/>
      <c r="E132" s="38"/>
      <c r="F132" s="38"/>
      <c r="G132" s="38"/>
      <c r="H132" s="38"/>
      <c r="I132" s="38"/>
      <c r="J132" s="38"/>
      <c r="K132" s="38"/>
    </row>
    <row r="133">
      <c r="A133" s="38"/>
      <c r="B133" s="38"/>
      <c r="C133" s="38"/>
      <c r="D133" s="38"/>
      <c r="E133" s="38"/>
      <c r="F133" s="38"/>
      <c r="G133" s="38"/>
      <c r="H133" s="38"/>
      <c r="I133" s="38"/>
      <c r="J133" s="38"/>
      <c r="K133" s="38"/>
    </row>
    <row r="134">
      <c r="A134" s="38"/>
      <c r="B134" s="38"/>
      <c r="C134" s="38"/>
      <c r="D134" s="38"/>
      <c r="E134" s="38"/>
      <c r="F134" s="38"/>
      <c r="G134" s="38"/>
      <c r="H134" s="38"/>
      <c r="I134" s="38"/>
      <c r="J134" s="38"/>
      <c r="K134" s="38"/>
    </row>
    <row r="135">
      <c r="A135" s="38"/>
      <c r="B135" s="38"/>
      <c r="C135" s="38"/>
      <c r="D135" s="38"/>
      <c r="E135" s="38"/>
      <c r="F135" s="38"/>
      <c r="G135" s="38"/>
      <c r="H135" s="38"/>
      <c r="I135" s="38"/>
      <c r="J135" s="38"/>
      <c r="K135" s="38"/>
    </row>
    <row r="136">
      <c r="A136" s="38"/>
      <c r="B136" s="38"/>
      <c r="C136" s="38"/>
      <c r="D136" s="38"/>
      <c r="E136" s="38"/>
      <c r="F136" s="38"/>
      <c r="G136" s="38"/>
      <c r="H136" s="38"/>
      <c r="I136" s="38"/>
      <c r="J136" s="38"/>
      <c r="K136" s="38"/>
    </row>
    <row r="137">
      <c r="A137" s="38"/>
      <c r="B137" s="38"/>
      <c r="C137" s="38"/>
      <c r="D137" s="38"/>
      <c r="E137" s="38"/>
      <c r="F137" s="38"/>
      <c r="G137" s="38"/>
      <c r="H137" s="38"/>
      <c r="I137" s="38"/>
      <c r="J137" s="38"/>
      <c r="K137" s="38"/>
    </row>
    <row r="138">
      <c r="A138" s="38"/>
      <c r="B138" s="38"/>
      <c r="C138" s="38"/>
      <c r="D138" s="38"/>
      <c r="E138" s="38"/>
      <c r="F138" s="38"/>
      <c r="G138" s="38"/>
      <c r="H138" s="38"/>
      <c r="I138" s="38"/>
      <c r="J138" s="38"/>
      <c r="K138" s="38"/>
    </row>
    <row r="139">
      <c r="A139" s="38"/>
      <c r="B139" s="38"/>
      <c r="C139" s="38"/>
      <c r="D139" s="38"/>
      <c r="E139" s="38"/>
      <c r="F139" s="38"/>
      <c r="G139" s="38"/>
      <c r="H139" s="38"/>
      <c r="I139" s="38"/>
      <c r="J139" s="38"/>
      <c r="K139" s="38"/>
    </row>
    <row r="140">
      <c r="A140" s="38"/>
      <c r="B140" s="38"/>
      <c r="C140" s="38"/>
      <c r="D140" s="38"/>
      <c r="E140" s="38"/>
      <c r="F140" s="38"/>
      <c r="G140" s="38"/>
      <c r="H140" s="38"/>
      <c r="I140" s="38"/>
      <c r="J140" s="38"/>
      <c r="K140" s="38"/>
    </row>
    <row r="141">
      <c r="A141" s="38"/>
      <c r="B141" s="38"/>
      <c r="C141" s="38"/>
      <c r="D141" s="38"/>
      <c r="E141" s="38"/>
      <c r="F141" s="38"/>
      <c r="G141" s="38"/>
      <c r="H141" s="38"/>
      <c r="I141" s="38"/>
      <c r="J141" s="38"/>
      <c r="K141" s="38"/>
    </row>
    <row r="142">
      <c r="A142" s="38"/>
      <c r="B142" s="38"/>
      <c r="C142" s="38"/>
      <c r="D142" s="38"/>
      <c r="E142" s="38"/>
      <c r="F142" s="38"/>
      <c r="G142" s="38"/>
      <c r="H142" s="38"/>
      <c r="I142" s="38"/>
      <c r="J142" s="38"/>
      <c r="K142" s="38"/>
    </row>
    <row r="143">
      <c r="A143" s="38"/>
      <c r="B143" s="38"/>
      <c r="C143" s="38"/>
      <c r="D143" s="38"/>
      <c r="E143" s="38"/>
      <c r="F143" s="38"/>
      <c r="G143" s="38"/>
      <c r="H143" s="38"/>
      <c r="I143" s="38"/>
      <c r="J143" s="38"/>
      <c r="K143" s="38"/>
    </row>
    <row r="144">
      <c r="A144" s="38"/>
      <c r="B144" s="38"/>
      <c r="C144" s="38"/>
      <c r="D144" s="38"/>
      <c r="E144" s="38"/>
      <c r="F144" s="38"/>
      <c r="G144" s="38"/>
      <c r="H144" s="38"/>
      <c r="I144" s="38"/>
      <c r="J144" s="38"/>
      <c r="K144" s="38"/>
    </row>
    <row r="145">
      <c r="A145" s="38"/>
      <c r="B145" s="38"/>
      <c r="C145" s="38"/>
      <c r="D145" s="38"/>
      <c r="E145" s="38"/>
      <c r="F145" s="38"/>
      <c r="G145" s="38"/>
      <c r="H145" s="38"/>
      <c r="I145" s="38"/>
      <c r="J145" s="38"/>
      <c r="K145" s="38"/>
    </row>
    <row r="146">
      <c r="A146" s="38"/>
      <c r="B146" s="38"/>
      <c r="C146" s="38"/>
      <c r="D146" s="38"/>
      <c r="E146" s="38"/>
      <c r="F146" s="38"/>
      <c r="G146" s="38"/>
      <c r="H146" s="38"/>
      <c r="I146" s="38"/>
      <c r="J146" s="38"/>
      <c r="K146" s="38"/>
    </row>
    <row r="147">
      <c r="A147" s="38"/>
      <c r="B147" s="38"/>
      <c r="C147" s="38"/>
      <c r="D147" s="38"/>
      <c r="E147" s="38"/>
      <c r="F147" s="38"/>
      <c r="G147" s="38"/>
      <c r="H147" s="38"/>
      <c r="I147" s="38"/>
      <c r="J147" s="38"/>
      <c r="K147" s="38"/>
    </row>
    <row r="148">
      <c r="A148" s="38"/>
      <c r="B148" s="38"/>
      <c r="C148" s="38"/>
      <c r="D148" s="38"/>
      <c r="E148" s="38"/>
      <c r="F148" s="38"/>
      <c r="G148" s="38"/>
      <c r="H148" s="38"/>
      <c r="I148" s="38"/>
      <c r="J148" s="38"/>
      <c r="K148" s="38"/>
    </row>
    <row r="149">
      <c r="A149" s="38"/>
      <c r="B149" s="38"/>
      <c r="C149" s="38"/>
      <c r="D149" s="38"/>
      <c r="E149" s="38"/>
      <c r="F149" s="38"/>
      <c r="G149" s="38"/>
      <c r="H149" s="38"/>
      <c r="I149" s="38"/>
      <c r="J149" s="38"/>
      <c r="K149" s="38"/>
    </row>
    <row r="150">
      <c r="A150" s="38"/>
      <c r="B150" s="38"/>
      <c r="C150" s="38"/>
      <c r="D150" s="38"/>
      <c r="E150" s="38"/>
      <c r="F150" s="38"/>
      <c r="G150" s="38"/>
      <c r="H150" s="38"/>
      <c r="I150" s="38"/>
      <c r="J150" s="38"/>
      <c r="K150" s="38"/>
    </row>
    <row r="151">
      <c r="A151" s="38"/>
      <c r="B151" s="38"/>
      <c r="C151" s="38"/>
      <c r="D151" s="38"/>
      <c r="E151" s="38"/>
      <c r="F151" s="38"/>
      <c r="G151" s="38"/>
      <c r="H151" s="38"/>
      <c r="I151" s="38"/>
      <c r="J151" s="38"/>
      <c r="K151" s="38"/>
    </row>
    <row r="152">
      <c r="A152" s="38"/>
      <c r="B152" s="38"/>
      <c r="C152" s="38"/>
      <c r="D152" s="38"/>
      <c r="E152" s="38"/>
      <c r="F152" s="38"/>
      <c r="G152" s="38"/>
      <c r="H152" s="38"/>
      <c r="I152" s="38"/>
      <c r="J152" s="38"/>
      <c r="K152" s="38"/>
    </row>
    <row r="153">
      <c r="A153" s="38"/>
      <c r="B153" s="38"/>
      <c r="C153" s="38"/>
      <c r="D153" s="38"/>
      <c r="E153" s="38"/>
      <c r="F153" s="38"/>
      <c r="G153" s="38"/>
      <c r="H153" s="38"/>
      <c r="I153" s="38"/>
      <c r="J153" s="38"/>
      <c r="K153" s="38"/>
    </row>
    <row r="154">
      <c r="A154" s="38"/>
      <c r="B154" s="38"/>
      <c r="C154" s="38"/>
      <c r="D154" s="38"/>
      <c r="E154" s="38"/>
      <c r="F154" s="38"/>
      <c r="G154" s="38"/>
      <c r="H154" s="38"/>
      <c r="I154" s="38"/>
      <c r="J154" s="38"/>
      <c r="K154" s="38"/>
    </row>
    <row r="155">
      <c r="A155" s="38"/>
      <c r="B155" s="38"/>
      <c r="C155" s="38"/>
      <c r="D155" s="38"/>
      <c r="E155" s="38"/>
      <c r="F155" s="38"/>
      <c r="G155" s="38"/>
      <c r="H155" s="38"/>
      <c r="I155" s="38"/>
      <c r="J155" s="38"/>
      <c r="K155" s="38"/>
    </row>
    <row r="156">
      <c r="A156" s="38"/>
      <c r="B156" s="38"/>
      <c r="C156" s="38"/>
      <c r="D156" s="38"/>
      <c r="E156" s="38"/>
      <c r="F156" s="38"/>
      <c r="G156" s="38"/>
      <c r="H156" s="38"/>
      <c r="I156" s="38"/>
      <c r="J156" s="38"/>
      <c r="K156" s="38"/>
    </row>
    <row r="157">
      <c r="A157" s="38"/>
      <c r="B157" s="38"/>
      <c r="C157" s="38"/>
      <c r="D157" s="38"/>
      <c r="E157" s="38"/>
      <c r="F157" s="38"/>
      <c r="G157" s="38"/>
      <c r="H157" s="38"/>
      <c r="I157" s="38"/>
      <c r="J157" s="38"/>
      <c r="K157" s="38"/>
    </row>
    <row r="158">
      <c r="A158" s="38"/>
      <c r="B158" s="38"/>
      <c r="C158" s="38"/>
      <c r="D158" s="38"/>
      <c r="E158" s="38"/>
      <c r="F158" s="38"/>
      <c r="G158" s="38"/>
      <c r="H158" s="38"/>
      <c r="I158" s="38"/>
      <c r="J158" s="38"/>
      <c r="K158" s="38"/>
    </row>
    <row r="159">
      <c r="A159" s="38"/>
      <c r="B159" s="38"/>
      <c r="C159" s="38"/>
      <c r="D159" s="38"/>
      <c r="E159" s="38"/>
      <c r="F159" s="38"/>
      <c r="G159" s="38"/>
      <c r="H159" s="38"/>
      <c r="I159" s="38"/>
      <c r="J159" s="38"/>
      <c r="K159" s="38"/>
    </row>
    <row r="160">
      <c r="A160" s="38"/>
      <c r="B160" s="38"/>
      <c r="C160" s="38"/>
      <c r="D160" s="38"/>
      <c r="E160" s="38"/>
      <c r="F160" s="38"/>
      <c r="G160" s="38"/>
      <c r="H160" s="38"/>
      <c r="I160" s="38"/>
      <c r="J160" s="38"/>
      <c r="K160" s="38"/>
    </row>
    <row r="161">
      <c r="A161" s="38"/>
      <c r="B161" s="38"/>
      <c r="C161" s="38"/>
      <c r="D161" s="38"/>
      <c r="E161" s="38"/>
      <c r="F161" s="38"/>
      <c r="G161" s="38"/>
      <c r="H161" s="38"/>
      <c r="I161" s="38"/>
      <c r="J161" s="38"/>
      <c r="K161" s="38"/>
    </row>
    <row r="162">
      <c r="A162" s="38"/>
      <c r="B162" s="38"/>
      <c r="C162" s="38"/>
      <c r="D162" s="38"/>
      <c r="E162" s="38"/>
      <c r="F162" s="38"/>
      <c r="G162" s="38"/>
      <c r="H162" s="38"/>
      <c r="I162" s="38"/>
      <c r="J162" s="38"/>
      <c r="K162" s="38"/>
    </row>
    <row r="163">
      <c r="A163" s="38"/>
      <c r="B163" s="38"/>
      <c r="C163" s="38"/>
      <c r="D163" s="38"/>
      <c r="E163" s="38"/>
      <c r="F163" s="38"/>
      <c r="G163" s="38"/>
      <c r="H163" s="38"/>
      <c r="I163" s="38"/>
      <c r="J163" s="38"/>
      <c r="K163" s="38"/>
    </row>
    <row r="164">
      <c r="A164" s="38"/>
      <c r="B164" s="38"/>
      <c r="C164" s="38"/>
      <c r="D164" s="38"/>
      <c r="E164" s="38"/>
      <c r="F164" s="38"/>
      <c r="G164" s="38"/>
      <c r="H164" s="38"/>
      <c r="I164" s="38"/>
      <c r="J164" s="38"/>
      <c r="K164" s="38"/>
    </row>
    <row r="165">
      <c r="A165" s="38"/>
      <c r="B165" s="38"/>
      <c r="C165" s="38"/>
      <c r="D165" s="38"/>
      <c r="E165" s="38"/>
      <c r="F165" s="38"/>
      <c r="G165" s="38"/>
      <c r="H165" s="38"/>
      <c r="I165" s="38"/>
      <c r="J165" s="38"/>
      <c r="K165" s="38"/>
    </row>
    <row r="166">
      <c r="A166" s="38"/>
      <c r="B166" s="38"/>
      <c r="C166" s="38"/>
      <c r="D166" s="38"/>
      <c r="E166" s="38"/>
      <c r="F166" s="38"/>
      <c r="G166" s="38"/>
      <c r="H166" s="38"/>
      <c r="I166" s="38"/>
      <c r="J166" s="38"/>
      <c r="K166" s="38"/>
    </row>
    <row r="167">
      <c r="A167" s="38"/>
      <c r="B167" s="38"/>
      <c r="C167" s="38"/>
      <c r="D167" s="38"/>
      <c r="E167" s="38"/>
      <c r="F167" s="38"/>
      <c r="G167" s="38"/>
      <c r="H167" s="38"/>
      <c r="I167" s="38"/>
      <c r="J167" s="38"/>
      <c r="K167" s="38"/>
    </row>
    <row r="168">
      <c r="A168" s="38"/>
      <c r="B168" s="38"/>
      <c r="C168" s="38"/>
      <c r="D168" s="38"/>
      <c r="E168" s="38"/>
      <c r="F168" s="38"/>
      <c r="G168" s="38"/>
      <c r="H168" s="38"/>
      <c r="I168" s="38"/>
      <c r="J168" s="38"/>
      <c r="K168" s="38"/>
    </row>
    <row r="169">
      <c r="A169" s="38"/>
      <c r="B169" s="38"/>
      <c r="C169" s="38"/>
      <c r="D169" s="38"/>
      <c r="E169" s="38"/>
      <c r="F169" s="38"/>
      <c r="G169" s="38"/>
      <c r="H169" s="38"/>
      <c r="I169" s="38"/>
      <c r="J169" s="38"/>
      <c r="K169" s="38"/>
    </row>
    <row r="170">
      <c r="A170" s="38"/>
      <c r="B170" s="38"/>
      <c r="C170" s="38"/>
      <c r="D170" s="38"/>
      <c r="E170" s="38"/>
      <c r="F170" s="38"/>
      <c r="G170" s="38"/>
      <c r="H170" s="38"/>
      <c r="I170" s="38"/>
      <c r="J170" s="38"/>
      <c r="K170" s="38"/>
    </row>
    <row r="171">
      <c r="A171" s="38"/>
      <c r="B171" s="38"/>
      <c r="C171" s="38"/>
      <c r="D171" s="38"/>
      <c r="E171" s="38"/>
      <c r="F171" s="38"/>
      <c r="G171" s="38"/>
      <c r="H171" s="38"/>
      <c r="I171" s="38"/>
      <c r="J171" s="38"/>
      <c r="K171" s="38"/>
    </row>
    <row r="172">
      <c r="A172" s="38"/>
      <c r="B172" s="38"/>
      <c r="C172" s="38"/>
      <c r="D172" s="38"/>
      <c r="E172" s="38"/>
      <c r="F172" s="38"/>
      <c r="G172" s="38"/>
      <c r="H172" s="38"/>
      <c r="I172" s="38"/>
      <c r="J172" s="38"/>
      <c r="K172" s="38"/>
    </row>
    <row r="173">
      <c r="A173" s="38"/>
      <c r="B173" s="38"/>
      <c r="C173" s="38"/>
      <c r="D173" s="38"/>
      <c r="E173" s="38"/>
      <c r="F173" s="38"/>
      <c r="G173" s="38"/>
      <c r="H173" s="38"/>
      <c r="I173" s="38"/>
      <c r="J173" s="38"/>
      <c r="K173" s="38"/>
    </row>
    <row r="174">
      <c r="A174" s="38"/>
      <c r="B174" s="38"/>
      <c r="C174" s="38"/>
      <c r="D174" s="38"/>
      <c r="E174" s="38"/>
      <c r="F174" s="38"/>
      <c r="G174" s="38"/>
      <c r="H174" s="38"/>
      <c r="I174" s="38"/>
      <c r="J174" s="38"/>
      <c r="K174" s="38"/>
    </row>
    <row r="175">
      <c r="A175" s="38"/>
      <c r="B175" s="38"/>
      <c r="C175" s="38"/>
      <c r="D175" s="38"/>
      <c r="E175" s="38"/>
      <c r="F175" s="38"/>
      <c r="G175" s="38"/>
      <c r="H175" s="38"/>
      <c r="I175" s="38"/>
      <c r="J175" s="38"/>
      <c r="K175" s="38"/>
    </row>
    <row r="176">
      <c r="A176" s="38"/>
      <c r="B176" s="38"/>
      <c r="C176" s="38"/>
      <c r="D176" s="38"/>
      <c r="E176" s="38"/>
      <c r="F176" s="38"/>
      <c r="G176" s="38"/>
      <c r="H176" s="38"/>
      <c r="I176" s="38"/>
      <c r="J176" s="38"/>
      <c r="K176" s="38"/>
    </row>
    <row r="177">
      <c r="A177" s="38"/>
      <c r="B177" s="38"/>
      <c r="C177" s="38"/>
      <c r="D177" s="38"/>
      <c r="E177" s="38"/>
      <c r="F177" s="38"/>
      <c r="G177" s="38"/>
      <c r="H177" s="38"/>
      <c r="I177" s="38"/>
      <c r="J177" s="38"/>
      <c r="K177" s="38"/>
    </row>
    <row r="178">
      <c r="A178" s="38"/>
      <c r="B178" s="38"/>
      <c r="C178" s="38"/>
      <c r="D178" s="38"/>
      <c r="E178" s="38"/>
      <c r="F178" s="38"/>
      <c r="G178" s="38"/>
      <c r="H178" s="38"/>
      <c r="I178" s="38"/>
      <c r="J178" s="38"/>
      <c r="K178" s="38"/>
    </row>
    <row r="179">
      <c r="A179" s="38"/>
      <c r="B179" s="38"/>
      <c r="C179" s="38"/>
      <c r="D179" s="38"/>
      <c r="E179" s="38"/>
      <c r="F179" s="38"/>
      <c r="G179" s="38"/>
      <c r="H179" s="38"/>
      <c r="I179" s="38"/>
      <c r="J179" s="38"/>
      <c r="K179" s="38"/>
    </row>
    <row r="180">
      <c r="A180" s="38"/>
      <c r="B180" s="38"/>
      <c r="C180" s="38"/>
      <c r="D180" s="38"/>
      <c r="E180" s="38"/>
      <c r="F180" s="38"/>
      <c r="G180" s="38"/>
      <c r="H180" s="38"/>
      <c r="I180" s="38"/>
      <c r="J180" s="38"/>
      <c r="K180" s="38"/>
    </row>
    <row r="181">
      <c r="A181" s="38"/>
      <c r="B181" s="38"/>
      <c r="C181" s="38"/>
      <c r="D181" s="38"/>
      <c r="E181" s="38"/>
      <c r="F181" s="38"/>
      <c r="G181" s="38"/>
      <c r="H181" s="38"/>
      <c r="I181" s="38"/>
      <c r="J181" s="38"/>
      <c r="K181" s="38"/>
    </row>
    <row r="182">
      <c r="A182" s="38"/>
      <c r="B182" s="38"/>
      <c r="C182" s="38"/>
      <c r="D182" s="38"/>
      <c r="E182" s="38"/>
      <c r="F182" s="38"/>
      <c r="G182" s="38"/>
      <c r="H182" s="38"/>
      <c r="I182" s="38"/>
      <c r="J182" s="38"/>
      <c r="K182" s="38"/>
    </row>
    <row r="183">
      <c r="A183" s="38"/>
      <c r="B183" s="38"/>
      <c r="C183" s="38"/>
      <c r="D183" s="38"/>
      <c r="E183" s="38"/>
      <c r="F183" s="38"/>
      <c r="G183" s="38"/>
      <c r="H183" s="38"/>
      <c r="I183" s="38"/>
      <c r="J183" s="38"/>
      <c r="K183" s="38"/>
    </row>
    <row r="184">
      <c r="A184" s="38"/>
      <c r="B184" s="38"/>
      <c r="C184" s="38"/>
      <c r="D184" s="38"/>
      <c r="E184" s="38"/>
      <c r="F184" s="38"/>
      <c r="G184" s="38"/>
      <c r="H184" s="38"/>
      <c r="I184" s="38"/>
      <c r="J184" s="38"/>
      <c r="K184" s="38"/>
    </row>
    <row r="185">
      <c r="A185" s="38"/>
      <c r="B185" s="38"/>
      <c r="C185" s="38"/>
      <c r="D185" s="38"/>
      <c r="E185" s="38"/>
      <c r="F185" s="38"/>
      <c r="G185" s="38"/>
      <c r="H185" s="38"/>
      <c r="I185" s="38"/>
      <c r="J185" s="38"/>
      <c r="K185" s="38"/>
    </row>
    <row r="186">
      <c r="A186" s="38"/>
      <c r="B186" s="38"/>
      <c r="C186" s="38"/>
      <c r="D186" s="38"/>
      <c r="E186" s="38"/>
      <c r="F186" s="38"/>
      <c r="G186" s="38"/>
      <c r="H186" s="38"/>
      <c r="I186" s="38"/>
      <c r="J186" s="38"/>
      <c r="K186" s="38"/>
    </row>
    <row r="187">
      <c r="A187" s="38"/>
      <c r="B187" s="38"/>
      <c r="C187" s="38"/>
      <c r="D187" s="38"/>
      <c r="E187" s="38"/>
      <c r="F187" s="38"/>
      <c r="G187" s="38"/>
      <c r="H187" s="38"/>
      <c r="I187" s="38"/>
      <c r="J187" s="38"/>
      <c r="K187" s="38"/>
    </row>
    <row r="188">
      <c r="A188" s="38"/>
      <c r="B188" s="38"/>
      <c r="C188" s="38"/>
      <c r="D188" s="38"/>
      <c r="E188" s="38"/>
      <c r="F188" s="38"/>
      <c r="G188" s="38"/>
      <c r="H188" s="38"/>
      <c r="I188" s="38"/>
      <c r="J188" s="38"/>
      <c r="K188" s="38"/>
    </row>
    <row r="189">
      <c r="A189" s="38"/>
      <c r="B189" s="38"/>
      <c r="C189" s="38"/>
      <c r="D189" s="38"/>
      <c r="E189" s="38"/>
      <c r="F189" s="38"/>
      <c r="G189" s="38"/>
      <c r="H189" s="38"/>
      <c r="I189" s="38"/>
      <c r="J189" s="38"/>
      <c r="K189" s="38"/>
    </row>
    <row r="190">
      <c r="A190" s="38"/>
      <c r="B190" s="38"/>
      <c r="C190" s="38"/>
      <c r="D190" s="38"/>
      <c r="E190" s="38"/>
      <c r="F190" s="38"/>
      <c r="G190" s="38"/>
      <c r="H190" s="38"/>
      <c r="I190" s="38"/>
      <c r="J190" s="38"/>
      <c r="K190" s="38"/>
    </row>
    <row r="191">
      <c r="A191" s="38"/>
      <c r="B191" s="38"/>
      <c r="C191" s="38"/>
      <c r="D191" s="38"/>
      <c r="E191" s="38"/>
      <c r="F191" s="38"/>
      <c r="G191" s="38"/>
      <c r="H191" s="38"/>
      <c r="I191" s="38"/>
      <c r="J191" s="38"/>
      <c r="K191" s="38"/>
    </row>
    <row r="192">
      <c r="A192" s="38"/>
      <c r="B192" s="38"/>
      <c r="C192" s="38"/>
      <c r="D192" s="38"/>
      <c r="E192" s="38"/>
      <c r="F192" s="38"/>
      <c r="G192" s="38"/>
      <c r="H192" s="38"/>
      <c r="I192" s="38"/>
      <c r="J192" s="38"/>
      <c r="K192" s="38"/>
    </row>
    <row r="193">
      <c r="A193" s="38"/>
      <c r="B193" s="38"/>
      <c r="C193" s="38"/>
      <c r="D193" s="38"/>
      <c r="E193" s="38"/>
      <c r="F193" s="38"/>
      <c r="G193" s="38"/>
      <c r="H193" s="38"/>
      <c r="I193" s="38"/>
      <c r="J193" s="38"/>
      <c r="K193" s="38"/>
    </row>
    <row r="194">
      <c r="A194" s="38"/>
      <c r="B194" s="38"/>
      <c r="C194" s="38"/>
      <c r="D194" s="38"/>
      <c r="E194" s="38"/>
      <c r="F194" s="38"/>
      <c r="G194" s="38"/>
      <c r="H194" s="38"/>
      <c r="I194" s="38"/>
      <c r="J194" s="38"/>
      <c r="K194" s="38"/>
    </row>
    <row r="195">
      <c r="A195" s="38"/>
      <c r="B195" s="38"/>
      <c r="C195" s="38"/>
      <c r="D195" s="38"/>
      <c r="E195" s="38"/>
      <c r="F195" s="38"/>
      <c r="G195" s="38"/>
      <c r="H195" s="38"/>
      <c r="I195" s="38"/>
      <c r="J195" s="38"/>
      <c r="K195" s="38"/>
    </row>
    <row r="196">
      <c r="A196" s="38"/>
      <c r="B196" s="38"/>
      <c r="C196" s="38"/>
      <c r="D196" s="38"/>
      <c r="E196" s="38"/>
      <c r="F196" s="38"/>
      <c r="G196" s="38"/>
      <c r="H196" s="38"/>
      <c r="I196" s="38"/>
      <c r="J196" s="38"/>
      <c r="K196" s="38"/>
    </row>
    <row r="197">
      <c r="A197" s="38"/>
      <c r="B197" s="38"/>
      <c r="C197" s="38"/>
      <c r="D197" s="38"/>
      <c r="E197" s="38"/>
      <c r="F197" s="38"/>
      <c r="G197" s="38"/>
      <c r="H197" s="38"/>
      <c r="I197" s="38"/>
      <c r="J197" s="38"/>
      <c r="K197" s="38"/>
    </row>
    <row r="198">
      <c r="A198" s="38"/>
      <c r="B198" s="38"/>
      <c r="C198" s="38"/>
      <c r="D198" s="38"/>
      <c r="E198" s="38"/>
      <c r="F198" s="38"/>
      <c r="G198" s="38"/>
      <c r="H198" s="38"/>
      <c r="I198" s="38"/>
      <c r="J198" s="38"/>
      <c r="K198" s="38"/>
    </row>
    <row r="199">
      <c r="A199" s="38"/>
      <c r="B199" s="38"/>
      <c r="C199" s="38"/>
      <c r="D199" s="38"/>
      <c r="E199" s="38"/>
      <c r="F199" s="38"/>
      <c r="G199" s="38"/>
      <c r="H199" s="38"/>
      <c r="I199" s="38"/>
      <c r="J199" s="38"/>
      <c r="K199" s="38"/>
    </row>
    <row r="200">
      <c r="A200" s="38"/>
      <c r="B200" s="38"/>
      <c r="C200" s="38"/>
      <c r="D200" s="38"/>
      <c r="E200" s="38"/>
      <c r="F200" s="38"/>
      <c r="G200" s="38"/>
      <c r="H200" s="38"/>
      <c r="I200" s="38"/>
      <c r="J200" s="38"/>
      <c r="K200" s="38"/>
    </row>
    <row r="201">
      <c r="A201" s="38"/>
      <c r="B201" s="38"/>
      <c r="C201" s="38"/>
      <c r="D201" s="38"/>
      <c r="E201" s="38"/>
      <c r="F201" s="38"/>
      <c r="G201" s="38"/>
      <c r="H201" s="38"/>
      <c r="I201" s="38"/>
      <c r="J201" s="38"/>
      <c r="K201" s="38"/>
    </row>
    <row r="202">
      <c r="A202" s="38"/>
      <c r="B202" s="38"/>
      <c r="C202" s="38"/>
      <c r="D202" s="38"/>
      <c r="E202" s="38"/>
      <c r="F202" s="38"/>
      <c r="G202" s="38"/>
      <c r="H202" s="38"/>
      <c r="I202" s="38"/>
      <c r="J202" s="38"/>
      <c r="K202" s="38"/>
    </row>
    <row r="203">
      <c r="A203" s="38"/>
      <c r="B203" s="38"/>
      <c r="C203" s="38"/>
      <c r="D203" s="38"/>
      <c r="E203" s="38"/>
      <c r="F203" s="38"/>
      <c r="G203" s="38"/>
      <c r="H203" s="38"/>
      <c r="I203" s="38"/>
      <c r="J203" s="38"/>
      <c r="K203" s="38"/>
    </row>
    <row r="204">
      <c r="A204" s="38"/>
      <c r="B204" s="38"/>
      <c r="C204" s="38"/>
      <c r="D204" s="38"/>
      <c r="E204" s="38"/>
      <c r="F204" s="38"/>
      <c r="G204" s="38"/>
      <c r="H204" s="38"/>
      <c r="I204" s="38"/>
      <c r="J204" s="38"/>
      <c r="K204" s="38"/>
    </row>
    <row r="205">
      <c r="A205" s="38"/>
      <c r="B205" s="38"/>
      <c r="C205" s="38"/>
      <c r="D205" s="38"/>
      <c r="E205" s="38"/>
      <c r="F205" s="38"/>
      <c r="G205" s="38"/>
      <c r="H205" s="38"/>
      <c r="I205" s="38"/>
      <c r="J205" s="38"/>
      <c r="K205" s="38"/>
    </row>
    <row r="206">
      <c r="A206" s="38"/>
      <c r="B206" s="38"/>
      <c r="C206" s="38"/>
      <c r="D206" s="38"/>
      <c r="E206" s="38"/>
      <c r="F206" s="38"/>
      <c r="G206" s="38"/>
      <c r="H206" s="38"/>
      <c r="I206" s="38"/>
      <c r="J206" s="38"/>
      <c r="K206" s="38"/>
    </row>
    <row r="207">
      <c r="A207" s="38"/>
      <c r="B207" s="38"/>
      <c r="C207" s="38"/>
      <c r="D207" s="38"/>
      <c r="E207" s="38"/>
      <c r="F207" s="38"/>
      <c r="G207" s="38"/>
      <c r="H207" s="38"/>
      <c r="I207" s="38"/>
      <c r="J207" s="38"/>
      <c r="K207" s="38"/>
    </row>
    <row r="208">
      <c r="A208" s="38"/>
      <c r="B208" s="38"/>
      <c r="C208" s="38"/>
      <c r="D208" s="38"/>
      <c r="E208" s="38"/>
      <c r="F208" s="38"/>
      <c r="G208" s="38"/>
      <c r="H208" s="38"/>
      <c r="I208" s="38"/>
      <c r="J208" s="38"/>
      <c r="K208" s="38"/>
    </row>
    <row r="209">
      <c r="A209" s="38"/>
      <c r="B209" s="38"/>
      <c r="C209" s="38"/>
      <c r="D209" s="38"/>
      <c r="E209" s="38"/>
      <c r="F209" s="38"/>
      <c r="G209" s="38"/>
      <c r="H209" s="38"/>
      <c r="I209" s="38"/>
      <c r="J209" s="38"/>
      <c r="K209" s="38"/>
    </row>
    <row r="210">
      <c r="A210" s="38"/>
      <c r="B210" s="38"/>
      <c r="C210" s="38"/>
      <c r="D210" s="38"/>
      <c r="E210" s="38"/>
      <c r="F210" s="38"/>
      <c r="G210" s="38"/>
      <c r="H210" s="38"/>
      <c r="I210" s="38"/>
      <c r="J210" s="38"/>
      <c r="K210" s="38"/>
    </row>
    <row r="211">
      <c r="A211" s="38"/>
      <c r="B211" s="38"/>
      <c r="C211" s="38"/>
      <c r="D211" s="38"/>
      <c r="E211" s="38"/>
      <c r="F211" s="38"/>
      <c r="G211" s="38"/>
      <c r="H211" s="38"/>
      <c r="I211" s="38"/>
      <c r="J211" s="38"/>
      <c r="K211" s="38"/>
    </row>
    <row r="212">
      <c r="A212" s="38"/>
      <c r="B212" s="38"/>
      <c r="C212" s="38"/>
      <c r="D212" s="38"/>
      <c r="E212" s="38"/>
      <c r="F212" s="38"/>
      <c r="G212" s="38"/>
      <c r="H212" s="38"/>
      <c r="I212" s="38"/>
      <c r="J212" s="38"/>
      <c r="K212" s="38"/>
    </row>
    <row r="213">
      <c r="A213" s="38"/>
      <c r="B213" s="38"/>
      <c r="C213" s="38"/>
      <c r="D213" s="38"/>
      <c r="E213" s="38"/>
      <c r="F213" s="38"/>
      <c r="G213" s="38"/>
      <c r="H213" s="38"/>
      <c r="I213" s="38"/>
      <c r="J213" s="38"/>
      <c r="K213" s="38"/>
    </row>
    <row r="214">
      <c r="A214" s="38"/>
      <c r="B214" s="38"/>
      <c r="C214" s="38"/>
      <c r="D214" s="38"/>
      <c r="E214" s="38"/>
      <c r="F214" s="38"/>
      <c r="G214" s="38"/>
      <c r="H214" s="38"/>
      <c r="I214" s="38"/>
      <c r="J214" s="38"/>
      <c r="K214" s="38"/>
    </row>
    <row r="215">
      <c r="A215" s="38"/>
      <c r="B215" s="38"/>
      <c r="C215" s="38"/>
      <c r="D215" s="38"/>
      <c r="E215" s="38"/>
      <c r="F215" s="38"/>
      <c r="G215" s="38"/>
      <c r="H215" s="38"/>
      <c r="I215" s="38"/>
      <c r="J215" s="38"/>
      <c r="K215" s="38"/>
    </row>
    <row r="216">
      <c r="A216" s="38"/>
      <c r="B216" s="38"/>
      <c r="C216" s="38"/>
      <c r="D216" s="38"/>
      <c r="E216" s="38"/>
      <c r="F216" s="38"/>
      <c r="G216" s="38"/>
      <c r="H216" s="38"/>
      <c r="I216" s="38"/>
      <c r="J216" s="38"/>
      <c r="K216" s="38"/>
    </row>
    <row r="217">
      <c r="A217" s="38"/>
      <c r="B217" s="38"/>
      <c r="C217" s="38"/>
      <c r="D217" s="38"/>
      <c r="E217" s="38"/>
      <c r="F217" s="38"/>
      <c r="G217" s="38"/>
      <c r="H217" s="38"/>
      <c r="I217" s="38"/>
      <c r="J217" s="38"/>
      <c r="K217" s="38"/>
    </row>
    <row r="218">
      <c r="A218" s="38"/>
      <c r="B218" s="38"/>
      <c r="C218" s="38"/>
      <c r="D218" s="38"/>
      <c r="E218" s="38"/>
      <c r="F218" s="38"/>
      <c r="G218" s="38"/>
      <c r="H218" s="38"/>
      <c r="I218" s="38"/>
      <c r="J218" s="38"/>
      <c r="K218" s="38"/>
    </row>
    <row r="219">
      <c r="A219" s="38"/>
      <c r="B219" s="38"/>
      <c r="C219" s="38"/>
      <c r="D219" s="38"/>
      <c r="E219" s="38"/>
      <c r="F219" s="38"/>
      <c r="G219" s="38"/>
      <c r="H219" s="38"/>
      <c r="I219" s="38"/>
      <c r="J219" s="38"/>
      <c r="K219" s="38"/>
    </row>
    <row r="220">
      <c r="A220" s="38"/>
      <c r="B220" s="38"/>
      <c r="C220" s="38"/>
      <c r="D220" s="38"/>
      <c r="E220" s="38"/>
      <c r="F220" s="38"/>
      <c r="G220" s="38"/>
      <c r="H220" s="38"/>
      <c r="I220" s="38"/>
      <c r="J220" s="38"/>
      <c r="K220" s="38"/>
    </row>
    <row r="221">
      <c r="A221" s="38"/>
      <c r="B221" s="38"/>
      <c r="C221" s="38"/>
      <c r="D221" s="38"/>
      <c r="E221" s="38"/>
      <c r="F221" s="38"/>
      <c r="G221" s="38"/>
      <c r="H221" s="38"/>
      <c r="I221" s="38"/>
      <c r="J221" s="38"/>
      <c r="K221" s="38"/>
    </row>
    <row r="222">
      <c r="A222" s="38"/>
      <c r="B222" s="38"/>
      <c r="C222" s="38"/>
      <c r="D222" s="38"/>
      <c r="E222" s="38"/>
      <c r="F222" s="38"/>
      <c r="G222" s="38"/>
      <c r="H222" s="38"/>
      <c r="I222" s="38"/>
      <c r="J222" s="38"/>
      <c r="K222" s="38"/>
    </row>
    <row r="223">
      <c r="A223" s="38"/>
      <c r="B223" s="38"/>
      <c r="C223" s="38"/>
      <c r="D223" s="38"/>
      <c r="E223" s="38"/>
      <c r="F223" s="38"/>
      <c r="G223" s="38"/>
      <c r="H223" s="38"/>
      <c r="I223" s="38"/>
      <c r="J223" s="38"/>
      <c r="K223" s="38"/>
    </row>
    <row r="224">
      <c r="A224" s="38"/>
      <c r="B224" s="38"/>
      <c r="C224" s="38"/>
      <c r="D224" s="38"/>
      <c r="E224" s="38"/>
      <c r="F224" s="38"/>
      <c r="G224" s="38"/>
      <c r="H224" s="38"/>
      <c r="I224" s="38"/>
      <c r="J224" s="38"/>
      <c r="K224" s="38"/>
    </row>
    <row r="225">
      <c r="A225" s="38"/>
      <c r="B225" s="38"/>
      <c r="C225" s="38"/>
      <c r="D225" s="38"/>
      <c r="E225" s="38"/>
      <c r="F225" s="38"/>
      <c r="G225" s="38"/>
      <c r="H225" s="38"/>
      <c r="I225" s="38"/>
      <c r="J225" s="38"/>
      <c r="K225" s="38"/>
    </row>
    <row r="226">
      <c r="A226" s="38"/>
      <c r="B226" s="38"/>
      <c r="C226" s="38"/>
      <c r="D226" s="38"/>
      <c r="E226" s="38"/>
      <c r="F226" s="38"/>
      <c r="G226" s="38"/>
      <c r="H226" s="38"/>
      <c r="I226" s="38"/>
      <c r="J226" s="38"/>
      <c r="K226" s="38"/>
    </row>
    <row r="227">
      <c r="A227" s="38"/>
      <c r="B227" s="38"/>
      <c r="C227" s="38"/>
      <c r="D227" s="38"/>
      <c r="E227" s="38"/>
      <c r="F227" s="38"/>
      <c r="G227" s="38"/>
      <c r="H227" s="38"/>
      <c r="I227" s="38"/>
      <c r="J227" s="38"/>
      <c r="K227" s="38"/>
    </row>
    <row r="228">
      <c r="A228" s="38"/>
      <c r="B228" s="38"/>
      <c r="C228" s="38"/>
      <c r="D228" s="38"/>
      <c r="E228" s="38"/>
      <c r="F228" s="38"/>
      <c r="G228" s="38"/>
      <c r="H228" s="38"/>
      <c r="I228" s="38"/>
      <c r="J228" s="38"/>
      <c r="K228" s="38"/>
    </row>
    <row r="229">
      <c r="A229" s="38"/>
      <c r="B229" s="38"/>
      <c r="C229" s="38"/>
      <c r="D229" s="38"/>
      <c r="E229" s="38"/>
      <c r="F229" s="38"/>
      <c r="G229" s="38"/>
      <c r="H229" s="38"/>
      <c r="I229" s="38"/>
      <c r="J229" s="38"/>
      <c r="K229" s="38"/>
    </row>
    <row r="230">
      <c r="A230" s="38"/>
      <c r="B230" s="38"/>
      <c r="C230" s="38"/>
      <c r="D230" s="38"/>
      <c r="E230" s="38"/>
      <c r="F230" s="38"/>
      <c r="G230" s="38"/>
      <c r="H230" s="38"/>
      <c r="I230" s="38"/>
      <c r="J230" s="38"/>
      <c r="K230" s="38"/>
    </row>
    <row r="231">
      <c r="A231" s="38"/>
      <c r="B231" s="38"/>
      <c r="C231" s="38"/>
      <c r="D231" s="38"/>
      <c r="E231" s="38"/>
      <c r="F231" s="38"/>
      <c r="G231" s="38"/>
      <c r="H231" s="38"/>
      <c r="I231" s="38"/>
      <c r="J231" s="38"/>
      <c r="K231" s="38"/>
    </row>
    <row r="232">
      <c r="A232" s="38"/>
      <c r="B232" s="38"/>
      <c r="C232" s="38"/>
      <c r="D232" s="38"/>
      <c r="E232" s="38"/>
      <c r="F232" s="38"/>
      <c r="G232" s="38"/>
      <c r="H232" s="38"/>
      <c r="I232" s="38"/>
      <c r="J232" s="38"/>
      <c r="K232" s="38"/>
    </row>
    <row r="233">
      <c r="A233" s="38"/>
      <c r="B233" s="38"/>
      <c r="C233" s="38"/>
      <c r="D233" s="38"/>
      <c r="E233" s="38"/>
      <c r="F233" s="38"/>
      <c r="G233" s="38"/>
      <c r="H233" s="38"/>
      <c r="I233" s="38"/>
      <c r="J233" s="38"/>
      <c r="K233" s="38"/>
    </row>
    <row r="234">
      <c r="A234" s="38"/>
      <c r="B234" s="38"/>
      <c r="C234" s="38"/>
      <c r="D234" s="38"/>
      <c r="E234" s="38"/>
      <c r="F234" s="38"/>
      <c r="G234" s="38"/>
      <c r="H234" s="38"/>
      <c r="I234" s="38"/>
      <c r="J234" s="38"/>
      <c r="K234" s="38"/>
    </row>
    <row r="235">
      <c r="A235" s="38"/>
      <c r="B235" s="38"/>
      <c r="C235" s="38"/>
      <c r="D235" s="38"/>
      <c r="E235" s="38"/>
      <c r="F235" s="38"/>
      <c r="G235" s="38"/>
      <c r="H235" s="38"/>
      <c r="I235" s="38"/>
      <c r="J235" s="38"/>
      <c r="K235" s="38"/>
    </row>
    <row r="236">
      <c r="A236" s="38"/>
      <c r="B236" s="38"/>
      <c r="C236" s="38"/>
      <c r="D236" s="38"/>
      <c r="E236" s="38"/>
      <c r="F236" s="38"/>
      <c r="G236" s="38"/>
      <c r="H236" s="38"/>
      <c r="I236" s="38"/>
      <c r="J236" s="38"/>
      <c r="K236" s="38"/>
    </row>
    <row r="237">
      <c r="A237" s="38"/>
      <c r="B237" s="38"/>
      <c r="C237" s="38"/>
      <c r="D237" s="38"/>
      <c r="E237" s="38"/>
      <c r="F237" s="38"/>
      <c r="G237" s="38"/>
      <c r="H237" s="38"/>
      <c r="I237" s="38"/>
      <c r="J237" s="38"/>
      <c r="K237" s="38"/>
    </row>
    <row r="238">
      <c r="A238" s="38"/>
      <c r="B238" s="38"/>
      <c r="C238" s="38"/>
      <c r="D238" s="38"/>
      <c r="E238" s="38"/>
      <c r="F238" s="38"/>
      <c r="G238" s="38"/>
      <c r="H238" s="38"/>
      <c r="I238" s="38"/>
      <c r="J238" s="38"/>
      <c r="K238" s="38"/>
    </row>
    <row r="239">
      <c r="A239" s="38"/>
      <c r="B239" s="38"/>
      <c r="C239" s="38"/>
      <c r="D239" s="38"/>
      <c r="E239" s="38"/>
      <c r="F239" s="38"/>
      <c r="G239" s="38"/>
      <c r="H239" s="38"/>
      <c r="I239" s="38"/>
      <c r="J239" s="38"/>
      <c r="K239" s="38"/>
    </row>
    <row r="240">
      <c r="A240" s="38"/>
      <c r="B240" s="38"/>
      <c r="C240" s="38"/>
      <c r="D240" s="38"/>
      <c r="E240" s="38"/>
      <c r="F240" s="38"/>
      <c r="G240" s="38"/>
      <c r="H240" s="38"/>
      <c r="I240" s="38"/>
      <c r="J240" s="38"/>
      <c r="K240" s="38"/>
    </row>
    <row r="241">
      <c r="A241" s="38"/>
      <c r="B241" s="38"/>
      <c r="C241" s="38"/>
      <c r="D241" s="38"/>
      <c r="E241" s="38"/>
      <c r="F241" s="38"/>
      <c r="G241" s="38"/>
      <c r="H241" s="38"/>
      <c r="I241" s="38"/>
      <c r="J241" s="38"/>
      <c r="K241" s="38"/>
    </row>
    <row r="242">
      <c r="A242" s="38"/>
      <c r="B242" s="38"/>
      <c r="C242" s="38"/>
      <c r="D242" s="38"/>
      <c r="E242" s="38"/>
      <c r="F242" s="38"/>
      <c r="G242" s="38"/>
      <c r="H242" s="38"/>
      <c r="I242" s="38"/>
      <c r="J242" s="38"/>
      <c r="K242" s="38"/>
    </row>
    <row r="243">
      <c r="A243" s="38"/>
      <c r="B243" s="38"/>
      <c r="C243" s="38"/>
      <c r="D243" s="38"/>
      <c r="E243" s="38"/>
      <c r="F243" s="38"/>
      <c r="G243" s="38"/>
      <c r="H243" s="38"/>
      <c r="I243" s="38"/>
      <c r="J243" s="38"/>
      <c r="K243" s="38"/>
    </row>
    <row r="244">
      <c r="A244" s="38"/>
      <c r="B244" s="38"/>
      <c r="C244" s="38"/>
      <c r="D244" s="38"/>
      <c r="E244" s="38"/>
      <c r="F244" s="38"/>
      <c r="G244" s="38"/>
      <c r="H244" s="38"/>
      <c r="I244" s="38"/>
      <c r="J244" s="38"/>
      <c r="K244" s="38"/>
    </row>
    <row r="245">
      <c r="A245" s="38"/>
      <c r="B245" s="38"/>
      <c r="C245" s="38"/>
      <c r="D245" s="38"/>
      <c r="E245" s="38"/>
      <c r="F245" s="38"/>
      <c r="G245" s="38"/>
      <c r="H245" s="38"/>
      <c r="I245" s="38"/>
      <c r="J245" s="38"/>
      <c r="K245" s="38"/>
    </row>
    <row r="246">
      <c r="A246" s="38"/>
      <c r="B246" s="38"/>
      <c r="C246" s="38"/>
      <c r="D246" s="38"/>
      <c r="E246" s="38"/>
      <c r="F246" s="38"/>
      <c r="G246" s="38"/>
      <c r="H246" s="38"/>
      <c r="I246" s="38"/>
      <c r="J246" s="38"/>
      <c r="K246" s="38"/>
    </row>
    <row r="247">
      <c r="A247" s="38"/>
      <c r="B247" s="38"/>
      <c r="C247" s="38"/>
      <c r="D247" s="38"/>
      <c r="E247" s="38"/>
      <c r="F247" s="38"/>
      <c r="G247" s="38"/>
      <c r="H247" s="38"/>
      <c r="I247" s="38"/>
      <c r="J247" s="38"/>
      <c r="K247" s="38"/>
    </row>
    <row r="248">
      <c r="A248" s="38"/>
      <c r="B248" s="38"/>
      <c r="C248" s="38"/>
      <c r="D248" s="38"/>
      <c r="E248" s="38"/>
      <c r="F248" s="38"/>
      <c r="G248" s="38"/>
      <c r="H248" s="38"/>
      <c r="I248" s="38"/>
      <c r="J248" s="38"/>
      <c r="K248" s="38"/>
    </row>
    <row r="249">
      <c r="A249" s="38"/>
      <c r="B249" s="38"/>
      <c r="C249" s="38"/>
      <c r="D249" s="38"/>
      <c r="E249" s="38"/>
      <c r="F249" s="38"/>
      <c r="G249" s="38"/>
      <c r="H249" s="38"/>
      <c r="I249" s="38"/>
      <c r="J249" s="38"/>
      <c r="K249" s="38"/>
    </row>
    <row r="250">
      <c r="A250" s="38"/>
      <c r="B250" s="38"/>
      <c r="C250" s="38"/>
      <c r="D250" s="38"/>
      <c r="E250" s="38"/>
      <c r="F250" s="38"/>
      <c r="G250" s="38"/>
      <c r="H250" s="38"/>
      <c r="I250" s="38"/>
      <c r="J250" s="38"/>
      <c r="K250" s="38"/>
    </row>
    <row r="251">
      <c r="A251" s="38"/>
      <c r="B251" s="38"/>
      <c r="C251" s="38"/>
      <c r="D251" s="38"/>
      <c r="E251" s="38"/>
      <c r="F251" s="38"/>
      <c r="G251" s="38"/>
      <c r="H251" s="38"/>
      <c r="I251" s="38"/>
      <c r="J251" s="38"/>
      <c r="K251" s="38"/>
    </row>
    <row r="252">
      <c r="A252" s="38"/>
      <c r="B252" s="38"/>
      <c r="C252" s="38"/>
      <c r="D252" s="38"/>
      <c r="E252" s="38"/>
      <c r="F252" s="38"/>
      <c r="G252" s="38"/>
      <c r="H252" s="38"/>
      <c r="I252" s="38"/>
      <c r="J252" s="38"/>
      <c r="K252" s="38"/>
    </row>
    <row r="253">
      <c r="A253" s="38"/>
      <c r="B253" s="38"/>
      <c r="C253" s="38"/>
      <c r="D253" s="38"/>
      <c r="E253" s="38"/>
      <c r="F253" s="38"/>
      <c r="G253" s="38"/>
      <c r="H253" s="38"/>
      <c r="I253" s="38"/>
      <c r="J253" s="38"/>
      <c r="K253" s="38"/>
    </row>
    <row r="254">
      <c r="A254" s="38"/>
      <c r="B254" s="38"/>
      <c r="C254" s="38"/>
      <c r="D254" s="38"/>
      <c r="E254" s="38"/>
      <c r="F254" s="38"/>
      <c r="G254" s="38"/>
      <c r="H254" s="38"/>
      <c r="I254" s="38"/>
      <c r="J254" s="38"/>
      <c r="K254" s="38"/>
    </row>
    <row r="255">
      <c r="A255" s="38"/>
      <c r="B255" s="38"/>
      <c r="C255" s="38"/>
      <c r="D255" s="38"/>
      <c r="E255" s="38"/>
      <c r="F255" s="38"/>
      <c r="G255" s="38"/>
      <c r="H255" s="38"/>
      <c r="I255" s="38"/>
      <c r="J255" s="38"/>
      <c r="K255" s="38"/>
    </row>
    <row r="256">
      <c r="A256" s="38"/>
      <c r="B256" s="38"/>
      <c r="C256" s="38"/>
      <c r="D256" s="38"/>
      <c r="E256" s="38"/>
      <c r="F256" s="38"/>
      <c r="G256" s="38"/>
      <c r="H256" s="38"/>
      <c r="I256" s="38"/>
      <c r="J256" s="38"/>
      <c r="K256" s="38"/>
    </row>
    <row r="257">
      <c r="A257" s="38"/>
      <c r="B257" s="38"/>
      <c r="C257" s="38"/>
      <c r="D257" s="38"/>
      <c r="E257" s="38"/>
      <c r="F257" s="38"/>
      <c r="G257" s="38"/>
      <c r="H257" s="38"/>
      <c r="I257" s="38"/>
      <c r="J257" s="38"/>
      <c r="K257" s="38"/>
    </row>
    <row r="258">
      <c r="A258" s="38"/>
      <c r="B258" s="38"/>
      <c r="C258" s="38"/>
      <c r="D258" s="38"/>
      <c r="E258" s="38"/>
      <c r="F258" s="38"/>
      <c r="G258" s="38"/>
      <c r="H258" s="38"/>
      <c r="I258" s="38"/>
      <c r="J258" s="38"/>
      <c r="K258" s="38"/>
    </row>
    <row r="259">
      <c r="A259" s="38"/>
      <c r="B259" s="38"/>
      <c r="C259" s="38"/>
      <c r="D259" s="38"/>
      <c r="E259" s="38"/>
      <c r="F259" s="38"/>
      <c r="G259" s="38"/>
      <c r="H259" s="38"/>
      <c r="I259" s="38"/>
      <c r="J259" s="38"/>
      <c r="K259" s="38"/>
    </row>
    <row r="260">
      <c r="A260" s="38"/>
      <c r="B260" s="38"/>
      <c r="C260" s="38"/>
      <c r="D260" s="38"/>
      <c r="E260" s="38"/>
      <c r="F260" s="38"/>
      <c r="G260" s="38"/>
      <c r="H260" s="38"/>
      <c r="I260" s="38"/>
      <c r="J260" s="38"/>
      <c r="K260" s="38"/>
    </row>
    <row r="261">
      <c r="A261" s="38"/>
      <c r="B261" s="38"/>
      <c r="C261" s="38"/>
      <c r="D261" s="38"/>
      <c r="E261" s="38"/>
      <c r="F261" s="38"/>
      <c r="G261" s="38"/>
      <c r="H261" s="38"/>
      <c r="I261" s="38"/>
      <c r="J261" s="38"/>
      <c r="K261" s="38"/>
    </row>
    <row r="262">
      <c r="A262" s="38"/>
      <c r="B262" s="38"/>
      <c r="C262" s="38"/>
      <c r="D262" s="38"/>
      <c r="E262" s="38"/>
      <c r="F262" s="38"/>
      <c r="G262" s="38"/>
      <c r="H262" s="38"/>
      <c r="I262" s="38"/>
      <c r="J262" s="38"/>
      <c r="K262" s="38"/>
    </row>
    <row r="263">
      <c r="A263" s="38"/>
      <c r="B263" s="38"/>
      <c r="C263" s="38"/>
      <c r="D263" s="38"/>
      <c r="E263" s="38"/>
      <c r="F263" s="38"/>
      <c r="G263" s="38"/>
      <c r="H263" s="38"/>
      <c r="I263" s="38"/>
      <c r="J263" s="38"/>
      <c r="K263" s="38"/>
    </row>
    <row r="264">
      <c r="A264" s="38"/>
      <c r="B264" s="38"/>
      <c r="C264" s="38"/>
      <c r="D264" s="38"/>
      <c r="E264" s="38"/>
      <c r="F264" s="38"/>
      <c r="G264" s="38"/>
      <c r="H264" s="38"/>
      <c r="I264" s="38"/>
      <c r="J264" s="38"/>
      <c r="K264" s="38"/>
    </row>
    <row r="265">
      <c r="A265" s="38"/>
      <c r="B265" s="38"/>
      <c r="C265" s="38"/>
      <c r="D265" s="38"/>
      <c r="E265" s="38"/>
      <c r="F265" s="38"/>
      <c r="G265" s="38"/>
      <c r="H265" s="38"/>
      <c r="I265" s="38"/>
      <c r="J265" s="38"/>
      <c r="K265" s="38"/>
    </row>
    <row r="266">
      <c r="A266" s="38"/>
      <c r="B266" s="38"/>
      <c r="C266" s="38"/>
      <c r="D266" s="38"/>
      <c r="E266" s="38"/>
      <c r="F266" s="38"/>
      <c r="G266" s="38"/>
      <c r="H266" s="38"/>
      <c r="I266" s="38"/>
      <c r="J266" s="38"/>
      <c r="K266" s="38"/>
    </row>
    <row r="267">
      <c r="A267" s="38"/>
      <c r="B267" s="38"/>
      <c r="C267" s="38"/>
      <c r="D267" s="38"/>
      <c r="E267" s="38"/>
      <c r="F267" s="38"/>
      <c r="G267" s="38"/>
      <c r="H267" s="38"/>
      <c r="I267" s="38"/>
      <c r="J267" s="38"/>
      <c r="K267" s="38"/>
    </row>
    <row r="268">
      <c r="A268" s="38"/>
      <c r="B268" s="38"/>
      <c r="C268" s="38"/>
      <c r="D268" s="38"/>
      <c r="E268" s="38"/>
      <c r="F268" s="38"/>
      <c r="G268" s="38"/>
      <c r="H268" s="38"/>
      <c r="I268" s="38"/>
      <c r="J268" s="38"/>
      <c r="K268" s="38"/>
    </row>
    <row r="269">
      <c r="A269" s="38"/>
      <c r="B269" s="38"/>
      <c r="C269" s="38"/>
      <c r="D269" s="38"/>
      <c r="E269" s="38"/>
      <c r="F269" s="38"/>
      <c r="G269" s="38"/>
      <c r="H269" s="38"/>
      <c r="I269" s="38"/>
      <c r="J269" s="38"/>
      <c r="K269" s="38"/>
    </row>
    <row r="270">
      <c r="A270" s="38"/>
      <c r="B270" s="38"/>
      <c r="C270" s="38"/>
      <c r="D270" s="38"/>
      <c r="E270" s="38"/>
      <c r="F270" s="38"/>
      <c r="G270" s="38"/>
      <c r="H270" s="38"/>
      <c r="I270" s="38"/>
      <c r="J270" s="38"/>
      <c r="K270" s="38"/>
    </row>
    <row r="271">
      <c r="A271" s="38"/>
      <c r="B271" s="38"/>
      <c r="C271" s="38"/>
      <c r="D271" s="38"/>
      <c r="E271" s="38"/>
      <c r="F271" s="38"/>
      <c r="G271" s="38"/>
      <c r="H271" s="38"/>
      <c r="I271" s="38"/>
      <c r="J271" s="38"/>
      <c r="K271" s="38"/>
    </row>
    <row r="272">
      <c r="A272" s="38"/>
      <c r="B272" s="38"/>
      <c r="C272" s="38"/>
      <c r="D272" s="38"/>
      <c r="E272" s="38"/>
      <c r="F272" s="38"/>
      <c r="G272" s="38"/>
      <c r="H272" s="38"/>
      <c r="I272" s="38"/>
      <c r="J272" s="38"/>
      <c r="K272" s="38"/>
    </row>
    <row r="273">
      <c r="A273" s="38"/>
      <c r="B273" s="38"/>
      <c r="C273" s="38"/>
      <c r="D273" s="38"/>
      <c r="E273" s="38"/>
      <c r="F273" s="38"/>
      <c r="G273" s="38"/>
      <c r="H273" s="38"/>
      <c r="I273" s="38"/>
      <c r="J273" s="38"/>
      <c r="K273" s="38"/>
    </row>
    <row r="274">
      <c r="A274" s="38"/>
      <c r="B274" s="38"/>
      <c r="C274" s="38"/>
      <c r="D274" s="38"/>
      <c r="E274" s="38"/>
      <c r="F274" s="38"/>
      <c r="G274" s="38"/>
      <c r="H274" s="38"/>
      <c r="I274" s="38"/>
      <c r="J274" s="38"/>
      <c r="K274" s="38"/>
    </row>
    <row r="275">
      <c r="A275" s="38"/>
      <c r="B275" s="38"/>
      <c r="C275" s="38"/>
      <c r="D275" s="38"/>
      <c r="E275" s="38"/>
      <c r="F275" s="38"/>
      <c r="G275" s="38"/>
      <c r="H275" s="38"/>
      <c r="I275" s="38"/>
      <c r="J275" s="38"/>
      <c r="K275" s="38"/>
    </row>
    <row r="276">
      <c r="A276" s="38"/>
      <c r="B276" s="38"/>
      <c r="C276" s="38"/>
      <c r="D276" s="38"/>
      <c r="E276" s="38"/>
      <c r="F276" s="38"/>
      <c r="G276" s="38"/>
      <c r="H276" s="38"/>
      <c r="I276" s="38"/>
      <c r="J276" s="38"/>
      <c r="K276" s="38"/>
    </row>
    <row r="277">
      <c r="A277" s="38"/>
      <c r="B277" s="38"/>
      <c r="C277" s="38"/>
      <c r="D277" s="38"/>
      <c r="E277" s="38"/>
      <c r="F277" s="38"/>
      <c r="G277" s="38"/>
      <c r="H277" s="38"/>
      <c r="I277" s="38"/>
      <c r="J277" s="38"/>
      <c r="K277" s="38"/>
    </row>
    <row r="278">
      <c r="A278" s="38"/>
      <c r="B278" s="38"/>
      <c r="C278" s="38"/>
      <c r="D278" s="38"/>
      <c r="E278" s="38"/>
      <c r="F278" s="38"/>
      <c r="G278" s="38"/>
      <c r="H278" s="38"/>
      <c r="I278" s="38"/>
      <c r="J278" s="38"/>
      <c r="K278" s="38"/>
    </row>
    <row r="279">
      <c r="A279" s="38"/>
      <c r="B279" s="38"/>
      <c r="C279" s="38"/>
      <c r="D279" s="38"/>
      <c r="E279" s="38"/>
      <c r="F279" s="38"/>
      <c r="G279" s="38"/>
      <c r="H279" s="38"/>
      <c r="I279" s="38"/>
      <c r="J279" s="38"/>
      <c r="K279" s="38"/>
    </row>
    <row r="280">
      <c r="A280" s="38"/>
      <c r="B280" s="38"/>
      <c r="C280" s="38"/>
      <c r="D280" s="38"/>
      <c r="E280" s="38"/>
      <c r="F280" s="38"/>
      <c r="G280" s="38"/>
      <c r="H280" s="38"/>
      <c r="I280" s="38"/>
      <c r="J280" s="38"/>
      <c r="K280" s="38"/>
    </row>
    <row r="281">
      <c r="A281" s="38"/>
      <c r="B281" s="38"/>
      <c r="C281" s="38"/>
      <c r="D281" s="38"/>
      <c r="E281" s="38"/>
      <c r="F281" s="38"/>
      <c r="G281" s="38"/>
      <c r="H281" s="38"/>
      <c r="I281" s="38"/>
      <c r="J281" s="38"/>
      <c r="K281" s="38"/>
    </row>
    <row r="282">
      <c r="A282" s="38"/>
      <c r="B282" s="38"/>
      <c r="C282" s="38"/>
      <c r="D282" s="38"/>
      <c r="E282" s="38"/>
      <c r="F282" s="38"/>
      <c r="G282" s="38"/>
      <c r="H282" s="38"/>
      <c r="I282" s="38"/>
      <c r="J282" s="38"/>
      <c r="K282" s="38"/>
    </row>
    <row r="283">
      <c r="A283" s="38"/>
      <c r="B283" s="38"/>
      <c r="C283" s="38"/>
      <c r="D283" s="38"/>
      <c r="E283" s="38"/>
      <c r="F283" s="38"/>
      <c r="G283" s="38"/>
      <c r="H283" s="38"/>
      <c r="I283" s="38"/>
      <c r="J283" s="38"/>
      <c r="K283" s="38"/>
    </row>
    <row r="284">
      <c r="A284" s="38"/>
      <c r="B284" s="38"/>
      <c r="C284" s="38"/>
      <c r="D284" s="38"/>
      <c r="E284" s="38"/>
      <c r="F284" s="38"/>
      <c r="G284" s="38"/>
      <c r="H284" s="38"/>
      <c r="I284" s="38"/>
      <c r="J284" s="38"/>
      <c r="K284" s="38"/>
    </row>
    <row r="285">
      <c r="A285" s="38"/>
      <c r="B285" s="38"/>
      <c r="C285" s="38"/>
      <c r="D285" s="38"/>
      <c r="E285" s="38"/>
      <c r="F285" s="38"/>
      <c r="G285" s="38"/>
      <c r="H285" s="38"/>
      <c r="I285" s="38"/>
      <c r="J285" s="38"/>
      <c r="K285" s="38"/>
    </row>
    <row r="286">
      <c r="A286" s="38"/>
      <c r="B286" s="38"/>
      <c r="C286" s="38"/>
      <c r="D286" s="38"/>
      <c r="E286" s="38"/>
      <c r="F286" s="38"/>
      <c r="G286" s="38"/>
      <c r="H286" s="38"/>
      <c r="I286" s="38"/>
      <c r="J286" s="38"/>
      <c r="K286" s="38"/>
    </row>
    <row r="287">
      <c r="A287" s="38"/>
      <c r="B287" s="38"/>
      <c r="C287" s="38"/>
      <c r="D287" s="38"/>
      <c r="E287" s="38"/>
      <c r="F287" s="38"/>
      <c r="G287" s="38"/>
      <c r="H287" s="38"/>
      <c r="I287" s="38"/>
      <c r="J287" s="38"/>
      <c r="K287" s="38"/>
    </row>
    <row r="288">
      <c r="A288" s="38"/>
      <c r="B288" s="38"/>
      <c r="C288" s="38"/>
      <c r="D288" s="38"/>
      <c r="E288" s="38"/>
      <c r="F288" s="38"/>
      <c r="G288" s="38"/>
      <c r="H288" s="38"/>
      <c r="I288" s="38"/>
      <c r="J288" s="38"/>
      <c r="K288" s="38"/>
    </row>
    <row r="289">
      <c r="A289" s="38"/>
      <c r="B289" s="38"/>
      <c r="C289" s="38"/>
      <c r="D289" s="38"/>
      <c r="E289" s="38"/>
      <c r="F289" s="38"/>
      <c r="G289" s="38"/>
      <c r="H289" s="38"/>
      <c r="I289" s="38"/>
      <c r="J289" s="38"/>
      <c r="K289" s="38"/>
    </row>
    <row r="290">
      <c r="A290" s="38"/>
      <c r="B290" s="38"/>
      <c r="C290" s="38"/>
      <c r="D290" s="38"/>
      <c r="E290" s="38"/>
      <c r="F290" s="38"/>
      <c r="G290" s="38"/>
      <c r="H290" s="38"/>
      <c r="I290" s="38"/>
      <c r="J290" s="38"/>
      <c r="K290" s="38"/>
    </row>
    <row r="291">
      <c r="A291" s="38"/>
      <c r="B291" s="38"/>
      <c r="C291" s="38"/>
      <c r="D291" s="38"/>
      <c r="E291" s="38"/>
      <c r="F291" s="38"/>
      <c r="G291" s="38"/>
      <c r="H291" s="38"/>
      <c r="I291" s="38"/>
      <c r="J291" s="38"/>
      <c r="K291" s="38"/>
    </row>
    <row r="292">
      <c r="A292" s="38"/>
      <c r="B292" s="38"/>
      <c r="C292" s="38"/>
      <c r="D292" s="38"/>
      <c r="E292" s="38"/>
      <c r="F292" s="38"/>
      <c r="G292" s="38"/>
      <c r="H292" s="38"/>
      <c r="I292" s="38"/>
      <c r="J292" s="38"/>
      <c r="K292" s="38"/>
    </row>
    <row r="293">
      <c r="A293" s="38"/>
      <c r="B293" s="38"/>
      <c r="C293" s="38"/>
      <c r="D293" s="38"/>
      <c r="E293" s="38"/>
      <c r="F293" s="38"/>
      <c r="G293" s="38"/>
      <c r="H293" s="38"/>
      <c r="I293" s="38"/>
      <c r="J293" s="38"/>
      <c r="K293" s="38"/>
    </row>
    <row r="294">
      <c r="A294" s="38"/>
      <c r="B294" s="38"/>
      <c r="C294" s="38"/>
      <c r="D294" s="38"/>
      <c r="E294" s="38"/>
      <c r="F294" s="38"/>
      <c r="G294" s="38"/>
      <c r="H294" s="38"/>
      <c r="I294" s="38"/>
      <c r="J294" s="38"/>
      <c r="K294" s="38"/>
    </row>
    <row r="295">
      <c r="A295" s="38"/>
      <c r="B295" s="38"/>
      <c r="C295" s="38"/>
      <c r="D295" s="38"/>
      <c r="E295" s="38"/>
      <c r="F295" s="38"/>
      <c r="G295" s="38"/>
      <c r="H295" s="38"/>
      <c r="I295" s="38"/>
      <c r="J295" s="38"/>
      <c r="K295" s="38"/>
    </row>
    <row r="296">
      <c r="A296" s="38"/>
      <c r="B296" s="38"/>
      <c r="C296" s="38"/>
      <c r="D296" s="38"/>
      <c r="E296" s="38"/>
      <c r="F296" s="38"/>
      <c r="G296" s="38"/>
      <c r="H296" s="38"/>
      <c r="I296" s="38"/>
      <c r="J296" s="38"/>
      <c r="K296" s="38"/>
    </row>
    <row r="297">
      <c r="A297" s="38"/>
      <c r="B297" s="38"/>
      <c r="C297" s="38"/>
      <c r="D297" s="38"/>
      <c r="E297" s="38"/>
      <c r="F297" s="38"/>
      <c r="G297" s="38"/>
      <c r="H297" s="38"/>
      <c r="I297" s="38"/>
      <c r="J297" s="38"/>
      <c r="K297" s="38"/>
    </row>
    <row r="298">
      <c r="A298" s="38"/>
      <c r="B298" s="38"/>
      <c r="C298" s="38"/>
      <c r="D298" s="38"/>
      <c r="E298" s="38"/>
      <c r="F298" s="38"/>
      <c r="G298" s="38"/>
      <c r="H298" s="38"/>
      <c r="I298" s="38"/>
      <c r="J298" s="38"/>
      <c r="K298" s="38"/>
    </row>
    <row r="299">
      <c r="A299" s="38"/>
      <c r="B299" s="38"/>
      <c r="C299" s="38"/>
      <c r="D299" s="38"/>
      <c r="E299" s="38"/>
      <c r="F299" s="38"/>
      <c r="G299" s="38"/>
      <c r="H299" s="38"/>
      <c r="I299" s="38"/>
      <c r="J299" s="38"/>
      <c r="K299" s="38"/>
    </row>
    <row r="300">
      <c r="A300" s="38"/>
      <c r="B300" s="38"/>
      <c r="C300" s="38"/>
      <c r="D300" s="38"/>
      <c r="E300" s="38"/>
      <c r="F300" s="38"/>
      <c r="G300" s="38"/>
      <c r="H300" s="38"/>
      <c r="I300" s="38"/>
      <c r="J300" s="38"/>
      <c r="K300" s="38"/>
    </row>
    <row r="301">
      <c r="A301" s="38"/>
      <c r="B301" s="38"/>
      <c r="C301" s="38"/>
      <c r="D301" s="38"/>
      <c r="E301" s="38"/>
      <c r="F301" s="38"/>
      <c r="G301" s="38"/>
      <c r="H301" s="38"/>
      <c r="I301" s="38"/>
      <c r="J301" s="38"/>
      <c r="K301" s="38"/>
    </row>
    <row r="302">
      <c r="A302" s="38"/>
      <c r="B302" s="38"/>
      <c r="C302" s="38"/>
      <c r="D302" s="38"/>
      <c r="E302" s="38"/>
      <c r="F302" s="38"/>
      <c r="G302" s="38"/>
      <c r="H302" s="38"/>
      <c r="I302" s="38"/>
      <c r="J302" s="38"/>
      <c r="K302" s="38"/>
    </row>
    <row r="303">
      <c r="A303" s="38"/>
      <c r="B303" s="38"/>
      <c r="C303" s="38"/>
      <c r="D303" s="38"/>
      <c r="E303" s="38"/>
      <c r="F303" s="38"/>
      <c r="G303" s="38"/>
      <c r="H303" s="38"/>
      <c r="I303" s="38"/>
      <c r="J303" s="38"/>
      <c r="K303" s="38"/>
    </row>
    <row r="304">
      <c r="A304" s="38"/>
      <c r="B304" s="38"/>
      <c r="C304" s="38"/>
      <c r="D304" s="38"/>
      <c r="E304" s="38"/>
      <c r="F304" s="38"/>
      <c r="G304" s="38"/>
      <c r="H304" s="38"/>
      <c r="I304" s="38"/>
      <c r="J304" s="38"/>
      <c r="K304" s="38"/>
    </row>
    <row r="305">
      <c r="A305" s="38"/>
      <c r="B305" s="38"/>
      <c r="C305" s="38"/>
      <c r="D305" s="38"/>
      <c r="E305" s="38"/>
      <c r="F305" s="38"/>
      <c r="G305" s="38"/>
      <c r="H305" s="38"/>
      <c r="I305" s="38"/>
      <c r="J305" s="38"/>
      <c r="K305" s="38"/>
    </row>
    <row r="306">
      <c r="A306" s="38"/>
      <c r="B306" s="38"/>
      <c r="C306" s="38"/>
      <c r="D306" s="38"/>
      <c r="E306" s="38"/>
      <c r="F306" s="38"/>
      <c r="G306" s="38"/>
      <c r="H306" s="38"/>
      <c r="I306" s="38"/>
      <c r="J306" s="38"/>
      <c r="K306" s="38"/>
    </row>
    <row r="307">
      <c r="A307" s="38"/>
      <c r="B307" s="38"/>
      <c r="C307" s="38"/>
      <c r="D307" s="38"/>
      <c r="E307" s="38"/>
      <c r="F307" s="38"/>
      <c r="G307" s="38"/>
      <c r="H307" s="38"/>
      <c r="I307" s="38"/>
      <c r="J307" s="38"/>
      <c r="K307" s="38"/>
    </row>
    <row r="308">
      <c r="A308" s="38"/>
      <c r="B308" s="38"/>
      <c r="C308" s="38"/>
      <c r="D308" s="38"/>
      <c r="E308" s="38"/>
      <c r="F308" s="38"/>
      <c r="G308" s="38"/>
      <c r="H308" s="38"/>
      <c r="I308" s="38"/>
      <c r="J308" s="38"/>
      <c r="K308" s="38"/>
    </row>
    <row r="309">
      <c r="A309" s="38"/>
      <c r="B309" s="38"/>
      <c r="C309" s="38"/>
      <c r="D309" s="38"/>
      <c r="E309" s="38"/>
      <c r="F309" s="38"/>
      <c r="G309" s="38"/>
      <c r="H309" s="38"/>
      <c r="I309" s="38"/>
      <c r="J309" s="38"/>
      <c r="K309" s="38"/>
    </row>
    <row r="310">
      <c r="A310" s="38"/>
      <c r="B310" s="38"/>
      <c r="C310" s="38"/>
      <c r="D310" s="38"/>
      <c r="E310" s="38"/>
      <c r="F310" s="38"/>
      <c r="G310" s="38"/>
      <c r="H310" s="38"/>
      <c r="I310" s="38"/>
      <c r="J310" s="38"/>
      <c r="K310" s="38"/>
    </row>
    <row r="311">
      <c r="A311" s="38"/>
      <c r="B311" s="38"/>
      <c r="C311" s="38"/>
      <c r="D311" s="38"/>
      <c r="E311" s="38"/>
      <c r="F311" s="38"/>
      <c r="G311" s="38"/>
      <c r="H311" s="38"/>
      <c r="I311" s="38"/>
      <c r="J311" s="38"/>
      <c r="K311" s="38"/>
    </row>
    <row r="312">
      <c r="A312" s="38"/>
      <c r="B312" s="38"/>
      <c r="C312" s="38"/>
      <c r="D312" s="38"/>
      <c r="E312" s="38"/>
      <c r="F312" s="38"/>
      <c r="G312" s="38"/>
      <c r="H312" s="38"/>
      <c r="I312" s="38"/>
      <c r="J312" s="38"/>
      <c r="K312" s="38"/>
    </row>
    <row r="313">
      <c r="A313" s="38"/>
      <c r="B313" s="38"/>
      <c r="C313" s="38"/>
      <c r="D313" s="38"/>
      <c r="E313" s="38"/>
      <c r="F313" s="38"/>
      <c r="G313" s="38"/>
      <c r="H313" s="38"/>
      <c r="I313" s="38"/>
      <c r="J313" s="38"/>
      <c r="K313" s="38"/>
    </row>
    <row r="314">
      <c r="A314" s="38"/>
      <c r="B314" s="38"/>
      <c r="C314" s="38"/>
      <c r="D314" s="38"/>
      <c r="E314" s="38"/>
      <c r="F314" s="38"/>
      <c r="G314" s="38"/>
      <c r="H314" s="38"/>
      <c r="I314" s="38"/>
      <c r="J314" s="38"/>
      <c r="K314" s="38"/>
    </row>
    <row r="315">
      <c r="A315" s="38"/>
      <c r="B315" s="38"/>
      <c r="C315" s="38"/>
      <c r="D315" s="38"/>
      <c r="E315" s="38"/>
      <c r="F315" s="38"/>
      <c r="G315" s="38"/>
      <c r="H315" s="38"/>
      <c r="I315" s="38"/>
      <c r="J315" s="38"/>
      <c r="K315" s="38"/>
    </row>
    <row r="316">
      <c r="A316" s="38"/>
      <c r="B316" s="38"/>
      <c r="C316" s="38"/>
      <c r="D316" s="38"/>
      <c r="E316" s="38"/>
      <c r="F316" s="38"/>
      <c r="G316" s="38"/>
      <c r="H316" s="38"/>
      <c r="I316" s="38"/>
      <c r="J316" s="38"/>
      <c r="K316" s="38"/>
    </row>
    <row r="317">
      <c r="A317" s="38"/>
      <c r="B317" s="38"/>
      <c r="C317" s="38"/>
      <c r="D317" s="38"/>
      <c r="E317" s="38"/>
      <c r="F317" s="38"/>
      <c r="G317" s="38"/>
      <c r="H317" s="38"/>
      <c r="I317" s="38"/>
      <c r="J317" s="38"/>
      <c r="K317" s="38"/>
    </row>
    <row r="318">
      <c r="A318" s="38"/>
      <c r="B318" s="38"/>
      <c r="C318" s="38"/>
      <c r="D318" s="38"/>
      <c r="E318" s="38"/>
      <c r="F318" s="38"/>
      <c r="G318" s="38"/>
      <c r="H318" s="38"/>
      <c r="I318" s="38"/>
      <c r="J318" s="38"/>
      <c r="K318" s="38"/>
    </row>
    <row r="319">
      <c r="A319" s="38"/>
      <c r="B319" s="38"/>
      <c r="C319" s="38"/>
      <c r="D319" s="38"/>
      <c r="E319" s="38"/>
      <c r="F319" s="38"/>
      <c r="G319" s="38"/>
      <c r="H319" s="38"/>
      <c r="I319" s="38"/>
      <c r="J319" s="38"/>
      <c r="K319" s="38"/>
    </row>
    <row r="320">
      <c r="A320" s="38"/>
      <c r="B320" s="38"/>
      <c r="C320" s="38"/>
      <c r="D320" s="38"/>
      <c r="E320" s="38"/>
      <c r="F320" s="38"/>
      <c r="G320" s="38"/>
      <c r="H320" s="38"/>
      <c r="I320" s="38"/>
      <c r="J320" s="38"/>
      <c r="K320" s="38"/>
    </row>
    <row r="321">
      <c r="A321" s="38"/>
      <c r="B321" s="38"/>
      <c r="C321" s="38"/>
      <c r="D321" s="38"/>
      <c r="E321" s="38"/>
      <c r="F321" s="38"/>
      <c r="G321" s="38"/>
      <c r="H321" s="38"/>
      <c r="I321" s="38"/>
      <c r="J321" s="38"/>
      <c r="K321" s="38"/>
    </row>
    <row r="322">
      <c r="A322" s="38"/>
      <c r="B322" s="38"/>
      <c r="C322" s="38"/>
      <c r="D322" s="38"/>
      <c r="E322" s="38"/>
      <c r="F322" s="38"/>
      <c r="G322" s="38"/>
      <c r="H322" s="38"/>
      <c r="I322" s="38"/>
      <c r="J322" s="38"/>
      <c r="K322" s="38"/>
    </row>
    <row r="323">
      <c r="A323" s="38"/>
      <c r="B323" s="38"/>
      <c r="C323" s="38"/>
      <c r="D323" s="38"/>
      <c r="E323" s="38"/>
      <c r="F323" s="38"/>
      <c r="G323" s="38"/>
      <c r="H323" s="38"/>
      <c r="I323" s="38"/>
      <c r="J323" s="38"/>
      <c r="K323" s="38"/>
    </row>
    <row r="324">
      <c r="A324" s="38"/>
      <c r="B324" s="38"/>
      <c r="C324" s="38"/>
      <c r="D324" s="38"/>
      <c r="E324" s="38"/>
      <c r="F324" s="38"/>
      <c r="G324" s="38"/>
      <c r="H324" s="38"/>
      <c r="I324" s="38"/>
      <c r="J324" s="38"/>
      <c r="K324" s="38"/>
    </row>
    <row r="325">
      <c r="A325" s="38"/>
      <c r="B325" s="38"/>
      <c r="C325" s="38"/>
      <c r="D325" s="38"/>
      <c r="E325" s="38"/>
      <c r="F325" s="38"/>
      <c r="G325" s="38"/>
      <c r="H325" s="38"/>
      <c r="I325" s="38"/>
      <c r="J325" s="38"/>
      <c r="K325" s="38"/>
    </row>
    <row r="326">
      <c r="A326" s="38"/>
      <c r="B326" s="38"/>
      <c r="C326" s="38"/>
      <c r="D326" s="38"/>
      <c r="E326" s="38"/>
      <c r="F326" s="38"/>
      <c r="G326" s="38"/>
      <c r="H326" s="38"/>
      <c r="I326" s="38"/>
      <c r="J326" s="38"/>
      <c r="K326" s="38"/>
    </row>
    <row r="327">
      <c r="A327" s="38"/>
      <c r="B327" s="38"/>
      <c r="C327" s="38"/>
      <c r="D327" s="38"/>
      <c r="E327" s="38"/>
      <c r="F327" s="38"/>
      <c r="G327" s="38"/>
      <c r="H327" s="38"/>
      <c r="I327" s="38"/>
      <c r="J327" s="38"/>
      <c r="K327" s="38"/>
    </row>
    <row r="328">
      <c r="A328" s="38"/>
      <c r="B328" s="38"/>
      <c r="C328" s="38"/>
      <c r="D328" s="38"/>
      <c r="E328" s="38"/>
      <c r="F328" s="38"/>
      <c r="G328" s="38"/>
      <c r="H328" s="38"/>
      <c r="I328" s="38"/>
      <c r="J328" s="38"/>
      <c r="K328" s="38"/>
    </row>
    <row r="329">
      <c r="A329" s="38"/>
      <c r="B329" s="38"/>
      <c r="C329" s="38"/>
      <c r="D329" s="38"/>
      <c r="E329" s="38"/>
      <c r="F329" s="38"/>
      <c r="G329" s="38"/>
      <c r="H329" s="38"/>
      <c r="I329" s="38"/>
      <c r="J329" s="38"/>
      <c r="K329" s="38"/>
    </row>
    <row r="330">
      <c r="A330" s="38"/>
      <c r="B330" s="38"/>
      <c r="C330" s="38"/>
      <c r="D330" s="38"/>
      <c r="E330" s="38"/>
      <c r="F330" s="38"/>
      <c r="G330" s="38"/>
      <c r="H330" s="38"/>
      <c r="I330" s="38"/>
      <c r="J330" s="38"/>
      <c r="K330" s="38"/>
    </row>
    <row r="331">
      <c r="A331" s="38"/>
      <c r="B331" s="38"/>
      <c r="C331" s="38"/>
      <c r="D331" s="38"/>
      <c r="E331" s="38"/>
      <c r="F331" s="38"/>
      <c r="G331" s="38"/>
      <c r="H331" s="38"/>
      <c r="I331" s="38"/>
      <c r="J331" s="38"/>
      <c r="K331" s="38"/>
    </row>
    <row r="332">
      <c r="A332" s="38"/>
      <c r="B332" s="38"/>
      <c r="C332" s="38"/>
      <c r="D332" s="38"/>
      <c r="E332" s="38"/>
      <c r="F332" s="38"/>
      <c r="G332" s="38"/>
      <c r="H332" s="38"/>
      <c r="I332" s="38"/>
      <c r="J332" s="38"/>
      <c r="K332" s="38"/>
    </row>
    <row r="333">
      <c r="A333" s="38"/>
      <c r="B333" s="38"/>
      <c r="C333" s="38"/>
      <c r="D333" s="38"/>
      <c r="E333" s="38"/>
      <c r="F333" s="38"/>
      <c r="G333" s="38"/>
      <c r="H333" s="38"/>
      <c r="I333" s="38"/>
      <c r="J333" s="38"/>
      <c r="K333" s="38"/>
    </row>
    <row r="334">
      <c r="A334" s="38"/>
      <c r="B334" s="38"/>
      <c r="C334" s="38"/>
      <c r="D334" s="38"/>
      <c r="E334" s="38"/>
      <c r="F334" s="38"/>
      <c r="G334" s="38"/>
      <c r="H334" s="38"/>
      <c r="I334" s="38"/>
      <c r="J334" s="38"/>
      <c r="K334" s="38"/>
    </row>
    <row r="335">
      <c r="A335" s="38"/>
      <c r="B335" s="38"/>
      <c r="C335" s="38"/>
      <c r="D335" s="38"/>
      <c r="E335" s="38"/>
      <c r="F335" s="38"/>
      <c r="G335" s="38"/>
      <c r="H335" s="38"/>
      <c r="I335" s="38"/>
      <c r="J335" s="38"/>
      <c r="K335" s="38"/>
    </row>
    <row r="336">
      <c r="A336" s="38"/>
      <c r="B336" s="38"/>
      <c r="C336" s="38"/>
      <c r="D336" s="38"/>
      <c r="E336" s="38"/>
      <c r="F336" s="38"/>
      <c r="G336" s="38"/>
      <c r="H336" s="38"/>
      <c r="I336" s="38"/>
      <c r="J336" s="38"/>
      <c r="K336" s="38"/>
    </row>
    <row r="337">
      <c r="A337" s="38"/>
      <c r="B337" s="38"/>
      <c r="C337" s="38"/>
      <c r="D337" s="38"/>
      <c r="E337" s="38"/>
      <c r="F337" s="38"/>
      <c r="G337" s="38"/>
      <c r="H337" s="38"/>
      <c r="I337" s="38"/>
      <c r="J337" s="38"/>
      <c r="K337" s="38"/>
    </row>
    <row r="338">
      <c r="A338" s="38"/>
      <c r="B338" s="38"/>
      <c r="C338" s="38"/>
      <c r="D338" s="38"/>
      <c r="E338" s="38"/>
      <c r="F338" s="38"/>
      <c r="G338" s="38"/>
      <c r="H338" s="38"/>
      <c r="I338" s="38"/>
      <c r="J338" s="38"/>
      <c r="K338" s="38"/>
    </row>
    <row r="339">
      <c r="A339" s="38"/>
      <c r="B339" s="38"/>
      <c r="C339" s="38"/>
      <c r="D339" s="38"/>
      <c r="E339" s="38"/>
      <c r="F339" s="38"/>
      <c r="G339" s="38"/>
      <c r="H339" s="38"/>
      <c r="I339" s="38"/>
      <c r="J339" s="38"/>
      <c r="K339" s="38"/>
    </row>
    <row r="340">
      <c r="A340" s="38"/>
      <c r="B340" s="38"/>
      <c r="C340" s="38"/>
      <c r="D340" s="38"/>
      <c r="E340" s="38"/>
      <c r="F340" s="38"/>
      <c r="G340" s="38"/>
      <c r="H340" s="38"/>
      <c r="I340" s="38"/>
      <c r="J340" s="38"/>
      <c r="K340" s="38"/>
    </row>
    <row r="341">
      <c r="A341" s="38"/>
      <c r="B341" s="38"/>
      <c r="C341" s="38"/>
      <c r="D341" s="38"/>
      <c r="E341" s="38"/>
      <c r="F341" s="38"/>
      <c r="G341" s="38"/>
      <c r="H341" s="38"/>
      <c r="I341" s="38"/>
      <c r="J341" s="38"/>
      <c r="K341" s="38"/>
    </row>
    <row r="342">
      <c r="A342" s="38"/>
      <c r="B342" s="38"/>
      <c r="C342" s="38"/>
      <c r="D342" s="38"/>
      <c r="E342" s="38"/>
      <c r="F342" s="38"/>
      <c r="G342" s="38"/>
      <c r="H342" s="38"/>
      <c r="I342" s="38"/>
      <c r="J342" s="38"/>
      <c r="K342" s="38"/>
    </row>
    <row r="343">
      <c r="A343" s="38"/>
      <c r="B343" s="38"/>
      <c r="C343" s="38"/>
      <c r="D343" s="38"/>
      <c r="E343" s="38"/>
      <c r="F343" s="38"/>
      <c r="G343" s="38"/>
      <c r="H343" s="38"/>
      <c r="I343" s="38"/>
      <c r="J343" s="38"/>
      <c r="K343" s="38"/>
    </row>
    <row r="344">
      <c r="A344" s="38"/>
      <c r="B344" s="38"/>
      <c r="C344" s="38"/>
      <c r="D344" s="38"/>
      <c r="E344" s="38"/>
      <c r="F344" s="38"/>
      <c r="G344" s="38"/>
      <c r="H344" s="38"/>
      <c r="I344" s="38"/>
      <c r="J344" s="38"/>
      <c r="K344" s="38"/>
    </row>
    <row r="345">
      <c r="A345" s="38"/>
      <c r="B345" s="38"/>
      <c r="C345" s="38"/>
      <c r="D345" s="38"/>
      <c r="E345" s="38"/>
      <c r="F345" s="38"/>
      <c r="G345" s="38"/>
      <c r="H345" s="38"/>
      <c r="I345" s="38"/>
      <c r="J345" s="38"/>
      <c r="K345" s="38"/>
    </row>
    <row r="346">
      <c r="A346" s="38"/>
      <c r="B346" s="38"/>
      <c r="C346" s="38"/>
      <c r="D346" s="38"/>
      <c r="E346" s="38"/>
      <c r="F346" s="38"/>
      <c r="G346" s="38"/>
      <c r="H346" s="38"/>
      <c r="I346" s="38"/>
      <c r="J346" s="38"/>
      <c r="K346" s="38"/>
    </row>
    <row r="347">
      <c r="A347" s="38"/>
      <c r="B347" s="38"/>
      <c r="C347" s="38"/>
      <c r="D347" s="38"/>
      <c r="E347" s="38"/>
      <c r="F347" s="38"/>
      <c r="G347" s="38"/>
      <c r="H347" s="38"/>
      <c r="I347" s="38"/>
      <c r="J347" s="38"/>
      <c r="K347" s="38"/>
    </row>
    <row r="348">
      <c r="A348" s="38"/>
      <c r="B348" s="38"/>
      <c r="C348" s="38"/>
      <c r="D348" s="38"/>
      <c r="E348" s="38"/>
      <c r="F348" s="38"/>
      <c r="G348" s="38"/>
      <c r="H348" s="38"/>
      <c r="I348" s="38"/>
      <c r="J348" s="38"/>
      <c r="K348" s="38"/>
    </row>
    <row r="349">
      <c r="A349" s="38"/>
      <c r="B349" s="38"/>
      <c r="C349" s="38"/>
      <c r="D349" s="38"/>
      <c r="E349" s="38"/>
      <c r="F349" s="38"/>
      <c r="G349" s="38"/>
      <c r="H349" s="38"/>
      <c r="I349" s="38"/>
      <c r="J349" s="38"/>
      <c r="K349" s="38"/>
    </row>
    <row r="350">
      <c r="A350" s="38"/>
      <c r="B350" s="38"/>
      <c r="C350" s="38"/>
      <c r="D350" s="38"/>
      <c r="E350" s="38"/>
      <c r="F350" s="38"/>
      <c r="G350" s="38"/>
      <c r="H350" s="38"/>
      <c r="I350" s="38"/>
      <c r="J350" s="38"/>
      <c r="K350" s="38"/>
    </row>
    <row r="351">
      <c r="A351" s="38"/>
      <c r="B351" s="38"/>
      <c r="C351" s="38"/>
      <c r="D351" s="38"/>
      <c r="E351" s="38"/>
      <c r="F351" s="38"/>
      <c r="G351" s="38"/>
      <c r="H351" s="38"/>
      <c r="I351" s="38"/>
      <c r="J351" s="38"/>
      <c r="K351" s="38"/>
    </row>
    <row r="352">
      <c r="A352" s="38"/>
      <c r="B352" s="38"/>
      <c r="C352" s="38"/>
      <c r="D352" s="38"/>
      <c r="E352" s="38"/>
      <c r="F352" s="38"/>
      <c r="G352" s="38"/>
      <c r="H352" s="38"/>
      <c r="I352" s="38"/>
      <c r="J352" s="38"/>
      <c r="K352" s="38"/>
    </row>
    <row r="353">
      <c r="A353" s="38"/>
      <c r="B353" s="38"/>
      <c r="C353" s="38"/>
      <c r="D353" s="38"/>
      <c r="E353" s="38"/>
      <c r="F353" s="38"/>
      <c r="G353" s="38"/>
      <c r="H353" s="38"/>
      <c r="I353" s="38"/>
      <c r="J353" s="38"/>
      <c r="K353" s="38"/>
    </row>
    <row r="354">
      <c r="A354" s="38"/>
      <c r="B354" s="38"/>
      <c r="C354" s="38"/>
      <c r="D354" s="38"/>
      <c r="E354" s="38"/>
      <c r="F354" s="38"/>
      <c r="G354" s="38"/>
      <c r="H354" s="38"/>
      <c r="I354" s="38"/>
      <c r="J354" s="38"/>
      <c r="K354" s="38"/>
    </row>
    <row r="355">
      <c r="A355" s="38"/>
      <c r="B355" s="38"/>
      <c r="C355" s="38"/>
      <c r="D355" s="38"/>
      <c r="E355" s="38"/>
      <c r="F355" s="38"/>
      <c r="G355" s="38"/>
      <c r="H355" s="38"/>
      <c r="I355" s="38"/>
      <c r="J355" s="38"/>
      <c r="K355" s="38"/>
    </row>
    <row r="356">
      <c r="A356" s="38"/>
      <c r="B356" s="38"/>
      <c r="C356" s="38"/>
      <c r="D356" s="38"/>
      <c r="E356" s="38"/>
      <c r="F356" s="38"/>
      <c r="G356" s="38"/>
      <c r="H356" s="38"/>
      <c r="I356" s="38"/>
      <c r="J356" s="38"/>
      <c r="K356" s="38"/>
    </row>
    <row r="357">
      <c r="A357" s="38"/>
      <c r="B357" s="38"/>
      <c r="C357" s="38"/>
      <c r="D357" s="38"/>
      <c r="E357" s="38"/>
      <c r="F357" s="38"/>
      <c r="G357" s="38"/>
      <c r="H357" s="38"/>
      <c r="I357" s="38"/>
      <c r="J357" s="38"/>
      <c r="K357" s="38"/>
    </row>
    <row r="358">
      <c r="A358" s="38"/>
      <c r="B358" s="38"/>
      <c r="C358" s="38"/>
      <c r="D358" s="38"/>
      <c r="E358" s="38"/>
      <c r="F358" s="38"/>
      <c r="G358" s="38"/>
      <c r="H358" s="38"/>
      <c r="I358" s="38"/>
      <c r="J358" s="38"/>
      <c r="K358" s="38"/>
    </row>
    <row r="359">
      <c r="A359" s="38"/>
      <c r="B359" s="38"/>
      <c r="C359" s="38"/>
      <c r="D359" s="38"/>
      <c r="E359" s="38"/>
      <c r="F359" s="38"/>
      <c r="G359" s="38"/>
      <c r="H359" s="38"/>
      <c r="I359" s="38"/>
      <c r="J359" s="38"/>
      <c r="K359" s="38"/>
    </row>
    <row r="360">
      <c r="A360" s="38"/>
      <c r="B360" s="38"/>
      <c r="C360" s="38"/>
      <c r="D360" s="38"/>
      <c r="E360" s="38"/>
      <c r="F360" s="38"/>
      <c r="G360" s="38"/>
      <c r="H360" s="38"/>
      <c r="I360" s="38"/>
      <c r="J360" s="38"/>
      <c r="K360" s="38"/>
    </row>
    <row r="361">
      <c r="A361" s="38"/>
      <c r="B361" s="38"/>
      <c r="C361" s="38"/>
      <c r="D361" s="38"/>
      <c r="E361" s="38"/>
      <c r="F361" s="38"/>
      <c r="G361" s="38"/>
      <c r="H361" s="38"/>
      <c r="I361" s="38"/>
      <c r="J361" s="38"/>
      <c r="K361" s="38"/>
    </row>
    <row r="362">
      <c r="A362" s="38"/>
      <c r="B362" s="38"/>
      <c r="C362" s="38"/>
      <c r="D362" s="38"/>
      <c r="E362" s="38"/>
      <c r="F362" s="38"/>
      <c r="G362" s="38"/>
      <c r="H362" s="38"/>
      <c r="I362" s="38"/>
      <c r="J362" s="38"/>
      <c r="K362" s="38"/>
    </row>
    <row r="363">
      <c r="A363" s="38"/>
      <c r="B363" s="38"/>
      <c r="C363" s="38"/>
      <c r="D363" s="38"/>
      <c r="E363" s="38"/>
      <c r="F363" s="38"/>
      <c r="G363" s="38"/>
      <c r="H363" s="38"/>
      <c r="I363" s="38"/>
      <c r="J363" s="38"/>
      <c r="K363" s="38"/>
    </row>
    <row r="364">
      <c r="A364" s="38"/>
      <c r="B364" s="38"/>
      <c r="C364" s="38"/>
      <c r="D364" s="38"/>
      <c r="E364" s="38"/>
      <c r="F364" s="38"/>
      <c r="G364" s="38"/>
      <c r="H364" s="38"/>
      <c r="I364" s="38"/>
      <c r="J364" s="38"/>
      <c r="K364" s="38"/>
    </row>
    <row r="365">
      <c r="A365" s="38"/>
      <c r="B365" s="38"/>
      <c r="C365" s="38"/>
      <c r="D365" s="38"/>
      <c r="E365" s="38"/>
      <c r="F365" s="38"/>
      <c r="G365" s="38"/>
      <c r="H365" s="38"/>
      <c r="I365" s="38"/>
      <c r="J365" s="38"/>
      <c r="K365" s="38"/>
    </row>
    <row r="366">
      <c r="A366" s="38"/>
      <c r="B366" s="38"/>
      <c r="C366" s="38"/>
      <c r="D366" s="38"/>
      <c r="E366" s="38"/>
      <c r="F366" s="38"/>
      <c r="G366" s="38"/>
      <c r="H366" s="38"/>
      <c r="I366" s="38"/>
      <c r="J366" s="38"/>
      <c r="K366" s="38"/>
    </row>
    <row r="367">
      <c r="A367" s="38"/>
      <c r="B367" s="38"/>
      <c r="C367" s="38"/>
      <c r="D367" s="38"/>
      <c r="E367" s="38"/>
      <c r="F367" s="38"/>
      <c r="G367" s="38"/>
      <c r="H367" s="38"/>
      <c r="I367" s="38"/>
      <c r="J367" s="38"/>
      <c r="K367" s="38"/>
    </row>
    <row r="368">
      <c r="A368" s="38"/>
      <c r="B368" s="38"/>
      <c r="C368" s="38"/>
      <c r="D368" s="38"/>
      <c r="E368" s="38"/>
      <c r="F368" s="38"/>
      <c r="G368" s="38"/>
      <c r="H368" s="38"/>
      <c r="I368" s="38"/>
      <c r="J368" s="38"/>
      <c r="K368" s="38"/>
    </row>
    <row r="369">
      <c r="A369" s="38"/>
      <c r="B369" s="38"/>
      <c r="C369" s="38"/>
      <c r="D369" s="38"/>
      <c r="E369" s="38"/>
      <c r="F369" s="38"/>
      <c r="G369" s="38"/>
      <c r="H369" s="38"/>
      <c r="I369" s="38"/>
      <c r="J369" s="38"/>
      <c r="K369" s="38"/>
    </row>
    <row r="370">
      <c r="A370" s="38"/>
      <c r="B370" s="38"/>
      <c r="C370" s="38"/>
      <c r="D370" s="38"/>
      <c r="E370" s="38"/>
      <c r="F370" s="38"/>
      <c r="G370" s="38"/>
      <c r="H370" s="38"/>
      <c r="I370" s="38"/>
      <c r="J370" s="38"/>
      <c r="K370" s="38"/>
    </row>
    <row r="371">
      <c r="A371" s="38"/>
      <c r="B371" s="38"/>
      <c r="C371" s="38"/>
      <c r="D371" s="38"/>
      <c r="E371" s="38"/>
      <c r="F371" s="38"/>
      <c r="G371" s="38"/>
      <c r="H371" s="38"/>
      <c r="I371" s="38"/>
      <c r="J371" s="38"/>
      <c r="K371" s="38"/>
    </row>
    <row r="372">
      <c r="A372" s="38"/>
      <c r="B372" s="38"/>
      <c r="C372" s="38"/>
      <c r="D372" s="38"/>
      <c r="E372" s="38"/>
      <c r="F372" s="38"/>
      <c r="G372" s="38"/>
      <c r="H372" s="38"/>
      <c r="I372" s="38"/>
      <c r="J372" s="38"/>
      <c r="K372" s="38"/>
    </row>
    <row r="373">
      <c r="A373" s="38"/>
      <c r="B373" s="38"/>
      <c r="C373" s="38"/>
      <c r="D373" s="38"/>
      <c r="E373" s="38"/>
      <c r="F373" s="38"/>
      <c r="G373" s="38"/>
      <c r="H373" s="38"/>
      <c r="I373" s="38"/>
      <c r="J373" s="38"/>
      <c r="K373" s="38"/>
    </row>
    <row r="374">
      <c r="A374" s="38"/>
      <c r="B374" s="38"/>
      <c r="C374" s="38"/>
      <c r="D374" s="38"/>
      <c r="E374" s="38"/>
      <c r="F374" s="38"/>
      <c r="G374" s="38"/>
      <c r="H374" s="38"/>
      <c r="I374" s="38"/>
      <c r="J374" s="38"/>
      <c r="K374" s="38"/>
    </row>
    <row r="375">
      <c r="A375" s="38"/>
      <c r="B375" s="38"/>
      <c r="C375" s="38"/>
      <c r="D375" s="38"/>
      <c r="E375" s="38"/>
      <c r="F375" s="38"/>
      <c r="G375" s="38"/>
      <c r="H375" s="38"/>
      <c r="I375" s="38"/>
      <c r="J375" s="38"/>
      <c r="K375" s="38"/>
    </row>
    <row r="376">
      <c r="A376" s="38"/>
      <c r="B376" s="38"/>
      <c r="C376" s="38"/>
      <c r="D376" s="38"/>
      <c r="E376" s="38"/>
      <c r="F376" s="38"/>
      <c r="G376" s="38"/>
      <c r="H376" s="38"/>
      <c r="I376" s="38"/>
      <c r="J376" s="38"/>
      <c r="K376" s="38"/>
    </row>
    <row r="377">
      <c r="A377" s="38"/>
      <c r="B377" s="38"/>
      <c r="C377" s="38"/>
      <c r="D377" s="38"/>
      <c r="E377" s="38"/>
      <c r="F377" s="38"/>
      <c r="G377" s="38"/>
      <c r="H377" s="38"/>
      <c r="I377" s="38"/>
      <c r="J377" s="38"/>
      <c r="K377" s="38"/>
    </row>
    <row r="378">
      <c r="A378" s="38"/>
      <c r="B378" s="38"/>
      <c r="C378" s="38"/>
      <c r="D378" s="38"/>
      <c r="E378" s="38"/>
      <c r="F378" s="38"/>
      <c r="G378" s="38"/>
      <c r="H378" s="38"/>
      <c r="I378" s="38"/>
      <c r="J378" s="38"/>
      <c r="K378" s="38"/>
    </row>
    <row r="379">
      <c r="A379" s="38"/>
      <c r="B379" s="38"/>
      <c r="C379" s="38"/>
      <c r="D379" s="38"/>
      <c r="E379" s="38"/>
      <c r="F379" s="38"/>
      <c r="G379" s="38"/>
      <c r="H379" s="38"/>
      <c r="I379" s="38"/>
      <c r="J379" s="38"/>
      <c r="K379" s="38"/>
    </row>
    <row r="380">
      <c r="A380" s="38"/>
      <c r="B380" s="38"/>
      <c r="C380" s="38"/>
      <c r="D380" s="38"/>
      <c r="E380" s="38"/>
      <c r="F380" s="38"/>
      <c r="G380" s="38"/>
      <c r="H380" s="38"/>
      <c r="I380" s="38"/>
      <c r="J380" s="38"/>
      <c r="K380" s="38"/>
    </row>
    <row r="381">
      <c r="A381" s="38"/>
      <c r="B381" s="38"/>
      <c r="C381" s="38"/>
      <c r="D381" s="38"/>
      <c r="E381" s="38"/>
      <c r="F381" s="38"/>
      <c r="G381" s="38"/>
      <c r="H381" s="38"/>
      <c r="I381" s="38"/>
      <c r="J381" s="38"/>
      <c r="K381" s="38"/>
    </row>
    <row r="382">
      <c r="A382" s="38"/>
      <c r="B382" s="38"/>
      <c r="C382" s="38"/>
      <c r="D382" s="38"/>
      <c r="E382" s="38"/>
      <c r="F382" s="38"/>
      <c r="G382" s="38"/>
      <c r="H382" s="38"/>
      <c r="I382" s="38"/>
      <c r="J382" s="38"/>
      <c r="K382" s="38"/>
    </row>
    <row r="383">
      <c r="A383" s="38"/>
      <c r="B383" s="38"/>
      <c r="C383" s="38"/>
      <c r="D383" s="38"/>
      <c r="E383" s="38"/>
      <c r="F383" s="38"/>
      <c r="G383" s="38"/>
      <c r="H383" s="38"/>
      <c r="I383" s="38"/>
      <c r="J383" s="38"/>
      <c r="K383" s="38"/>
    </row>
    <row r="384">
      <c r="A384" s="38"/>
      <c r="B384" s="38"/>
      <c r="C384" s="38"/>
      <c r="D384" s="38"/>
      <c r="E384" s="38"/>
      <c r="F384" s="38"/>
      <c r="G384" s="38"/>
      <c r="H384" s="38"/>
      <c r="I384" s="38"/>
      <c r="J384" s="38"/>
      <c r="K384" s="38"/>
    </row>
    <row r="385">
      <c r="A385" s="38"/>
      <c r="B385" s="38"/>
      <c r="C385" s="38"/>
      <c r="D385" s="38"/>
      <c r="E385" s="38"/>
      <c r="F385" s="38"/>
      <c r="G385" s="38"/>
      <c r="H385" s="38"/>
      <c r="I385" s="38"/>
      <c r="J385" s="38"/>
      <c r="K385" s="38"/>
    </row>
    <row r="386">
      <c r="A386" s="38"/>
      <c r="B386" s="38"/>
      <c r="C386" s="38"/>
      <c r="D386" s="38"/>
      <c r="E386" s="38"/>
      <c r="F386" s="38"/>
      <c r="G386" s="38"/>
      <c r="H386" s="38"/>
      <c r="I386" s="38"/>
      <c r="J386" s="38"/>
      <c r="K386" s="38"/>
    </row>
    <row r="387">
      <c r="A387" s="38"/>
      <c r="B387" s="38"/>
      <c r="C387" s="38"/>
      <c r="D387" s="38"/>
      <c r="E387" s="38"/>
      <c r="F387" s="38"/>
      <c r="G387" s="38"/>
      <c r="H387" s="38"/>
      <c r="I387" s="38"/>
      <c r="J387" s="38"/>
      <c r="K387" s="38"/>
    </row>
    <row r="388">
      <c r="A388" s="38"/>
      <c r="B388" s="38"/>
      <c r="C388" s="38"/>
      <c r="D388" s="38"/>
      <c r="E388" s="38"/>
      <c r="F388" s="38"/>
      <c r="G388" s="38"/>
      <c r="H388" s="38"/>
      <c r="I388" s="38"/>
      <c r="J388" s="38"/>
      <c r="K388" s="38"/>
    </row>
    <row r="389">
      <c r="A389" s="38"/>
      <c r="B389" s="38"/>
      <c r="C389" s="38"/>
      <c r="D389" s="38"/>
      <c r="E389" s="38"/>
      <c r="F389" s="38"/>
      <c r="G389" s="38"/>
      <c r="H389" s="38"/>
      <c r="I389" s="38"/>
      <c r="J389" s="38"/>
      <c r="K389" s="38"/>
    </row>
    <row r="390">
      <c r="A390" s="38"/>
      <c r="B390" s="38"/>
      <c r="C390" s="38"/>
      <c r="D390" s="38"/>
      <c r="E390" s="38"/>
      <c r="F390" s="38"/>
      <c r="G390" s="38"/>
      <c r="H390" s="38"/>
      <c r="I390" s="38"/>
      <c r="J390" s="38"/>
      <c r="K390" s="38"/>
    </row>
    <row r="391">
      <c r="A391" s="38"/>
      <c r="B391" s="38"/>
      <c r="C391" s="38"/>
      <c r="D391" s="38"/>
      <c r="E391" s="38"/>
      <c r="F391" s="38"/>
      <c r="G391" s="38"/>
      <c r="H391" s="38"/>
      <c r="I391" s="38"/>
      <c r="J391" s="38"/>
      <c r="K391" s="38"/>
    </row>
    <row r="392">
      <c r="A392" s="38"/>
      <c r="B392" s="38"/>
      <c r="C392" s="38"/>
      <c r="D392" s="38"/>
      <c r="E392" s="38"/>
      <c r="F392" s="38"/>
      <c r="G392" s="38"/>
      <c r="H392" s="38"/>
      <c r="I392" s="38"/>
      <c r="J392" s="38"/>
      <c r="K392" s="38"/>
    </row>
    <row r="393">
      <c r="A393" s="38"/>
      <c r="B393" s="38"/>
      <c r="C393" s="38"/>
      <c r="D393" s="38"/>
      <c r="E393" s="38"/>
      <c r="F393" s="38"/>
      <c r="G393" s="38"/>
      <c r="H393" s="38"/>
      <c r="I393" s="38"/>
      <c r="J393" s="38"/>
      <c r="K393" s="38"/>
    </row>
    <row r="394">
      <c r="A394" s="38"/>
      <c r="B394" s="38"/>
      <c r="C394" s="38"/>
      <c r="D394" s="38"/>
      <c r="E394" s="38"/>
      <c r="F394" s="38"/>
      <c r="G394" s="38"/>
      <c r="H394" s="38"/>
      <c r="I394" s="38"/>
      <c r="J394" s="38"/>
      <c r="K394" s="38"/>
    </row>
    <row r="395">
      <c r="A395" s="38"/>
      <c r="B395" s="38"/>
      <c r="C395" s="38"/>
      <c r="D395" s="38"/>
      <c r="E395" s="38"/>
      <c r="F395" s="38"/>
      <c r="G395" s="38"/>
      <c r="H395" s="38"/>
      <c r="I395" s="38"/>
      <c r="J395" s="38"/>
      <c r="K395" s="38"/>
    </row>
    <row r="396">
      <c r="A396" s="38"/>
      <c r="B396" s="38"/>
      <c r="C396" s="38"/>
      <c r="D396" s="38"/>
      <c r="E396" s="38"/>
      <c r="F396" s="38"/>
      <c r="G396" s="38"/>
      <c r="H396" s="38"/>
      <c r="I396" s="38"/>
      <c r="J396" s="38"/>
      <c r="K396" s="38"/>
    </row>
    <row r="397">
      <c r="A397" s="38"/>
      <c r="B397" s="38"/>
      <c r="C397" s="38"/>
      <c r="D397" s="38"/>
      <c r="E397" s="38"/>
      <c r="F397" s="38"/>
      <c r="G397" s="38"/>
      <c r="H397" s="38"/>
      <c r="I397" s="38"/>
      <c r="J397" s="38"/>
      <c r="K397" s="38"/>
    </row>
    <row r="398">
      <c r="A398" s="38"/>
      <c r="B398" s="38"/>
      <c r="C398" s="38"/>
      <c r="D398" s="38"/>
      <c r="E398" s="38"/>
      <c r="F398" s="38"/>
      <c r="G398" s="38"/>
      <c r="H398" s="38"/>
      <c r="I398" s="38"/>
      <c r="J398" s="38"/>
      <c r="K398" s="38"/>
    </row>
    <row r="399">
      <c r="A399" s="38"/>
      <c r="B399" s="38"/>
      <c r="C399" s="38"/>
      <c r="D399" s="38"/>
      <c r="E399" s="38"/>
      <c r="F399" s="38"/>
      <c r="G399" s="38"/>
      <c r="H399" s="38"/>
      <c r="I399" s="38"/>
      <c r="J399" s="38"/>
      <c r="K399" s="38"/>
    </row>
    <row r="400">
      <c r="A400" s="38"/>
      <c r="B400" s="38"/>
      <c r="C400" s="38"/>
      <c r="D400" s="38"/>
      <c r="E400" s="38"/>
      <c r="F400" s="38"/>
      <c r="G400" s="38"/>
      <c r="H400" s="38"/>
      <c r="I400" s="38"/>
      <c r="J400" s="38"/>
      <c r="K400" s="38"/>
    </row>
    <row r="401">
      <c r="A401" s="38"/>
      <c r="B401" s="38"/>
      <c r="C401" s="38"/>
      <c r="D401" s="38"/>
      <c r="E401" s="38"/>
      <c r="F401" s="38"/>
      <c r="G401" s="38"/>
      <c r="H401" s="38"/>
      <c r="I401" s="38"/>
      <c r="J401" s="38"/>
      <c r="K401" s="38"/>
    </row>
    <row r="402">
      <c r="A402" s="38"/>
      <c r="B402" s="38"/>
      <c r="C402" s="38"/>
      <c r="D402" s="38"/>
      <c r="E402" s="38"/>
      <c r="F402" s="38"/>
      <c r="G402" s="38"/>
      <c r="H402" s="38"/>
      <c r="I402" s="38"/>
      <c r="J402" s="38"/>
      <c r="K402" s="38"/>
    </row>
    <row r="403">
      <c r="A403" s="38"/>
      <c r="B403" s="38"/>
      <c r="C403" s="38"/>
      <c r="D403" s="38"/>
      <c r="E403" s="38"/>
      <c r="F403" s="38"/>
      <c r="G403" s="38"/>
      <c r="H403" s="38"/>
      <c r="I403" s="38"/>
      <c r="J403" s="38"/>
      <c r="K403" s="38"/>
    </row>
    <row r="404">
      <c r="A404" s="38"/>
      <c r="B404" s="38"/>
      <c r="C404" s="38"/>
      <c r="D404" s="38"/>
      <c r="E404" s="38"/>
      <c r="F404" s="38"/>
      <c r="G404" s="38"/>
      <c r="H404" s="38"/>
      <c r="I404" s="38"/>
      <c r="J404" s="38"/>
      <c r="K404" s="38"/>
    </row>
    <row r="405">
      <c r="A405" s="38"/>
      <c r="B405" s="38"/>
      <c r="C405" s="38"/>
      <c r="D405" s="38"/>
      <c r="E405" s="38"/>
      <c r="F405" s="38"/>
      <c r="G405" s="38"/>
      <c r="H405" s="38"/>
      <c r="I405" s="38"/>
      <c r="J405" s="38"/>
      <c r="K405" s="38"/>
    </row>
    <row r="406">
      <c r="A406" s="38"/>
      <c r="B406" s="38"/>
      <c r="C406" s="38"/>
      <c r="D406" s="38"/>
      <c r="E406" s="38"/>
      <c r="F406" s="38"/>
      <c r="G406" s="38"/>
      <c r="H406" s="38"/>
      <c r="I406" s="38"/>
      <c r="J406" s="38"/>
      <c r="K406" s="38"/>
    </row>
    <row r="407">
      <c r="A407" s="38"/>
      <c r="B407" s="38"/>
      <c r="C407" s="38"/>
      <c r="D407" s="38"/>
      <c r="E407" s="38"/>
      <c r="F407" s="38"/>
      <c r="G407" s="38"/>
      <c r="H407" s="38"/>
      <c r="I407" s="38"/>
      <c r="J407" s="38"/>
      <c r="K407" s="38"/>
    </row>
    <row r="408">
      <c r="A408" s="38"/>
      <c r="B408" s="38"/>
      <c r="C408" s="38"/>
      <c r="D408" s="38"/>
      <c r="E408" s="38"/>
      <c r="F408" s="38"/>
      <c r="G408" s="38"/>
      <c r="H408" s="38"/>
      <c r="I408" s="38"/>
      <c r="J408" s="38"/>
      <c r="K408" s="38"/>
    </row>
    <row r="409">
      <c r="A409" s="38"/>
      <c r="B409" s="38"/>
      <c r="C409" s="38"/>
      <c r="D409" s="38"/>
      <c r="E409" s="38"/>
      <c r="F409" s="38"/>
      <c r="G409" s="38"/>
      <c r="H409" s="38"/>
      <c r="I409" s="38"/>
      <c r="J409" s="38"/>
      <c r="K409" s="38"/>
    </row>
    <row r="410">
      <c r="A410" s="38"/>
      <c r="B410" s="38"/>
      <c r="C410" s="38"/>
      <c r="D410" s="38"/>
      <c r="E410" s="38"/>
      <c r="F410" s="38"/>
      <c r="G410" s="38"/>
      <c r="H410" s="38"/>
      <c r="I410" s="38"/>
      <c r="J410" s="38"/>
      <c r="K410" s="38"/>
    </row>
    <row r="411">
      <c r="A411" s="38"/>
      <c r="B411" s="38"/>
      <c r="C411" s="38"/>
      <c r="D411" s="38"/>
      <c r="E411" s="38"/>
      <c r="F411" s="38"/>
      <c r="G411" s="38"/>
      <c r="H411" s="38"/>
      <c r="I411" s="38"/>
      <c r="J411" s="38"/>
      <c r="K411" s="38"/>
    </row>
    <row r="412">
      <c r="A412" s="38"/>
      <c r="B412" s="38"/>
      <c r="C412" s="38"/>
      <c r="D412" s="38"/>
      <c r="E412" s="38"/>
      <c r="F412" s="38"/>
      <c r="G412" s="38"/>
      <c r="H412" s="38"/>
      <c r="I412" s="38"/>
      <c r="J412" s="38"/>
      <c r="K412" s="38"/>
    </row>
    <row r="413">
      <c r="A413" s="38"/>
      <c r="B413" s="38"/>
      <c r="C413" s="38"/>
      <c r="D413" s="38"/>
      <c r="E413" s="38"/>
      <c r="F413" s="38"/>
      <c r="G413" s="38"/>
      <c r="H413" s="38"/>
      <c r="I413" s="38"/>
      <c r="J413" s="38"/>
      <c r="K413" s="38"/>
    </row>
    <row r="414">
      <c r="A414" s="38"/>
      <c r="B414" s="38"/>
      <c r="C414" s="38"/>
      <c r="D414" s="38"/>
      <c r="E414" s="38"/>
      <c r="F414" s="38"/>
      <c r="G414" s="38"/>
      <c r="H414" s="38"/>
      <c r="I414" s="38"/>
      <c r="J414" s="38"/>
      <c r="K414" s="38"/>
    </row>
    <row r="415">
      <c r="A415" s="38"/>
      <c r="B415" s="38"/>
      <c r="C415" s="38"/>
      <c r="D415" s="38"/>
      <c r="E415" s="38"/>
      <c r="F415" s="38"/>
      <c r="G415" s="38"/>
      <c r="H415" s="38"/>
      <c r="I415" s="38"/>
      <c r="J415" s="38"/>
      <c r="K415" s="38"/>
    </row>
    <row r="416">
      <c r="A416" s="38"/>
      <c r="B416" s="38"/>
      <c r="C416" s="38"/>
      <c r="D416" s="38"/>
      <c r="E416" s="38"/>
      <c r="F416" s="38"/>
      <c r="G416" s="38"/>
      <c r="H416" s="38"/>
      <c r="I416" s="38"/>
      <c r="J416" s="38"/>
      <c r="K416" s="38"/>
    </row>
    <row r="417">
      <c r="A417" s="38"/>
      <c r="B417" s="38"/>
      <c r="C417" s="38"/>
      <c r="D417" s="38"/>
      <c r="E417" s="38"/>
      <c r="F417" s="38"/>
      <c r="G417" s="38"/>
      <c r="H417" s="38"/>
      <c r="I417" s="38"/>
      <c r="J417" s="38"/>
      <c r="K417" s="38"/>
    </row>
    <row r="418">
      <c r="A418" s="38"/>
      <c r="B418" s="38"/>
      <c r="C418" s="38"/>
      <c r="D418" s="38"/>
      <c r="E418" s="38"/>
      <c r="F418" s="38"/>
      <c r="G418" s="38"/>
      <c r="H418" s="38"/>
      <c r="I418" s="38"/>
      <c r="J418" s="38"/>
      <c r="K418" s="38"/>
    </row>
    <row r="419">
      <c r="A419" s="38"/>
      <c r="B419" s="38"/>
      <c r="C419" s="38"/>
      <c r="D419" s="38"/>
      <c r="E419" s="38"/>
      <c r="F419" s="38"/>
      <c r="G419" s="38"/>
      <c r="H419" s="38"/>
      <c r="I419" s="38"/>
      <c r="J419" s="38"/>
      <c r="K419" s="38"/>
    </row>
    <row r="420">
      <c r="A420" s="38"/>
      <c r="B420" s="38"/>
      <c r="C420" s="38"/>
      <c r="D420" s="38"/>
      <c r="E420" s="38"/>
      <c r="F420" s="38"/>
      <c r="G420" s="38"/>
      <c r="H420" s="38"/>
      <c r="I420" s="38"/>
      <c r="J420" s="38"/>
      <c r="K420" s="38"/>
    </row>
    <row r="421">
      <c r="A421" s="38"/>
      <c r="B421" s="38"/>
      <c r="C421" s="38"/>
      <c r="D421" s="38"/>
      <c r="E421" s="38"/>
      <c r="F421" s="38"/>
      <c r="G421" s="38"/>
      <c r="H421" s="38"/>
      <c r="I421" s="38"/>
      <c r="J421" s="38"/>
      <c r="K421" s="38"/>
    </row>
    <row r="422">
      <c r="A422" s="38"/>
      <c r="B422" s="38"/>
      <c r="C422" s="38"/>
      <c r="D422" s="38"/>
      <c r="E422" s="38"/>
      <c r="F422" s="38"/>
      <c r="G422" s="38"/>
      <c r="H422" s="38"/>
      <c r="I422" s="38"/>
      <c r="J422" s="38"/>
      <c r="K422" s="38"/>
    </row>
    <row r="423">
      <c r="A423" s="38"/>
      <c r="B423" s="38"/>
      <c r="C423" s="38"/>
      <c r="D423" s="38"/>
      <c r="E423" s="38"/>
      <c r="F423" s="38"/>
      <c r="G423" s="38"/>
      <c r="H423" s="38"/>
      <c r="I423" s="38"/>
      <c r="J423" s="38"/>
      <c r="K423" s="38"/>
    </row>
    <row r="424">
      <c r="A424" s="38"/>
      <c r="B424" s="38"/>
      <c r="C424" s="38"/>
      <c r="D424" s="38"/>
      <c r="E424" s="38"/>
      <c r="F424" s="38"/>
      <c r="G424" s="38"/>
      <c r="H424" s="38"/>
      <c r="I424" s="38"/>
      <c r="J424" s="38"/>
      <c r="K424" s="38"/>
    </row>
    <row r="425">
      <c r="A425" s="38"/>
      <c r="B425" s="38"/>
      <c r="C425" s="38"/>
      <c r="D425" s="38"/>
      <c r="E425" s="38"/>
      <c r="F425" s="38"/>
      <c r="G425" s="38"/>
      <c r="H425" s="38"/>
      <c r="I425" s="38"/>
      <c r="J425" s="38"/>
      <c r="K425" s="38"/>
    </row>
    <row r="426">
      <c r="A426" s="38"/>
      <c r="B426" s="38"/>
      <c r="C426" s="38"/>
      <c r="D426" s="38"/>
      <c r="E426" s="38"/>
      <c r="F426" s="38"/>
      <c r="G426" s="38"/>
      <c r="H426" s="38"/>
      <c r="I426" s="38"/>
      <c r="J426" s="38"/>
      <c r="K426" s="38"/>
    </row>
    <row r="427">
      <c r="A427" s="38"/>
      <c r="B427" s="38"/>
      <c r="C427" s="38"/>
      <c r="D427" s="38"/>
      <c r="E427" s="38"/>
      <c r="F427" s="38"/>
      <c r="G427" s="38"/>
      <c r="H427" s="38"/>
      <c r="I427" s="38"/>
      <c r="J427" s="38"/>
      <c r="K427" s="38"/>
    </row>
    <row r="428">
      <c r="A428" s="38"/>
      <c r="B428" s="38"/>
      <c r="C428" s="38"/>
      <c r="D428" s="38"/>
      <c r="E428" s="38"/>
      <c r="F428" s="38"/>
      <c r="G428" s="38"/>
      <c r="H428" s="38"/>
      <c r="I428" s="38"/>
      <c r="J428" s="38"/>
      <c r="K428" s="38"/>
    </row>
    <row r="429">
      <c r="A429" s="38"/>
      <c r="B429" s="38"/>
      <c r="C429" s="38"/>
      <c r="D429" s="38"/>
      <c r="E429" s="38"/>
      <c r="F429" s="38"/>
      <c r="G429" s="38"/>
      <c r="H429" s="38"/>
      <c r="I429" s="38"/>
      <c r="J429" s="38"/>
      <c r="K429" s="38"/>
    </row>
    <row r="430">
      <c r="A430" s="38"/>
      <c r="B430" s="38"/>
      <c r="C430" s="38"/>
      <c r="D430" s="38"/>
      <c r="E430" s="38"/>
      <c r="F430" s="38"/>
      <c r="G430" s="38"/>
      <c r="H430" s="38"/>
      <c r="I430" s="38"/>
      <c r="J430" s="38"/>
      <c r="K430" s="38"/>
    </row>
    <row r="431">
      <c r="A431" s="38"/>
      <c r="B431" s="38"/>
      <c r="C431" s="38"/>
      <c r="D431" s="38"/>
      <c r="E431" s="38"/>
      <c r="F431" s="38"/>
      <c r="G431" s="38"/>
      <c r="H431" s="38"/>
      <c r="I431" s="38"/>
      <c r="J431" s="38"/>
      <c r="K431" s="38"/>
    </row>
    <row r="432">
      <c r="A432" s="38"/>
      <c r="B432" s="38"/>
      <c r="C432" s="38"/>
      <c r="D432" s="38"/>
      <c r="E432" s="38"/>
      <c r="F432" s="38"/>
      <c r="G432" s="38"/>
      <c r="H432" s="38"/>
      <c r="I432" s="38"/>
      <c r="J432" s="38"/>
      <c r="K432" s="38"/>
    </row>
    <row r="433">
      <c r="A433" s="38"/>
      <c r="B433" s="38"/>
      <c r="C433" s="38"/>
      <c r="D433" s="38"/>
      <c r="E433" s="38"/>
      <c r="F433" s="38"/>
      <c r="G433" s="38"/>
      <c r="H433" s="38"/>
      <c r="I433" s="38"/>
      <c r="J433" s="38"/>
      <c r="K433" s="38"/>
    </row>
    <row r="434">
      <c r="A434" s="38"/>
      <c r="B434" s="38"/>
      <c r="C434" s="38"/>
      <c r="D434" s="38"/>
      <c r="E434" s="38"/>
      <c r="F434" s="38"/>
      <c r="G434" s="38"/>
      <c r="H434" s="38"/>
      <c r="I434" s="38"/>
      <c r="J434" s="38"/>
      <c r="K434" s="38"/>
    </row>
    <row r="435">
      <c r="A435" s="38"/>
      <c r="B435" s="38"/>
      <c r="C435" s="38"/>
      <c r="D435" s="38"/>
      <c r="E435" s="38"/>
      <c r="F435" s="38"/>
      <c r="G435" s="38"/>
      <c r="H435" s="38"/>
      <c r="I435" s="38"/>
      <c r="J435" s="38"/>
      <c r="K435" s="38"/>
    </row>
    <row r="436">
      <c r="A436" s="38"/>
      <c r="B436" s="38"/>
      <c r="C436" s="38"/>
      <c r="D436" s="38"/>
      <c r="E436" s="38"/>
      <c r="F436" s="38"/>
      <c r="G436" s="38"/>
      <c r="H436" s="38"/>
      <c r="I436" s="38"/>
      <c r="J436" s="38"/>
      <c r="K436" s="38"/>
    </row>
    <row r="437">
      <c r="A437" s="38"/>
      <c r="B437" s="38"/>
      <c r="C437" s="38"/>
      <c r="D437" s="38"/>
      <c r="E437" s="38"/>
      <c r="F437" s="38"/>
      <c r="G437" s="38"/>
      <c r="H437" s="38"/>
      <c r="I437" s="38"/>
      <c r="J437" s="38"/>
      <c r="K437" s="38"/>
    </row>
    <row r="438">
      <c r="A438" s="38"/>
      <c r="B438" s="38"/>
      <c r="C438" s="38"/>
      <c r="D438" s="38"/>
      <c r="E438" s="38"/>
      <c r="F438" s="38"/>
      <c r="G438" s="38"/>
      <c r="H438" s="38"/>
      <c r="I438" s="38"/>
      <c r="J438" s="38"/>
      <c r="K438" s="38"/>
    </row>
    <row r="439">
      <c r="A439" s="38"/>
      <c r="B439" s="38"/>
      <c r="C439" s="38"/>
      <c r="D439" s="38"/>
      <c r="E439" s="38"/>
      <c r="F439" s="38"/>
      <c r="G439" s="38"/>
      <c r="H439" s="38"/>
      <c r="I439" s="38"/>
      <c r="J439" s="38"/>
      <c r="K439" s="38"/>
    </row>
    <row r="440">
      <c r="A440" s="38"/>
      <c r="B440" s="38"/>
      <c r="C440" s="38"/>
      <c r="D440" s="38"/>
      <c r="E440" s="38"/>
      <c r="F440" s="38"/>
      <c r="G440" s="38"/>
      <c r="H440" s="38"/>
      <c r="I440" s="38"/>
      <c r="J440" s="38"/>
      <c r="K440" s="38"/>
    </row>
    <row r="441">
      <c r="A441" s="38"/>
      <c r="B441" s="38"/>
      <c r="C441" s="38"/>
      <c r="D441" s="38"/>
      <c r="E441" s="38"/>
      <c r="F441" s="38"/>
      <c r="G441" s="38"/>
      <c r="H441" s="38"/>
      <c r="I441" s="38"/>
      <c r="J441" s="38"/>
      <c r="K441" s="38"/>
    </row>
    <row r="442">
      <c r="A442" s="38"/>
      <c r="B442" s="38"/>
      <c r="C442" s="38"/>
      <c r="D442" s="38"/>
      <c r="E442" s="38"/>
      <c r="F442" s="38"/>
      <c r="G442" s="38"/>
      <c r="H442" s="38"/>
      <c r="I442" s="38"/>
      <c r="J442" s="38"/>
      <c r="K442" s="38"/>
    </row>
    <row r="443">
      <c r="A443" s="38"/>
      <c r="B443" s="38"/>
      <c r="C443" s="38"/>
      <c r="D443" s="38"/>
      <c r="E443" s="38"/>
      <c r="F443" s="38"/>
      <c r="G443" s="38"/>
      <c r="H443" s="38"/>
      <c r="I443" s="38"/>
      <c r="J443" s="38"/>
      <c r="K443" s="38"/>
    </row>
    <row r="444">
      <c r="A444" s="38"/>
      <c r="B444" s="38"/>
      <c r="C444" s="38"/>
      <c r="D444" s="38"/>
      <c r="E444" s="38"/>
      <c r="F444" s="38"/>
      <c r="G444" s="38"/>
      <c r="H444" s="38"/>
      <c r="I444" s="38"/>
      <c r="J444" s="38"/>
      <c r="K444" s="38"/>
    </row>
    <row r="445">
      <c r="A445" s="38"/>
      <c r="B445" s="38"/>
      <c r="C445" s="38"/>
      <c r="D445" s="38"/>
      <c r="E445" s="38"/>
      <c r="F445" s="38"/>
      <c r="G445" s="38"/>
      <c r="H445" s="38"/>
      <c r="I445" s="38"/>
      <c r="J445" s="38"/>
      <c r="K445" s="38"/>
    </row>
    <row r="446">
      <c r="A446" s="38"/>
      <c r="B446" s="38"/>
      <c r="C446" s="38"/>
      <c r="D446" s="38"/>
      <c r="E446" s="38"/>
      <c r="F446" s="38"/>
      <c r="G446" s="38"/>
      <c r="H446" s="38"/>
      <c r="I446" s="38"/>
      <c r="J446" s="38"/>
      <c r="K446" s="38"/>
    </row>
    <row r="447">
      <c r="A447" s="38"/>
      <c r="B447" s="38"/>
      <c r="C447" s="38"/>
      <c r="D447" s="38"/>
      <c r="E447" s="38"/>
      <c r="F447" s="38"/>
      <c r="G447" s="38"/>
      <c r="H447" s="38"/>
      <c r="I447" s="38"/>
      <c r="J447" s="38"/>
      <c r="K447" s="38"/>
    </row>
    <row r="448">
      <c r="A448" s="38"/>
      <c r="B448" s="38"/>
      <c r="C448" s="38"/>
      <c r="D448" s="38"/>
      <c r="E448" s="38"/>
      <c r="F448" s="38"/>
      <c r="G448" s="38"/>
      <c r="H448" s="38"/>
      <c r="I448" s="38"/>
      <c r="J448" s="38"/>
      <c r="K448" s="38"/>
    </row>
    <row r="449">
      <c r="A449" s="38"/>
      <c r="B449" s="38"/>
      <c r="C449" s="38"/>
      <c r="D449" s="38"/>
      <c r="E449" s="38"/>
      <c r="F449" s="38"/>
      <c r="G449" s="38"/>
      <c r="H449" s="38"/>
      <c r="I449" s="38"/>
      <c r="J449" s="38"/>
      <c r="K449" s="38"/>
    </row>
    <row r="450">
      <c r="A450" s="38"/>
      <c r="B450" s="38"/>
      <c r="C450" s="38"/>
      <c r="D450" s="38"/>
      <c r="E450" s="38"/>
      <c r="F450" s="38"/>
      <c r="G450" s="38"/>
      <c r="H450" s="38"/>
      <c r="I450" s="38"/>
      <c r="J450" s="38"/>
      <c r="K450" s="38"/>
    </row>
    <row r="451">
      <c r="A451" s="38"/>
      <c r="B451" s="38"/>
      <c r="C451" s="38"/>
      <c r="D451" s="38"/>
      <c r="E451" s="38"/>
      <c r="F451" s="38"/>
      <c r="G451" s="38"/>
      <c r="H451" s="38"/>
      <c r="I451" s="38"/>
      <c r="J451" s="38"/>
      <c r="K451" s="38"/>
    </row>
    <row r="452">
      <c r="A452" s="38"/>
      <c r="B452" s="38"/>
      <c r="C452" s="38"/>
      <c r="D452" s="38"/>
      <c r="E452" s="38"/>
      <c r="F452" s="38"/>
      <c r="G452" s="38"/>
      <c r="H452" s="38"/>
      <c r="I452" s="38"/>
      <c r="J452" s="38"/>
      <c r="K452" s="38"/>
    </row>
    <row r="453">
      <c r="A453" s="38"/>
      <c r="B453" s="38"/>
      <c r="C453" s="38"/>
      <c r="D453" s="38"/>
      <c r="E453" s="38"/>
      <c r="F453" s="38"/>
      <c r="G453" s="38"/>
      <c r="H453" s="38"/>
      <c r="I453" s="38"/>
      <c r="J453" s="38"/>
      <c r="K453" s="38"/>
    </row>
    <row r="454">
      <c r="A454" s="38"/>
      <c r="B454" s="38"/>
      <c r="C454" s="38"/>
      <c r="D454" s="38"/>
      <c r="E454" s="38"/>
      <c r="F454" s="38"/>
      <c r="G454" s="38"/>
      <c r="H454" s="38"/>
      <c r="I454" s="38"/>
      <c r="J454" s="38"/>
      <c r="K454" s="38"/>
    </row>
    <row r="455">
      <c r="A455" s="38"/>
      <c r="B455" s="38"/>
      <c r="C455" s="38"/>
      <c r="D455" s="38"/>
      <c r="E455" s="38"/>
      <c r="F455" s="38"/>
      <c r="G455" s="38"/>
      <c r="H455" s="38"/>
      <c r="I455" s="38"/>
      <c r="J455" s="38"/>
      <c r="K455" s="38"/>
    </row>
    <row r="456">
      <c r="A456" s="38"/>
      <c r="B456" s="38"/>
      <c r="C456" s="38"/>
      <c r="D456" s="38"/>
      <c r="E456" s="38"/>
      <c r="F456" s="38"/>
      <c r="G456" s="38"/>
      <c r="H456" s="38"/>
      <c r="I456" s="38"/>
      <c r="J456" s="38"/>
      <c r="K456" s="38"/>
    </row>
    <row r="457">
      <c r="A457" s="38"/>
      <c r="B457" s="38"/>
      <c r="C457" s="38"/>
      <c r="D457" s="38"/>
      <c r="E457" s="38"/>
      <c r="F457" s="38"/>
      <c r="G457" s="38"/>
      <c r="H457" s="38"/>
      <c r="I457" s="38"/>
      <c r="J457" s="38"/>
      <c r="K457" s="38"/>
    </row>
    <row r="458">
      <c r="A458" s="38"/>
      <c r="B458" s="38"/>
      <c r="C458" s="38"/>
      <c r="D458" s="38"/>
      <c r="E458" s="38"/>
      <c r="F458" s="38"/>
      <c r="G458" s="38"/>
      <c r="H458" s="38"/>
      <c r="I458" s="38"/>
      <c r="J458" s="38"/>
      <c r="K458" s="38"/>
    </row>
    <row r="459">
      <c r="A459" s="38"/>
      <c r="B459" s="38"/>
      <c r="C459" s="38"/>
      <c r="D459" s="38"/>
      <c r="E459" s="38"/>
      <c r="F459" s="38"/>
      <c r="G459" s="38"/>
      <c r="H459" s="38"/>
      <c r="I459" s="38"/>
      <c r="J459" s="38"/>
      <c r="K459" s="38"/>
    </row>
    <row r="460">
      <c r="A460" s="38"/>
      <c r="B460" s="38"/>
      <c r="C460" s="38"/>
      <c r="D460" s="38"/>
      <c r="E460" s="38"/>
      <c r="F460" s="38"/>
      <c r="G460" s="38"/>
      <c r="H460" s="38"/>
      <c r="I460" s="38"/>
      <c r="J460" s="38"/>
      <c r="K460" s="38"/>
    </row>
    <row r="461">
      <c r="A461" s="38"/>
      <c r="B461" s="38"/>
      <c r="C461" s="38"/>
      <c r="D461" s="38"/>
      <c r="E461" s="38"/>
      <c r="F461" s="38"/>
      <c r="G461" s="38"/>
      <c r="H461" s="38"/>
      <c r="I461" s="38"/>
      <c r="J461" s="38"/>
      <c r="K461" s="38"/>
    </row>
    <row r="462">
      <c r="A462" s="38"/>
      <c r="B462" s="38"/>
      <c r="C462" s="38"/>
      <c r="D462" s="38"/>
      <c r="E462" s="38"/>
      <c r="F462" s="38"/>
      <c r="G462" s="38"/>
      <c r="H462" s="38"/>
      <c r="I462" s="38"/>
      <c r="J462" s="38"/>
      <c r="K462" s="38"/>
    </row>
    <row r="463">
      <c r="A463" s="38"/>
      <c r="B463" s="38"/>
      <c r="C463" s="38"/>
      <c r="D463" s="38"/>
      <c r="E463" s="38"/>
      <c r="F463" s="38"/>
      <c r="G463" s="38"/>
      <c r="H463" s="38"/>
      <c r="I463" s="38"/>
      <c r="J463" s="38"/>
      <c r="K463" s="38"/>
    </row>
    <row r="464">
      <c r="A464" s="38"/>
      <c r="B464" s="38"/>
      <c r="C464" s="38"/>
      <c r="D464" s="38"/>
      <c r="E464" s="38"/>
      <c r="F464" s="38"/>
      <c r="G464" s="38"/>
      <c r="H464" s="38"/>
      <c r="I464" s="38"/>
      <c r="J464" s="38"/>
      <c r="K464" s="38"/>
    </row>
    <row r="465">
      <c r="A465" s="38"/>
      <c r="B465" s="38"/>
      <c r="C465" s="38"/>
      <c r="D465" s="38"/>
      <c r="E465" s="38"/>
      <c r="F465" s="38"/>
      <c r="G465" s="38"/>
      <c r="H465" s="38"/>
      <c r="I465" s="38"/>
      <c r="J465" s="38"/>
      <c r="K465" s="38"/>
    </row>
    <row r="466">
      <c r="A466" s="38"/>
      <c r="B466" s="38"/>
      <c r="C466" s="38"/>
      <c r="D466" s="38"/>
      <c r="E466" s="38"/>
      <c r="F466" s="38"/>
      <c r="G466" s="38"/>
      <c r="H466" s="38"/>
      <c r="I466" s="38"/>
      <c r="J466" s="38"/>
      <c r="K466" s="38"/>
    </row>
    <row r="467">
      <c r="A467" s="38"/>
      <c r="B467" s="38"/>
      <c r="C467" s="38"/>
      <c r="D467" s="38"/>
      <c r="E467" s="38"/>
      <c r="F467" s="38"/>
      <c r="G467" s="38"/>
      <c r="H467" s="38"/>
      <c r="I467" s="38"/>
      <c r="J467" s="38"/>
      <c r="K467" s="38"/>
    </row>
    <row r="468">
      <c r="A468" s="38"/>
      <c r="B468" s="38"/>
      <c r="C468" s="38"/>
      <c r="D468" s="38"/>
      <c r="E468" s="38"/>
      <c r="F468" s="38"/>
      <c r="G468" s="38"/>
      <c r="H468" s="38"/>
      <c r="I468" s="38"/>
      <c r="J468" s="38"/>
      <c r="K468" s="38"/>
    </row>
    <row r="469">
      <c r="A469" s="38"/>
      <c r="B469" s="38"/>
      <c r="C469" s="38"/>
      <c r="D469" s="38"/>
      <c r="E469" s="38"/>
      <c r="F469" s="38"/>
      <c r="G469" s="38"/>
      <c r="H469" s="38"/>
      <c r="I469" s="38"/>
      <c r="J469" s="38"/>
      <c r="K469" s="38"/>
    </row>
    <row r="470">
      <c r="A470" s="38"/>
      <c r="B470" s="38"/>
      <c r="C470" s="38"/>
      <c r="D470" s="38"/>
      <c r="E470" s="38"/>
      <c r="F470" s="38"/>
      <c r="G470" s="38"/>
      <c r="H470" s="38"/>
      <c r="I470" s="38"/>
      <c r="J470" s="38"/>
      <c r="K470" s="38"/>
    </row>
    <row r="471">
      <c r="A471" s="38"/>
      <c r="B471" s="38"/>
      <c r="C471" s="38"/>
      <c r="D471" s="38"/>
      <c r="E471" s="38"/>
      <c r="F471" s="38"/>
      <c r="G471" s="38"/>
      <c r="H471" s="38"/>
      <c r="I471" s="38"/>
      <c r="J471" s="38"/>
      <c r="K471" s="38"/>
    </row>
    <row r="472">
      <c r="A472" s="38"/>
      <c r="B472" s="38"/>
      <c r="C472" s="38"/>
      <c r="D472" s="38"/>
      <c r="E472" s="38"/>
      <c r="F472" s="38"/>
      <c r="G472" s="38"/>
      <c r="H472" s="38"/>
      <c r="I472" s="38"/>
      <c r="J472" s="38"/>
      <c r="K472" s="38"/>
    </row>
    <row r="473">
      <c r="A473" s="38"/>
      <c r="B473" s="38"/>
      <c r="C473" s="38"/>
      <c r="D473" s="38"/>
      <c r="E473" s="38"/>
      <c r="F473" s="38"/>
      <c r="G473" s="38"/>
      <c r="H473" s="38"/>
      <c r="I473" s="38"/>
      <c r="J473" s="38"/>
      <c r="K473" s="38"/>
    </row>
    <row r="474">
      <c r="A474" s="38"/>
      <c r="B474" s="38"/>
      <c r="C474" s="38"/>
      <c r="D474" s="38"/>
      <c r="E474" s="38"/>
      <c r="F474" s="38"/>
      <c r="G474" s="38"/>
      <c r="H474" s="38"/>
      <c r="I474" s="38"/>
      <c r="J474" s="38"/>
      <c r="K474" s="38"/>
    </row>
    <row r="475">
      <c r="A475" s="38"/>
      <c r="B475" s="38"/>
      <c r="C475" s="38"/>
      <c r="D475" s="38"/>
      <c r="E475" s="38"/>
      <c r="F475" s="38"/>
      <c r="G475" s="38"/>
      <c r="H475" s="38"/>
      <c r="I475" s="38"/>
      <c r="J475" s="38"/>
      <c r="K475" s="38"/>
    </row>
    <row r="476">
      <c r="A476" s="38"/>
      <c r="B476" s="38"/>
      <c r="C476" s="38"/>
      <c r="D476" s="38"/>
      <c r="E476" s="38"/>
      <c r="F476" s="38"/>
      <c r="G476" s="38"/>
      <c r="H476" s="38"/>
      <c r="I476" s="38"/>
      <c r="J476" s="38"/>
      <c r="K476" s="38"/>
    </row>
    <row r="477">
      <c r="A477" s="38"/>
      <c r="B477" s="38"/>
      <c r="C477" s="38"/>
      <c r="D477" s="38"/>
      <c r="E477" s="38"/>
      <c r="F477" s="38"/>
      <c r="G477" s="38"/>
      <c r="H477" s="38"/>
      <c r="I477" s="38"/>
      <c r="J477" s="38"/>
      <c r="K477" s="38"/>
    </row>
    <row r="478">
      <c r="A478" s="38"/>
      <c r="B478" s="38"/>
      <c r="C478" s="38"/>
      <c r="D478" s="38"/>
      <c r="E478" s="38"/>
      <c r="F478" s="38"/>
      <c r="G478" s="38"/>
      <c r="H478" s="38"/>
      <c r="I478" s="38"/>
      <c r="J478" s="38"/>
      <c r="K478" s="38"/>
    </row>
    <row r="479">
      <c r="A479" s="38"/>
      <c r="B479" s="38"/>
      <c r="C479" s="38"/>
      <c r="D479" s="38"/>
      <c r="E479" s="38"/>
      <c r="F479" s="38"/>
      <c r="G479" s="38"/>
      <c r="H479" s="38"/>
      <c r="I479" s="38"/>
      <c r="J479" s="38"/>
      <c r="K479" s="38"/>
    </row>
    <row r="480">
      <c r="A480" s="38"/>
      <c r="B480" s="38"/>
      <c r="C480" s="38"/>
      <c r="D480" s="38"/>
      <c r="E480" s="38"/>
      <c r="F480" s="38"/>
      <c r="G480" s="38"/>
      <c r="H480" s="38"/>
      <c r="I480" s="38"/>
      <c r="J480" s="38"/>
      <c r="K480" s="38"/>
    </row>
    <row r="481">
      <c r="A481" s="38"/>
      <c r="B481" s="38"/>
      <c r="C481" s="38"/>
      <c r="D481" s="38"/>
      <c r="E481" s="38"/>
      <c r="F481" s="38"/>
      <c r="G481" s="38"/>
      <c r="H481" s="38"/>
      <c r="I481" s="38"/>
      <c r="J481" s="38"/>
      <c r="K481" s="38"/>
    </row>
    <row r="482">
      <c r="A482" s="38"/>
      <c r="B482" s="38"/>
      <c r="C482" s="38"/>
      <c r="D482" s="38"/>
      <c r="E482" s="38"/>
      <c r="F482" s="38"/>
      <c r="G482" s="38"/>
      <c r="H482" s="38"/>
      <c r="I482" s="38"/>
      <c r="J482" s="38"/>
      <c r="K482" s="38"/>
    </row>
    <row r="483">
      <c r="A483" s="38"/>
      <c r="B483" s="38"/>
      <c r="C483" s="38"/>
      <c r="D483" s="38"/>
      <c r="E483" s="38"/>
      <c r="F483" s="38"/>
      <c r="G483" s="38"/>
      <c r="H483" s="38"/>
      <c r="I483" s="38"/>
      <c r="J483" s="38"/>
      <c r="K483" s="38"/>
    </row>
    <row r="484">
      <c r="A484" s="38"/>
      <c r="B484" s="38"/>
      <c r="C484" s="38"/>
      <c r="D484" s="38"/>
      <c r="E484" s="38"/>
      <c r="F484" s="38"/>
      <c r="G484" s="38"/>
      <c r="H484" s="38"/>
      <c r="I484" s="38"/>
      <c r="J484" s="38"/>
      <c r="K484" s="38"/>
    </row>
    <row r="485">
      <c r="A485" s="38"/>
      <c r="B485" s="38"/>
      <c r="C485" s="38"/>
      <c r="D485" s="38"/>
      <c r="E485" s="38"/>
      <c r="F485" s="38"/>
      <c r="G485" s="38"/>
      <c r="H485" s="38"/>
      <c r="I485" s="38"/>
      <c r="J485" s="38"/>
      <c r="K485" s="38"/>
    </row>
    <row r="486">
      <c r="A486" s="38"/>
      <c r="B486" s="38"/>
      <c r="C486" s="38"/>
      <c r="D486" s="38"/>
      <c r="E486" s="38"/>
      <c r="F486" s="38"/>
      <c r="G486" s="38"/>
      <c r="H486" s="38"/>
      <c r="I486" s="38"/>
      <c r="J486" s="38"/>
      <c r="K486" s="38"/>
    </row>
    <row r="487">
      <c r="A487" s="38"/>
      <c r="B487" s="38"/>
      <c r="C487" s="38"/>
      <c r="D487" s="38"/>
      <c r="E487" s="38"/>
      <c r="F487" s="38"/>
      <c r="G487" s="38"/>
      <c r="H487" s="38"/>
      <c r="I487" s="38"/>
      <c r="J487" s="38"/>
      <c r="K487" s="38"/>
    </row>
    <row r="488">
      <c r="A488" s="38"/>
      <c r="B488" s="38"/>
      <c r="C488" s="38"/>
      <c r="D488" s="38"/>
      <c r="E488" s="38"/>
      <c r="F488" s="38"/>
      <c r="G488" s="38"/>
      <c r="H488" s="38"/>
      <c r="I488" s="38"/>
      <c r="J488" s="38"/>
      <c r="K488" s="38"/>
    </row>
    <row r="489">
      <c r="A489" s="38"/>
      <c r="B489" s="38"/>
      <c r="C489" s="38"/>
      <c r="D489" s="38"/>
      <c r="E489" s="38"/>
      <c r="F489" s="38"/>
      <c r="G489" s="38"/>
      <c r="H489" s="38"/>
      <c r="I489" s="38"/>
      <c r="J489" s="38"/>
      <c r="K489" s="38"/>
    </row>
    <row r="490">
      <c r="A490" s="38"/>
      <c r="B490" s="38"/>
      <c r="C490" s="38"/>
      <c r="D490" s="38"/>
      <c r="E490" s="38"/>
      <c r="F490" s="38"/>
      <c r="G490" s="38"/>
      <c r="H490" s="38"/>
      <c r="I490" s="38"/>
      <c r="J490" s="38"/>
      <c r="K490" s="38"/>
    </row>
    <row r="491">
      <c r="A491" s="38"/>
      <c r="B491" s="38"/>
      <c r="C491" s="38"/>
      <c r="D491" s="38"/>
      <c r="E491" s="38"/>
      <c r="F491" s="38"/>
      <c r="G491" s="38"/>
      <c r="H491" s="38"/>
      <c r="I491" s="38"/>
      <c r="J491" s="38"/>
      <c r="K491" s="38"/>
    </row>
    <row r="492">
      <c r="A492" s="38"/>
      <c r="B492" s="38"/>
      <c r="C492" s="38"/>
      <c r="D492" s="38"/>
      <c r="E492" s="38"/>
      <c r="F492" s="38"/>
      <c r="G492" s="38"/>
      <c r="H492" s="38"/>
      <c r="I492" s="38"/>
      <c r="J492" s="38"/>
      <c r="K492" s="38"/>
    </row>
    <row r="493">
      <c r="A493" s="38"/>
      <c r="B493" s="38"/>
      <c r="C493" s="38"/>
      <c r="D493" s="38"/>
      <c r="E493" s="38"/>
      <c r="F493" s="38"/>
      <c r="G493" s="38"/>
      <c r="H493" s="38"/>
      <c r="I493" s="38"/>
      <c r="J493" s="38"/>
      <c r="K493" s="38"/>
    </row>
    <row r="494">
      <c r="A494" s="38"/>
      <c r="B494" s="38"/>
      <c r="C494" s="38"/>
      <c r="D494" s="38"/>
      <c r="E494" s="38"/>
      <c r="F494" s="38"/>
      <c r="G494" s="38"/>
      <c r="H494" s="38"/>
      <c r="I494" s="38"/>
      <c r="J494" s="38"/>
      <c r="K494" s="38"/>
    </row>
    <row r="495">
      <c r="A495" s="38"/>
      <c r="B495" s="38"/>
      <c r="C495" s="38"/>
      <c r="D495" s="38"/>
      <c r="E495" s="38"/>
      <c r="F495" s="38"/>
      <c r="G495" s="38"/>
      <c r="H495" s="38"/>
      <c r="I495" s="38"/>
      <c r="J495" s="38"/>
      <c r="K495" s="38"/>
    </row>
    <row r="496">
      <c r="A496" s="38"/>
      <c r="B496" s="38"/>
      <c r="C496" s="38"/>
      <c r="D496" s="38"/>
      <c r="E496" s="38"/>
      <c r="F496" s="38"/>
      <c r="G496" s="38"/>
      <c r="H496" s="38"/>
      <c r="I496" s="38"/>
      <c r="J496" s="38"/>
      <c r="K496" s="38"/>
    </row>
    <row r="497">
      <c r="A497" s="38"/>
      <c r="B497" s="38"/>
      <c r="C497" s="38"/>
      <c r="D497" s="38"/>
      <c r="E497" s="38"/>
      <c r="F497" s="38"/>
      <c r="G497" s="38"/>
      <c r="H497" s="38"/>
      <c r="I497" s="38"/>
      <c r="J497" s="38"/>
      <c r="K497" s="38"/>
    </row>
    <row r="498">
      <c r="A498" s="38"/>
      <c r="B498" s="38"/>
      <c r="C498" s="38"/>
      <c r="D498" s="38"/>
      <c r="E498" s="38"/>
      <c r="F498" s="38"/>
      <c r="G498" s="38"/>
      <c r="H498" s="38"/>
      <c r="I498" s="38"/>
      <c r="J498" s="38"/>
      <c r="K498" s="38"/>
    </row>
    <row r="499">
      <c r="A499" s="38"/>
      <c r="B499" s="38"/>
      <c r="C499" s="38"/>
      <c r="D499" s="38"/>
      <c r="E499" s="38"/>
      <c r="F499" s="38"/>
      <c r="G499" s="38"/>
      <c r="H499" s="38"/>
      <c r="I499" s="38"/>
      <c r="J499" s="38"/>
      <c r="K499" s="38"/>
    </row>
    <row r="500">
      <c r="A500" s="38"/>
      <c r="B500" s="38"/>
      <c r="C500" s="38"/>
      <c r="D500" s="38"/>
      <c r="E500" s="38"/>
      <c r="F500" s="38"/>
      <c r="G500" s="38"/>
      <c r="H500" s="38"/>
      <c r="I500" s="38"/>
      <c r="J500" s="38"/>
      <c r="K500" s="38"/>
    </row>
    <row r="501">
      <c r="A501" s="38"/>
      <c r="B501" s="38"/>
      <c r="C501" s="38"/>
      <c r="D501" s="38"/>
      <c r="E501" s="38"/>
      <c r="F501" s="38"/>
      <c r="G501" s="38"/>
      <c r="H501" s="38"/>
      <c r="I501" s="38"/>
      <c r="J501" s="38"/>
      <c r="K501" s="38"/>
    </row>
    <row r="502">
      <c r="A502" s="38"/>
      <c r="B502" s="38"/>
      <c r="C502" s="38"/>
      <c r="D502" s="38"/>
      <c r="E502" s="38"/>
      <c r="F502" s="38"/>
      <c r="G502" s="38"/>
      <c r="H502" s="38"/>
      <c r="I502" s="38"/>
      <c r="J502" s="38"/>
      <c r="K502" s="38"/>
    </row>
    <row r="503">
      <c r="A503" s="38"/>
      <c r="B503" s="38"/>
      <c r="C503" s="38"/>
      <c r="D503" s="38"/>
      <c r="E503" s="38"/>
      <c r="F503" s="38"/>
      <c r="G503" s="38"/>
      <c r="H503" s="38"/>
      <c r="I503" s="38"/>
      <c r="J503" s="38"/>
      <c r="K503" s="38"/>
    </row>
    <row r="504">
      <c r="A504" s="38"/>
      <c r="B504" s="38"/>
      <c r="C504" s="38"/>
      <c r="D504" s="38"/>
      <c r="E504" s="38"/>
      <c r="F504" s="38"/>
      <c r="G504" s="38"/>
      <c r="H504" s="38"/>
      <c r="I504" s="38"/>
      <c r="J504" s="38"/>
      <c r="K504" s="38"/>
    </row>
    <row r="505">
      <c r="A505" s="38"/>
      <c r="B505" s="38"/>
      <c r="C505" s="38"/>
      <c r="D505" s="38"/>
      <c r="E505" s="38"/>
      <c r="F505" s="38"/>
      <c r="G505" s="38"/>
      <c r="H505" s="38"/>
      <c r="I505" s="38"/>
      <c r="J505" s="38"/>
      <c r="K505" s="38"/>
    </row>
    <row r="506">
      <c r="A506" s="38"/>
      <c r="B506" s="38"/>
      <c r="C506" s="38"/>
      <c r="D506" s="38"/>
      <c r="E506" s="38"/>
      <c r="F506" s="38"/>
      <c r="G506" s="38"/>
      <c r="H506" s="38"/>
      <c r="I506" s="38"/>
      <c r="J506" s="38"/>
      <c r="K506" s="38"/>
    </row>
    <row r="507">
      <c r="A507" s="38"/>
      <c r="B507" s="38"/>
      <c r="C507" s="38"/>
      <c r="D507" s="38"/>
      <c r="E507" s="38"/>
      <c r="F507" s="38"/>
      <c r="G507" s="38"/>
      <c r="H507" s="38"/>
      <c r="I507" s="38"/>
      <c r="J507" s="38"/>
      <c r="K507" s="38"/>
    </row>
    <row r="508">
      <c r="A508" s="38"/>
      <c r="B508" s="38"/>
      <c r="C508" s="38"/>
      <c r="D508" s="38"/>
      <c r="E508" s="38"/>
      <c r="F508" s="38"/>
      <c r="G508" s="38"/>
      <c r="H508" s="38"/>
      <c r="I508" s="38"/>
      <c r="J508" s="38"/>
      <c r="K508" s="38"/>
    </row>
    <row r="509">
      <c r="A509" s="38"/>
      <c r="B509" s="38"/>
      <c r="C509" s="38"/>
      <c r="D509" s="38"/>
      <c r="E509" s="38"/>
      <c r="F509" s="38"/>
      <c r="G509" s="38"/>
      <c r="H509" s="38"/>
      <c r="I509" s="38"/>
      <c r="J509" s="38"/>
      <c r="K509" s="38"/>
    </row>
    <row r="510">
      <c r="A510" s="38"/>
      <c r="B510" s="38"/>
      <c r="C510" s="38"/>
      <c r="D510" s="38"/>
      <c r="E510" s="38"/>
      <c r="F510" s="38"/>
      <c r="G510" s="38"/>
      <c r="H510" s="38"/>
      <c r="I510" s="38"/>
      <c r="J510" s="38"/>
      <c r="K510" s="38"/>
    </row>
    <row r="511">
      <c r="A511" s="38"/>
      <c r="B511" s="38"/>
      <c r="C511" s="38"/>
      <c r="D511" s="38"/>
      <c r="E511" s="38"/>
      <c r="F511" s="38"/>
      <c r="G511" s="38"/>
      <c r="H511" s="38"/>
      <c r="I511" s="38"/>
      <c r="J511" s="38"/>
      <c r="K511" s="38"/>
    </row>
    <row r="512">
      <c r="A512" s="38"/>
      <c r="B512" s="38"/>
      <c r="C512" s="38"/>
      <c r="D512" s="38"/>
      <c r="E512" s="38"/>
      <c r="F512" s="38"/>
      <c r="G512" s="38"/>
      <c r="H512" s="38"/>
      <c r="I512" s="38"/>
      <c r="J512" s="38"/>
      <c r="K512" s="38"/>
    </row>
    <row r="513">
      <c r="A513" s="38"/>
      <c r="B513" s="38"/>
      <c r="C513" s="38"/>
      <c r="D513" s="38"/>
      <c r="E513" s="38"/>
      <c r="F513" s="38"/>
      <c r="G513" s="38"/>
      <c r="H513" s="38"/>
      <c r="I513" s="38"/>
      <c r="J513" s="38"/>
      <c r="K513" s="38"/>
    </row>
    <row r="514">
      <c r="A514" s="38"/>
      <c r="B514" s="38"/>
      <c r="C514" s="38"/>
      <c r="D514" s="38"/>
      <c r="E514" s="38"/>
      <c r="F514" s="38"/>
      <c r="G514" s="38"/>
      <c r="H514" s="38"/>
      <c r="I514" s="38"/>
      <c r="J514" s="38"/>
      <c r="K514" s="38"/>
    </row>
    <row r="515">
      <c r="A515" s="38"/>
      <c r="B515" s="38"/>
      <c r="C515" s="38"/>
      <c r="D515" s="38"/>
      <c r="E515" s="38"/>
      <c r="F515" s="38"/>
      <c r="G515" s="38"/>
      <c r="H515" s="38"/>
      <c r="I515" s="38"/>
      <c r="J515" s="38"/>
      <c r="K515" s="38"/>
    </row>
    <row r="516">
      <c r="A516" s="38"/>
      <c r="B516" s="38"/>
      <c r="C516" s="38"/>
      <c r="D516" s="38"/>
      <c r="E516" s="38"/>
      <c r="F516" s="38"/>
      <c r="G516" s="38"/>
      <c r="H516" s="38"/>
      <c r="I516" s="38"/>
      <c r="J516" s="38"/>
      <c r="K516" s="38"/>
    </row>
    <row r="517">
      <c r="A517" s="38"/>
      <c r="B517" s="38"/>
      <c r="C517" s="38"/>
      <c r="D517" s="38"/>
      <c r="E517" s="38"/>
      <c r="F517" s="38"/>
      <c r="G517" s="38"/>
      <c r="H517" s="38"/>
      <c r="I517" s="38"/>
      <c r="J517" s="38"/>
      <c r="K517" s="38"/>
    </row>
    <row r="518">
      <c r="A518" s="38"/>
      <c r="B518" s="38"/>
      <c r="C518" s="38"/>
      <c r="D518" s="38"/>
      <c r="E518" s="38"/>
      <c r="F518" s="38"/>
      <c r="G518" s="38"/>
      <c r="H518" s="38"/>
      <c r="I518" s="38"/>
      <c r="J518" s="38"/>
      <c r="K518" s="38"/>
    </row>
    <row r="519">
      <c r="A519" s="38"/>
      <c r="B519" s="38"/>
      <c r="C519" s="38"/>
      <c r="D519" s="38"/>
      <c r="E519" s="38"/>
      <c r="F519" s="38"/>
      <c r="G519" s="38"/>
      <c r="H519" s="38"/>
      <c r="I519" s="38"/>
      <c r="J519" s="38"/>
      <c r="K519" s="38"/>
    </row>
    <row r="520">
      <c r="A520" s="38"/>
      <c r="B520" s="38"/>
      <c r="C520" s="38"/>
      <c r="D520" s="38"/>
      <c r="E520" s="38"/>
      <c r="F520" s="38"/>
      <c r="G520" s="38"/>
      <c r="H520" s="38"/>
      <c r="I520" s="38"/>
      <c r="J520" s="38"/>
      <c r="K520" s="38"/>
    </row>
    <row r="521">
      <c r="A521" s="38"/>
      <c r="B521" s="38"/>
      <c r="C521" s="38"/>
      <c r="D521" s="38"/>
      <c r="E521" s="38"/>
      <c r="F521" s="38"/>
      <c r="G521" s="38"/>
      <c r="H521" s="38"/>
      <c r="I521" s="38"/>
      <c r="J521" s="38"/>
      <c r="K521" s="38"/>
    </row>
    <row r="522">
      <c r="A522" s="38"/>
      <c r="B522" s="38"/>
      <c r="C522" s="38"/>
      <c r="D522" s="38"/>
      <c r="E522" s="38"/>
      <c r="F522" s="38"/>
      <c r="G522" s="38"/>
      <c r="H522" s="38"/>
      <c r="I522" s="38"/>
      <c r="J522" s="38"/>
      <c r="K522" s="38"/>
    </row>
    <row r="523">
      <c r="A523" s="38"/>
      <c r="B523" s="38"/>
      <c r="C523" s="38"/>
      <c r="D523" s="38"/>
      <c r="E523" s="38"/>
      <c r="F523" s="38"/>
      <c r="G523" s="38"/>
      <c r="H523" s="38"/>
      <c r="I523" s="38"/>
      <c r="J523" s="38"/>
      <c r="K523" s="38"/>
    </row>
    <row r="524">
      <c r="A524" s="38"/>
      <c r="B524" s="38"/>
      <c r="C524" s="38"/>
      <c r="D524" s="38"/>
      <c r="E524" s="38"/>
      <c r="F524" s="38"/>
      <c r="G524" s="38"/>
      <c r="H524" s="38"/>
      <c r="I524" s="38"/>
      <c r="J524" s="38"/>
      <c r="K524" s="38"/>
    </row>
    <row r="525">
      <c r="A525" s="38"/>
      <c r="B525" s="38"/>
      <c r="C525" s="38"/>
      <c r="D525" s="38"/>
      <c r="E525" s="38"/>
      <c r="F525" s="38"/>
      <c r="G525" s="38"/>
      <c r="H525" s="38"/>
      <c r="I525" s="38"/>
      <c r="J525" s="38"/>
      <c r="K525" s="38"/>
    </row>
    <row r="526">
      <c r="A526" s="38"/>
      <c r="B526" s="38"/>
      <c r="C526" s="38"/>
      <c r="D526" s="38"/>
      <c r="E526" s="38"/>
      <c r="F526" s="38"/>
      <c r="G526" s="38"/>
      <c r="H526" s="38"/>
      <c r="I526" s="38"/>
      <c r="J526" s="38"/>
      <c r="K526" s="38"/>
    </row>
    <row r="527">
      <c r="A527" s="38"/>
      <c r="B527" s="38"/>
      <c r="C527" s="38"/>
      <c r="D527" s="38"/>
      <c r="E527" s="38"/>
      <c r="F527" s="38"/>
      <c r="G527" s="38"/>
      <c r="H527" s="38"/>
      <c r="I527" s="38"/>
      <c r="J527" s="38"/>
      <c r="K527" s="38"/>
    </row>
    <row r="528">
      <c r="A528" s="38"/>
      <c r="B528" s="38"/>
      <c r="C528" s="38"/>
      <c r="D528" s="38"/>
      <c r="E528" s="38"/>
      <c r="F528" s="38"/>
      <c r="G528" s="38"/>
      <c r="H528" s="38"/>
      <c r="I528" s="38"/>
      <c r="J528" s="38"/>
      <c r="K528" s="38"/>
    </row>
    <row r="529">
      <c r="A529" s="38"/>
      <c r="B529" s="38"/>
      <c r="C529" s="38"/>
      <c r="D529" s="38"/>
      <c r="E529" s="38"/>
      <c r="F529" s="38"/>
      <c r="G529" s="38"/>
      <c r="H529" s="38"/>
      <c r="I529" s="38"/>
      <c r="J529" s="38"/>
      <c r="K529" s="38"/>
    </row>
    <row r="530">
      <c r="A530" s="38"/>
      <c r="B530" s="38"/>
      <c r="C530" s="38"/>
      <c r="D530" s="38"/>
      <c r="E530" s="38"/>
      <c r="F530" s="38"/>
      <c r="G530" s="38"/>
      <c r="H530" s="38"/>
      <c r="I530" s="38"/>
      <c r="J530" s="38"/>
      <c r="K530" s="38"/>
    </row>
    <row r="531">
      <c r="A531" s="38"/>
      <c r="B531" s="38"/>
      <c r="C531" s="38"/>
      <c r="D531" s="38"/>
      <c r="E531" s="38"/>
      <c r="F531" s="38"/>
      <c r="G531" s="38"/>
      <c r="H531" s="38"/>
      <c r="I531" s="38"/>
      <c r="J531" s="38"/>
      <c r="K531" s="38"/>
    </row>
    <row r="532">
      <c r="A532" s="38"/>
      <c r="B532" s="38"/>
      <c r="C532" s="38"/>
      <c r="D532" s="38"/>
      <c r="E532" s="38"/>
      <c r="F532" s="38"/>
      <c r="G532" s="38"/>
      <c r="H532" s="38"/>
      <c r="I532" s="38"/>
      <c r="J532" s="38"/>
      <c r="K532" s="38"/>
    </row>
    <row r="533">
      <c r="A533" s="38"/>
      <c r="B533" s="38"/>
      <c r="C533" s="38"/>
      <c r="D533" s="38"/>
      <c r="E533" s="38"/>
      <c r="F533" s="38"/>
      <c r="G533" s="38"/>
      <c r="H533" s="38"/>
      <c r="I533" s="38"/>
      <c r="J533" s="38"/>
      <c r="K533" s="38"/>
    </row>
    <row r="534">
      <c r="A534" s="38"/>
      <c r="B534" s="38"/>
      <c r="C534" s="38"/>
      <c r="D534" s="38"/>
      <c r="E534" s="38"/>
      <c r="F534" s="38"/>
      <c r="G534" s="38"/>
      <c r="H534" s="38"/>
      <c r="I534" s="38"/>
      <c r="J534" s="38"/>
      <c r="K534" s="38"/>
    </row>
    <row r="535">
      <c r="A535" s="38"/>
      <c r="B535" s="38"/>
      <c r="C535" s="38"/>
      <c r="D535" s="38"/>
      <c r="E535" s="38"/>
      <c r="F535" s="38"/>
      <c r="G535" s="38"/>
      <c r="H535" s="38"/>
      <c r="I535" s="38"/>
      <c r="J535" s="38"/>
      <c r="K535" s="38"/>
    </row>
    <row r="536">
      <c r="A536" s="38"/>
      <c r="B536" s="38"/>
      <c r="C536" s="38"/>
      <c r="D536" s="38"/>
      <c r="E536" s="38"/>
      <c r="F536" s="38"/>
      <c r="G536" s="38"/>
      <c r="H536" s="38"/>
      <c r="I536" s="38"/>
      <c r="J536" s="38"/>
      <c r="K536" s="38"/>
    </row>
    <row r="537">
      <c r="A537" s="38"/>
      <c r="B537" s="38"/>
      <c r="C537" s="38"/>
      <c r="D537" s="38"/>
      <c r="E537" s="38"/>
      <c r="F537" s="38"/>
      <c r="G537" s="38"/>
      <c r="H537" s="38"/>
      <c r="I537" s="38"/>
      <c r="J537" s="38"/>
      <c r="K537" s="38"/>
    </row>
    <row r="538">
      <c r="A538" s="38"/>
      <c r="B538" s="38"/>
      <c r="C538" s="38"/>
      <c r="D538" s="38"/>
      <c r="E538" s="38"/>
      <c r="F538" s="38"/>
      <c r="G538" s="38"/>
      <c r="H538" s="38"/>
      <c r="I538" s="38"/>
      <c r="J538" s="38"/>
      <c r="K538" s="38"/>
    </row>
    <row r="539">
      <c r="A539" s="38"/>
      <c r="B539" s="38"/>
      <c r="C539" s="38"/>
      <c r="D539" s="38"/>
      <c r="E539" s="38"/>
      <c r="F539" s="38"/>
      <c r="G539" s="38"/>
      <c r="H539" s="38"/>
      <c r="I539" s="38"/>
      <c r="J539" s="38"/>
      <c r="K539" s="38"/>
    </row>
    <row r="540">
      <c r="A540" s="38"/>
      <c r="B540" s="38"/>
      <c r="C540" s="38"/>
      <c r="D540" s="38"/>
      <c r="E540" s="38"/>
      <c r="F540" s="38"/>
      <c r="G540" s="38"/>
      <c r="H540" s="38"/>
      <c r="I540" s="38"/>
      <c r="J540" s="38"/>
      <c r="K540" s="38"/>
    </row>
    <row r="541">
      <c r="A541" s="38"/>
      <c r="B541" s="38"/>
      <c r="C541" s="38"/>
      <c r="D541" s="38"/>
      <c r="E541" s="38"/>
      <c r="F541" s="38"/>
      <c r="G541" s="38"/>
      <c r="H541" s="38"/>
      <c r="I541" s="38"/>
      <c r="J541" s="38"/>
      <c r="K541" s="38"/>
    </row>
    <row r="542">
      <c r="A542" s="38"/>
      <c r="B542" s="38"/>
      <c r="C542" s="38"/>
      <c r="D542" s="38"/>
      <c r="E542" s="38"/>
      <c r="F542" s="38"/>
      <c r="G542" s="38"/>
      <c r="H542" s="38"/>
      <c r="I542" s="38"/>
      <c r="J542" s="38"/>
      <c r="K542" s="38"/>
    </row>
    <row r="543">
      <c r="A543" s="38"/>
      <c r="B543" s="38"/>
      <c r="C543" s="38"/>
      <c r="D543" s="38"/>
      <c r="E543" s="38"/>
      <c r="F543" s="38"/>
      <c r="G543" s="38"/>
      <c r="H543" s="38"/>
      <c r="I543" s="38"/>
      <c r="J543" s="38"/>
      <c r="K543" s="38"/>
    </row>
    <row r="544">
      <c r="A544" s="38"/>
      <c r="B544" s="38"/>
      <c r="C544" s="38"/>
      <c r="D544" s="38"/>
      <c r="E544" s="38"/>
      <c r="F544" s="38"/>
      <c r="G544" s="38"/>
      <c r="H544" s="38"/>
      <c r="I544" s="38"/>
      <c r="J544" s="38"/>
      <c r="K544" s="38"/>
    </row>
    <row r="545">
      <c r="A545" s="38"/>
      <c r="B545" s="38"/>
      <c r="C545" s="38"/>
      <c r="D545" s="38"/>
      <c r="E545" s="38"/>
      <c r="F545" s="38"/>
      <c r="G545" s="38"/>
      <c r="H545" s="38"/>
      <c r="I545" s="38"/>
      <c r="J545" s="38"/>
      <c r="K545" s="38"/>
    </row>
    <row r="546">
      <c r="A546" s="38"/>
      <c r="B546" s="38"/>
      <c r="C546" s="38"/>
      <c r="D546" s="38"/>
      <c r="E546" s="38"/>
      <c r="F546" s="38"/>
      <c r="G546" s="38"/>
      <c r="H546" s="38"/>
      <c r="I546" s="38"/>
      <c r="J546" s="38"/>
      <c r="K546" s="38"/>
    </row>
    <row r="547">
      <c r="A547" s="38"/>
      <c r="B547" s="38"/>
      <c r="C547" s="38"/>
      <c r="D547" s="38"/>
      <c r="E547" s="38"/>
      <c r="F547" s="38"/>
      <c r="G547" s="38"/>
      <c r="H547" s="38"/>
      <c r="I547" s="38"/>
      <c r="J547" s="38"/>
      <c r="K547" s="38"/>
    </row>
    <row r="548">
      <c r="A548" s="38"/>
      <c r="B548" s="38"/>
      <c r="C548" s="38"/>
      <c r="D548" s="38"/>
      <c r="E548" s="38"/>
      <c r="F548" s="38"/>
      <c r="G548" s="38"/>
      <c r="H548" s="38"/>
      <c r="I548" s="38"/>
      <c r="J548" s="38"/>
      <c r="K548" s="38"/>
    </row>
    <row r="549">
      <c r="A549" s="38"/>
      <c r="B549" s="38"/>
      <c r="C549" s="38"/>
      <c r="D549" s="38"/>
      <c r="E549" s="38"/>
      <c r="F549" s="38"/>
      <c r="G549" s="38"/>
      <c r="H549" s="38"/>
      <c r="I549" s="38"/>
      <c r="J549" s="38"/>
      <c r="K549" s="38"/>
    </row>
    <row r="550">
      <c r="A550" s="38"/>
      <c r="B550" s="38"/>
      <c r="C550" s="38"/>
      <c r="D550" s="38"/>
      <c r="E550" s="38"/>
      <c r="F550" s="38"/>
      <c r="G550" s="38"/>
      <c r="H550" s="38"/>
      <c r="I550" s="38"/>
      <c r="J550" s="38"/>
      <c r="K550" s="38"/>
    </row>
    <row r="551">
      <c r="A551" s="38"/>
      <c r="B551" s="38"/>
      <c r="C551" s="38"/>
      <c r="D551" s="38"/>
      <c r="E551" s="38"/>
      <c r="F551" s="38"/>
      <c r="G551" s="38"/>
      <c r="H551" s="38"/>
      <c r="I551" s="38"/>
      <c r="J551" s="38"/>
      <c r="K551" s="38"/>
    </row>
    <row r="552">
      <c r="A552" s="38"/>
      <c r="B552" s="38"/>
      <c r="C552" s="38"/>
      <c r="D552" s="38"/>
      <c r="E552" s="38"/>
      <c r="F552" s="38"/>
      <c r="G552" s="38"/>
      <c r="H552" s="38"/>
      <c r="I552" s="38"/>
      <c r="J552" s="38"/>
      <c r="K552" s="38"/>
    </row>
    <row r="553">
      <c r="A553" s="38"/>
      <c r="B553" s="38"/>
      <c r="C553" s="38"/>
      <c r="D553" s="38"/>
      <c r="E553" s="38"/>
      <c r="F553" s="38"/>
      <c r="G553" s="38"/>
      <c r="H553" s="38"/>
      <c r="I553" s="38"/>
      <c r="J553" s="38"/>
      <c r="K553" s="38"/>
    </row>
    <row r="554">
      <c r="A554" s="38"/>
      <c r="B554" s="38"/>
      <c r="C554" s="38"/>
      <c r="D554" s="38"/>
      <c r="E554" s="38"/>
      <c r="F554" s="38"/>
      <c r="G554" s="38"/>
      <c r="H554" s="38"/>
      <c r="I554" s="38"/>
      <c r="J554" s="38"/>
      <c r="K554" s="38"/>
    </row>
    <row r="555">
      <c r="A555" s="38"/>
      <c r="B555" s="38"/>
      <c r="C555" s="38"/>
      <c r="D555" s="38"/>
      <c r="E555" s="38"/>
      <c r="F555" s="38"/>
      <c r="G555" s="38"/>
      <c r="H555" s="38"/>
      <c r="I555" s="38"/>
      <c r="J555" s="38"/>
      <c r="K555" s="38"/>
    </row>
    <row r="556">
      <c r="A556" s="38"/>
      <c r="B556" s="38"/>
      <c r="C556" s="38"/>
      <c r="D556" s="38"/>
      <c r="E556" s="38"/>
      <c r="F556" s="38"/>
      <c r="G556" s="38"/>
      <c r="H556" s="38"/>
      <c r="I556" s="38"/>
      <c r="J556" s="38"/>
      <c r="K556" s="38"/>
    </row>
    <row r="557">
      <c r="A557" s="38"/>
      <c r="B557" s="38"/>
      <c r="C557" s="38"/>
      <c r="D557" s="38"/>
      <c r="E557" s="38"/>
      <c r="F557" s="38"/>
      <c r="G557" s="38"/>
      <c r="H557" s="38"/>
      <c r="I557" s="38"/>
      <c r="J557" s="38"/>
      <c r="K557" s="38"/>
    </row>
    <row r="558">
      <c r="A558" s="38"/>
      <c r="B558" s="38"/>
      <c r="C558" s="38"/>
      <c r="D558" s="38"/>
      <c r="E558" s="38"/>
      <c r="F558" s="38"/>
      <c r="G558" s="38"/>
      <c r="H558" s="38"/>
      <c r="I558" s="38"/>
      <c r="J558" s="38"/>
      <c r="K558" s="38"/>
    </row>
    <row r="559">
      <c r="A559" s="38"/>
      <c r="B559" s="38"/>
      <c r="C559" s="38"/>
      <c r="D559" s="38"/>
      <c r="E559" s="38"/>
      <c r="F559" s="38"/>
      <c r="G559" s="38"/>
      <c r="H559" s="38"/>
      <c r="I559" s="38"/>
      <c r="J559" s="38"/>
      <c r="K559" s="38"/>
    </row>
    <row r="560">
      <c r="A560" s="38"/>
      <c r="B560" s="38"/>
      <c r="C560" s="38"/>
      <c r="D560" s="38"/>
      <c r="E560" s="38"/>
      <c r="F560" s="38"/>
      <c r="G560" s="38"/>
      <c r="H560" s="38"/>
      <c r="I560" s="38"/>
      <c r="J560" s="38"/>
      <c r="K560" s="38"/>
    </row>
    <row r="561">
      <c r="A561" s="38"/>
      <c r="B561" s="38"/>
      <c r="C561" s="38"/>
      <c r="D561" s="38"/>
      <c r="E561" s="38"/>
      <c r="F561" s="38"/>
      <c r="G561" s="38"/>
      <c r="H561" s="38"/>
      <c r="I561" s="38"/>
      <c r="J561" s="38"/>
      <c r="K561" s="38"/>
    </row>
    <row r="562">
      <c r="A562" s="38"/>
      <c r="B562" s="38"/>
      <c r="C562" s="38"/>
      <c r="D562" s="38"/>
      <c r="E562" s="38"/>
      <c r="F562" s="38"/>
      <c r="G562" s="38"/>
      <c r="H562" s="38"/>
      <c r="I562" s="38"/>
      <c r="J562" s="38"/>
      <c r="K562" s="38"/>
    </row>
    <row r="563">
      <c r="A563" s="38"/>
      <c r="B563" s="38"/>
      <c r="C563" s="38"/>
      <c r="D563" s="38"/>
      <c r="E563" s="38"/>
      <c r="F563" s="38"/>
      <c r="G563" s="38"/>
      <c r="H563" s="38"/>
      <c r="I563" s="38"/>
      <c r="J563" s="38"/>
      <c r="K563" s="38"/>
    </row>
    <row r="564">
      <c r="A564" s="38"/>
      <c r="B564" s="38"/>
      <c r="C564" s="38"/>
      <c r="D564" s="38"/>
      <c r="E564" s="38"/>
      <c r="F564" s="38"/>
      <c r="G564" s="38"/>
      <c r="H564" s="38"/>
      <c r="I564" s="38"/>
      <c r="J564" s="38"/>
      <c r="K564" s="38"/>
    </row>
    <row r="565">
      <c r="A565" s="38"/>
      <c r="B565" s="38"/>
      <c r="C565" s="38"/>
      <c r="D565" s="38"/>
      <c r="E565" s="38"/>
      <c r="F565" s="38"/>
      <c r="G565" s="38"/>
      <c r="H565" s="38"/>
      <c r="I565" s="38"/>
      <c r="J565" s="38"/>
      <c r="K565" s="38"/>
    </row>
    <row r="566">
      <c r="A566" s="38"/>
      <c r="B566" s="38"/>
      <c r="C566" s="38"/>
      <c r="D566" s="38"/>
      <c r="E566" s="38"/>
      <c r="F566" s="38"/>
      <c r="G566" s="38"/>
      <c r="H566" s="38"/>
      <c r="I566" s="38"/>
      <c r="J566" s="38"/>
      <c r="K566" s="38"/>
    </row>
    <row r="567">
      <c r="A567" s="38"/>
      <c r="B567" s="38"/>
      <c r="C567" s="38"/>
      <c r="D567" s="38"/>
      <c r="E567" s="38"/>
      <c r="F567" s="38"/>
      <c r="G567" s="38"/>
      <c r="H567" s="38"/>
      <c r="I567" s="38"/>
      <c r="J567" s="38"/>
      <c r="K567" s="38"/>
    </row>
    <row r="568">
      <c r="A568" s="38"/>
      <c r="B568" s="38"/>
      <c r="C568" s="38"/>
      <c r="D568" s="38"/>
      <c r="E568" s="38"/>
      <c r="F568" s="38"/>
      <c r="G568" s="38"/>
      <c r="H568" s="38"/>
      <c r="I568" s="38"/>
      <c r="J568" s="38"/>
      <c r="K568" s="38"/>
    </row>
    <row r="569">
      <c r="A569" s="38"/>
      <c r="B569" s="38"/>
      <c r="C569" s="38"/>
      <c r="D569" s="38"/>
      <c r="E569" s="38"/>
      <c r="F569" s="38"/>
      <c r="G569" s="38"/>
      <c r="H569" s="38"/>
      <c r="I569" s="38"/>
      <c r="J569" s="38"/>
      <c r="K569" s="38"/>
    </row>
    <row r="570">
      <c r="A570" s="38"/>
      <c r="B570" s="38"/>
      <c r="C570" s="38"/>
      <c r="D570" s="38"/>
      <c r="E570" s="38"/>
      <c r="F570" s="38"/>
      <c r="G570" s="38"/>
      <c r="H570" s="38"/>
      <c r="I570" s="38"/>
      <c r="J570" s="38"/>
      <c r="K570" s="38"/>
    </row>
    <row r="571">
      <c r="A571" s="38"/>
      <c r="B571" s="38"/>
      <c r="C571" s="38"/>
      <c r="D571" s="38"/>
      <c r="E571" s="38"/>
      <c r="F571" s="38"/>
      <c r="G571" s="38"/>
      <c r="H571" s="38"/>
      <c r="I571" s="38"/>
      <c r="J571" s="38"/>
      <c r="K571" s="38"/>
    </row>
    <row r="572">
      <c r="A572" s="38"/>
      <c r="B572" s="38"/>
      <c r="C572" s="38"/>
      <c r="D572" s="38"/>
      <c r="E572" s="38"/>
      <c r="F572" s="38"/>
      <c r="G572" s="38"/>
      <c r="H572" s="38"/>
      <c r="I572" s="38"/>
      <c r="J572" s="38"/>
      <c r="K572" s="38"/>
    </row>
    <row r="573">
      <c r="A573" s="38"/>
      <c r="B573" s="38"/>
      <c r="C573" s="38"/>
      <c r="D573" s="38"/>
      <c r="E573" s="38"/>
      <c r="F573" s="38"/>
      <c r="G573" s="38"/>
      <c r="H573" s="38"/>
      <c r="I573" s="38"/>
      <c r="J573" s="38"/>
      <c r="K573" s="38"/>
    </row>
    <row r="574">
      <c r="A574" s="38"/>
      <c r="B574" s="38"/>
      <c r="C574" s="38"/>
      <c r="D574" s="38"/>
      <c r="E574" s="38"/>
      <c r="F574" s="38"/>
      <c r="G574" s="38"/>
      <c r="H574" s="38"/>
      <c r="I574" s="38"/>
      <c r="J574" s="38"/>
      <c r="K574" s="38"/>
    </row>
    <row r="575">
      <c r="A575" s="38"/>
      <c r="B575" s="38"/>
      <c r="C575" s="38"/>
      <c r="D575" s="38"/>
      <c r="E575" s="38"/>
      <c r="F575" s="38"/>
      <c r="G575" s="38"/>
      <c r="H575" s="38"/>
      <c r="I575" s="38"/>
      <c r="J575" s="38"/>
      <c r="K575" s="38"/>
    </row>
    <row r="576">
      <c r="A576" s="38"/>
      <c r="B576" s="38"/>
      <c r="C576" s="38"/>
      <c r="D576" s="38"/>
      <c r="E576" s="38"/>
      <c r="F576" s="38"/>
      <c r="G576" s="38"/>
      <c r="H576" s="38"/>
      <c r="I576" s="38"/>
      <c r="J576" s="38"/>
      <c r="K576" s="38"/>
    </row>
    <row r="577">
      <c r="A577" s="38"/>
      <c r="B577" s="38"/>
      <c r="C577" s="38"/>
      <c r="D577" s="38"/>
      <c r="E577" s="38"/>
      <c r="F577" s="38"/>
      <c r="G577" s="38"/>
      <c r="H577" s="38"/>
      <c r="I577" s="38"/>
      <c r="J577" s="38"/>
      <c r="K577" s="38"/>
    </row>
    <row r="578">
      <c r="A578" s="38"/>
      <c r="B578" s="38"/>
      <c r="C578" s="38"/>
      <c r="D578" s="38"/>
      <c r="E578" s="38"/>
      <c r="F578" s="38"/>
      <c r="G578" s="38"/>
      <c r="H578" s="38"/>
      <c r="I578" s="38"/>
      <c r="J578" s="38"/>
      <c r="K578" s="38"/>
    </row>
    <row r="579">
      <c r="A579" s="38"/>
      <c r="B579" s="38"/>
      <c r="C579" s="38"/>
      <c r="D579" s="38"/>
      <c r="E579" s="38"/>
      <c r="F579" s="38"/>
      <c r="G579" s="38"/>
      <c r="H579" s="38"/>
      <c r="I579" s="38"/>
      <c r="J579" s="38"/>
      <c r="K579" s="38"/>
    </row>
    <row r="580">
      <c r="A580" s="38"/>
      <c r="B580" s="38"/>
      <c r="C580" s="38"/>
      <c r="D580" s="38"/>
      <c r="E580" s="38"/>
      <c r="F580" s="38"/>
      <c r="G580" s="38"/>
      <c r="H580" s="38"/>
      <c r="I580" s="38"/>
      <c r="J580" s="38"/>
      <c r="K580" s="38"/>
    </row>
    <row r="581">
      <c r="A581" s="38"/>
      <c r="B581" s="38"/>
      <c r="C581" s="38"/>
      <c r="D581" s="38"/>
      <c r="E581" s="38"/>
      <c r="F581" s="38"/>
      <c r="G581" s="38"/>
      <c r="H581" s="38"/>
      <c r="I581" s="38"/>
      <c r="J581" s="38"/>
      <c r="K581" s="38"/>
    </row>
    <row r="582">
      <c r="A582" s="38"/>
      <c r="B582" s="38"/>
      <c r="C582" s="38"/>
      <c r="D582" s="38"/>
      <c r="E582" s="38"/>
      <c r="F582" s="38"/>
      <c r="G582" s="38"/>
      <c r="H582" s="38"/>
      <c r="I582" s="38"/>
      <c r="J582" s="38"/>
      <c r="K582" s="38"/>
    </row>
    <row r="583">
      <c r="A583" s="38"/>
      <c r="B583" s="38"/>
      <c r="C583" s="38"/>
      <c r="D583" s="38"/>
      <c r="E583" s="38"/>
      <c r="F583" s="38"/>
      <c r="G583" s="38"/>
      <c r="H583" s="38"/>
      <c r="I583" s="38"/>
      <c r="J583" s="38"/>
      <c r="K583" s="38"/>
    </row>
    <row r="584">
      <c r="A584" s="38"/>
      <c r="B584" s="38"/>
      <c r="C584" s="38"/>
      <c r="D584" s="38"/>
      <c r="E584" s="38"/>
      <c r="F584" s="38"/>
      <c r="G584" s="38"/>
      <c r="H584" s="38"/>
      <c r="I584" s="38"/>
      <c r="J584" s="38"/>
      <c r="K584" s="38"/>
    </row>
    <row r="585">
      <c r="A585" s="38"/>
      <c r="B585" s="38"/>
      <c r="C585" s="38"/>
      <c r="D585" s="38"/>
      <c r="E585" s="38"/>
      <c r="F585" s="38"/>
      <c r="G585" s="38"/>
      <c r="H585" s="38"/>
      <c r="I585" s="38"/>
      <c r="J585" s="38"/>
      <c r="K585" s="38"/>
    </row>
    <row r="586">
      <c r="A586" s="38"/>
      <c r="B586" s="38"/>
      <c r="C586" s="38"/>
      <c r="D586" s="38"/>
      <c r="E586" s="38"/>
      <c r="F586" s="38"/>
      <c r="G586" s="38"/>
      <c r="H586" s="38"/>
      <c r="I586" s="38"/>
      <c r="J586" s="38"/>
      <c r="K586" s="38"/>
    </row>
    <row r="587">
      <c r="A587" s="38"/>
      <c r="B587" s="38"/>
      <c r="C587" s="38"/>
      <c r="D587" s="38"/>
      <c r="E587" s="38"/>
      <c r="F587" s="38"/>
      <c r="G587" s="38"/>
      <c r="H587" s="38"/>
      <c r="I587" s="38"/>
      <c r="J587" s="38"/>
      <c r="K587" s="38"/>
    </row>
    <row r="588">
      <c r="A588" s="38"/>
      <c r="B588" s="38"/>
      <c r="C588" s="38"/>
      <c r="D588" s="38"/>
      <c r="E588" s="38"/>
      <c r="F588" s="38"/>
      <c r="G588" s="38"/>
      <c r="H588" s="38"/>
      <c r="I588" s="38"/>
      <c r="J588" s="38"/>
      <c r="K588" s="38"/>
    </row>
    <row r="589">
      <c r="A589" s="38"/>
      <c r="B589" s="38"/>
      <c r="C589" s="38"/>
      <c r="D589" s="38"/>
      <c r="E589" s="38"/>
      <c r="F589" s="38"/>
      <c r="G589" s="38"/>
      <c r="H589" s="38"/>
      <c r="I589" s="38"/>
      <c r="J589" s="38"/>
      <c r="K589" s="38"/>
    </row>
    <row r="590">
      <c r="A590" s="38"/>
      <c r="B590" s="38"/>
      <c r="C590" s="38"/>
      <c r="D590" s="38"/>
      <c r="E590" s="38"/>
      <c r="F590" s="38"/>
      <c r="G590" s="38"/>
      <c r="H590" s="38"/>
      <c r="I590" s="38"/>
      <c r="J590" s="38"/>
      <c r="K590" s="38"/>
    </row>
    <row r="591">
      <c r="A591" s="38"/>
      <c r="B591" s="38"/>
      <c r="C591" s="38"/>
      <c r="D591" s="38"/>
      <c r="E591" s="38"/>
      <c r="F591" s="38"/>
      <c r="G591" s="38"/>
      <c r="H591" s="38"/>
      <c r="I591" s="38"/>
      <c r="J591" s="38"/>
      <c r="K591" s="38"/>
    </row>
    <row r="592">
      <c r="A592" s="38"/>
      <c r="B592" s="38"/>
      <c r="C592" s="38"/>
      <c r="D592" s="38"/>
      <c r="E592" s="38"/>
      <c r="F592" s="38"/>
      <c r="G592" s="38"/>
      <c r="H592" s="38"/>
      <c r="I592" s="38"/>
      <c r="J592" s="38"/>
      <c r="K592" s="38"/>
    </row>
    <row r="593">
      <c r="A593" s="38"/>
      <c r="B593" s="38"/>
      <c r="C593" s="38"/>
      <c r="D593" s="38"/>
      <c r="E593" s="38"/>
      <c r="F593" s="38"/>
      <c r="G593" s="38"/>
      <c r="H593" s="38"/>
      <c r="I593" s="38"/>
      <c r="J593" s="38"/>
      <c r="K593" s="38"/>
    </row>
    <row r="594">
      <c r="A594" s="38"/>
      <c r="B594" s="38"/>
      <c r="C594" s="38"/>
      <c r="D594" s="38"/>
      <c r="E594" s="38"/>
      <c r="F594" s="38"/>
      <c r="G594" s="38"/>
      <c r="H594" s="38"/>
      <c r="I594" s="38"/>
      <c r="J594" s="38"/>
      <c r="K594" s="38"/>
    </row>
    <row r="595">
      <c r="A595" s="38"/>
      <c r="B595" s="38"/>
      <c r="C595" s="38"/>
      <c r="D595" s="38"/>
      <c r="E595" s="38"/>
      <c r="F595" s="38"/>
      <c r="G595" s="38"/>
      <c r="H595" s="38"/>
      <c r="I595" s="38"/>
      <c r="J595" s="38"/>
      <c r="K595" s="38"/>
    </row>
    <row r="596">
      <c r="A596" s="38"/>
      <c r="B596" s="38"/>
      <c r="C596" s="38"/>
      <c r="D596" s="38"/>
      <c r="E596" s="38"/>
      <c r="F596" s="38"/>
      <c r="G596" s="38"/>
      <c r="H596" s="38"/>
      <c r="I596" s="38"/>
      <c r="J596" s="38"/>
      <c r="K596" s="38"/>
    </row>
    <row r="597">
      <c r="A597" s="38"/>
      <c r="B597" s="38"/>
      <c r="C597" s="38"/>
      <c r="D597" s="38"/>
      <c r="E597" s="38"/>
      <c r="F597" s="38"/>
      <c r="G597" s="38"/>
      <c r="H597" s="38"/>
      <c r="I597" s="38"/>
      <c r="J597" s="38"/>
      <c r="K597" s="38"/>
    </row>
    <row r="598">
      <c r="A598" s="38"/>
      <c r="B598" s="38"/>
      <c r="C598" s="38"/>
      <c r="D598" s="38"/>
      <c r="E598" s="38"/>
      <c r="F598" s="38"/>
      <c r="G598" s="38"/>
      <c r="H598" s="38"/>
      <c r="I598" s="38"/>
      <c r="J598" s="38"/>
      <c r="K598" s="38"/>
    </row>
    <row r="599">
      <c r="A599" s="38"/>
      <c r="B599" s="38"/>
      <c r="C599" s="38"/>
      <c r="D599" s="38"/>
      <c r="E599" s="38"/>
      <c r="F599" s="38"/>
      <c r="G599" s="38"/>
      <c r="H599" s="38"/>
      <c r="I599" s="38"/>
      <c r="J599" s="38"/>
      <c r="K599" s="38"/>
    </row>
    <row r="600">
      <c r="A600" s="38"/>
      <c r="B600" s="38"/>
      <c r="C600" s="38"/>
      <c r="D600" s="38"/>
      <c r="E600" s="38"/>
      <c r="F600" s="38"/>
      <c r="G600" s="38"/>
      <c r="H600" s="38"/>
      <c r="I600" s="38"/>
      <c r="J600" s="38"/>
      <c r="K600" s="38"/>
    </row>
    <row r="601">
      <c r="A601" s="38"/>
      <c r="B601" s="38"/>
      <c r="C601" s="38"/>
      <c r="D601" s="38"/>
      <c r="E601" s="38"/>
      <c r="F601" s="38"/>
      <c r="G601" s="38"/>
      <c r="H601" s="38"/>
      <c r="I601" s="38"/>
      <c r="J601" s="38"/>
      <c r="K601" s="38"/>
    </row>
    <row r="602">
      <c r="A602" s="38"/>
      <c r="B602" s="38"/>
      <c r="C602" s="38"/>
      <c r="D602" s="38"/>
      <c r="E602" s="38"/>
      <c r="F602" s="38"/>
      <c r="G602" s="38"/>
      <c r="H602" s="38"/>
      <c r="I602" s="38"/>
      <c r="J602" s="38"/>
      <c r="K602" s="38"/>
    </row>
    <row r="603">
      <c r="A603" s="38"/>
      <c r="B603" s="38"/>
      <c r="C603" s="38"/>
      <c r="D603" s="38"/>
      <c r="E603" s="38"/>
      <c r="F603" s="38"/>
      <c r="G603" s="38"/>
      <c r="H603" s="38"/>
      <c r="I603" s="38"/>
      <c r="J603" s="38"/>
      <c r="K603" s="38"/>
    </row>
    <row r="604">
      <c r="A604" s="38"/>
      <c r="B604" s="38"/>
      <c r="C604" s="38"/>
      <c r="D604" s="38"/>
      <c r="E604" s="38"/>
      <c r="F604" s="38"/>
      <c r="G604" s="38"/>
      <c r="H604" s="38"/>
      <c r="I604" s="38"/>
      <c r="J604" s="38"/>
      <c r="K604" s="38"/>
    </row>
    <row r="605">
      <c r="A605" s="38"/>
      <c r="B605" s="38"/>
      <c r="C605" s="38"/>
      <c r="D605" s="38"/>
      <c r="E605" s="38"/>
      <c r="F605" s="38"/>
      <c r="G605" s="38"/>
      <c r="H605" s="38"/>
      <c r="I605" s="38"/>
      <c r="J605" s="38"/>
      <c r="K605" s="38"/>
    </row>
    <row r="606">
      <c r="A606" s="38"/>
      <c r="B606" s="38"/>
      <c r="C606" s="38"/>
      <c r="D606" s="38"/>
      <c r="E606" s="38"/>
      <c r="F606" s="38"/>
      <c r="G606" s="38"/>
      <c r="H606" s="38"/>
      <c r="I606" s="38"/>
      <c r="J606" s="38"/>
      <c r="K606" s="38"/>
    </row>
    <row r="607">
      <c r="A607" s="38"/>
      <c r="B607" s="38"/>
      <c r="C607" s="38"/>
      <c r="D607" s="38"/>
      <c r="E607" s="38"/>
      <c r="F607" s="38"/>
      <c r="G607" s="38"/>
      <c r="H607" s="38"/>
      <c r="I607" s="38"/>
      <c r="J607" s="38"/>
      <c r="K607" s="38"/>
    </row>
    <row r="608">
      <c r="A608" s="38"/>
      <c r="B608" s="38"/>
      <c r="C608" s="38"/>
      <c r="D608" s="38"/>
      <c r="E608" s="38"/>
      <c r="F608" s="38"/>
      <c r="G608" s="38"/>
      <c r="H608" s="38"/>
      <c r="I608" s="38"/>
      <c r="J608" s="38"/>
      <c r="K608" s="38"/>
    </row>
    <row r="609">
      <c r="A609" s="38"/>
      <c r="B609" s="38"/>
      <c r="C609" s="38"/>
      <c r="D609" s="38"/>
      <c r="E609" s="38"/>
      <c r="F609" s="38"/>
      <c r="G609" s="38"/>
      <c r="H609" s="38"/>
      <c r="I609" s="38"/>
      <c r="J609" s="38"/>
      <c r="K609" s="38"/>
    </row>
    <row r="610">
      <c r="A610" s="38"/>
      <c r="B610" s="38"/>
      <c r="C610" s="38"/>
      <c r="D610" s="38"/>
      <c r="E610" s="38"/>
      <c r="F610" s="38"/>
      <c r="G610" s="38"/>
      <c r="H610" s="38"/>
      <c r="I610" s="38"/>
      <c r="J610" s="38"/>
      <c r="K610" s="38"/>
    </row>
    <row r="611">
      <c r="A611" s="38"/>
      <c r="B611" s="38"/>
      <c r="C611" s="38"/>
      <c r="D611" s="38"/>
      <c r="E611" s="38"/>
      <c r="F611" s="38"/>
      <c r="G611" s="38"/>
      <c r="H611" s="38"/>
      <c r="I611" s="38"/>
      <c r="J611" s="38"/>
      <c r="K611" s="38"/>
    </row>
    <row r="612">
      <c r="A612" s="38"/>
      <c r="B612" s="38"/>
      <c r="C612" s="38"/>
      <c r="D612" s="38"/>
      <c r="E612" s="38"/>
      <c r="F612" s="38"/>
      <c r="G612" s="38"/>
      <c r="H612" s="38"/>
      <c r="I612" s="38"/>
      <c r="J612" s="38"/>
      <c r="K612" s="38"/>
    </row>
    <row r="613">
      <c r="A613" s="38"/>
      <c r="B613" s="38"/>
      <c r="C613" s="38"/>
      <c r="D613" s="38"/>
      <c r="E613" s="38"/>
      <c r="F613" s="38"/>
      <c r="G613" s="38"/>
      <c r="H613" s="38"/>
      <c r="I613" s="38"/>
      <c r="J613" s="38"/>
      <c r="K613" s="38"/>
    </row>
    <row r="614">
      <c r="A614" s="38"/>
      <c r="B614" s="38"/>
      <c r="C614" s="38"/>
      <c r="D614" s="38"/>
      <c r="E614" s="38"/>
      <c r="F614" s="38"/>
      <c r="G614" s="38"/>
      <c r="H614" s="38"/>
      <c r="I614" s="38"/>
      <c r="J614" s="38"/>
      <c r="K614" s="38"/>
    </row>
    <row r="615">
      <c r="A615" s="38"/>
      <c r="B615" s="38"/>
      <c r="C615" s="38"/>
      <c r="D615" s="38"/>
      <c r="E615" s="38"/>
      <c r="F615" s="38"/>
      <c r="G615" s="38"/>
      <c r="H615" s="38"/>
      <c r="I615" s="38"/>
      <c r="J615" s="38"/>
      <c r="K615" s="38"/>
    </row>
    <row r="616">
      <c r="A616" s="38"/>
      <c r="B616" s="38"/>
      <c r="C616" s="38"/>
      <c r="D616" s="38"/>
      <c r="E616" s="38"/>
      <c r="F616" s="38"/>
      <c r="G616" s="38"/>
      <c r="H616" s="38"/>
      <c r="I616" s="38"/>
      <c r="J616" s="38"/>
      <c r="K616" s="38"/>
    </row>
    <row r="617">
      <c r="A617" s="38"/>
      <c r="B617" s="38"/>
      <c r="C617" s="38"/>
      <c r="D617" s="38"/>
      <c r="E617" s="38"/>
      <c r="F617" s="38"/>
      <c r="G617" s="38"/>
      <c r="H617" s="38"/>
      <c r="I617" s="38"/>
      <c r="J617" s="38"/>
      <c r="K617" s="38"/>
    </row>
    <row r="618">
      <c r="A618" s="38"/>
      <c r="B618" s="38"/>
      <c r="C618" s="38"/>
      <c r="D618" s="38"/>
      <c r="E618" s="38"/>
      <c r="F618" s="38"/>
      <c r="G618" s="38"/>
      <c r="H618" s="38"/>
      <c r="I618" s="38"/>
      <c r="J618" s="38"/>
      <c r="K618" s="38"/>
    </row>
    <row r="619">
      <c r="A619" s="38"/>
      <c r="B619" s="38"/>
      <c r="C619" s="38"/>
      <c r="D619" s="38"/>
      <c r="E619" s="38"/>
      <c r="F619" s="38"/>
      <c r="G619" s="38"/>
      <c r="H619" s="38"/>
      <c r="I619" s="38"/>
      <c r="J619" s="38"/>
      <c r="K619" s="38"/>
    </row>
    <row r="620">
      <c r="A620" s="38"/>
      <c r="B620" s="38"/>
      <c r="C620" s="38"/>
      <c r="D620" s="38"/>
      <c r="E620" s="38"/>
      <c r="F620" s="38"/>
      <c r="G620" s="38"/>
      <c r="H620" s="38"/>
      <c r="I620" s="38"/>
      <c r="J620" s="38"/>
      <c r="K620" s="38"/>
    </row>
    <row r="621">
      <c r="A621" s="38"/>
      <c r="B621" s="38"/>
      <c r="C621" s="38"/>
      <c r="D621" s="38"/>
      <c r="E621" s="38"/>
      <c r="F621" s="38"/>
      <c r="G621" s="38"/>
      <c r="H621" s="38"/>
      <c r="I621" s="38"/>
      <c r="J621" s="38"/>
      <c r="K621" s="38"/>
    </row>
    <row r="622">
      <c r="A622" s="38"/>
      <c r="B622" s="38"/>
      <c r="C622" s="38"/>
      <c r="D622" s="38"/>
      <c r="E622" s="38"/>
      <c r="F622" s="38"/>
      <c r="G622" s="38"/>
      <c r="H622" s="38"/>
      <c r="I622" s="38"/>
      <c r="J622" s="38"/>
      <c r="K622" s="38"/>
    </row>
    <row r="623">
      <c r="A623" s="38"/>
      <c r="B623" s="38"/>
      <c r="C623" s="38"/>
      <c r="D623" s="38"/>
      <c r="E623" s="38"/>
      <c r="F623" s="38"/>
      <c r="G623" s="38"/>
      <c r="H623" s="38"/>
      <c r="I623" s="38"/>
      <c r="J623" s="38"/>
      <c r="K623" s="38"/>
    </row>
    <row r="624">
      <c r="A624" s="38"/>
      <c r="B624" s="38"/>
      <c r="C624" s="38"/>
      <c r="D624" s="38"/>
      <c r="E624" s="38"/>
      <c r="F624" s="38"/>
      <c r="G624" s="38"/>
      <c r="H624" s="38"/>
      <c r="I624" s="38"/>
      <c r="J624" s="38"/>
      <c r="K624" s="38"/>
    </row>
    <row r="625">
      <c r="A625" s="38"/>
      <c r="B625" s="38"/>
      <c r="C625" s="38"/>
      <c r="D625" s="38"/>
      <c r="E625" s="38"/>
      <c r="F625" s="38"/>
      <c r="G625" s="38"/>
      <c r="H625" s="38"/>
      <c r="I625" s="38"/>
      <c r="J625" s="38"/>
      <c r="K625" s="38"/>
    </row>
    <row r="626">
      <c r="A626" s="38"/>
      <c r="B626" s="38"/>
      <c r="C626" s="38"/>
      <c r="D626" s="38"/>
      <c r="E626" s="38"/>
      <c r="F626" s="38"/>
      <c r="G626" s="38"/>
      <c r="H626" s="38"/>
      <c r="I626" s="38"/>
      <c r="J626" s="38"/>
      <c r="K626" s="38"/>
    </row>
    <row r="627">
      <c r="A627" s="38"/>
      <c r="B627" s="38"/>
      <c r="C627" s="38"/>
      <c r="D627" s="38"/>
      <c r="E627" s="38"/>
      <c r="F627" s="38"/>
      <c r="G627" s="38"/>
      <c r="H627" s="38"/>
      <c r="I627" s="38"/>
      <c r="J627" s="38"/>
      <c r="K627" s="38"/>
    </row>
    <row r="628">
      <c r="A628" s="38"/>
      <c r="B628" s="38"/>
      <c r="C628" s="38"/>
      <c r="D628" s="38"/>
      <c r="E628" s="38"/>
      <c r="F628" s="38"/>
      <c r="G628" s="38"/>
      <c r="H628" s="38"/>
      <c r="I628" s="38"/>
      <c r="J628" s="38"/>
      <c r="K628" s="38"/>
    </row>
    <row r="629">
      <c r="A629" s="38"/>
      <c r="B629" s="38"/>
      <c r="C629" s="38"/>
      <c r="D629" s="38"/>
      <c r="E629" s="38"/>
      <c r="F629" s="38"/>
      <c r="G629" s="38"/>
      <c r="H629" s="38"/>
      <c r="I629" s="38"/>
      <c r="J629" s="38"/>
      <c r="K629" s="38"/>
    </row>
    <row r="630">
      <c r="A630" s="38"/>
      <c r="B630" s="38"/>
      <c r="C630" s="38"/>
      <c r="D630" s="38"/>
      <c r="E630" s="38"/>
      <c r="F630" s="38"/>
      <c r="G630" s="38"/>
      <c r="H630" s="38"/>
      <c r="I630" s="38"/>
      <c r="J630" s="38"/>
      <c r="K630" s="38"/>
    </row>
    <row r="631">
      <c r="A631" s="38"/>
      <c r="B631" s="38"/>
      <c r="C631" s="38"/>
      <c r="D631" s="38"/>
      <c r="E631" s="38"/>
      <c r="F631" s="38"/>
      <c r="G631" s="38"/>
      <c r="H631" s="38"/>
      <c r="I631" s="38"/>
      <c r="J631" s="38"/>
      <c r="K631" s="38"/>
    </row>
    <row r="632">
      <c r="A632" s="38"/>
      <c r="B632" s="38"/>
      <c r="C632" s="38"/>
      <c r="D632" s="38"/>
      <c r="E632" s="38"/>
      <c r="F632" s="38"/>
      <c r="G632" s="38"/>
      <c r="H632" s="38"/>
      <c r="I632" s="38"/>
      <c r="J632" s="38"/>
      <c r="K632" s="38"/>
    </row>
    <row r="633">
      <c r="A633" s="38"/>
      <c r="B633" s="38"/>
      <c r="C633" s="38"/>
      <c r="D633" s="38"/>
      <c r="E633" s="38"/>
      <c r="F633" s="38"/>
      <c r="G633" s="38"/>
      <c r="H633" s="38"/>
      <c r="I633" s="38"/>
      <c r="J633" s="38"/>
      <c r="K633" s="38"/>
    </row>
    <row r="634">
      <c r="A634" s="38"/>
      <c r="B634" s="38"/>
      <c r="C634" s="38"/>
      <c r="D634" s="38"/>
      <c r="E634" s="38"/>
      <c r="F634" s="38"/>
      <c r="G634" s="38"/>
      <c r="H634" s="38"/>
      <c r="I634" s="38"/>
      <c r="J634" s="38"/>
      <c r="K634" s="38"/>
    </row>
    <row r="635">
      <c r="A635" s="38"/>
      <c r="B635" s="38"/>
      <c r="C635" s="38"/>
      <c r="D635" s="38"/>
      <c r="E635" s="38"/>
      <c r="F635" s="38"/>
      <c r="G635" s="38"/>
      <c r="H635" s="38"/>
      <c r="I635" s="38"/>
      <c r="J635" s="38"/>
      <c r="K635" s="38"/>
    </row>
    <row r="636">
      <c r="A636" s="38"/>
      <c r="B636" s="38"/>
      <c r="C636" s="38"/>
      <c r="D636" s="38"/>
      <c r="E636" s="38"/>
      <c r="F636" s="38"/>
      <c r="G636" s="38"/>
      <c r="H636" s="38"/>
      <c r="I636" s="38"/>
      <c r="J636" s="38"/>
      <c r="K636" s="38"/>
    </row>
    <row r="637">
      <c r="A637" s="38"/>
      <c r="B637" s="38"/>
      <c r="C637" s="38"/>
      <c r="D637" s="38"/>
      <c r="E637" s="38"/>
      <c r="F637" s="38"/>
      <c r="G637" s="38"/>
      <c r="H637" s="38"/>
      <c r="I637" s="38"/>
      <c r="J637" s="38"/>
      <c r="K637" s="38"/>
    </row>
    <row r="638">
      <c r="A638" s="38"/>
      <c r="B638" s="38"/>
      <c r="C638" s="38"/>
      <c r="D638" s="38"/>
      <c r="E638" s="38"/>
      <c r="F638" s="38"/>
      <c r="G638" s="38"/>
      <c r="H638" s="38"/>
      <c r="I638" s="38"/>
      <c r="J638" s="38"/>
      <c r="K638" s="38"/>
    </row>
    <row r="639">
      <c r="A639" s="38"/>
      <c r="B639" s="38"/>
      <c r="C639" s="38"/>
      <c r="D639" s="38"/>
      <c r="E639" s="38"/>
      <c r="F639" s="38"/>
      <c r="G639" s="38"/>
      <c r="H639" s="38"/>
      <c r="I639" s="38"/>
      <c r="J639" s="38"/>
      <c r="K639" s="38"/>
    </row>
    <row r="640">
      <c r="A640" s="38"/>
      <c r="B640" s="38"/>
      <c r="C640" s="38"/>
      <c r="D640" s="38"/>
      <c r="E640" s="38"/>
      <c r="F640" s="38"/>
      <c r="G640" s="38"/>
      <c r="H640" s="38"/>
      <c r="I640" s="38"/>
      <c r="J640" s="38"/>
      <c r="K640" s="38"/>
    </row>
    <row r="641">
      <c r="A641" s="38"/>
      <c r="B641" s="38"/>
      <c r="C641" s="38"/>
      <c r="D641" s="38"/>
      <c r="E641" s="38"/>
      <c r="F641" s="38"/>
      <c r="G641" s="38"/>
      <c r="H641" s="38"/>
      <c r="I641" s="38"/>
      <c r="J641" s="38"/>
      <c r="K641" s="38"/>
    </row>
    <row r="642">
      <c r="A642" s="38"/>
      <c r="B642" s="38"/>
      <c r="C642" s="38"/>
      <c r="D642" s="38"/>
      <c r="E642" s="38"/>
      <c r="F642" s="38"/>
      <c r="G642" s="38"/>
      <c r="H642" s="38"/>
      <c r="I642" s="38"/>
      <c r="J642" s="38"/>
      <c r="K642" s="38"/>
    </row>
    <row r="643">
      <c r="A643" s="38"/>
      <c r="B643" s="38"/>
      <c r="C643" s="38"/>
      <c r="D643" s="38"/>
      <c r="E643" s="38"/>
      <c r="F643" s="38"/>
      <c r="G643" s="38"/>
      <c r="H643" s="38"/>
      <c r="I643" s="38"/>
      <c r="J643" s="38"/>
      <c r="K643" s="38"/>
    </row>
    <row r="644">
      <c r="A644" s="38"/>
      <c r="B644" s="38"/>
      <c r="C644" s="38"/>
      <c r="D644" s="38"/>
      <c r="E644" s="38"/>
      <c r="F644" s="38"/>
      <c r="G644" s="38"/>
      <c r="H644" s="38"/>
      <c r="I644" s="38"/>
      <c r="J644" s="38"/>
      <c r="K644" s="38"/>
    </row>
    <row r="645">
      <c r="A645" s="38"/>
      <c r="B645" s="38"/>
      <c r="C645" s="38"/>
      <c r="D645" s="38"/>
      <c r="E645" s="38"/>
      <c r="F645" s="38"/>
      <c r="G645" s="38"/>
      <c r="H645" s="38"/>
      <c r="I645" s="38"/>
      <c r="J645" s="38"/>
      <c r="K645" s="38"/>
    </row>
    <row r="646">
      <c r="A646" s="38"/>
      <c r="B646" s="38"/>
      <c r="C646" s="38"/>
      <c r="D646" s="38"/>
      <c r="E646" s="38"/>
      <c r="F646" s="38"/>
      <c r="G646" s="38"/>
      <c r="H646" s="38"/>
      <c r="I646" s="38"/>
      <c r="J646" s="38"/>
      <c r="K646" s="38"/>
    </row>
    <row r="647">
      <c r="A647" s="38"/>
      <c r="B647" s="38"/>
      <c r="C647" s="38"/>
      <c r="D647" s="38"/>
      <c r="E647" s="38"/>
      <c r="F647" s="38"/>
      <c r="G647" s="38"/>
      <c r="H647" s="38"/>
      <c r="I647" s="38"/>
      <c r="J647" s="38"/>
      <c r="K647" s="38"/>
    </row>
    <row r="648">
      <c r="A648" s="38"/>
      <c r="B648" s="38"/>
      <c r="C648" s="38"/>
      <c r="D648" s="38"/>
      <c r="E648" s="38"/>
      <c r="F648" s="38"/>
      <c r="G648" s="38"/>
      <c r="H648" s="38"/>
      <c r="I648" s="38"/>
      <c r="J648" s="38"/>
      <c r="K648" s="38"/>
    </row>
    <row r="649">
      <c r="A649" s="38"/>
      <c r="B649" s="38"/>
      <c r="C649" s="38"/>
      <c r="D649" s="38"/>
      <c r="E649" s="38"/>
      <c r="F649" s="38"/>
      <c r="G649" s="38"/>
      <c r="H649" s="38"/>
      <c r="I649" s="38"/>
      <c r="J649" s="38"/>
      <c r="K649" s="38"/>
    </row>
    <row r="650">
      <c r="A650" s="38"/>
      <c r="B650" s="38"/>
      <c r="C650" s="38"/>
      <c r="D650" s="38"/>
      <c r="E650" s="38"/>
      <c r="F650" s="38"/>
      <c r="G650" s="38"/>
      <c r="H650" s="38"/>
      <c r="I650" s="38"/>
      <c r="J650" s="38"/>
      <c r="K650" s="38"/>
    </row>
    <row r="651">
      <c r="A651" s="38"/>
      <c r="B651" s="38"/>
      <c r="C651" s="38"/>
      <c r="D651" s="38"/>
      <c r="E651" s="38"/>
      <c r="F651" s="38"/>
      <c r="G651" s="38"/>
      <c r="H651" s="38"/>
      <c r="I651" s="38"/>
      <c r="J651" s="38"/>
      <c r="K651" s="38"/>
    </row>
    <row r="652">
      <c r="A652" s="38"/>
      <c r="B652" s="38"/>
      <c r="C652" s="38"/>
      <c r="D652" s="38"/>
      <c r="E652" s="38"/>
      <c r="F652" s="38"/>
      <c r="G652" s="38"/>
      <c r="H652" s="38"/>
      <c r="I652" s="38"/>
      <c r="J652" s="38"/>
      <c r="K652" s="38"/>
    </row>
    <row r="653">
      <c r="A653" s="38"/>
      <c r="B653" s="38"/>
      <c r="C653" s="38"/>
      <c r="D653" s="38"/>
      <c r="E653" s="38"/>
      <c r="F653" s="38"/>
      <c r="G653" s="38"/>
      <c r="H653" s="38"/>
      <c r="I653" s="38"/>
      <c r="J653" s="38"/>
      <c r="K653" s="38"/>
    </row>
    <row r="654">
      <c r="A654" s="38"/>
      <c r="B654" s="38"/>
      <c r="C654" s="38"/>
      <c r="D654" s="38"/>
      <c r="E654" s="38"/>
      <c r="F654" s="38"/>
      <c r="G654" s="38"/>
      <c r="H654" s="38"/>
      <c r="I654" s="38"/>
      <c r="J654" s="38"/>
      <c r="K654" s="38"/>
    </row>
    <row r="655">
      <c r="A655" s="38"/>
      <c r="B655" s="38"/>
      <c r="C655" s="38"/>
      <c r="D655" s="38"/>
      <c r="E655" s="38"/>
      <c r="F655" s="38"/>
      <c r="G655" s="38"/>
      <c r="H655" s="38"/>
      <c r="I655" s="38"/>
      <c r="J655" s="38"/>
      <c r="K655" s="38"/>
    </row>
    <row r="656">
      <c r="A656" s="38"/>
      <c r="B656" s="38"/>
      <c r="C656" s="38"/>
      <c r="D656" s="38"/>
      <c r="E656" s="38"/>
      <c r="F656" s="38"/>
      <c r="G656" s="38"/>
      <c r="H656" s="38"/>
      <c r="I656" s="38"/>
      <c r="J656" s="38"/>
      <c r="K656" s="38"/>
    </row>
    <row r="657">
      <c r="A657" s="38"/>
      <c r="B657" s="38"/>
      <c r="C657" s="38"/>
      <c r="D657" s="38"/>
      <c r="E657" s="38"/>
      <c r="F657" s="38"/>
      <c r="G657" s="38"/>
      <c r="H657" s="38"/>
      <c r="I657" s="38"/>
      <c r="J657" s="38"/>
      <c r="K657" s="38"/>
    </row>
    <row r="658">
      <c r="A658" s="38"/>
      <c r="B658" s="38"/>
      <c r="C658" s="38"/>
      <c r="D658" s="38"/>
      <c r="E658" s="38"/>
      <c r="F658" s="38"/>
      <c r="G658" s="38"/>
      <c r="H658" s="38"/>
      <c r="I658" s="38"/>
      <c r="J658" s="38"/>
      <c r="K658" s="38"/>
    </row>
    <row r="659">
      <c r="A659" s="38"/>
      <c r="B659" s="38"/>
      <c r="C659" s="38"/>
      <c r="D659" s="38"/>
      <c r="E659" s="38"/>
      <c r="F659" s="38"/>
      <c r="G659" s="38"/>
      <c r="H659" s="38"/>
      <c r="I659" s="38"/>
      <c r="J659" s="38"/>
      <c r="K659" s="38"/>
    </row>
    <row r="660">
      <c r="A660" s="38"/>
      <c r="B660" s="38"/>
      <c r="C660" s="38"/>
      <c r="D660" s="38"/>
      <c r="E660" s="38"/>
      <c r="F660" s="38"/>
      <c r="G660" s="38"/>
      <c r="H660" s="38"/>
      <c r="I660" s="38"/>
      <c r="J660" s="38"/>
      <c r="K660" s="38"/>
    </row>
    <row r="661">
      <c r="A661" s="38"/>
      <c r="B661" s="38"/>
      <c r="C661" s="38"/>
      <c r="D661" s="38"/>
      <c r="E661" s="38"/>
      <c r="F661" s="38"/>
      <c r="G661" s="38"/>
      <c r="H661" s="38"/>
      <c r="I661" s="38"/>
      <c r="J661" s="38"/>
      <c r="K661" s="38"/>
    </row>
    <row r="662">
      <c r="A662" s="38"/>
      <c r="B662" s="38"/>
      <c r="C662" s="38"/>
      <c r="D662" s="38"/>
      <c r="E662" s="38"/>
      <c r="F662" s="38"/>
      <c r="G662" s="38"/>
      <c r="H662" s="38"/>
      <c r="I662" s="38"/>
      <c r="J662" s="38"/>
      <c r="K662" s="38"/>
    </row>
    <row r="663">
      <c r="A663" s="38"/>
      <c r="B663" s="38"/>
      <c r="C663" s="38"/>
      <c r="D663" s="38"/>
      <c r="E663" s="38"/>
      <c r="F663" s="38"/>
      <c r="G663" s="38"/>
      <c r="H663" s="38"/>
      <c r="I663" s="38"/>
      <c r="J663" s="38"/>
      <c r="K663" s="38"/>
    </row>
    <row r="664">
      <c r="A664" s="38"/>
      <c r="B664" s="38"/>
      <c r="C664" s="38"/>
      <c r="D664" s="38"/>
      <c r="E664" s="38"/>
      <c r="F664" s="38"/>
      <c r="G664" s="38"/>
      <c r="H664" s="38"/>
      <c r="I664" s="38"/>
      <c r="J664" s="38"/>
      <c r="K664" s="38"/>
    </row>
    <row r="665">
      <c r="A665" s="38"/>
      <c r="B665" s="38"/>
      <c r="C665" s="38"/>
      <c r="D665" s="38"/>
      <c r="E665" s="38"/>
      <c r="F665" s="38"/>
      <c r="G665" s="38"/>
      <c r="H665" s="38"/>
      <c r="I665" s="38"/>
      <c r="J665" s="38"/>
      <c r="K665" s="38"/>
    </row>
    <row r="666">
      <c r="A666" s="38"/>
      <c r="B666" s="38"/>
      <c r="C666" s="38"/>
      <c r="D666" s="38"/>
      <c r="E666" s="38"/>
      <c r="F666" s="38"/>
      <c r="G666" s="38"/>
      <c r="H666" s="38"/>
      <c r="I666" s="38"/>
      <c r="J666" s="38"/>
      <c r="K666" s="38"/>
    </row>
    <row r="667">
      <c r="A667" s="38"/>
      <c r="B667" s="38"/>
      <c r="C667" s="38"/>
      <c r="D667" s="38"/>
      <c r="E667" s="38"/>
      <c r="F667" s="38"/>
      <c r="G667" s="38"/>
      <c r="H667" s="38"/>
      <c r="I667" s="38"/>
      <c r="J667" s="38"/>
      <c r="K667" s="38"/>
    </row>
    <row r="668">
      <c r="A668" s="38"/>
      <c r="B668" s="38"/>
      <c r="C668" s="38"/>
      <c r="D668" s="38"/>
      <c r="E668" s="38"/>
      <c r="F668" s="38"/>
      <c r="G668" s="38"/>
      <c r="H668" s="38"/>
      <c r="I668" s="38"/>
      <c r="J668" s="38"/>
      <c r="K668" s="38"/>
    </row>
    <row r="669">
      <c r="A669" s="38"/>
      <c r="B669" s="38"/>
      <c r="C669" s="38"/>
      <c r="D669" s="38"/>
      <c r="E669" s="38"/>
      <c r="F669" s="38"/>
      <c r="G669" s="38"/>
      <c r="H669" s="38"/>
      <c r="I669" s="38"/>
      <c r="J669" s="38"/>
      <c r="K669" s="38"/>
    </row>
    <row r="670">
      <c r="A670" s="38"/>
      <c r="B670" s="38"/>
      <c r="C670" s="38"/>
      <c r="D670" s="38"/>
      <c r="E670" s="38"/>
      <c r="F670" s="38"/>
      <c r="G670" s="38"/>
      <c r="H670" s="38"/>
      <c r="I670" s="38"/>
      <c r="J670" s="38"/>
      <c r="K670" s="38"/>
    </row>
    <row r="671">
      <c r="A671" s="38"/>
      <c r="B671" s="38"/>
      <c r="C671" s="38"/>
      <c r="D671" s="38"/>
      <c r="E671" s="38"/>
      <c r="F671" s="38"/>
      <c r="G671" s="38"/>
      <c r="H671" s="38"/>
      <c r="I671" s="38"/>
      <c r="J671" s="38"/>
      <c r="K671" s="38"/>
    </row>
    <row r="672">
      <c r="A672" s="38"/>
      <c r="B672" s="38"/>
      <c r="C672" s="38"/>
      <c r="D672" s="38"/>
      <c r="E672" s="38"/>
      <c r="F672" s="38"/>
      <c r="G672" s="38"/>
      <c r="H672" s="38"/>
      <c r="I672" s="38"/>
      <c r="J672" s="38"/>
      <c r="K672" s="38"/>
    </row>
    <row r="673">
      <c r="A673" s="38"/>
      <c r="B673" s="38"/>
      <c r="C673" s="38"/>
      <c r="D673" s="38"/>
      <c r="E673" s="38"/>
      <c r="F673" s="38"/>
      <c r="G673" s="38"/>
      <c r="H673" s="38"/>
      <c r="I673" s="38"/>
      <c r="J673" s="38"/>
      <c r="K673" s="38"/>
    </row>
    <row r="674">
      <c r="A674" s="38"/>
      <c r="B674" s="38"/>
      <c r="C674" s="38"/>
      <c r="D674" s="38"/>
      <c r="E674" s="38"/>
      <c r="F674" s="38"/>
      <c r="G674" s="38"/>
      <c r="H674" s="38"/>
      <c r="I674" s="38"/>
      <c r="J674" s="38"/>
      <c r="K674" s="38"/>
    </row>
    <row r="675">
      <c r="A675" s="38"/>
      <c r="B675" s="38"/>
      <c r="C675" s="38"/>
      <c r="D675" s="38"/>
      <c r="E675" s="38"/>
      <c r="F675" s="38"/>
      <c r="G675" s="38"/>
      <c r="H675" s="38"/>
      <c r="I675" s="38"/>
      <c r="J675" s="38"/>
      <c r="K675" s="38"/>
    </row>
    <row r="676">
      <c r="A676" s="38"/>
      <c r="B676" s="38"/>
      <c r="C676" s="38"/>
      <c r="D676" s="38"/>
      <c r="E676" s="38"/>
      <c r="F676" s="38"/>
      <c r="G676" s="38"/>
      <c r="H676" s="38"/>
      <c r="I676" s="38"/>
      <c r="J676" s="38"/>
      <c r="K676" s="38"/>
    </row>
    <row r="677">
      <c r="A677" s="38"/>
      <c r="B677" s="38"/>
      <c r="C677" s="38"/>
      <c r="D677" s="38"/>
      <c r="E677" s="38"/>
      <c r="F677" s="38"/>
      <c r="G677" s="38"/>
      <c r="H677" s="38"/>
      <c r="I677" s="38"/>
      <c r="J677" s="38"/>
      <c r="K677" s="38"/>
    </row>
    <row r="678">
      <c r="A678" s="38"/>
      <c r="B678" s="38"/>
      <c r="C678" s="38"/>
      <c r="D678" s="38"/>
      <c r="E678" s="38"/>
      <c r="F678" s="38"/>
      <c r="G678" s="38"/>
      <c r="H678" s="38"/>
      <c r="I678" s="38"/>
      <c r="J678" s="38"/>
      <c r="K678" s="38"/>
    </row>
    <row r="679">
      <c r="A679" s="38"/>
      <c r="B679" s="38"/>
      <c r="C679" s="38"/>
      <c r="D679" s="38"/>
      <c r="E679" s="38"/>
      <c r="F679" s="38"/>
      <c r="G679" s="38"/>
      <c r="H679" s="38"/>
      <c r="I679" s="38"/>
      <c r="J679" s="38"/>
      <c r="K679" s="38"/>
    </row>
    <row r="680">
      <c r="A680" s="38"/>
      <c r="B680" s="38"/>
      <c r="C680" s="38"/>
      <c r="D680" s="38"/>
      <c r="E680" s="38"/>
      <c r="F680" s="38"/>
      <c r="G680" s="38"/>
      <c r="H680" s="38"/>
      <c r="I680" s="38"/>
      <c r="J680" s="38"/>
      <c r="K680" s="38"/>
    </row>
    <row r="681">
      <c r="A681" s="38"/>
      <c r="B681" s="38"/>
      <c r="C681" s="38"/>
      <c r="D681" s="38"/>
      <c r="E681" s="38"/>
      <c r="F681" s="38"/>
      <c r="G681" s="38"/>
      <c r="H681" s="38"/>
      <c r="I681" s="38"/>
      <c r="J681" s="38"/>
      <c r="K681" s="38"/>
    </row>
    <row r="682">
      <c r="A682" s="38"/>
      <c r="B682" s="38"/>
      <c r="C682" s="38"/>
      <c r="D682" s="38"/>
      <c r="E682" s="38"/>
      <c r="F682" s="38"/>
      <c r="G682" s="38"/>
      <c r="H682" s="38"/>
      <c r="I682" s="38"/>
      <c r="J682" s="38"/>
      <c r="K682" s="38"/>
    </row>
    <row r="683">
      <c r="A683" s="38"/>
      <c r="B683" s="38"/>
      <c r="C683" s="38"/>
      <c r="D683" s="38"/>
      <c r="E683" s="38"/>
      <c r="F683" s="38"/>
      <c r="G683" s="38"/>
      <c r="H683" s="38"/>
      <c r="I683" s="38"/>
      <c r="J683" s="38"/>
      <c r="K683" s="38"/>
    </row>
    <row r="684">
      <c r="A684" s="38"/>
      <c r="B684" s="38"/>
      <c r="C684" s="38"/>
      <c r="D684" s="38"/>
      <c r="E684" s="38"/>
      <c r="F684" s="38"/>
      <c r="G684" s="38"/>
      <c r="H684" s="38"/>
      <c r="I684" s="38"/>
      <c r="J684" s="38"/>
      <c r="K684" s="38"/>
    </row>
    <row r="685">
      <c r="A685" s="38"/>
      <c r="B685" s="38"/>
      <c r="C685" s="38"/>
      <c r="D685" s="38"/>
      <c r="E685" s="38"/>
      <c r="F685" s="38"/>
      <c r="G685" s="38"/>
      <c r="H685" s="38"/>
      <c r="I685" s="38"/>
      <c r="J685" s="38"/>
      <c r="K685" s="38"/>
    </row>
    <row r="686">
      <c r="A686" s="38"/>
      <c r="B686" s="38"/>
      <c r="C686" s="38"/>
      <c r="D686" s="38"/>
      <c r="E686" s="38"/>
      <c r="F686" s="38"/>
      <c r="G686" s="38"/>
      <c r="H686" s="38"/>
      <c r="I686" s="38"/>
      <c r="J686" s="38"/>
      <c r="K686" s="38"/>
    </row>
    <row r="687">
      <c r="A687" s="38"/>
      <c r="B687" s="38"/>
      <c r="C687" s="38"/>
      <c r="D687" s="38"/>
      <c r="E687" s="38"/>
      <c r="F687" s="38"/>
      <c r="G687" s="38"/>
      <c r="H687" s="38"/>
      <c r="I687" s="38"/>
      <c r="J687" s="38"/>
      <c r="K687" s="38"/>
    </row>
    <row r="688">
      <c r="A688" s="38"/>
      <c r="B688" s="38"/>
      <c r="C688" s="38"/>
      <c r="D688" s="38"/>
      <c r="E688" s="38"/>
      <c r="F688" s="38"/>
      <c r="G688" s="38"/>
      <c r="H688" s="38"/>
      <c r="I688" s="38"/>
      <c r="J688" s="38"/>
      <c r="K688" s="38"/>
    </row>
    <row r="689">
      <c r="A689" s="38"/>
      <c r="B689" s="38"/>
      <c r="C689" s="38"/>
      <c r="D689" s="38"/>
      <c r="E689" s="38"/>
      <c r="F689" s="38"/>
      <c r="G689" s="38"/>
      <c r="H689" s="38"/>
      <c r="I689" s="38"/>
      <c r="J689" s="38"/>
      <c r="K689" s="38"/>
    </row>
    <row r="690">
      <c r="A690" s="38"/>
      <c r="B690" s="38"/>
      <c r="C690" s="38"/>
      <c r="D690" s="38"/>
      <c r="E690" s="38"/>
      <c r="F690" s="38"/>
      <c r="G690" s="38"/>
      <c r="H690" s="38"/>
      <c r="I690" s="38"/>
      <c r="J690" s="38"/>
      <c r="K690" s="38"/>
    </row>
    <row r="691">
      <c r="A691" s="38"/>
      <c r="B691" s="38"/>
      <c r="C691" s="38"/>
      <c r="D691" s="38"/>
      <c r="E691" s="38"/>
      <c r="F691" s="38"/>
      <c r="G691" s="38"/>
      <c r="H691" s="38"/>
      <c r="I691" s="38"/>
      <c r="J691" s="38"/>
      <c r="K691" s="38"/>
    </row>
    <row r="692">
      <c r="A692" s="38"/>
      <c r="B692" s="38"/>
      <c r="C692" s="38"/>
      <c r="D692" s="38"/>
      <c r="E692" s="38"/>
      <c r="F692" s="38"/>
      <c r="G692" s="38"/>
      <c r="H692" s="38"/>
      <c r="I692" s="38"/>
      <c r="J692" s="38"/>
      <c r="K692" s="38"/>
    </row>
    <row r="693">
      <c r="A693" s="38"/>
      <c r="B693" s="38"/>
      <c r="C693" s="38"/>
      <c r="D693" s="38"/>
      <c r="E693" s="38"/>
      <c r="F693" s="38"/>
      <c r="G693" s="38"/>
      <c r="H693" s="38"/>
      <c r="I693" s="38"/>
      <c r="J693" s="38"/>
      <c r="K693" s="38"/>
    </row>
    <row r="694">
      <c r="A694" s="38"/>
      <c r="B694" s="38"/>
      <c r="C694" s="38"/>
      <c r="D694" s="38"/>
      <c r="E694" s="38"/>
      <c r="F694" s="38"/>
      <c r="G694" s="38"/>
      <c r="H694" s="38"/>
      <c r="I694" s="38"/>
      <c r="J694" s="38"/>
      <c r="K694" s="38"/>
    </row>
    <row r="695">
      <c r="A695" s="38"/>
      <c r="B695" s="38"/>
      <c r="C695" s="38"/>
      <c r="D695" s="38"/>
      <c r="E695" s="38"/>
      <c r="F695" s="38"/>
      <c r="G695" s="38"/>
      <c r="H695" s="38"/>
      <c r="I695" s="38"/>
      <c r="J695" s="38"/>
      <c r="K695" s="38"/>
    </row>
    <row r="696">
      <c r="A696" s="38"/>
      <c r="B696" s="38"/>
      <c r="C696" s="38"/>
      <c r="D696" s="38"/>
      <c r="E696" s="38"/>
      <c r="F696" s="38"/>
      <c r="G696" s="38"/>
      <c r="H696" s="38"/>
      <c r="I696" s="38"/>
      <c r="J696" s="38"/>
      <c r="K696" s="38"/>
    </row>
    <row r="697">
      <c r="A697" s="38"/>
      <c r="B697" s="38"/>
      <c r="C697" s="38"/>
      <c r="D697" s="38"/>
      <c r="E697" s="38"/>
      <c r="F697" s="38"/>
      <c r="G697" s="38"/>
      <c r="H697" s="38"/>
      <c r="I697" s="38"/>
      <c r="J697" s="38"/>
      <c r="K697" s="38"/>
    </row>
    <row r="698">
      <c r="A698" s="38"/>
      <c r="B698" s="38"/>
      <c r="C698" s="38"/>
      <c r="D698" s="38"/>
      <c r="E698" s="38"/>
      <c r="F698" s="38"/>
      <c r="G698" s="38"/>
      <c r="H698" s="38"/>
      <c r="I698" s="38"/>
      <c r="J698" s="38"/>
      <c r="K698" s="38"/>
    </row>
    <row r="699">
      <c r="A699" s="38"/>
      <c r="B699" s="38"/>
      <c r="C699" s="38"/>
      <c r="D699" s="38"/>
      <c r="E699" s="38"/>
      <c r="F699" s="38"/>
      <c r="G699" s="38"/>
      <c r="H699" s="38"/>
      <c r="I699" s="38"/>
      <c r="J699" s="38"/>
      <c r="K699" s="38"/>
    </row>
    <row r="700">
      <c r="A700" s="38"/>
      <c r="B700" s="38"/>
      <c r="C700" s="38"/>
      <c r="D700" s="38"/>
      <c r="E700" s="38"/>
      <c r="F700" s="38"/>
      <c r="G700" s="38"/>
      <c r="H700" s="38"/>
      <c r="I700" s="38"/>
      <c r="J700" s="38"/>
      <c r="K700" s="38"/>
    </row>
    <row r="701">
      <c r="A701" s="38"/>
      <c r="B701" s="38"/>
      <c r="C701" s="38"/>
      <c r="D701" s="38"/>
      <c r="E701" s="38"/>
      <c r="F701" s="38"/>
      <c r="G701" s="38"/>
      <c r="H701" s="38"/>
      <c r="I701" s="38"/>
      <c r="J701" s="38"/>
      <c r="K701" s="38"/>
    </row>
    <row r="702">
      <c r="A702" s="38"/>
      <c r="B702" s="38"/>
      <c r="C702" s="38"/>
      <c r="D702" s="38"/>
      <c r="E702" s="38"/>
      <c r="F702" s="38"/>
      <c r="G702" s="38"/>
      <c r="H702" s="38"/>
      <c r="I702" s="38"/>
      <c r="J702" s="38"/>
      <c r="K702" s="38"/>
    </row>
    <row r="703">
      <c r="A703" s="38"/>
      <c r="B703" s="38"/>
      <c r="C703" s="38"/>
      <c r="D703" s="38"/>
      <c r="E703" s="38"/>
      <c r="F703" s="38"/>
      <c r="G703" s="38"/>
      <c r="H703" s="38"/>
      <c r="I703" s="38"/>
      <c r="J703" s="38"/>
      <c r="K703" s="38"/>
    </row>
    <row r="704">
      <c r="A704" s="38"/>
      <c r="B704" s="38"/>
      <c r="C704" s="38"/>
      <c r="D704" s="38"/>
      <c r="E704" s="38"/>
      <c r="F704" s="38"/>
      <c r="G704" s="38"/>
      <c r="H704" s="38"/>
      <c r="I704" s="38"/>
      <c r="J704" s="38"/>
      <c r="K704" s="38"/>
    </row>
    <row r="705">
      <c r="A705" s="38"/>
      <c r="B705" s="38"/>
      <c r="C705" s="38"/>
      <c r="D705" s="38"/>
      <c r="E705" s="38"/>
      <c r="F705" s="38"/>
      <c r="G705" s="38"/>
      <c r="H705" s="38"/>
      <c r="I705" s="38"/>
      <c r="J705" s="38"/>
      <c r="K705" s="38"/>
    </row>
    <row r="706">
      <c r="A706" s="38"/>
      <c r="B706" s="38"/>
      <c r="C706" s="38"/>
      <c r="D706" s="38"/>
      <c r="E706" s="38"/>
      <c r="F706" s="38"/>
      <c r="G706" s="38"/>
      <c r="H706" s="38"/>
      <c r="I706" s="38"/>
      <c r="J706" s="38"/>
      <c r="K706" s="38"/>
    </row>
    <row r="707">
      <c r="A707" s="38"/>
      <c r="B707" s="38"/>
      <c r="C707" s="38"/>
      <c r="D707" s="38"/>
      <c r="E707" s="38"/>
      <c r="F707" s="38"/>
      <c r="G707" s="38"/>
      <c r="H707" s="38"/>
      <c r="I707" s="38"/>
      <c r="J707" s="38"/>
      <c r="K707" s="38"/>
    </row>
    <row r="708">
      <c r="A708" s="38"/>
      <c r="B708" s="38"/>
      <c r="C708" s="38"/>
      <c r="D708" s="38"/>
      <c r="E708" s="38"/>
      <c r="F708" s="38"/>
      <c r="G708" s="38"/>
      <c r="H708" s="38"/>
      <c r="I708" s="38"/>
      <c r="J708" s="38"/>
      <c r="K708" s="38"/>
    </row>
    <row r="709">
      <c r="A709" s="38"/>
      <c r="B709" s="38"/>
      <c r="C709" s="38"/>
      <c r="D709" s="38"/>
      <c r="E709" s="38"/>
      <c r="F709" s="38"/>
      <c r="G709" s="38"/>
      <c r="H709" s="38"/>
      <c r="I709" s="38"/>
      <c r="J709" s="38"/>
      <c r="K709" s="38"/>
    </row>
    <row r="710">
      <c r="A710" s="38"/>
      <c r="B710" s="38"/>
      <c r="C710" s="38"/>
      <c r="D710" s="38"/>
      <c r="E710" s="38"/>
      <c r="F710" s="38"/>
      <c r="G710" s="38"/>
      <c r="H710" s="38"/>
      <c r="I710" s="38"/>
      <c r="J710" s="38"/>
      <c r="K710" s="38"/>
    </row>
    <row r="711">
      <c r="A711" s="38"/>
      <c r="B711" s="38"/>
      <c r="C711" s="38"/>
      <c r="D711" s="38"/>
      <c r="E711" s="38"/>
      <c r="F711" s="38"/>
      <c r="G711" s="38"/>
      <c r="H711" s="38"/>
      <c r="I711" s="38"/>
      <c r="J711" s="38"/>
      <c r="K711" s="38"/>
    </row>
    <row r="712">
      <c r="A712" s="38"/>
      <c r="B712" s="38"/>
      <c r="C712" s="38"/>
      <c r="D712" s="38"/>
      <c r="E712" s="38"/>
      <c r="F712" s="38"/>
      <c r="G712" s="38"/>
      <c r="H712" s="38"/>
      <c r="I712" s="38"/>
      <c r="J712" s="38"/>
      <c r="K712" s="38"/>
    </row>
    <row r="713">
      <c r="A713" s="38"/>
      <c r="B713" s="38"/>
      <c r="C713" s="38"/>
      <c r="D713" s="38"/>
      <c r="E713" s="38"/>
      <c r="F713" s="38"/>
      <c r="G713" s="38"/>
      <c r="H713" s="38"/>
      <c r="I713" s="38"/>
      <c r="J713" s="38"/>
      <c r="K713" s="38"/>
    </row>
    <row r="714">
      <c r="A714" s="38"/>
      <c r="B714" s="38"/>
      <c r="C714" s="38"/>
      <c r="D714" s="38"/>
      <c r="E714" s="38"/>
      <c r="F714" s="38"/>
      <c r="G714" s="38"/>
      <c r="H714" s="38"/>
      <c r="I714" s="38"/>
      <c r="J714" s="38"/>
      <c r="K714" s="38"/>
    </row>
    <row r="715">
      <c r="A715" s="38"/>
      <c r="B715" s="38"/>
      <c r="C715" s="38"/>
      <c r="D715" s="38"/>
      <c r="E715" s="38"/>
      <c r="F715" s="38"/>
      <c r="G715" s="38"/>
      <c r="H715" s="38"/>
      <c r="I715" s="38"/>
      <c r="J715" s="38"/>
      <c r="K715" s="38"/>
    </row>
    <row r="716">
      <c r="A716" s="38"/>
      <c r="B716" s="38"/>
      <c r="C716" s="38"/>
      <c r="D716" s="38"/>
      <c r="E716" s="38"/>
      <c r="F716" s="38"/>
      <c r="G716" s="38"/>
      <c r="H716" s="38"/>
      <c r="I716" s="38"/>
      <c r="J716" s="38"/>
      <c r="K716" s="38"/>
    </row>
    <row r="717">
      <c r="A717" s="38"/>
      <c r="B717" s="38"/>
      <c r="C717" s="38"/>
      <c r="D717" s="38"/>
      <c r="E717" s="38"/>
      <c r="F717" s="38"/>
      <c r="G717" s="38"/>
      <c r="H717" s="38"/>
      <c r="I717" s="38"/>
      <c r="J717" s="38"/>
      <c r="K717" s="38"/>
    </row>
    <row r="718">
      <c r="A718" s="38"/>
      <c r="B718" s="38"/>
      <c r="C718" s="38"/>
      <c r="D718" s="38"/>
      <c r="E718" s="38"/>
      <c r="F718" s="38"/>
      <c r="G718" s="38"/>
      <c r="H718" s="38"/>
      <c r="I718" s="38"/>
      <c r="J718" s="38"/>
      <c r="K718" s="38"/>
    </row>
    <row r="719">
      <c r="A719" s="38"/>
      <c r="B719" s="38"/>
      <c r="C719" s="38"/>
      <c r="D719" s="38"/>
      <c r="E719" s="38"/>
      <c r="F719" s="38"/>
      <c r="G719" s="38"/>
      <c r="H719" s="38"/>
      <c r="I719" s="38"/>
      <c r="J719" s="38"/>
      <c r="K719" s="38"/>
    </row>
    <row r="720">
      <c r="A720" s="38"/>
      <c r="B720" s="38"/>
      <c r="C720" s="38"/>
      <c r="D720" s="38"/>
      <c r="E720" s="38"/>
      <c r="F720" s="38"/>
      <c r="G720" s="38"/>
      <c r="H720" s="38"/>
      <c r="I720" s="38"/>
      <c r="J720" s="38"/>
      <c r="K720" s="38"/>
    </row>
    <row r="721">
      <c r="A721" s="38"/>
      <c r="B721" s="38"/>
      <c r="C721" s="38"/>
      <c r="D721" s="38"/>
      <c r="E721" s="38"/>
      <c r="F721" s="38"/>
      <c r="G721" s="38"/>
      <c r="H721" s="38"/>
      <c r="I721" s="38"/>
      <c r="J721" s="38"/>
      <c r="K721" s="38"/>
    </row>
    <row r="722">
      <c r="A722" s="38"/>
      <c r="B722" s="38"/>
      <c r="C722" s="38"/>
      <c r="D722" s="38"/>
      <c r="E722" s="38"/>
      <c r="F722" s="38"/>
      <c r="G722" s="38"/>
      <c r="H722" s="38"/>
      <c r="I722" s="38"/>
      <c r="J722" s="38"/>
      <c r="K722" s="38"/>
    </row>
    <row r="723">
      <c r="A723" s="38"/>
      <c r="B723" s="38"/>
      <c r="C723" s="38"/>
      <c r="D723" s="38"/>
      <c r="E723" s="38"/>
      <c r="F723" s="38"/>
      <c r="G723" s="38"/>
      <c r="H723" s="38"/>
      <c r="I723" s="38"/>
      <c r="J723" s="38"/>
      <c r="K723" s="38"/>
    </row>
    <row r="724">
      <c r="A724" s="38"/>
      <c r="B724" s="38"/>
      <c r="C724" s="38"/>
      <c r="D724" s="38"/>
      <c r="E724" s="38"/>
      <c r="F724" s="38"/>
      <c r="G724" s="38"/>
      <c r="H724" s="38"/>
      <c r="I724" s="38"/>
      <c r="J724" s="38"/>
      <c r="K724" s="38"/>
    </row>
    <row r="725">
      <c r="A725" s="38"/>
      <c r="B725" s="38"/>
      <c r="C725" s="38"/>
      <c r="D725" s="38"/>
      <c r="E725" s="38"/>
      <c r="F725" s="38"/>
      <c r="G725" s="38"/>
      <c r="H725" s="38"/>
      <c r="I725" s="38"/>
      <c r="J725" s="38"/>
      <c r="K725" s="38"/>
    </row>
    <row r="726">
      <c r="A726" s="38"/>
      <c r="B726" s="38"/>
      <c r="C726" s="38"/>
      <c r="D726" s="38"/>
      <c r="E726" s="38"/>
      <c r="F726" s="38"/>
      <c r="G726" s="38"/>
      <c r="H726" s="38"/>
      <c r="I726" s="38"/>
      <c r="J726" s="38"/>
      <c r="K726" s="38"/>
    </row>
    <row r="727">
      <c r="A727" s="38"/>
      <c r="B727" s="38"/>
      <c r="C727" s="38"/>
      <c r="D727" s="38"/>
      <c r="E727" s="38"/>
      <c r="F727" s="38"/>
      <c r="G727" s="38"/>
      <c r="H727" s="38"/>
      <c r="I727" s="38"/>
      <c r="J727" s="38"/>
      <c r="K727" s="38"/>
    </row>
    <row r="728">
      <c r="A728" s="38"/>
      <c r="B728" s="38"/>
      <c r="C728" s="38"/>
      <c r="D728" s="38"/>
      <c r="E728" s="38"/>
      <c r="F728" s="38"/>
      <c r="G728" s="38"/>
      <c r="H728" s="38"/>
      <c r="I728" s="38"/>
      <c r="J728" s="38"/>
      <c r="K728" s="38"/>
    </row>
    <row r="729">
      <c r="A729" s="38"/>
      <c r="B729" s="38"/>
      <c r="C729" s="38"/>
      <c r="D729" s="38"/>
      <c r="E729" s="38"/>
      <c r="F729" s="38"/>
      <c r="G729" s="38"/>
      <c r="H729" s="38"/>
      <c r="I729" s="38"/>
      <c r="J729" s="38"/>
      <c r="K729" s="38"/>
    </row>
    <row r="730">
      <c r="A730" s="38"/>
      <c r="B730" s="38"/>
      <c r="C730" s="38"/>
      <c r="D730" s="38"/>
      <c r="E730" s="38"/>
      <c r="F730" s="38"/>
      <c r="G730" s="38"/>
      <c r="H730" s="38"/>
      <c r="I730" s="38"/>
      <c r="J730" s="38"/>
      <c r="K730" s="38"/>
    </row>
    <row r="731">
      <c r="A731" s="38"/>
      <c r="B731" s="38"/>
      <c r="C731" s="38"/>
      <c r="D731" s="38"/>
      <c r="E731" s="38"/>
      <c r="F731" s="38"/>
      <c r="G731" s="38"/>
      <c r="H731" s="38"/>
      <c r="I731" s="38"/>
      <c r="J731" s="38"/>
      <c r="K731" s="38"/>
    </row>
    <row r="732">
      <c r="A732" s="38"/>
      <c r="B732" s="38"/>
      <c r="C732" s="38"/>
      <c r="D732" s="38"/>
      <c r="E732" s="38"/>
      <c r="F732" s="38"/>
      <c r="G732" s="38"/>
      <c r="H732" s="38"/>
      <c r="I732" s="38"/>
      <c r="J732" s="38"/>
      <c r="K732" s="38"/>
    </row>
    <row r="733">
      <c r="A733" s="38"/>
      <c r="B733" s="38"/>
      <c r="C733" s="38"/>
      <c r="D733" s="38"/>
      <c r="E733" s="38"/>
      <c r="F733" s="38"/>
      <c r="G733" s="38"/>
      <c r="H733" s="38"/>
      <c r="I733" s="38"/>
      <c r="J733" s="38"/>
      <c r="K733" s="38"/>
    </row>
    <row r="734">
      <c r="A734" s="38"/>
      <c r="B734" s="38"/>
      <c r="C734" s="38"/>
      <c r="D734" s="38"/>
      <c r="E734" s="38"/>
      <c r="F734" s="38"/>
      <c r="G734" s="38"/>
      <c r="H734" s="38"/>
      <c r="I734" s="38"/>
      <c r="J734" s="38"/>
      <c r="K734" s="38"/>
    </row>
    <row r="735">
      <c r="A735" s="38"/>
      <c r="B735" s="38"/>
      <c r="C735" s="38"/>
      <c r="D735" s="38"/>
      <c r="E735" s="38"/>
      <c r="F735" s="38"/>
      <c r="G735" s="38"/>
      <c r="H735" s="38"/>
      <c r="I735" s="38"/>
      <c r="J735" s="38"/>
      <c r="K735" s="38"/>
    </row>
    <row r="736">
      <c r="A736" s="38"/>
      <c r="B736" s="38"/>
      <c r="C736" s="38"/>
      <c r="D736" s="38"/>
      <c r="E736" s="38"/>
      <c r="F736" s="38"/>
      <c r="G736" s="38"/>
      <c r="H736" s="38"/>
      <c r="I736" s="38"/>
      <c r="J736" s="38"/>
      <c r="K736" s="38"/>
    </row>
    <row r="737">
      <c r="A737" s="38"/>
      <c r="B737" s="38"/>
      <c r="C737" s="38"/>
      <c r="D737" s="38"/>
      <c r="E737" s="38"/>
      <c r="F737" s="38"/>
      <c r="G737" s="38"/>
      <c r="H737" s="38"/>
      <c r="I737" s="38"/>
      <c r="J737" s="38"/>
      <c r="K737" s="38"/>
    </row>
    <row r="738">
      <c r="A738" s="38"/>
      <c r="B738" s="38"/>
      <c r="C738" s="38"/>
      <c r="D738" s="38"/>
      <c r="E738" s="38"/>
      <c r="F738" s="38"/>
      <c r="G738" s="38"/>
      <c r="H738" s="38"/>
      <c r="I738" s="38"/>
      <c r="J738" s="38"/>
      <c r="K738" s="38"/>
    </row>
    <row r="739">
      <c r="A739" s="38"/>
      <c r="B739" s="38"/>
      <c r="C739" s="38"/>
      <c r="D739" s="38"/>
      <c r="E739" s="38"/>
      <c r="F739" s="38"/>
      <c r="G739" s="38"/>
      <c r="H739" s="38"/>
      <c r="I739" s="38"/>
      <c r="J739" s="38"/>
      <c r="K739" s="38"/>
    </row>
    <row r="740">
      <c r="A740" s="38"/>
      <c r="B740" s="38"/>
      <c r="C740" s="38"/>
      <c r="D740" s="38"/>
      <c r="E740" s="38"/>
      <c r="F740" s="38"/>
      <c r="G740" s="38"/>
      <c r="H740" s="38"/>
      <c r="I740" s="38"/>
      <c r="J740" s="38"/>
      <c r="K740" s="38"/>
    </row>
    <row r="741">
      <c r="A741" s="38"/>
      <c r="B741" s="38"/>
      <c r="C741" s="38"/>
      <c r="D741" s="38"/>
      <c r="E741" s="38"/>
      <c r="F741" s="38"/>
      <c r="G741" s="38"/>
      <c r="H741" s="38"/>
      <c r="I741" s="38"/>
      <c r="J741" s="38"/>
      <c r="K741" s="38"/>
    </row>
    <row r="742">
      <c r="A742" s="38"/>
      <c r="B742" s="38"/>
      <c r="C742" s="38"/>
      <c r="D742" s="38"/>
      <c r="E742" s="38"/>
      <c r="F742" s="38"/>
      <c r="G742" s="38"/>
      <c r="H742" s="38"/>
      <c r="I742" s="38"/>
      <c r="J742" s="38"/>
      <c r="K742" s="38"/>
    </row>
    <row r="743">
      <c r="A743" s="38"/>
      <c r="B743" s="38"/>
      <c r="C743" s="38"/>
      <c r="D743" s="38"/>
      <c r="E743" s="38"/>
      <c r="F743" s="38"/>
      <c r="G743" s="38"/>
      <c r="H743" s="38"/>
      <c r="I743" s="38"/>
      <c r="J743" s="38"/>
      <c r="K743" s="38"/>
    </row>
    <row r="744">
      <c r="A744" s="38"/>
      <c r="B744" s="38"/>
      <c r="C744" s="38"/>
      <c r="D744" s="38"/>
      <c r="E744" s="38"/>
      <c r="F744" s="38"/>
      <c r="G744" s="38"/>
      <c r="H744" s="38"/>
      <c r="I744" s="38"/>
      <c r="J744" s="38"/>
      <c r="K744" s="38"/>
    </row>
    <row r="745">
      <c r="A745" s="38"/>
      <c r="B745" s="38"/>
      <c r="C745" s="38"/>
      <c r="D745" s="38"/>
      <c r="E745" s="38"/>
      <c r="F745" s="38"/>
      <c r="G745" s="38"/>
      <c r="H745" s="38"/>
      <c r="I745" s="38"/>
      <c r="J745" s="38"/>
      <c r="K745" s="38"/>
    </row>
    <row r="746">
      <c r="A746" s="38"/>
      <c r="B746" s="38"/>
      <c r="C746" s="38"/>
      <c r="D746" s="38"/>
      <c r="E746" s="38"/>
      <c r="F746" s="38"/>
      <c r="G746" s="38"/>
      <c r="H746" s="38"/>
      <c r="I746" s="38"/>
      <c r="J746" s="38"/>
      <c r="K746" s="38"/>
    </row>
    <row r="747">
      <c r="A747" s="38"/>
      <c r="B747" s="38"/>
      <c r="C747" s="38"/>
      <c r="D747" s="38"/>
      <c r="E747" s="38"/>
      <c r="F747" s="38"/>
      <c r="G747" s="38"/>
      <c r="H747" s="38"/>
      <c r="I747" s="38"/>
      <c r="J747" s="38"/>
      <c r="K747" s="38"/>
    </row>
    <row r="748">
      <c r="A748" s="38"/>
      <c r="B748" s="38"/>
      <c r="C748" s="38"/>
      <c r="D748" s="38"/>
      <c r="E748" s="38"/>
      <c r="F748" s="38"/>
      <c r="G748" s="38"/>
      <c r="H748" s="38"/>
      <c r="I748" s="38"/>
      <c r="J748" s="38"/>
      <c r="K748" s="38"/>
    </row>
    <row r="749">
      <c r="A749" s="38"/>
      <c r="B749" s="38"/>
      <c r="C749" s="38"/>
      <c r="D749" s="38"/>
      <c r="E749" s="38"/>
      <c r="F749" s="38"/>
      <c r="G749" s="38"/>
      <c r="H749" s="38"/>
      <c r="I749" s="38"/>
      <c r="J749" s="38"/>
      <c r="K749" s="38"/>
    </row>
    <row r="750">
      <c r="A750" s="38"/>
      <c r="B750" s="38"/>
      <c r="C750" s="38"/>
      <c r="D750" s="38"/>
      <c r="E750" s="38"/>
      <c r="F750" s="38"/>
      <c r="G750" s="38"/>
      <c r="H750" s="38"/>
      <c r="I750" s="38"/>
      <c r="J750" s="38"/>
      <c r="K750" s="38"/>
    </row>
    <row r="751">
      <c r="A751" s="38"/>
      <c r="B751" s="38"/>
      <c r="C751" s="38"/>
      <c r="D751" s="38"/>
      <c r="E751" s="38"/>
      <c r="F751" s="38"/>
      <c r="G751" s="38"/>
      <c r="H751" s="38"/>
      <c r="I751" s="38"/>
      <c r="J751" s="38"/>
      <c r="K751" s="38"/>
    </row>
    <row r="752">
      <c r="A752" s="38"/>
      <c r="B752" s="38"/>
      <c r="C752" s="38"/>
      <c r="D752" s="38"/>
      <c r="E752" s="38"/>
      <c r="F752" s="38"/>
      <c r="G752" s="38"/>
      <c r="H752" s="38"/>
      <c r="I752" s="38"/>
      <c r="J752" s="38"/>
      <c r="K752" s="38"/>
    </row>
    <row r="753">
      <c r="A753" s="38"/>
      <c r="B753" s="38"/>
      <c r="C753" s="38"/>
      <c r="D753" s="38"/>
      <c r="E753" s="38"/>
      <c r="F753" s="38"/>
      <c r="G753" s="38"/>
      <c r="H753" s="38"/>
      <c r="I753" s="38"/>
      <c r="J753" s="38"/>
      <c r="K753" s="38"/>
    </row>
    <row r="754">
      <c r="A754" s="38"/>
      <c r="B754" s="38"/>
      <c r="C754" s="38"/>
      <c r="D754" s="38"/>
      <c r="E754" s="38"/>
      <c r="F754" s="38"/>
      <c r="G754" s="38"/>
      <c r="H754" s="38"/>
      <c r="I754" s="38"/>
      <c r="J754" s="38"/>
      <c r="K754" s="38"/>
    </row>
    <row r="755">
      <c r="A755" s="38"/>
      <c r="B755" s="38"/>
      <c r="C755" s="38"/>
      <c r="D755" s="38"/>
      <c r="E755" s="38"/>
      <c r="F755" s="38"/>
      <c r="G755" s="38"/>
      <c r="H755" s="38"/>
      <c r="I755" s="38"/>
      <c r="J755" s="38"/>
      <c r="K755" s="38"/>
    </row>
    <row r="756">
      <c r="A756" s="38"/>
      <c r="B756" s="38"/>
      <c r="C756" s="38"/>
      <c r="D756" s="38"/>
      <c r="E756" s="38"/>
      <c r="F756" s="38"/>
      <c r="G756" s="38"/>
      <c r="H756" s="38"/>
      <c r="I756" s="38"/>
      <c r="J756" s="38"/>
      <c r="K756" s="38"/>
    </row>
    <row r="757">
      <c r="A757" s="38"/>
      <c r="B757" s="38"/>
      <c r="C757" s="38"/>
      <c r="D757" s="38"/>
      <c r="E757" s="38"/>
      <c r="F757" s="38"/>
      <c r="G757" s="38"/>
      <c r="H757" s="38"/>
      <c r="I757" s="38"/>
      <c r="J757" s="38"/>
      <c r="K757" s="38"/>
    </row>
    <row r="758">
      <c r="A758" s="38"/>
      <c r="B758" s="38"/>
      <c r="C758" s="38"/>
      <c r="D758" s="38"/>
      <c r="E758" s="38"/>
      <c r="F758" s="38"/>
      <c r="G758" s="38"/>
      <c r="H758" s="38"/>
      <c r="I758" s="38"/>
      <c r="J758" s="38"/>
      <c r="K758" s="38"/>
    </row>
    <row r="759">
      <c r="A759" s="38"/>
      <c r="B759" s="38"/>
      <c r="C759" s="38"/>
      <c r="D759" s="38"/>
      <c r="E759" s="38"/>
      <c r="F759" s="38"/>
      <c r="G759" s="38"/>
      <c r="H759" s="38"/>
      <c r="I759" s="38"/>
      <c r="J759" s="38"/>
      <c r="K759" s="38"/>
    </row>
    <row r="760">
      <c r="A760" s="38"/>
      <c r="B760" s="38"/>
      <c r="C760" s="38"/>
      <c r="D760" s="38"/>
      <c r="E760" s="38"/>
      <c r="F760" s="38"/>
      <c r="G760" s="38"/>
      <c r="H760" s="38"/>
      <c r="I760" s="38"/>
      <c r="J760" s="38"/>
      <c r="K760" s="38"/>
    </row>
    <row r="761">
      <c r="A761" s="38"/>
      <c r="B761" s="38"/>
      <c r="C761" s="38"/>
      <c r="D761" s="38"/>
      <c r="E761" s="38"/>
      <c r="F761" s="38"/>
      <c r="G761" s="38"/>
      <c r="H761" s="38"/>
      <c r="I761" s="38"/>
      <c r="J761" s="38"/>
      <c r="K761" s="38"/>
    </row>
    <row r="762">
      <c r="A762" s="38"/>
      <c r="B762" s="38"/>
      <c r="C762" s="38"/>
      <c r="D762" s="38"/>
      <c r="E762" s="38"/>
      <c r="F762" s="38"/>
      <c r="G762" s="38"/>
      <c r="H762" s="38"/>
      <c r="I762" s="38"/>
      <c r="J762" s="38"/>
      <c r="K762" s="38"/>
    </row>
    <row r="763">
      <c r="A763" s="38"/>
      <c r="B763" s="38"/>
      <c r="C763" s="38"/>
      <c r="D763" s="38"/>
      <c r="E763" s="38"/>
      <c r="F763" s="38"/>
      <c r="G763" s="38"/>
      <c r="H763" s="38"/>
      <c r="I763" s="38"/>
      <c r="J763" s="38"/>
      <c r="K763" s="38"/>
    </row>
    <row r="764">
      <c r="A764" s="38"/>
      <c r="B764" s="38"/>
      <c r="C764" s="38"/>
      <c r="D764" s="38"/>
      <c r="E764" s="38"/>
      <c r="F764" s="38"/>
      <c r="G764" s="38"/>
      <c r="H764" s="38"/>
      <c r="I764" s="38"/>
      <c r="J764" s="38"/>
      <c r="K764" s="38"/>
    </row>
    <row r="765">
      <c r="A765" s="38"/>
      <c r="B765" s="38"/>
      <c r="C765" s="38"/>
      <c r="D765" s="38"/>
      <c r="E765" s="38"/>
      <c r="F765" s="38"/>
      <c r="G765" s="38"/>
      <c r="H765" s="38"/>
      <c r="I765" s="38"/>
      <c r="J765" s="38"/>
      <c r="K765" s="38"/>
    </row>
    <row r="766">
      <c r="A766" s="38"/>
      <c r="B766" s="38"/>
      <c r="C766" s="38"/>
      <c r="D766" s="38"/>
      <c r="E766" s="38"/>
      <c r="F766" s="38"/>
      <c r="G766" s="38"/>
      <c r="H766" s="38"/>
      <c r="I766" s="38"/>
      <c r="J766" s="38"/>
      <c r="K766" s="38"/>
    </row>
    <row r="767">
      <c r="A767" s="38"/>
      <c r="B767" s="38"/>
      <c r="C767" s="38"/>
      <c r="D767" s="38"/>
      <c r="E767" s="38"/>
      <c r="F767" s="38"/>
      <c r="G767" s="38"/>
      <c r="H767" s="38"/>
      <c r="I767" s="38"/>
      <c r="J767" s="38"/>
      <c r="K767" s="38"/>
    </row>
    <row r="768">
      <c r="A768" s="38"/>
      <c r="B768" s="38"/>
      <c r="C768" s="38"/>
      <c r="D768" s="38"/>
      <c r="E768" s="38"/>
      <c r="F768" s="38"/>
      <c r="G768" s="38"/>
      <c r="H768" s="38"/>
      <c r="I768" s="38"/>
      <c r="J768" s="38"/>
      <c r="K768" s="38"/>
    </row>
    <row r="769">
      <c r="A769" s="38"/>
      <c r="B769" s="38"/>
      <c r="C769" s="38"/>
      <c r="D769" s="38"/>
      <c r="E769" s="38"/>
      <c r="F769" s="38"/>
      <c r="G769" s="38"/>
      <c r="H769" s="38"/>
      <c r="I769" s="38"/>
      <c r="J769" s="38"/>
      <c r="K769" s="38"/>
    </row>
    <row r="770">
      <c r="A770" s="38"/>
      <c r="B770" s="38"/>
      <c r="C770" s="38"/>
      <c r="D770" s="38"/>
      <c r="E770" s="38"/>
      <c r="F770" s="38"/>
      <c r="G770" s="38"/>
      <c r="H770" s="38"/>
      <c r="I770" s="38"/>
      <c r="J770" s="38"/>
      <c r="K770" s="38"/>
    </row>
    <row r="771">
      <c r="A771" s="38"/>
      <c r="B771" s="38"/>
      <c r="C771" s="38"/>
      <c r="D771" s="38"/>
      <c r="E771" s="38"/>
      <c r="F771" s="38"/>
      <c r="G771" s="38"/>
      <c r="H771" s="38"/>
      <c r="I771" s="38"/>
      <c r="J771" s="38"/>
      <c r="K771" s="38"/>
    </row>
    <row r="772">
      <c r="A772" s="38"/>
      <c r="B772" s="38"/>
      <c r="C772" s="38"/>
      <c r="D772" s="38"/>
      <c r="E772" s="38"/>
      <c r="F772" s="38"/>
      <c r="G772" s="38"/>
      <c r="H772" s="38"/>
      <c r="I772" s="38"/>
      <c r="J772" s="38"/>
      <c r="K772" s="38"/>
    </row>
    <row r="773">
      <c r="A773" s="38"/>
      <c r="B773" s="38"/>
      <c r="C773" s="38"/>
      <c r="D773" s="38"/>
      <c r="E773" s="38"/>
      <c r="F773" s="38"/>
      <c r="G773" s="38"/>
      <c r="H773" s="38"/>
      <c r="I773" s="38"/>
      <c r="J773" s="38"/>
      <c r="K773" s="38"/>
    </row>
    <row r="774">
      <c r="A774" s="38"/>
      <c r="B774" s="38"/>
      <c r="C774" s="38"/>
      <c r="D774" s="38"/>
      <c r="E774" s="38"/>
      <c r="F774" s="38"/>
      <c r="G774" s="38"/>
      <c r="H774" s="38"/>
      <c r="I774" s="38"/>
      <c r="J774" s="38"/>
      <c r="K774" s="38"/>
    </row>
    <row r="775">
      <c r="A775" s="38"/>
      <c r="B775" s="38"/>
      <c r="C775" s="38"/>
      <c r="D775" s="38"/>
      <c r="E775" s="38"/>
      <c r="F775" s="38"/>
      <c r="G775" s="38"/>
      <c r="H775" s="38"/>
      <c r="I775" s="38"/>
      <c r="J775" s="38"/>
      <c r="K775" s="38"/>
    </row>
    <row r="776">
      <c r="A776" s="38"/>
      <c r="B776" s="38"/>
      <c r="C776" s="38"/>
      <c r="D776" s="38"/>
      <c r="E776" s="38"/>
      <c r="F776" s="38"/>
      <c r="G776" s="38"/>
      <c r="H776" s="38"/>
      <c r="I776" s="38"/>
      <c r="J776" s="38"/>
      <c r="K776" s="38"/>
    </row>
    <row r="777">
      <c r="A777" s="38"/>
      <c r="B777" s="38"/>
      <c r="C777" s="38"/>
      <c r="D777" s="38"/>
      <c r="E777" s="38"/>
      <c r="F777" s="38"/>
      <c r="G777" s="38"/>
      <c r="H777" s="38"/>
      <c r="I777" s="38"/>
      <c r="J777" s="38"/>
      <c r="K777" s="38"/>
    </row>
    <row r="778">
      <c r="A778" s="38"/>
      <c r="B778" s="38"/>
      <c r="C778" s="38"/>
      <c r="D778" s="38"/>
      <c r="E778" s="38"/>
      <c r="F778" s="38"/>
      <c r="G778" s="38"/>
      <c r="H778" s="38"/>
      <c r="I778" s="38"/>
      <c r="J778" s="38"/>
      <c r="K778" s="38"/>
    </row>
    <row r="779">
      <c r="A779" s="38"/>
      <c r="B779" s="38"/>
      <c r="C779" s="38"/>
      <c r="D779" s="38"/>
      <c r="E779" s="38"/>
      <c r="F779" s="38"/>
      <c r="G779" s="38"/>
      <c r="H779" s="38"/>
      <c r="I779" s="38"/>
      <c r="J779" s="38"/>
      <c r="K779" s="38"/>
    </row>
    <row r="780">
      <c r="A780" s="38"/>
      <c r="B780" s="38"/>
      <c r="C780" s="38"/>
      <c r="D780" s="38"/>
      <c r="E780" s="38"/>
      <c r="F780" s="38"/>
      <c r="G780" s="38"/>
      <c r="H780" s="38"/>
      <c r="I780" s="38"/>
      <c r="J780" s="38"/>
      <c r="K780" s="38"/>
    </row>
    <row r="781">
      <c r="A781" s="38"/>
      <c r="B781" s="38"/>
      <c r="C781" s="38"/>
      <c r="D781" s="38"/>
      <c r="E781" s="38"/>
      <c r="F781" s="38"/>
      <c r="G781" s="38"/>
      <c r="H781" s="38"/>
      <c r="I781" s="38"/>
      <c r="J781" s="38"/>
      <c r="K781" s="38"/>
    </row>
    <row r="782">
      <c r="A782" s="38"/>
      <c r="B782" s="38"/>
      <c r="C782" s="38"/>
      <c r="D782" s="38"/>
      <c r="E782" s="38"/>
      <c r="F782" s="38"/>
      <c r="G782" s="38"/>
      <c r="H782" s="38"/>
      <c r="I782" s="38"/>
      <c r="J782" s="38"/>
      <c r="K782" s="38"/>
    </row>
    <row r="783">
      <c r="A783" s="38"/>
      <c r="B783" s="38"/>
      <c r="C783" s="38"/>
      <c r="D783" s="38"/>
      <c r="E783" s="38"/>
      <c r="F783" s="38"/>
      <c r="G783" s="38"/>
      <c r="H783" s="38"/>
      <c r="I783" s="38"/>
      <c r="J783" s="38"/>
      <c r="K783" s="38"/>
    </row>
    <row r="784">
      <c r="A784" s="38"/>
      <c r="B784" s="38"/>
      <c r="C784" s="38"/>
      <c r="D784" s="38"/>
      <c r="E784" s="38"/>
      <c r="F784" s="38"/>
      <c r="G784" s="38"/>
      <c r="H784" s="38"/>
      <c r="I784" s="38"/>
      <c r="J784" s="38"/>
      <c r="K784" s="38"/>
    </row>
    <row r="785">
      <c r="A785" s="38"/>
      <c r="B785" s="38"/>
      <c r="C785" s="38"/>
      <c r="D785" s="38"/>
      <c r="E785" s="38"/>
      <c r="F785" s="38"/>
      <c r="G785" s="38"/>
      <c r="H785" s="38"/>
      <c r="I785" s="38"/>
      <c r="J785" s="38"/>
      <c r="K785" s="38"/>
    </row>
    <row r="786">
      <c r="A786" s="38"/>
      <c r="B786" s="38"/>
      <c r="C786" s="38"/>
      <c r="D786" s="38"/>
      <c r="E786" s="38"/>
      <c r="F786" s="38"/>
      <c r="G786" s="38"/>
      <c r="H786" s="38"/>
      <c r="I786" s="38"/>
      <c r="J786" s="38"/>
      <c r="K786" s="38"/>
    </row>
    <row r="787">
      <c r="A787" s="38"/>
      <c r="B787" s="38"/>
      <c r="C787" s="38"/>
      <c r="D787" s="38"/>
      <c r="E787" s="38"/>
      <c r="F787" s="38"/>
      <c r="G787" s="38"/>
      <c r="H787" s="38"/>
      <c r="I787" s="38"/>
      <c r="J787" s="38"/>
      <c r="K787" s="38"/>
    </row>
    <row r="788">
      <c r="A788" s="38"/>
      <c r="B788" s="38"/>
      <c r="C788" s="38"/>
      <c r="D788" s="38"/>
      <c r="E788" s="38"/>
      <c r="F788" s="38"/>
      <c r="G788" s="38"/>
      <c r="H788" s="38"/>
      <c r="I788" s="38"/>
      <c r="J788" s="38"/>
      <c r="K788" s="38"/>
    </row>
    <row r="789">
      <c r="A789" s="38"/>
      <c r="B789" s="38"/>
      <c r="C789" s="38"/>
      <c r="D789" s="38"/>
      <c r="E789" s="38"/>
      <c r="F789" s="38"/>
      <c r="G789" s="38"/>
      <c r="H789" s="38"/>
      <c r="I789" s="38"/>
      <c r="J789" s="38"/>
      <c r="K789" s="38"/>
    </row>
    <row r="790">
      <c r="A790" s="38"/>
      <c r="B790" s="38"/>
      <c r="C790" s="38"/>
      <c r="D790" s="38"/>
      <c r="E790" s="38"/>
      <c r="F790" s="38"/>
      <c r="G790" s="38"/>
      <c r="H790" s="38"/>
      <c r="I790" s="38"/>
      <c r="J790" s="38"/>
      <c r="K790" s="38"/>
    </row>
    <row r="791">
      <c r="A791" s="38"/>
      <c r="B791" s="38"/>
      <c r="C791" s="38"/>
      <c r="D791" s="38"/>
      <c r="E791" s="38"/>
      <c r="F791" s="38"/>
      <c r="G791" s="38"/>
      <c r="H791" s="38"/>
      <c r="I791" s="38"/>
      <c r="J791" s="38"/>
      <c r="K791" s="38"/>
    </row>
    <row r="792">
      <c r="A792" s="38"/>
      <c r="B792" s="38"/>
      <c r="C792" s="38"/>
      <c r="D792" s="38"/>
      <c r="E792" s="38"/>
      <c r="F792" s="38"/>
      <c r="G792" s="38"/>
      <c r="H792" s="38"/>
      <c r="I792" s="38"/>
      <c r="J792" s="38"/>
      <c r="K792" s="38"/>
    </row>
    <row r="793">
      <c r="A793" s="38"/>
      <c r="B793" s="38"/>
      <c r="C793" s="38"/>
      <c r="D793" s="38"/>
      <c r="E793" s="38"/>
      <c r="F793" s="38"/>
      <c r="G793" s="38"/>
      <c r="H793" s="38"/>
      <c r="I793" s="38"/>
      <c r="J793" s="38"/>
      <c r="K793" s="38"/>
    </row>
    <row r="794">
      <c r="A794" s="38"/>
      <c r="B794" s="38"/>
      <c r="C794" s="38"/>
      <c r="D794" s="38"/>
      <c r="E794" s="38"/>
      <c r="F794" s="38"/>
      <c r="G794" s="38"/>
      <c r="H794" s="38"/>
      <c r="I794" s="38"/>
      <c r="J794" s="38"/>
      <c r="K794" s="38"/>
    </row>
    <row r="795">
      <c r="A795" s="38"/>
      <c r="B795" s="38"/>
      <c r="C795" s="38"/>
      <c r="D795" s="38"/>
      <c r="E795" s="38"/>
      <c r="F795" s="38"/>
      <c r="G795" s="38"/>
      <c r="H795" s="38"/>
      <c r="I795" s="38"/>
      <c r="J795" s="38"/>
      <c r="K795" s="38"/>
    </row>
    <row r="796">
      <c r="A796" s="38"/>
      <c r="B796" s="38"/>
      <c r="C796" s="38"/>
      <c r="D796" s="38"/>
      <c r="E796" s="38"/>
      <c r="F796" s="38"/>
      <c r="G796" s="38"/>
      <c r="H796" s="38"/>
      <c r="I796" s="38"/>
      <c r="J796" s="38"/>
      <c r="K796" s="38"/>
    </row>
    <row r="797">
      <c r="A797" s="38"/>
      <c r="B797" s="38"/>
      <c r="C797" s="38"/>
      <c r="D797" s="38"/>
      <c r="E797" s="38"/>
      <c r="F797" s="38"/>
      <c r="G797" s="38"/>
      <c r="H797" s="38"/>
      <c r="I797" s="38"/>
      <c r="J797" s="38"/>
      <c r="K797" s="38"/>
    </row>
    <row r="798">
      <c r="A798" s="38"/>
      <c r="B798" s="38"/>
      <c r="C798" s="38"/>
      <c r="D798" s="38"/>
      <c r="E798" s="38"/>
      <c r="F798" s="38"/>
      <c r="G798" s="38"/>
      <c r="H798" s="38"/>
      <c r="I798" s="38"/>
      <c r="J798" s="38"/>
      <c r="K798" s="38"/>
    </row>
    <row r="799">
      <c r="A799" s="38"/>
      <c r="B799" s="38"/>
      <c r="C799" s="38"/>
      <c r="D799" s="38"/>
      <c r="E799" s="38"/>
      <c r="F799" s="38"/>
      <c r="G799" s="38"/>
      <c r="H799" s="38"/>
      <c r="I799" s="38"/>
      <c r="J799" s="38"/>
      <c r="K799" s="38"/>
    </row>
    <row r="800">
      <c r="A800" s="38"/>
      <c r="B800" s="38"/>
      <c r="C800" s="38"/>
      <c r="D800" s="38"/>
      <c r="E800" s="38"/>
      <c r="F800" s="38"/>
      <c r="G800" s="38"/>
      <c r="H800" s="38"/>
      <c r="I800" s="38"/>
      <c r="J800" s="38"/>
      <c r="K800" s="38"/>
    </row>
    <row r="801">
      <c r="A801" s="38"/>
      <c r="B801" s="38"/>
      <c r="C801" s="38"/>
      <c r="D801" s="38"/>
      <c r="E801" s="38"/>
      <c r="F801" s="38"/>
      <c r="G801" s="38"/>
      <c r="H801" s="38"/>
      <c r="I801" s="38"/>
      <c r="J801" s="38"/>
      <c r="K801" s="38"/>
    </row>
    <row r="802">
      <c r="A802" s="38"/>
      <c r="B802" s="38"/>
      <c r="C802" s="38"/>
      <c r="D802" s="38"/>
      <c r="E802" s="38"/>
      <c r="F802" s="38"/>
      <c r="G802" s="38"/>
      <c r="H802" s="38"/>
      <c r="I802" s="38"/>
      <c r="J802" s="38"/>
      <c r="K802" s="38"/>
    </row>
    <row r="803">
      <c r="A803" s="38"/>
      <c r="B803" s="38"/>
      <c r="C803" s="38"/>
      <c r="D803" s="38"/>
      <c r="E803" s="38"/>
      <c r="F803" s="38"/>
      <c r="G803" s="38"/>
      <c r="H803" s="38"/>
      <c r="I803" s="38"/>
      <c r="J803" s="38"/>
      <c r="K803" s="38"/>
    </row>
    <row r="804">
      <c r="A804" s="38"/>
      <c r="B804" s="38"/>
      <c r="C804" s="38"/>
      <c r="D804" s="38"/>
      <c r="E804" s="38"/>
      <c r="F804" s="38"/>
      <c r="G804" s="38"/>
      <c r="H804" s="38"/>
      <c r="I804" s="38"/>
      <c r="J804" s="38"/>
      <c r="K804" s="38"/>
    </row>
    <row r="805">
      <c r="A805" s="38"/>
      <c r="B805" s="38"/>
      <c r="C805" s="38"/>
      <c r="D805" s="38"/>
      <c r="E805" s="38"/>
      <c r="F805" s="38"/>
      <c r="G805" s="38"/>
      <c r="H805" s="38"/>
      <c r="I805" s="38"/>
      <c r="J805" s="38"/>
      <c r="K805" s="38"/>
    </row>
    <row r="806">
      <c r="A806" s="38"/>
      <c r="B806" s="38"/>
      <c r="C806" s="38"/>
      <c r="D806" s="38"/>
      <c r="E806" s="38"/>
      <c r="F806" s="38"/>
      <c r="G806" s="38"/>
      <c r="H806" s="38"/>
      <c r="I806" s="38"/>
      <c r="J806" s="38"/>
      <c r="K806" s="38"/>
    </row>
    <row r="807">
      <c r="A807" s="38"/>
      <c r="B807" s="38"/>
      <c r="C807" s="38"/>
      <c r="D807" s="38"/>
      <c r="E807" s="38"/>
      <c r="F807" s="38"/>
      <c r="G807" s="38"/>
      <c r="H807" s="38"/>
      <c r="I807" s="38"/>
      <c r="J807" s="38"/>
      <c r="K807" s="38"/>
    </row>
    <row r="808">
      <c r="A808" s="38"/>
      <c r="B808" s="38"/>
      <c r="C808" s="38"/>
      <c r="D808" s="38"/>
      <c r="E808" s="38"/>
      <c r="F808" s="38"/>
      <c r="G808" s="38"/>
      <c r="H808" s="38"/>
      <c r="I808" s="38"/>
      <c r="J808" s="38"/>
      <c r="K808" s="38"/>
    </row>
    <row r="809">
      <c r="A809" s="38"/>
      <c r="B809" s="38"/>
      <c r="C809" s="38"/>
      <c r="D809" s="38"/>
      <c r="E809" s="38"/>
      <c r="F809" s="38"/>
      <c r="G809" s="38"/>
      <c r="H809" s="38"/>
      <c r="I809" s="38"/>
      <c r="J809" s="38"/>
      <c r="K809" s="38"/>
    </row>
    <row r="810">
      <c r="A810" s="38"/>
      <c r="B810" s="38"/>
      <c r="C810" s="38"/>
      <c r="D810" s="38"/>
      <c r="E810" s="38"/>
      <c r="F810" s="38"/>
      <c r="G810" s="38"/>
      <c r="H810" s="38"/>
      <c r="I810" s="38"/>
      <c r="J810" s="38"/>
      <c r="K810" s="38"/>
    </row>
    <row r="811">
      <c r="A811" s="38"/>
      <c r="B811" s="38"/>
      <c r="C811" s="38"/>
      <c r="D811" s="38"/>
      <c r="E811" s="38"/>
      <c r="F811" s="38"/>
      <c r="G811" s="38"/>
      <c r="H811" s="38"/>
      <c r="I811" s="38"/>
      <c r="J811" s="38"/>
      <c r="K811" s="38"/>
    </row>
    <row r="812">
      <c r="A812" s="38"/>
      <c r="B812" s="38"/>
      <c r="C812" s="38"/>
      <c r="D812" s="38"/>
      <c r="E812" s="38"/>
      <c r="F812" s="38"/>
      <c r="G812" s="38"/>
      <c r="H812" s="38"/>
      <c r="I812" s="38"/>
      <c r="J812" s="38"/>
      <c r="K812" s="38"/>
    </row>
    <row r="813">
      <c r="A813" s="38"/>
      <c r="B813" s="38"/>
      <c r="C813" s="38"/>
      <c r="D813" s="38"/>
      <c r="E813" s="38"/>
      <c r="F813" s="38"/>
      <c r="G813" s="38"/>
      <c r="H813" s="38"/>
      <c r="I813" s="38"/>
      <c r="J813" s="38"/>
      <c r="K813" s="38"/>
    </row>
    <row r="814">
      <c r="A814" s="38"/>
      <c r="B814" s="38"/>
      <c r="C814" s="38"/>
      <c r="D814" s="38"/>
      <c r="E814" s="38"/>
      <c r="F814" s="38"/>
      <c r="G814" s="38"/>
      <c r="H814" s="38"/>
      <c r="I814" s="38"/>
      <c r="J814" s="38"/>
      <c r="K814" s="38"/>
    </row>
    <row r="815">
      <c r="A815" s="38"/>
      <c r="B815" s="38"/>
      <c r="C815" s="38"/>
      <c r="D815" s="38"/>
      <c r="E815" s="38"/>
      <c r="F815" s="38"/>
      <c r="G815" s="38"/>
      <c r="H815" s="38"/>
      <c r="I815" s="38"/>
      <c r="J815" s="38"/>
      <c r="K815" s="38"/>
    </row>
    <row r="816">
      <c r="A816" s="38"/>
      <c r="B816" s="38"/>
      <c r="C816" s="38"/>
      <c r="D816" s="38"/>
      <c r="E816" s="38"/>
      <c r="F816" s="38"/>
      <c r="G816" s="38"/>
      <c r="H816" s="38"/>
      <c r="I816" s="38"/>
      <c r="J816" s="38"/>
      <c r="K816" s="38"/>
    </row>
    <row r="817">
      <c r="A817" s="38"/>
      <c r="B817" s="38"/>
      <c r="C817" s="38"/>
      <c r="D817" s="38"/>
      <c r="E817" s="38"/>
      <c r="F817" s="38"/>
      <c r="G817" s="38"/>
      <c r="H817" s="38"/>
      <c r="I817" s="38"/>
      <c r="J817" s="38"/>
      <c r="K817" s="38"/>
    </row>
    <row r="818">
      <c r="A818" s="38"/>
      <c r="B818" s="38"/>
      <c r="C818" s="38"/>
      <c r="D818" s="38"/>
      <c r="E818" s="38"/>
      <c r="F818" s="38"/>
      <c r="G818" s="38"/>
      <c r="H818" s="38"/>
      <c r="I818" s="38"/>
      <c r="J818" s="38"/>
      <c r="K818" s="38"/>
    </row>
    <row r="819">
      <c r="A819" s="38"/>
      <c r="B819" s="38"/>
      <c r="C819" s="38"/>
      <c r="D819" s="38"/>
      <c r="E819" s="38"/>
      <c r="F819" s="38"/>
      <c r="G819" s="38"/>
      <c r="H819" s="38"/>
      <c r="I819" s="38"/>
      <c r="J819" s="38"/>
      <c r="K819" s="38"/>
    </row>
    <row r="820">
      <c r="A820" s="38"/>
      <c r="B820" s="38"/>
      <c r="C820" s="38"/>
      <c r="D820" s="38"/>
      <c r="E820" s="38"/>
      <c r="F820" s="38"/>
      <c r="G820" s="38"/>
      <c r="H820" s="38"/>
      <c r="I820" s="38"/>
      <c r="J820" s="38"/>
      <c r="K820" s="38"/>
    </row>
    <row r="821">
      <c r="A821" s="38"/>
      <c r="B821" s="38"/>
      <c r="C821" s="38"/>
      <c r="D821" s="38"/>
      <c r="E821" s="38"/>
      <c r="F821" s="38"/>
      <c r="G821" s="38"/>
      <c r="H821" s="38"/>
      <c r="I821" s="38"/>
      <c r="J821" s="38"/>
      <c r="K821" s="38"/>
    </row>
    <row r="822">
      <c r="A822" s="38"/>
      <c r="B822" s="38"/>
      <c r="C822" s="38"/>
      <c r="D822" s="38"/>
      <c r="E822" s="38"/>
      <c r="F822" s="38"/>
      <c r="G822" s="38"/>
      <c r="H822" s="38"/>
      <c r="I822" s="38"/>
      <c r="J822" s="38"/>
      <c r="K822" s="38"/>
    </row>
    <row r="823">
      <c r="A823" s="38"/>
      <c r="B823" s="38"/>
      <c r="C823" s="38"/>
      <c r="D823" s="38"/>
      <c r="E823" s="38"/>
      <c r="F823" s="38"/>
      <c r="G823" s="38"/>
      <c r="H823" s="38"/>
      <c r="I823" s="38"/>
      <c r="J823" s="38"/>
      <c r="K823" s="38"/>
    </row>
    <row r="824">
      <c r="A824" s="38"/>
      <c r="B824" s="38"/>
      <c r="C824" s="38"/>
      <c r="D824" s="38"/>
      <c r="E824" s="38"/>
      <c r="F824" s="38"/>
      <c r="G824" s="38"/>
      <c r="H824" s="38"/>
      <c r="I824" s="38"/>
      <c r="J824" s="38"/>
      <c r="K824" s="38"/>
    </row>
    <row r="825">
      <c r="A825" s="38"/>
      <c r="B825" s="38"/>
      <c r="C825" s="38"/>
      <c r="D825" s="38"/>
      <c r="E825" s="38"/>
      <c r="F825" s="38"/>
      <c r="G825" s="38"/>
      <c r="H825" s="38"/>
      <c r="I825" s="38"/>
      <c r="J825" s="38"/>
      <c r="K825" s="38"/>
    </row>
    <row r="826">
      <c r="A826" s="38"/>
      <c r="B826" s="38"/>
      <c r="C826" s="38"/>
      <c r="D826" s="38"/>
      <c r="E826" s="38"/>
      <c r="F826" s="38"/>
      <c r="G826" s="38"/>
      <c r="H826" s="38"/>
      <c r="I826" s="38"/>
      <c r="J826" s="38"/>
      <c r="K826" s="38"/>
    </row>
    <row r="827">
      <c r="A827" s="38"/>
      <c r="B827" s="38"/>
      <c r="C827" s="38"/>
      <c r="D827" s="38"/>
      <c r="E827" s="38"/>
      <c r="F827" s="38"/>
      <c r="G827" s="38"/>
      <c r="H827" s="38"/>
      <c r="I827" s="38"/>
      <c r="J827" s="38"/>
      <c r="K827" s="38"/>
    </row>
    <row r="828">
      <c r="A828" s="38"/>
      <c r="B828" s="38"/>
      <c r="C828" s="38"/>
      <c r="D828" s="38"/>
      <c r="E828" s="38"/>
      <c r="F828" s="38"/>
      <c r="G828" s="38"/>
      <c r="H828" s="38"/>
      <c r="I828" s="38"/>
      <c r="J828" s="38"/>
      <c r="K828" s="38"/>
    </row>
    <row r="829">
      <c r="A829" s="38"/>
      <c r="B829" s="38"/>
      <c r="C829" s="38"/>
      <c r="D829" s="38"/>
      <c r="E829" s="38"/>
      <c r="F829" s="38"/>
      <c r="G829" s="38"/>
      <c r="H829" s="38"/>
      <c r="I829" s="38"/>
      <c r="J829" s="38"/>
      <c r="K829" s="38"/>
    </row>
    <row r="830">
      <c r="A830" s="38"/>
      <c r="B830" s="38"/>
      <c r="C830" s="38"/>
      <c r="D830" s="38"/>
      <c r="E830" s="38"/>
      <c r="F830" s="38"/>
      <c r="G830" s="38"/>
      <c r="H830" s="38"/>
      <c r="I830" s="38"/>
      <c r="J830" s="38"/>
      <c r="K830" s="38"/>
    </row>
    <row r="831">
      <c r="A831" s="38"/>
      <c r="B831" s="38"/>
      <c r="C831" s="38"/>
      <c r="D831" s="38"/>
      <c r="E831" s="38"/>
      <c r="F831" s="38"/>
      <c r="G831" s="38"/>
      <c r="H831" s="38"/>
      <c r="I831" s="38"/>
      <c r="J831" s="38"/>
      <c r="K831" s="38"/>
    </row>
    <row r="832">
      <c r="A832" s="38"/>
      <c r="B832" s="38"/>
      <c r="C832" s="38"/>
      <c r="D832" s="38"/>
      <c r="E832" s="38"/>
      <c r="F832" s="38"/>
      <c r="G832" s="38"/>
      <c r="H832" s="38"/>
      <c r="I832" s="38"/>
      <c r="J832" s="38"/>
      <c r="K832" s="38"/>
    </row>
    <row r="833">
      <c r="A833" s="38"/>
      <c r="B833" s="38"/>
      <c r="C833" s="38"/>
      <c r="D833" s="38"/>
      <c r="E833" s="38"/>
      <c r="F833" s="38"/>
      <c r="G833" s="38"/>
      <c r="H833" s="38"/>
      <c r="I833" s="38"/>
      <c r="J833" s="38"/>
      <c r="K833" s="38"/>
    </row>
    <row r="834">
      <c r="A834" s="38"/>
      <c r="B834" s="38"/>
      <c r="C834" s="38"/>
      <c r="D834" s="38"/>
      <c r="E834" s="38"/>
      <c r="F834" s="38"/>
      <c r="G834" s="38"/>
      <c r="H834" s="38"/>
      <c r="I834" s="38"/>
      <c r="J834" s="38"/>
      <c r="K834" s="38"/>
    </row>
    <row r="835">
      <c r="A835" s="38"/>
      <c r="B835" s="38"/>
      <c r="C835" s="38"/>
      <c r="D835" s="38"/>
      <c r="E835" s="38"/>
      <c r="F835" s="38"/>
      <c r="G835" s="38"/>
      <c r="H835" s="38"/>
      <c r="I835" s="38"/>
      <c r="J835" s="38"/>
      <c r="K835" s="38"/>
    </row>
    <row r="836">
      <c r="A836" s="38"/>
      <c r="B836" s="38"/>
      <c r="C836" s="38"/>
      <c r="D836" s="38"/>
      <c r="E836" s="38"/>
      <c r="F836" s="38"/>
      <c r="G836" s="38"/>
      <c r="H836" s="38"/>
      <c r="I836" s="38"/>
      <c r="J836" s="38"/>
      <c r="K836" s="38"/>
    </row>
    <row r="837">
      <c r="A837" s="38"/>
      <c r="B837" s="38"/>
      <c r="C837" s="38"/>
      <c r="D837" s="38"/>
      <c r="E837" s="38"/>
      <c r="F837" s="38"/>
      <c r="G837" s="38"/>
      <c r="H837" s="38"/>
      <c r="I837" s="38"/>
      <c r="J837" s="38"/>
      <c r="K837" s="38"/>
    </row>
    <row r="838">
      <c r="A838" s="38"/>
      <c r="B838" s="38"/>
      <c r="C838" s="38"/>
      <c r="D838" s="38"/>
      <c r="E838" s="38"/>
      <c r="F838" s="38"/>
      <c r="G838" s="38"/>
      <c r="H838" s="38"/>
      <c r="I838" s="38"/>
      <c r="J838" s="38"/>
      <c r="K838" s="38"/>
    </row>
    <row r="839">
      <c r="A839" s="38"/>
      <c r="B839" s="38"/>
      <c r="C839" s="38"/>
      <c r="D839" s="38"/>
      <c r="E839" s="38"/>
      <c r="F839" s="38"/>
      <c r="G839" s="38"/>
      <c r="H839" s="38"/>
      <c r="I839" s="38"/>
      <c r="J839" s="38"/>
      <c r="K839" s="38"/>
    </row>
    <row r="840">
      <c r="A840" s="38"/>
      <c r="B840" s="38"/>
      <c r="C840" s="38"/>
      <c r="D840" s="38"/>
      <c r="E840" s="38"/>
      <c r="F840" s="38"/>
      <c r="G840" s="38"/>
      <c r="H840" s="38"/>
      <c r="I840" s="38"/>
      <c r="J840" s="38"/>
      <c r="K840" s="38"/>
    </row>
    <row r="841">
      <c r="A841" s="38"/>
      <c r="B841" s="38"/>
      <c r="C841" s="38"/>
      <c r="D841" s="38"/>
      <c r="E841" s="38"/>
      <c r="F841" s="38"/>
      <c r="G841" s="38"/>
      <c r="H841" s="38"/>
      <c r="I841" s="38"/>
      <c r="J841" s="38"/>
      <c r="K841" s="38"/>
    </row>
    <row r="842">
      <c r="A842" s="38"/>
      <c r="B842" s="38"/>
      <c r="C842" s="38"/>
      <c r="D842" s="38"/>
      <c r="E842" s="38"/>
      <c r="F842" s="38"/>
      <c r="G842" s="38"/>
      <c r="H842" s="38"/>
      <c r="I842" s="38"/>
      <c r="J842" s="38"/>
      <c r="K842" s="38"/>
    </row>
    <row r="843">
      <c r="A843" s="38"/>
      <c r="B843" s="38"/>
      <c r="C843" s="38"/>
      <c r="D843" s="38"/>
      <c r="E843" s="38"/>
      <c r="F843" s="38"/>
      <c r="G843" s="38"/>
      <c r="H843" s="38"/>
      <c r="I843" s="38"/>
      <c r="J843" s="38"/>
      <c r="K843" s="38"/>
    </row>
    <row r="844">
      <c r="A844" s="38"/>
      <c r="B844" s="38"/>
      <c r="C844" s="38"/>
      <c r="D844" s="38"/>
      <c r="E844" s="38"/>
      <c r="F844" s="38"/>
      <c r="G844" s="38"/>
      <c r="H844" s="38"/>
      <c r="I844" s="38"/>
      <c r="J844" s="38"/>
      <c r="K844" s="38"/>
    </row>
    <row r="845">
      <c r="A845" s="38"/>
      <c r="B845" s="38"/>
      <c r="C845" s="38"/>
      <c r="D845" s="38"/>
      <c r="E845" s="38"/>
      <c r="F845" s="38"/>
      <c r="G845" s="38"/>
      <c r="H845" s="38"/>
      <c r="I845" s="38"/>
      <c r="J845" s="38"/>
      <c r="K845" s="38"/>
    </row>
    <row r="846">
      <c r="A846" s="38"/>
      <c r="B846" s="38"/>
      <c r="C846" s="38"/>
      <c r="D846" s="38"/>
      <c r="E846" s="38"/>
      <c r="F846" s="38"/>
      <c r="G846" s="38"/>
      <c r="H846" s="38"/>
      <c r="I846" s="38"/>
      <c r="J846" s="38"/>
      <c r="K846" s="38"/>
    </row>
    <row r="847">
      <c r="A847" s="38"/>
      <c r="B847" s="38"/>
      <c r="C847" s="38"/>
      <c r="D847" s="38"/>
      <c r="E847" s="38"/>
      <c r="F847" s="38"/>
      <c r="G847" s="38"/>
      <c r="H847" s="38"/>
      <c r="I847" s="38"/>
      <c r="J847" s="38"/>
      <c r="K847" s="38"/>
    </row>
    <row r="848">
      <c r="A848" s="38"/>
      <c r="B848" s="38"/>
      <c r="C848" s="38"/>
      <c r="D848" s="38"/>
      <c r="E848" s="38"/>
      <c r="F848" s="38"/>
      <c r="G848" s="38"/>
      <c r="H848" s="38"/>
      <c r="I848" s="38"/>
      <c r="J848" s="38"/>
      <c r="K848" s="38"/>
    </row>
    <row r="849">
      <c r="A849" s="38"/>
      <c r="B849" s="38"/>
      <c r="C849" s="38"/>
      <c r="D849" s="38"/>
      <c r="E849" s="38"/>
      <c r="F849" s="38"/>
      <c r="G849" s="38"/>
      <c r="H849" s="38"/>
      <c r="I849" s="38"/>
      <c r="J849" s="38"/>
      <c r="K849" s="38"/>
    </row>
    <row r="850">
      <c r="A850" s="38"/>
      <c r="B850" s="38"/>
      <c r="C850" s="38"/>
      <c r="D850" s="38"/>
      <c r="E850" s="38"/>
      <c r="F850" s="38"/>
      <c r="G850" s="38"/>
      <c r="H850" s="38"/>
      <c r="I850" s="38"/>
      <c r="J850" s="38"/>
      <c r="K850" s="38"/>
    </row>
    <row r="851">
      <c r="A851" s="38"/>
      <c r="B851" s="38"/>
      <c r="C851" s="38"/>
      <c r="D851" s="38"/>
      <c r="E851" s="38"/>
      <c r="F851" s="38"/>
      <c r="G851" s="38"/>
      <c r="H851" s="38"/>
      <c r="I851" s="38"/>
      <c r="J851" s="38"/>
      <c r="K851" s="38"/>
    </row>
    <row r="852">
      <c r="A852" s="38"/>
      <c r="B852" s="38"/>
      <c r="C852" s="38"/>
      <c r="D852" s="38"/>
      <c r="E852" s="38"/>
      <c r="F852" s="38"/>
      <c r="G852" s="38"/>
      <c r="H852" s="38"/>
      <c r="I852" s="38"/>
      <c r="J852" s="38"/>
      <c r="K852" s="38"/>
    </row>
    <row r="853">
      <c r="A853" s="38"/>
      <c r="B853" s="38"/>
      <c r="C853" s="38"/>
      <c r="D853" s="38"/>
      <c r="E853" s="38"/>
      <c r="F853" s="38"/>
      <c r="G853" s="38"/>
      <c r="H853" s="38"/>
      <c r="I853" s="38"/>
      <c r="J853" s="38"/>
      <c r="K853" s="38"/>
    </row>
    <row r="854">
      <c r="A854" s="38"/>
      <c r="B854" s="38"/>
      <c r="C854" s="38"/>
      <c r="D854" s="38"/>
      <c r="E854" s="38"/>
      <c r="F854" s="38"/>
      <c r="G854" s="38"/>
      <c r="H854" s="38"/>
      <c r="I854" s="38"/>
      <c r="J854" s="38"/>
      <c r="K854" s="38"/>
    </row>
    <row r="855">
      <c r="A855" s="38"/>
      <c r="B855" s="38"/>
      <c r="C855" s="38"/>
      <c r="D855" s="38"/>
      <c r="E855" s="38"/>
      <c r="F855" s="38"/>
      <c r="G855" s="38"/>
      <c r="H855" s="38"/>
      <c r="I855" s="38"/>
      <c r="J855" s="38"/>
      <c r="K855" s="38"/>
    </row>
    <row r="856">
      <c r="A856" s="38"/>
      <c r="B856" s="38"/>
      <c r="C856" s="38"/>
      <c r="D856" s="38"/>
      <c r="E856" s="38"/>
      <c r="F856" s="38"/>
      <c r="G856" s="38"/>
      <c r="H856" s="38"/>
      <c r="I856" s="38"/>
      <c r="J856" s="38"/>
      <c r="K856" s="38"/>
    </row>
    <row r="857">
      <c r="A857" s="38"/>
      <c r="B857" s="38"/>
      <c r="C857" s="38"/>
      <c r="D857" s="38"/>
      <c r="E857" s="38"/>
      <c r="F857" s="38"/>
      <c r="G857" s="38"/>
      <c r="H857" s="38"/>
      <c r="I857" s="38"/>
      <c r="J857" s="38"/>
      <c r="K857" s="38"/>
    </row>
    <row r="858">
      <c r="A858" s="38"/>
      <c r="B858" s="38"/>
      <c r="C858" s="38"/>
      <c r="D858" s="38"/>
      <c r="E858" s="38"/>
      <c r="F858" s="38"/>
      <c r="G858" s="38"/>
      <c r="H858" s="38"/>
      <c r="I858" s="38"/>
      <c r="J858" s="38"/>
      <c r="K858" s="38"/>
    </row>
    <row r="859">
      <c r="A859" s="38"/>
      <c r="B859" s="38"/>
      <c r="C859" s="38"/>
      <c r="D859" s="38"/>
      <c r="E859" s="38"/>
      <c r="F859" s="38"/>
      <c r="G859" s="38"/>
      <c r="H859" s="38"/>
      <c r="I859" s="38"/>
      <c r="J859" s="38"/>
      <c r="K859" s="38"/>
    </row>
    <row r="860">
      <c r="A860" s="38"/>
      <c r="B860" s="38"/>
      <c r="C860" s="38"/>
      <c r="D860" s="38"/>
      <c r="E860" s="38"/>
      <c r="F860" s="38"/>
      <c r="G860" s="38"/>
      <c r="H860" s="38"/>
      <c r="I860" s="38"/>
      <c r="J860" s="38"/>
      <c r="K860" s="38"/>
    </row>
    <row r="861">
      <c r="A861" s="38"/>
      <c r="B861" s="38"/>
      <c r="C861" s="38"/>
      <c r="D861" s="38"/>
      <c r="E861" s="38"/>
      <c r="F861" s="38"/>
      <c r="G861" s="38"/>
      <c r="H861" s="38"/>
      <c r="I861" s="38"/>
      <c r="J861" s="38"/>
      <c r="K861" s="38"/>
    </row>
    <row r="862">
      <c r="A862" s="38"/>
      <c r="B862" s="38"/>
      <c r="C862" s="38"/>
      <c r="D862" s="38"/>
      <c r="E862" s="38"/>
      <c r="F862" s="38"/>
      <c r="G862" s="38"/>
      <c r="H862" s="38"/>
      <c r="I862" s="38"/>
      <c r="J862" s="38"/>
      <c r="K862" s="38"/>
    </row>
    <row r="863">
      <c r="A863" s="38"/>
      <c r="B863" s="38"/>
      <c r="C863" s="38"/>
      <c r="D863" s="38"/>
      <c r="E863" s="38"/>
      <c r="F863" s="38"/>
      <c r="G863" s="38"/>
      <c r="H863" s="38"/>
      <c r="I863" s="38"/>
      <c r="J863" s="38"/>
      <c r="K863" s="38"/>
    </row>
    <row r="864">
      <c r="A864" s="38"/>
      <c r="B864" s="38"/>
      <c r="C864" s="38"/>
      <c r="D864" s="38"/>
      <c r="E864" s="38"/>
      <c r="F864" s="38"/>
      <c r="G864" s="38"/>
      <c r="H864" s="38"/>
      <c r="I864" s="38"/>
      <c r="J864" s="38"/>
      <c r="K864" s="38"/>
    </row>
    <row r="865">
      <c r="A865" s="38"/>
      <c r="B865" s="38"/>
      <c r="C865" s="38"/>
      <c r="D865" s="38"/>
      <c r="E865" s="38"/>
      <c r="F865" s="38"/>
      <c r="G865" s="38"/>
      <c r="H865" s="38"/>
      <c r="I865" s="38"/>
      <c r="J865" s="38"/>
      <c r="K865" s="38"/>
    </row>
    <row r="866">
      <c r="A866" s="38"/>
      <c r="B866" s="38"/>
      <c r="C866" s="38"/>
      <c r="D866" s="38"/>
      <c r="E866" s="38"/>
      <c r="F866" s="38"/>
      <c r="G866" s="38"/>
      <c r="H866" s="38"/>
      <c r="I866" s="38"/>
      <c r="J866" s="38"/>
      <c r="K866" s="38"/>
    </row>
    <row r="867">
      <c r="A867" s="38"/>
      <c r="B867" s="38"/>
      <c r="C867" s="38"/>
      <c r="D867" s="38"/>
      <c r="E867" s="38"/>
      <c r="F867" s="38"/>
      <c r="G867" s="38"/>
      <c r="H867" s="38"/>
      <c r="I867" s="38"/>
      <c r="J867" s="38"/>
      <c r="K867" s="38"/>
    </row>
    <row r="868">
      <c r="A868" s="38"/>
      <c r="B868" s="38"/>
      <c r="C868" s="38"/>
      <c r="D868" s="38"/>
      <c r="E868" s="38"/>
      <c r="F868" s="38"/>
      <c r="G868" s="38"/>
      <c r="H868" s="38"/>
      <c r="I868" s="38"/>
      <c r="J868" s="38"/>
      <c r="K868" s="38"/>
    </row>
    <row r="869">
      <c r="A869" s="38"/>
      <c r="B869" s="38"/>
      <c r="C869" s="38"/>
      <c r="D869" s="38"/>
      <c r="E869" s="38"/>
      <c r="F869" s="38"/>
      <c r="G869" s="38"/>
      <c r="H869" s="38"/>
      <c r="I869" s="38"/>
      <c r="J869" s="38"/>
      <c r="K869" s="38"/>
    </row>
    <row r="870">
      <c r="A870" s="38"/>
      <c r="B870" s="38"/>
      <c r="C870" s="38"/>
      <c r="D870" s="38"/>
      <c r="E870" s="38"/>
      <c r="F870" s="38"/>
      <c r="G870" s="38"/>
      <c r="H870" s="38"/>
      <c r="I870" s="38"/>
      <c r="J870" s="38"/>
      <c r="K870" s="38"/>
    </row>
    <row r="871">
      <c r="A871" s="38"/>
      <c r="B871" s="38"/>
      <c r="C871" s="38"/>
      <c r="D871" s="38"/>
      <c r="E871" s="38"/>
      <c r="F871" s="38"/>
      <c r="G871" s="38"/>
      <c r="H871" s="38"/>
      <c r="I871" s="38"/>
      <c r="J871" s="38"/>
      <c r="K871" s="38"/>
    </row>
    <row r="872">
      <c r="A872" s="38"/>
      <c r="B872" s="38"/>
      <c r="C872" s="38"/>
      <c r="D872" s="38"/>
      <c r="E872" s="38"/>
      <c r="F872" s="38"/>
      <c r="G872" s="38"/>
      <c r="H872" s="38"/>
      <c r="I872" s="38"/>
      <c r="J872" s="38"/>
      <c r="K872" s="38"/>
    </row>
    <row r="873">
      <c r="A873" s="38"/>
      <c r="B873" s="38"/>
      <c r="C873" s="38"/>
      <c r="D873" s="38"/>
      <c r="E873" s="38"/>
      <c r="F873" s="38"/>
      <c r="G873" s="38"/>
      <c r="H873" s="38"/>
      <c r="I873" s="38"/>
      <c r="J873" s="38"/>
      <c r="K873" s="38"/>
    </row>
    <row r="874">
      <c r="A874" s="38"/>
      <c r="B874" s="38"/>
      <c r="C874" s="38"/>
      <c r="D874" s="38"/>
      <c r="E874" s="38"/>
      <c r="F874" s="38"/>
      <c r="G874" s="38"/>
      <c r="H874" s="38"/>
      <c r="I874" s="38"/>
      <c r="J874" s="38"/>
      <c r="K874" s="38"/>
    </row>
    <row r="875">
      <c r="A875" s="38"/>
      <c r="B875" s="38"/>
      <c r="C875" s="38"/>
      <c r="D875" s="38"/>
      <c r="E875" s="38"/>
      <c r="F875" s="38"/>
      <c r="G875" s="38"/>
      <c r="H875" s="38"/>
      <c r="I875" s="38"/>
      <c r="J875" s="38"/>
      <c r="K875" s="38"/>
    </row>
    <row r="876">
      <c r="A876" s="38"/>
      <c r="B876" s="38"/>
      <c r="C876" s="38"/>
      <c r="D876" s="38"/>
      <c r="E876" s="38"/>
      <c r="F876" s="38"/>
      <c r="G876" s="38"/>
      <c r="H876" s="38"/>
      <c r="I876" s="38"/>
      <c r="J876" s="38"/>
      <c r="K876" s="38"/>
    </row>
    <row r="877">
      <c r="A877" s="38"/>
      <c r="B877" s="38"/>
      <c r="C877" s="38"/>
      <c r="D877" s="38"/>
      <c r="E877" s="38"/>
      <c r="F877" s="38"/>
      <c r="G877" s="38"/>
      <c r="H877" s="38"/>
      <c r="I877" s="38"/>
      <c r="J877" s="38"/>
      <c r="K877" s="38"/>
    </row>
    <row r="878">
      <c r="A878" s="38"/>
      <c r="B878" s="38"/>
      <c r="C878" s="38"/>
      <c r="D878" s="38"/>
      <c r="E878" s="38"/>
      <c r="F878" s="38"/>
      <c r="G878" s="38"/>
      <c r="H878" s="38"/>
      <c r="I878" s="38"/>
      <c r="J878" s="38"/>
      <c r="K878" s="38"/>
    </row>
    <row r="879">
      <c r="A879" s="38"/>
      <c r="B879" s="38"/>
      <c r="C879" s="38"/>
      <c r="D879" s="38"/>
      <c r="E879" s="38"/>
      <c r="F879" s="38"/>
      <c r="G879" s="38"/>
      <c r="H879" s="38"/>
      <c r="I879" s="38"/>
      <c r="J879" s="38"/>
      <c r="K879" s="38"/>
    </row>
    <row r="880">
      <c r="A880" s="38"/>
      <c r="B880" s="38"/>
      <c r="C880" s="38"/>
      <c r="D880" s="38"/>
      <c r="E880" s="38"/>
      <c r="F880" s="38"/>
      <c r="G880" s="38"/>
      <c r="H880" s="38"/>
      <c r="I880" s="38"/>
      <c r="J880" s="38"/>
      <c r="K880" s="38"/>
    </row>
    <row r="881">
      <c r="A881" s="38"/>
      <c r="B881" s="38"/>
      <c r="C881" s="38"/>
      <c r="D881" s="38"/>
      <c r="E881" s="38"/>
      <c r="F881" s="38"/>
      <c r="G881" s="38"/>
      <c r="H881" s="38"/>
      <c r="I881" s="38"/>
      <c r="J881" s="38"/>
      <c r="K881" s="38"/>
    </row>
    <row r="882">
      <c r="A882" s="38"/>
      <c r="B882" s="38"/>
      <c r="C882" s="38"/>
      <c r="D882" s="38"/>
      <c r="E882" s="38"/>
      <c r="F882" s="38"/>
      <c r="G882" s="38"/>
      <c r="H882" s="38"/>
      <c r="I882" s="38"/>
      <c r="J882" s="38"/>
      <c r="K882" s="38"/>
    </row>
    <row r="883">
      <c r="A883" s="38"/>
      <c r="B883" s="38"/>
      <c r="C883" s="38"/>
      <c r="D883" s="38"/>
      <c r="E883" s="38"/>
      <c r="F883" s="38"/>
      <c r="G883" s="38"/>
      <c r="H883" s="38"/>
      <c r="I883" s="38"/>
      <c r="J883" s="38"/>
      <c r="K883" s="38"/>
    </row>
    <row r="884">
      <c r="A884" s="38"/>
      <c r="B884" s="38"/>
      <c r="C884" s="38"/>
      <c r="D884" s="38"/>
      <c r="E884" s="38"/>
      <c r="F884" s="38"/>
      <c r="G884" s="38"/>
      <c r="H884" s="38"/>
      <c r="I884" s="38"/>
      <c r="J884" s="38"/>
      <c r="K884" s="38"/>
    </row>
    <row r="885">
      <c r="A885" s="38"/>
      <c r="B885" s="38"/>
      <c r="C885" s="38"/>
      <c r="D885" s="38"/>
      <c r="E885" s="38"/>
      <c r="F885" s="38"/>
      <c r="G885" s="38"/>
      <c r="H885" s="38"/>
      <c r="I885" s="38"/>
      <c r="J885" s="38"/>
      <c r="K885" s="38"/>
    </row>
    <row r="886">
      <c r="A886" s="38"/>
      <c r="B886" s="38"/>
      <c r="C886" s="38"/>
      <c r="D886" s="38"/>
      <c r="E886" s="38"/>
      <c r="F886" s="38"/>
      <c r="G886" s="38"/>
      <c r="H886" s="38"/>
      <c r="I886" s="38"/>
      <c r="J886" s="38"/>
      <c r="K886" s="38"/>
    </row>
    <row r="887">
      <c r="A887" s="38"/>
      <c r="B887" s="38"/>
      <c r="C887" s="38"/>
      <c r="D887" s="38"/>
      <c r="E887" s="38"/>
      <c r="F887" s="38"/>
      <c r="G887" s="38"/>
      <c r="H887" s="38"/>
      <c r="I887" s="38"/>
      <c r="J887" s="38"/>
      <c r="K887" s="38"/>
    </row>
    <row r="888">
      <c r="A888" s="38"/>
      <c r="B888" s="38"/>
      <c r="C888" s="38"/>
      <c r="D888" s="38"/>
      <c r="E888" s="38"/>
      <c r="F888" s="38"/>
      <c r="G888" s="38"/>
      <c r="H888" s="38"/>
      <c r="I888" s="38"/>
      <c r="J888" s="38"/>
      <c r="K888" s="38"/>
    </row>
    <row r="889">
      <c r="A889" s="38"/>
      <c r="B889" s="38"/>
      <c r="C889" s="38"/>
      <c r="D889" s="38"/>
      <c r="E889" s="38"/>
      <c r="F889" s="38"/>
      <c r="G889" s="38"/>
      <c r="H889" s="38"/>
      <c r="I889" s="38"/>
      <c r="J889" s="38"/>
      <c r="K889" s="38"/>
    </row>
    <row r="890">
      <c r="A890" s="38"/>
      <c r="B890" s="38"/>
      <c r="C890" s="38"/>
      <c r="D890" s="38"/>
      <c r="E890" s="38"/>
      <c r="F890" s="38"/>
      <c r="G890" s="38"/>
      <c r="H890" s="38"/>
      <c r="I890" s="38"/>
      <c r="J890" s="38"/>
      <c r="K890" s="38"/>
    </row>
    <row r="891">
      <c r="A891" s="38"/>
      <c r="B891" s="38"/>
      <c r="C891" s="38"/>
      <c r="D891" s="38"/>
      <c r="E891" s="38"/>
      <c r="F891" s="38"/>
      <c r="G891" s="38"/>
      <c r="H891" s="38"/>
      <c r="I891" s="38"/>
      <c r="J891" s="38"/>
      <c r="K891" s="38"/>
    </row>
    <row r="892">
      <c r="A892" s="38"/>
      <c r="B892" s="38"/>
      <c r="C892" s="38"/>
      <c r="D892" s="38"/>
      <c r="E892" s="38"/>
      <c r="F892" s="38"/>
      <c r="G892" s="38"/>
      <c r="H892" s="38"/>
      <c r="I892" s="38"/>
      <c r="J892" s="38"/>
      <c r="K892" s="38"/>
    </row>
    <row r="893">
      <c r="A893" s="38"/>
      <c r="B893" s="38"/>
      <c r="C893" s="38"/>
      <c r="D893" s="38"/>
      <c r="E893" s="38"/>
      <c r="F893" s="38"/>
      <c r="G893" s="38"/>
      <c r="H893" s="38"/>
      <c r="I893" s="38"/>
      <c r="J893" s="38"/>
      <c r="K893" s="38"/>
    </row>
    <row r="894">
      <c r="A894" s="38"/>
      <c r="B894" s="38"/>
      <c r="C894" s="38"/>
      <c r="D894" s="38"/>
      <c r="E894" s="38"/>
      <c r="F894" s="38"/>
      <c r="G894" s="38"/>
      <c r="H894" s="38"/>
      <c r="I894" s="38"/>
      <c r="J894" s="38"/>
      <c r="K894" s="38"/>
    </row>
    <row r="895">
      <c r="A895" s="38"/>
      <c r="B895" s="38"/>
      <c r="C895" s="38"/>
      <c r="D895" s="38"/>
      <c r="E895" s="38"/>
      <c r="F895" s="38"/>
      <c r="G895" s="38"/>
      <c r="H895" s="38"/>
      <c r="I895" s="38"/>
      <c r="J895" s="38"/>
      <c r="K895" s="38"/>
    </row>
    <row r="896">
      <c r="A896" s="38"/>
      <c r="B896" s="38"/>
      <c r="C896" s="38"/>
      <c r="D896" s="38"/>
      <c r="E896" s="38"/>
      <c r="F896" s="38"/>
      <c r="G896" s="38"/>
      <c r="H896" s="38"/>
      <c r="I896" s="38"/>
      <c r="J896" s="38"/>
      <c r="K896" s="38"/>
    </row>
    <row r="897">
      <c r="A897" s="38"/>
      <c r="B897" s="38"/>
      <c r="C897" s="38"/>
      <c r="D897" s="38"/>
      <c r="E897" s="38"/>
      <c r="F897" s="38"/>
      <c r="G897" s="38"/>
      <c r="H897" s="38"/>
      <c r="I897" s="38"/>
      <c r="J897" s="38"/>
      <c r="K897" s="38"/>
    </row>
    <row r="898">
      <c r="A898" s="38"/>
      <c r="B898" s="38"/>
      <c r="C898" s="38"/>
      <c r="D898" s="38"/>
      <c r="E898" s="38"/>
      <c r="F898" s="38"/>
      <c r="G898" s="38"/>
      <c r="H898" s="38"/>
      <c r="I898" s="38"/>
      <c r="J898" s="38"/>
      <c r="K898" s="38"/>
    </row>
    <row r="899">
      <c r="A899" s="38"/>
      <c r="B899" s="38"/>
      <c r="C899" s="38"/>
      <c r="D899" s="38"/>
      <c r="E899" s="38"/>
      <c r="F899" s="38"/>
      <c r="G899" s="38"/>
      <c r="H899" s="38"/>
      <c r="I899" s="38"/>
      <c r="J899" s="38"/>
      <c r="K899" s="38"/>
    </row>
    <row r="900">
      <c r="A900" s="38"/>
      <c r="B900" s="38"/>
      <c r="C900" s="38"/>
      <c r="D900" s="38"/>
      <c r="E900" s="38"/>
      <c r="F900" s="38"/>
      <c r="G900" s="38"/>
      <c r="H900" s="38"/>
      <c r="I900" s="38"/>
      <c r="J900" s="38"/>
      <c r="K900" s="38"/>
    </row>
    <row r="901">
      <c r="A901" s="38"/>
      <c r="B901" s="38"/>
      <c r="C901" s="38"/>
      <c r="D901" s="38"/>
      <c r="E901" s="38"/>
      <c r="F901" s="38"/>
      <c r="G901" s="38"/>
      <c r="H901" s="38"/>
      <c r="I901" s="38"/>
      <c r="J901" s="38"/>
      <c r="K901" s="38"/>
    </row>
    <row r="902">
      <c r="A902" s="38"/>
      <c r="B902" s="38"/>
      <c r="C902" s="38"/>
      <c r="D902" s="38"/>
      <c r="E902" s="38"/>
      <c r="F902" s="38"/>
      <c r="G902" s="38"/>
      <c r="H902" s="38"/>
      <c r="I902" s="38"/>
      <c r="J902" s="38"/>
      <c r="K902" s="38"/>
    </row>
    <row r="903">
      <c r="A903" s="38"/>
      <c r="B903" s="38"/>
      <c r="C903" s="38"/>
      <c r="D903" s="38"/>
      <c r="E903" s="38"/>
      <c r="F903" s="38"/>
      <c r="G903" s="38"/>
      <c r="H903" s="38"/>
      <c r="I903" s="38"/>
      <c r="J903" s="38"/>
      <c r="K903" s="38"/>
    </row>
    <row r="904">
      <c r="A904" s="38"/>
      <c r="B904" s="38"/>
      <c r="C904" s="38"/>
      <c r="D904" s="38"/>
      <c r="E904" s="38"/>
      <c r="F904" s="38"/>
      <c r="G904" s="38"/>
      <c r="H904" s="38"/>
      <c r="I904" s="38"/>
      <c r="J904" s="38"/>
      <c r="K904" s="38"/>
    </row>
    <row r="905">
      <c r="A905" s="38"/>
      <c r="B905" s="38"/>
      <c r="C905" s="38"/>
      <c r="D905" s="38"/>
      <c r="E905" s="38"/>
      <c r="F905" s="38"/>
      <c r="G905" s="38"/>
      <c r="H905" s="38"/>
      <c r="I905" s="38"/>
      <c r="J905" s="38"/>
      <c r="K905" s="38"/>
    </row>
    <row r="906">
      <c r="A906" s="38"/>
      <c r="B906" s="38"/>
      <c r="C906" s="38"/>
      <c r="D906" s="38"/>
      <c r="E906" s="38"/>
      <c r="F906" s="38"/>
      <c r="G906" s="38"/>
      <c r="H906" s="38"/>
      <c r="I906" s="38"/>
      <c r="J906" s="38"/>
      <c r="K906" s="38"/>
    </row>
    <row r="907">
      <c r="A907" s="38"/>
      <c r="B907" s="38"/>
      <c r="C907" s="38"/>
      <c r="D907" s="38"/>
      <c r="E907" s="38"/>
      <c r="F907" s="38"/>
      <c r="G907" s="38"/>
      <c r="H907" s="38"/>
      <c r="I907" s="38"/>
      <c r="J907" s="38"/>
      <c r="K907" s="38"/>
    </row>
    <row r="908">
      <c r="A908" s="38"/>
      <c r="B908" s="38"/>
      <c r="C908" s="38"/>
      <c r="D908" s="38"/>
      <c r="E908" s="38"/>
      <c r="F908" s="38"/>
      <c r="G908" s="38"/>
      <c r="H908" s="38"/>
      <c r="I908" s="38"/>
      <c r="J908" s="38"/>
      <c r="K908" s="38"/>
    </row>
    <row r="909">
      <c r="A909" s="38"/>
      <c r="B909" s="38"/>
      <c r="C909" s="38"/>
      <c r="D909" s="38"/>
      <c r="E909" s="38"/>
      <c r="F909" s="38"/>
      <c r="G909" s="38"/>
      <c r="H909" s="38"/>
      <c r="I909" s="38"/>
      <c r="J909" s="38"/>
      <c r="K909" s="38"/>
    </row>
    <row r="910">
      <c r="A910" s="38"/>
      <c r="B910" s="38"/>
      <c r="C910" s="38"/>
      <c r="D910" s="38"/>
      <c r="E910" s="38"/>
      <c r="F910" s="38"/>
      <c r="G910" s="38"/>
      <c r="H910" s="38"/>
      <c r="I910" s="38"/>
      <c r="J910" s="38"/>
      <c r="K910" s="38"/>
    </row>
    <row r="911">
      <c r="A911" s="38"/>
      <c r="B911" s="38"/>
      <c r="C911" s="38"/>
      <c r="D911" s="38"/>
      <c r="E911" s="38"/>
      <c r="F911" s="38"/>
      <c r="G911" s="38"/>
      <c r="H911" s="38"/>
      <c r="I911" s="38"/>
      <c r="J911" s="38"/>
      <c r="K911" s="38"/>
    </row>
    <row r="912">
      <c r="A912" s="38"/>
      <c r="B912" s="38"/>
      <c r="C912" s="38"/>
      <c r="D912" s="38"/>
      <c r="E912" s="38"/>
      <c r="F912" s="38"/>
      <c r="G912" s="38"/>
      <c r="H912" s="38"/>
      <c r="I912" s="38"/>
      <c r="J912" s="38"/>
      <c r="K912" s="38"/>
    </row>
    <row r="913">
      <c r="A913" s="38"/>
      <c r="B913" s="38"/>
      <c r="C913" s="38"/>
      <c r="D913" s="38"/>
      <c r="E913" s="38"/>
      <c r="F913" s="38"/>
      <c r="G913" s="38"/>
      <c r="H913" s="38"/>
      <c r="I913" s="38"/>
      <c r="J913" s="38"/>
      <c r="K913" s="38"/>
    </row>
    <row r="914">
      <c r="A914" s="38"/>
      <c r="B914" s="38"/>
      <c r="C914" s="38"/>
      <c r="D914" s="38"/>
      <c r="E914" s="38"/>
      <c r="F914" s="38"/>
      <c r="G914" s="38"/>
      <c r="H914" s="38"/>
      <c r="I914" s="38"/>
      <c r="J914" s="38"/>
      <c r="K914" s="38"/>
    </row>
    <row r="915">
      <c r="A915" s="38"/>
      <c r="B915" s="38"/>
      <c r="C915" s="38"/>
      <c r="D915" s="38"/>
      <c r="E915" s="38"/>
      <c r="F915" s="38"/>
      <c r="G915" s="38"/>
      <c r="H915" s="38"/>
      <c r="I915" s="38"/>
      <c r="J915" s="38"/>
      <c r="K915" s="38"/>
    </row>
    <row r="916">
      <c r="A916" s="38"/>
      <c r="B916" s="38"/>
      <c r="C916" s="38"/>
      <c r="D916" s="38"/>
      <c r="E916" s="38"/>
      <c r="F916" s="38"/>
      <c r="G916" s="38"/>
      <c r="H916" s="38"/>
      <c r="I916" s="38"/>
      <c r="J916" s="38"/>
      <c r="K916" s="38"/>
    </row>
    <row r="917">
      <c r="A917" s="38"/>
      <c r="B917" s="38"/>
      <c r="C917" s="38"/>
      <c r="D917" s="38"/>
      <c r="E917" s="38"/>
      <c r="F917" s="38"/>
      <c r="G917" s="38"/>
      <c r="H917" s="38"/>
      <c r="I917" s="38"/>
      <c r="J917" s="38"/>
      <c r="K917" s="38"/>
    </row>
    <row r="918">
      <c r="A918" s="38"/>
      <c r="B918" s="38"/>
      <c r="C918" s="38"/>
      <c r="D918" s="38"/>
      <c r="E918" s="38"/>
      <c r="F918" s="38"/>
      <c r="G918" s="38"/>
      <c r="H918" s="38"/>
      <c r="I918" s="38"/>
      <c r="J918" s="38"/>
      <c r="K918" s="38"/>
    </row>
    <row r="919">
      <c r="A919" s="38"/>
      <c r="B919" s="38"/>
      <c r="C919" s="38"/>
      <c r="D919" s="38"/>
      <c r="E919" s="38"/>
      <c r="F919" s="38"/>
      <c r="G919" s="38"/>
      <c r="H919" s="38"/>
      <c r="I919" s="38"/>
      <c r="J919" s="38"/>
      <c r="K919" s="38"/>
    </row>
    <row r="920">
      <c r="A920" s="38"/>
      <c r="B920" s="38"/>
      <c r="C920" s="38"/>
      <c r="D920" s="38"/>
      <c r="E920" s="38"/>
      <c r="F920" s="38"/>
      <c r="G920" s="38"/>
      <c r="H920" s="38"/>
      <c r="I920" s="38"/>
      <c r="J920" s="38"/>
      <c r="K920" s="38"/>
    </row>
    <row r="921">
      <c r="A921" s="38"/>
      <c r="B921" s="38"/>
      <c r="C921" s="38"/>
      <c r="D921" s="38"/>
      <c r="E921" s="38"/>
      <c r="F921" s="38"/>
      <c r="G921" s="38"/>
      <c r="H921" s="38"/>
      <c r="I921" s="38"/>
      <c r="J921" s="38"/>
      <c r="K921" s="38"/>
    </row>
    <row r="922">
      <c r="A922" s="38"/>
      <c r="B922" s="38"/>
      <c r="C922" s="38"/>
      <c r="D922" s="38"/>
      <c r="E922" s="38"/>
      <c r="F922" s="38"/>
      <c r="G922" s="38"/>
      <c r="H922" s="38"/>
      <c r="I922" s="38"/>
      <c r="J922" s="38"/>
      <c r="K922" s="38"/>
    </row>
    <row r="923">
      <c r="A923" s="38"/>
      <c r="B923" s="38"/>
      <c r="C923" s="38"/>
      <c r="D923" s="38"/>
      <c r="E923" s="38"/>
      <c r="F923" s="38"/>
      <c r="G923" s="38"/>
      <c r="H923" s="38"/>
      <c r="I923" s="38"/>
      <c r="J923" s="38"/>
      <c r="K923" s="38"/>
    </row>
    <row r="924">
      <c r="A924" s="38"/>
      <c r="B924" s="38"/>
      <c r="C924" s="38"/>
      <c r="D924" s="38"/>
      <c r="E924" s="38"/>
      <c r="F924" s="38"/>
      <c r="G924" s="38"/>
      <c r="H924" s="38"/>
      <c r="I924" s="38"/>
      <c r="J924" s="38"/>
      <c r="K924" s="38"/>
    </row>
    <row r="925">
      <c r="A925" s="38"/>
      <c r="B925" s="38"/>
      <c r="C925" s="38"/>
      <c r="D925" s="38"/>
      <c r="E925" s="38"/>
      <c r="F925" s="38"/>
      <c r="G925" s="38"/>
      <c r="H925" s="38"/>
      <c r="I925" s="38"/>
      <c r="J925" s="38"/>
      <c r="K925" s="38"/>
    </row>
    <row r="926">
      <c r="A926" s="38"/>
      <c r="B926" s="38"/>
      <c r="C926" s="38"/>
      <c r="D926" s="38"/>
      <c r="E926" s="38"/>
      <c r="F926" s="38"/>
      <c r="G926" s="38"/>
      <c r="H926" s="38"/>
      <c r="I926" s="38"/>
      <c r="J926" s="38"/>
      <c r="K926" s="38"/>
    </row>
    <row r="927">
      <c r="A927" s="38"/>
      <c r="B927" s="38"/>
      <c r="C927" s="38"/>
      <c r="D927" s="38"/>
      <c r="E927" s="38"/>
      <c r="F927" s="38"/>
      <c r="G927" s="38"/>
      <c r="H927" s="38"/>
      <c r="I927" s="38"/>
      <c r="J927" s="38"/>
      <c r="K927" s="38"/>
    </row>
    <row r="928">
      <c r="A928" s="38"/>
      <c r="B928" s="38"/>
      <c r="C928" s="38"/>
      <c r="D928" s="38"/>
      <c r="E928" s="38"/>
      <c r="F928" s="38"/>
      <c r="G928" s="38"/>
      <c r="H928" s="38"/>
      <c r="I928" s="38"/>
      <c r="J928" s="38"/>
      <c r="K928" s="38"/>
    </row>
    <row r="929">
      <c r="A929" s="38"/>
      <c r="B929" s="38"/>
      <c r="C929" s="38"/>
      <c r="D929" s="38"/>
      <c r="E929" s="38"/>
      <c r="F929" s="38"/>
      <c r="G929" s="38"/>
      <c r="H929" s="38"/>
      <c r="I929" s="38"/>
      <c r="J929" s="38"/>
      <c r="K929" s="38"/>
    </row>
    <row r="930">
      <c r="A930" s="38"/>
      <c r="B930" s="38"/>
      <c r="C930" s="38"/>
      <c r="D930" s="38"/>
      <c r="E930" s="38"/>
      <c r="F930" s="38"/>
      <c r="G930" s="38"/>
      <c r="H930" s="38"/>
      <c r="I930" s="38"/>
      <c r="J930" s="38"/>
      <c r="K930" s="38"/>
    </row>
    <row r="931">
      <c r="A931" s="38"/>
      <c r="B931" s="38"/>
      <c r="C931" s="38"/>
      <c r="D931" s="38"/>
      <c r="E931" s="38"/>
      <c r="F931" s="38"/>
      <c r="G931" s="38"/>
      <c r="H931" s="38"/>
      <c r="I931" s="38"/>
      <c r="J931" s="38"/>
      <c r="K931" s="38"/>
    </row>
    <row r="932">
      <c r="A932" s="38"/>
      <c r="B932" s="38"/>
      <c r="C932" s="38"/>
      <c r="D932" s="38"/>
      <c r="E932" s="38"/>
      <c r="F932" s="38"/>
      <c r="G932" s="38"/>
      <c r="H932" s="38"/>
      <c r="I932" s="38"/>
      <c r="J932" s="38"/>
      <c r="K932" s="38"/>
    </row>
    <row r="933">
      <c r="A933" s="38"/>
      <c r="B933" s="38"/>
      <c r="C933" s="38"/>
      <c r="D933" s="38"/>
      <c r="E933" s="38"/>
      <c r="F933" s="38"/>
      <c r="G933" s="38"/>
      <c r="H933" s="38"/>
      <c r="I933" s="38"/>
      <c r="J933" s="38"/>
      <c r="K933" s="38"/>
    </row>
    <row r="934">
      <c r="A934" s="38"/>
      <c r="B934" s="38"/>
      <c r="C934" s="38"/>
      <c r="D934" s="38"/>
      <c r="E934" s="38"/>
      <c r="F934" s="38"/>
      <c r="G934" s="38"/>
      <c r="H934" s="38"/>
      <c r="I934" s="38"/>
      <c r="J934" s="38"/>
      <c r="K934" s="38"/>
    </row>
    <row r="935">
      <c r="A935" s="38"/>
      <c r="B935" s="38"/>
      <c r="C935" s="38"/>
      <c r="D935" s="38"/>
      <c r="E935" s="38"/>
      <c r="F935" s="38"/>
      <c r="G935" s="38"/>
      <c r="H935" s="38"/>
      <c r="I935" s="38"/>
      <c r="J935" s="38"/>
      <c r="K935" s="38"/>
    </row>
    <row r="936">
      <c r="A936" s="38"/>
      <c r="B936" s="38"/>
      <c r="C936" s="38"/>
      <c r="D936" s="38"/>
      <c r="E936" s="38"/>
      <c r="F936" s="38"/>
      <c r="G936" s="38"/>
      <c r="H936" s="38"/>
      <c r="I936" s="38"/>
      <c r="J936" s="38"/>
      <c r="K936" s="38"/>
    </row>
    <row r="937">
      <c r="A937" s="38"/>
      <c r="B937" s="38"/>
      <c r="C937" s="38"/>
      <c r="D937" s="38"/>
      <c r="E937" s="38"/>
      <c r="F937" s="38"/>
      <c r="G937" s="38"/>
      <c r="H937" s="38"/>
      <c r="I937" s="38"/>
      <c r="J937" s="38"/>
      <c r="K937" s="38"/>
    </row>
    <row r="938">
      <c r="A938" s="38"/>
      <c r="B938" s="38"/>
      <c r="C938" s="38"/>
      <c r="D938" s="38"/>
      <c r="E938" s="38"/>
      <c r="F938" s="38"/>
      <c r="G938" s="38"/>
      <c r="H938" s="38"/>
      <c r="I938" s="38"/>
      <c r="J938" s="38"/>
      <c r="K938" s="38"/>
    </row>
    <row r="939">
      <c r="A939" s="38"/>
      <c r="B939" s="38"/>
      <c r="C939" s="38"/>
      <c r="D939" s="38"/>
      <c r="E939" s="38"/>
      <c r="F939" s="38"/>
      <c r="G939" s="38"/>
      <c r="H939" s="38"/>
      <c r="I939" s="38"/>
      <c r="J939" s="38"/>
      <c r="K939" s="38"/>
    </row>
    <row r="940">
      <c r="A940" s="38"/>
      <c r="B940" s="38"/>
      <c r="C940" s="38"/>
      <c r="D940" s="38"/>
      <c r="E940" s="38"/>
      <c r="F940" s="38"/>
      <c r="G940" s="38"/>
      <c r="H940" s="38"/>
      <c r="I940" s="38"/>
      <c r="J940" s="38"/>
      <c r="K940" s="38"/>
    </row>
    <row r="941">
      <c r="A941" s="38"/>
      <c r="B941" s="38"/>
      <c r="C941" s="38"/>
      <c r="D941" s="38"/>
      <c r="E941" s="38"/>
      <c r="F941" s="38"/>
      <c r="G941" s="38"/>
      <c r="H941" s="38"/>
      <c r="I941" s="38"/>
      <c r="J941" s="38"/>
      <c r="K941" s="38"/>
    </row>
    <row r="942">
      <c r="A942" s="38"/>
      <c r="B942" s="38"/>
      <c r="C942" s="38"/>
      <c r="D942" s="38"/>
      <c r="E942" s="38"/>
      <c r="F942" s="38"/>
      <c r="G942" s="38"/>
      <c r="H942" s="38"/>
      <c r="I942" s="38"/>
      <c r="J942" s="38"/>
      <c r="K942" s="38"/>
    </row>
    <row r="943">
      <c r="A943" s="38"/>
      <c r="B943" s="38"/>
      <c r="C943" s="38"/>
      <c r="D943" s="38"/>
      <c r="E943" s="38"/>
      <c r="F943" s="38"/>
      <c r="G943" s="38"/>
      <c r="H943" s="38"/>
      <c r="I943" s="38"/>
      <c r="J943" s="38"/>
      <c r="K943" s="38"/>
    </row>
    <row r="944">
      <c r="A944" s="38"/>
      <c r="B944" s="38"/>
      <c r="C944" s="38"/>
      <c r="D944" s="38"/>
      <c r="E944" s="38"/>
      <c r="F944" s="38"/>
      <c r="G944" s="38"/>
      <c r="H944" s="38"/>
      <c r="I944" s="38"/>
      <c r="J944" s="38"/>
      <c r="K944" s="38"/>
    </row>
    <row r="945">
      <c r="A945" s="38"/>
      <c r="B945" s="38"/>
      <c r="C945" s="38"/>
      <c r="D945" s="38"/>
      <c r="E945" s="38"/>
      <c r="F945" s="38"/>
      <c r="G945" s="38"/>
      <c r="H945" s="38"/>
      <c r="I945" s="38"/>
      <c r="J945" s="38"/>
      <c r="K945" s="38"/>
    </row>
    <row r="946">
      <c r="A946" s="38"/>
      <c r="B946" s="38"/>
      <c r="C946" s="38"/>
      <c r="D946" s="38"/>
      <c r="E946" s="38"/>
      <c r="F946" s="38"/>
      <c r="G946" s="38"/>
      <c r="H946" s="38"/>
      <c r="I946" s="38"/>
      <c r="J946" s="38"/>
      <c r="K946" s="38"/>
    </row>
    <row r="947">
      <c r="A947" s="38"/>
      <c r="B947" s="38"/>
      <c r="C947" s="38"/>
      <c r="D947" s="38"/>
      <c r="E947" s="38"/>
      <c r="F947" s="38"/>
      <c r="G947" s="38"/>
      <c r="H947" s="38"/>
      <c r="I947" s="38"/>
      <c r="J947" s="38"/>
      <c r="K947" s="38"/>
    </row>
    <row r="948">
      <c r="A948" s="38"/>
      <c r="B948" s="38"/>
      <c r="C948" s="38"/>
      <c r="D948" s="38"/>
      <c r="E948" s="38"/>
      <c r="F948" s="38"/>
      <c r="G948" s="38"/>
      <c r="H948" s="38"/>
      <c r="I948" s="38"/>
      <c r="J948" s="38"/>
      <c r="K948" s="38"/>
    </row>
    <row r="949">
      <c r="A949" s="38"/>
      <c r="B949" s="38"/>
      <c r="C949" s="38"/>
      <c r="D949" s="38"/>
      <c r="E949" s="38"/>
      <c r="F949" s="38"/>
      <c r="G949" s="38"/>
      <c r="H949" s="38"/>
      <c r="I949" s="38"/>
      <c r="J949" s="38"/>
      <c r="K949" s="38"/>
    </row>
    <row r="950">
      <c r="A950" s="38"/>
      <c r="B950" s="38"/>
      <c r="C950" s="38"/>
      <c r="D950" s="38"/>
      <c r="E950" s="38"/>
      <c r="F950" s="38"/>
      <c r="G950" s="38"/>
      <c r="H950" s="38"/>
      <c r="I950" s="38"/>
      <c r="J950" s="38"/>
      <c r="K950" s="38"/>
    </row>
    <row r="951">
      <c r="A951" s="38"/>
      <c r="B951" s="38"/>
      <c r="C951" s="38"/>
      <c r="D951" s="38"/>
      <c r="E951" s="38"/>
      <c r="F951" s="38"/>
      <c r="G951" s="38"/>
      <c r="H951" s="38"/>
      <c r="I951" s="38"/>
      <c r="J951" s="38"/>
      <c r="K951" s="38"/>
    </row>
    <row r="952">
      <c r="A952" s="38"/>
      <c r="B952" s="38"/>
      <c r="C952" s="38"/>
      <c r="D952" s="38"/>
      <c r="E952" s="38"/>
      <c r="F952" s="38"/>
      <c r="G952" s="38"/>
      <c r="H952" s="38"/>
      <c r="I952" s="38"/>
      <c r="J952" s="38"/>
      <c r="K952" s="38"/>
    </row>
    <row r="953">
      <c r="A953" s="38"/>
      <c r="B953" s="38"/>
      <c r="C953" s="38"/>
      <c r="D953" s="38"/>
      <c r="E953" s="38"/>
      <c r="F953" s="38"/>
      <c r="G953" s="38"/>
      <c r="H953" s="38"/>
      <c r="I953" s="38"/>
      <c r="J953" s="38"/>
      <c r="K953" s="38"/>
    </row>
    <row r="954">
      <c r="A954" s="38"/>
      <c r="B954" s="38"/>
      <c r="C954" s="38"/>
      <c r="D954" s="38"/>
      <c r="E954" s="38"/>
      <c r="F954" s="38"/>
      <c r="G954" s="38"/>
      <c r="H954" s="38"/>
      <c r="I954" s="38"/>
      <c r="J954" s="38"/>
      <c r="K954" s="38"/>
    </row>
    <row r="955">
      <c r="A955" s="38"/>
      <c r="B955" s="38"/>
      <c r="C955" s="38"/>
      <c r="D955" s="38"/>
      <c r="E955" s="38"/>
      <c r="F955" s="38"/>
      <c r="G955" s="38"/>
      <c r="H955" s="38"/>
      <c r="I955" s="38"/>
      <c r="J955" s="38"/>
      <c r="K955" s="38"/>
    </row>
    <row r="956">
      <c r="A956" s="38"/>
      <c r="B956" s="38"/>
      <c r="C956" s="38"/>
      <c r="D956" s="38"/>
      <c r="E956" s="38"/>
      <c r="F956" s="38"/>
      <c r="G956" s="38"/>
      <c r="H956" s="38"/>
      <c r="I956" s="38"/>
      <c r="J956" s="38"/>
      <c r="K956" s="38"/>
    </row>
    <row r="957">
      <c r="A957" s="38"/>
      <c r="B957" s="38"/>
      <c r="C957" s="38"/>
      <c r="D957" s="38"/>
      <c r="E957" s="38"/>
      <c r="F957" s="38"/>
      <c r="G957" s="38"/>
      <c r="H957" s="38"/>
      <c r="I957" s="38"/>
      <c r="J957" s="38"/>
      <c r="K957" s="38"/>
    </row>
    <row r="958">
      <c r="A958" s="38"/>
      <c r="B958" s="38"/>
      <c r="C958" s="38"/>
      <c r="D958" s="38"/>
      <c r="E958" s="38"/>
      <c r="F958" s="38"/>
      <c r="G958" s="38"/>
      <c r="H958" s="38"/>
      <c r="I958" s="38"/>
      <c r="J958" s="38"/>
      <c r="K958" s="38"/>
    </row>
    <row r="959">
      <c r="A959" s="38"/>
      <c r="B959" s="38"/>
      <c r="C959" s="38"/>
      <c r="D959" s="38"/>
      <c r="E959" s="38"/>
      <c r="F959" s="38"/>
      <c r="G959" s="38"/>
      <c r="H959" s="38"/>
      <c r="I959" s="38"/>
      <c r="J959" s="38"/>
      <c r="K959" s="38"/>
    </row>
    <row r="960">
      <c r="A960" s="38"/>
      <c r="B960" s="38"/>
      <c r="C960" s="38"/>
      <c r="D960" s="38"/>
      <c r="E960" s="38"/>
      <c r="F960" s="38"/>
      <c r="G960" s="38"/>
      <c r="H960" s="38"/>
      <c r="I960" s="38"/>
      <c r="J960" s="38"/>
      <c r="K960" s="38"/>
    </row>
    <row r="961">
      <c r="A961" s="38"/>
      <c r="B961" s="38"/>
      <c r="C961" s="38"/>
      <c r="D961" s="38"/>
      <c r="E961" s="38"/>
      <c r="F961" s="38"/>
      <c r="G961" s="38"/>
      <c r="H961" s="38"/>
      <c r="I961" s="38"/>
      <c r="J961" s="38"/>
      <c r="K961" s="38"/>
    </row>
    <row r="962">
      <c r="A962" s="38"/>
      <c r="B962" s="38"/>
      <c r="C962" s="38"/>
      <c r="D962" s="38"/>
      <c r="E962" s="38"/>
      <c r="F962" s="38"/>
      <c r="G962" s="38"/>
      <c r="H962" s="38"/>
      <c r="I962" s="38"/>
      <c r="J962" s="38"/>
      <c r="K962" s="38"/>
    </row>
    <row r="963">
      <c r="A963" s="38"/>
      <c r="B963" s="38"/>
      <c r="C963" s="38"/>
      <c r="D963" s="38"/>
      <c r="E963" s="38"/>
      <c r="F963" s="38"/>
      <c r="G963" s="38"/>
      <c r="H963" s="38"/>
      <c r="I963" s="38"/>
      <c r="J963" s="38"/>
      <c r="K963" s="38"/>
    </row>
    <row r="964">
      <c r="A964" s="38"/>
      <c r="B964" s="38"/>
      <c r="C964" s="38"/>
      <c r="D964" s="38"/>
      <c r="E964" s="38"/>
      <c r="F964" s="38"/>
      <c r="G964" s="38"/>
      <c r="H964" s="38"/>
      <c r="I964" s="38"/>
      <c r="J964" s="38"/>
      <c r="K964" s="38"/>
    </row>
    <row r="965">
      <c r="A965" s="38"/>
      <c r="B965" s="38"/>
      <c r="C965" s="38"/>
      <c r="D965" s="38"/>
      <c r="E965" s="38"/>
      <c r="F965" s="38"/>
      <c r="G965" s="38"/>
      <c r="H965" s="38"/>
      <c r="I965" s="38"/>
      <c r="J965" s="38"/>
      <c r="K965" s="38"/>
    </row>
    <row r="966">
      <c r="A966" s="38"/>
      <c r="B966" s="38"/>
      <c r="C966" s="38"/>
      <c r="D966" s="38"/>
      <c r="E966" s="38"/>
      <c r="F966" s="38"/>
      <c r="G966" s="38"/>
      <c r="H966" s="38"/>
      <c r="I966" s="38"/>
      <c r="J966" s="38"/>
      <c r="K966" s="38"/>
    </row>
    <row r="967">
      <c r="A967" s="38"/>
      <c r="B967" s="38"/>
      <c r="C967" s="38"/>
      <c r="D967" s="38"/>
      <c r="E967" s="38"/>
      <c r="F967" s="38"/>
      <c r="G967" s="38"/>
      <c r="H967" s="38"/>
      <c r="I967" s="38"/>
      <c r="J967" s="38"/>
      <c r="K967" s="38"/>
    </row>
    <row r="968">
      <c r="A968" s="38"/>
      <c r="B968" s="38"/>
      <c r="C968" s="38"/>
      <c r="D968" s="38"/>
      <c r="E968" s="38"/>
      <c r="F968" s="38"/>
      <c r="G968" s="38"/>
      <c r="H968" s="38"/>
      <c r="I968" s="38"/>
      <c r="J968" s="38"/>
      <c r="K968" s="38"/>
    </row>
    <row r="969">
      <c r="A969" s="38"/>
      <c r="B969" s="38"/>
      <c r="C969" s="38"/>
      <c r="D969" s="38"/>
      <c r="E969" s="38"/>
      <c r="F969" s="38"/>
      <c r="G969" s="38"/>
      <c r="H969" s="38"/>
      <c r="I969" s="38"/>
      <c r="J969" s="38"/>
      <c r="K969" s="38"/>
    </row>
    <row r="970">
      <c r="A970" s="38"/>
      <c r="B970" s="38"/>
      <c r="C970" s="38"/>
      <c r="D970" s="38"/>
      <c r="E970" s="38"/>
      <c r="F970" s="38"/>
      <c r="G970" s="38"/>
      <c r="H970" s="38"/>
      <c r="I970" s="38"/>
      <c r="J970" s="38"/>
      <c r="K970" s="38"/>
    </row>
    <row r="971">
      <c r="A971" s="38"/>
      <c r="B971" s="38"/>
      <c r="C971" s="38"/>
      <c r="D971" s="38"/>
      <c r="E971" s="38"/>
      <c r="F971" s="38"/>
      <c r="G971" s="38"/>
      <c r="H971" s="38"/>
      <c r="I971" s="38"/>
      <c r="J971" s="38"/>
      <c r="K971" s="38"/>
    </row>
    <row r="972">
      <c r="A972" s="38"/>
      <c r="B972" s="38"/>
      <c r="C972" s="38"/>
      <c r="D972" s="38"/>
      <c r="E972" s="38"/>
      <c r="F972" s="38"/>
      <c r="G972" s="38"/>
      <c r="H972" s="38"/>
      <c r="I972" s="38"/>
      <c r="J972" s="38"/>
      <c r="K972" s="38"/>
    </row>
    <row r="973">
      <c r="A973" s="38"/>
      <c r="B973" s="38"/>
      <c r="C973" s="38"/>
      <c r="D973" s="38"/>
      <c r="E973" s="38"/>
      <c r="F973" s="38"/>
      <c r="G973" s="38"/>
      <c r="H973" s="38"/>
      <c r="I973" s="38"/>
      <c r="J973" s="38"/>
      <c r="K973" s="38"/>
    </row>
    <row r="974">
      <c r="A974" s="38"/>
      <c r="B974" s="38"/>
      <c r="C974" s="38"/>
      <c r="D974" s="38"/>
      <c r="E974" s="38"/>
      <c r="F974" s="38"/>
      <c r="G974" s="38"/>
      <c r="H974" s="38"/>
      <c r="I974" s="38"/>
      <c r="J974" s="38"/>
      <c r="K974" s="38"/>
    </row>
    <row r="975">
      <c r="A975" s="38"/>
      <c r="B975" s="38"/>
      <c r="C975" s="38"/>
      <c r="D975" s="38"/>
      <c r="E975" s="38"/>
      <c r="F975" s="38"/>
      <c r="G975" s="38"/>
      <c r="H975" s="38"/>
      <c r="I975" s="38"/>
      <c r="J975" s="38"/>
      <c r="K975" s="38"/>
    </row>
    <row r="976">
      <c r="A976" s="38"/>
      <c r="B976" s="38"/>
      <c r="C976" s="38"/>
      <c r="D976" s="38"/>
      <c r="E976" s="38"/>
      <c r="F976" s="38"/>
      <c r="G976" s="38"/>
      <c r="H976" s="38"/>
      <c r="I976" s="38"/>
      <c r="J976" s="38"/>
      <c r="K976" s="38"/>
    </row>
    <row r="977">
      <c r="A977" s="38"/>
      <c r="B977" s="38"/>
      <c r="C977" s="38"/>
      <c r="D977" s="38"/>
      <c r="E977" s="38"/>
      <c r="F977" s="38"/>
      <c r="G977" s="38"/>
      <c r="H977" s="38"/>
      <c r="I977" s="38"/>
      <c r="J977" s="38"/>
      <c r="K977" s="38"/>
    </row>
    <row r="978">
      <c r="A978" s="38"/>
      <c r="B978" s="38"/>
      <c r="C978" s="38"/>
      <c r="D978" s="38"/>
      <c r="E978" s="38"/>
      <c r="F978" s="38"/>
      <c r="G978" s="38"/>
      <c r="H978" s="38"/>
      <c r="I978" s="38"/>
      <c r="J978" s="38"/>
      <c r="K978" s="38"/>
    </row>
    <row r="979">
      <c r="A979" s="38"/>
      <c r="B979" s="38"/>
      <c r="C979" s="38"/>
      <c r="D979" s="38"/>
      <c r="E979" s="38"/>
      <c r="F979" s="38"/>
      <c r="G979" s="38"/>
      <c r="H979" s="38"/>
      <c r="I979" s="38"/>
      <c r="J979" s="38"/>
      <c r="K979" s="38"/>
    </row>
    <row r="980">
      <c r="A980" s="38"/>
      <c r="B980" s="38"/>
      <c r="C980" s="38"/>
      <c r="D980" s="38"/>
      <c r="E980" s="38"/>
      <c r="F980" s="38"/>
      <c r="G980" s="38"/>
      <c r="H980" s="38"/>
      <c r="I980" s="38"/>
      <c r="J980" s="38"/>
      <c r="K980" s="38"/>
    </row>
    <row r="981">
      <c r="A981" s="38"/>
      <c r="B981" s="38"/>
      <c r="C981" s="38"/>
      <c r="D981" s="38"/>
      <c r="E981" s="38"/>
      <c r="F981" s="38"/>
      <c r="G981" s="38"/>
      <c r="H981" s="38"/>
      <c r="I981" s="38"/>
      <c r="J981" s="38"/>
      <c r="K981" s="38"/>
    </row>
    <row r="982">
      <c r="A982" s="38"/>
      <c r="B982" s="38"/>
      <c r="C982" s="38"/>
      <c r="D982" s="38"/>
      <c r="E982" s="38"/>
      <c r="F982" s="38"/>
      <c r="G982" s="38"/>
      <c r="H982" s="38"/>
      <c r="I982" s="38"/>
      <c r="J982" s="38"/>
      <c r="K982" s="38"/>
    </row>
    <row r="983">
      <c r="A983" s="38"/>
      <c r="B983" s="38"/>
      <c r="C983" s="38"/>
      <c r="D983" s="38"/>
      <c r="E983" s="38"/>
      <c r="F983" s="38"/>
      <c r="G983" s="38"/>
      <c r="H983" s="38"/>
      <c r="I983" s="38"/>
      <c r="J983" s="38"/>
      <c r="K983" s="38"/>
    </row>
    <row r="984">
      <c r="A984" s="38"/>
      <c r="B984" s="38"/>
      <c r="C984" s="38"/>
      <c r="D984" s="38"/>
      <c r="E984" s="38"/>
      <c r="F984" s="38"/>
      <c r="G984" s="38"/>
      <c r="H984" s="38"/>
      <c r="I984" s="38"/>
      <c r="J984" s="38"/>
      <c r="K984" s="38"/>
    </row>
    <row r="985">
      <c r="A985" s="38"/>
      <c r="B985" s="38"/>
      <c r="C985" s="38"/>
      <c r="D985" s="38"/>
      <c r="E985" s="38"/>
      <c r="F985" s="38"/>
      <c r="G985" s="38"/>
      <c r="H985" s="38"/>
      <c r="I985" s="38"/>
      <c r="J985" s="38"/>
      <c r="K985" s="38"/>
    </row>
    <row r="986">
      <c r="A986" s="38"/>
      <c r="B986" s="38"/>
      <c r="C986" s="38"/>
      <c r="D986" s="38"/>
      <c r="E986" s="38"/>
      <c r="F986" s="38"/>
      <c r="G986" s="38"/>
      <c r="H986" s="38"/>
      <c r="I986" s="38"/>
      <c r="J986" s="38"/>
      <c r="K986" s="38"/>
    </row>
    <row r="987">
      <c r="A987" s="38"/>
      <c r="B987" s="38"/>
      <c r="C987" s="38"/>
      <c r="D987" s="38"/>
      <c r="E987" s="38"/>
      <c r="F987" s="38"/>
      <c r="G987" s="38"/>
      <c r="H987" s="38"/>
      <c r="I987" s="38"/>
      <c r="J987" s="38"/>
      <c r="K987" s="38"/>
    </row>
    <row r="988">
      <c r="A988" s="38"/>
      <c r="B988" s="38"/>
      <c r="C988" s="38"/>
      <c r="D988" s="38"/>
      <c r="E988" s="38"/>
      <c r="F988" s="38"/>
      <c r="G988" s="38"/>
      <c r="H988" s="38"/>
      <c r="I988" s="38"/>
      <c r="J988" s="38"/>
      <c r="K988" s="38"/>
    </row>
    <row r="989">
      <c r="A989" s="38"/>
      <c r="B989" s="38"/>
      <c r="C989" s="38"/>
      <c r="D989" s="38"/>
      <c r="E989" s="38"/>
      <c r="F989" s="38"/>
      <c r="G989" s="38"/>
      <c r="H989" s="38"/>
      <c r="I989" s="38"/>
      <c r="J989" s="38"/>
      <c r="K989" s="38"/>
    </row>
    <row r="990">
      <c r="A990" s="38"/>
      <c r="B990" s="38"/>
      <c r="C990" s="38"/>
      <c r="D990" s="38"/>
      <c r="E990" s="38"/>
      <c r="F990" s="38"/>
      <c r="G990" s="38"/>
      <c r="H990" s="38"/>
      <c r="I990" s="38"/>
      <c r="J990" s="38"/>
      <c r="K990" s="38"/>
    </row>
    <row r="991">
      <c r="A991" s="38"/>
      <c r="B991" s="38"/>
      <c r="C991" s="38"/>
      <c r="D991" s="38"/>
      <c r="E991" s="38"/>
      <c r="F991" s="38"/>
      <c r="G991" s="38"/>
      <c r="H991" s="38"/>
      <c r="I991" s="38"/>
      <c r="J991" s="38"/>
      <c r="K991" s="38"/>
    </row>
    <row r="992">
      <c r="A992" s="38"/>
      <c r="B992" s="38"/>
      <c r="C992" s="38"/>
      <c r="D992" s="38"/>
      <c r="E992" s="38"/>
      <c r="F992" s="38"/>
      <c r="G992" s="38"/>
      <c r="H992" s="38"/>
      <c r="I992" s="38"/>
      <c r="J992" s="38"/>
      <c r="K992" s="38"/>
    </row>
    <row r="993">
      <c r="A993" s="38"/>
      <c r="B993" s="38"/>
      <c r="C993" s="38"/>
      <c r="D993" s="38"/>
      <c r="E993" s="38"/>
      <c r="F993" s="38"/>
      <c r="G993" s="38"/>
      <c r="H993" s="38"/>
      <c r="I993" s="38"/>
      <c r="J993" s="38"/>
      <c r="K993" s="38"/>
    </row>
    <row r="994">
      <c r="A994" s="38"/>
      <c r="B994" s="38"/>
      <c r="C994" s="38"/>
      <c r="D994" s="38"/>
      <c r="E994" s="38"/>
      <c r="F994" s="38"/>
      <c r="G994" s="38"/>
      <c r="H994" s="38"/>
      <c r="I994" s="38"/>
      <c r="J994" s="38"/>
      <c r="K994" s="38"/>
    </row>
    <row r="995">
      <c r="A995" s="38"/>
      <c r="B995" s="38"/>
      <c r="C995" s="38"/>
      <c r="D995" s="38"/>
      <c r="E995" s="38"/>
      <c r="F995" s="38"/>
      <c r="G995" s="38"/>
      <c r="H995" s="38"/>
      <c r="I995" s="38"/>
      <c r="J995" s="38"/>
      <c r="K995" s="38"/>
    </row>
    <row r="996">
      <c r="A996" s="38"/>
      <c r="B996" s="38"/>
      <c r="C996" s="38"/>
      <c r="D996" s="38"/>
      <c r="E996" s="38"/>
      <c r="F996" s="38"/>
      <c r="G996" s="38"/>
      <c r="H996" s="38"/>
      <c r="I996" s="38"/>
      <c r="J996" s="38"/>
      <c r="K996" s="38"/>
    </row>
    <row r="997">
      <c r="A997" s="38"/>
      <c r="B997" s="38"/>
      <c r="C997" s="38"/>
      <c r="D997" s="38"/>
      <c r="E997" s="38"/>
      <c r="F997" s="38"/>
      <c r="G997" s="38"/>
      <c r="H997" s="38"/>
      <c r="I997" s="38"/>
      <c r="J997" s="38"/>
      <c r="K997" s="38"/>
    </row>
    <row r="998">
      <c r="A998" s="38"/>
      <c r="B998" s="38"/>
      <c r="C998" s="38"/>
      <c r="D998" s="38"/>
      <c r="E998" s="38"/>
      <c r="F998" s="38"/>
      <c r="G998" s="38"/>
      <c r="H998" s="38"/>
      <c r="I998" s="38"/>
      <c r="J998" s="38"/>
      <c r="K998" s="38"/>
    </row>
    <row r="999">
      <c r="A999" s="38"/>
      <c r="B999" s="38"/>
      <c r="C999" s="38"/>
      <c r="D999" s="38"/>
      <c r="E999" s="38"/>
      <c r="F999" s="38"/>
      <c r="G999" s="38"/>
      <c r="H999" s="38"/>
      <c r="I999" s="38"/>
      <c r="J999" s="38"/>
      <c r="K999" s="38"/>
    </row>
    <row r="1000">
      <c r="A1000" s="38"/>
      <c r="B1000" s="38"/>
      <c r="C1000" s="38"/>
      <c r="D1000" s="38"/>
      <c r="E1000" s="38"/>
      <c r="F1000" s="38"/>
      <c r="G1000" s="38"/>
      <c r="H1000" s="38"/>
      <c r="I1000" s="38"/>
      <c r="J1000" s="38"/>
      <c r="K1000" s="38"/>
    </row>
    <row r="1001">
      <c r="A1001" s="38"/>
      <c r="B1001" s="38"/>
      <c r="C1001" s="38"/>
      <c r="D1001" s="38"/>
      <c r="E1001" s="38"/>
      <c r="F1001" s="38"/>
      <c r="G1001" s="38"/>
      <c r="H1001" s="38"/>
      <c r="I1001" s="38"/>
      <c r="J1001" s="38"/>
      <c r="K1001" s="38"/>
    </row>
    <row r="1002">
      <c r="A1002" s="38"/>
      <c r="B1002" s="38"/>
      <c r="C1002" s="38"/>
      <c r="D1002" s="38"/>
      <c r="E1002" s="38"/>
      <c r="F1002" s="38"/>
      <c r="G1002" s="38"/>
      <c r="H1002" s="38"/>
      <c r="I1002" s="38"/>
      <c r="J1002" s="38"/>
      <c r="K1002" s="38"/>
    </row>
    <row r="1003">
      <c r="A1003" s="38"/>
      <c r="B1003" s="38"/>
      <c r="C1003" s="38"/>
      <c r="D1003" s="38"/>
      <c r="E1003" s="38"/>
      <c r="F1003" s="38"/>
      <c r="G1003" s="38"/>
      <c r="H1003" s="38"/>
      <c r="I1003" s="38"/>
      <c r="J1003" s="38"/>
      <c r="K1003" s="38"/>
    </row>
    <row r="1004">
      <c r="A1004" s="38"/>
      <c r="B1004" s="38"/>
      <c r="C1004" s="38"/>
      <c r="D1004" s="38"/>
      <c r="E1004" s="38"/>
      <c r="F1004" s="38"/>
      <c r="G1004" s="38"/>
      <c r="H1004" s="38"/>
      <c r="I1004" s="38"/>
      <c r="J1004" s="38"/>
      <c r="K1004" s="38"/>
    </row>
    <row r="1005">
      <c r="A1005" s="38"/>
      <c r="B1005" s="38"/>
      <c r="C1005" s="38"/>
      <c r="D1005" s="38"/>
      <c r="E1005" s="38"/>
      <c r="F1005" s="38"/>
      <c r="G1005" s="38"/>
      <c r="H1005" s="38"/>
      <c r="I1005" s="38"/>
      <c r="J1005" s="38"/>
      <c r="K1005" s="38"/>
    </row>
    <row r="1006">
      <c r="A1006" s="38"/>
      <c r="B1006" s="38"/>
      <c r="C1006" s="38"/>
      <c r="D1006" s="38"/>
      <c r="E1006" s="38"/>
      <c r="F1006" s="38"/>
      <c r="G1006" s="38"/>
      <c r="H1006" s="38"/>
      <c r="I1006" s="38"/>
      <c r="J1006" s="38"/>
      <c r="K1006" s="38"/>
    </row>
    <row r="1007">
      <c r="A1007" s="38"/>
      <c r="B1007" s="38"/>
      <c r="C1007" s="38"/>
      <c r="D1007" s="38"/>
      <c r="E1007" s="38"/>
      <c r="F1007" s="38"/>
      <c r="G1007" s="38"/>
      <c r="H1007" s="38"/>
      <c r="I1007" s="38"/>
      <c r="J1007" s="38"/>
      <c r="K1007" s="38"/>
    </row>
    <row r="1008">
      <c r="A1008" s="38"/>
      <c r="B1008" s="38"/>
      <c r="C1008" s="38"/>
      <c r="D1008" s="38"/>
      <c r="E1008" s="38"/>
      <c r="F1008" s="38"/>
      <c r="G1008" s="38"/>
      <c r="H1008" s="38"/>
      <c r="I1008" s="38"/>
      <c r="J1008" s="38"/>
      <c r="K1008" s="38"/>
    </row>
    <row r="1009">
      <c r="A1009" s="38"/>
      <c r="B1009" s="38"/>
      <c r="C1009" s="38"/>
      <c r="D1009" s="38"/>
      <c r="E1009" s="38"/>
      <c r="F1009" s="38"/>
      <c r="G1009" s="38"/>
      <c r="H1009" s="38"/>
      <c r="I1009" s="38"/>
      <c r="J1009" s="38"/>
      <c r="K1009" s="38"/>
    </row>
    <row r="1010">
      <c r="A1010" s="38"/>
      <c r="B1010" s="38"/>
      <c r="C1010" s="38"/>
      <c r="D1010" s="38"/>
      <c r="E1010" s="38"/>
      <c r="F1010" s="38"/>
      <c r="G1010" s="38"/>
      <c r="H1010" s="38"/>
      <c r="I1010" s="38"/>
      <c r="J1010" s="38"/>
      <c r="K1010" s="38"/>
    </row>
    <row r="1011">
      <c r="A1011" s="38"/>
      <c r="B1011" s="38"/>
      <c r="C1011" s="38"/>
      <c r="D1011" s="38"/>
      <c r="E1011" s="38"/>
      <c r="F1011" s="38"/>
      <c r="G1011" s="38"/>
      <c r="H1011" s="38"/>
      <c r="I1011" s="38"/>
      <c r="J1011" s="38"/>
      <c r="K1011" s="38"/>
    </row>
    <row r="1012">
      <c r="A1012" s="38"/>
      <c r="B1012" s="38"/>
      <c r="C1012" s="38"/>
      <c r="D1012" s="38"/>
      <c r="E1012" s="38"/>
      <c r="F1012" s="38"/>
      <c r="G1012" s="38"/>
      <c r="H1012" s="38"/>
      <c r="I1012" s="38"/>
      <c r="J1012" s="38"/>
      <c r="K1012" s="38"/>
    </row>
    <row r="1013">
      <c r="A1013" s="38"/>
      <c r="B1013" s="38"/>
      <c r="C1013" s="38"/>
      <c r="D1013" s="38"/>
      <c r="E1013" s="38"/>
      <c r="F1013" s="38"/>
      <c r="G1013" s="38"/>
      <c r="H1013" s="38"/>
      <c r="I1013" s="38"/>
      <c r="J1013" s="38"/>
      <c r="K1013" s="38"/>
    </row>
    <row r="1014">
      <c r="A1014" s="38"/>
      <c r="B1014" s="38"/>
      <c r="C1014" s="38"/>
      <c r="D1014" s="38"/>
      <c r="E1014" s="38"/>
      <c r="F1014" s="38"/>
      <c r="G1014" s="38"/>
      <c r="H1014" s="38"/>
      <c r="I1014" s="38"/>
      <c r="J1014" s="38"/>
      <c r="K1014" s="38"/>
    </row>
    <row r="1015">
      <c r="A1015" s="38"/>
      <c r="B1015" s="38"/>
      <c r="C1015" s="38"/>
      <c r="D1015" s="38"/>
      <c r="E1015" s="38"/>
      <c r="F1015" s="38"/>
      <c r="G1015" s="38"/>
      <c r="H1015" s="38"/>
      <c r="I1015" s="38"/>
      <c r="J1015" s="38"/>
      <c r="K1015" s="38"/>
    </row>
    <row r="1016">
      <c r="A1016" s="38"/>
      <c r="B1016" s="38"/>
      <c r="C1016" s="38"/>
      <c r="D1016" s="38"/>
      <c r="E1016" s="38"/>
      <c r="F1016" s="38"/>
      <c r="G1016" s="38"/>
      <c r="H1016" s="38"/>
      <c r="I1016" s="38"/>
      <c r="J1016" s="38"/>
      <c r="K1016" s="38"/>
    </row>
    <row r="1017">
      <c r="A1017" s="38"/>
      <c r="B1017" s="38"/>
      <c r="C1017" s="38"/>
      <c r="D1017" s="38"/>
      <c r="E1017" s="38"/>
      <c r="F1017" s="38"/>
      <c r="G1017" s="38"/>
      <c r="H1017" s="38"/>
      <c r="I1017" s="38"/>
      <c r="J1017" s="38"/>
      <c r="K1017" s="38"/>
    </row>
    <row r="1018">
      <c r="A1018" s="38"/>
      <c r="B1018" s="38"/>
      <c r="C1018" s="38"/>
      <c r="D1018" s="38"/>
      <c r="E1018" s="38"/>
      <c r="F1018" s="38"/>
      <c r="G1018" s="38"/>
      <c r="H1018" s="38"/>
      <c r="I1018" s="38"/>
      <c r="J1018" s="38"/>
      <c r="K1018" s="38"/>
    </row>
    <row r="1019">
      <c r="A1019" s="38"/>
      <c r="B1019" s="38"/>
      <c r="C1019" s="38"/>
      <c r="D1019" s="38"/>
      <c r="E1019" s="38"/>
      <c r="F1019" s="38"/>
      <c r="G1019" s="38"/>
      <c r="H1019" s="38"/>
      <c r="I1019" s="38"/>
      <c r="J1019" s="38"/>
      <c r="K1019" s="38"/>
    </row>
    <row r="1020">
      <c r="A1020" s="38"/>
      <c r="B1020" s="38"/>
      <c r="C1020" s="38"/>
      <c r="D1020" s="38"/>
      <c r="E1020" s="38"/>
      <c r="F1020" s="38"/>
      <c r="G1020" s="38"/>
      <c r="H1020" s="38"/>
      <c r="I1020" s="38"/>
      <c r="J1020" s="38"/>
      <c r="K1020" s="38"/>
    </row>
    <row r="1021">
      <c r="A1021" s="38"/>
      <c r="B1021" s="38"/>
      <c r="C1021" s="38"/>
      <c r="D1021" s="38"/>
      <c r="E1021" s="38"/>
      <c r="F1021" s="38"/>
      <c r="G1021" s="38"/>
      <c r="H1021" s="38"/>
      <c r="I1021" s="38"/>
      <c r="J1021" s="38"/>
      <c r="K1021" s="38"/>
    </row>
    <row r="1022">
      <c r="A1022" s="38"/>
      <c r="B1022" s="38"/>
      <c r="C1022" s="38"/>
      <c r="D1022" s="38"/>
      <c r="E1022" s="38"/>
      <c r="F1022" s="38"/>
      <c r="G1022" s="38"/>
      <c r="H1022" s="38"/>
      <c r="I1022" s="38"/>
      <c r="J1022" s="38"/>
      <c r="K1022" s="38"/>
    </row>
    <row r="1023">
      <c r="A1023" s="38"/>
      <c r="B1023" s="38"/>
      <c r="C1023" s="38"/>
      <c r="D1023" s="38"/>
      <c r="E1023" s="38"/>
      <c r="F1023" s="38"/>
      <c r="G1023" s="38"/>
      <c r="H1023" s="38"/>
      <c r="I1023" s="38"/>
      <c r="J1023" s="38"/>
      <c r="K1023" s="38"/>
    </row>
    <row r="1024">
      <c r="A1024" s="38"/>
      <c r="B1024" s="38"/>
      <c r="C1024" s="38"/>
      <c r="D1024" s="38"/>
      <c r="E1024" s="38"/>
      <c r="F1024" s="38"/>
      <c r="G1024" s="38"/>
      <c r="H1024" s="38"/>
      <c r="I1024" s="38"/>
      <c r="J1024" s="38"/>
      <c r="K1024" s="38"/>
    </row>
    <row r="1025">
      <c r="A1025" s="38"/>
      <c r="B1025" s="38"/>
      <c r="C1025" s="38"/>
      <c r="D1025" s="38"/>
      <c r="E1025" s="38"/>
      <c r="F1025" s="38"/>
      <c r="G1025" s="38"/>
      <c r="H1025" s="38"/>
      <c r="I1025" s="38"/>
      <c r="J1025" s="38"/>
      <c r="K1025" s="38"/>
    </row>
    <row r="1026">
      <c r="A1026" s="38"/>
      <c r="B1026" s="38"/>
      <c r="C1026" s="38"/>
      <c r="D1026" s="38"/>
      <c r="E1026" s="38"/>
      <c r="F1026" s="38"/>
      <c r="G1026" s="38"/>
      <c r="H1026" s="38"/>
      <c r="I1026" s="38"/>
      <c r="J1026" s="38"/>
      <c r="K1026" s="38"/>
    </row>
    <row r="1027">
      <c r="A1027" s="38"/>
      <c r="B1027" s="38"/>
      <c r="C1027" s="38"/>
      <c r="D1027" s="38"/>
      <c r="E1027" s="38"/>
      <c r="F1027" s="38"/>
      <c r="G1027" s="38"/>
      <c r="H1027" s="38"/>
      <c r="I1027" s="38"/>
      <c r="J1027" s="38"/>
      <c r="K1027" s="38"/>
    </row>
    <row r="1028">
      <c r="A1028" s="38"/>
      <c r="B1028" s="38"/>
      <c r="C1028" s="38"/>
      <c r="D1028" s="38"/>
      <c r="E1028" s="38"/>
      <c r="F1028" s="38"/>
      <c r="G1028" s="38"/>
      <c r="H1028" s="38"/>
      <c r="I1028" s="38"/>
      <c r="J1028" s="38"/>
      <c r="K1028" s="38"/>
    </row>
    <row r="1029">
      <c r="A1029" s="38"/>
      <c r="B1029" s="38"/>
      <c r="C1029" s="38"/>
      <c r="D1029" s="38"/>
      <c r="E1029" s="38"/>
      <c r="F1029" s="38"/>
      <c r="G1029" s="38"/>
      <c r="H1029" s="38"/>
      <c r="I1029" s="38"/>
      <c r="J1029" s="38"/>
      <c r="K1029" s="38"/>
    </row>
    <row r="1030">
      <c r="A1030" s="38"/>
      <c r="B1030" s="38"/>
      <c r="C1030" s="38"/>
      <c r="D1030" s="38"/>
      <c r="E1030" s="38"/>
      <c r="F1030" s="38"/>
      <c r="G1030" s="38"/>
      <c r="H1030" s="38"/>
      <c r="I1030" s="38"/>
      <c r="J1030" s="38"/>
      <c r="K1030" s="38"/>
    </row>
    <row r="1031">
      <c r="A1031" s="38"/>
      <c r="B1031" s="38"/>
      <c r="C1031" s="38"/>
      <c r="D1031" s="38"/>
      <c r="E1031" s="38"/>
      <c r="F1031" s="38"/>
      <c r="G1031" s="38"/>
      <c r="H1031" s="38"/>
      <c r="I1031" s="38"/>
      <c r="J1031" s="38"/>
      <c r="K1031" s="38"/>
    </row>
    <row r="1032">
      <c r="A1032" s="38"/>
      <c r="B1032" s="38"/>
      <c r="C1032" s="38"/>
      <c r="D1032" s="38"/>
      <c r="E1032" s="38"/>
      <c r="F1032" s="38"/>
      <c r="G1032" s="38"/>
      <c r="H1032" s="38"/>
      <c r="I1032" s="38"/>
      <c r="J1032" s="38"/>
      <c r="K1032" s="38"/>
    </row>
    <row r="1033">
      <c r="A1033" s="38"/>
      <c r="B1033" s="38"/>
      <c r="C1033" s="38"/>
      <c r="D1033" s="38"/>
      <c r="E1033" s="38"/>
      <c r="F1033" s="38"/>
      <c r="G1033" s="38"/>
      <c r="H1033" s="38"/>
      <c r="I1033" s="38"/>
      <c r="J1033" s="38"/>
      <c r="K1033" s="38"/>
    </row>
    <row r="1034">
      <c r="A1034" s="38"/>
      <c r="B1034" s="38"/>
      <c r="C1034" s="38"/>
      <c r="D1034" s="38"/>
      <c r="E1034" s="38"/>
      <c r="F1034" s="38"/>
      <c r="G1034" s="38"/>
      <c r="H1034" s="38"/>
      <c r="I1034" s="38"/>
      <c r="J1034" s="38"/>
      <c r="K1034" s="38"/>
    </row>
    <row r="1035">
      <c r="A1035" s="38"/>
      <c r="B1035" s="38"/>
      <c r="C1035" s="38"/>
      <c r="D1035" s="38"/>
      <c r="E1035" s="38"/>
      <c r="F1035" s="38"/>
      <c r="G1035" s="38"/>
      <c r="H1035" s="38"/>
      <c r="I1035" s="38"/>
      <c r="J1035" s="38"/>
      <c r="K1035" s="38"/>
    </row>
    <row r="1036">
      <c r="A1036" s="38"/>
      <c r="B1036" s="38"/>
      <c r="C1036" s="38"/>
      <c r="D1036" s="38"/>
      <c r="E1036" s="38"/>
      <c r="F1036" s="38"/>
      <c r="G1036" s="38"/>
      <c r="H1036" s="38"/>
      <c r="I1036" s="38"/>
      <c r="J1036" s="38"/>
      <c r="K1036" s="38"/>
    </row>
    <row r="1037">
      <c r="A1037" s="38"/>
      <c r="B1037" s="38"/>
      <c r="C1037" s="38"/>
      <c r="D1037" s="38"/>
      <c r="E1037" s="38"/>
      <c r="F1037" s="38"/>
      <c r="G1037" s="38"/>
      <c r="H1037" s="38"/>
      <c r="I1037" s="38"/>
      <c r="J1037" s="38"/>
      <c r="K1037" s="38"/>
    </row>
    <row r="1038">
      <c r="A1038" s="38"/>
      <c r="B1038" s="38"/>
      <c r="C1038" s="38"/>
      <c r="D1038" s="38"/>
      <c r="E1038" s="38"/>
      <c r="F1038" s="38"/>
      <c r="G1038" s="38"/>
      <c r="H1038" s="38"/>
      <c r="I1038" s="38"/>
      <c r="J1038" s="38"/>
      <c r="K1038" s="38"/>
    </row>
    <row r="1039">
      <c r="A1039" s="38"/>
      <c r="B1039" s="38"/>
      <c r="C1039" s="38"/>
      <c r="D1039" s="38"/>
      <c r="E1039" s="38"/>
      <c r="F1039" s="38"/>
      <c r="G1039" s="38"/>
      <c r="H1039" s="38"/>
      <c r="I1039" s="38"/>
      <c r="J1039" s="38"/>
      <c r="K1039" s="38"/>
    </row>
    <row r="1040">
      <c r="A1040" s="38"/>
      <c r="B1040" s="38"/>
      <c r="C1040" s="38"/>
      <c r="D1040" s="38"/>
      <c r="E1040" s="38"/>
      <c r="F1040" s="38"/>
      <c r="G1040" s="38"/>
      <c r="H1040" s="38"/>
      <c r="I1040" s="38"/>
      <c r="J1040" s="38"/>
      <c r="K1040" s="38"/>
    </row>
    <row r="1041">
      <c r="A1041" s="38"/>
      <c r="B1041" s="38"/>
      <c r="C1041" s="38"/>
      <c r="D1041" s="38"/>
      <c r="E1041" s="38"/>
      <c r="F1041" s="38"/>
      <c r="G1041" s="38"/>
      <c r="H1041" s="38"/>
      <c r="I1041" s="38"/>
      <c r="J1041" s="38"/>
      <c r="K1041" s="38"/>
    </row>
    <row r="1042">
      <c r="A1042" s="38"/>
      <c r="B1042" s="38"/>
      <c r="C1042" s="38"/>
      <c r="D1042" s="38"/>
      <c r="E1042" s="38"/>
      <c r="F1042" s="38"/>
      <c r="G1042" s="38"/>
      <c r="H1042" s="38"/>
      <c r="I1042" s="38"/>
      <c r="J1042" s="38"/>
      <c r="K1042" s="38"/>
    </row>
    <row r="1043">
      <c r="A1043" s="38"/>
      <c r="B1043" s="38"/>
      <c r="C1043" s="38"/>
      <c r="D1043" s="38"/>
      <c r="E1043" s="38"/>
      <c r="F1043" s="38"/>
      <c r="G1043" s="38"/>
      <c r="H1043" s="38"/>
      <c r="I1043" s="38"/>
      <c r="J1043" s="38"/>
      <c r="K1043" s="38"/>
    </row>
    <row r="1044">
      <c r="A1044" s="38"/>
      <c r="B1044" s="38"/>
      <c r="C1044" s="38"/>
      <c r="D1044" s="38"/>
      <c r="E1044" s="38"/>
      <c r="F1044" s="38"/>
      <c r="G1044" s="38"/>
      <c r="H1044" s="38"/>
      <c r="I1044" s="38"/>
      <c r="J1044" s="38"/>
      <c r="K1044" s="38"/>
    </row>
    <row r="1045">
      <c r="A1045" s="38"/>
      <c r="B1045" s="38"/>
      <c r="C1045" s="38"/>
      <c r="D1045" s="38"/>
      <c r="E1045" s="38"/>
      <c r="F1045" s="38"/>
      <c r="G1045" s="38"/>
      <c r="H1045" s="38"/>
      <c r="I1045" s="38"/>
      <c r="J1045" s="38"/>
      <c r="K1045" s="38"/>
    </row>
    <row r="1046">
      <c r="A1046" s="38"/>
      <c r="B1046" s="38"/>
      <c r="C1046" s="38"/>
      <c r="D1046" s="38"/>
      <c r="E1046" s="38"/>
      <c r="F1046" s="38"/>
      <c r="G1046" s="38"/>
      <c r="H1046" s="38"/>
      <c r="I1046" s="38"/>
      <c r="J1046" s="38"/>
      <c r="K1046" s="38"/>
    </row>
    <row r="1047">
      <c r="A1047" s="38"/>
      <c r="B1047" s="38"/>
      <c r="C1047" s="38"/>
      <c r="D1047" s="38"/>
      <c r="E1047" s="38"/>
      <c r="F1047" s="38"/>
      <c r="G1047" s="38"/>
      <c r="H1047" s="38"/>
      <c r="I1047" s="38"/>
      <c r="J1047" s="38"/>
      <c r="K1047" s="38"/>
    </row>
    <row r="1048">
      <c r="A1048" s="38"/>
      <c r="B1048" s="38"/>
      <c r="C1048" s="38"/>
      <c r="D1048" s="38"/>
      <c r="E1048" s="38"/>
      <c r="F1048" s="38"/>
      <c r="G1048" s="38"/>
      <c r="H1048" s="38"/>
      <c r="I1048" s="38"/>
      <c r="J1048" s="38"/>
      <c r="K1048" s="38"/>
    </row>
    <row r="1049">
      <c r="A1049" s="38"/>
      <c r="B1049" s="38"/>
      <c r="C1049" s="38"/>
      <c r="D1049" s="38"/>
      <c r="E1049" s="38"/>
      <c r="F1049" s="38"/>
      <c r="G1049" s="38"/>
      <c r="H1049" s="38"/>
      <c r="I1049" s="38"/>
      <c r="J1049" s="38"/>
      <c r="K1049" s="38"/>
    </row>
    <row r="1050">
      <c r="A1050" s="38"/>
      <c r="B1050" s="38"/>
      <c r="C1050" s="38"/>
      <c r="D1050" s="38"/>
      <c r="E1050" s="38"/>
      <c r="F1050" s="38"/>
      <c r="G1050" s="38"/>
      <c r="H1050" s="38"/>
      <c r="I1050" s="38"/>
      <c r="J1050" s="38"/>
      <c r="K1050" s="38"/>
    </row>
    <row r="1051">
      <c r="A1051" s="38"/>
      <c r="B1051" s="38"/>
      <c r="C1051" s="38"/>
      <c r="D1051" s="38"/>
      <c r="E1051" s="38"/>
      <c r="F1051" s="38"/>
      <c r="G1051" s="38"/>
      <c r="H1051" s="38"/>
      <c r="I1051" s="38"/>
      <c r="J1051" s="38"/>
      <c r="K1051" s="38"/>
    </row>
    <row r="1052">
      <c r="A1052" s="38"/>
      <c r="B1052" s="38"/>
      <c r="C1052" s="38"/>
      <c r="D1052" s="38"/>
      <c r="E1052" s="38"/>
      <c r="F1052" s="38"/>
      <c r="G1052" s="38"/>
      <c r="H1052" s="38"/>
      <c r="I1052" s="38"/>
      <c r="J1052" s="38"/>
      <c r="K1052" s="38"/>
    </row>
    <row r="1053">
      <c r="A1053" s="38"/>
      <c r="B1053" s="38"/>
      <c r="C1053" s="38"/>
      <c r="D1053" s="38"/>
      <c r="E1053" s="38"/>
      <c r="F1053" s="38"/>
      <c r="G1053" s="38"/>
      <c r="H1053" s="38"/>
      <c r="I1053" s="38"/>
      <c r="J1053" s="38"/>
      <c r="K1053" s="38"/>
    </row>
    <row r="1054">
      <c r="A1054" s="38"/>
      <c r="B1054" s="38"/>
      <c r="C1054" s="38"/>
      <c r="D1054" s="38"/>
      <c r="E1054" s="38"/>
      <c r="F1054" s="38"/>
      <c r="G1054" s="38"/>
      <c r="H1054" s="38"/>
      <c r="I1054" s="38"/>
      <c r="J1054" s="38"/>
      <c r="K1054" s="38"/>
    </row>
    <row r="1055">
      <c r="A1055" s="38"/>
      <c r="B1055" s="38"/>
      <c r="C1055" s="38"/>
      <c r="D1055" s="38"/>
      <c r="E1055" s="38"/>
      <c r="F1055" s="38"/>
      <c r="G1055" s="38"/>
      <c r="H1055" s="38"/>
      <c r="I1055" s="38"/>
      <c r="J1055" s="38"/>
      <c r="K1055" s="38"/>
    </row>
    <row r="1056">
      <c r="A1056" s="38"/>
      <c r="B1056" s="38"/>
      <c r="C1056" s="38"/>
      <c r="D1056" s="38"/>
      <c r="E1056" s="38"/>
      <c r="F1056" s="38"/>
      <c r="G1056" s="38"/>
      <c r="H1056" s="38"/>
      <c r="I1056" s="38"/>
      <c r="J1056" s="38"/>
      <c r="K1056" s="38"/>
    </row>
    <row r="1057">
      <c r="A1057" s="38"/>
      <c r="B1057" s="38"/>
      <c r="C1057" s="38"/>
      <c r="D1057" s="38"/>
      <c r="E1057" s="38"/>
      <c r="F1057" s="38"/>
      <c r="G1057" s="38"/>
      <c r="H1057" s="38"/>
      <c r="I1057" s="38"/>
      <c r="J1057" s="38"/>
      <c r="K1057" s="38"/>
    </row>
    <row r="1058">
      <c r="A1058" s="38"/>
      <c r="B1058" s="38"/>
      <c r="C1058" s="38"/>
      <c r="D1058" s="38"/>
      <c r="E1058" s="38"/>
      <c r="F1058" s="38"/>
      <c r="G1058" s="38"/>
      <c r="H1058" s="38"/>
      <c r="I1058" s="38"/>
      <c r="J1058" s="38"/>
      <c r="K1058" s="38"/>
    </row>
    <row r="1059">
      <c r="A1059" s="38"/>
      <c r="B1059" s="38"/>
      <c r="C1059" s="38"/>
      <c r="D1059" s="38"/>
      <c r="E1059" s="38"/>
      <c r="F1059" s="38"/>
      <c r="G1059" s="38"/>
      <c r="H1059" s="38"/>
      <c r="I1059" s="38"/>
      <c r="J1059" s="38"/>
      <c r="K1059" s="38"/>
    </row>
    <row r="1060">
      <c r="A1060" s="38"/>
      <c r="B1060" s="38"/>
      <c r="C1060" s="38"/>
      <c r="D1060" s="38"/>
      <c r="E1060" s="38"/>
      <c r="F1060" s="38"/>
      <c r="G1060" s="38"/>
      <c r="H1060" s="38"/>
      <c r="I1060" s="38"/>
      <c r="J1060" s="38"/>
      <c r="K1060" s="38"/>
    </row>
    <row r="1061">
      <c r="A1061" s="38"/>
      <c r="B1061" s="38"/>
      <c r="C1061" s="38"/>
      <c r="D1061" s="38"/>
      <c r="E1061" s="38"/>
      <c r="F1061" s="38"/>
      <c r="G1061" s="38"/>
      <c r="H1061" s="38"/>
      <c r="I1061" s="38"/>
      <c r="J1061" s="38"/>
      <c r="K1061" s="38"/>
    </row>
    <row r="1062">
      <c r="A1062" s="38"/>
      <c r="B1062" s="38"/>
      <c r="C1062" s="38"/>
      <c r="D1062" s="38"/>
      <c r="E1062" s="38"/>
      <c r="F1062" s="38"/>
      <c r="G1062" s="38"/>
      <c r="H1062" s="38"/>
      <c r="I1062" s="38"/>
      <c r="J1062" s="38"/>
      <c r="K1062" s="38"/>
    </row>
    <row r="1063">
      <c r="A1063" s="38"/>
      <c r="B1063" s="38"/>
      <c r="C1063" s="38"/>
      <c r="D1063" s="38"/>
      <c r="E1063" s="38"/>
      <c r="F1063" s="38"/>
      <c r="G1063" s="38"/>
      <c r="H1063" s="38"/>
      <c r="I1063" s="38"/>
      <c r="J1063" s="38"/>
      <c r="K1063" s="38"/>
    </row>
    <row r="1064">
      <c r="A1064" s="38"/>
      <c r="B1064" s="38"/>
      <c r="C1064" s="38"/>
      <c r="D1064" s="38"/>
      <c r="E1064" s="38"/>
      <c r="F1064" s="38"/>
      <c r="G1064" s="38"/>
      <c r="H1064" s="38"/>
      <c r="I1064" s="38"/>
      <c r="J1064" s="38"/>
      <c r="K1064" s="38"/>
    </row>
    <row r="1065">
      <c r="A1065" s="38"/>
      <c r="B1065" s="38"/>
      <c r="C1065" s="38"/>
      <c r="D1065" s="38"/>
      <c r="E1065" s="38"/>
      <c r="F1065" s="38"/>
      <c r="G1065" s="38"/>
      <c r="H1065" s="38"/>
      <c r="I1065" s="38"/>
      <c r="J1065" s="38"/>
      <c r="K1065" s="38"/>
    </row>
    <row r="1066">
      <c r="A1066" s="38"/>
      <c r="B1066" s="38"/>
      <c r="C1066" s="38"/>
      <c r="D1066" s="38"/>
      <c r="E1066" s="38"/>
      <c r="F1066" s="38"/>
      <c r="G1066" s="38"/>
      <c r="H1066" s="38"/>
      <c r="I1066" s="38"/>
      <c r="J1066" s="38"/>
      <c r="K1066" s="38"/>
    </row>
    <row r="1067">
      <c r="A1067" s="38"/>
      <c r="B1067" s="38"/>
      <c r="C1067" s="38"/>
      <c r="D1067" s="38"/>
      <c r="E1067" s="38"/>
      <c r="F1067" s="38"/>
      <c r="G1067" s="38"/>
      <c r="H1067" s="38"/>
      <c r="I1067" s="38"/>
      <c r="J1067" s="38"/>
      <c r="K1067" s="38"/>
    </row>
    <row r="1068">
      <c r="A1068" s="38"/>
      <c r="B1068" s="38"/>
      <c r="C1068" s="38"/>
      <c r="D1068" s="38"/>
      <c r="E1068" s="38"/>
      <c r="F1068" s="38"/>
      <c r="G1068" s="38"/>
      <c r="H1068" s="38"/>
      <c r="I1068" s="38"/>
      <c r="J1068" s="38"/>
      <c r="K1068" s="38"/>
    </row>
    <row r="1069">
      <c r="A1069" s="38"/>
      <c r="B1069" s="38"/>
      <c r="C1069" s="38"/>
      <c r="D1069" s="38"/>
      <c r="E1069" s="38"/>
      <c r="F1069" s="38"/>
      <c r="G1069" s="38"/>
      <c r="H1069" s="38"/>
      <c r="I1069" s="38"/>
      <c r="J1069" s="38"/>
      <c r="K1069" s="38"/>
    </row>
    <row r="1070">
      <c r="A1070" s="38"/>
      <c r="B1070" s="38"/>
      <c r="C1070" s="38"/>
      <c r="D1070" s="38"/>
      <c r="E1070" s="38"/>
      <c r="F1070" s="38"/>
      <c r="G1070" s="38"/>
      <c r="H1070" s="38"/>
      <c r="I1070" s="38"/>
      <c r="J1070" s="38"/>
      <c r="K1070" s="38"/>
    </row>
    <row r="1071">
      <c r="A1071" s="38"/>
      <c r="B1071" s="38"/>
      <c r="C1071" s="38"/>
      <c r="D1071" s="38"/>
      <c r="E1071" s="38"/>
      <c r="F1071" s="38"/>
      <c r="G1071" s="38"/>
      <c r="H1071" s="38"/>
      <c r="I1071" s="38"/>
      <c r="J1071" s="38"/>
      <c r="K1071" s="38"/>
    </row>
    <row r="1072">
      <c r="A1072" s="38"/>
      <c r="B1072" s="38"/>
      <c r="C1072" s="38"/>
      <c r="D1072" s="38"/>
      <c r="E1072" s="38"/>
      <c r="F1072" s="38"/>
      <c r="G1072" s="38"/>
      <c r="H1072" s="38"/>
      <c r="I1072" s="38"/>
      <c r="J1072" s="38"/>
      <c r="K1072" s="38"/>
    </row>
    <row r="1073">
      <c r="A1073" s="38"/>
      <c r="B1073" s="38"/>
      <c r="C1073" s="38"/>
      <c r="D1073" s="38"/>
      <c r="E1073" s="38"/>
      <c r="F1073" s="38"/>
      <c r="G1073" s="38"/>
      <c r="H1073" s="38"/>
      <c r="I1073" s="38"/>
      <c r="J1073" s="38"/>
      <c r="K1073" s="38"/>
    </row>
    <row r="1074">
      <c r="A1074" s="38"/>
      <c r="B1074" s="38"/>
      <c r="C1074" s="38"/>
      <c r="D1074" s="38"/>
      <c r="E1074" s="38"/>
      <c r="F1074" s="38"/>
      <c r="G1074" s="38"/>
      <c r="H1074" s="38"/>
      <c r="I1074" s="38"/>
      <c r="J1074" s="38"/>
      <c r="K1074" s="38"/>
    </row>
    <row r="1075">
      <c r="A1075" s="38"/>
      <c r="B1075" s="38"/>
      <c r="C1075" s="38"/>
      <c r="D1075" s="38"/>
      <c r="E1075" s="38"/>
      <c r="F1075" s="38"/>
      <c r="G1075" s="38"/>
      <c r="H1075" s="38"/>
      <c r="I1075" s="38"/>
      <c r="J1075" s="38"/>
      <c r="K1075" s="38"/>
    </row>
    <row r="1076">
      <c r="A1076" s="38"/>
      <c r="B1076" s="38"/>
      <c r="C1076" s="38"/>
      <c r="D1076" s="38"/>
      <c r="E1076" s="38"/>
      <c r="F1076" s="38"/>
      <c r="G1076" s="38"/>
      <c r="H1076" s="38"/>
      <c r="I1076" s="38"/>
      <c r="J1076" s="38"/>
      <c r="K1076" s="38"/>
    </row>
    <row r="1077">
      <c r="A1077" s="38"/>
      <c r="B1077" s="38"/>
      <c r="C1077" s="38"/>
      <c r="D1077" s="38"/>
      <c r="E1077" s="38"/>
      <c r="F1077" s="38"/>
      <c r="G1077" s="38"/>
      <c r="H1077" s="38"/>
      <c r="I1077" s="38"/>
      <c r="J1077" s="38"/>
      <c r="K1077" s="38"/>
    </row>
    <row r="1078">
      <c r="A1078" s="38"/>
      <c r="B1078" s="38"/>
      <c r="C1078" s="38"/>
      <c r="D1078" s="38"/>
      <c r="E1078" s="38"/>
      <c r="F1078" s="38"/>
      <c r="G1078" s="38"/>
      <c r="H1078" s="38"/>
      <c r="I1078" s="38"/>
      <c r="J1078" s="38"/>
      <c r="K1078" s="38"/>
    </row>
    <row r="1079">
      <c r="A1079" s="38"/>
      <c r="B1079" s="38"/>
      <c r="C1079" s="38"/>
      <c r="D1079" s="38"/>
      <c r="E1079" s="38"/>
      <c r="F1079" s="38"/>
      <c r="G1079" s="38"/>
      <c r="H1079" s="38"/>
      <c r="I1079" s="38"/>
      <c r="J1079" s="38"/>
      <c r="K1079" s="38"/>
    </row>
    <row r="1080">
      <c r="A1080" s="38"/>
      <c r="B1080" s="38"/>
      <c r="C1080" s="38"/>
      <c r="D1080" s="38"/>
      <c r="E1080" s="38"/>
      <c r="F1080" s="38"/>
      <c r="G1080" s="38"/>
      <c r="H1080" s="38"/>
      <c r="I1080" s="38"/>
      <c r="J1080" s="38"/>
      <c r="K1080" s="38"/>
    </row>
    <row r="1081">
      <c r="A1081" s="38"/>
      <c r="B1081" s="38"/>
      <c r="C1081" s="38"/>
      <c r="D1081" s="38"/>
      <c r="E1081" s="38"/>
      <c r="F1081" s="38"/>
      <c r="G1081" s="38"/>
      <c r="H1081" s="38"/>
      <c r="I1081" s="38"/>
      <c r="J1081" s="38"/>
      <c r="K1081" s="38"/>
    </row>
    <row r="1082">
      <c r="A1082" s="38"/>
      <c r="B1082" s="38"/>
      <c r="C1082" s="38"/>
      <c r="D1082" s="38"/>
      <c r="E1082" s="38"/>
      <c r="F1082" s="38"/>
      <c r="G1082" s="38"/>
      <c r="H1082" s="38"/>
      <c r="I1082" s="38"/>
      <c r="J1082" s="38"/>
      <c r="K1082" s="38"/>
    </row>
    <row r="1083">
      <c r="A1083" s="38"/>
      <c r="B1083" s="38"/>
      <c r="C1083" s="38"/>
      <c r="D1083" s="38"/>
      <c r="E1083" s="38"/>
      <c r="F1083" s="38"/>
      <c r="G1083" s="38"/>
      <c r="H1083" s="38"/>
      <c r="I1083" s="38"/>
      <c r="J1083" s="38"/>
      <c r="K1083" s="38"/>
    </row>
    <row r="1084">
      <c r="A1084" s="38"/>
      <c r="B1084" s="38"/>
      <c r="C1084" s="38"/>
      <c r="D1084" s="38"/>
      <c r="E1084" s="38"/>
      <c r="F1084" s="38"/>
      <c r="G1084" s="38"/>
      <c r="H1084" s="38"/>
      <c r="I1084" s="38"/>
      <c r="J1084" s="38"/>
      <c r="K1084" s="38"/>
    </row>
    <row r="1085">
      <c r="A1085" s="38"/>
      <c r="B1085" s="38"/>
      <c r="C1085" s="38"/>
      <c r="D1085" s="38"/>
      <c r="E1085" s="38"/>
      <c r="F1085" s="38"/>
      <c r="G1085" s="38"/>
      <c r="H1085" s="38"/>
      <c r="I1085" s="38"/>
      <c r="J1085" s="38"/>
      <c r="K1085" s="38"/>
    </row>
    <row r="1086">
      <c r="A1086" s="38"/>
      <c r="B1086" s="38"/>
      <c r="C1086" s="38"/>
      <c r="D1086" s="38"/>
      <c r="E1086" s="38"/>
      <c r="F1086" s="38"/>
      <c r="G1086" s="38"/>
      <c r="H1086" s="38"/>
      <c r="I1086" s="38"/>
      <c r="J1086" s="38"/>
      <c r="K1086" s="38"/>
    </row>
    <row r="1087">
      <c r="A1087" s="38"/>
      <c r="B1087" s="38"/>
      <c r="C1087" s="38"/>
      <c r="D1087" s="38"/>
      <c r="E1087" s="38"/>
      <c r="F1087" s="38"/>
      <c r="G1087" s="38"/>
      <c r="H1087" s="38"/>
      <c r="I1087" s="38"/>
      <c r="J1087" s="38"/>
      <c r="K1087" s="38"/>
    </row>
    <row r="1088">
      <c r="A1088" s="38"/>
      <c r="B1088" s="38"/>
      <c r="C1088" s="38"/>
      <c r="D1088" s="38"/>
      <c r="E1088" s="38"/>
      <c r="F1088" s="38"/>
      <c r="G1088" s="38"/>
      <c r="H1088" s="38"/>
      <c r="I1088" s="38"/>
      <c r="J1088" s="38"/>
      <c r="K1088" s="38"/>
    </row>
    <row r="1089">
      <c r="A1089" s="38"/>
      <c r="B1089" s="38"/>
      <c r="C1089" s="38"/>
      <c r="D1089" s="38"/>
      <c r="E1089" s="38"/>
      <c r="F1089" s="38"/>
      <c r="G1089" s="38"/>
      <c r="H1089" s="38"/>
      <c r="I1089" s="38"/>
      <c r="J1089" s="38"/>
      <c r="K1089" s="38"/>
    </row>
    <row r="1090">
      <c r="A1090" s="38"/>
      <c r="B1090" s="38"/>
      <c r="C1090" s="38"/>
      <c r="D1090" s="38"/>
      <c r="E1090" s="38"/>
      <c r="F1090" s="38"/>
      <c r="G1090" s="38"/>
      <c r="H1090" s="38"/>
      <c r="I1090" s="38"/>
      <c r="J1090" s="38"/>
      <c r="K1090" s="38"/>
    </row>
    <row r="1091">
      <c r="A1091" s="38"/>
      <c r="B1091" s="38"/>
      <c r="C1091" s="38"/>
      <c r="D1091" s="38"/>
      <c r="E1091" s="38"/>
      <c r="F1091" s="38"/>
      <c r="G1091" s="38"/>
      <c r="H1091" s="38"/>
      <c r="I1091" s="38"/>
      <c r="J1091" s="38"/>
      <c r="K1091" s="38"/>
    </row>
    <row r="1092">
      <c r="A1092" s="38"/>
      <c r="B1092" s="38"/>
      <c r="C1092" s="38"/>
      <c r="D1092" s="38"/>
      <c r="E1092" s="38"/>
      <c r="F1092" s="38"/>
      <c r="G1092" s="38"/>
      <c r="H1092" s="38"/>
      <c r="I1092" s="38"/>
      <c r="J1092" s="38"/>
      <c r="K1092" s="38"/>
    </row>
    <row r="1093">
      <c r="A1093" s="38"/>
      <c r="B1093" s="38"/>
      <c r="C1093" s="38"/>
      <c r="D1093" s="38"/>
      <c r="E1093" s="38"/>
      <c r="F1093" s="38"/>
      <c r="G1093" s="38"/>
      <c r="H1093" s="38"/>
      <c r="I1093" s="38"/>
      <c r="J1093" s="38"/>
      <c r="K1093" s="38"/>
    </row>
    <row r="1094">
      <c r="A1094" s="38"/>
      <c r="B1094" s="38"/>
      <c r="C1094" s="38"/>
      <c r="D1094" s="38"/>
      <c r="E1094" s="38"/>
      <c r="F1094" s="38"/>
      <c r="G1094" s="38"/>
      <c r="H1094" s="38"/>
      <c r="I1094" s="38"/>
      <c r="J1094" s="38"/>
      <c r="K1094" s="38"/>
    </row>
    <row r="1095">
      <c r="A1095" s="38"/>
      <c r="B1095" s="38"/>
      <c r="C1095" s="38"/>
      <c r="D1095" s="38"/>
      <c r="E1095" s="38"/>
      <c r="F1095" s="38"/>
      <c r="G1095" s="38"/>
      <c r="H1095" s="38"/>
      <c r="I1095" s="38"/>
      <c r="J1095" s="38"/>
      <c r="K1095" s="38"/>
    </row>
    <row r="1096">
      <c r="A1096" s="38"/>
      <c r="B1096" s="38"/>
      <c r="C1096" s="38"/>
      <c r="D1096" s="38"/>
      <c r="E1096" s="38"/>
      <c r="F1096" s="38"/>
      <c r="G1096" s="38"/>
      <c r="H1096" s="38"/>
      <c r="I1096" s="38"/>
      <c r="J1096" s="38"/>
      <c r="K1096" s="38"/>
    </row>
    <row r="1097">
      <c r="A1097" s="38"/>
      <c r="B1097" s="38"/>
      <c r="C1097" s="38"/>
      <c r="D1097" s="38"/>
      <c r="E1097" s="38"/>
      <c r="F1097" s="38"/>
      <c r="G1097" s="38"/>
      <c r="H1097" s="38"/>
      <c r="I1097" s="38"/>
      <c r="J1097" s="38"/>
      <c r="K1097" s="38"/>
    </row>
    <row r="1098">
      <c r="A1098" s="38"/>
      <c r="B1098" s="38"/>
      <c r="C1098" s="38"/>
      <c r="D1098" s="38"/>
      <c r="E1098" s="38"/>
      <c r="F1098" s="38"/>
      <c r="G1098" s="38"/>
      <c r="H1098" s="38"/>
      <c r="I1098" s="38"/>
      <c r="J1098" s="38"/>
      <c r="K1098" s="38"/>
    </row>
    <row r="1099">
      <c r="A1099" s="38"/>
      <c r="B1099" s="38"/>
      <c r="C1099" s="38"/>
      <c r="D1099" s="38"/>
      <c r="E1099" s="38"/>
      <c r="F1099" s="38"/>
      <c r="G1099" s="38"/>
      <c r="H1099" s="38"/>
      <c r="I1099" s="38"/>
      <c r="J1099" s="38"/>
      <c r="K1099" s="38"/>
    </row>
    <row r="1100">
      <c r="A1100" s="38"/>
      <c r="B1100" s="38"/>
      <c r="C1100" s="38"/>
      <c r="D1100" s="38"/>
      <c r="E1100" s="38"/>
      <c r="F1100" s="38"/>
      <c r="G1100" s="38"/>
      <c r="H1100" s="38"/>
      <c r="I1100" s="38"/>
      <c r="J1100" s="38"/>
      <c r="K1100" s="38"/>
    </row>
    <row r="1101">
      <c r="A1101" s="38"/>
      <c r="B1101" s="38"/>
      <c r="C1101" s="38"/>
      <c r="D1101" s="38"/>
      <c r="E1101" s="38"/>
      <c r="F1101" s="38"/>
      <c r="G1101" s="38"/>
      <c r="H1101" s="38"/>
      <c r="I1101" s="38"/>
      <c r="J1101" s="38"/>
      <c r="K1101" s="38"/>
    </row>
    <row r="1102">
      <c r="A1102" s="38"/>
      <c r="B1102" s="38"/>
      <c r="C1102" s="38"/>
      <c r="D1102" s="38"/>
      <c r="E1102" s="38"/>
      <c r="F1102" s="38"/>
      <c r="G1102" s="38"/>
      <c r="H1102" s="38"/>
      <c r="I1102" s="38"/>
      <c r="J1102" s="38"/>
      <c r="K1102" s="38"/>
    </row>
    <row r="1103">
      <c r="A1103" s="38"/>
      <c r="B1103" s="38"/>
      <c r="C1103" s="38"/>
      <c r="D1103" s="38"/>
      <c r="E1103" s="38"/>
      <c r="F1103" s="38"/>
      <c r="G1103" s="38"/>
      <c r="H1103" s="38"/>
      <c r="I1103" s="38"/>
      <c r="J1103" s="38"/>
      <c r="K1103" s="38"/>
    </row>
    <row r="1104">
      <c r="A1104" s="38"/>
      <c r="B1104" s="38"/>
      <c r="C1104" s="38"/>
      <c r="D1104" s="38"/>
      <c r="E1104" s="38"/>
      <c r="F1104" s="38"/>
      <c r="G1104" s="38"/>
      <c r="H1104" s="38"/>
      <c r="I1104" s="38"/>
      <c r="J1104" s="38"/>
      <c r="K1104" s="38"/>
    </row>
    <row r="1105">
      <c r="A1105" s="38"/>
      <c r="B1105" s="38"/>
      <c r="C1105" s="38"/>
      <c r="D1105" s="38"/>
      <c r="E1105" s="38"/>
      <c r="F1105" s="38"/>
      <c r="G1105" s="38"/>
      <c r="H1105" s="38"/>
      <c r="I1105" s="38"/>
      <c r="J1105" s="38"/>
      <c r="K1105" s="38"/>
    </row>
    <row r="1106">
      <c r="A1106" s="38"/>
      <c r="B1106" s="38"/>
      <c r="C1106" s="38"/>
      <c r="D1106" s="38"/>
      <c r="E1106" s="38"/>
      <c r="F1106" s="38"/>
      <c r="G1106" s="38"/>
      <c r="H1106" s="38"/>
      <c r="I1106" s="38"/>
      <c r="J1106" s="38"/>
      <c r="K1106" s="38"/>
    </row>
    <row r="1107">
      <c r="A1107" s="38"/>
      <c r="B1107" s="38"/>
      <c r="C1107" s="38"/>
      <c r="D1107" s="38"/>
      <c r="E1107" s="38"/>
      <c r="F1107" s="38"/>
      <c r="G1107" s="38"/>
      <c r="H1107" s="38"/>
      <c r="I1107" s="38"/>
      <c r="J1107" s="38"/>
      <c r="K1107" s="38"/>
    </row>
    <row r="1108">
      <c r="A1108" s="38"/>
      <c r="B1108" s="38"/>
      <c r="C1108" s="38"/>
      <c r="D1108" s="38"/>
      <c r="E1108" s="38"/>
      <c r="F1108" s="38"/>
      <c r="G1108" s="38"/>
      <c r="H1108" s="38"/>
      <c r="I1108" s="38"/>
      <c r="J1108" s="38"/>
      <c r="K1108" s="38"/>
    </row>
    <row r="1109">
      <c r="A1109" s="38"/>
      <c r="B1109" s="38"/>
      <c r="C1109" s="38"/>
      <c r="D1109" s="38"/>
      <c r="E1109" s="38"/>
      <c r="F1109" s="38"/>
      <c r="G1109" s="38"/>
      <c r="H1109" s="38"/>
      <c r="I1109" s="38"/>
      <c r="J1109" s="38"/>
      <c r="K1109" s="38"/>
    </row>
    <row r="1110">
      <c r="A1110" s="38"/>
      <c r="B1110" s="38"/>
      <c r="C1110" s="38"/>
      <c r="D1110" s="38"/>
      <c r="E1110" s="38"/>
      <c r="F1110" s="38"/>
      <c r="G1110" s="38"/>
      <c r="H1110" s="38"/>
      <c r="I1110" s="38"/>
      <c r="J1110" s="38"/>
      <c r="K1110" s="38"/>
    </row>
    <row r="1111">
      <c r="A1111" s="38"/>
      <c r="B1111" s="38"/>
      <c r="C1111" s="38"/>
      <c r="D1111" s="38"/>
      <c r="E1111" s="38"/>
      <c r="F1111" s="38"/>
      <c r="G1111" s="38"/>
      <c r="H1111" s="38"/>
      <c r="I1111" s="38"/>
      <c r="J1111" s="38"/>
      <c r="K1111" s="38"/>
    </row>
    <row r="1112">
      <c r="A1112" s="38"/>
      <c r="B1112" s="38"/>
      <c r="C1112" s="38"/>
      <c r="D1112" s="38"/>
      <c r="E1112" s="38"/>
      <c r="F1112" s="38"/>
      <c r="G1112" s="38"/>
      <c r="H1112" s="38"/>
      <c r="I1112" s="38"/>
      <c r="J1112" s="38"/>
      <c r="K1112" s="38"/>
    </row>
    <row r="1113">
      <c r="A1113" s="38"/>
      <c r="B1113" s="38"/>
      <c r="C1113" s="38"/>
      <c r="D1113" s="38"/>
      <c r="E1113" s="38"/>
      <c r="F1113" s="38"/>
      <c r="G1113" s="38"/>
      <c r="H1113" s="38"/>
      <c r="I1113" s="38"/>
      <c r="J1113" s="38"/>
      <c r="K1113" s="38"/>
    </row>
    <row r="1114">
      <c r="A1114" s="38"/>
      <c r="B1114" s="38"/>
      <c r="C1114" s="38"/>
      <c r="D1114" s="38"/>
      <c r="E1114" s="38"/>
      <c r="F1114" s="38"/>
      <c r="G1114" s="38"/>
      <c r="H1114" s="38"/>
      <c r="I1114" s="38"/>
      <c r="J1114" s="38"/>
      <c r="K1114" s="38"/>
    </row>
    <row r="1115">
      <c r="A1115" s="38"/>
      <c r="B1115" s="38"/>
      <c r="C1115" s="38"/>
      <c r="D1115" s="38"/>
      <c r="E1115" s="38"/>
      <c r="F1115" s="38"/>
      <c r="G1115" s="38"/>
      <c r="H1115" s="38"/>
      <c r="I1115" s="38"/>
      <c r="J1115" s="38"/>
      <c r="K1115" s="38"/>
    </row>
    <row r="1116">
      <c r="A1116" s="38"/>
      <c r="B1116" s="38"/>
      <c r="C1116" s="38"/>
      <c r="D1116" s="38"/>
      <c r="E1116" s="38"/>
      <c r="F1116" s="38"/>
      <c r="G1116" s="38"/>
      <c r="H1116" s="38"/>
      <c r="I1116" s="38"/>
      <c r="J1116" s="38"/>
      <c r="K1116" s="38"/>
    </row>
    <row r="1117">
      <c r="A1117" s="38"/>
      <c r="B1117" s="38"/>
      <c r="C1117" s="38"/>
      <c r="D1117" s="38"/>
      <c r="E1117" s="38"/>
      <c r="F1117" s="38"/>
      <c r="G1117" s="38"/>
      <c r="H1117" s="38"/>
      <c r="I1117" s="38"/>
      <c r="J1117" s="38"/>
      <c r="K1117" s="38"/>
    </row>
    <row r="1118">
      <c r="A1118" s="38"/>
      <c r="B1118" s="38"/>
      <c r="C1118" s="38"/>
      <c r="D1118" s="38"/>
      <c r="E1118" s="38"/>
      <c r="F1118" s="38"/>
      <c r="G1118" s="38"/>
      <c r="H1118" s="38"/>
      <c r="I1118" s="38"/>
      <c r="J1118" s="38"/>
      <c r="K1118" s="38"/>
    </row>
    <row r="1119">
      <c r="A1119" s="38"/>
      <c r="B1119" s="38"/>
      <c r="C1119" s="38"/>
      <c r="D1119" s="38"/>
      <c r="E1119" s="38"/>
      <c r="F1119" s="38"/>
      <c r="G1119" s="38"/>
      <c r="H1119" s="38"/>
      <c r="I1119" s="38"/>
      <c r="J1119" s="38"/>
      <c r="K1119" s="38"/>
    </row>
    <row r="1120">
      <c r="A1120" s="38"/>
      <c r="B1120" s="38"/>
      <c r="C1120" s="38"/>
      <c r="D1120" s="38"/>
      <c r="E1120" s="38"/>
      <c r="F1120" s="38"/>
      <c r="G1120" s="38"/>
      <c r="H1120" s="38"/>
      <c r="I1120" s="38"/>
      <c r="J1120" s="38"/>
      <c r="K1120" s="38"/>
    </row>
    <row r="1121">
      <c r="A1121" s="38"/>
      <c r="B1121" s="38"/>
      <c r="C1121" s="38"/>
      <c r="D1121" s="38"/>
      <c r="E1121" s="38"/>
      <c r="F1121" s="38"/>
      <c r="G1121" s="38"/>
      <c r="H1121" s="38"/>
      <c r="I1121" s="38"/>
      <c r="J1121" s="38"/>
      <c r="K1121" s="38"/>
    </row>
    <row r="1122">
      <c r="A1122" s="38"/>
      <c r="B1122" s="38"/>
      <c r="C1122" s="38"/>
      <c r="D1122" s="38"/>
      <c r="E1122" s="38"/>
      <c r="F1122" s="38"/>
      <c r="G1122" s="38"/>
      <c r="H1122" s="38"/>
      <c r="I1122" s="38"/>
      <c r="J1122" s="38"/>
      <c r="K1122" s="38"/>
    </row>
    <row r="1123">
      <c r="A1123" s="38"/>
      <c r="B1123" s="38"/>
      <c r="C1123" s="38"/>
      <c r="D1123" s="38"/>
      <c r="E1123" s="38"/>
      <c r="F1123" s="38"/>
      <c r="G1123" s="38"/>
      <c r="H1123" s="38"/>
      <c r="I1123" s="38"/>
      <c r="J1123" s="38"/>
      <c r="K1123" s="38"/>
    </row>
    <row r="1124">
      <c r="A1124" s="38"/>
      <c r="B1124" s="38"/>
      <c r="C1124" s="38"/>
      <c r="D1124" s="38"/>
      <c r="E1124" s="38"/>
      <c r="F1124" s="38"/>
      <c r="G1124" s="38"/>
      <c r="H1124" s="38"/>
      <c r="I1124" s="38"/>
      <c r="J1124" s="38"/>
      <c r="K1124" s="38"/>
    </row>
    <row r="1125">
      <c r="A1125" s="38"/>
      <c r="B1125" s="38"/>
      <c r="C1125" s="38"/>
      <c r="D1125" s="38"/>
      <c r="E1125" s="38"/>
      <c r="F1125" s="38"/>
      <c r="G1125" s="38"/>
      <c r="H1125" s="38"/>
      <c r="I1125" s="38"/>
      <c r="J1125" s="38"/>
      <c r="K1125" s="38"/>
    </row>
    <row r="1126">
      <c r="A1126" s="38"/>
      <c r="B1126" s="38"/>
      <c r="C1126" s="38"/>
      <c r="D1126" s="38"/>
      <c r="E1126" s="38"/>
      <c r="F1126" s="38"/>
      <c r="G1126" s="38"/>
      <c r="H1126" s="38"/>
      <c r="I1126" s="38"/>
      <c r="J1126" s="38"/>
      <c r="K1126" s="38"/>
    </row>
    <row r="1127">
      <c r="A1127" s="38"/>
      <c r="B1127" s="38"/>
      <c r="C1127" s="38"/>
      <c r="D1127" s="38"/>
      <c r="E1127" s="38"/>
      <c r="F1127" s="38"/>
      <c r="G1127" s="38"/>
      <c r="H1127" s="38"/>
      <c r="I1127" s="38"/>
      <c r="J1127" s="38"/>
      <c r="K1127" s="38"/>
    </row>
    <row r="1128">
      <c r="A1128" s="38"/>
      <c r="B1128" s="38"/>
      <c r="C1128" s="38"/>
      <c r="D1128" s="38"/>
      <c r="E1128" s="38"/>
      <c r="F1128" s="38"/>
      <c r="G1128" s="38"/>
      <c r="H1128" s="38"/>
      <c r="I1128" s="38"/>
      <c r="J1128" s="38"/>
      <c r="K1128" s="38"/>
    </row>
    <row r="1129">
      <c r="A1129" s="38"/>
      <c r="B1129" s="38"/>
      <c r="C1129" s="38"/>
      <c r="D1129" s="38"/>
      <c r="E1129" s="38"/>
      <c r="F1129" s="38"/>
      <c r="G1129" s="38"/>
      <c r="H1129" s="38"/>
      <c r="I1129" s="38"/>
      <c r="J1129" s="38"/>
      <c r="K1129" s="38"/>
    </row>
    <row r="1130">
      <c r="A1130" s="38"/>
      <c r="B1130" s="38"/>
      <c r="C1130" s="38"/>
      <c r="D1130" s="38"/>
      <c r="E1130" s="38"/>
      <c r="F1130" s="38"/>
      <c r="G1130" s="38"/>
      <c r="H1130" s="38"/>
      <c r="I1130" s="38"/>
      <c r="J1130" s="38"/>
      <c r="K1130" s="38"/>
    </row>
    <row r="1131">
      <c r="A1131" s="38"/>
      <c r="B1131" s="38"/>
      <c r="C1131" s="38"/>
      <c r="D1131" s="38"/>
      <c r="E1131" s="38"/>
      <c r="F1131" s="38"/>
      <c r="G1131" s="38"/>
      <c r="H1131" s="38"/>
      <c r="I1131" s="38"/>
      <c r="J1131" s="38"/>
      <c r="K1131" s="38"/>
    </row>
    <row r="1132">
      <c r="A1132" s="38"/>
      <c r="B1132" s="38"/>
      <c r="C1132" s="38"/>
      <c r="D1132" s="38"/>
      <c r="E1132" s="38"/>
      <c r="F1132" s="38"/>
      <c r="G1132" s="38"/>
      <c r="H1132" s="38"/>
      <c r="I1132" s="38"/>
      <c r="J1132" s="38"/>
      <c r="K1132" s="38"/>
    </row>
    <row r="1133">
      <c r="A1133" s="38"/>
      <c r="B1133" s="38"/>
      <c r="C1133" s="38"/>
      <c r="D1133" s="38"/>
      <c r="E1133" s="38"/>
      <c r="F1133" s="38"/>
      <c r="G1133" s="38"/>
      <c r="H1133" s="38"/>
      <c r="I1133" s="38"/>
      <c r="J1133" s="38"/>
      <c r="K1133" s="38"/>
    </row>
    <row r="1134">
      <c r="A1134" s="38"/>
      <c r="B1134" s="38"/>
      <c r="C1134" s="38"/>
      <c r="D1134" s="38"/>
      <c r="E1134" s="38"/>
      <c r="F1134" s="38"/>
      <c r="G1134" s="38"/>
      <c r="H1134" s="38"/>
      <c r="I1134" s="38"/>
      <c r="J1134" s="38"/>
      <c r="K1134" s="38"/>
    </row>
    <row r="1135">
      <c r="A1135" s="38"/>
      <c r="B1135" s="38"/>
      <c r="C1135" s="38"/>
      <c r="D1135" s="38"/>
      <c r="E1135" s="38"/>
      <c r="F1135" s="38"/>
      <c r="G1135" s="38"/>
      <c r="H1135" s="38"/>
      <c r="I1135" s="38"/>
      <c r="J1135" s="38"/>
      <c r="K1135" s="38"/>
    </row>
    <row r="1136">
      <c r="A1136" s="38"/>
      <c r="B1136" s="38"/>
      <c r="C1136" s="38"/>
      <c r="D1136" s="38"/>
      <c r="E1136" s="38"/>
      <c r="F1136" s="38"/>
      <c r="G1136" s="38"/>
      <c r="H1136" s="38"/>
      <c r="I1136" s="38"/>
      <c r="J1136" s="38"/>
      <c r="K1136" s="38"/>
    </row>
    <row r="1137">
      <c r="A1137" s="38"/>
      <c r="B1137" s="38"/>
      <c r="C1137" s="38"/>
      <c r="D1137" s="38"/>
      <c r="E1137" s="38"/>
      <c r="F1137" s="38"/>
      <c r="G1137" s="38"/>
      <c r="H1137" s="38"/>
      <c r="I1137" s="38"/>
      <c r="J1137" s="38"/>
      <c r="K1137" s="38"/>
    </row>
    <row r="1138">
      <c r="A1138" s="38"/>
      <c r="B1138" s="38"/>
      <c r="C1138" s="38"/>
      <c r="D1138" s="38"/>
      <c r="E1138" s="38"/>
      <c r="F1138" s="38"/>
      <c r="G1138" s="38"/>
      <c r="H1138" s="38"/>
      <c r="I1138" s="38"/>
      <c r="J1138" s="38"/>
      <c r="K1138" s="38"/>
    </row>
    <row r="1139">
      <c r="A1139" s="38"/>
      <c r="B1139" s="38"/>
      <c r="C1139" s="38"/>
      <c r="D1139" s="38"/>
      <c r="E1139" s="38"/>
      <c r="F1139" s="38"/>
      <c r="G1139" s="38"/>
      <c r="H1139" s="38"/>
      <c r="I1139" s="38"/>
      <c r="J1139" s="38"/>
      <c r="K1139" s="38"/>
    </row>
    <row r="1140">
      <c r="A1140" s="38"/>
      <c r="B1140" s="38"/>
      <c r="C1140" s="38"/>
      <c r="D1140" s="38"/>
      <c r="E1140" s="38"/>
      <c r="F1140" s="38"/>
      <c r="G1140" s="38"/>
      <c r="H1140" s="38"/>
      <c r="I1140" s="38"/>
      <c r="J1140" s="38"/>
      <c r="K1140" s="38"/>
    </row>
    <row r="1141">
      <c r="A1141" s="38"/>
      <c r="B1141" s="38"/>
      <c r="C1141" s="38"/>
      <c r="D1141" s="38"/>
      <c r="E1141" s="38"/>
      <c r="F1141" s="38"/>
      <c r="G1141" s="38"/>
      <c r="H1141" s="38"/>
      <c r="I1141" s="38"/>
      <c r="J1141" s="38"/>
      <c r="K1141" s="38"/>
    </row>
    <row r="1142">
      <c r="A1142" s="38"/>
      <c r="B1142" s="38"/>
      <c r="C1142" s="38"/>
      <c r="D1142" s="38"/>
      <c r="E1142" s="38"/>
      <c r="F1142" s="38"/>
      <c r="G1142" s="38"/>
      <c r="H1142" s="38"/>
      <c r="I1142" s="38"/>
      <c r="J1142" s="38"/>
      <c r="K1142" s="38"/>
    </row>
    <row r="1143">
      <c r="A1143" s="38"/>
      <c r="B1143" s="38"/>
      <c r="C1143" s="38"/>
      <c r="D1143" s="38"/>
      <c r="E1143" s="38"/>
      <c r="F1143" s="38"/>
      <c r="G1143" s="38"/>
      <c r="H1143" s="38"/>
      <c r="I1143" s="38"/>
      <c r="J1143" s="38"/>
      <c r="K1143" s="38"/>
    </row>
    <row r="1144">
      <c r="A1144" s="38"/>
      <c r="B1144" s="38"/>
      <c r="C1144" s="38"/>
      <c r="D1144" s="38"/>
      <c r="E1144" s="38"/>
      <c r="F1144" s="38"/>
      <c r="G1144" s="38"/>
      <c r="H1144" s="38"/>
      <c r="I1144" s="38"/>
      <c r="J1144" s="38"/>
      <c r="K1144" s="38"/>
    </row>
    <row r="1145">
      <c r="A1145" s="38"/>
      <c r="B1145" s="38"/>
      <c r="C1145" s="38"/>
      <c r="D1145" s="38"/>
      <c r="E1145" s="38"/>
      <c r="F1145" s="38"/>
      <c r="G1145" s="38"/>
      <c r="H1145" s="38"/>
      <c r="I1145" s="38"/>
      <c r="J1145" s="38"/>
      <c r="K1145" s="38"/>
    </row>
    <row r="1146">
      <c r="A1146" s="38"/>
      <c r="B1146" s="38"/>
      <c r="C1146" s="38"/>
      <c r="D1146" s="38"/>
      <c r="E1146" s="38"/>
      <c r="F1146" s="38"/>
      <c r="G1146" s="38"/>
      <c r="H1146" s="38"/>
      <c r="I1146" s="38"/>
      <c r="J1146" s="38"/>
      <c r="K1146" s="38"/>
    </row>
    <row r="1147">
      <c r="A1147" s="38"/>
      <c r="B1147" s="38"/>
      <c r="C1147" s="38"/>
      <c r="D1147" s="38"/>
      <c r="E1147" s="38"/>
      <c r="F1147" s="38"/>
      <c r="G1147" s="38"/>
      <c r="H1147" s="38"/>
      <c r="I1147" s="38"/>
      <c r="J1147" s="38"/>
      <c r="K1147" s="38"/>
    </row>
    <row r="1148">
      <c r="A1148" s="38"/>
      <c r="B1148" s="38"/>
      <c r="C1148" s="38"/>
      <c r="D1148" s="38"/>
      <c r="E1148" s="38"/>
      <c r="F1148" s="38"/>
      <c r="G1148" s="38"/>
      <c r="H1148" s="38"/>
      <c r="I1148" s="38"/>
      <c r="J1148" s="38"/>
      <c r="K1148" s="38"/>
    </row>
    <row r="1149">
      <c r="A1149" s="38"/>
      <c r="B1149" s="38"/>
      <c r="C1149" s="38"/>
      <c r="D1149" s="38"/>
      <c r="E1149" s="38"/>
      <c r="F1149" s="38"/>
      <c r="G1149" s="38"/>
      <c r="H1149" s="38"/>
      <c r="I1149" s="38"/>
      <c r="J1149" s="38"/>
      <c r="K1149" s="38"/>
    </row>
    <row r="1150">
      <c r="A1150" s="38"/>
      <c r="B1150" s="38"/>
      <c r="C1150" s="38"/>
      <c r="D1150" s="38"/>
      <c r="E1150" s="38"/>
      <c r="F1150" s="38"/>
      <c r="G1150" s="38"/>
      <c r="H1150" s="38"/>
      <c r="I1150" s="38"/>
      <c r="J1150" s="38"/>
      <c r="K1150" s="38"/>
    </row>
    <row r="1151">
      <c r="A1151" s="38"/>
      <c r="B1151" s="38"/>
      <c r="C1151" s="38"/>
      <c r="D1151" s="38"/>
      <c r="E1151" s="38"/>
      <c r="F1151" s="38"/>
      <c r="G1151" s="38"/>
      <c r="H1151" s="38"/>
      <c r="I1151" s="38"/>
      <c r="J1151" s="38"/>
      <c r="K1151" s="38"/>
    </row>
    <row r="1152">
      <c r="A1152" s="38"/>
      <c r="B1152" s="38"/>
      <c r="C1152" s="38"/>
      <c r="D1152" s="38"/>
      <c r="E1152" s="38"/>
      <c r="F1152" s="38"/>
      <c r="G1152" s="38"/>
      <c r="H1152" s="38"/>
      <c r="I1152" s="38"/>
      <c r="J1152" s="38"/>
      <c r="K1152" s="38"/>
    </row>
    <row r="1153">
      <c r="A1153" s="38"/>
      <c r="B1153" s="38"/>
      <c r="C1153" s="38"/>
      <c r="D1153" s="38"/>
      <c r="E1153" s="38"/>
      <c r="F1153" s="38"/>
      <c r="G1153" s="38"/>
      <c r="H1153" s="38"/>
      <c r="I1153" s="38"/>
      <c r="J1153" s="38"/>
      <c r="K1153" s="38"/>
    </row>
    <row r="1154">
      <c r="A1154" s="38"/>
      <c r="B1154" s="38"/>
      <c r="C1154" s="38"/>
      <c r="D1154" s="38"/>
      <c r="E1154" s="38"/>
      <c r="F1154" s="38"/>
      <c r="G1154" s="38"/>
      <c r="H1154" s="38"/>
      <c r="I1154" s="38"/>
      <c r="J1154" s="38"/>
      <c r="K1154" s="38"/>
    </row>
    <row r="1155">
      <c r="A1155" s="38"/>
      <c r="B1155" s="38"/>
      <c r="C1155" s="38"/>
      <c r="D1155" s="38"/>
      <c r="E1155" s="38"/>
      <c r="F1155" s="38"/>
      <c r="G1155" s="38"/>
      <c r="H1155" s="38"/>
      <c r="I1155" s="38"/>
      <c r="J1155" s="38"/>
      <c r="K1155" s="38"/>
    </row>
    <row r="1156">
      <c r="A1156" s="38"/>
      <c r="B1156" s="38"/>
      <c r="C1156" s="38"/>
      <c r="D1156" s="38"/>
      <c r="E1156" s="38"/>
      <c r="F1156" s="38"/>
      <c r="G1156" s="38"/>
      <c r="H1156" s="38"/>
      <c r="I1156" s="38"/>
      <c r="J1156" s="38"/>
      <c r="K1156" s="38"/>
    </row>
    <row r="1157">
      <c r="A1157" s="38"/>
      <c r="B1157" s="38"/>
      <c r="C1157" s="38"/>
      <c r="D1157" s="38"/>
      <c r="E1157" s="38"/>
      <c r="F1157" s="38"/>
      <c r="G1157" s="38"/>
      <c r="H1157" s="38"/>
      <c r="I1157" s="38"/>
      <c r="J1157" s="38"/>
      <c r="K1157" s="38"/>
    </row>
    <row r="1158">
      <c r="A1158" s="38"/>
      <c r="B1158" s="38"/>
      <c r="C1158" s="38"/>
      <c r="D1158" s="38"/>
      <c r="E1158" s="38"/>
      <c r="F1158" s="38"/>
      <c r="G1158" s="38"/>
      <c r="H1158" s="38"/>
      <c r="I1158" s="38"/>
      <c r="J1158" s="38"/>
      <c r="K1158" s="38"/>
    </row>
    <row r="1159">
      <c r="A1159" s="38"/>
      <c r="B1159" s="38"/>
      <c r="C1159" s="38"/>
      <c r="D1159" s="38"/>
      <c r="E1159" s="38"/>
      <c r="F1159" s="38"/>
      <c r="G1159" s="38"/>
      <c r="H1159" s="38"/>
      <c r="I1159" s="38"/>
      <c r="J1159" s="38"/>
      <c r="K1159" s="38"/>
    </row>
    <row r="1160">
      <c r="A1160" s="38"/>
      <c r="B1160" s="38"/>
      <c r="C1160" s="38"/>
      <c r="D1160" s="38"/>
      <c r="E1160" s="38"/>
      <c r="F1160" s="38"/>
      <c r="G1160" s="38"/>
      <c r="H1160" s="38"/>
      <c r="I1160" s="38"/>
      <c r="J1160" s="38"/>
      <c r="K1160" s="38"/>
    </row>
    <row r="1161">
      <c r="A1161" s="38"/>
      <c r="B1161" s="38"/>
      <c r="C1161" s="38"/>
      <c r="D1161" s="38"/>
      <c r="E1161" s="38"/>
      <c r="F1161" s="38"/>
      <c r="G1161" s="38"/>
      <c r="H1161" s="38"/>
      <c r="I1161" s="38"/>
      <c r="J1161" s="38"/>
      <c r="K1161" s="38"/>
    </row>
    <row r="1162">
      <c r="A1162" s="38"/>
      <c r="B1162" s="38"/>
      <c r="C1162" s="38"/>
      <c r="D1162" s="38"/>
      <c r="E1162" s="38"/>
      <c r="F1162" s="38"/>
      <c r="G1162" s="38"/>
      <c r="H1162" s="38"/>
      <c r="I1162" s="38"/>
      <c r="J1162" s="38"/>
      <c r="K1162" s="38"/>
    </row>
    <row r="1163">
      <c r="A1163" s="38"/>
      <c r="B1163" s="38"/>
      <c r="C1163" s="38"/>
      <c r="D1163" s="38"/>
      <c r="E1163" s="38"/>
      <c r="F1163" s="38"/>
      <c r="G1163" s="38"/>
      <c r="H1163" s="38"/>
      <c r="I1163" s="38"/>
      <c r="J1163" s="38"/>
      <c r="K1163" s="38"/>
    </row>
    <row r="1164">
      <c r="A1164" s="38"/>
      <c r="B1164" s="38"/>
      <c r="C1164" s="38"/>
      <c r="D1164" s="38"/>
      <c r="E1164" s="38"/>
      <c r="F1164" s="38"/>
      <c r="G1164" s="38"/>
      <c r="H1164" s="38"/>
      <c r="I1164" s="38"/>
      <c r="J1164" s="38"/>
      <c r="K1164" s="38"/>
    </row>
    <row r="1165">
      <c r="A1165" s="38"/>
      <c r="B1165" s="38"/>
      <c r="C1165" s="38"/>
      <c r="D1165" s="38"/>
      <c r="E1165" s="38"/>
      <c r="F1165" s="38"/>
      <c r="G1165" s="38"/>
      <c r="H1165" s="38"/>
      <c r="I1165" s="38"/>
      <c r="J1165" s="38"/>
      <c r="K1165" s="38"/>
    </row>
    <row r="1166">
      <c r="A1166" s="38"/>
      <c r="B1166" s="38"/>
      <c r="C1166" s="38"/>
      <c r="D1166" s="38"/>
      <c r="E1166" s="38"/>
      <c r="F1166" s="38"/>
      <c r="G1166" s="38"/>
      <c r="H1166" s="38"/>
      <c r="I1166" s="38"/>
      <c r="J1166" s="38"/>
      <c r="K1166" s="38"/>
    </row>
    <row r="1167">
      <c r="A1167" s="38"/>
      <c r="B1167" s="38"/>
      <c r="C1167" s="38"/>
      <c r="D1167" s="38"/>
      <c r="E1167" s="38"/>
      <c r="F1167" s="38"/>
      <c r="G1167" s="38"/>
      <c r="H1167" s="38"/>
      <c r="I1167" s="38"/>
      <c r="J1167" s="38"/>
      <c r="K1167" s="38"/>
    </row>
    <row r="1168">
      <c r="A1168" s="38"/>
      <c r="B1168" s="38"/>
      <c r="C1168" s="38"/>
      <c r="D1168" s="38"/>
      <c r="E1168" s="38"/>
      <c r="F1168" s="38"/>
      <c r="G1168" s="38"/>
      <c r="H1168" s="38"/>
      <c r="I1168" s="38"/>
      <c r="J1168" s="38"/>
      <c r="K1168" s="38"/>
    </row>
    <row r="1169">
      <c r="A1169" s="38"/>
      <c r="B1169" s="38"/>
      <c r="C1169" s="38"/>
      <c r="D1169" s="38"/>
      <c r="E1169" s="38"/>
      <c r="F1169" s="38"/>
      <c r="G1169" s="38"/>
      <c r="H1169" s="38"/>
      <c r="I1169" s="38"/>
      <c r="J1169" s="38"/>
      <c r="K1169" s="38"/>
    </row>
    <row r="1170">
      <c r="A1170" s="38"/>
      <c r="B1170" s="38"/>
      <c r="C1170" s="38"/>
      <c r="D1170" s="38"/>
      <c r="E1170" s="38"/>
      <c r="F1170" s="38"/>
      <c r="G1170" s="38"/>
      <c r="H1170" s="38"/>
      <c r="I1170" s="38"/>
      <c r="J1170" s="38"/>
      <c r="K1170" s="38"/>
    </row>
    <row r="1171">
      <c r="A1171" s="38"/>
      <c r="B1171" s="38"/>
      <c r="C1171" s="38"/>
      <c r="D1171" s="38"/>
      <c r="E1171" s="38"/>
      <c r="F1171" s="38"/>
      <c r="G1171" s="38"/>
      <c r="H1171" s="38"/>
      <c r="I1171" s="38"/>
      <c r="J1171" s="38"/>
      <c r="K1171" s="38"/>
    </row>
    <row r="1172">
      <c r="A1172" s="38"/>
      <c r="B1172" s="38"/>
      <c r="C1172" s="38"/>
      <c r="D1172" s="38"/>
      <c r="E1172" s="38"/>
      <c r="F1172" s="38"/>
      <c r="G1172" s="38"/>
      <c r="H1172" s="38"/>
      <c r="I1172" s="38"/>
      <c r="J1172" s="38"/>
      <c r="K1172" s="38"/>
    </row>
    <row r="1173">
      <c r="A1173" s="38"/>
      <c r="B1173" s="38"/>
      <c r="C1173" s="38"/>
      <c r="D1173" s="38"/>
      <c r="E1173" s="38"/>
      <c r="F1173" s="38"/>
      <c r="G1173" s="38"/>
      <c r="H1173" s="38"/>
      <c r="I1173" s="38"/>
      <c r="J1173" s="38"/>
      <c r="K1173" s="38"/>
    </row>
    <row r="1174">
      <c r="A1174" s="38"/>
      <c r="B1174" s="38"/>
      <c r="C1174" s="38"/>
      <c r="D1174" s="38"/>
      <c r="E1174" s="38"/>
      <c r="F1174" s="38"/>
      <c r="G1174" s="38"/>
      <c r="H1174" s="38"/>
      <c r="I1174" s="38"/>
      <c r="J1174" s="38"/>
      <c r="K1174" s="38"/>
    </row>
    <row r="1175">
      <c r="A1175" s="38"/>
      <c r="B1175" s="38"/>
      <c r="C1175" s="38"/>
      <c r="D1175" s="38"/>
      <c r="E1175" s="38"/>
      <c r="F1175" s="38"/>
      <c r="G1175" s="38"/>
      <c r="H1175" s="38"/>
      <c r="I1175" s="38"/>
      <c r="J1175" s="38"/>
      <c r="K1175" s="38"/>
    </row>
    <row r="1176">
      <c r="A1176" s="38"/>
      <c r="B1176" s="38"/>
      <c r="C1176" s="38"/>
      <c r="D1176" s="38"/>
      <c r="E1176" s="38"/>
      <c r="F1176" s="38"/>
      <c r="G1176" s="38"/>
      <c r="H1176" s="38"/>
      <c r="I1176" s="38"/>
      <c r="J1176" s="38"/>
      <c r="K1176" s="38"/>
    </row>
    <row r="1177">
      <c r="A1177" s="38"/>
      <c r="B1177" s="38"/>
      <c r="C1177" s="38"/>
      <c r="D1177" s="38"/>
      <c r="E1177" s="38"/>
      <c r="F1177" s="38"/>
      <c r="G1177" s="38"/>
      <c r="H1177" s="38"/>
      <c r="I1177" s="38"/>
      <c r="J1177" s="38"/>
      <c r="K1177" s="38"/>
    </row>
    <row r="1178">
      <c r="A1178" s="38"/>
      <c r="B1178" s="38"/>
      <c r="C1178" s="38"/>
      <c r="D1178" s="38"/>
      <c r="E1178" s="38"/>
      <c r="F1178" s="38"/>
      <c r="G1178" s="38"/>
      <c r="H1178" s="38"/>
      <c r="I1178" s="38"/>
      <c r="J1178" s="38"/>
      <c r="K1178" s="38"/>
    </row>
    <row r="1179">
      <c r="A1179" s="38"/>
      <c r="B1179" s="38"/>
      <c r="C1179" s="38"/>
      <c r="D1179" s="38"/>
      <c r="E1179" s="38"/>
      <c r="F1179" s="38"/>
      <c r="G1179" s="38"/>
      <c r="H1179" s="38"/>
      <c r="I1179" s="38"/>
      <c r="J1179" s="38"/>
      <c r="K1179" s="38"/>
    </row>
    <row r="1180">
      <c r="A1180" s="38"/>
      <c r="B1180" s="38"/>
      <c r="C1180" s="38"/>
      <c r="D1180" s="38"/>
      <c r="E1180" s="38"/>
      <c r="F1180" s="38"/>
      <c r="G1180" s="38"/>
      <c r="H1180" s="38"/>
      <c r="I1180" s="38"/>
      <c r="J1180" s="38"/>
      <c r="K1180" s="38"/>
    </row>
    <row r="1181">
      <c r="A1181" s="38"/>
      <c r="B1181" s="38"/>
      <c r="C1181" s="38"/>
      <c r="D1181" s="38"/>
      <c r="E1181" s="38"/>
      <c r="F1181" s="38"/>
      <c r="G1181" s="38"/>
      <c r="H1181" s="38"/>
      <c r="I1181" s="38"/>
      <c r="J1181" s="38"/>
      <c r="K1181" s="38"/>
    </row>
    <row r="1182">
      <c r="A1182" s="38"/>
      <c r="B1182" s="38"/>
      <c r="C1182" s="38"/>
      <c r="D1182" s="38"/>
      <c r="E1182" s="38"/>
      <c r="F1182" s="38"/>
      <c r="G1182" s="38"/>
      <c r="H1182" s="38"/>
      <c r="I1182" s="38"/>
      <c r="J1182" s="38"/>
      <c r="K1182" s="38"/>
    </row>
    <row r="1183">
      <c r="A1183" s="38"/>
      <c r="B1183" s="38"/>
      <c r="C1183" s="38"/>
      <c r="D1183" s="38"/>
      <c r="E1183" s="38"/>
      <c r="F1183" s="38"/>
      <c r="G1183" s="38"/>
      <c r="H1183" s="38"/>
      <c r="I1183" s="38"/>
      <c r="J1183" s="38"/>
      <c r="K1183" s="38"/>
    </row>
    <row r="1184">
      <c r="A1184" s="38"/>
      <c r="B1184" s="38"/>
      <c r="C1184" s="38"/>
      <c r="D1184" s="38"/>
      <c r="E1184" s="38"/>
      <c r="F1184" s="38"/>
      <c r="G1184" s="38"/>
      <c r="H1184" s="38"/>
      <c r="I1184" s="38"/>
      <c r="J1184" s="38"/>
      <c r="K1184" s="38"/>
    </row>
    <row r="1185">
      <c r="A1185" s="38"/>
      <c r="B1185" s="38"/>
      <c r="C1185" s="38"/>
      <c r="D1185" s="38"/>
      <c r="E1185" s="38"/>
      <c r="F1185" s="38"/>
      <c r="G1185" s="38"/>
      <c r="H1185" s="38"/>
      <c r="I1185" s="38"/>
      <c r="J1185" s="38"/>
      <c r="K1185" s="38"/>
    </row>
    <row r="1186">
      <c r="A1186" s="38"/>
      <c r="B1186" s="38"/>
      <c r="C1186" s="38"/>
      <c r="D1186" s="38"/>
      <c r="E1186" s="38"/>
      <c r="F1186" s="38"/>
      <c r="G1186" s="38"/>
      <c r="H1186" s="38"/>
      <c r="I1186" s="38"/>
      <c r="J1186" s="38"/>
      <c r="K1186" s="38"/>
    </row>
    <row r="1187">
      <c r="A1187" s="38"/>
      <c r="B1187" s="38"/>
      <c r="C1187" s="38"/>
      <c r="D1187" s="38"/>
      <c r="E1187" s="38"/>
      <c r="F1187" s="38"/>
      <c r="G1187" s="38"/>
      <c r="H1187" s="38"/>
      <c r="I1187" s="38"/>
      <c r="J1187" s="38"/>
      <c r="K1187" s="38"/>
    </row>
    <row r="1188">
      <c r="A1188" s="38"/>
      <c r="B1188" s="38"/>
      <c r="C1188" s="38"/>
      <c r="D1188" s="38"/>
      <c r="E1188" s="38"/>
      <c r="F1188" s="38"/>
      <c r="G1188" s="38"/>
      <c r="H1188" s="38"/>
      <c r="I1188" s="38"/>
      <c r="J1188" s="38"/>
      <c r="K1188" s="38"/>
    </row>
    <row r="1189">
      <c r="A1189" s="38"/>
      <c r="B1189" s="38"/>
      <c r="C1189" s="38"/>
      <c r="D1189" s="38"/>
      <c r="E1189" s="38"/>
      <c r="F1189" s="38"/>
      <c r="G1189" s="38"/>
      <c r="H1189" s="38"/>
      <c r="I1189" s="38"/>
      <c r="J1189" s="38"/>
      <c r="K1189" s="38"/>
    </row>
    <row r="1190">
      <c r="A1190" s="38"/>
      <c r="B1190" s="38"/>
      <c r="C1190" s="38"/>
      <c r="D1190" s="38"/>
      <c r="E1190" s="38"/>
      <c r="F1190" s="38"/>
      <c r="G1190" s="38"/>
      <c r="H1190" s="38"/>
      <c r="I1190" s="38"/>
      <c r="J1190" s="38"/>
      <c r="K1190" s="38"/>
    </row>
    <row r="1191">
      <c r="A1191" s="38"/>
      <c r="B1191" s="38"/>
      <c r="C1191" s="38"/>
      <c r="D1191" s="38"/>
      <c r="E1191" s="38"/>
      <c r="F1191" s="38"/>
      <c r="G1191" s="38"/>
      <c r="H1191" s="38"/>
      <c r="I1191" s="38"/>
      <c r="J1191" s="38"/>
      <c r="K1191" s="38"/>
    </row>
    <row r="1192">
      <c r="A1192" s="38"/>
      <c r="B1192" s="38"/>
      <c r="C1192" s="38"/>
      <c r="D1192" s="38"/>
      <c r="E1192" s="38"/>
      <c r="F1192" s="38"/>
      <c r="G1192" s="38"/>
      <c r="H1192" s="38"/>
      <c r="I1192" s="38"/>
      <c r="J1192" s="38"/>
      <c r="K1192" s="38"/>
    </row>
    <row r="1193">
      <c r="A1193" s="38"/>
      <c r="B1193" s="38"/>
      <c r="C1193" s="38"/>
      <c r="D1193" s="38"/>
      <c r="E1193" s="38"/>
      <c r="F1193" s="38"/>
      <c r="G1193" s="38"/>
      <c r="H1193" s="38"/>
      <c r="I1193" s="38"/>
      <c r="J1193" s="38"/>
      <c r="K1193" s="38"/>
    </row>
    <row r="1194">
      <c r="A1194" s="38"/>
      <c r="B1194" s="38"/>
      <c r="C1194" s="38"/>
      <c r="D1194" s="38"/>
      <c r="E1194" s="38"/>
      <c r="F1194" s="38"/>
      <c r="G1194" s="38"/>
      <c r="H1194" s="38"/>
      <c r="I1194" s="38"/>
      <c r="J1194" s="38"/>
      <c r="K1194" s="38"/>
    </row>
    <row r="1195">
      <c r="A1195" s="38"/>
      <c r="B1195" s="38"/>
      <c r="C1195" s="38"/>
      <c r="D1195" s="38"/>
      <c r="E1195" s="38"/>
      <c r="F1195" s="38"/>
      <c r="G1195" s="38"/>
      <c r="H1195" s="38"/>
      <c r="I1195" s="38"/>
      <c r="J1195" s="38"/>
      <c r="K1195" s="38"/>
    </row>
    <row r="1196">
      <c r="A1196" s="38"/>
      <c r="B1196" s="38"/>
      <c r="C1196" s="38"/>
      <c r="D1196" s="38"/>
      <c r="E1196" s="38"/>
      <c r="F1196" s="38"/>
      <c r="G1196" s="38"/>
      <c r="H1196" s="38"/>
      <c r="I1196" s="38"/>
      <c r="J1196" s="38"/>
      <c r="K1196" s="38"/>
    </row>
    <row r="1197">
      <c r="A1197" s="38"/>
      <c r="B1197" s="38"/>
      <c r="C1197" s="38"/>
      <c r="D1197" s="38"/>
      <c r="E1197" s="38"/>
      <c r="F1197" s="38"/>
      <c r="G1197" s="38"/>
      <c r="H1197" s="38"/>
      <c r="I1197" s="38"/>
      <c r="J1197" s="38"/>
      <c r="K1197" s="38"/>
    </row>
    <row r="1198">
      <c r="A1198" s="38"/>
      <c r="B1198" s="38"/>
      <c r="C1198" s="38"/>
      <c r="D1198" s="38"/>
      <c r="E1198" s="38"/>
      <c r="F1198" s="38"/>
      <c r="G1198" s="38"/>
      <c r="H1198" s="38"/>
      <c r="I1198" s="38"/>
      <c r="J1198" s="38"/>
      <c r="K1198" s="38"/>
    </row>
    <row r="1199">
      <c r="A1199" s="38"/>
      <c r="B1199" s="38"/>
      <c r="C1199" s="38"/>
      <c r="D1199" s="38"/>
      <c r="E1199" s="38"/>
      <c r="F1199" s="38"/>
      <c r="G1199" s="38"/>
      <c r="H1199" s="38"/>
      <c r="I1199" s="38"/>
      <c r="J1199" s="38"/>
      <c r="K1199" s="38"/>
    </row>
    <row r="1200">
      <c r="A1200" s="38"/>
      <c r="B1200" s="38"/>
      <c r="C1200" s="38"/>
      <c r="D1200" s="38"/>
      <c r="E1200" s="38"/>
      <c r="F1200" s="38"/>
      <c r="G1200" s="38"/>
      <c r="H1200" s="38"/>
      <c r="I1200" s="38"/>
      <c r="J1200" s="38"/>
      <c r="K1200" s="38"/>
    </row>
    <row r="1201">
      <c r="A1201" s="38"/>
      <c r="B1201" s="38"/>
      <c r="C1201" s="38"/>
      <c r="D1201" s="38"/>
      <c r="E1201" s="38"/>
      <c r="F1201" s="38"/>
      <c r="G1201" s="38"/>
      <c r="H1201" s="38"/>
      <c r="I1201" s="38"/>
      <c r="J1201" s="38"/>
      <c r="K1201" s="38"/>
    </row>
    <row r="1202">
      <c r="A1202" s="38"/>
      <c r="B1202" s="38"/>
      <c r="C1202" s="38"/>
      <c r="D1202" s="38"/>
      <c r="E1202" s="38"/>
      <c r="F1202" s="38"/>
      <c r="G1202" s="38"/>
      <c r="H1202" s="38"/>
      <c r="I1202" s="38"/>
      <c r="J1202" s="38"/>
      <c r="K1202" s="38"/>
    </row>
    <row r="1203">
      <c r="A1203" s="38"/>
      <c r="B1203" s="38"/>
      <c r="C1203" s="38"/>
      <c r="D1203" s="38"/>
      <c r="E1203" s="38"/>
      <c r="F1203" s="38"/>
      <c r="G1203" s="38"/>
      <c r="H1203" s="38"/>
      <c r="I1203" s="38"/>
      <c r="J1203" s="38"/>
      <c r="K1203" s="38"/>
    </row>
    <row r="1204">
      <c r="A1204" s="38"/>
      <c r="B1204" s="38"/>
      <c r="C1204" s="38"/>
      <c r="D1204" s="38"/>
      <c r="E1204" s="38"/>
      <c r="F1204" s="38"/>
      <c r="G1204" s="38"/>
      <c r="H1204" s="38"/>
      <c r="I1204" s="38"/>
      <c r="J1204" s="38"/>
      <c r="K1204" s="38"/>
    </row>
    <row r="1205">
      <c r="A1205" s="38"/>
      <c r="B1205" s="38"/>
      <c r="C1205" s="38"/>
      <c r="D1205" s="38"/>
      <c r="E1205" s="38"/>
      <c r="F1205" s="38"/>
      <c r="G1205" s="38"/>
      <c r="H1205" s="38"/>
      <c r="I1205" s="38"/>
      <c r="J1205" s="38"/>
      <c r="K1205" s="38"/>
    </row>
    <row r="1206">
      <c r="A1206" s="38"/>
      <c r="B1206" s="38"/>
      <c r="C1206" s="38"/>
      <c r="D1206" s="38"/>
      <c r="E1206" s="38"/>
      <c r="F1206" s="38"/>
      <c r="G1206" s="38"/>
      <c r="H1206" s="38"/>
      <c r="I1206" s="38"/>
      <c r="J1206" s="38"/>
      <c r="K1206" s="38"/>
    </row>
    <row r="1207">
      <c r="A1207" s="38"/>
      <c r="B1207" s="38"/>
      <c r="C1207" s="38"/>
      <c r="D1207" s="38"/>
      <c r="E1207" s="38"/>
      <c r="F1207" s="38"/>
      <c r="G1207" s="38"/>
      <c r="H1207" s="38"/>
      <c r="I1207" s="38"/>
      <c r="J1207" s="38"/>
      <c r="K1207" s="38"/>
    </row>
    <row r="1208">
      <c r="A1208" s="38"/>
      <c r="B1208" s="38"/>
      <c r="C1208" s="38"/>
      <c r="D1208" s="38"/>
      <c r="E1208" s="38"/>
      <c r="F1208" s="38"/>
      <c r="G1208" s="38"/>
      <c r="H1208" s="38"/>
      <c r="I1208" s="38"/>
      <c r="J1208" s="38"/>
      <c r="K1208" s="38"/>
    </row>
    <row r="1209">
      <c r="A1209" s="38"/>
      <c r="B1209" s="38"/>
      <c r="C1209" s="38"/>
      <c r="D1209" s="38"/>
      <c r="E1209" s="38"/>
      <c r="F1209" s="38"/>
      <c r="G1209" s="38"/>
      <c r="H1209" s="38"/>
      <c r="I1209" s="38"/>
      <c r="J1209" s="38"/>
      <c r="K1209" s="38"/>
    </row>
    <row r="1210">
      <c r="A1210" s="38"/>
      <c r="B1210" s="38"/>
      <c r="C1210" s="38"/>
      <c r="D1210" s="38"/>
      <c r="E1210" s="38"/>
      <c r="F1210" s="38"/>
      <c r="G1210" s="38"/>
      <c r="H1210" s="38"/>
      <c r="I1210" s="38"/>
      <c r="J1210" s="38"/>
      <c r="K1210" s="38"/>
    </row>
    <row r="1211">
      <c r="A1211" s="38"/>
      <c r="B1211" s="38"/>
      <c r="C1211" s="38"/>
      <c r="D1211" s="38"/>
      <c r="E1211" s="38"/>
      <c r="F1211" s="38"/>
      <c r="G1211" s="38"/>
      <c r="H1211" s="38"/>
      <c r="I1211" s="38"/>
      <c r="J1211" s="38"/>
      <c r="K1211" s="38"/>
    </row>
    <row r="1212">
      <c r="A1212" s="38"/>
      <c r="B1212" s="38"/>
      <c r="C1212" s="38"/>
      <c r="D1212" s="38"/>
      <c r="E1212" s="38"/>
      <c r="F1212" s="38"/>
      <c r="G1212" s="38"/>
      <c r="H1212" s="38"/>
      <c r="I1212" s="38"/>
      <c r="J1212" s="38"/>
      <c r="K1212" s="38"/>
    </row>
    <row r="1213">
      <c r="A1213" s="38"/>
      <c r="B1213" s="38"/>
      <c r="C1213" s="38"/>
      <c r="D1213" s="38"/>
      <c r="E1213" s="38"/>
      <c r="F1213" s="38"/>
      <c r="G1213" s="38"/>
      <c r="H1213" s="38"/>
      <c r="I1213" s="38"/>
      <c r="J1213" s="38"/>
      <c r="K1213" s="38"/>
    </row>
    <row r="1214">
      <c r="A1214" s="38"/>
      <c r="B1214" s="38"/>
      <c r="C1214" s="38"/>
      <c r="D1214" s="38"/>
      <c r="E1214" s="38"/>
      <c r="F1214" s="38"/>
      <c r="G1214" s="38"/>
      <c r="H1214" s="38"/>
      <c r="I1214" s="38"/>
      <c r="J1214" s="38"/>
      <c r="K1214" s="38"/>
    </row>
    <row r="1215">
      <c r="A1215" s="38"/>
      <c r="B1215" s="38"/>
      <c r="C1215" s="38"/>
      <c r="D1215" s="38"/>
      <c r="E1215" s="38"/>
      <c r="F1215" s="38"/>
      <c r="G1215" s="38"/>
      <c r="H1215" s="38"/>
      <c r="I1215" s="38"/>
      <c r="J1215" s="38"/>
      <c r="K1215" s="38"/>
    </row>
    <row r="1216">
      <c r="A1216" s="38"/>
      <c r="B1216" s="38"/>
      <c r="C1216" s="38"/>
      <c r="D1216" s="38"/>
      <c r="E1216" s="38"/>
      <c r="F1216" s="38"/>
      <c r="G1216" s="38"/>
      <c r="H1216" s="38"/>
      <c r="I1216" s="38"/>
      <c r="J1216" s="38"/>
      <c r="K1216" s="38"/>
    </row>
    <row r="1217">
      <c r="A1217" s="38"/>
      <c r="B1217" s="38"/>
      <c r="C1217" s="38"/>
      <c r="D1217" s="38"/>
      <c r="E1217" s="38"/>
      <c r="F1217" s="38"/>
      <c r="G1217" s="38"/>
      <c r="H1217" s="38"/>
      <c r="I1217" s="38"/>
      <c r="J1217" s="38"/>
      <c r="K1217" s="38"/>
    </row>
    <row r="1218">
      <c r="A1218" s="38"/>
      <c r="B1218" s="38"/>
      <c r="C1218" s="38"/>
      <c r="D1218" s="38"/>
      <c r="E1218" s="38"/>
      <c r="F1218" s="38"/>
      <c r="G1218" s="38"/>
      <c r="H1218" s="38"/>
      <c r="I1218" s="38"/>
      <c r="J1218" s="38"/>
      <c r="K1218" s="38"/>
    </row>
    <row r="1219">
      <c r="A1219" s="38"/>
      <c r="B1219" s="38"/>
      <c r="C1219" s="38"/>
      <c r="D1219" s="38"/>
      <c r="E1219" s="38"/>
      <c r="F1219" s="38"/>
      <c r="G1219" s="38"/>
      <c r="H1219" s="38"/>
      <c r="I1219" s="38"/>
      <c r="J1219" s="38"/>
      <c r="K1219" s="38"/>
    </row>
    <row r="1220">
      <c r="A1220" s="38"/>
      <c r="B1220" s="38"/>
      <c r="C1220" s="38"/>
      <c r="D1220" s="38"/>
      <c r="E1220" s="38"/>
      <c r="F1220" s="38"/>
      <c r="G1220" s="38"/>
      <c r="H1220" s="38"/>
      <c r="I1220" s="38"/>
      <c r="J1220" s="38"/>
      <c r="K1220" s="38"/>
    </row>
    <row r="1221">
      <c r="A1221" s="38"/>
      <c r="B1221" s="38"/>
      <c r="C1221" s="38"/>
      <c r="D1221" s="38"/>
      <c r="E1221" s="38"/>
      <c r="F1221" s="38"/>
      <c r="G1221" s="38"/>
      <c r="H1221" s="38"/>
      <c r="I1221" s="38"/>
      <c r="J1221" s="38"/>
      <c r="K1221" s="38"/>
    </row>
    <row r="1222">
      <c r="A1222" s="38"/>
      <c r="B1222" s="38"/>
      <c r="C1222" s="38"/>
      <c r="D1222" s="38"/>
      <c r="E1222" s="38"/>
      <c r="F1222" s="38"/>
      <c r="G1222" s="38"/>
      <c r="H1222" s="38"/>
      <c r="I1222" s="38"/>
      <c r="J1222" s="38"/>
      <c r="K1222" s="38"/>
    </row>
    <row r="1223">
      <c r="A1223" s="38"/>
      <c r="B1223" s="38"/>
      <c r="C1223" s="38"/>
      <c r="D1223" s="38"/>
      <c r="E1223" s="38"/>
      <c r="F1223" s="38"/>
      <c r="G1223" s="38"/>
      <c r="H1223" s="38"/>
      <c r="I1223" s="38"/>
      <c r="J1223" s="38"/>
      <c r="K1223" s="38"/>
    </row>
    <row r="1224">
      <c r="A1224" s="38"/>
      <c r="B1224" s="38"/>
      <c r="C1224" s="38"/>
      <c r="D1224" s="38"/>
      <c r="E1224" s="38"/>
      <c r="F1224" s="38"/>
      <c r="G1224" s="38"/>
      <c r="H1224" s="38"/>
      <c r="I1224" s="38"/>
      <c r="J1224" s="38"/>
      <c r="K1224" s="38"/>
    </row>
    <row r="1225">
      <c r="A1225" s="38"/>
      <c r="B1225" s="38"/>
      <c r="C1225" s="38"/>
      <c r="D1225" s="38"/>
      <c r="E1225" s="38"/>
      <c r="F1225" s="38"/>
      <c r="G1225" s="38"/>
      <c r="H1225" s="38"/>
      <c r="I1225" s="38"/>
      <c r="J1225" s="38"/>
      <c r="K1225" s="38"/>
    </row>
    <row r="1226">
      <c r="A1226" s="38"/>
      <c r="B1226" s="38"/>
      <c r="C1226" s="38"/>
      <c r="D1226" s="38"/>
      <c r="E1226" s="38"/>
      <c r="F1226" s="38"/>
      <c r="G1226" s="38"/>
      <c r="H1226" s="38"/>
      <c r="I1226" s="38"/>
      <c r="J1226" s="38"/>
      <c r="K1226" s="38"/>
    </row>
    <row r="1227">
      <c r="A1227" s="38"/>
      <c r="B1227" s="38"/>
      <c r="C1227" s="38"/>
      <c r="D1227" s="38"/>
      <c r="E1227" s="38"/>
      <c r="F1227" s="38"/>
      <c r="G1227" s="38"/>
      <c r="H1227" s="38"/>
      <c r="I1227" s="38"/>
      <c r="J1227" s="38"/>
      <c r="K1227" s="38"/>
    </row>
    <row r="1228">
      <c r="A1228" s="38"/>
      <c r="B1228" s="38"/>
      <c r="C1228" s="38"/>
      <c r="D1228" s="38"/>
      <c r="E1228" s="38"/>
      <c r="F1228" s="38"/>
      <c r="G1228" s="38"/>
      <c r="H1228" s="38"/>
      <c r="I1228" s="38"/>
      <c r="J1228" s="38"/>
      <c r="K1228" s="38"/>
    </row>
    <row r="1229">
      <c r="A1229" s="38"/>
      <c r="B1229" s="38"/>
      <c r="C1229" s="38"/>
      <c r="D1229" s="38"/>
      <c r="E1229" s="38"/>
      <c r="F1229" s="38"/>
      <c r="G1229" s="38"/>
      <c r="H1229" s="38"/>
      <c r="I1229" s="38"/>
      <c r="J1229" s="38"/>
      <c r="K1229" s="38"/>
    </row>
    <row r="1230">
      <c r="A1230" s="38"/>
      <c r="B1230" s="38"/>
      <c r="C1230" s="38"/>
      <c r="D1230" s="38"/>
      <c r="E1230" s="38"/>
      <c r="F1230" s="38"/>
      <c r="G1230" s="38"/>
      <c r="H1230" s="38"/>
      <c r="I1230" s="38"/>
      <c r="J1230" s="38"/>
      <c r="K1230" s="38"/>
    </row>
    <row r="1231">
      <c r="A1231" s="38"/>
      <c r="B1231" s="38"/>
      <c r="C1231" s="38"/>
      <c r="D1231" s="38"/>
      <c r="E1231" s="38"/>
      <c r="F1231" s="38"/>
      <c r="G1231" s="38"/>
      <c r="H1231" s="38"/>
      <c r="I1231" s="38"/>
      <c r="J1231" s="38"/>
      <c r="K1231" s="38"/>
    </row>
    <row r="1232">
      <c r="A1232" s="38"/>
      <c r="B1232" s="38"/>
      <c r="C1232" s="38"/>
      <c r="D1232" s="38"/>
      <c r="E1232" s="38"/>
      <c r="F1232" s="38"/>
      <c r="G1232" s="38"/>
      <c r="H1232" s="38"/>
      <c r="I1232" s="38"/>
      <c r="J1232" s="38"/>
      <c r="K1232" s="38"/>
    </row>
    <row r="1233">
      <c r="A1233" s="38"/>
      <c r="B1233" s="38"/>
      <c r="C1233" s="38"/>
      <c r="D1233" s="38"/>
      <c r="E1233" s="38"/>
      <c r="F1233" s="38"/>
      <c r="G1233" s="38"/>
      <c r="H1233" s="38"/>
      <c r="I1233" s="38"/>
      <c r="J1233" s="38"/>
      <c r="K1233" s="38"/>
    </row>
    <row r="1234">
      <c r="A1234" s="38"/>
      <c r="B1234" s="38"/>
      <c r="C1234" s="38"/>
      <c r="D1234" s="38"/>
      <c r="E1234" s="38"/>
      <c r="F1234" s="38"/>
      <c r="G1234" s="38"/>
      <c r="H1234" s="38"/>
      <c r="I1234" s="38"/>
      <c r="J1234" s="38"/>
      <c r="K1234" s="38"/>
    </row>
    <row r="1235">
      <c r="A1235" s="38"/>
      <c r="B1235" s="38"/>
      <c r="C1235" s="38"/>
      <c r="D1235" s="38"/>
      <c r="E1235" s="38"/>
      <c r="F1235" s="38"/>
      <c r="G1235" s="38"/>
      <c r="H1235" s="38"/>
      <c r="I1235" s="38"/>
      <c r="J1235" s="38"/>
      <c r="K1235" s="38"/>
    </row>
    <row r="1236">
      <c r="A1236" s="38"/>
      <c r="B1236" s="38"/>
      <c r="C1236" s="38"/>
      <c r="D1236" s="38"/>
      <c r="E1236" s="38"/>
      <c r="F1236" s="38"/>
      <c r="G1236" s="38"/>
      <c r="H1236" s="38"/>
      <c r="I1236" s="38"/>
      <c r="J1236" s="38"/>
      <c r="K1236" s="38"/>
    </row>
    <row r="1237">
      <c r="A1237" s="38"/>
      <c r="B1237" s="38"/>
      <c r="C1237" s="38"/>
      <c r="D1237" s="38"/>
      <c r="E1237" s="38"/>
      <c r="F1237" s="38"/>
      <c r="G1237" s="38"/>
      <c r="H1237" s="38"/>
      <c r="I1237" s="38"/>
      <c r="J1237" s="38"/>
      <c r="K1237" s="38"/>
    </row>
    <row r="1238">
      <c r="A1238" s="38"/>
      <c r="B1238" s="38"/>
      <c r="C1238" s="38"/>
      <c r="D1238" s="38"/>
      <c r="E1238" s="38"/>
      <c r="F1238" s="38"/>
      <c r="G1238" s="38"/>
      <c r="H1238" s="38"/>
      <c r="I1238" s="38"/>
      <c r="J1238" s="38"/>
      <c r="K1238" s="38"/>
    </row>
    <row r="1239">
      <c r="A1239" s="38"/>
      <c r="B1239" s="38"/>
      <c r="C1239" s="38"/>
      <c r="D1239" s="38"/>
      <c r="E1239" s="38"/>
      <c r="F1239" s="38"/>
      <c r="G1239" s="38"/>
      <c r="H1239" s="38"/>
      <c r="I1239" s="38"/>
      <c r="J1239" s="38"/>
      <c r="K1239" s="38"/>
    </row>
    <row r="1240">
      <c r="A1240" s="38"/>
      <c r="B1240" s="38"/>
      <c r="C1240" s="38"/>
      <c r="D1240" s="38"/>
      <c r="E1240" s="38"/>
      <c r="F1240" s="38"/>
      <c r="G1240" s="38"/>
      <c r="H1240" s="38"/>
      <c r="I1240" s="38"/>
      <c r="J1240" s="38"/>
      <c r="K1240" s="38"/>
    </row>
    <row r="1241">
      <c r="A1241" s="38"/>
      <c r="B1241" s="38"/>
      <c r="C1241" s="38"/>
      <c r="D1241" s="38"/>
      <c r="E1241" s="38"/>
      <c r="F1241" s="38"/>
      <c r="G1241" s="38"/>
      <c r="H1241" s="38"/>
      <c r="I1241" s="38"/>
      <c r="J1241" s="38"/>
      <c r="K1241" s="38"/>
    </row>
    <row r="1242">
      <c r="A1242" s="38"/>
      <c r="B1242" s="38"/>
      <c r="C1242" s="38"/>
      <c r="D1242" s="38"/>
      <c r="E1242" s="38"/>
      <c r="F1242" s="38"/>
      <c r="G1242" s="38"/>
      <c r="H1242" s="38"/>
      <c r="I1242" s="38"/>
      <c r="J1242" s="38"/>
      <c r="K1242" s="38"/>
    </row>
    <row r="1243">
      <c r="A1243" s="38"/>
      <c r="B1243" s="38"/>
      <c r="C1243" s="38"/>
      <c r="D1243" s="38"/>
      <c r="E1243" s="38"/>
      <c r="F1243" s="38"/>
      <c r="G1243" s="38"/>
      <c r="H1243" s="38"/>
      <c r="I1243" s="38"/>
      <c r="J1243" s="38"/>
      <c r="K1243" s="38"/>
    </row>
    <row r="1244">
      <c r="A1244" s="38"/>
      <c r="B1244" s="38"/>
      <c r="C1244" s="38"/>
      <c r="D1244" s="38"/>
      <c r="E1244" s="38"/>
      <c r="F1244" s="38"/>
      <c r="G1244" s="38"/>
      <c r="H1244" s="38"/>
      <c r="I1244" s="38"/>
      <c r="J1244" s="38"/>
      <c r="K1244" s="38"/>
    </row>
    <row r="1245">
      <c r="A1245" s="38"/>
      <c r="B1245" s="38"/>
      <c r="C1245" s="38"/>
      <c r="D1245" s="38"/>
      <c r="E1245" s="38"/>
      <c r="F1245" s="38"/>
      <c r="G1245" s="38"/>
      <c r="H1245" s="38"/>
      <c r="I1245" s="38"/>
      <c r="J1245" s="38"/>
      <c r="K1245" s="38"/>
    </row>
    <row r="1246">
      <c r="A1246" s="38"/>
      <c r="B1246" s="38"/>
      <c r="C1246" s="38"/>
      <c r="D1246" s="38"/>
      <c r="E1246" s="38"/>
      <c r="F1246" s="38"/>
      <c r="G1246" s="38"/>
      <c r="H1246" s="38"/>
      <c r="I1246" s="38"/>
      <c r="J1246" s="38"/>
      <c r="K1246" s="38"/>
    </row>
    <row r="1247">
      <c r="A1247" s="38"/>
      <c r="B1247" s="38"/>
      <c r="C1247" s="38"/>
      <c r="D1247" s="38"/>
      <c r="E1247" s="38"/>
      <c r="F1247" s="38"/>
      <c r="G1247" s="38"/>
      <c r="H1247" s="38"/>
      <c r="I1247" s="38"/>
      <c r="J1247" s="38"/>
      <c r="K1247" s="38"/>
    </row>
    <row r="1248">
      <c r="A1248" s="38"/>
      <c r="B1248" s="38"/>
      <c r="C1248" s="38"/>
      <c r="D1248" s="38"/>
      <c r="E1248" s="38"/>
      <c r="F1248" s="38"/>
      <c r="G1248" s="38"/>
      <c r="H1248" s="38"/>
      <c r="I1248" s="38"/>
      <c r="J1248" s="38"/>
      <c r="K1248" s="38"/>
    </row>
    <row r="1249">
      <c r="A1249" s="38"/>
      <c r="B1249" s="38"/>
      <c r="C1249" s="38"/>
      <c r="D1249" s="38"/>
      <c r="E1249" s="38"/>
      <c r="F1249" s="38"/>
      <c r="G1249" s="38"/>
      <c r="H1249" s="38"/>
      <c r="I1249" s="38"/>
      <c r="J1249" s="38"/>
      <c r="K1249" s="38"/>
    </row>
    <row r="1250">
      <c r="A1250" s="38"/>
      <c r="B1250" s="38"/>
      <c r="C1250" s="38"/>
      <c r="D1250" s="38"/>
      <c r="E1250" s="38"/>
      <c r="F1250" s="38"/>
      <c r="G1250" s="38"/>
      <c r="H1250" s="38"/>
      <c r="I1250" s="38"/>
      <c r="J1250" s="38"/>
      <c r="K1250" s="38"/>
    </row>
    <row r="1251">
      <c r="A1251" s="38"/>
      <c r="B1251" s="38"/>
      <c r="C1251" s="38"/>
      <c r="D1251" s="38"/>
      <c r="E1251" s="38"/>
      <c r="F1251" s="38"/>
      <c r="G1251" s="38"/>
      <c r="H1251" s="38"/>
      <c r="I1251" s="38"/>
      <c r="J1251" s="38"/>
      <c r="K1251" s="38"/>
    </row>
    <row r="1252">
      <c r="A1252" s="38"/>
      <c r="B1252" s="38"/>
      <c r="C1252" s="38"/>
      <c r="D1252" s="38"/>
      <c r="E1252" s="38"/>
      <c r="F1252" s="38"/>
      <c r="G1252" s="38"/>
      <c r="H1252" s="38"/>
      <c r="I1252" s="38"/>
      <c r="J1252" s="38"/>
      <c r="K1252" s="38"/>
    </row>
    <row r="1253">
      <c r="A1253" s="38"/>
      <c r="B1253" s="38"/>
      <c r="C1253" s="38"/>
      <c r="D1253" s="38"/>
      <c r="E1253" s="38"/>
      <c r="F1253" s="38"/>
      <c r="G1253" s="38"/>
      <c r="H1253" s="38"/>
      <c r="I1253" s="38"/>
      <c r="J1253" s="38"/>
      <c r="K1253" s="38"/>
    </row>
    <row r="1254">
      <c r="A1254" s="38"/>
      <c r="B1254" s="38"/>
      <c r="C1254" s="38"/>
      <c r="D1254" s="38"/>
      <c r="E1254" s="38"/>
      <c r="F1254" s="38"/>
      <c r="G1254" s="38"/>
      <c r="H1254" s="38"/>
      <c r="I1254" s="38"/>
      <c r="J1254" s="38"/>
      <c r="K1254" s="38"/>
    </row>
    <row r="1255">
      <c r="A1255" s="38"/>
      <c r="B1255" s="38"/>
      <c r="C1255" s="38"/>
      <c r="D1255" s="38"/>
      <c r="E1255" s="38"/>
      <c r="F1255" s="38"/>
      <c r="G1255" s="38"/>
      <c r="H1255" s="38"/>
      <c r="I1255" s="38"/>
      <c r="J1255" s="38"/>
      <c r="K1255" s="38"/>
    </row>
    <row r="1256">
      <c r="A1256" s="38"/>
      <c r="B1256" s="38"/>
      <c r="C1256" s="38"/>
      <c r="D1256" s="38"/>
      <c r="E1256" s="38"/>
      <c r="F1256" s="38"/>
      <c r="G1256" s="38"/>
      <c r="H1256" s="38"/>
      <c r="I1256" s="38"/>
      <c r="J1256" s="38"/>
      <c r="K1256" s="38"/>
    </row>
    <row r="1257">
      <c r="A1257" s="38"/>
      <c r="B1257" s="38"/>
      <c r="C1257" s="38"/>
      <c r="D1257" s="38"/>
      <c r="E1257" s="38"/>
      <c r="F1257" s="38"/>
      <c r="G1257" s="38"/>
      <c r="H1257" s="38"/>
      <c r="I1257" s="38"/>
      <c r="J1257" s="38"/>
      <c r="K1257" s="38"/>
    </row>
    <row r="1258">
      <c r="A1258" s="38"/>
      <c r="B1258" s="38"/>
      <c r="C1258" s="38"/>
      <c r="D1258" s="38"/>
      <c r="E1258" s="38"/>
      <c r="F1258" s="38"/>
      <c r="G1258" s="38"/>
      <c r="H1258" s="38"/>
      <c r="I1258" s="38"/>
      <c r="J1258" s="38"/>
      <c r="K1258" s="38"/>
    </row>
    <row r="1259">
      <c r="A1259" s="38"/>
      <c r="B1259" s="38"/>
      <c r="C1259" s="38"/>
      <c r="D1259" s="38"/>
      <c r="E1259" s="38"/>
      <c r="F1259" s="38"/>
      <c r="G1259" s="38"/>
      <c r="H1259" s="38"/>
      <c r="I1259" s="38"/>
      <c r="J1259" s="38"/>
      <c r="K1259" s="38"/>
    </row>
    <row r="1260">
      <c r="A1260" s="38"/>
      <c r="B1260" s="38"/>
      <c r="C1260" s="38"/>
      <c r="D1260" s="38"/>
      <c r="E1260" s="38"/>
      <c r="F1260" s="38"/>
      <c r="G1260" s="38"/>
      <c r="H1260" s="38"/>
      <c r="I1260" s="38"/>
      <c r="J1260" s="38"/>
      <c r="K1260" s="38"/>
    </row>
    <row r="1261">
      <c r="A1261" s="38"/>
      <c r="B1261" s="38"/>
      <c r="C1261" s="38"/>
      <c r="D1261" s="38"/>
      <c r="E1261" s="38"/>
      <c r="F1261" s="38"/>
      <c r="G1261" s="38"/>
      <c r="H1261" s="38"/>
      <c r="I1261" s="38"/>
      <c r="J1261" s="38"/>
      <c r="K1261" s="38"/>
    </row>
    <row r="1262">
      <c r="A1262" s="38"/>
      <c r="B1262" s="38"/>
      <c r="C1262" s="38"/>
      <c r="D1262" s="38"/>
      <c r="E1262" s="38"/>
      <c r="F1262" s="38"/>
      <c r="G1262" s="38"/>
      <c r="H1262" s="38"/>
      <c r="I1262" s="38"/>
      <c r="J1262" s="38"/>
      <c r="K1262" s="38"/>
    </row>
    <row r="1263">
      <c r="A1263" s="38"/>
      <c r="B1263" s="38"/>
      <c r="C1263" s="38"/>
      <c r="D1263" s="38"/>
      <c r="E1263" s="38"/>
      <c r="F1263" s="38"/>
      <c r="G1263" s="38"/>
      <c r="H1263" s="38"/>
      <c r="I1263" s="38"/>
      <c r="J1263" s="38"/>
      <c r="K1263" s="38"/>
    </row>
    <row r="1264">
      <c r="A1264" s="38"/>
      <c r="B1264" s="38"/>
      <c r="C1264" s="38"/>
      <c r="D1264" s="38"/>
      <c r="E1264" s="38"/>
      <c r="F1264" s="38"/>
      <c r="G1264" s="38"/>
      <c r="H1264" s="38"/>
      <c r="I1264" s="38"/>
      <c r="J1264" s="38"/>
      <c r="K1264" s="38"/>
    </row>
    <row r="1265">
      <c r="A1265" s="38"/>
      <c r="B1265" s="38"/>
      <c r="C1265" s="38"/>
      <c r="D1265" s="38"/>
      <c r="E1265" s="38"/>
      <c r="F1265" s="38"/>
      <c r="G1265" s="38"/>
      <c r="H1265" s="38"/>
      <c r="I1265" s="38"/>
      <c r="J1265" s="38"/>
      <c r="K1265" s="38"/>
    </row>
    <row r="1266">
      <c r="A1266" s="38"/>
      <c r="B1266" s="38"/>
      <c r="C1266" s="38"/>
      <c r="D1266" s="38"/>
      <c r="E1266" s="38"/>
      <c r="F1266" s="38"/>
      <c r="G1266" s="38"/>
      <c r="H1266" s="38"/>
      <c r="I1266" s="38"/>
      <c r="J1266" s="38"/>
      <c r="K1266" s="38"/>
    </row>
    <row r="1267">
      <c r="A1267" s="38"/>
      <c r="B1267" s="38"/>
      <c r="C1267" s="38"/>
      <c r="D1267" s="38"/>
      <c r="E1267" s="38"/>
      <c r="F1267" s="38"/>
      <c r="G1267" s="38"/>
      <c r="H1267" s="38"/>
      <c r="I1267" s="38"/>
      <c r="J1267" s="38"/>
      <c r="K1267" s="38"/>
    </row>
    <row r="1268">
      <c r="A1268" s="38"/>
      <c r="B1268" s="38"/>
      <c r="C1268" s="38"/>
      <c r="D1268" s="38"/>
      <c r="E1268" s="38"/>
      <c r="F1268" s="38"/>
      <c r="G1268" s="38"/>
      <c r="H1268" s="38"/>
      <c r="I1268" s="38"/>
      <c r="J1268" s="38"/>
      <c r="K1268" s="38"/>
    </row>
    <row r="1269">
      <c r="A1269" s="38"/>
      <c r="B1269" s="38"/>
      <c r="C1269" s="38"/>
      <c r="D1269" s="38"/>
      <c r="E1269" s="38"/>
      <c r="F1269" s="38"/>
      <c r="G1269" s="38"/>
      <c r="H1269" s="38"/>
      <c r="I1269" s="38"/>
      <c r="J1269" s="38"/>
      <c r="K1269" s="38"/>
    </row>
    <row r="1270">
      <c r="A1270" s="38"/>
      <c r="B1270" s="38"/>
      <c r="C1270" s="38"/>
      <c r="D1270" s="38"/>
      <c r="E1270" s="38"/>
      <c r="F1270" s="38"/>
      <c r="G1270" s="38"/>
      <c r="H1270" s="38"/>
      <c r="I1270" s="38"/>
      <c r="J1270" s="38"/>
      <c r="K1270" s="38"/>
    </row>
    <row r="1271">
      <c r="A1271" s="38"/>
      <c r="B1271" s="38"/>
      <c r="C1271" s="38"/>
      <c r="D1271" s="38"/>
      <c r="E1271" s="38"/>
      <c r="F1271" s="38"/>
      <c r="G1271" s="38"/>
      <c r="H1271" s="38"/>
      <c r="I1271" s="38"/>
      <c r="J1271" s="38"/>
      <c r="K1271" s="38"/>
    </row>
    <row r="1272">
      <c r="A1272" s="38"/>
      <c r="B1272" s="38"/>
      <c r="C1272" s="38"/>
      <c r="D1272" s="38"/>
      <c r="E1272" s="38"/>
      <c r="F1272" s="38"/>
      <c r="G1272" s="38"/>
      <c r="H1272" s="38"/>
      <c r="I1272" s="38"/>
      <c r="J1272" s="38"/>
      <c r="K1272" s="38"/>
    </row>
    <row r="1273">
      <c r="A1273" s="38"/>
      <c r="B1273" s="38"/>
      <c r="C1273" s="38"/>
      <c r="D1273" s="38"/>
      <c r="E1273" s="38"/>
      <c r="F1273" s="38"/>
      <c r="G1273" s="38"/>
      <c r="H1273" s="38"/>
      <c r="I1273" s="38"/>
      <c r="J1273" s="38"/>
      <c r="K1273" s="38"/>
    </row>
    <row r="1274">
      <c r="A1274" s="38"/>
      <c r="B1274" s="38"/>
      <c r="C1274" s="38"/>
      <c r="D1274" s="38"/>
      <c r="E1274" s="38"/>
      <c r="F1274" s="38"/>
      <c r="G1274" s="38"/>
      <c r="H1274" s="38"/>
      <c r="I1274" s="38"/>
      <c r="J1274" s="38"/>
      <c r="K1274" s="38"/>
    </row>
    <row r="1275">
      <c r="A1275" s="38"/>
      <c r="B1275" s="38"/>
      <c r="C1275" s="38"/>
      <c r="D1275" s="38"/>
      <c r="E1275" s="38"/>
      <c r="F1275" s="38"/>
      <c r="G1275" s="38"/>
      <c r="H1275" s="38"/>
      <c r="I1275" s="38"/>
      <c r="J1275" s="38"/>
      <c r="K1275" s="38"/>
    </row>
    <row r="1276">
      <c r="A1276" s="38"/>
      <c r="B1276" s="38"/>
      <c r="C1276" s="38"/>
      <c r="D1276" s="38"/>
      <c r="E1276" s="38"/>
      <c r="F1276" s="38"/>
      <c r="G1276" s="38"/>
      <c r="H1276" s="38"/>
      <c r="I1276" s="38"/>
      <c r="J1276" s="38"/>
      <c r="K1276" s="38"/>
    </row>
    <row r="1277">
      <c r="A1277" s="38"/>
      <c r="B1277" s="38"/>
      <c r="C1277" s="38"/>
      <c r="D1277" s="38"/>
      <c r="E1277" s="38"/>
      <c r="F1277" s="38"/>
      <c r="G1277" s="38"/>
      <c r="H1277" s="38"/>
      <c r="I1277" s="38"/>
      <c r="J1277" s="38"/>
      <c r="K1277" s="38"/>
    </row>
    <row r="1278">
      <c r="A1278" s="38"/>
      <c r="B1278" s="38"/>
      <c r="C1278" s="38"/>
      <c r="D1278" s="38"/>
      <c r="E1278" s="38"/>
      <c r="F1278" s="38"/>
      <c r="G1278" s="38"/>
      <c r="H1278" s="38"/>
      <c r="I1278" s="38"/>
      <c r="J1278" s="38"/>
      <c r="K1278" s="38"/>
    </row>
    <row r="1279">
      <c r="A1279" s="38"/>
      <c r="B1279" s="38"/>
      <c r="C1279" s="38"/>
      <c r="D1279" s="38"/>
      <c r="E1279" s="38"/>
      <c r="F1279" s="38"/>
      <c r="G1279" s="38"/>
      <c r="H1279" s="38"/>
      <c r="I1279" s="38"/>
      <c r="J1279" s="38"/>
      <c r="K1279" s="38"/>
    </row>
    <row r="1280">
      <c r="A1280" s="38"/>
      <c r="B1280" s="38"/>
      <c r="C1280" s="38"/>
      <c r="D1280" s="38"/>
      <c r="E1280" s="38"/>
      <c r="F1280" s="38"/>
      <c r="G1280" s="38"/>
      <c r="H1280" s="38"/>
      <c r="I1280" s="38"/>
      <c r="J1280" s="38"/>
      <c r="K1280" s="38"/>
    </row>
    <row r="1281">
      <c r="A1281" s="38"/>
      <c r="B1281" s="38"/>
      <c r="C1281" s="38"/>
      <c r="D1281" s="38"/>
      <c r="E1281" s="38"/>
      <c r="F1281" s="38"/>
      <c r="G1281" s="38"/>
      <c r="H1281" s="38"/>
      <c r="I1281" s="38"/>
      <c r="J1281" s="38"/>
      <c r="K1281" s="38"/>
    </row>
    <row r="1282">
      <c r="A1282" s="38"/>
      <c r="B1282" s="38"/>
      <c r="C1282" s="38"/>
      <c r="D1282" s="38"/>
      <c r="E1282" s="38"/>
      <c r="F1282" s="38"/>
      <c r="G1282" s="38"/>
      <c r="H1282" s="38"/>
      <c r="I1282" s="38"/>
      <c r="J1282" s="38"/>
      <c r="K1282" s="38"/>
    </row>
    <row r="1283">
      <c r="A1283" s="38"/>
      <c r="B1283" s="38"/>
      <c r="C1283" s="38"/>
      <c r="D1283" s="38"/>
      <c r="E1283" s="38"/>
      <c r="F1283" s="38"/>
      <c r="G1283" s="38"/>
      <c r="H1283" s="38"/>
      <c r="I1283" s="38"/>
      <c r="J1283" s="38"/>
      <c r="K1283" s="38"/>
    </row>
    <row r="1284">
      <c r="A1284" s="38"/>
      <c r="B1284" s="38"/>
      <c r="C1284" s="38"/>
      <c r="D1284" s="38"/>
      <c r="E1284" s="38"/>
      <c r="F1284" s="38"/>
      <c r="G1284" s="38"/>
      <c r="H1284" s="38"/>
      <c r="I1284" s="38"/>
      <c r="J1284" s="38"/>
      <c r="K1284" s="38"/>
    </row>
    <row r="1285">
      <c r="A1285" s="38"/>
      <c r="B1285" s="38"/>
      <c r="C1285" s="38"/>
      <c r="D1285" s="38"/>
      <c r="E1285" s="38"/>
      <c r="F1285" s="38"/>
      <c r="G1285" s="38"/>
      <c r="H1285" s="38"/>
      <c r="I1285" s="38"/>
      <c r="J1285" s="38"/>
      <c r="K1285" s="38"/>
    </row>
    <row r="1286">
      <c r="A1286" s="38"/>
      <c r="B1286" s="38"/>
      <c r="C1286" s="38"/>
      <c r="D1286" s="38"/>
      <c r="E1286" s="38"/>
      <c r="F1286" s="38"/>
      <c r="G1286" s="38"/>
      <c r="H1286" s="38"/>
      <c r="I1286" s="38"/>
      <c r="J1286" s="38"/>
      <c r="K1286" s="38"/>
    </row>
    <row r="1287">
      <c r="A1287" s="38"/>
      <c r="B1287" s="38"/>
      <c r="C1287" s="38"/>
      <c r="D1287" s="38"/>
      <c r="E1287" s="38"/>
      <c r="F1287" s="38"/>
      <c r="G1287" s="38"/>
      <c r="H1287" s="38"/>
      <c r="I1287" s="38"/>
      <c r="J1287" s="38"/>
      <c r="K1287" s="38"/>
    </row>
    <row r="1288">
      <c r="A1288" s="38"/>
      <c r="B1288" s="38"/>
      <c r="C1288" s="38"/>
      <c r="D1288" s="38"/>
      <c r="E1288" s="38"/>
      <c r="F1288" s="38"/>
      <c r="G1288" s="38"/>
      <c r="H1288" s="38"/>
      <c r="I1288" s="38"/>
      <c r="J1288" s="38"/>
      <c r="K1288" s="38"/>
    </row>
    <row r="1289">
      <c r="A1289" s="38"/>
      <c r="B1289" s="38"/>
      <c r="C1289" s="38"/>
      <c r="D1289" s="38"/>
      <c r="E1289" s="38"/>
      <c r="F1289" s="38"/>
      <c r="G1289" s="38"/>
      <c r="H1289" s="38"/>
      <c r="I1289" s="38"/>
      <c r="J1289" s="38"/>
      <c r="K1289" s="38"/>
    </row>
    <row r="1290">
      <c r="A1290" s="38"/>
      <c r="B1290" s="38"/>
      <c r="C1290" s="38"/>
      <c r="D1290" s="38"/>
      <c r="E1290" s="38"/>
      <c r="F1290" s="38"/>
      <c r="G1290" s="38"/>
      <c r="H1290" s="38"/>
      <c r="I1290" s="38"/>
      <c r="J1290" s="38"/>
      <c r="K1290" s="38"/>
    </row>
    <row r="1291">
      <c r="A1291" s="38"/>
      <c r="B1291" s="38"/>
      <c r="C1291" s="38"/>
      <c r="D1291" s="38"/>
      <c r="E1291" s="38"/>
      <c r="F1291" s="38"/>
      <c r="G1291" s="38"/>
      <c r="H1291" s="38"/>
      <c r="I1291" s="38"/>
      <c r="J1291" s="38"/>
      <c r="K1291" s="38"/>
    </row>
    <row r="1292">
      <c r="A1292" s="38"/>
      <c r="B1292" s="38"/>
      <c r="C1292" s="38"/>
      <c r="D1292" s="38"/>
      <c r="E1292" s="38"/>
      <c r="F1292" s="38"/>
      <c r="G1292" s="38"/>
      <c r="H1292" s="38"/>
      <c r="I1292" s="38"/>
      <c r="J1292" s="38"/>
      <c r="K1292" s="38"/>
    </row>
    <row r="1293">
      <c r="A1293" s="38"/>
      <c r="B1293" s="38"/>
      <c r="C1293" s="38"/>
      <c r="D1293" s="38"/>
      <c r="E1293" s="38"/>
      <c r="F1293" s="38"/>
      <c r="G1293" s="38"/>
      <c r="H1293" s="38"/>
      <c r="I1293" s="38"/>
      <c r="J1293" s="38"/>
      <c r="K1293" s="38"/>
    </row>
    <row r="1294">
      <c r="A1294" s="38"/>
      <c r="B1294" s="38"/>
      <c r="C1294" s="38"/>
      <c r="D1294" s="38"/>
      <c r="E1294" s="38"/>
      <c r="F1294" s="38"/>
      <c r="G1294" s="38"/>
      <c r="H1294" s="38"/>
      <c r="I1294" s="38"/>
      <c r="J1294" s="38"/>
      <c r="K1294" s="38"/>
    </row>
    <row r="1295">
      <c r="A1295" s="38"/>
      <c r="B1295" s="38"/>
      <c r="C1295" s="38"/>
      <c r="D1295" s="38"/>
      <c r="E1295" s="38"/>
      <c r="F1295" s="38"/>
      <c r="G1295" s="38"/>
      <c r="H1295" s="38"/>
      <c r="I1295" s="38"/>
      <c r="J1295" s="38"/>
      <c r="K1295" s="38"/>
    </row>
    <row r="1296">
      <c r="A1296" s="38"/>
      <c r="B1296" s="38"/>
      <c r="C1296" s="38"/>
      <c r="D1296" s="38"/>
      <c r="E1296" s="38"/>
      <c r="F1296" s="38"/>
      <c r="G1296" s="38"/>
      <c r="H1296" s="38"/>
      <c r="I1296" s="38"/>
      <c r="J1296" s="38"/>
      <c r="K1296" s="38"/>
    </row>
    <row r="1297">
      <c r="A1297" s="38"/>
      <c r="B1297" s="38"/>
      <c r="C1297" s="38"/>
      <c r="D1297" s="38"/>
      <c r="E1297" s="38"/>
      <c r="F1297" s="38"/>
      <c r="G1297" s="38"/>
      <c r="H1297" s="38"/>
      <c r="I1297" s="38"/>
      <c r="J1297" s="38"/>
      <c r="K1297" s="38"/>
    </row>
    <row r="1298">
      <c r="A1298" s="38"/>
      <c r="B1298" s="38"/>
      <c r="C1298" s="38"/>
      <c r="D1298" s="38"/>
      <c r="E1298" s="38"/>
      <c r="F1298" s="38"/>
      <c r="G1298" s="38"/>
      <c r="H1298" s="38"/>
      <c r="I1298" s="38"/>
      <c r="J1298" s="38"/>
      <c r="K1298" s="38"/>
    </row>
    <row r="1299">
      <c r="A1299" s="38"/>
      <c r="B1299" s="38"/>
      <c r="C1299" s="38"/>
      <c r="D1299" s="38"/>
      <c r="E1299" s="38"/>
      <c r="F1299" s="38"/>
      <c r="G1299" s="38"/>
      <c r="H1299" s="38"/>
      <c r="I1299" s="38"/>
      <c r="J1299" s="38"/>
      <c r="K1299" s="38"/>
    </row>
    <row r="1300">
      <c r="A1300" s="38"/>
      <c r="B1300" s="38"/>
      <c r="C1300" s="38"/>
      <c r="D1300" s="38"/>
      <c r="E1300" s="38"/>
      <c r="F1300" s="38"/>
      <c r="G1300" s="38"/>
      <c r="H1300" s="38"/>
      <c r="I1300" s="38"/>
      <c r="J1300" s="38"/>
      <c r="K1300" s="38"/>
    </row>
    <row r="1301">
      <c r="A1301" s="38"/>
      <c r="B1301" s="38"/>
      <c r="C1301" s="38"/>
      <c r="D1301" s="38"/>
      <c r="E1301" s="38"/>
      <c r="F1301" s="38"/>
      <c r="G1301" s="38"/>
      <c r="H1301" s="38"/>
      <c r="I1301" s="38"/>
      <c r="J1301" s="38"/>
      <c r="K1301" s="38"/>
    </row>
    <row r="1302">
      <c r="A1302" s="38"/>
      <c r="B1302" s="38"/>
      <c r="C1302" s="38"/>
      <c r="D1302" s="38"/>
      <c r="E1302" s="38"/>
      <c r="F1302" s="38"/>
      <c r="G1302" s="38"/>
      <c r="H1302" s="38"/>
      <c r="I1302" s="38"/>
      <c r="J1302" s="38"/>
      <c r="K1302" s="38"/>
    </row>
    <row r="1303">
      <c r="A1303" s="38"/>
      <c r="B1303" s="38"/>
      <c r="C1303" s="38"/>
      <c r="D1303" s="38"/>
      <c r="E1303" s="38"/>
      <c r="F1303" s="38"/>
      <c r="G1303" s="38"/>
      <c r="H1303" s="38"/>
      <c r="I1303" s="38"/>
      <c r="J1303" s="38"/>
      <c r="K1303" s="38"/>
    </row>
    <row r="1304">
      <c r="A1304" s="38"/>
      <c r="B1304" s="38"/>
      <c r="C1304" s="38"/>
      <c r="D1304" s="38"/>
      <c r="E1304" s="38"/>
      <c r="F1304" s="38"/>
      <c r="G1304" s="38"/>
      <c r="H1304" s="38"/>
      <c r="I1304" s="38"/>
      <c r="J1304" s="38"/>
      <c r="K1304" s="38"/>
    </row>
    <row r="1305">
      <c r="A1305" s="38"/>
      <c r="B1305" s="38"/>
      <c r="C1305" s="38"/>
      <c r="D1305" s="38"/>
      <c r="E1305" s="38"/>
      <c r="F1305" s="38"/>
      <c r="G1305" s="38"/>
      <c r="H1305" s="38"/>
      <c r="I1305" s="38"/>
      <c r="J1305" s="38"/>
      <c r="K1305" s="38"/>
    </row>
    <row r="1306">
      <c r="A1306" s="38"/>
      <c r="B1306" s="38"/>
      <c r="C1306" s="38"/>
      <c r="D1306" s="38"/>
      <c r="E1306" s="38"/>
      <c r="F1306" s="38"/>
      <c r="G1306" s="38"/>
      <c r="H1306" s="38"/>
      <c r="I1306" s="38"/>
      <c r="J1306" s="38"/>
      <c r="K1306" s="38"/>
    </row>
    <row r="1307">
      <c r="A1307" s="38"/>
      <c r="B1307" s="38"/>
      <c r="C1307" s="38"/>
      <c r="D1307" s="38"/>
      <c r="E1307" s="38"/>
      <c r="F1307" s="38"/>
      <c r="G1307" s="38"/>
      <c r="H1307" s="38"/>
      <c r="I1307" s="38"/>
      <c r="J1307" s="38"/>
      <c r="K1307" s="38"/>
    </row>
    <row r="1308">
      <c r="A1308" s="38"/>
      <c r="B1308" s="38"/>
      <c r="C1308" s="38"/>
      <c r="D1308" s="38"/>
      <c r="E1308" s="38"/>
      <c r="F1308" s="38"/>
      <c r="G1308" s="38"/>
      <c r="H1308" s="38"/>
      <c r="I1308" s="38"/>
      <c r="J1308" s="38"/>
      <c r="K1308" s="38"/>
    </row>
    <row r="1309">
      <c r="A1309" s="38"/>
      <c r="B1309" s="38"/>
      <c r="C1309" s="38"/>
      <c r="D1309" s="38"/>
      <c r="E1309" s="38"/>
      <c r="F1309" s="38"/>
      <c r="G1309" s="38"/>
      <c r="H1309" s="38"/>
      <c r="I1309" s="38"/>
      <c r="J1309" s="38"/>
      <c r="K1309" s="38"/>
    </row>
    <row r="1310">
      <c r="A1310" s="38"/>
      <c r="B1310" s="38"/>
      <c r="C1310" s="38"/>
      <c r="D1310" s="38"/>
      <c r="E1310" s="38"/>
      <c r="F1310" s="38"/>
      <c r="G1310" s="38"/>
      <c r="H1310" s="38"/>
      <c r="I1310" s="38"/>
      <c r="J1310" s="38"/>
      <c r="K1310" s="38"/>
    </row>
    <row r="1311">
      <c r="A1311" s="38"/>
      <c r="B1311" s="38"/>
      <c r="C1311" s="38"/>
      <c r="D1311" s="38"/>
      <c r="E1311" s="38"/>
      <c r="F1311" s="38"/>
      <c r="G1311" s="38"/>
      <c r="H1311" s="38"/>
      <c r="I1311" s="38"/>
      <c r="J1311" s="38"/>
      <c r="K1311" s="38"/>
    </row>
    <row r="1312">
      <c r="A1312" s="38"/>
      <c r="B1312" s="38"/>
      <c r="C1312" s="38"/>
      <c r="D1312" s="38"/>
      <c r="E1312" s="38"/>
      <c r="F1312" s="38"/>
      <c r="G1312" s="38"/>
      <c r="H1312" s="38"/>
      <c r="I1312" s="38"/>
      <c r="J1312" s="38"/>
      <c r="K1312" s="38"/>
    </row>
    <row r="1313">
      <c r="A1313" s="38"/>
      <c r="B1313" s="38"/>
      <c r="C1313" s="38"/>
      <c r="D1313" s="38"/>
      <c r="E1313" s="38"/>
      <c r="F1313" s="38"/>
      <c r="G1313" s="38"/>
      <c r="H1313" s="38"/>
      <c r="I1313" s="38"/>
      <c r="J1313" s="38"/>
      <c r="K1313" s="38"/>
    </row>
    <row r="1314">
      <c r="A1314" s="38"/>
      <c r="B1314" s="38"/>
      <c r="C1314" s="38"/>
      <c r="D1314" s="38"/>
      <c r="E1314" s="38"/>
      <c r="F1314" s="38"/>
      <c r="G1314" s="38"/>
      <c r="H1314" s="38"/>
      <c r="I1314" s="38"/>
      <c r="J1314" s="38"/>
      <c r="K1314" s="38"/>
    </row>
    <row r="1315">
      <c r="A1315" s="38"/>
      <c r="B1315" s="38"/>
      <c r="C1315" s="38"/>
      <c r="D1315" s="38"/>
      <c r="E1315" s="38"/>
      <c r="F1315" s="38"/>
      <c r="G1315" s="38"/>
      <c r="H1315" s="38"/>
      <c r="I1315" s="38"/>
      <c r="J1315" s="38"/>
      <c r="K1315" s="38"/>
    </row>
    <row r="1316">
      <c r="A1316" s="38"/>
      <c r="B1316" s="38"/>
      <c r="C1316" s="38"/>
      <c r="D1316" s="38"/>
      <c r="E1316" s="38"/>
      <c r="F1316" s="38"/>
      <c r="G1316" s="38"/>
      <c r="H1316" s="38"/>
      <c r="I1316" s="38"/>
      <c r="J1316" s="38"/>
      <c r="K1316" s="38"/>
    </row>
    <row r="1317">
      <c r="A1317" s="38"/>
      <c r="B1317" s="38"/>
      <c r="C1317" s="38"/>
      <c r="D1317" s="38"/>
      <c r="E1317" s="38"/>
      <c r="F1317" s="38"/>
      <c r="G1317" s="38"/>
      <c r="H1317" s="38"/>
      <c r="I1317" s="38"/>
      <c r="J1317" s="38"/>
      <c r="K1317" s="38"/>
    </row>
    <row r="1318">
      <c r="A1318" s="38"/>
      <c r="B1318" s="38"/>
      <c r="C1318" s="38"/>
      <c r="D1318" s="38"/>
      <c r="E1318" s="38"/>
      <c r="F1318" s="38"/>
      <c r="G1318" s="38"/>
      <c r="H1318" s="38"/>
      <c r="I1318" s="38"/>
      <c r="J1318" s="38"/>
      <c r="K1318" s="38"/>
    </row>
    <row r="1319">
      <c r="A1319" s="38"/>
      <c r="B1319" s="38"/>
      <c r="C1319" s="38"/>
      <c r="D1319" s="38"/>
      <c r="E1319" s="38"/>
      <c r="F1319" s="38"/>
      <c r="G1319" s="38"/>
      <c r="H1319" s="38"/>
      <c r="I1319" s="38"/>
      <c r="J1319" s="38"/>
      <c r="K1319" s="38"/>
    </row>
    <row r="1320">
      <c r="A1320" s="38"/>
      <c r="B1320" s="38"/>
      <c r="C1320" s="38"/>
      <c r="D1320" s="38"/>
      <c r="E1320" s="38"/>
      <c r="F1320" s="38"/>
      <c r="G1320" s="38"/>
      <c r="H1320" s="38"/>
      <c r="I1320" s="38"/>
      <c r="J1320" s="38"/>
      <c r="K1320" s="38"/>
    </row>
    <row r="1321">
      <c r="A1321" s="38"/>
      <c r="B1321" s="38"/>
      <c r="C1321" s="38"/>
      <c r="D1321" s="38"/>
      <c r="E1321" s="38"/>
      <c r="F1321" s="38"/>
      <c r="G1321" s="38"/>
      <c r="H1321" s="38"/>
      <c r="I1321" s="38"/>
      <c r="J1321" s="38"/>
      <c r="K1321" s="38"/>
    </row>
    <row r="1322">
      <c r="A1322" s="38"/>
      <c r="B1322" s="38"/>
      <c r="C1322" s="38"/>
      <c r="D1322" s="38"/>
      <c r="E1322" s="38"/>
      <c r="F1322" s="38"/>
      <c r="G1322" s="38"/>
      <c r="H1322" s="38"/>
      <c r="I1322" s="38"/>
      <c r="J1322" s="38"/>
      <c r="K1322" s="38"/>
    </row>
    <row r="1323">
      <c r="A1323" s="38"/>
      <c r="B1323" s="38"/>
      <c r="C1323" s="38"/>
      <c r="D1323" s="38"/>
      <c r="E1323" s="38"/>
      <c r="F1323" s="38"/>
      <c r="G1323" s="38"/>
      <c r="H1323" s="38"/>
      <c r="I1323" s="38"/>
      <c r="J1323" s="38"/>
      <c r="K1323" s="38"/>
    </row>
    <row r="1324">
      <c r="A1324" s="38"/>
      <c r="B1324" s="38"/>
      <c r="C1324" s="38"/>
      <c r="D1324" s="38"/>
      <c r="E1324" s="38"/>
      <c r="F1324" s="38"/>
      <c r="G1324" s="38"/>
      <c r="H1324" s="38"/>
      <c r="I1324" s="38"/>
      <c r="J1324" s="38"/>
      <c r="K1324" s="38"/>
    </row>
    <row r="1325">
      <c r="A1325" s="38"/>
      <c r="B1325" s="38"/>
      <c r="C1325" s="38"/>
      <c r="D1325" s="38"/>
      <c r="E1325" s="38"/>
      <c r="F1325" s="38"/>
      <c r="G1325" s="38"/>
      <c r="H1325" s="38"/>
      <c r="I1325" s="38"/>
      <c r="J1325" s="38"/>
      <c r="K1325" s="38"/>
    </row>
    <row r="1326">
      <c r="A1326" s="38"/>
      <c r="B1326" s="38"/>
      <c r="C1326" s="38"/>
      <c r="D1326" s="38"/>
      <c r="E1326" s="38"/>
      <c r="F1326" s="38"/>
      <c r="G1326" s="38"/>
      <c r="H1326" s="38"/>
      <c r="I1326" s="38"/>
      <c r="J1326" s="38"/>
      <c r="K1326" s="38"/>
    </row>
    <row r="1327">
      <c r="A1327" s="38"/>
      <c r="B1327" s="38"/>
      <c r="C1327" s="38"/>
      <c r="D1327" s="38"/>
      <c r="E1327" s="38"/>
      <c r="F1327" s="38"/>
      <c r="G1327" s="38"/>
      <c r="H1327" s="38"/>
      <c r="I1327" s="38"/>
      <c r="J1327" s="38"/>
      <c r="K1327" s="38"/>
    </row>
    <row r="1328">
      <c r="A1328" s="38"/>
      <c r="B1328" s="38"/>
      <c r="C1328" s="38"/>
      <c r="D1328" s="38"/>
      <c r="E1328" s="38"/>
      <c r="F1328" s="38"/>
      <c r="G1328" s="38"/>
      <c r="H1328" s="38"/>
      <c r="I1328" s="38"/>
      <c r="J1328" s="38"/>
      <c r="K1328" s="38"/>
    </row>
    <row r="1329">
      <c r="A1329" s="38"/>
      <c r="B1329" s="38"/>
      <c r="C1329" s="38"/>
      <c r="D1329" s="38"/>
      <c r="E1329" s="38"/>
      <c r="F1329" s="38"/>
      <c r="G1329" s="38"/>
      <c r="H1329" s="38"/>
      <c r="I1329" s="38"/>
      <c r="J1329" s="38"/>
      <c r="K1329" s="38"/>
    </row>
    <row r="1330">
      <c r="A1330" s="38"/>
      <c r="B1330" s="38"/>
      <c r="C1330" s="38"/>
      <c r="D1330" s="38"/>
      <c r="E1330" s="38"/>
      <c r="F1330" s="38"/>
      <c r="G1330" s="38"/>
      <c r="H1330" s="38"/>
      <c r="I1330" s="38"/>
      <c r="J1330" s="38"/>
      <c r="K1330" s="38"/>
    </row>
    <row r="1331">
      <c r="A1331" s="38"/>
      <c r="B1331" s="38"/>
      <c r="C1331" s="38"/>
      <c r="D1331" s="38"/>
      <c r="E1331" s="38"/>
      <c r="F1331" s="38"/>
      <c r="G1331" s="38"/>
      <c r="H1331" s="38"/>
      <c r="I1331" s="38"/>
      <c r="J1331" s="38"/>
      <c r="K1331" s="38"/>
    </row>
    <row r="1332">
      <c r="A1332" s="38"/>
      <c r="B1332" s="38"/>
      <c r="C1332" s="38"/>
      <c r="D1332" s="38"/>
      <c r="E1332" s="38"/>
      <c r="F1332" s="38"/>
      <c r="G1332" s="38"/>
      <c r="H1332" s="38"/>
      <c r="I1332" s="38"/>
      <c r="J1332" s="38"/>
      <c r="K1332" s="38"/>
    </row>
    <row r="1333">
      <c r="A1333" s="38"/>
      <c r="B1333" s="38"/>
      <c r="C1333" s="38"/>
      <c r="D1333" s="38"/>
      <c r="E1333" s="38"/>
      <c r="F1333" s="38"/>
      <c r="G1333" s="38"/>
      <c r="H1333" s="38"/>
      <c r="I1333" s="38"/>
      <c r="J1333" s="38"/>
      <c r="K1333" s="38"/>
    </row>
    <row r="1334">
      <c r="A1334" s="38"/>
      <c r="B1334" s="38"/>
      <c r="C1334" s="38"/>
      <c r="D1334" s="38"/>
      <c r="E1334" s="38"/>
      <c r="F1334" s="38"/>
      <c r="G1334" s="38"/>
      <c r="H1334" s="38"/>
      <c r="I1334" s="38"/>
      <c r="J1334" s="38"/>
      <c r="K1334" s="38"/>
    </row>
    <row r="1335">
      <c r="A1335" s="38"/>
      <c r="B1335" s="38"/>
      <c r="C1335" s="38"/>
      <c r="D1335" s="38"/>
      <c r="E1335" s="38"/>
      <c r="F1335" s="38"/>
      <c r="G1335" s="38"/>
      <c r="H1335" s="38"/>
      <c r="I1335" s="38"/>
      <c r="J1335" s="38"/>
      <c r="K1335" s="38"/>
    </row>
    <row r="1336">
      <c r="A1336" s="38"/>
      <c r="B1336" s="38"/>
      <c r="C1336" s="38"/>
      <c r="D1336" s="38"/>
      <c r="E1336" s="38"/>
      <c r="F1336" s="38"/>
      <c r="G1336" s="38"/>
      <c r="H1336" s="38"/>
      <c r="I1336" s="38"/>
      <c r="J1336" s="38"/>
      <c r="K1336" s="38"/>
    </row>
    <row r="1337">
      <c r="A1337" s="38"/>
      <c r="B1337" s="38"/>
      <c r="C1337" s="38"/>
      <c r="D1337" s="38"/>
      <c r="E1337" s="38"/>
      <c r="F1337" s="38"/>
      <c r="G1337" s="38"/>
      <c r="H1337" s="38"/>
      <c r="I1337" s="38"/>
      <c r="J1337" s="38"/>
      <c r="K1337" s="38"/>
    </row>
    <row r="1338">
      <c r="A1338" s="38"/>
      <c r="B1338" s="38"/>
      <c r="C1338" s="38"/>
      <c r="D1338" s="38"/>
      <c r="E1338" s="38"/>
      <c r="F1338" s="38"/>
      <c r="G1338" s="38"/>
      <c r="H1338" s="38"/>
      <c r="I1338" s="38"/>
      <c r="J1338" s="38"/>
      <c r="K1338" s="38"/>
    </row>
    <row r="1339">
      <c r="A1339" s="38"/>
      <c r="B1339" s="38"/>
      <c r="C1339" s="38"/>
      <c r="D1339" s="38"/>
      <c r="E1339" s="38"/>
      <c r="F1339" s="38"/>
      <c r="G1339" s="38"/>
      <c r="H1339" s="38"/>
      <c r="I1339" s="38"/>
      <c r="J1339" s="38"/>
      <c r="K1339" s="38"/>
    </row>
    <row r="1340">
      <c r="A1340" s="38"/>
      <c r="B1340" s="38"/>
      <c r="C1340" s="38"/>
      <c r="D1340" s="38"/>
      <c r="E1340" s="38"/>
      <c r="F1340" s="38"/>
      <c r="G1340" s="38"/>
      <c r="H1340" s="38"/>
      <c r="I1340" s="38"/>
      <c r="J1340" s="38"/>
      <c r="K1340" s="38"/>
    </row>
    <row r="1341">
      <c r="A1341" s="38"/>
      <c r="B1341" s="38"/>
      <c r="C1341" s="38"/>
      <c r="D1341" s="38"/>
      <c r="E1341" s="38"/>
      <c r="F1341" s="38"/>
      <c r="G1341" s="38"/>
      <c r="H1341" s="38"/>
      <c r="I1341" s="38"/>
      <c r="J1341" s="38"/>
      <c r="K1341" s="38"/>
    </row>
    <row r="1342">
      <c r="A1342" s="38"/>
      <c r="B1342" s="38"/>
      <c r="C1342" s="38"/>
      <c r="D1342" s="38"/>
      <c r="E1342" s="38"/>
      <c r="F1342" s="38"/>
      <c r="G1342" s="38"/>
      <c r="H1342" s="38"/>
      <c r="I1342" s="38"/>
      <c r="J1342" s="38"/>
      <c r="K1342" s="38"/>
    </row>
    <row r="1343">
      <c r="A1343" s="38"/>
      <c r="B1343" s="38"/>
      <c r="C1343" s="38"/>
      <c r="D1343" s="38"/>
      <c r="E1343" s="38"/>
      <c r="F1343" s="38"/>
      <c r="G1343" s="38"/>
      <c r="H1343" s="38"/>
      <c r="I1343" s="38"/>
      <c r="J1343" s="38"/>
      <c r="K1343" s="38"/>
    </row>
    <row r="1344">
      <c r="A1344" s="38"/>
      <c r="B1344" s="38"/>
      <c r="C1344" s="38"/>
      <c r="D1344" s="38"/>
      <c r="E1344" s="38"/>
      <c r="F1344" s="38"/>
      <c r="G1344" s="38"/>
      <c r="H1344" s="38"/>
      <c r="I1344" s="38"/>
      <c r="J1344" s="38"/>
      <c r="K1344" s="38"/>
    </row>
    <row r="1345">
      <c r="A1345" s="38"/>
      <c r="B1345" s="38"/>
      <c r="C1345" s="38"/>
      <c r="D1345" s="38"/>
      <c r="E1345" s="38"/>
      <c r="F1345" s="38"/>
      <c r="G1345" s="38"/>
      <c r="H1345" s="38"/>
      <c r="I1345" s="38"/>
      <c r="J1345" s="38"/>
      <c r="K1345" s="38"/>
    </row>
    <row r="1346">
      <c r="A1346" s="38"/>
      <c r="B1346" s="38"/>
      <c r="C1346" s="38"/>
      <c r="D1346" s="38"/>
      <c r="E1346" s="38"/>
      <c r="F1346" s="38"/>
      <c r="G1346" s="38"/>
      <c r="H1346" s="38"/>
      <c r="I1346" s="38"/>
      <c r="J1346" s="38"/>
      <c r="K1346" s="38"/>
    </row>
    <row r="1347">
      <c r="A1347" s="38"/>
      <c r="B1347" s="38"/>
      <c r="C1347" s="38"/>
      <c r="D1347" s="38"/>
      <c r="E1347" s="38"/>
      <c r="F1347" s="38"/>
      <c r="G1347" s="38"/>
      <c r="H1347" s="38"/>
      <c r="I1347" s="38"/>
      <c r="J1347" s="38"/>
      <c r="K1347" s="38"/>
    </row>
    <row r="1348">
      <c r="A1348" s="38"/>
      <c r="B1348" s="38"/>
      <c r="C1348" s="38"/>
      <c r="D1348" s="38"/>
      <c r="E1348" s="38"/>
      <c r="F1348" s="38"/>
      <c r="G1348" s="38"/>
      <c r="H1348" s="38"/>
      <c r="I1348" s="38"/>
      <c r="J1348" s="38"/>
      <c r="K1348" s="38"/>
    </row>
    <row r="1349">
      <c r="A1349" s="38"/>
      <c r="B1349" s="38"/>
      <c r="C1349" s="38"/>
      <c r="D1349" s="38"/>
      <c r="E1349" s="38"/>
      <c r="F1349" s="38"/>
      <c r="G1349" s="38"/>
      <c r="H1349" s="38"/>
      <c r="I1349" s="38"/>
      <c r="J1349" s="38"/>
      <c r="K1349" s="38"/>
    </row>
    <row r="1350">
      <c r="A1350" s="38"/>
      <c r="B1350" s="38"/>
      <c r="C1350" s="38"/>
      <c r="D1350" s="38"/>
      <c r="E1350" s="38"/>
      <c r="F1350" s="38"/>
      <c r="G1350" s="38"/>
      <c r="H1350" s="38"/>
      <c r="I1350" s="38"/>
      <c r="J1350" s="38"/>
      <c r="K1350" s="38"/>
    </row>
    <row r="1351">
      <c r="A1351" s="38"/>
      <c r="B1351" s="38"/>
      <c r="C1351" s="38"/>
      <c r="D1351" s="38"/>
      <c r="E1351" s="38"/>
      <c r="F1351" s="38"/>
      <c r="G1351" s="38"/>
      <c r="H1351" s="38"/>
      <c r="I1351" s="38"/>
      <c r="J1351" s="38"/>
      <c r="K1351" s="38"/>
    </row>
    <row r="1352">
      <c r="A1352" s="38"/>
      <c r="B1352" s="38"/>
      <c r="C1352" s="38"/>
      <c r="D1352" s="38"/>
      <c r="E1352" s="38"/>
      <c r="F1352" s="38"/>
      <c r="G1352" s="38"/>
      <c r="H1352" s="38"/>
      <c r="I1352" s="38"/>
      <c r="J1352" s="38"/>
      <c r="K1352" s="38"/>
    </row>
    <row r="1353">
      <c r="A1353" s="38"/>
      <c r="B1353" s="38"/>
      <c r="C1353" s="38"/>
      <c r="D1353" s="38"/>
      <c r="E1353" s="38"/>
      <c r="F1353" s="38"/>
      <c r="G1353" s="38"/>
      <c r="H1353" s="38"/>
      <c r="I1353" s="38"/>
      <c r="J1353" s="38"/>
      <c r="K1353" s="38"/>
    </row>
    <row r="1354">
      <c r="A1354" s="38"/>
      <c r="B1354" s="38"/>
      <c r="C1354" s="38"/>
      <c r="D1354" s="38"/>
      <c r="E1354" s="38"/>
      <c r="F1354" s="38"/>
      <c r="G1354" s="38"/>
      <c r="H1354" s="38"/>
      <c r="I1354" s="38"/>
      <c r="J1354" s="38"/>
      <c r="K1354" s="38"/>
    </row>
    <row r="1355">
      <c r="A1355" s="38"/>
      <c r="B1355" s="38"/>
      <c r="C1355" s="38"/>
      <c r="D1355" s="38"/>
      <c r="E1355" s="38"/>
      <c r="F1355" s="38"/>
      <c r="G1355" s="38"/>
      <c r="H1355" s="38"/>
      <c r="I1355" s="38"/>
      <c r="J1355" s="38"/>
      <c r="K1355" s="38"/>
    </row>
    <row r="1356">
      <c r="A1356" s="38"/>
      <c r="B1356" s="38"/>
      <c r="C1356" s="38"/>
      <c r="D1356" s="38"/>
      <c r="E1356" s="38"/>
      <c r="F1356" s="38"/>
      <c r="G1356" s="38"/>
      <c r="H1356" s="38"/>
      <c r="I1356" s="38"/>
      <c r="J1356" s="38"/>
      <c r="K1356" s="38"/>
    </row>
    <row r="1357">
      <c r="A1357" s="38"/>
      <c r="B1357" s="38"/>
      <c r="C1357" s="38"/>
      <c r="D1357" s="38"/>
      <c r="E1357" s="38"/>
      <c r="F1357" s="38"/>
      <c r="G1357" s="38"/>
      <c r="H1357" s="38"/>
      <c r="I1357" s="38"/>
      <c r="J1357" s="38"/>
      <c r="K1357" s="38"/>
    </row>
    <row r="1358">
      <c r="A1358" s="38"/>
      <c r="B1358" s="38"/>
      <c r="C1358" s="38"/>
      <c r="D1358" s="38"/>
      <c r="E1358" s="38"/>
      <c r="F1358" s="38"/>
      <c r="G1358" s="38"/>
      <c r="H1358" s="38"/>
      <c r="I1358" s="38"/>
      <c r="J1358" s="38"/>
      <c r="K1358" s="38"/>
    </row>
    <row r="1359">
      <c r="A1359" s="38"/>
      <c r="B1359" s="38"/>
      <c r="C1359" s="38"/>
      <c r="D1359" s="38"/>
      <c r="E1359" s="38"/>
      <c r="F1359" s="38"/>
      <c r="G1359" s="38"/>
      <c r="H1359" s="38"/>
      <c r="I1359" s="38"/>
      <c r="J1359" s="38"/>
      <c r="K1359" s="38"/>
    </row>
    <row r="1360">
      <c r="A1360" s="38"/>
      <c r="B1360" s="38"/>
      <c r="C1360" s="38"/>
      <c r="D1360" s="38"/>
      <c r="E1360" s="38"/>
      <c r="F1360" s="38"/>
      <c r="G1360" s="38"/>
      <c r="H1360" s="38"/>
      <c r="I1360" s="38"/>
      <c r="J1360" s="38"/>
      <c r="K1360" s="38"/>
    </row>
    <row r="1361">
      <c r="A1361" s="38"/>
      <c r="B1361" s="38"/>
      <c r="C1361" s="38"/>
      <c r="D1361" s="38"/>
      <c r="E1361" s="38"/>
      <c r="F1361" s="38"/>
      <c r="G1361" s="38"/>
      <c r="H1361" s="38"/>
      <c r="I1361" s="38"/>
      <c r="J1361" s="38"/>
      <c r="K1361" s="38"/>
    </row>
    <row r="1362">
      <c r="A1362" s="38"/>
      <c r="B1362" s="38"/>
      <c r="C1362" s="38"/>
      <c r="D1362" s="38"/>
      <c r="E1362" s="38"/>
      <c r="F1362" s="38"/>
      <c r="G1362" s="38"/>
      <c r="H1362" s="38"/>
      <c r="I1362" s="38"/>
      <c r="J1362" s="38"/>
      <c r="K1362" s="38"/>
    </row>
    <row r="1363">
      <c r="A1363" s="38"/>
      <c r="B1363" s="38"/>
      <c r="C1363" s="38"/>
      <c r="D1363" s="38"/>
      <c r="E1363" s="38"/>
      <c r="F1363" s="38"/>
      <c r="G1363" s="38"/>
      <c r="H1363" s="38"/>
      <c r="I1363" s="38"/>
      <c r="J1363" s="38"/>
      <c r="K1363" s="38"/>
    </row>
    <row r="1364">
      <c r="A1364" s="38"/>
      <c r="B1364" s="38"/>
      <c r="C1364" s="38"/>
      <c r="D1364" s="38"/>
      <c r="E1364" s="38"/>
      <c r="F1364" s="38"/>
      <c r="G1364" s="38"/>
      <c r="H1364" s="38"/>
      <c r="I1364" s="38"/>
      <c r="J1364" s="38"/>
      <c r="K1364" s="38"/>
    </row>
    <row r="1365">
      <c r="A1365" s="38"/>
      <c r="B1365" s="38"/>
      <c r="C1365" s="38"/>
      <c r="D1365" s="38"/>
      <c r="E1365" s="38"/>
      <c r="F1365" s="38"/>
      <c r="G1365" s="38"/>
      <c r="H1365" s="38"/>
      <c r="I1365" s="38"/>
      <c r="J1365" s="38"/>
      <c r="K1365" s="38"/>
    </row>
    <row r="1366">
      <c r="A1366" s="38"/>
      <c r="B1366" s="38"/>
      <c r="C1366" s="38"/>
      <c r="D1366" s="38"/>
      <c r="E1366" s="38"/>
      <c r="F1366" s="38"/>
      <c r="G1366" s="38"/>
      <c r="H1366" s="38"/>
      <c r="I1366" s="38"/>
      <c r="J1366" s="38"/>
      <c r="K1366" s="38"/>
    </row>
    <row r="1367">
      <c r="A1367" s="38"/>
      <c r="B1367" s="38"/>
      <c r="C1367" s="38"/>
      <c r="D1367" s="38"/>
      <c r="E1367" s="38"/>
      <c r="F1367" s="38"/>
      <c r="G1367" s="38"/>
      <c r="H1367" s="38"/>
      <c r="I1367" s="38"/>
      <c r="J1367" s="38"/>
      <c r="K1367" s="38"/>
    </row>
    <row r="1368">
      <c r="A1368" s="38"/>
      <c r="B1368" s="38"/>
      <c r="C1368" s="38"/>
      <c r="D1368" s="38"/>
      <c r="E1368" s="38"/>
      <c r="F1368" s="38"/>
      <c r="G1368" s="38"/>
      <c r="H1368" s="38"/>
      <c r="I1368" s="38"/>
      <c r="J1368" s="38"/>
      <c r="K1368" s="38"/>
    </row>
    <row r="1369">
      <c r="A1369" s="38"/>
      <c r="B1369" s="38"/>
      <c r="C1369" s="38"/>
      <c r="D1369" s="38"/>
      <c r="E1369" s="38"/>
      <c r="F1369" s="38"/>
      <c r="G1369" s="38"/>
      <c r="H1369" s="38"/>
      <c r="I1369" s="38"/>
      <c r="J1369" s="38"/>
      <c r="K1369" s="38"/>
    </row>
    <row r="1370">
      <c r="A1370" s="38"/>
      <c r="B1370" s="38"/>
      <c r="C1370" s="38"/>
      <c r="D1370" s="38"/>
      <c r="E1370" s="38"/>
      <c r="F1370" s="38"/>
      <c r="G1370" s="38"/>
      <c r="H1370" s="38"/>
      <c r="I1370" s="38"/>
      <c r="J1370" s="38"/>
      <c r="K1370" s="38"/>
    </row>
    <row r="1371">
      <c r="A1371" s="38"/>
      <c r="B1371" s="38"/>
      <c r="C1371" s="38"/>
      <c r="D1371" s="38"/>
      <c r="E1371" s="38"/>
      <c r="F1371" s="38"/>
      <c r="G1371" s="38"/>
      <c r="H1371" s="38"/>
      <c r="I1371" s="38"/>
      <c r="J1371" s="38"/>
      <c r="K1371" s="38"/>
    </row>
    <row r="1372">
      <c r="A1372" s="38"/>
      <c r="B1372" s="38"/>
      <c r="C1372" s="38"/>
      <c r="D1372" s="38"/>
      <c r="E1372" s="38"/>
      <c r="F1372" s="38"/>
      <c r="G1372" s="38"/>
      <c r="H1372" s="38"/>
      <c r="I1372" s="38"/>
      <c r="J1372" s="38"/>
      <c r="K1372" s="38"/>
    </row>
    <row r="1373">
      <c r="A1373" s="38"/>
      <c r="B1373" s="38"/>
      <c r="C1373" s="38"/>
      <c r="D1373" s="38"/>
      <c r="E1373" s="38"/>
      <c r="F1373" s="38"/>
      <c r="G1373" s="38"/>
      <c r="H1373" s="38"/>
      <c r="I1373" s="38"/>
      <c r="J1373" s="38"/>
      <c r="K1373" s="38"/>
    </row>
    <row r="1374">
      <c r="A1374" s="38"/>
      <c r="B1374" s="38"/>
      <c r="C1374" s="38"/>
      <c r="D1374" s="38"/>
      <c r="E1374" s="38"/>
      <c r="F1374" s="38"/>
      <c r="G1374" s="38"/>
      <c r="H1374" s="38"/>
      <c r="I1374" s="38"/>
      <c r="J1374" s="38"/>
      <c r="K1374" s="38"/>
    </row>
    <row r="1375">
      <c r="A1375" s="38"/>
      <c r="B1375" s="38"/>
      <c r="C1375" s="38"/>
      <c r="D1375" s="38"/>
      <c r="E1375" s="38"/>
      <c r="F1375" s="38"/>
      <c r="G1375" s="38"/>
      <c r="H1375" s="38"/>
      <c r="I1375" s="38"/>
      <c r="J1375" s="38"/>
      <c r="K1375" s="38"/>
    </row>
    <row r="1376">
      <c r="A1376" s="38"/>
      <c r="B1376" s="38"/>
      <c r="C1376" s="38"/>
      <c r="D1376" s="38"/>
      <c r="E1376" s="38"/>
      <c r="F1376" s="38"/>
      <c r="G1376" s="38"/>
      <c r="H1376" s="38"/>
      <c r="I1376" s="38"/>
      <c r="J1376" s="38"/>
      <c r="K1376" s="38"/>
    </row>
    <row r="1377">
      <c r="A1377" s="38"/>
      <c r="B1377" s="38"/>
      <c r="C1377" s="38"/>
      <c r="D1377" s="38"/>
      <c r="E1377" s="38"/>
      <c r="F1377" s="38"/>
      <c r="G1377" s="38"/>
      <c r="H1377" s="38"/>
      <c r="I1377" s="38"/>
      <c r="J1377" s="38"/>
      <c r="K1377" s="38"/>
    </row>
    <row r="1378">
      <c r="A1378" s="38"/>
      <c r="B1378" s="38"/>
      <c r="C1378" s="38"/>
      <c r="D1378" s="38"/>
      <c r="E1378" s="38"/>
      <c r="F1378" s="38"/>
      <c r="G1378" s="38"/>
      <c r="H1378" s="38"/>
      <c r="I1378" s="38"/>
      <c r="J1378" s="38"/>
      <c r="K1378" s="38"/>
    </row>
    <row r="1379">
      <c r="A1379" s="38"/>
      <c r="B1379" s="38"/>
      <c r="C1379" s="38"/>
      <c r="D1379" s="38"/>
      <c r="E1379" s="38"/>
      <c r="F1379" s="38"/>
      <c r="G1379" s="38"/>
      <c r="H1379" s="38"/>
      <c r="I1379" s="38"/>
      <c r="J1379" s="38"/>
      <c r="K1379" s="38"/>
    </row>
    <row r="1380">
      <c r="A1380" s="38"/>
      <c r="B1380" s="38"/>
      <c r="C1380" s="38"/>
      <c r="D1380" s="38"/>
      <c r="E1380" s="38"/>
      <c r="F1380" s="38"/>
      <c r="G1380" s="38"/>
      <c r="H1380" s="38"/>
      <c r="I1380" s="38"/>
      <c r="J1380" s="38"/>
      <c r="K1380" s="38"/>
    </row>
    <row r="1381">
      <c r="A1381" s="38"/>
      <c r="B1381" s="38"/>
      <c r="C1381" s="38"/>
      <c r="D1381" s="38"/>
      <c r="E1381" s="38"/>
      <c r="F1381" s="38"/>
      <c r="G1381" s="38"/>
      <c r="H1381" s="38"/>
      <c r="I1381" s="38"/>
      <c r="J1381" s="38"/>
      <c r="K1381" s="38"/>
    </row>
    <row r="1382">
      <c r="A1382" s="38"/>
      <c r="B1382" s="38"/>
      <c r="C1382" s="38"/>
      <c r="D1382" s="38"/>
      <c r="E1382" s="38"/>
      <c r="F1382" s="38"/>
      <c r="G1382" s="38"/>
      <c r="H1382" s="38"/>
      <c r="I1382" s="38"/>
      <c r="J1382" s="38"/>
      <c r="K1382" s="38"/>
    </row>
    <row r="1383">
      <c r="A1383" s="38"/>
      <c r="B1383" s="38"/>
      <c r="C1383" s="38"/>
      <c r="D1383" s="38"/>
      <c r="E1383" s="38"/>
      <c r="F1383" s="38"/>
      <c r="G1383" s="38"/>
      <c r="H1383" s="38"/>
      <c r="I1383" s="38"/>
      <c r="J1383" s="38"/>
      <c r="K1383" s="38"/>
    </row>
    <row r="1384">
      <c r="A1384" s="38"/>
      <c r="B1384" s="38"/>
      <c r="C1384" s="38"/>
      <c r="D1384" s="38"/>
      <c r="E1384" s="38"/>
      <c r="F1384" s="38"/>
      <c r="G1384" s="38"/>
      <c r="H1384" s="38"/>
      <c r="I1384" s="38"/>
      <c r="J1384" s="38"/>
      <c r="K1384" s="38"/>
    </row>
    <row r="1385">
      <c r="A1385" s="38"/>
      <c r="B1385" s="38"/>
      <c r="C1385" s="38"/>
      <c r="D1385" s="38"/>
      <c r="E1385" s="38"/>
      <c r="F1385" s="38"/>
      <c r="G1385" s="38"/>
      <c r="H1385" s="38"/>
      <c r="I1385" s="38"/>
      <c r="J1385" s="38"/>
      <c r="K1385" s="38"/>
    </row>
    <row r="1386">
      <c r="A1386" s="38"/>
      <c r="B1386" s="38"/>
      <c r="C1386" s="38"/>
      <c r="D1386" s="38"/>
      <c r="E1386" s="38"/>
      <c r="F1386" s="38"/>
      <c r="G1386" s="38"/>
      <c r="H1386" s="38"/>
      <c r="I1386" s="38"/>
      <c r="J1386" s="38"/>
      <c r="K1386" s="38"/>
    </row>
    <row r="1387">
      <c r="A1387" s="38"/>
      <c r="B1387" s="38"/>
      <c r="C1387" s="38"/>
      <c r="D1387" s="38"/>
      <c r="E1387" s="38"/>
      <c r="F1387" s="38"/>
      <c r="G1387" s="38"/>
      <c r="H1387" s="38"/>
      <c r="I1387" s="38"/>
      <c r="J1387" s="38"/>
      <c r="K1387" s="38"/>
    </row>
    <row r="1388">
      <c r="A1388" s="38"/>
      <c r="B1388" s="38"/>
      <c r="C1388" s="38"/>
      <c r="D1388" s="38"/>
      <c r="E1388" s="38"/>
      <c r="F1388" s="38"/>
      <c r="G1388" s="38"/>
      <c r="H1388" s="38"/>
      <c r="I1388" s="38"/>
      <c r="J1388" s="38"/>
      <c r="K1388" s="38"/>
    </row>
    <row r="1389">
      <c r="A1389" s="38"/>
      <c r="B1389" s="38"/>
      <c r="C1389" s="38"/>
      <c r="D1389" s="38"/>
      <c r="E1389" s="38"/>
      <c r="F1389" s="38"/>
      <c r="G1389" s="38"/>
      <c r="H1389" s="38"/>
      <c r="I1389" s="38"/>
      <c r="J1389" s="38"/>
      <c r="K1389" s="38"/>
    </row>
    <row r="1390">
      <c r="A1390" s="38"/>
      <c r="B1390" s="38"/>
      <c r="C1390" s="38"/>
      <c r="D1390" s="38"/>
      <c r="E1390" s="38"/>
      <c r="F1390" s="38"/>
      <c r="G1390" s="38"/>
      <c r="H1390" s="38"/>
      <c r="I1390" s="38"/>
      <c r="J1390" s="38"/>
      <c r="K1390" s="38"/>
    </row>
    <row r="1391">
      <c r="A1391" s="38"/>
      <c r="B1391" s="38"/>
      <c r="C1391" s="38"/>
      <c r="D1391" s="38"/>
      <c r="E1391" s="38"/>
      <c r="F1391" s="38"/>
      <c r="G1391" s="38"/>
      <c r="H1391" s="38"/>
      <c r="I1391" s="38"/>
      <c r="J1391" s="38"/>
      <c r="K1391" s="38"/>
    </row>
    <row r="1392">
      <c r="A1392" s="38"/>
      <c r="B1392" s="38"/>
      <c r="C1392" s="38"/>
      <c r="D1392" s="38"/>
      <c r="E1392" s="38"/>
      <c r="F1392" s="38"/>
      <c r="G1392" s="38"/>
      <c r="H1392" s="38"/>
      <c r="I1392" s="38"/>
      <c r="J1392" s="38"/>
      <c r="K1392" s="38"/>
    </row>
    <row r="1393">
      <c r="A1393" s="38"/>
      <c r="B1393" s="38"/>
      <c r="C1393" s="38"/>
      <c r="D1393" s="38"/>
      <c r="E1393" s="38"/>
      <c r="F1393" s="38"/>
      <c r="G1393" s="38"/>
      <c r="H1393" s="38"/>
      <c r="I1393" s="38"/>
      <c r="J1393" s="38"/>
      <c r="K1393" s="38"/>
    </row>
    <row r="1394">
      <c r="A1394" s="38"/>
      <c r="B1394" s="38"/>
      <c r="C1394" s="38"/>
      <c r="D1394" s="38"/>
      <c r="E1394" s="38"/>
      <c r="F1394" s="38"/>
      <c r="G1394" s="38"/>
      <c r="H1394" s="38"/>
      <c r="I1394" s="38"/>
      <c r="J1394" s="38"/>
      <c r="K1394" s="38"/>
    </row>
    <row r="1395">
      <c r="A1395" s="38"/>
      <c r="B1395" s="38"/>
      <c r="C1395" s="38"/>
      <c r="D1395" s="38"/>
      <c r="E1395" s="38"/>
      <c r="F1395" s="38"/>
      <c r="G1395" s="38"/>
      <c r="H1395" s="38"/>
      <c r="I1395" s="38"/>
      <c r="J1395" s="38"/>
      <c r="K1395" s="38"/>
    </row>
    <row r="1396">
      <c r="A1396" s="38"/>
      <c r="B1396" s="38"/>
      <c r="C1396" s="38"/>
      <c r="D1396" s="38"/>
      <c r="E1396" s="38"/>
      <c r="F1396" s="38"/>
      <c r="G1396" s="38"/>
      <c r="H1396" s="38"/>
      <c r="I1396" s="38"/>
      <c r="J1396" s="38"/>
      <c r="K1396" s="38"/>
    </row>
    <row r="1397">
      <c r="A1397" s="38"/>
      <c r="B1397" s="38"/>
      <c r="C1397" s="38"/>
      <c r="D1397" s="38"/>
      <c r="E1397" s="38"/>
      <c r="F1397" s="38"/>
      <c r="G1397" s="38"/>
      <c r="H1397" s="38"/>
      <c r="I1397" s="38"/>
      <c r="J1397" s="38"/>
      <c r="K1397" s="38"/>
    </row>
    <row r="1398">
      <c r="A1398" s="38"/>
      <c r="B1398" s="38"/>
      <c r="C1398" s="38"/>
      <c r="D1398" s="38"/>
      <c r="E1398" s="38"/>
      <c r="F1398" s="38"/>
      <c r="G1398" s="38"/>
      <c r="H1398" s="38"/>
      <c r="I1398" s="38"/>
      <c r="J1398" s="38"/>
      <c r="K1398" s="38"/>
    </row>
    <row r="1399">
      <c r="A1399" s="38"/>
      <c r="B1399" s="38"/>
      <c r="C1399" s="38"/>
      <c r="D1399" s="38"/>
      <c r="E1399" s="38"/>
      <c r="F1399" s="38"/>
      <c r="G1399" s="38"/>
      <c r="H1399" s="38"/>
      <c r="I1399" s="38"/>
      <c r="J1399" s="38"/>
      <c r="K1399" s="38"/>
    </row>
    <row r="1400">
      <c r="A1400" s="38"/>
      <c r="B1400" s="38"/>
      <c r="C1400" s="38"/>
      <c r="D1400" s="38"/>
      <c r="E1400" s="38"/>
      <c r="F1400" s="38"/>
      <c r="G1400" s="38"/>
      <c r="H1400" s="38"/>
      <c r="I1400" s="38"/>
      <c r="J1400" s="38"/>
      <c r="K1400" s="38"/>
    </row>
    <row r="1401">
      <c r="A1401" s="38"/>
      <c r="B1401" s="38"/>
      <c r="C1401" s="38"/>
      <c r="D1401" s="38"/>
      <c r="E1401" s="38"/>
      <c r="F1401" s="38"/>
      <c r="G1401" s="38"/>
      <c r="H1401" s="38"/>
      <c r="I1401" s="38"/>
      <c r="J1401" s="38"/>
      <c r="K1401" s="38"/>
    </row>
    <row r="1402">
      <c r="A1402" s="38"/>
      <c r="B1402" s="38"/>
      <c r="C1402" s="38"/>
      <c r="D1402" s="38"/>
      <c r="E1402" s="38"/>
      <c r="F1402" s="38"/>
      <c r="G1402" s="38"/>
      <c r="H1402" s="38"/>
      <c r="I1402" s="38"/>
      <c r="J1402" s="38"/>
      <c r="K1402" s="38"/>
    </row>
    <row r="1403">
      <c r="A1403" s="38"/>
      <c r="B1403" s="38"/>
      <c r="C1403" s="38"/>
      <c r="D1403" s="38"/>
      <c r="E1403" s="38"/>
      <c r="F1403" s="38"/>
      <c r="G1403" s="38"/>
      <c r="H1403" s="38"/>
      <c r="I1403" s="38"/>
      <c r="J1403" s="38"/>
      <c r="K1403" s="38"/>
    </row>
    <row r="1404">
      <c r="A1404" s="38"/>
      <c r="B1404" s="38"/>
      <c r="C1404" s="38"/>
      <c r="D1404" s="38"/>
      <c r="E1404" s="38"/>
      <c r="F1404" s="38"/>
      <c r="G1404" s="38"/>
      <c r="H1404" s="38"/>
      <c r="I1404" s="38"/>
      <c r="J1404" s="38"/>
      <c r="K1404" s="38"/>
    </row>
    <row r="1405">
      <c r="A1405" s="38"/>
      <c r="B1405" s="38"/>
      <c r="C1405" s="38"/>
      <c r="D1405" s="38"/>
      <c r="E1405" s="38"/>
      <c r="F1405" s="38"/>
      <c r="G1405" s="38"/>
      <c r="H1405" s="38"/>
      <c r="I1405" s="38"/>
      <c r="J1405" s="38"/>
      <c r="K1405" s="38"/>
    </row>
    <row r="1406">
      <c r="A1406" s="38"/>
      <c r="B1406" s="38"/>
      <c r="C1406" s="38"/>
      <c r="D1406" s="38"/>
      <c r="E1406" s="38"/>
      <c r="F1406" s="38"/>
      <c r="G1406" s="38"/>
      <c r="H1406" s="38"/>
      <c r="I1406" s="38"/>
      <c r="J1406" s="38"/>
      <c r="K1406" s="38"/>
    </row>
    <row r="1407">
      <c r="A1407" s="38"/>
      <c r="B1407" s="38"/>
      <c r="C1407" s="38"/>
      <c r="D1407" s="38"/>
      <c r="E1407" s="38"/>
      <c r="F1407" s="38"/>
      <c r="G1407" s="38"/>
      <c r="H1407" s="38"/>
      <c r="I1407" s="38"/>
      <c r="J1407" s="38"/>
      <c r="K1407" s="38"/>
    </row>
    <row r="1408">
      <c r="A1408" s="38"/>
      <c r="B1408" s="38"/>
      <c r="C1408" s="38"/>
      <c r="D1408" s="38"/>
      <c r="E1408" s="38"/>
      <c r="F1408" s="38"/>
      <c r="G1408" s="38"/>
      <c r="H1408" s="38"/>
      <c r="I1408" s="38"/>
      <c r="J1408" s="38"/>
      <c r="K1408" s="38"/>
    </row>
    <row r="1409">
      <c r="A1409" s="38"/>
      <c r="B1409" s="38"/>
      <c r="C1409" s="38"/>
      <c r="D1409" s="38"/>
      <c r="E1409" s="38"/>
      <c r="F1409" s="38"/>
      <c r="G1409" s="38"/>
      <c r="H1409" s="38"/>
      <c r="I1409" s="38"/>
      <c r="J1409" s="38"/>
      <c r="K1409" s="38"/>
    </row>
    <row r="1410">
      <c r="A1410" s="38"/>
      <c r="B1410" s="38"/>
      <c r="C1410" s="38"/>
      <c r="D1410" s="38"/>
      <c r="E1410" s="38"/>
      <c r="F1410" s="38"/>
      <c r="G1410" s="38"/>
      <c r="H1410" s="38"/>
      <c r="I1410" s="38"/>
      <c r="J1410" s="38"/>
      <c r="K1410" s="38"/>
    </row>
    <row r="1411">
      <c r="A1411" s="38"/>
      <c r="B1411" s="38"/>
      <c r="C1411" s="38"/>
      <c r="D1411" s="38"/>
      <c r="E1411" s="38"/>
      <c r="F1411" s="38"/>
      <c r="G1411" s="38"/>
      <c r="H1411" s="38"/>
      <c r="I1411" s="38"/>
      <c r="J1411" s="38"/>
      <c r="K1411" s="38"/>
    </row>
    <row r="1412">
      <c r="A1412" s="38"/>
      <c r="B1412" s="38"/>
      <c r="C1412" s="38"/>
      <c r="D1412" s="38"/>
      <c r="E1412" s="38"/>
      <c r="F1412" s="38"/>
      <c r="G1412" s="38"/>
      <c r="H1412" s="38"/>
      <c r="I1412" s="38"/>
      <c r="J1412" s="38"/>
      <c r="K1412" s="38"/>
    </row>
    <row r="1413">
      <c r="A1413" s="38"/>
      <c r="B1413" s="38"/>
      <c r="C1413" s="38"/>
      <c r="D1413" s="38"/>
      <c r="E1413" s="38"/>
      <c r="F1413" s="38"/>
      <c r="G1413" s="38"/>
      <c r="H1413" s="38"/>
      <c r="I1413" s="38"/>
      <c r="J1413" s="38"/>
      <c r="K1413" s="38"/>
    </row>
    <row r="1414">
      <c r="A1414" s="38"/>
      <c r="B1414" s="38"/>
      <c r="C1414" s="38"/>
      <c r="D1414" s="38"/>
      <c r="E1414" s="38"/>
      <c r="F1414" s="38"/>
      <c r="G1414" s="38"/>
      <c r="H1414" s="38"/>
      <c r="I1414" s="38"/>
      <c r="J1414" s="38"/>
      <c r="K1414" s="38"/>
    </row>
    <row r="1415">
      <c r="A1415" s="38"/>
      <c r="B1415" s="38"/>
      <c r="C1415" s="38"/>
      <c r="D1415" s="38"/>
      <c r="E1415" s="38"/>
      <c r="F1415" s="38"/>
      <c r="G1415" s="38"/>
      <c r="H1415" s="38"/>
      <c r="I1415" s="38"/>
      <c r="J1415" s="38"/>
      <c r="K1415" s="38"/>
    </row>
    <row r="1416">
      <c r="A1416" s="38"/>
      <c r="B1416" s="38"/>
      <c r="C1416" s="38"/>
      <c r="D1416" s="38"/>
      <c r="E1416" s="38"/>
      <c r="F1416" s="38"/>
      <c r="G1416" s="38"/>
      <c r="H1416" s="38"/>
      <c r="I1416" s="38"/>
      <c r="J1416" s="38"/>
      <c r="K1416" s="38"/>
    </row>
    <row r="1417">
      <c r="A1417" s="38"/>
      <c r="B1417" s="38"/>
      <c r="C1417" s="38"/>
      <c r="D1417" s="38"/>
      <c r="E1417" s="38"/>
      <c r="F1417" s="38"/>
      <c r="G1417" s="38"/>
      <c r="H1417" s="38"/>
      <c r="I1417" s="38"/>
      <c r="J1417" s="38"/>
      <c r="K1417" s="38"/>
    </row>
    <row r="1418">
      <c r="A1418" s="38"/>
      <c r="B1418" s="38"/>
      <c r="C1418" s="38"/>
      <c r="D1418" s="38"/>
      <c r="E1418" s="38"/>
      <c r="F1418" s="38"/>
      <c r="G1418" s="38"/>
      <c r="H1418" s="38"/>
      <c r="I1418" s="38"/>
      <c r="J1418" s="38"/>
      <c r="K1418" s="38"/>
    </row>
    <row r="1419">
      <c r="A1419" s="38"/>
      <c r="B1419" s="38"/>
      <c r="C1419" s="38"/>
      <c r="D1419" s="38"/>
      <c r="E1419" s="38"/>
      <c r="F1419" s="38"/>
      <c r="G1419" s="38"/>
      <c r="H1419" s="38"/>
      <c r="I1419" s="38"/>
      <c r="J1419" s="38"/>
      <c r="K1419" s="38"/>
    </row>
    <row r="1420">
      <c r="A1420" s="38"/>
      <c r="B1420" s="38"/>
      <c r="C1420" s="38"/>
      <c r="D1420" s="38"/>
      <c r="E1420" s="38"/>
      <c r="F1420" s="38"/>
      <c r="G1420" s="38"/>
      <c r="H1420" s="38"/>
      <c r="I1420" s="38"/>
      <c r="J1420" s="38"/>
      <c r="K1420" s="38"/>
    </row>
    <row r="1421">
      <c r="A1421" s="38"/>
      <c r="B1421" s="38"/>
      <c r="C1421" s="38"/>
      <c r="D1421" s="38"/>
      <c r="E1421" s="38"/>
      <c r="F1421" s="38"/>
      <c r="G1421" s="38"/>
      <c r="H1421" s="38"/>
      <c r="I1421" s="38"/>
      <c r="J1421" s="38"/>
      <c r="K1421" s="38"/>
    </row>
    <row r="1422">
      <c r="A1422" s="38"/>
      <c r="B1422" s="38"/>
      <c r="C1422" s="38"/>
      <c r="D1422" s="38"/>
      <c r="E1422" s="38"/>
      <c r="F1422" s="38"/>
      <c r="G1422" s="38"/>
      <c r="H1422" s="38"/>
      <c r="I1422" s="38"/>
      <c r="J1422" s="38"/>
      <c r="K1422" s="38"/>
    </row>
    <row r="1423">
      <c r="A1423" s="38"/>
      <c r="B1423" s="38"/>
      <c r="C1423" s="38"/>
      <c r="D1423" s="38"/>
      <c r="E1423" s="38"/>
      <c r="F1423" s="38"/>
      <c r="G1423" s="38"/>
      <c r="H1423" s="38"/>
      <c r="I1423" s="38"/>
      <c r="J1423" s="38"/>
      <c r="K1423" s="38"/>
    </row>
    <row r="1424">
      <c r="A1424" s="38"/>
      <c r="B1424" s="38"/>
      <c r="C1424" s="38"/>
      <c r="D1424" s="38"/>
      <c r="E1424" s="38"/>
      <c r="F1424" s="38"/>
      <c r="G1424" s="38"/>
      <c r="H1424" s="38"/>
      <c r="I1424" s="38"/>
      <c r="J1424" s="38"/>
      <c r="K1424" s="38"/>
    </row>
    <row r="1425">
      <c r="A1425" s="38"/>
      <c r="B1425" s="38"/>
      <c r="C1425" s="38"/>
      <c r="D1425" s="38"/>
      <c r="E1425" s="38"/>
      <c r="F1425" s="38"/>
      <c r="G1425" s="38"/>
      <c r="H1425" s="38"/>
      <c r="I1425" s="38"/>
      <c r="J1425" s="38"/>
      <c r="K1425" s="38"/>
    </row>
    <row r="1426">
      <c r="A1426" s="38"/>
      <c r="B1426" s="38"/>
      <c r="C1426" s="38"/>
      <c r="D1426" s="38"/>
      <c r="E1426" s="38"/>
      <c r="F1426" s="38"/>
      <c r="G1426" s="38"/>
      <c r="H1426" s="38"/>
      <c r="I1426" s="38"/>
      <c r="J1426" s="38"/>
      <c r="K1426" s="38"/>
    </row>
    <row r="1427">
      <c r="A1427" s="38"/>
      <c r="B1427" s="38"/>
      <c r="C1427" s="38"/>
      <c r="D1427" s="38"/>
      <c r="E1427" s="38"/>
      <c r="F1427" s="38"/>
      <c r="G1427" s="38"/>
      <c r="H1427" s="38"/>
      <c r="I1427" s="38"/>
      <c r="J1427" s="38"/>
      <c r="K1427" s="38"/>
    </row>
    <row r="1428">
      <c r="A1428" s="38"/>
      <c r="B1428" s="38"/>
      <c r="C1428" s="38"/>
      <c r="D1428" s="38"/>
      <c r="E1428" s="38"/>
      <c r="F1428" s="38"/>
      <c r="G1428" s="38"/>
      <c r="H1428" s="38"/>
      <c r="I1428" s="38"/>
      <c r="J1428" s="38"/>
      <c r="K1428" s="38"/>
    </row>
    <row r="1429">
      <c r="A1429" s="38"/>
      <c r="B1429" s="38"/>
      <c r="C1429" s="38"/>
      <c r="D1429" s="38"/>
      <c r="E1429" s="38"/>
      <c r="F1429" s="38"/>
      <c r="G1429" s="38"/>
      <c r="H1429" s="38"/>
      <c r="I1429" s="38"/>
      <c r="J1429" s="38"/>
      <c r="K1429" s="38"/>
    </row>
    <row r="1430">
      <c r="A1430" s="38"/>
      <c r="B1430" s="38"/>
      <c r="C1430" s="38"/>
      <c r="D1430" s="38"/>
      <c r="E1430" s="38"/>
      <c r="F1430" s="38"/>
      <c r="G1430" s="38"/>
      <c r="H1430" s="38"/>
      <c r="I1430" s="38"/>
      <c r="J1430" s="38"/>
      <c r="K1430" s="38"/>
    </row>
    <row r="1431">
      <c r="A1431" s="38"/>
      <c r="B1431" s="38"/>
      <c r="C1431" s="38"/>
      <c r="D1431" s="38"/>
      <c r="E1431" s="38"/>
      <c r="F1431" s="38"/>
      <c r="G1431" s="38"/>
      <c r="H1431" s="38"/>
      <c r="I1431" s="38"/>
      <c r="J1431" s="38"/>
      <c r="K1431" s="38"/>
    </row>
    <row r="1432">
      <c r="A1432" s="38"/>
      <c r="B1432" s="38"/>
      <c r="C1432" s="38"/>
      <c r="D1432" s="38"/>
      <c r="E1432" s="38"/>
      <c r="F1432" s="38"/>
      <c r="G1432" s="38"/>
      <c r="H1432" s="38"/>
      <c r="I1432" s="38"/>
      <c r="J1432" s="38"/>
      <c r="K1432" s="38"/>
    </row>
    <row r="1433">
      <c r="A1433" s="38"/>
      <c r="B1433" s="38"/>
      <c r="C1433" s="38"/>
      <c r="D1433" s="38"/>
      <c r="E1433" s="38"/>
      <c r="F1433" s="38"/>
      <c r="G1433" s="38"/>
      <c r="H1433" s="38"/>
      <c r="I1433" s="38"/>
      <c r="J1433" s="38"/>
      <c r="K1433" s="38"/>
    </row>
    <row r="1434">
      <c r="A1434" s="38"/>
      <c r="B1434" s="38"/>
      <c r="C1434" s="38"/>
      <c r="D1434" s="38"/>
      <c r="E1434" s="38"/>
      <c r="F1434" s="38"/>
      <c r="G1434" s="38"/>
      <c r="H1434" s="38"/>
      <c r="I1434" s="38"/>
      <c r="J1434" s="38"/>
      <c r="K1434" s="38"/>
    </row>
    <row r="1435">
      <c r="A1435" s="38"/>
      <c r="B1435" s="38"/>
      <c r="C1435" s="38"/>
      <c r="D1435" s="38"/>
      <c r="E1435" s="38"/>
      <c r="F1435" s="38"/>
      <c r="G1435" s="38"/>
      <c r="H1435" s="38"/>
      <c r="I1435" s="38"/>
      <c r="J1435" s="38"/>
      <c r="K1435" s="38"/>
    </row>
    <row r="1436">
      <c r="A1436" s="38"/>
      <c r="B1436" s="38"/>
      <c r="C1436" s="38"/>
      <c r="D1436" s="38"/>
      <c r="E1436" s="38"/>
      <c r="F1436" s="38"/>
      <c r="G1436" s="38"/>
      <c r="H1436" s="38"/>
      <c r="I1436" s="38"/>
      <c r="J1436" s="38"/>
      <c r="K1436" s="38"/>
    </row>
    <row r="1437">
      <c r="A1437" s="38"/>
      <c r="B1437" s="38"/>
      <c r="C1437" s="38"/>
      <c r="D1437" s="38"/>
      <c r="E1437" s="38"/>
      <c r="F1437" s="38"/>
      <c r="G1437" s="38"/>
      <c r="H1437" s="38"/>
      <c r="I1437" s="38"/>
      <c r="J1437" s="38"/>
      <c r="K1437" s="38"/>
    </row>
    <row r="1438">
      <c r="A1438" s="38"/>
      <c r="B1438" s="38"/>
      <c r="C1438" s="38"/>
      <c r="D1438" s="38"/>
      <c r="E1438" s="38"/>
      <c r="F1438" s="38"/>
      <c r="G1438" s="38"/>
      <c r="H1438" s="38"/>
      <c r="I1438" s="38"/>
      <c r="J1438" s="38"/>
      <c r="K1438" s="38"/>
    </row>
    <row r="1439">
      <c r="A1439" s="38"/>
      <c r="B1439" s="38"/>
      <c r="C1439" s="38"/>
      <c r="D1439" s="38"/>
      <c r="E1439" s="38"/>
      <c r="F1439" s="38"/>
      <c r="G1439" s="38"/>
      <c r="H1439" s="38"/>
      <c r="I1439" s="38"/>
      <c r="J1439" s="38"/>
      <c r="K1439" s="38"/>
    </row>
    <row r="1440">
      <c r="A1440" s="38"/>
      <c r="B1440" s="38"/>
      <c r="C1440" s="38"/>
      <c r="D1440" s="38"/>
      <c r="E1440" s="38"/>
      <c r="F1440" s="38"/>
      <c r="G1440" s="38"/>
      <c r="H1440" s="38"/>
      <c r="I1440" s="38"/>
      <c r="J1440" s="38"/>
      <c r="K1440" s="38"/>
    </row>
    <row r="1441">
      <c r="A1441" s="38"/>
      <c r="B1441" s="38"/>
      <c r="C1441" s="38"/>
      <c r="D1441" s="38"/>
      <c r="E1441" s="38"/>
      <c r="F1441" s="38"/>
      <c r="G1441" s="38"/>
      <c r="H1441" s="38"/>
      <c r="I1441" s="38"/>
      <c r="J1441" s="38"/>
      <c r="K1441" s="38"/>
    </row>
    <row r="1442">
      <c r="A1442" s="38"/>
      <c r="B1442" s="38"/>
      <c r="C1442" s="38"/>
      <c r="D1442" s="38"/>
      <c r="E1442" s="38"/>
      <c r="F1442" s="38"/>
      <c r="G1442" s="38"/>
      <c r="H1442" s="38"/>
      <c r="I1442" s="38"/>
      <c r="J1442" s="38"/>
      <c r="K1442" s="38"/>
    </row>
    <row r="1443">
      <c r="A1443" s="38"/>
      <c r="B1443" s="38"/>
      <c r="C1443" s="38"/>
      <c r="D1443" s="38"/>
      <c r="E1443" s="38"/>
      <c r="F1443" s="38"/>
      <c r="G1443" s="38"/>
      <c r="H1443" s="38"/>
      <c r="I1443" s="38"/>
      <c r="J1443" s="38"/>
      <c r="K1443" s="38"/>
    </row>
    <row r="1444">
      <c r="A1444" s="38"/>
      <c r="B1444" s="38"/>
      <c r="C1444" s="38"/>
      <c r="D1444" s="38"/>
      <c r="E1444" s="38"/>
      <c r="F1444" s="38"/>
      <c r="G1444" s="38"/>
      <c r="H1444" s="38"/>
      <c r="I1444" s="38"/>
      <c r="J1444" s="38"/>
      <c r="K1444" s="38"/>
    </row>
    <row r="1445">
      <c r="A1445" s="38"/>
      <c r="B1445" s="38"/>
      <c r="C1445" s="38"/>
      <c r="D1445" s="38"/>
      <c r="E1445" s="38"/>
      <c r="F1445" s="38"/>
      <c r="G1445" s="38"/>
      <c r="H1445" s="38"/>
      <c r="I1445" s="38"/>
      <c r="J1445" s="38"/>
      <c r="K1445" s="38"/>
    </row>
    <row r="1446">
      <c r="A1446" s="38"/>
      <c r="B1446" s="38"/>
      <c r="C1446" s="38"/>
      <c r="D1446" s="38"/>
      <c r="E1446" s="38"/>
      <c r="F1446" s="38"/>
      <c r="G1446" s="38"/>
      <c r="H1446" s="38"/>
      <c r="I1446" s="38"/>
      <c r="J1446" s="38"/>
      <c r="K1446" s="38"/>
    </row>
    <row r="1447">
      <c r="A1447" s="38"/>
      <c r="B1447" s="38"/>
      <c r="C1447" s="38"/>
      <c r="D1447" s="38"/>
      <c r="E1447" s="38"/>
      <c r="F1447" s="38"/>
      <c r="G1447" s="38"/>
      <c r="H1447" s="38"/>
      <c r="I1447" s="38"/>
      <c r="J1447" s="38"/>
      <c r="K1447" s="38"/>
    </row>
    <row r="1448">
      <c r="A1448" s="38"/>
      <c r="B1448" s="38"/>
      <c r="C1448" s="38"/>
      <c r="D1448" s="38"/>
      <c r="E1448" s="38"/>
      <c r="F1448" s="38"/>
      <c r="G1448" s="38"/>
      <c r="H1448" s="38"/>
      <c r="I1448" s="38"/>
      <c r="J1448" s="38"/>
      <c r="K1448" s="38"/>
    </row>
    <row r="1449">
      <c r="A1449" s="38"/>
      <c r="B1449" s="38"/>
      <c r="C1449" s="38"/>
      <c r="D1449" s="38"/>
      <c r="E1449" s="38"/>
      <c r="F1449" s="38"/>
      <c r="G1449" s="38"/>
      <c r="H1449" s="38"/>
      <c r="I1449" s="38"/>
      <c r="J1449" s="38"/>
      <c r="K1449" s="38"/>
    </row>
    <row r="1450">
      <c r="A1450" s="38"/>
      <c r="B1450" s="38"/>
      <c r="C1450" s="38"/>
      <c r="D1450" s="38"/>
      <c r="E1450" s="38"/>
      <c r="F1450" s="38"/>
      <c r="G1450" s="38"/>
      <c r="H1450" s="38"/>
      <c r="I1450" s="38"/>
      <c r="J1450" s="38"/>
      <c r="K1450" s="38"/>
    </row>
    <row r="1451">
      <c r="A1451" s="38"/>
      <c r="B1451" s="38"/>
      <c r="C1451" s="38"/>
      <c r="D1451" s="38"/>
      <c r="E1451" s="38"/>
      <c r="F1451" s="38"/>
      <c r="G1451" s="38"/>
      <c r="H1451" s="38"/>
      <c r="I1451" s="38"/>
      <c r="J1451" s="38"/>
      <c r="K1451" s="38"/>
    </row>
    <row r="1452">
      <c r="A1452" s="38"/>
      <c r="B1452" s="38"/>
      <c r="C1452" s="38"/>
      <c r="D1452" s="38"/>
      <c r="E1452" s="38"/>
      <c r="F1452" s="38"/>
      <c r="G1452" s="38"/>
      <c r="H1452" s="38"/>
      <c r="I1452" s="38"/>
      <c r="J1452" s="38"/>
      <c r="K1452" s="38"/>
    </row>
    <row r="1453">
      <c r="A1453" s="38"/>
      <c r="B1453" s="38"/>
      <c r="C1453" s="38"/>
      <c r="D1453" s="38"/>
      <c r="E1453" s="38"/>
      <c r="F1453" s="38"/>
      <c r="G1453" s="38"/>
      <c r="H1453" s="38"/>
      <c r="I1453" s="38"/>
      <c r="J1453" s="38"/>
      <c r="K1453" s="38"/>
    </row>
    <row r="1454">
      <c r="A1454" s="38"/>
      <c r="B1454" s="38"/>
      <c r="C1454" s="38"/>
      <c r="D1454" s="38"/>
      <c r="E1454" s="38"/>
      <c r="F1454" s="38"/>
      <c r="G1454" s="38"/>
      <c r="H1454" s="38"/>
      <c r="I1454" s="38"/>
      <c r="J1454" s="38"/>
      <c r="K1454" s="38"/>
    </row>
    <row r="1455">
      <c r="A1455" s="38"/>
      <c r="B1455" s="38"/>
      <c r="C1455" s="38"/>
      <c r="D1455" s="38"/>
      <c r="E1455" s="38"/>
      <c r="F1455" s="38"/>
      <c r="G1455" s="38"/>
      <c r="H1455" s="38"/>
      <c r="I1455" s="38"/>
      <c r="J1455" s="38"/>
      <c r="K1455" s="38"/>
    </row>
    <row r="1456">
      <c r="A1456" s="38"/>
      <c r="B1456" s="38"/>
      <c r="C1456" s="38"/>
      <c r="D1456" s="38"/>
      <c r="E1456" s="38"/>
      <c r="F1456" s="38"/>
      <c r="G1456" s="38"/>
      <c r="H1456" s="38"/>
      <c r="I1456" s="38"/>
      <c r="J1456" s="38"/>
      <c r="K1456" s="38"/>
    </row>
    <row r="1457">
      <c r="A1457" s="38"/>
      <c r="B1457" s="38"/>
      <c r="C1457" s="38"/>
      <c r="D1457" s="38"/>
      <c r="E1457" s="38"/>
      <c r="F1457" s="38"/>
      <c r="G1457" s="38"/>
      <c r="H1457" s="38"/>
      <c r="I1457" s="38"/>
      <c r="J1457" s="38"/>
      <c r="K1457" s="38"/>
    </row>
    <row r="1458">
      <c r="A1458" s="38"/>
      <c r="B1458" s="38"/>
      <c r="C1458" s="38"/>
      <c r="D1458" s="38"/>
      <c r="E1458" s="38"/>
      <c r="F1458" s="38"/>
      <c r="G1458" s="38"/>
      <c r="H1458" s="38"/>
      <c r="I1458" s="38"/>
      <c r="J1458" s="38"/>
      <c r="K1458" s="38"/>
    </row>
    <row r="1459">
      <c r="A1459" s="38"/>
      <c r="B1459" s="38"/>
      <c r="C1459" s="38"/>
      <c r="D1459" s="38"/>
      <c r="E1459" s="38"/>
      <c r="F1459" s="38"/>
      <c r="G1459" s="38"/>
      <c r="H1459" s="38"/>
      <c r="I1459" s="38"/>
      <c r="J1459" s="38"/>
      <c r="K1459" s="38"/>
    </row>
    <row r="1460">
      <c r="A1460" s="38"/>
      <c r="B1460" s="38"/>
      <c r="C1460" s="38"/>
      <c r="D1460" s="38"/>
      <c r="E1460" s="38"/>
      <c r="F1460" s="38"/>
      <c r="G1460" s="38"/>
      <c r="H1460" s="38"/>
      <c r="I1460" s="38"/>
      <c r="J1460" s="38"/>
      <c r="K1460" s="38"/>
    </row>
    <row r="1461">
      <c r="A1461" s="38"/>
      <c r="B1461" s="38"/>
      <c r="C1461" s="38"/>
      <c r="D1461" s="38"/>
      <c r="E1461" s="38"/>
      <c r="F1461" s="38"/>
      <c r="G1461" s="38"/>
      <c r="H1461" s="38"/>
      <c r="I1461" s="38"/>
      <c r="J1461" s="38"/>
      <c r="K1461" s="38"/>
    </row>
    <row r="1462">
      <c r="A1462" s="38"/>
      <c r="B1462" s="38"/>
      <c r="C1462" s="38"/>
      <c r="D1462" s="38"/>
      <c r="E1462" s="38"/>
      <c r="F1462" s="38"/>
      <c r="G1462" s="38"/>
      <c r="H1462" s="38"/>
      <c r="I1462" s="38"/>
      <c r="J1462" s="38"/>
      <c r="K1462" s="38"/>
    </row>
    <row r="1463">
      <c r="A1463" s="38"/>
      <c r="B1463" s="38"/>
      <c r="C1463" s="38"/>
      <c r="D1463" s="38"/>
      <c r="E1463" s="38"/>
      <c r="F1463" s="38"/>
      <c r="G1463" s="38"/>
      <c r="H1463" s="38"/>
      <c r="I1463" s="38"/>
      <c r="J1463" s="38"/>
      <c r="K1463" s="38"/>
    </row>
    <row r="1464">
      <c r="A1464" s="38"/>
      <c r="B1464" s="38"/>
      <c r="C1464" s="38"/>
      <c r="D1464" s="38"/>
      <c r="E1464" s="38"/>
      <c r="F1464" s="38"/>
      <c r="G1464" s="38"/>
      <c r="H1464" s="38"/>
      <c r="I1464" s="38"/>
      <c r="J1464" s="38"/>
      <c r="K1464" s="38"/>
    </row>
    <row r="1465">
      <c r="A1465" s="38"/>
      <c r="B1465" s="38"/>
      <c r="C1465" s="38"/>
      <c r="D1465" s="38"/>
      <c r="E1465" s="38"/>
      <c r="F1465" s="38"/>
      <c r="G1465" s="38"/>
      <c r="H1465" s="38"/>
      <c r="I1465" s="38"/>
      <c r="J1465" s="38"/>
      <c r="K1465" s="38"/>
    </row>
    <row r="1466">
      <c r="A1466" s="38"/>
      <c r="B1466" s="38"/>
      <c r="C1466" s="38"/>
      <c r="D1466" s="38"/>
      <c r="E1466" s="38"/>
      <c r="F1466" s="38"/>
      <c r="G1466" s="38"/>
      <c r="H1466" s="38"/>
      <c r="I1466" s="38"/>
      <c r="J1466" s="38"/>
      <c r="K1466" s="38"/>
    </row>
    <row r="1467">
      <c r="A1467" s="38"/>
      <c r="B1467" s="38"/>
      <c r="C1467" s="38"/>
      <c r="D1467" s="38"/>
      <c r="E1467" s="38"/>
      <c r="F1467" s="38"/>
      <c r="G1467" s="38"/>
      <c r="H1467" s="38"/>
      <c r="I1467" s="38"/>
      <c r="J1467" s="38"/>
      <c r="K1467" s="38"/>
    </row>
    <row r="1468">
      <c r="A1468" s="38"/>
      <c r="B1468" s="38"/>
      <c r="C1468" s="38"/>
      <c r="D1468" s="38"/>
      <c r="E1468" s="38"/>
      <c r="F1468" s="38"/>
      <c r="G1468" s="38"/>
      <c r="H1468" s="38"/>
      <c r="I1468" s="38"/>
      <c r="J1468" s="38"/>
      <c r="K1468" s="38"/>
    </row>
    <row r="1469">
      <c r="A1469" s="38"/>
      <c r="B1469" s="38"/>
      <c r="C1469" s="38"/>
      <c r="D1469" s="38"/>
      <c r="E1469" s="38"/>
      <c r="F1469" s="38"/>
      <c r="G1469" s="38"/>
      <c r="H1469" s="38"/>
      <c r="I1469" s="38"/>
      <c r="J1469" s="38"/>
      <c r="K1469" s="38"/>
    </row>
    <row r="1470">
      <c r="A1470" s="38"/>
      <c r="B1470" s="38"/>
      <c r="C1470" s="38"/>
      <c r="D1470" s="38"/>
      <c r="E1470" s="38"/>
      <c r="F1470" s="38"/>
      <c r="G1470" s="38"/>
      <c r="H1470" s="38"/>
      <c r="I1470" s="38"/>
      <c r="J1470" s="38"/>
      <c r="K1470" s="38"/>
    </row>
    <row r="1471">
      <c r="A1471" s="38"/>
      <c r="B1471" s="38"/>
      <c r="C1471" s="38"/>
      <c r="D1471" s="38"/>
      <c r="E1471" s="38"/>
      <c r="F1471" s="38"/>
      <c r="G1471" s="38"/>
      <c r="H1471" s="38"/>
      <c r="I1471" s="38"/>
      <c r="J1471" s="38"/>
      <c r="K1471" s="38"/>
    </row>
    <row r="1472">
      <c r="A1472" s="38"/>
      <c r="B1472" s="38"/>
      <c r="C1472" s="38"/>
      <c r="D1472" s="38"/>
      <c r="E1472" s="38"/>
      <c r="F1472" s="38"/>
      <c r="G1472" s="38"/>
      <c r="H1472" s="38"/>
      <c r="I1472" s="38"/>
      <c r="J1472" s="38"/>
      <c r="K1472" s="38"/>
    </row>
    <row r="1473">
      <c r="A1473" s="38"/>
      <c r="B1473" s="38"/>
      <c r="C1473" s="38"/>
      <c r="D1473" s="38"/>
      <c r="E1473" s="38"/>
      <c r="F1473" s="38"/>
      <c r="G1473" s="38"/>
      <c r="H1473" s="38"/>
      <c r="I1473" s="38"/>
      <c r="J1473" s="38"/>
      <c r="K1473" s="38"/>
    </row>
    <row r="1474">
      <c r="A1474" s="38"/>
      <c r="B1474" s="38"/>
      <c r="C1474" s="38"/>
      <c r="D1474" s="38"/>
      <c r="E1474" s="38"/>
      <c r="F1474" s="38"/>
      <c r="G1474" s="38"/>
      <c r="H1474" s="38"/>
      <c r="I1474" s="38"/>
      <c r="J1474" s="38"/>
      <c r="K1474" s="38"/>
    </row>
    <row r="1475">
      <c r="A1475" s="38"/>
      <c r="B1475" s="38"/>
      <c r="C1475" s="38"/>
      <c r="D1475" s="38"/>
      <c r="E1475" s="38"/>
      <c r="F1475" s="38"/>
      <c r="G1475" s="38"/>
      <c r="H1475" s="38"/>
      <c r="I1475" s="38"/>
      <c r="J1475" s="38"/>
      <c r="K1475" s="38"/>
    </row>
    <row r="1476">
      <c r="A1476" s="38"/>
      <c r="B1476" s="38"/>
      <c r="C1476" s="38"/>
      <c r="D1476" s="38"/>
      <c r="E1476" s="38"/>
      <c r="F1476" s="38"/>
      <c r="G1476" s="38"/>
      <c r="H1476" s="38"/>
      <c r="I1476" s="38"/>
      <c r="J1476" s="38"/>
      <c r="K1476" s="38"/>
    </row>
    <row r="1477">
      <c r="A1477" s="38"/>
      <c r="B1477" s="38"/>
      <c r="C1477" s="38"/>
      <c r="D1477" s="38"/>
      <c r="E1477" s="38"/>
      <c r="F1477" s="38"/>
      <c r="G1477" s="38"/>
      <c r="H1477" s="38"/>
      <c r="I1477" s="38"/>
      <c r="J1477" s="38"/>
      <c r="K1477" s="38"/>
    </row>
    <row r="1478">
      <c r="A1478" s="38"/>
      <c r="B1478" s="38"/>
      <c r="C1478" s="38"/>
      <c r="D1478" s="38"/>
      <c r="E1478" s="38"/>
      <c r="F1478" s="38"/>
      <c r="G1478" s="38"/>
      <c r="H1478" s="38"/>
      <c r="I1478" s="38"/>
      <c r="J1478" s="38"/>
      <c r="K1478" s="38"/>
    </row>
    <row r="1479">
      <c r="A1479" s="38"/>
      <c r="B1479" s="38"/>
      <c r="C1479" s="38"/>
      <c r="D1479" s="38"/>
      <c r="E1479" s="38"/>
      <c r="F1479" s="38"/>
      <c r="G1479" s="38"/>
      <c r="H1479" s="38"/>
      <c r="I1479" s="38"/>
      <c r="J1479" s="38"/>
      <c r="K1479" s="38"/>
    </row>
    <row r="1480">
      <c r="A1480" s="38"/>
      <c r="B1480" s="38"/>
      <c r="C1480" s="38"/>
      <c r="D1480" s="38"/>
      <c r="E1480" s="38"/>
      <c r="F1480" s="38"/>
      <c r="G1480" s="38"/>
      <c r="H1480" s="38"/>
      <c r="I1480" s="38"/>
      <c r="J1480" s="38"/>
      <c r="K1480" s="38"/>
    </row>
    <row r="1481">
      <c r="A1481" s="38"/>
      <c r="B1481" s="38"/>
      <c r="C1481" s="38"/>
      <c r="D1481" s="38"/>
      <c r="E1481" s="38"/>
      <c r="F1481" s="38"/>
      <c r="G1481" s="38"/>
      <c r="H1481" s="38"/>
      <c r="I1481" s="38"/>
      <c r="J1481" s="38"/>
      <c r="K1481" s="38"/>
    </row>
    <row r="1482">
      <c r="A1482" s="38"/>
      <c r="B1482" s="38"/>
      <c r="C1482" s="38"/>
      <c r="D1482" s="38"/>
      <c r="E1482" s="38"/>
      <c r="F1482" s="38"/>
      <c r="G1482" s="38"/>
      <c r="H1482" s="38"/>
      <c r="I1482" s="38"/>
      <c r="J1482" s="38"/>
      <c r="K1482" s="38"/>
    </row>
    <row r="1483">
      <c r="A1483" s="38"/>
      <c r="B1483" s="38"/>
      <c r="C1483" s="38"/>
      <c r="D1483" s="38"/>
      <c r="E1483" s="38"/>
      <c r="F1483" s="38"/>
      <c r="G1483" s="38"/>
      <c r="H1483" s="38"/>
      <c r="I1483" s="38"/>
      <c r="J1483" s="38"/>
      <c r="K1483" s="38"/>
    </row>
    <row r="1484">
      <c r="A1484" s="38"/>
      <c r="B1484" s="38"/>
      <c r="C1484" s="38"/>
      <c r="D1484" s="38"/>
      <c r="E1484" s="38"/>
      <c r="F1484" s="38"/>
      <c r="G1484" s="38"/>
      <c r="H1484" s="38"/>
      <c r="I1484" s="38"/>
      <c r="J1484" s="38"/>
      <c r="K1484" s="38"/>
    </row>
    <row r="1485">
      <c r="A1485" s="38"/>
      <c r="B1485" s="38"/>
      <c r="C1485" s="38"/>
      <c r="D1485" s="38"/>
      <c r="E1485" s="38"/>
      <c r="F1485" s="38"/>
      <c r="G1485" s="38"/>
      <c r="H1485" s="38"/>
      <c r="I1485" s="38"/>
      <c r="J1485" s="38"/>
      <c r="K1485" s="38"/>
    </row>
    <row r="1486">
      <c r="A1486" s="38"/>
      <c r="B1486" s="38"/>
      <c r="C1486" s="38"/>
      <c r="D1486" s="38"/>
      <c r="E1486" s="38"/>
      <c r="F1486" s="38"/>
      <c r="G1486" s="38"/>
      <c r="H1486" s="38"/>
      <c r="I1486" s="38"/>
      <c r="J1486" s="38"/>
      <c r="K1486" s="38"/>
    </row>
    <row r="1487">
      <c r="A1487" s="38"/>
      <c r="B1487" s="38"/>
      <c r="C1487" s="38"/>
      <c r="D1487" s="38"/>
      <c r="E1487" s="38"/>
      <c r="F1487" s="38"/>
      <c r="G1487" s="38"/>
      <c r="H1487" s="38"/>
      <c r="I1487" s="38"/>
      <c r="J1487" s="38"/>
      <c r="K1487" s="38"/>
    </row>
    <row r="1488">
      <c r="A1488" s="38"/>
      <c r="B1488" s="38"/>
      <c r="C1488" s="38"/>
      <c r="D1488" s="38"/>
      <c r="E1488" s="38"/>
      <c r="F1488" s="38"/>
      <c r="G1488" s="38"/>
      <c r="H1488" s="38"/>
      <c r="I1488" s="38"/>
      <c r="J1488" s="38"/>
      <c r="K1488" s="38"/>
    </row>
    <row r="1489">
      <c r="A1489" s="38"/>
      <c r="B1489" s="38"/>
      <c r="C1489" s="38"/>
      <c r="D1489" s="38"/>
      <c r="E1489" s="38"/>
      <c r="F1489" s="38"/>
      <c r="G1489" s="38"/>
      <c r="H1489" s="38"/>
      <c r="I1489" s="38"/>
      <c r="J1489" s="38"/>
      <c r="K1489" s="38"/>
    </row>
    <row r="1490">
      <c r="A1490" s="38"/>
      <c r="B1490" s="38"/>
      <c r="C1490" s="38"/>
      <c r="D1490" s="38"/>
      <c r="E1490" s="38"/>
      <c r="F1490" s="38"/>
      <c r="G1490" s="38"/>
      <c r="H1490" s="38"/>
      <c r="I1490" s="38"/>
      <c r="J1490" s="38"/>
      <c r="K1490" s="38"/>
    </row>
    <row r="1491">
      <c r="A1491" s="38"/>
      <c r="B1491" s="38"/>
      <c r="C1491" s="38"/>
      <c r="D1491" s="38"/>
      <c r="E1491" s="38"/>
      <c r="F1491" s="38"/>
      <c r="G1491" s="38"/>
      <c r="H1491" s="38"/>
      <c r="I1491" s="38"/>
      <c r="J1491" s="38"/>
      <c r="K1491" s="38"/>
    </row>
    <row r="1492">
      <c r="A1492" s="38"/>
      <c r="B1492" s="38"/>
      <c r="C1492" s="38"/>
      <c r="D1492" s="38"/>
      <c r="E1492" s="38"/>
      <c r="F1492" s="38"/>
      <c r="G1492" s="38"/>
      <c r="H1492" s="38"/>
      <c r="I1492" s="38"/>
      <c r="J1492" s="38"/>
      <c r="K1492" s="38"/>
    </row>
    <row r="1493">
      <c r="A1493" s="38"/>
      <c r="B1493" s="38"/>
      <c r="C1493" s="38"/>
      <c r="D1493" s="38"/>
      <c r="E1493" s="38"/>
      <c r="F1493" s="38"/>
      <c r="G1493" s="38"/>
      <c r="H1493" s="38"/>
      <c r="I1493" s="38"/>
      <c r="J1493" s="38"/>
      <c r="K1493" s="38"/>
    </row>
    <row r="1494">
      <c r="A1494" s="38"/>
      <c r="B1494" s="38"/>
      <c r="C1494" s="38"/>
      <c r="D1494" s="38"/>
      <c r="E1494" s="38"/>
      <c r="F1494" s="38"/>
      <c r="G1494" s="38"/>
      <c r="H1494" s="38"/>
      <c r="I1494" s="38"/>
      <c r="J1494" s="38"/>
      <c r="K1494" s="38"/>
    </row>
    <row r="1495">
      <c r="A1495" s="38"/>
      <c r="B1495" s="38"/>
      <c r="C1495" s="38"/>
      <c r="D1495" s="38"/>
      <c r="E1495" s="38"/>
      <c r="F1495" s="38"/>
      <c r="G1495" s="38"/>
      <c r="H1495" s="38"/>
      <c r="I1495" s="38"/>
      <c r="J1495" s="38"/>
      <c r="K1495" s="38"/>
    </row>
    <row r="1496">
      <c r="A1496" s="38"/>
      <c r="B1496" s="38"/>
      <c r="C1496" s="38"/>
      <c r="D1496" s="38"/>
      <c r="E1496" s="38"/>
      <c r="F1496" s="38"/>
      <c r="G1496" s="38"/>
      <c r="H1496" s="38"/>
      <c r="I1496" s="38"/>
      <c r="J1496" s="38"/>
      <c r="K1496" s="38"/>
    </row>
    <row r="1497">
      <c r="A1497" s="38"/>
      <c r="B1497" s="38"/>
      <c r="C1497" s="38"/>
      <c r="D1497" s="38"/>
      <c r="E1497" s="38"/>
      <c r="F1497" s="38"/>
      <c r="G1497" s="38"/>
      <c r="H1497" s="38"/>
      <c r="I1497" s="38"/>
      <c r="J1497" s="38"/>
      <c r="K1497" s="38"/>
    </row>
    <row r="1498">
      <c r="A1498" s="38"/>
      <c r="B1498" s="38"/>
      <c r="C1498" s="38"/>
      <c r="D1498" s="38"/>
      <c r="E1498" s="38"/>
      <c r="F1498" s="38"/>
      <c r="G1498" s="38"/>
      <c r="H1498" s="38"/>
      <c r="I1498" s="38"/>
      <c r="J1498" s="38"/>
      <c r="K1498" s="38"/>
    </row>
    <row r="1499">
      <c r="A1499" s="38"/>
      <c r="B1499" s="38"/>
      <c r="C1499" s="38"/>
      <c r="D1499" s="38"/>
      <c r="E1499" s="38"/>
      <c r="F1499" s="38"/>
      <c r="G1499" s="38"/>
      <c r="H1499" s="38"/>
      <c r="I1499" s="38"/>
      <c r="J1499" s="38"/>
      <c r="K1499" s="38"/>
    </row>
    <row r="1500">
      <c r="A1500" s="38"/>
      <c r="B1500" s="38"/>
      <c r="C1500" s="38"/>
      <c r="D1500" s="38"/>
      <c r="E1500" s="38"/>
      <c r="F1500" s="38"/>
      <c r="G1500" s="38"/>
      <c r="H1500" s="38"/>
      <c r="I1500" s="38"/>
      <c r="J1500" s="38"/>
      <c r="K1500" s="38"/>
    </row>
    <row r="1501">
      <c r="A1501" s="38"/>
      <c r="B1501" s="38"/>
      <c r="C1501" s="38"/>
      <c r="D1501" s="38"/>
      <c r="E1501" s="38"/>
      <c r="F1501" s="38"/>
      <c r="G1501" s="38"/>
      <c r="H1501" s="38"/>
      <c r="I1501" s="38"/>
      <c r="J1501" s="38"/>
      <c r="K1501" s="38"/>
    </row>
    <row r="1502">
      <c r="A1502" s="38"/>
      <c r="B1502" s="38"/>
      <c r="C1502" s="38"/>
      <c r="D1502" s="38"/>
      <c r="E1502" s="38"/>
      <c r="F1502" s="38"/>
      <c r="G1502" s="38"/>
      <c r="H1502" s="38"/>
      <c r="I1502" s="38"/>
      <c r="J1502" s="38"/>
      <c r="K1502" s="38"/>
    </row>
    <row r="1503">
      <c r="A1503" s="38"/>
      <c r="B1503" s="38"/>
      <c r="C1503" s="38"/>
      <c r="D1503" s="38"/>
      <c r="E1503" s="38"/>
      <c r="F1503" s="38"/>
      <c r="G1503" s="38"/>
      <c r="H1503" s="38"/>
      <c r="I1503" s="38"/>
      <c r="J1503" s="38"/>
      <c r="K1503" s="38"/>
    </row>
    <row r="1504">
      <c r="A1504" s="38"/>
      <c r="B1504" s="38"/>
      <c r="C1504" s="38"/>
      <c r="D1504" s="38"/>
      <c r="E1504" s="38"/>
      <c r="F1504" s="38"/>
      <c r="G1504" s="38"/>
      <c r="H1504" s="38"/>
      <c r="I1504" s="38"/>
      <c r="J1504" s="38"/>
      <c r="K1504" s="38"/>
    </row>
    <row r="1505">
      <c r="A1505" s="38"/>
      <c r="B1505" s="38"/>
      <c r="C1505" s="38"/>
      <c r="D1505" s="38"/>
      <c r="E1505" s="38"/>
      <c r="F1505" s="38"/>
      <c r="G1505" s="38"/>
      <c r="H1505" s="38"/>
      <c r="I1505" s="38"/>
      <c r="J1505" s="38"/>
      <c r="K1505" s="38"/>
    </row>
    <row r="1506">
      <c r="A1506" s="38"/>
      <c r="B1506" s="38"/>
      <c r="C1506" s="38"/>
      <c r="D1506" s="38"/>
      <c r="E1506" s="38"/>
      <c r="F1506" s="38"/>
      <c r="G1506" s="38"/>
      <c r="H1506" s="38"/>
      <c r="I1506" s="38"/>
      <c r="J1506" s="38"/>
      <c r="K1506" s="38"/>
    </row>
    <row r="1507">
      <c r="A1507" s="38"/>
      <c r="B1507" s="38"/>
      <c r="C1507" s="38"/>
      <c r="D1507" s="38"/>
      <c r="E1507" s="38"/>
      <c r="F1507" s="38"/>
      <c r="G1507" s="38"/>
      <c r="H1507" s="38"/>
      <c r="I1507" s="38"/>
      <c r="J1507" s="38"/>
      <c r="K1507" s="38"/>
    </row>
    <row r="1508">
      <c r="A1508" s="38"/>
      <c r="B1508" s="38"/>
      <c r="C1508" s="38"/>
      <c r="D1508" s="38"/>
      <c r="E1508" s="38"/>
      <c r="F1508" s="38"/>
      <c r="G1508" s="38"/>
      <c r="H1508" s="38"/>
      <c r="I1508" s="38"/>
      <c r="J1508" s="38"/>
      <c r="K1508" s="38"/>
    </row>
    <row r="1509">
      <c r="A1509" s="38"/>
      <c r="B1509" s="38"/>
      <c r="C1509" s="38"/>
      <c r="D1509" s="38"/>
      <c r="E1509" s="38"/>
      <c r="F1509" s="38"/>
      <c r="G1509" s="38"/>
      <c r="H1509" s="38"/>
      <c r="I1509" s="38"/>
      <c r="J1509" s="38"/>
      <c r="K1509" s="38"/>
    </row>
    <row r="1510">
      <c r="A1510" s="38"/>
      <c r="B1510" s="38"/>
      <c r="C1510" s="38"/>
      <c r="D1510" s="38"/>
      <c r="E1510" s="38"/>
      <c r="F1510" s="38"/>
      <c r="G1510" s="38"/>
      <c r="H1510" s="38"/>
      <c r="I1510" s="38"/>
      <c r="J1510" s="38"/>
      <c r="K1510" s="38"/>
    </row>
    <row r="1511">
      <c r="A1511" s="38"/>
      <c r="B1511" s="38"/>
      <c r="C1511" s="38"/>
      <c r="D1511" s="38"/>
      <c r="E1511" s="38"/>
      <c r="F1511" s="38"/>
      <c r="G1511" s="38"/>
      <c r="H1511" s="38"/>
      <c r="I1511" s="38"/>
      <c r="J1511" s="38"/>
      <c r="K1511" s="38"/>
    </row>
    <row r="1512">
      <c r="A1512" s="38"/>
      <c r="B1512" s="38"/>
      <c r="C1512" s="38"/>
      <c r="D1512" s="38"/>
      <c r="E1512" s="38"/>
      <c r="F1512" s="38"/>
      <c r="G1512" s="38"/>
      <c r="H1512" s="38"/>
      <c r="I1512" s="38"/>
      <c r="J1512" s="38"/>
      <c r="K1512" s="38"/>
    </row>
    <row r="1513">
      <c r="A1513" s="38"/>
      <c r="B1513" s="38"/>
      <c r="C1513" s="38"/>
      <c r="D1513" s="38"/>
      <c r="E1513" s="38"/>
      <c r="F1513" s="38"/>
      <c r="G1513" s="38"/>
      <c r="H1513" s="38"/>
      <c r="I1513" s="38"/>
      <c r="J1513" s="38"/>
      <c r="K1513" s="38"/>
    </row>
    <row r="1514">
      <c r="A1514" s="38"/>
      <c r="B1514" s="38"/>
      <c r="C1514" s="38"/>
      <c r="D1514" s="38"/>
      <c r="E1514" s="38"/>
      <c r="F1514" s="38"/>
      <c r="G1514" s="38"/>
      <c r="H1514" s="38"/>
      <c r="I1514" s="38"/>
      <c r="J1514" s="38"/>
      <c r="K1514" s="38"/>
    </row>
    <row r="1515">
      <c r="A1515" s="38"/>
      <c r="B1515" s="38"/>
      <c r="C1515" s="38"/>
      <c r="D1515" s="38"/>
      <c r="E1515" s="38"/>
      <c r="F1515" s="38"/>
      <c r="G1515" s="38"/>
      <c r="H1515" s="38"/>
      <c r="I1515" s="38"/>
      <c r="J1515" s="38"/>
      <c r="K1515" s="38"/>
    </row>
    <row r="1516">
      <c r="A1516" s="38"/>
      <c r="B1516" s="38"/>
      <c r="C1516" s="38"/>
      <c r="D1516" s="38"/>
      <c r="E1516" s="38"/>
      <c r="F1516" s="38"/>
      <c r="G1516" s="38"/>
      <c r="H1516" s="38"/>
      <c r="I1516" s="38"/>
      <c r="J1516" s="38"/>
      <c r="K1516" s="38"/>
    </row>
    <row r="1517">
      <c r="A1517" s="38"/>
      <c r="B1517" s="38"/>
      <c r="C1517" s="38"/>
      <c r="D1517" s="38"/>
      <c r="E1517" s="38"/>
      <c r="F1517" s="38"/>
      <c r="G1517" s="38"/>
      <c r="H1517" s="38"/>
      <c r="I1517" s="38"/>
      <c r="J1517" s="38"/>
      <c r="K1517" s="38"/>
    </row>
    <row r="1518">
      <c r="A1518" s="38"/>
      <c r="B1518" s="38"/>
      <c r="C1518" s="38"/>
      <c r="D1518" s="38"/>
      <c r="E1518" s="38"/>
      <c r="F1518" s="38"/>
      <c r="G1518" s="38"/>
      <c r="H1518" s="38"/>
      <c r="I1518" s="38"/>
      <c r="J1518" s="38"/>
      <c r="K1518" s="38"/>
    </row>
    <row r="1519">
      <c r="A1519" s="38"/>
      <c r="B1519" s="38"/>
      <c r="C1519" s="38"/>
      <c r="D1519" s="38"/>
      <c r="E1519" s="38"/>
      <c r="F1519" s="38"/>
      <c r="G1519" s="38"/>
      <c r="H1519" s="38"/>
      <c r="I1519" s="38"/>
      <c r="J1519" s="38"/>
      <c r="K1519" s="38"/>
    </row>
    <row r="1520">
      <c r="A1520" s="38"/>
      <c r="B1520" s="38"/>
      <c r="C1520" s="38"/>
      <c r="D1520" s="38"/>
      <c r="E1520" s="38"/>
      <c r="F1520" s="38"/>
      <c r="G1520" s="38"/>
      <c r="H1520" s="38"/>
      <c r="I1520" s="38"/>
      <c r="J1520" s="38"/>
      <c r="K1520" s="38"/>
    </row>
    <row r="1521">
      <c r="A1521" s="38"/>
      <c r="B1521" s="38"/>
      <c r="C1521" s="38"/>
      <c r="D1521" s="38"/>
      <c r="E1521" s="38"/>
      <c r="F1521" s="38"/>
      <c r="G1521" s="38"/>
      <c r="H1521" s="38"/>
      <c r="I1521" s="38"/>
      <c r="J1521" s="38"/>
      <c r="K1521" s="38"/>
    </row>
    <row r="1522">
      <c r="A1522" s="38"/>
      <c r="B1522" s="38"/>
      <c r="C1522" s="38"/>
      <c r="D1522" s="38"/>
      <c r="E1522" s="38"/>
      <c r="F1522" s="38"/>
      <c r="G1522" s="38"/>
      <c r="H1522" s="38"/>
      <c r="I1522" s="38"/>
      <c r="J1522" s="38"/>
      <c r="K1522" s="38"/>
    </row>
    <row r="1523">
      <c r="A1523" s="38"/>
      <c r="B1523" s="38"/>
      <c r="C1523" s="38"/>
      <c r="D1523" s="38"/>
      <c r="E1523" s="38"/>
      <c r="F1523" s="38"/>
      <c r="G1523" s="38"/>
      <c r="H1523" s="38"/>
      <c r="I1523" s="38"/>
      <c r="J1523" s="38"/>
      <c r="K1523" s="38"/>
    </row>
    <row r="1524">
      <c r="A1524" s="38"/>
      <c r="B1524" s="38"/>
      <c r="C1524" s="38"/>
      <c r="D1524" s="38"/>
      <c r="E1524" s="38"/>
      <c r="F1524" s="38"/>
      <c r="G1524" s="38"/>
      <c r="H1524" s="38"/>
      <c r="I1524" s="38"/>
      <c r="J1524" s="38"/>
      <c r="K1524" s="38"/>
    </row>
    <row r="1525">
      <c r="A1525" s="38"/>
      <c r="B1525" s="38"/>
      <c r="C1525" s="38"/>
      <c r="D1525" s="38"/>
      <c r="E1525" s="38"/>
      <c r="F1525" s="38"/>
      <c r="G1525" s="38"/>
      <c r="H1525" s="38"/>
      <c r="I1525" s="38"/>
      <c r="J1525" s="38"/>
      <c r="K1525" s="38"/>
    </row>
    <row r="1526">
      <c r="A1526" s="38"/>
      <c r="B1526" s="38"/>
      <c r="C1526" s="38"/>
      <c r="D1526" s="38"/>
      <c r="E1526" s="38"/>
      <c r="F1526" s="38"/>
      <c r="G1526" s="38"/>
      <c r="H1526" s="38"/>
      <c r="I1526" s="38"/>
      <c r="J1526" s="38"/>
      <c r="K1526" s="38"/>
    </row>
    <row r="1527">
      <c r="A1527" s="38"/>
      <c r="B1527" s="38"/>
      <c r="C1527" s="38"/>
      <c r="D1527" s="38"/>
      <c r="E1527" s="38"/>
      <c r="F1527" s="38"/>
      <c r="G1527" s="38"/>
      <c r="H1527" s="38"/>
      <c r="I1527" s="38"/>
      <c r="J1527" s="38"/>
      <c r="K1527" s="38"/>
    </row>
    <row r="1528">
      <c r="A1528" s="38"/>
      <c r="B1528" s="38"/>
      <c r="C1528" s="38"/>
      <c r="D1528" s="38"/>
      <c r="E1528" s="38"/>
      <c r="F1528" s="38"/>
      <c r="G1528" s="38"/>
      <c r="H1528" s="38"/>
      <c r="I1528" s="38"/>
      <c r="J1528" s="38"/>
      <c r="K1528" s="38"/>
    </row>
    <row r="1529">
      <c r="A1529" s="38"/>
      <c r="B1529" s="38"/>
      <c r="C1529" s="38"/>
      <c r="D1529" s="38"/>
      <c r="E1529" s="38"/>
      <c r="F1529" s="38"/>
      <c r="G1529" s="38"/>
      <c r="H1529" s="38"/>
      <c r="I1529" s="38"/>
      <c r="J1529" s="38"/>
      <c r="K1529" s="38"/>
    </row>
    <row r="1530">
      <c r="A1530" s="38"/>
      <c r="B1530" s="38"/>
      <c r="C1530" s="38"/>
      <c r="D1530" s="38"/>
      <c r="E1530" s="38"/>
      <c r="F1530" s="38"/>
      <c r="G1530" s="38"/>
      <c r="H1530" s="38"/>
      <c r="I1530" s="38"/>
      <c r="J1530" s="38"/>
      <c r="K1530" s="38"/>
    </row>
    <row r="1531">
      <c r="A1531" s="38"/>
      <c r="B1531" s="38"/>
      <c r="C1531" s="38"/>
      <c r="D1531" s="38"/>
      <c r="E1531" s="38"/>
      <c r="F1531" s="38"/>
      <c r="G1531" s="38"/>
      <c r="H1531" s="38"/>
      <c r="I1531" s="38"/>
      <c r="J1531" s="38"/>
      <c r="K1531" s="38"/>
    </row>
    <row r="1532">
      <c r="A1532" s="38"/>
      <c r="B1532" s="38"/>
      <c r="C1532" s="38"/>
      <c r="D1532" s="38"/>
      <c r="E1532" s="38"/>
      <c r="F1532" s="38"/>
      <c r="G1532" s="38"/>
      <c r="H1532" s="38"/>
      <c r="I1532" s="38"/>
      <c r="J1532" s="38"/>
      <c r="K1532" s="38"/>
    </row>
    <row r="1533">
      <c r="A1533" s="38"/>
      <c r="B1533" s="38"/>
      <c r="C1533" s="38"/>
      <c r="D1533" s="38"/>
      <c r="E1533" s="38"/>
      <c r="F1533" s="38"/>
      <c r="G1533" s="38"/>
      <c r="H1533" s="38"/>
      <c r="I1533" s="38"/>
      <c r="J1533" s="38"/>
      <c r="K1533" s="38"/>
    </row>
    <row r="1534">
      <c r="A1534" s="38"/>
      <c r="B1534" s="38"/>
      <c r="C1534" s="38"/>
      <c r="D1534" s="38"/>
      <c r="E1534" s="38"/>
      <c r="F1534" s="38"/>
      <c r="G1534" s="38"/>
      <c r="H1534" s="38"/>
      <c r="I1534" s="38"/>
      <c r="J1534" s="38"/>
      <c r="K1534" s="38"/>
    </row>
    <row r="1535">
      <c r="A1535" s="38"/>
      <c r="B1535" s="38"/>
      <c r="C1535" s="38"/>
      <c r="D1535" s="38"/>
      <c r="E1535" s="38"/>
      <c r="F1535" s="38"/>
      <c r="G1535" s="38"/>
      <c r="H1535" s="38"/>
      <c r="I1535" s="38"/>
      <c r="J1535" s="38"/>
      <c r="K1535" s="38"/>
    </row>
    <row r="1536">
      <c r="A1536" s="38"/>
      <c r="B1536" s="38"/>
      <c r="C1536" s="38"/>
      <c r="D1536" s="38"/>
      <c r="E1536" s="38"/>
      <c r="F1536" s="38"/>
      <c r="G1536" s="38"/>
      <c r="H1536" s="38"/>
      <c r="I1536" s="38"/>
      <c r="J1536" s="38"/>
      <c r="K1536" s="38"/>
    </row>
    <row r="1537">
      <c r="A1537" s="38"/>
      <c r="B1537" s="38"/>
      <c r="C1537" s="38"/>
      <c r="D1537" s="38"/>
      <c r="E1537" s="38"/>
      <c r="F1537" s="38"/>
      <c r="G1537" s="38"/>
      <c r="H1537" s="38"/>
      <c r="I1537" s="38"/>
      <c r="J1537" s="38"/>
      <c r="K1537" s="38"/>
    </row>
    <row r="1538">
      <c r="A1538" s="38"/>
      <c r="B1538" s="38"/>
      <c r="C1538" s="38"/>
      <c r="D1538" s="38"/>
      <c r="E1538" s="38"/>
      <c r="F1538" s="38"/>
      <c r="G1538" s="38"/>
      <c r="H1538" s="38"/>
      <c r="I1538" s="38"/>
      <c r="J1538" s="38"/>
      <c r="K1538" s="38"/>
    </row>
    <row r="1539">
      <c r="A1539" s="38"/>
      <c r="B1539" s="38"/>
      <c r="C1539" s="38"/>
      <c r="D1539" s="38"/>
      <c r="E1539" s="38"/>
      <c r="F1539" s="38"/>
      <c r="G1539" s="38"/>
      <c r="H1539" s="38"/>
      <c r="I1539" s="38"/>
      <c r="J1539" s="38"/>
      <c r="K1539" s="38"/>
    </row>
    <row r="1540">
      <c r="A1540" s="38"/>
      <c r="B1540" s="38"/>
      <c r="C1540" s="38"/>
      <c r="D1540" s="38"/>
      <c r="E1540" s="38"/>
      <c r="F1540" s="38"/>
      <c r="G1540" s="38"/>
      <c r="H1540" s="38"/>
      <c r="I1540" s="38"/>
      <c r="J1540" s="38"/>
      <c r="K1540" s="38"/>
    </row>
    <row r="1541">
      <c r="A1541" s="38"/>
      <c r="B1541" s="38"/>
      <c r="C1541" s="38"/>
      <c r="D1541" s="38"/>
      <c r="E1541" s="38"/>
      <c r="F1541" s="38"/>
      <c r="G1541" s="38"/>
      <c r="H1541" s="38"/>
      <c r="I1541" s="38"/>
      <c r="J1541" s="38"/>
      <c r="K1541" s="38"/>
    </row>
    <row r="1542">
      <c r="A1542" s="38"/>
      <c r="B1542" s="38"/>
      <c r="C1542" s="38"/>
      <c r="D1542" s="38"/>
      <c r="E1542" s="38"/>
      <c r="F1542" s="38"/>
      <c r="G1542" s="38"/>
      <c r="H1542" s="38"/>
      <c r="I1542" s="38"/>
      <c r="J1542" s="38"/>
      <c r="K1542" s="38"/>
    </row>
    <row r="1543">
      <c r="A1543" s="38"/>
      <c r="B1543" s="38"/>
      <c r="C1543" s="38"/>
      <c r="D1543" s="38"/>
      <c r="E1543" s="38"/>
      <c r="F1543" s="38"/>
      <c r="G1543" s="38"/>
      <c r="H1543" s="38"/>
      <c r="I1543" s="38"/>
      <c r="J1543" s="38"/>
      <c r="K1543" s="38"/>
    </row>
    <row r="1544">
      <c r="A1544" s="38"/>
      <c r="B1544" s="38"/>
      <c r="C1544" s="38"/>
      <c r="D1544" s="38"/>
      <c r="E1544" s="38"/>
      <c r="F1544" s="38"/>
      <c r="G1544" s="38"/>
      <c r="H1544" s="38"/>
      <c r="I1544" s="38"/>
      <c r="J1544" s="38"/>
      <c r="K1544" s="38"/>
    </row>
    <row r="1545">
      <c r="A1545" s="38"/>
      <c r="B1545" s="38"/>
      <c r="C1545" s="38"/>
      <c r="D1545" s="38"/>
      <c r="E1545" s="38"/>
      <c r="F1545" s="38"/>
      <c r="G1545" s="38"/>
      <c r="H1545" s="38"/>
      <c r="I1545" s="38"/>
      <c r="J1545" s="38"/>
      <c r="K1545" s="38"/>
    </row>
    <row r="1546">
      <c r="A1546" s="38"/>
      <c r="B1546" s="38"/>
      <c r="C1546" s="38"/>
      <c r="D1546" s="38"/>
      <c r="E1546" s="38"/>
      <c r="F1546" s="38"/>
      <c r="G1546" s="38"/>
      <c r="H1546" s="38"/>
      <c r="I1546" s="38"/>
      <c r="J1546" s="38"/>
      <c r="K1546" s="38"/>
    </row>
    <row r="1547">
      <c r="A1547" s="38"/>
      <c r="B1547" s="38"/>
      <c r="C1547" s="38"/>
      <c r="D1547" s="38"/>
      <c r="E1547" s="38"/>
      <c r="F1547" s="38"/>
      <c r="G1547" s="38"/>
      <c r="H1547" s="38"/>
      <c r="I1547" s="38"/>
      <c r="J1547" s="38"/>
      <c r="K1547" s="38"/>
    </row>
    <row r="1548">
      <c r="A1548" s="38"/>
      <c r="B1548" s="38"/>
      <c r="C1548" s="38"/>
      <c r="D1548" s="38"/>
      <c r="E1548" s="38"/>
      <c r="F1548" s="38"/>
      <c r="G1548" s="38"/>
      <c r="H1548" s="38"/>
      <c r="I1548" s="38"/>
      <c r="J1548" s="38"/>
      <c r="K1548" s="38"/>
    </row>
    <row r="1549">
      <c r="A1549" s="38"/>
      <c r="B1549" s="38"/>
      <c r="C1549" s="38"/>
      <c r="D1549" s="38"/>
      <c r="E1549" s="38"/>
      <c r="F1549" s="38"/>
      <c r="G1549" s="38"/>
      <c r="H1549" s="38"/>
      <c r="I1549" s="38"/>
      <c r="J1549" s="38"/>
      <c r="K1549" s="38"/>
    </row>
    <row r="1550">
      <c r="A1550" s="38"/>
      <c r="B1550" s="38"/>
      <c r="C1550" s="38"/>
      <c r="D1550" s="38"/>
      <c r="E1550" s="38"/>
      <c r="F1550" s="38"/>
      <c r="G1550" s="38"/>
      <c r="H1550" s="38"/>
      <c r="I1550" s="38"/>
      <c r="J1550" s="38"/>
      <c r="K1550" s="38"/>
    </row>
    <row r="1551">
      <c r="A1551" s="38"/>
      <c r="B1551" s="38"/>
      <c r="C1551" s="38"/>
      <c r="D1551" s="38"/>
      <c r="E1551" s="38"/>
      <c r="F1551" s="38"/>
      <c r="G1551" s="38"/>
      <c r="H1551" s="38"/>
      <c r="I1551" s="38"/>
      <c r="J1551" s="38"/>
      <c r="K1551" s="38"/>
    </row>
    <row r="1552">
      <c r="A1552" s="38"/>
      <c r="B1552" s="38"/>
      <c r="C1552" s="38"/>
      <c r="D1552" s="38"/>
      <c r="E1552" s="38"/>
      <c r="F1552" s="38"/>
      <c r="G1552" s="38"/>
      <c r="H1552" s="38"/>
      <c r="I1552" s="38"/>
      <c r="J1552" s="38"/>
      <c r="K1552" s="38"/>
    </row>
    <row r="1553">
      <c r="A1553" s="38"/>
      <c r="B1553" s="38"/>
      <c r="C1553" s="38"/>
      <c r="D1553" s="38"/>
      <c r="E1553" s="38"/>
      <c r="F1553" s="38"/>
      <c r="G1553" s="38"/>
      <c r="H1553" s="38"/>
      <c r="I1553" s="38"/>
      <c r="J1553" s="38"/>
      <c r="K1553" s="38"/>
    </row>
    <row r="1554">
      <c r="A1554" s="38"/>
      <c r="B1554" s="38"/>
      <c r="C1554" s="38"/>
      <c r="D1554" s="38"/>
      <c r="E1554" s="38"/>
      <c r="F1554" s="38"/>
      <c r="G1554" s="38"/>
      <c r="H1554" s="38"/>
      <c r="I1554" s="38"/>
      <c r="J1554" s="38"/>
      <c r="K1554" s="38"/>
    </row>
    <row r="1555">
      <c r="A1555" s="38"/>
      <c r="B1555" s="38"/>
      <c r="C1555" s="38"/>
      <c r="D1555" s="38"/>
      <c r="E1555" s="38"/>
      <c r="F1555" s="38"/>
      <c r="G1555" s="38"/>
      <c r="H1555" s="38"/>
      <c r="I1555" s="38"/>
      <c r="J1555" s="38"/>
      <c r="K1555" s="38"/>
    </row>
    <row r="1556">
      <c r="A1556" s="38"/>
      <c r="B1556" s="38"/>
      <c r="C1556" s="38"/>
      <c r="D1556" s="38"/>
      <c r="E1556" s="38"/>
      <c r="F1556" s="38"/>
      <c r="G1556" s="38"/>
      <c r="H1556" s="38"/>
      <c r="I1556" s="38"/>
      <c r="J1556" s="38"/>
      <c r="K1556" s="38"/>
    </row>
    <row r="1557">
      <c r="A1557" s="38"/>
      <c r="B1557" s="38"/>
      <c r="C1557" s="38"/>
      <c r="D1557" s="38"/>
      <c r="E1557" s="38"/>
      <c r="F1557" s="38"/>
      <c r="G1557" s="38"/>
      <c r="H1557" s="38"/>
      <c r="I1557" s="38"/>
      <c r="J1557" s="38"/>
      <c r="K1557" s="38"/>
    </row>
    <row r="1558">
      <c r="A1558" s="38"/>
      <c r="B1558" s="38"/>
      <c r="C1558" s="38"/>
      <c r="D1558" s="38"/>
      <c r="E1558" s="38"/>
      <c r="F1558" s="38"/>
      <c r="G1558" s="38"/>
      <c r="H1558" s="38"/>
      <c r="I1558" s="38"/>
      <c r="J1558" s="38"/>
      <c r="K1558" s="38"/>
    </row>
    <row r="1559">
      <c r="A1559" s="38"/>
      <c r="B1559" s="38"/>
      <c r="C1559" s="38"/>
      <c r="D1559" s="38"/>
      <c r="E1559" s="38"/>
      <c r="F1559" s="38"/>
      <c r="G1559" s="38"/>
      <c r="H1559" s="38"/>
      <c r="I1559" s="38"/>
      <c r="J1559" s="38"/>
      <c r="K1559" s="38"/>
    </row>
    <row r="1560">
      <c r="A1560" s="38"/>
      <c r="B1560" s="38"/>
      <c r="C1560" s="38"/>
      <c r="D1560" s="38"/>
      <c r="E1560" s="38"/>
      <c r="F1560" s="38"/>
      <c r="G1560" s="38"/>
      <c r="H1560" s="38"/>
      <c r="I1560" s="38"/>
      <c r="J1560" s="38"/>
      <c r="K1560" s="38"/>
    </row>
    <row r="1561">
      <c r="A1561" s="38"/>
      <c r="B1561" s="38"/>
      <c r="C1561" s="38"/>
      <c r="D1561" s="38"/>
      <c r="E1561" s="38"/>
      <c r="F1561" s="38"/>
      <c r="G1561" s="38"/>
      <c r="H1561" s="38"/>
      <c r="I1561" s="38"/>
      <c r="J1561" s="38"/>
      <c r="K1561" s="38"/>
    </row>
    <row r="1562">
      <c r="A1562" s="38"/>
      <c r="B1562" s="38"/>
      <c r="C1562" s="38"/>
      <c r="D1562" s="38"/>
      <c r="E1562" s="38"/>
      <c r="F1562" s="38"/>
      <c r="G1562" s="38"/>
      <c r="H1562" s="38"/>
      <c r="I1562" s="38"/>
      <c r="J1562" s="38"/>
      <c r="K1562" s="38"/>
    </row>
    <row r="1563">
      <c r="A1563" s="38"/>
      <c r="B1563" s="38"/>
      <c r="C1563" s="38"/>
      <c r="D1563" s="38"/>
      <c r="E1563" s="38"/>
      <c r="F1563" s="38"/>
      <c r="G1563" s="38"/>
      <c r="H1563" s="38"/>
      <c r="I1563" s="38"/>
      <c r="J1563" s="38"/>
      <c r="K1563" s="38"/>
    </row>
    <row r="1564">
      <c r="A1564" s="38"/>
      <c r="B1564" s="38"/>
      <c r="C1564" s="38"/>
      <c r="D1564" s="38"/>
      <c r="E1564" s="38"/>
      <c r="F1564" s="38"/>
      <c r="G1564" s="38"/>
      <c r="H1564" s="38"/>
      <c r="I1564" s="38"/>
      <c r="J1564" s="38"/>
      <c r="K1564" s="38"/>
    </row>
    <row r="1565">
      <c r="A1565" s="38"/>
      <c r="B1565" s="38"/>
      <c r="C1565" s="38"/>
      <c r="D1565" s="38"/>
      <c r="E1565" s="38"/>
      <c r="F1565" s="38"/>
      <c r="G1565" s="38"/>
      <c r="H1565" s="38"/>
      <c r="I1565" s="38"/>
      <c r="J1565" s="38"/>
      <c r="K1565" s="38"/>
    </row>
    <row r="1566">
      <c r="A1566" s="38"/>
      <c r="B1566" s="38"/>
      <c r="C1566" s="38"/>
      <c r="D1566" s="38"/>
      <c r="E1566" s="38"/>
      <c r="F1566" s="38"/>
      <c r="G1566" s="38"/>
      <c r="H1566" s="38"/>
      <c r="I1566" s="38"/>
      <c r="J1566" s="38"/>
      <c r="K1566" s="38"/>
    </row>
    <row r="1567">
      <c r="A1567" s="38"/>
      <c r="B1567" s="38"/>
      <c r="C1567" s="38"/>
      <c r="D1567" s="38"/>
      <c r="E1567" s="38"/>
      <c r="F1567" s="38"/>
      <c r="G1567" s="38"/>
      <c r="H1567" s="38"/>
      <c r="I1567" s="38"/>
      <c r="J1567" s="38"/>
      <c r="K1567" s="38"/>
    </row>
    <row r="1568">
      <c r="A1568" s="38"/>
      <c r="B1568" s="38"/>
      <c r="C1568" s="38"/>
      <c r="D1568" s="38"/>
      <c r="E1568" s="38"/>
      <c r="F1568" s="38"/>
      <c r="G1568" s="38"/>
      <c r="H1568" s="38"/>
      <c r="I1568" s="38"/>
      <c r="J1568" s="38"/>
      <c r="K1568" s="38"/>
    </row>
    <row r="1569">
      <c r="A1569" s="38"/>
      <c r="B1569" s="38"/>
      <c r="C1569" s="38"/>
      <c r="D1569" s="38"/>
      <c r="E1569" s="38"/>
      <c r="F1569" s="38"/>
      <c r="G1569" s="38"/>
      <c r="H1569" s="38"/>
      <c r="I1569" s="38"/>
      <c r="J1569" s="38"/>
      <c r="K1569" s="38"/>
    </row>
    <row r="1570">
      <c r="A1570" s="38"/>
      <c r="B1570" s="38"/>
      <c r="C1570" s="38"/>
      <c r="D1570" s="38"/>
      <c r="E1570" s="38"/>
      <c r="F1570" s="38"/>
      <c r="G1570" s="38"/>
      <c r="H1570" s="38"/>
      <c r="I1570" s="38"/>
      <c r="J1570" s="38"/>
      <c r="K1570" s="38"/>
    </row>
    <row r="1571">
      <c r="A1571" s="38"/>
      <c r="B1571" s="38"/>
      <c r="C1571" s="38"/>
      <c r="D1571" s="38"/>
      <c r="E1571" s="38"/>
      <c r="F1571" s="38"/>
      <c r="G1571" s="38"/>
      <c r="H1571" s="38"/>
      <c r="I1571" s="38"/>
      <c r="J1571" s="38"/>
      <c r="K1571" s="38"/>
    </row>
    <row r="1572">
      <c r="A1572" s="38"/>
      <c r="B1572" s="38"/>
      <c r="C1572" s="38"/>
      <c r="D1572" s="38"/>
      <c r="E1572" s="38"/>
      <c r="F1572" s="38"/>
      <c r="G1572" s="38"/>
      <c r="H1572" s="38"/>
      <c r="I1572" s="38"/>
      <c r="J1572" s="38"/>
      <c r="K1572" s="38"/>
    </row>
    <row r="1573">
      <c r="A1573" s="38"/>
      <c r="B1573" s="38"/>
      <c r="C1573" s="38"/>
      <c r="D1573" s="38"/>
      <c r="E1573" s="38"/>
      <c r="F1573" s="38"/>
      <c r="G1573" s="38"/>
      <c r="H1573" s="38"/>
      <c r="I1573" s="38"/>
      <c r="J1573" s="38"/>
      <c r="K1573" s="38"/>
    </row>
    <row r="1574">
      <c r="A1574" s="38"/>
      <c r="B1574" s="38"/>
      <c r="C1574" s="38"/>
      <c r="D1574" s="38"/>
      <c r="E1574" s="38"/>
      <c r="F1574" s="38"/>
      <c r="G1574" s="38"/>
      <c r="H1574" s="38"/>
      <c r="I1574" s="38"/>
      <c r="J1574" s="38"/>
      <c r="K1574" s="38"/>
    </row>
    <row r="1575">
      <c r="A1575" s="38"/>
      <c r="B1575" s="38"/>
      <c r="C1575" s="38"/>
      <c r="D1575" s="38"/>
      <c r="E1575" s="38"/>
      <c r="F1575" s="38"/>
      <c r="G1575" s="38"/>
      <c r="H1575" s="38"/>
      <c r="I1575" s="38"/>
      <c r="J1575" s="38"/>
      <c r="K1575" s="38"/>
    </row>
    <row r="1576">
      <c r="A1576" s="38"/>
      <c r="B1576" s="38"/>
      <c r="C1576" s="38"/>
      <c r="D1576" s="38"/>
      <c r="E1576" s="38"/>
      <c r="F1576" s="38"/>
      <c r="G1576" s="38"/>
      <c r="H1576" s="38"/>
      <c r="I1576" s="38"/>
      <c r="J1576" s="38"/>
      <c r="K1576" s="38"/>
    </row>
    <row r="1577">
      <c r="A1577" s="38"/>
      <c r="B1577" s="38"/>
      <c r="C1577" s="38"/>
      <c r="D1577" s="38"/>
      <c r="E1577" s="38"/>
      <c r="F1577" s="38"/>
      <c r="G1577" s="38"/>
      <c r="H1577" s="38"/>
      <c r="I1577" s="38"/>
      <c r="J1577" s="38"/>
      <c r="K1577" s="38"/>
    </row>
    <row r="1578">
      <c r="A1578" s="38"/>
      <c r="B1578" s="38"/>
      <c r="C1578" s="38"/>
      <c r="D1578" s="38"/>
      <c r="E1578" s="38"/>
      <c r="F1578" s="38"/>
      <c r="G1578" s="38"/>
      <c r="H1578" s="38"/>
      <c r="I1578" s="38"/>
      <c r="J1578" s="38"/>
      <c r="K1578" s="38"/>
    </row>
    <row r="1579">
      <c r="A1579" s="38"/>
      <c r="B1579" s="38"/>
      <c r="C1579" s="38"/>
      <c r="D1579" s="38"/>
      <c r="E1579" s="38"/>
      <c r="F1579" s="38"/>
      <c r="G1579" s="38"/>
      <c r="H1579" s="38"/>
      <c r="I1579" s="38"/>
      <c r="J1579" s="38"/>
      <c r="K1579" s="38"/>
    </row>
    <row r="1580">
      <c r="A1580" s="38"/>
      <c r="B1580" s="38"/>
      <c r="C1580" s="38"/>
      <c r="D1580" s="38"/>
      <c r="E1580" s="38"/>
      <c r="F1580" s="38"/>
      <c r="G1580" s="38"/>
      <c r="H1580" s="38"/>
      <c r="I1580" s="38"/>
      <c r="J1580" s="38"/>
      <c r="K1580" s="38"/>
    </row>
    <row r="1581">
      <c r="A1581" s="38"/>
      <c r="B1581" s="38"/>
      <c r="C1581" s="38"/>
      <c r="D1581" s="38"/>
      <c r="E1581" s="38"/>
      <c r="F1581" s="38"/>
      <c r="G1581" s="38"/>
      <c r="H1581" s="38"/>
      <c r="I1581" s="38"/>
      <c r="J1581" s="38"/>
      <c r="K1581" s="38"/>
    </row>
    <row r="1582">
      <c r="A1582" s="38"/>
      <c r="B1582" s="38"/>
      <c r="C1582" s="38"/>
      <c r="D1582" s="38"/>
      <c r="E1582" s="38"/>
      <c r="F1582" s="38"/>
      <c r="G1582" s="38"/>
      <c r="H1582" s="38"/>
      <c r="I1582" s="38"/>
      <c r="J1582" s="38"/>
      <c r="K1582" s="38"/>
    </row>
    <row r="1583">
      <c r="A1583" s="38"/>
      <c r="B1583" s="38"/>
      <c r="C1583" s="38"/>
      <c r="D1583" s="38"/>
      <c r="E1583" s="38"/>
      <c r="F1583" s="38"/>
      <c r="G1583" s="38"/>
      <c r="H1583" s="38"/>
      <c r="I1583" s="38"/>
      <c r="J1583" s="38"/>
      <c r="K1583" s="38"/>
    </row>
    <row r="1584">
      <c r="A1584" s="38"/>
      <c r="B1584" s="38"/>
      <c r="C1584" s="38"/>
      <c r="D1584" s="38"/>
      <c r="E1584" s="38"/>
      <c r="F1584" s="38"/>
      <c r="G1584" s="38"/>
      <c r="H1584" s="38"/>
      <c r="I1584" s="38"/>
      <c r="J1584" s="38"/>
      <c r="K1584" s="38"/>
    </row>
    <row r="1585">
      <c r="A1585" s="38"/>
      <c r="B1585" s="38"/>
      <c r="C1585" s="38"/>
      <c r="D1585" s="38"/>
      <c r="E1585" s="38"/>
      <c r="F1585" s="38"/>
      <c r="G1585" s="38"/>
      <c r="H1585" s="38"/>
      <c r="I1585" s="38"/>
      <c r="J1585" s="38"/>
      <c r="K1585" s="38"/>
    </row>
    <row r="1586">
      <c r="A1586" s="38"/>
      <c r="B1586" s="38"/>
      <c r="C1586" s="38"/>
      <c r="D1586" s="38"/>
      <c r="E1586" s="38"/>
      <c r="F1586" s="38"/>
      <c r="G1586" s="38"/>
      <c r="H1586" s="38"/>
      <c r="I1586" s="38"/>
      <c r="J1586" s="38"/>
      <c r="K1586" s="38"/>
    </row>
    <row r="1587">
      <c r="A1587" s="38"/>
      <c r="B1587" s="38"/>
      <c r="C1587" s="38"/>
      <c r="D1587" s="38"/>
      <c r="E1587" s="38"/>
      <c r="F1587" s="38"/>
      <c r="G1587" s="38"/>
      <c r="H1587" s="38"/>
      <c r="I1587" s="38"/>
      <c r="J1587" s="38"/>
      <c r="K1587" s="38"/>
    </row>
    <row r="1588">
      <c r="A1588" s="38"/>
      <c r="B1588" s="38"/>
      <c r="C1588" s="38"/>
      <c r="D1588" s="38"/>
      <c r="E1588" s="38"/>
      <c r="F1588" s="38"/>
      <c r="G1588" s="38"/>
      <c r="H1588" s="38"/>
      <c r="I1588" s="38"/>
      <c r="J1588" s="38"/>
      <c r="K1588" s="38"/>
    </row>
    <row r="1589">
      <c r="A1589" s="38"/>
      <c r="B1589" s="38"/>
      <c r="C1589" s="38"/>
      <c r="D1589" s="38"/>
      <c r="E1589" s="38"/>
      <c r="F1589" s="38"/>
      <c r="G1589" s="38"/>
      <c r="H1589" s="38"/>
      <c r="I1589" s="38"/>
      <c r="J1589" s="38"/>
      <c r="K1589" s="38"/>
    </row>
    <row r="1590">
      <c r="A1590" s="38"/>
      <c r="B1590" s="38"/>
      <c r="C1590" s="38"/>
      <c r="D1590" s="38"/>
      <c r="E1590" s="38"/>
      <c r="F1590" s="38"/>
      <c r="G1590" s="38"/>
      <c r="H1590" s="38"/>
      <c r="I1590" s="38"/>
      <c r="J1590" s="38"/>
      <c r="K1590" s="38"/>
    </row>
    <row r="1591">
      <c r="A1591" s="38"/>
      <c r="B1591" s="38"/>
      <c r="C1591" s="38"/>
      <c r="D1591" s="38"/>
      <c r="E1591" s="38"/>
      <c r="F1591" s="38"/>
      <c r="G1591" s="38"/>
      <c r="H1591" s="38"/>
      <c r="I1591" s="38"/>
      <c r="J1591" s="38"/>
      <c r="K1591" s="38"/>
    </row>
    <row r="1592">
      <c r="A1592" s="38"/>
      <c r="B1592" s="38"/>
      <c r="C1592" s="38"/>
      <c r="D1592" s="38"/>
      <c r="E1592" s="38"/>
      <c r="F1592" s="38"/>
      <c r="G1592" s="38"/>
      <c r="H1592" s="38"/>
      <c r="I1592" s="38"/>
      <c r="J1592" s="38"/>
      <c r="K1592" s="38"/>
    </row>
    <row r="1593">
      <c r="A1593" s="38"/>
      <c r="B1593" s="38"/>
      <c r="C1593" s="38"/>
      <c r="D1593" s="38"/>
      <c r="E1593" s="38"/>
      <c r="F1593" s="38"/>
      <c r="G1593" s="38"/>
      <c r="H1593" s="38"/>
      <c r="I1593" s="38"/>
      <c r="J1593" s="38"/>
      <c r="K1593" s="38"/>
    </row>
    <row r="1594">
      <c r="A1594" s="38"/>
      <c r="B1594" s="38"/>
      <c r="C1594" s="38"/>
      <c r="D1594" s="38"/>
      <c r="E1594" s="38"/>
      <c r="F1594" s="38"/>
      <c r="G1594" s="38"/>
      <c r="H1594" s="38"/>
      <c r="I1594" s="38"/>
      <c r="J1594" s="38"/>
      <c r="K1594" s="38"/>
    </row>
    <row r="1595">
      <c r="A1595" s="38"/>
      <c r="B1595" s="38"/>
      <c r="C1595" s="38"/>
      <c r="D1595" s="38"/>
      <c r="E1595" s="38"/>
      <c r="F1595" s="38"/>
      <c r="G1595" s="38"/>
      <c r="H1595" s="38"/>
      <c r="I1595" s="38"/>
      <c r="J1595" s="38"/>
      <c r="K1595" s="38"/>
    </row>
    <row r="1596">
      <c r="A1596" s="38"/>
      <c r="B1596" s="38"/>
      <c r="C1596" s="38"/>
      <c r="D1596" s="38"/>
      <c r="E1596" s="38"/>
      <c r="F1596" s="38"/>
      <c r="G1596" s="38"/>
      <c r="H1596" s="38"/>
      <c r="I1596" s="38"/>
      <c r="J1596" s="38"/>
      <c r="K1596" s="38"/>
    </row>
    <row r="1597">
      <c r="A1597" s="38"/>
      <c r="B1597" s="38"/>
      <c r="C1597" s="38"/>
      <c r="D1597" s="38"/>
      <c r="E1597" s="38"/>
      <c r="F1597" s="38"/>
      <c r="G1597" s="38"/>
      <c r="H1597" s="38"/>
      <c r="I1597" s="38"/>
      <c r="J1597" s="38"/>
      <c r="K1597" s="38"/>
    </row>
    <row r="1598">
      <c r="A1598" s="38"/>
      <c r="B1598" s="38"/>
      <c r="C1598" s="38"/>
      <c r="D1598" s="38"/>
      <c r="E1598" s="38"/>
      <c r="F1598" s="38"/>
      <c r="G1598" s="38"/>
      <c r="H1598" s="38"/>
      <c r="I1598" s="38"/>
      <c r="J1598" s="38"/>
      <c r="K1598" s="38"/>
    </row>
    <row r="1599">
      <c r="A1599" s="38"/>
      <c r="B1599" s="38"/>
      <c r="C1599" s="38"/>
      <c r="D1599" s="38"/>
      <c r="E1599" s="38"/>
      <c r="F1599" s="38"/>
      <c r="G1599" s="38"/>
      <c r="H1599" s="38"/>
      <c r="I1599" s="38"/>
      <c r="J1599" s="38"/>
      <c r="K1599" s="38"/>
    </row>
    <row r="1600">
      <c r="A1600" s="38"/>
      <c r="B1600" s="38"/>
      <c r="C1600" s="38"/>
      <c r="D1600" s="38"/>
      <c r="E1600" s="38"/>
      <c r="F1600" s="38"/>
      <c r="G1600" s="38"/>
      <c r="H1600" s="38"/>
      <c r="I1600" s="38"/>
      <c r="J1600" s="38"/>
      <c r="K1600" s="38"/>
    </row>
    <row r="1601">
      <c r="A1601" s="38"/>
      <c r="B1601" s="38"/>
      <c r="C1601" s="38"/>
      <c r="D1601" s="38"/>
      <c r="E1601" s="38"/>
      <c r="F1601" s="38"/>
      <c r="G1601" s="38"/>
      <c r="H1601" s="38"/>
      <c r="I1601" s="38"/>
      <c r="J1601" s="38"/>
      <c r="K1601" s="38"/>
    </row>
    <row r="1602">
      <c r="A1602" s="38"/>
      <c r="B1602" s="38"/>
      <c r="C1602" s="38"/>
      <c r="D1602" s="38"/>
      <c r="E1602" s="38"/>
      <c r="F1602" s="38"/>
      <c r="G1602" s="38"/>
      <c r="H1602" s="38"/>
      <c r="I1602" s="38"/>
      <c r="J1602" s="38"/>
      <c r="K1602" s="38"/>
    </row>
    <row r="1603">
      <c r="A1603" s="38"/>
      <c r="B1603" s="38"/>
      <c r="C1603" s="38"/>
      <c r="D1603" s="38"/>
      <c r="E1603" s="38"/>
      <c r="F1603" s="38"/>
      <c r="G1603" s="38"/>
      <c r="H1603" s="38"/>
      <c r="I1603" s="38"/>
      <c r="J1603" s="38"/>
      <c r="K1603" s="38"/>
    </row>
    <row r="1604">
      <c r="A1604" s="38"/>
      <c r="B1604" s="38"/>
      <c r="C1604" s="38"/>
      <c r="D1604" s="38"/>
      <c r="E1604" s="38"/>
      <c r="F1604" s="38"/>
      <c r="G1604" s="38"/>
      <c r="H1604" s="38"/>
      <c r="I1604" s="38"/>
      <c r="J1604" s="38"/>
      <c r="K1604" s="38"/>
    </row>
    <row r="1605">
      <c r="A1605" s="38"/>
      <c r="B1605" s="38"/>
      <c r="C1605" s="38"/>
      <c r="D1605" s="38"/>
      <c r="E1605" s="38"/>
      <c r="F1605" s="38"/>
      <c r="G1605" s="38"/>
      <c r="H1605" s="38"/>
      <c r="I1605" s="38"/>
      <c r="J1605" s="38"/>
      <c r="K1605" s="38"/>
    </row>
    <row r="1606">
      <c r="A1606" s="38"/>
      <c r="B1606" s="38"/>
      <c r="C1606" s="38"/>
      <c r="D1606" s="38"/>
      <c r="E1606" s="38"/>
      <c r="F1606" s="38"/>
      <c r="G1606" s="38"/>
      <c r="H1606" s="38"/>
      <c r="I1606" s="38"/>
      <c r="J1606" s="38"/>
      <c r="K1606" s="38"/>
    </row>
    <row r="1607">
      <c r="A1607" s="38"/>
      <c r="B1607" s="38"/>
      <c r="C1607" s="38"/>
      <c r="D1607" s="38"/>
      <c r="E1607" s="38"/>
      <c r="F1607" s="38"/>
      <c r="G1607" s="38"/>
      <c r="H1607" s="38"/>
      <c r="I1607" s="38"/>
      <c r="J1607" s="38"/>
      <c r="K1607" s="38"/>
    </row>
    <row r="1608">
      <c r="A1608" s="38"/>
      <c r="B1608" s="38"/>
      <c r="C1608" s="38"/>
      <c r="D1608" s="38"/>
      <c r="E1608" s="38"/>
      <c r="F1608" s="38"/>
      <c r="G1608" s="38"/>
      <c r="H1608" s="38"/>
      <c r="I1608" s="38"/>
      <c r="J1608" s="38"/>
      <c r="K1608" s="38"/>
    </row>
    <row r="1609">
      <c r="A1609" s="38"/>
      <c r="B1609" s="38"/>
      <c r="C1609" s="38"/>
      <c r="D1609" s="38"/>
      <c r="E1609" s="38"/>
      <c r="F1609" s="38"/>
      <c r="G1609" s="38"/>
      <c r="H1609" s="38"/>
      <c r="I1609" s="38"/>
      <c r="J1609" s="38"/>
      <c r="K1609" s="38"/>
    </row>
    <row r="1610">
      <c r="A1610" s="38"/>
      <c r="B1610" s="38"/>
      <c r="C1610" s="38"/>
      <c r="D1610" s="38"/>
      <c r="E1610" s="38"/>
      <c r="F1610" s="38"/>
      <c r="G1610" s="38"/>
      <c r="H1610" s="38"/>
      <c r="I1610" s="38"/>
      <c r="J1610" s="38"/>
      <c r="K1610" s="38"/>
    </row>
    <row r="1611">
      <c r="A1611" s="38"/>
      <c r="B1611" s="38"/>
      <c r="C1611" s="38"/>
      <c r="D1611" s="38"/>
      <c r="E1611" s="38"/>
      <c r="F1611" s="38"/>
      <c r="G1611" s="38"/>
      <c r="H1611" s="38"/>
      <c r="I1611" s="38"/>
      <c r="J1611" s="38"/>
      <c r="K1611" s="38"/>
    </row>
    <row r="1612">
      <c r="A1612" s="38"/>
      <c r="B1612" s="38"/>
      <c r="C1612" s="38"/>
      <c r="D1612" s="38"/>
      <c r="E1612" s="38"/>
      <c r="F1612" s="38"/>
      <c r="G1612" s="38"/>
      <c r="H1612" s="38"/>
      <c r="I1612" s="38"/>
      <c r="J1612" s="38"/>
      <c r="K1612" s="38"/>
    </row>
    <row r="1613">
      <c r="A1613" s="38"/>
      <c r="B1613" s="38"/>
      <c r="C1613" s="38"/>
      <c r="D1613" s="38"/>
      <c r="E1613" s="38"/>
      <c r="F1613" s="38"/>
      <c r="G1613" s="38"/>
      <c r="H1613" s="38"/>
      <c r="I1613" s="38"/>
      <c r="J1613" s="38"/>
      <c r="K1613" s="38"/>
    </row>
    <row r="1614">
      <c r="A1614" s="38"/>
      <c r="B1614" s="38"/>
      <c r="C1614" s="38"/>
      <c r="D1614" s="38"/>
      <c r="E1614" s="38"/>
      <c r="F1614" s="38"/>
      <c r="G1614" s="38"/>
      <c r="H1614" s="38"/>
      <c r="I1614" s="38"/>
      <c r="J1614" s="38"/>
      <c r="K1614" s="38"/>
    </row>
    <row r="1615">
      <c r="A1615" s="38"/>
      <c r="B1615" s="38"/>
      <c r="C1615" s="38"/>
      <c r="D1615" s="38"/>
      <c r="E1615" s="38"/>
      <c r="F1615" s="38"/>
      <c r="G1615" s="38"/>
      <c r="H1615" s="38"/>
      <c r="I1615" s="38"/>
      <c r="J1615" s="38"/>
      <c r="K1615" s="38"/>
    </row>
    <row r="1616">
      <c r="A1616" s="38"/>
      <c r="B1616" s="38"/>
      <c r="C1616" s="38"/>
      <c r="D1616" s="38"/>
      <c r="E1616" s="38"/>
      <c r="F1616" s="38"/>
      <c r="G1616" s="38"/>
      <c r="H1616" s="38"/>
      <c r="I1616" s="38"/>
      <c r="J1616" s="38"/>
      <c r="K1616" s="38"/>
    </row>
    <row r="1617">
      <c r="A1617" s="38"/>
      <c r="B1617" s="38"/>
      <c r="C1617" s="38"/>
      <c r="D1617" s="38"/>
      <c r="E1617" s="38"/>
      <c r="F1617" s="38"/>
      <c r="G1617" s="38"/>
      <c r="H1617" s="38"/>
      <c r="I1617" s="38"/>
      <c r="J1617" s="38"/>
      <c r="K1617" s="38"/>
    </row>
    <row r="1618">
      <c r="A1618" s="38"/>
      <c r="B1618" s="38"/>
      <c r="C1618" s="38"/>
      <c r="D1618" s="38"/>
      <c r="E1618" s="38"/>
      <c r="F1618" s="38"/>
      <c r="G1618" s="38"/>
      <c r="H1618" s="38"/>
      <c r="I1618" s="38"/>
      <c r="J1618" s="38"/>
      <c r="K1618" s="38"/>
    </row>
    <row r="1619">
      <c r="A1619" s="38"/>
      <c r="B1619" s="38"/>
      <c r="C1619" s="38"/>
      <c r="D1619" s="38"/>
      <c r="E1619" s="38"/>
      <c r="F1619" s="38"/>
      <c r="G1619" s="38"/>
      <c r="H1619" s="38"/>
      <c r="I1619" s="38"/>
      <c r="J1619" s="38"/>
      <c r="K1619" s="38"/>
    </row>
    <row r="1620">
      <c r="A1620" s="38"/>
      <c r="B1620" s="38"/>
      <c r="C1620" s="38"/>
      <c r="D1620" s="38"/>
      <c r="E1620" s="38"/>
      <c r="F1620" s="38"/>
      <c r="G1620" s="38"/>
      <c r="H1620" s="38"/>
      <c r="I1620" s="38"/>
      <c r="J1620" s="38"/>
      <c r="K1620" s="38"/>
    </row>
    <row r="1621">
      <c r="A1621" s="38"/>
      <c r="B1621" s="38"/>
      <c r="C1621" s="38"/>
      <c r="D1621" s="38"/>
      <c r="E1621" s="38"/>
      <c r="F1621" s="38"/>
      <c r="G1621" s="38"/>
      <c r="H1621" s="38"/>
      <c r="I1621" s="38"/>
      <c r="J1621" s="38"/>
      <c r="K1621" s="38"/>
    </row>
    <row r="1622">
      <c r="A1622" s="38"/>
      <c r="B1622" s="38"/>
      <c r="C1622" s="38"/>
      <c r="D1622" s="38"/>
      <c r="E1622" s="38"/>
      <c r="F1622" s="38"/>
      <c r="G1622" s="38"/>
      <c r="H1622" s="38"/>
      <c r="I1622" s="38"/>
      <c r="J1622" s="38"/>
      <c r="K1622" s="38"/>
    </row>
    <row r="1623">
      <c r="A1623" s="38"/>
      <c r="B1623" s="38"/>
      <c r="C1623" s="38"/>
      <c r="D1623" s="38"/>
      <c r="E1623" s="38"/>
      <c r="F1623" s="38"/>
      <c r="G1623" s="38"/>
      <c r="H1623" s="38"/>
      <c r="I1623" s="38"/>
      <c r="J1623" s="38"/>
      <c r="K1623" s="38"/>
    </row>
    <row r="1624">
      <c r="A1624" s="38"/>
      <c r="B1624" s="38"/>
      <c r="C1624" s="38"/>
      <c r="D1624" s="38"/>
      <c r="E1624" s="38"/>
      <c r="F1624" s="38"/>
      <c r="G1624" s="38"/>
      <c r="H1624" s="38"/>
      <c r="I1624" s="38"/>
      <c r="J1624" s="38"/>
      <c r="K1624" s="38"/>
    </row>
    <row r="1625">
      <c r="A1625" s="38"/>
      <c r="B1625" s="38"/>
      <c r="C1625" s="38"/>
      <c r="D1625" s="38"/>
      <c r="E1625" s="38"/>
      <c r="F1625" s="38"/>
      <c r="G1625" s="38"/>
      <c r="H1625" s="38"/>
      <c r="I1625" s="38"/>
      <c r="J1625" s="38"/>
      <c r="K1625" s="38"/>
    </row>
    <row r="1626">
      <c r="A1626" s="38"/>
      <c r="B1626" s="38"/>
      <c r="C1626" s="38"/>
      <c r="D1626" s="38"/>
      <c r="E1626" s="38"/>
      <c r="F1626" s="38"/>
      <c r="G1626" s="38"/>
      <c r="H1626" s="38"/>
      <c r="I1626" s="38"/>
      <c r="J1626" s="38"/>
      <c r="K1626" s="38"/>
    </row>
    <row r="1627">
      <c r="A1627" s="38"/>
      <c r="B1627" s="38"/>
      <c r="C1627" s="38"/>
      <c r="D1627" s="38"/>
      <c r="E1627" s="38"/>
      <c r="F1627" s="38"/>
      <c r="G1627" s="38"/>
      <c r="H1627" s="38"/>
      <c r="I1627" s="38"/>
      <c r="J1627" s="38"/>
      <c r="K1627" s="38"/>
    </row>
    <row r="1628">
      <c r="A1628" s="38"/>
      <c r="B1628" s="38"/>
      <c r="C1628" s="38"/>
      <c r="D1628" s="38"/>
      <c r="E1628" s="38"/>
      <c r="F1628" s="38"/>
      <c r="G1628" s="38"/>
      <c r="H1628" s="38"/>
      <c r="I1628" s="38"/>
      <c r="J1628" s="38"/>
      <c r="K1628" s="38"/>
    </row>
    <row r="1629">
      <c r="A1629" s="38"/>
      <c r="B1629" s="38"/>
      <c r="C1629" s="38"/>
      <c r="D1629" s="38"/>
      <c r="E1629" s="38"/>
      <c r="F1629" s="38"/>
      <c r="G1629" s="38"/>
      <c r="H1629" s="38"/>
      <c r="I1629" s="38"/>
      <c r="J1629" s="38"/>
      <c r="K1629" s="38"/>
    </row>
    <row r="1630">
      <c r="A1630" s="38"/>
      <c r="B1630" s="38"/>
      <c r="C1630" s="38"/>
      <c r="D1630" s="38"/>
      <c r="E1630" s="38"/>
      <c r="F1630" s="38"/>
      <c r="G1630" s="38"/>
      <c r="H1630" s="38"/>
      <c r="I1630" s="38"/>
      <c r="J1630" s="38"/>
      <c r="K1630" s="38"/>
    </row>
    <row r="1631">
      <c r="A1631" s="38"/>
      <c r="B1631" s="38"/>
      <c r="C1631" s="38"/>
      <c r="D1631" s="38"/>
      <c r="E1631" s="38"/>
      <c r="F1631" s="38"/>
      <c r="G1631" s="38"/>
      <c r="H1631" s="38"/>
      <c r="I1631" s="38"/>
      <c r="J1631" s="38"/>
      <c r="K1631" s="38"/>
    </row>
    <row r="1632">
      <c r="A1632" s="38"/>
      <c r="B1632" s="38"/>
      <c r="C1632" s="38"/>
      <c r="D1632" s="38"/>
      <c r="E1632" s="38"/>
      <c r="F1632" s="38"/>
      <c r="G1632" s="38"/>
      <c r="H1632" s="38"/>
      <c r="I1632" s="38"/>
      <c r="J1632" s="38"/>
      <c r="K1632" s="38"/>
    </row>
    <row r="1633">
      <c r="A1633" s="38"/>
      <c r="B1633" s="38"/>
      <c r="C1633" s="38"/>
      <c r="D1633" s="38"/>
      <c r="E1633" s="38"/>
      <c r="F1633" s="38"/>
      <c r="G1633" s="38"/>
      <c r="H1633" s="38"/>
      <c r="I1633" s="38"/>
      <c r="J1633" s="38"/>
      <c r="K1633" s="38"/>
    </row>
    <row r="1634">
      <c r="A1634" s="38"/>
      <c r="B1634" s="38"/>
      <c r="C1634" s="38"/>
      <c r="D1634" s="38"/>
      <c r="E1634" s="38"/>
      <c r="F1634" s="38"/>
      <c r="G1634" s="38"/>
      <c r="H1634" s="38"/>
      <c r="I1634" s="38"/>
      <c r="J1634" s="38"/>
      <c r="K1634" s="38"/>
    </row>
    <row r="1635">
      <c r="A1635" s="38"/>
      <c r="B1635" s="38"/>
      <c r="C1635" s="38"/>
      <c r="D1635" s="38"/>
      <c r="E1635" s="38"/>
      <c r="F1635" s="38"/>
      <c r="G1635" s="38"/>
      <c r="H1635" s="38"/>
      <c r="I1635" s="38"/>
      <c r="J1635" s="38"/>
      <c r="K1635" s="38"/>
    </row>
    <row r="1636">
      <c r="A1636" s="38"/>
      <c r="B1636" s="38"/>
      <c r="C1636" s="38"/>
      <c r="D1636" s="38"/>
      <c r="E1636" s="38"/>
      <c r="F1636" s="38"/>
      <c r="G1636" s="38"/>
      <c r="H1636" s="38"/>
      <c r="I1636" s="38"/>
      <c r="J1636" s="38"/>
      <c r="K1636" s="38"/>
    </row>
    <row r="1637">
      <c r="A1637" s="38"/>
      <c r="B1637" s="38"/>
      <c r="C1637" s="38"/>
      <c r="D1637" s="38"/>
      <c r="E1637" s="38"/>
      <c r="F1637" s="38"/>
      <c r="G1637" s="38"/>
      <c r="H1637" s="38"/>
      <c r="I1637" s="38"/>
      <c r="J1637" s="38"/>
      <c r="K1637" s="38"/>
    </row>
    <row r="1638">
      <c r="A1638" s="38"/>
      <c r="B1638" s="38"/>
      <c r="C1638" s="38"/>
      <c r="D1638" s="38"/>
      <c r="E1638" s="38"/>
      <c r="F1638" s="38"/>
      <c r="G1638" s="38"/>
      <c r="H1638" s="38"/>
      <c r="I1638" s="38"/>
      <c r="J1638" s="38"/>
      <c r="K1638" s="38"/>
    </row>
    <row r="1639">
      <c r="A1639" s="38"/>
      <c r="B1639" s="38"/>
      <c r="C1639" s="38"/>
      <c r="D1639" s="38"/>
      <c r="E1639" s="38"/>
      <c r="F1639" s="38"/>
      <c r="G1639" s="38"/>
      <c r="H1639" s="38"/>
      <c r="I1639" s="38"/>
      <c r="J1639" s="38"/>
      <c r="K1639" s="38"/>
    </row>
    <row r="1640">
      <c r="A1640" s="38"/>
      <c r="B1640" s="38"/>
      <c r="C1640" s="38"/>
      <c r="D1640" s="38"/>
      <c r="E1640" s="38"/>
      <c r="F1640" s="38"/>
      <c r="G1640" s="38"/>
      <c r="H1640" s="38"/>
      <c r="I1640" s="38"/>
      <c r="J1640" s="38"/>
      <c r="K1640" s="38"/>
    </row>
    <row r="1641">
      <c r="A1641" s="38"/>
      <c r="B1641" s="38"/>
      <c r="C1641" s="38"/>
      <c r="D1641" s="38"/>
      <c r="E1641" s="38"/>
      <c r="F1641" s="38"/>
      <c r="G1641" s="38"/>
      <c r="H1641" s="38"/>
      <c r="I1641" s="38"/>
      <c r="J1641" s="38"/>
      <c r="K1641" s="38"/>
    </row>
    <row r="1642">
      <c r="A1642" s="38"/>
      <c r="B1642" s="38"/>
      <c r="C1642" s="38"/>
      <c r="D1642" s="38"/>
      <c r="E1642" s="38"/>
      <c r="F1642" s="38"/>
      <c r="G1642" s="38"/>
      <c r="H1642" s="38"/>
      <c r="I1642" s="38"/>
      <c r="J1642" s="38"/>
      <c r="K1642" s="38"/>
    </row>
    <row r="1643">
      <c r="A1643" s="38"/>
      <c r="B1643" s="38"/>
      <c r="C1643" s="38"/>
      <c r="D1643" s="38"/>
      <c r="E1643" s="38"/>
      <c r="F1643" s="38"/>
      <c r="G1643" s="38"/>
      <c r="H1643" s="38"/>
      <c r="I1643" s="38"/>
      <c r="J1643" s="38"/>
      <c r="K1643" s="38"/>
    </row>
    <row r="1644">
      <c r="A1644" s="38"/>
      <c r="B1644" s="38"/>
      <c r="C1644" s="38"/>
      <c r="D1644" s="38"/>
      <c r="E1644" s="38"/>
      <c r="F1644" s="38"/>
      <c r="G1644" s="38"/>
      <c r="H1644" s="38"/>
      <c r="I1644" s="38"/>
      <c r="J1644" s="38"/>
      <c r="K1644" s="38"/>
    </row>
    <row r="1645">
      <c r="A1645" s="38"/>
      <c r="B1645" s="38"/>
      <c r="C1645" s="38"/>
      <c r="D1645" s="38"/>
      <c r="E1645" s="38"/>
      <c r="F1645" s="38"/>
      <c r="G1645" s="38"/>
      <c r="H1645" s="38"/>
      <c r="I1645" s="38"/>
      <c r="J1645" s="38"/>
      <c r="K1645" s="38"/>
    </row>
    <row r="1646">
      <c r="A1646" s="38"/>
      <c r="B1646" s="38"/>
      <c r="C1646" s="38"/>
      <c r="D1646" s="38"/>
      <c r="E1646" s="38"/>
      <c r="F1646" s="38"/>
      <c r="G1646" s="38"/>
      <c r="H1646" s="38"/>
      <c r="I1646" s="38"/>
      <c r="J1646" s="38"/>
      <c r="K1646" s="38"/>
    </row>
    <row r="1647">
      <c r="A1647" s="38"/>
      <c r="B1647" s="38"/>
      <c r="C1647" s="38"/>
      <c r="D1647" s="38"/>
      <c r="E1647" s="38"/>
      <c r="F1647" s="38"/>
      <c r="G1647" s="38"/>
      <c r="H1647" s="38"/>
      <c r="I1647" s="38"/>
      <c r="J1647" s="38"/>
      <c r="K1647" s="38"/>
    </row>
    <row r="1648">
      <c r="A1648" s="38"/>
      <c r="B1648" s="38"/>
      <c r="C1648" s="38"/>
      <c r="D1648" s="38"/>
      <c r="E1648" s="38"/>
      <c r="F1648" s="38"/>
      <c r="G1648" s="38"/>
      <c r="H1648" s="38"/>
      <c r="I1648" s="38"/>
      <c r="J1648" s="38"/>
      <c r="K1648" s="38"/>
    </row>
    <row r="1649">
      <c r="A1649" s="38"/>
      <c r="B1649" s="38"/>
      <c r="C1649" s="38"/>
      <c r="D1649" s="38"/>
      <c r="E1649" s="38"/>
      <c r="F1649" s="38"/>
      <c r="G1649" s="38"/>
      <c r="H1649" s="38"/>
      <c r="I1649" s="38"/>
      <c r="J1649" s="38"/>
      <c r="K1649" s="38"/>
    </row>
    <row r="1650">
      <c r="A1650" s="38"/>
      <c r="B1650" s="38"/>
      <c r="C1650" s="38"/>
      <c r="D1650" s="38"/>
      <c r="E1650" s="38"/>
      <c r="F1650" s="38"/>
      <c r="G1650" s="38"/>
      <c r="H1650" s="38"/>
      <c r="I1650" s="38"/>
      <c r="J1650" s="38"/>
      <c r="K1650" s="38"/>
    </row>
    <row r="1651">
      <c r="A1651" s="38"/>
      <c r="B1651" s="38"/>
      <c r="C1651" s="38"/>
      <c r="D1651" s="38"/>
      <c r="E1651" s="38"/>
      <c r="F1651" s="38"/>
      <c r="G1651" s="38"/>
      <c r="H1651" s="38"/>
      <c r="I1651" s="38"/>
      <c r="J1651" s="38"/>
      <c r="K1651" s="38"/>
    </row>
    <row r="1652">
      <c r="A1652" s="38"/>
      <c r="B1652" s="38"/>
      <c r="C1652" s="38"/>
      <c r="D1652" s="38"/>
      <c r="E1652" s="38"/>
      <c r="F1652" s="38"/>
      <c r="G1652" s="38"/>
      <c r="H1652" s="38"/>
      <c r="I1652" s="38"/>
      <c r="J1652" s="38"/>
      <c r="K1652" s="38"/>
    </row>
    <row r="1653">
      <c r="A1653" s="38"/>
      <c r="B1653" s="38"/>
      <c r="C1653" s="38"/>
      <c r="D1653" s="38"/>
      <c r="E1653" s="38"/>
      <c r="F1653" s="38"/>
      <c r="G1653" s="38"/>
      <c r="H1653" s="38"/>
      <c r="I1653" s="38"/>
      <c r="J1653" s="38"/>
      <c r="K1653" s="38"/>
    </row>
    <row r="1654">
      <c r="A1654" s="38"/>
      <c r="B1654" s="38"/>
      <c r="C1654" s="38"/>
      <c r="D1654" s="38"/>
      <c r="E1654" s="38"/>
      <c r="F1654" s="38"/>
      <c r="G1654" s="38"/>
      <c r="H1654" s="38"/>
      <c r="I1654" s="38"/>
      <c r="J1654" s="38"/>
      <c r="K1654" s="38"/>
    </row>
    <row r="1655">
      <c r="A1655" s="38"/>
      <c r="B1655" s="38"/>
      <c r="C1655" s="38"/>
      <c r="D1655" s="38"/>
      <c r="E1655" s="38"/>
      <c r="F1655" s="38"/>
      <c r="G1655" s="38"/>
      <c r="H1655" s="38"/>
      <c r="I1655" s="38"/>
      <c r="J1655" s="38"/>
      <c r="K1655" s="38"/>
    </row>
    <row r="1656">
      <c r="A1656" s="38"/>
      <c r="B1656" s="38"/>
      <c r="C1656" s="38"/>
      <c r="D1656" s="38"/>
      <c r="E1656" s="38"/>
      <c r="F1656" s="38"/>
      <c r="G1656" s="38"/>
      <c r="H1656" s="38"/>
      <c r="I1656" s="38"/>
      <c r="J1656" s="38"/>
      <c r="K1656" s="38"/>
    </row>
    <row r="1657">
      <c r="A1657" s="38"/>
      <c r="B1657" s="38"/>
      <c r="C1657" s="38"/>
      <c r="D1657" s="38"/>
      <c r="E1657" s="38"/>
      <c r="F1657" s="38"/>
      <c r="G1657" s="38"/>
      <c r="H1657" s="38"/>
      <c r="I1657" s="38"/>
      <c r="J1657" s="38"/>
      <c r="K1657" s="38"/>
    </row>
    <row r="1658">
      <c r="A1658" s="38"/>
      <c r="B1658" s="38"/>
      <c r="C1658" s="38"/>
      <c r="D1658" s="38"/>
      <c r="E1658" s="38"/>
      <c r="F1658" s="38"/>
      <c r="G1658" s="38"/>
      <c r="H1658" s="38"/>
      <c r="I1658" s="38"/>
      <c r="J1658" s="38"/>
      <c r="K1658" s="38"/>
    </row>
    <row r="1659">
      <c r="A1659" s="38"/>
      <c r="B1659" s="38"/>
      <c r="C1659" s="38"/>
      <c r="D1659" s="38"/>
      <c r="E1659" s="38"/>
      <c r="F1659" s="38"/>
      <c r="G1659" s="38"/>
      <c r="H1659" s="38"/>
      <c r="I1659" s="38"/>
      <c r="J1659" s="38"/>
      <c r="K1659" s="38"/>
    </row>
    <row r="1660">
      <c r="A1660" s="38"/>
      <c r="B1660" s="38"/>
      <c r="C1660" s="38"/>
      <c r="D1660" s="38"/>
      <c r="E1660" s="38"/>
      <c r="F1660" s="38"/>
      <c r="G1660" s="38"/>
      <c r="H1660" s="38"/>
      <c r="I1660" s="38"/>
      <c r="J1660" s="38"/>
      <c r="K1660" s="38"/>
    </row>
    <row r="1661">
      <c r="A1661" s="38"/>
      <c r="B1661" s="38"/>
      <c r="C1661" s="38"/>
      <c r="D1661" s="38"/>
      <c r="E1661" s="38"/>
      <c r="F1661" s="38"/>
      <c r="G1661" s="38"/>
      <c r="H1661" s="38"/>
      <c r="I1661" s="38"/>
      <c r="J1661" s="38"/>
      <c r="K1661" s="38"/>
    </row>
    <row r="1662">
      <c r="A1662" s="38"/>
      <c r="B1662" s="38"/>
      <c r="C1662" s="38"/>
      <c r="D1662" s="38"/>
      <c r="E1662" s="38"/>
      <c r="F1662" s="38"/>
      <c r="G1662" s="38"/>
      <c r="H1662" s="38"/>
      <c r="I1662" s="38"/>
      <c r="J1662" s="38"/>
      <c r="K1662" s="38"/>
    </row>
    <row r="1663">
      <c r="A1663" s="38"/>
      <c r="B1663" s="38"/>
      <c r="C1663" s="38"/>
      <c r="D1663" s="38"/>
      <c r="E1663" s="38"/>
      <c r="F1663" s="38"/>
      <c r="G1663" s="38"/>
      <c r="H1663" s="38"/>
      <c r="I1663" s="38"/>
      <c r="J1663" s="38"/>
      <c r="K1663" s="38"/>
    </row>
    <row r="1664">
      <c r="A1664" s="38"/>
      <c r="B1664" s="38"/>
      <c r="C1664" s="38"/>
      <c r="D1664" s="38"/>
      <c r="E1664" s="38"/>
      <c r="F1664" s="38"/>
      <c r="G1664" s="38"/>
      <c r="H1664" s="38"/>
      <c r="I1664" s="38"/>
      <c r="J1664" s="38"/>
      <c r="K1664" s="38"/>
    </row>
    <row r="1665">
      <c r="A1665" s="38"/>
      <c r="B1665" s="38"/>
      <c r="C1665" s="38"/>
      <c r="D1665" s="38"/>
      <c r="E1665" s="38"/>
      <c r="F1665" s="38"/>
      <c r="G1665" s="38"/>
      <c r="H1665" s="38"/>
      <c r="I1665" s="38"/>
      <c r="J1665" s="38"/>
      <c r="K1665" s="38"/>
    </row>
    <row r="1666">
      <c r="A1666" s="38"/>
      <c r="B1666" s="38"/>
      <c r="C1666" s="38"/>
      <c r="D1666" s="38"/>
      <c r="E1666" s="38"/>
      <c r="F1666" s="38"/>
      <c r="G1666" s="38"/>
      <c r="H1666" s="38"/>
      <c r="I1666" s="38"/>
      <c r="J1666" s="38"/>
      <c r="K1666" s="38"/>
    </row>
    <row r="1667">
      <c r="A1667" s="38"/>
      <c r="B1667" s="38"/>
      <c r="C1667" s="38"/>
      <c r="D1667" s="38"/>
      <c r="E1667" s="38"/>
      <c r="F1667" s="38"/>
      <c r="G1667" s="38"/>
      <c r="H1667" s="38"/>
      <c r="I1667" s="38"/>
      <c r="J1667" s="38"/>
      <c r="K1667" s="38"/>
    </row>
    <row r="1668">
      <c r="A1668" s="38"/>
      <c r="B1668" s="38"/>
      <c r="C1668" s="38"/>
      <c r="D1668" s="38"/>
      <c r="E1668" s="38"/>
      <c r="F1668" s="38"/>
      <c r="G1668" s="38"/>
      <c r="H1668" s="38"/>
      <c r="I1668" s="38"/>
      <c r="J1668" s="38"/>
      <c r="K1668" s="38"/>
    </row>
    <row r="1669">
      <c r="A1669" s="38"/>
      <c r="B1669" s="38"/>
      <c r="C1669" s="38"/>
      <c r="D1669" s="38"/>
      <c r="E1669" s="38"/>
      <c r="F1669" s="38"/>
      <c r="G1669" s="38"/>
      <c r="H1669" s="38"/>
      <c r="I1669" s="38"/>
      <c r="J1669" s="38"/>
      <c r="K1669" s="38"/>
    </row>
    <row r="1670">
      <c r="A1670" s="38"/>
      <c r="B1670" s="38"/>
      <c r="C1670" s="38"/>
      <c r="D1670" s="38"/>
      <c r="E1670" s="38"/>
      <c r="F1670" s="38"/>
      <c r="G1670" s="38"/>
      <c r="H1670" s="38"/>
      <c r="I1670" s="38"/>
      <c r="J1670" s="38"/>
      <c r="K1670" s="38"/>
    </row>
    <row r="1671">
      <c r="A1671" s="38"/>
      <c r="B1671" s="38"/>
      <c r="C1671" s="38"/>
      <c r="D1671" s="38"/>
      <c r="E1671" s="38"/>
      <c r="F1671" s="38"/>
      <c r="G1671" s="38"/>
      <c r="H1671" s="38"/>
      <c r="I1671" s="38"/>
      <c r="J1671" s="38"/>
      <c r="K1671" s="38"/>
    </row>
    <row r="1672">
      <c r="A1672" s="38"/>
      <c r="B1672" s="38"/>
      <c r="C1672" s="38"/>
      <c r="D1672" s="38"/>
      <c r="E1672" s="38"/>
      <c r="F1672" s="38"/>
      <c r="G1672" s="38"/>
      <c r="H1672" s="38"/>
      <c r="I1672" s="38"/>
      <c r="J1672" s="38"/>
      <c r="K1672" s="38"/>
    </row>
    <row r="1673">
      <c r="A1673" s="38"/>
      <c r="B1673" s="38"/>
      <c r="C1673" s="38"/>
      <c r="D1673" s="38"/>
      <c r="E1673" s="38"/>
      <c r="F1673" s="38"/>
      <c r="G1673" s="38"/>
      <c r="H1673" s="38"/>
      <c r="I1673" s="38"/>
      <c r="J1673" s="38"/>
      <c r="K1673" s="38"/>
    </row>
    <row r="1674">
      <c r="A1674" s="38"/>
      <c r="B1674" s="38"/>
      <c r="C1674" s="38"/>
      <c r="D1674" s="38"/>
      <c r="E1674" s="38"/>
      <c r="F1674" s="38"/>
      <c r="G1674" s="38"/>
      <c r="H1674" s="38"/>
      <c r="I1674" s="38"/>
      <c r="J1674" s="38"/>
      <c r="K1674" s="38"/>
    </row>
    <row r="1675">
      <c r="A1675" s="38"/>
      <c r="B1675" s="38"/>
      <c r="C1675" s="38"/>
      <c r="D1675" s="38"/>
      <c r="E1675" s="38"/>
      <c r="F1675" s="38"/>
      <c r="G1675" s="38"/>
      <c r="H1675" s="38"/>
      <c r="I1675" s="38"/>
      <c r="J1675" s="38"/>
      <c r="K1675" s="38"/>
    </row>
    <row r="1676">
      <c r="A1676" s="38"/>
      <c r="B1676" s="38"/>
      <c r="C1676" s="38"/>
      <c r="D1676" s="38"/>
      <c r="E1676" s="38"/>
      <c r="F1676" s="38"/>
      <c r="G1676" s="38"/>
      <c r="H1676" s="38"/>
      <c r="I1676" s="38"/>
      <c r="J1676" s="38"/>
      <c r="K1676" s="38"/>
    </row>
    <row r="1677">
      <c r="A1677" s="38"/>
      <c r="B1677" s="38"/>
      <c r="C1677" s="38"/>
      <c r="D1677" s="38"/>
      <c r="E1677" s="38"/>
      <c r="F1677" s="38"/>
      <c r="G1677" s="38"/>
      <c r="H1677" s="38"/>
      <c r="I1677" s="38"/>
      <c r="J1677" s="38"/>
      <c r="K1677" s="38"/>
    </row>
    <row r="1678">
      <c r="A1678" s="38"/>
      <c r="B1678" s="38"/>
      <c r="C1678" s="38"/>
      <c r="D1678" s="38"/>
      <c r="E1678" s="38"/>
      <c r="F1678" s="38"/>
      <c r="G1678" s="38"/>
      <c r="H1678" s="38"/>
      <c r="I1678" s="38"/>
      <c r="J1678" s="38"/>
      <c r="K1678" s="38"/>
    </row>
    <row r="1679">
      <c r="A1679" s="38"/>
      <c r="B1679" s="38"/>
      <c r="C1679" s="38"/>
      <c r="D1679" s="38"/>
      <c r="E1679" s="38"/>
      <c r="F1679" s="38"/>
      <c r="G1679" s="38"/>
      <c r="H1679" s="38"/>
      <c r="I1679" s="38"/>
      <c r="J1679" s="38"/>
      <c r="K1679" s="38"/>
    </row>
    <row r="1680">
      <c r="A1680" s="38"/>
      <c r="B1680" s="38"/>
      <c r="C1680" s="38"/>
      <c r="D1680" s="38"/>
      <c r="E1680" s="38"/>
      <c r="F1680" s="38"/>
      <c r="G1680" s="38"/>
      <c r="H1680" s="38"/>
      <c r="I1680" s="38"/>
      <c r="J1680" s="38"/>
      <c r="K1680" s="38"/>
    </row>
    <row r="1681">
      <c r="A1681" s="38"/>
      <c r="B1681" s="38"/>
      <c r="C1681" s="38"/>
      <c r="D1681" s="38"/>
      <c r="E1681" s="38"/>
      <c r="F1681" s="38"/>
      <c r="G1681" s="38"/>
      <c r="H1681" s="38"/>
      <c r="I1681" s="38"/>
      <c r="J1681" s="38"/>
      <c r="K1681" s="38"/>
    </row>
    <row r="1682">
      <c r="A1682" s="38"/>
      <c r="B1682" s="38"/>
      <c r="C1682" s="38"/>
      <c r="D1682" s="38"/>
      <c r="E1682" s="38"/>
      <c r="F1682" s="38"/>
      <c r="G1682" s="38"/>
      <c r="H1682" s="38"/>
      <c r="I1682" s="38"/>
      <c r="J1682" s="38"/>
      <c r="K1682" s="38"/>
    </row>
    <row r="1683">
      <c r="A1683" s="38"/>
      <c r="B1683" s="38"/>
      <c r="C1683" s="38"/>
      <c r="D1683" s="38"/>
      <c r="E1683" s="38"/>
      <c r="F1683" s="38"/>
      <c r="G1683" s="38"/>
      <c r="H1683" s="38"/>
      <c r="I1683" s="38"/>
      <c r="J1683" s="38"/>
      <c r="K1683" s="38"/>
    </row>
    <row r="1684">
      <c r="A1684" s="38"/>
      <c r="B1684" s="38"/>
      <c r="C1684" s="38"/>
      <c r="D1684" s="38"/>
      <c r="E1684" s="38"/>
      <c r="F1684" s="38"/>
      <c r="G1684" s="38"/>
      <c r="H1684" s="38"/>
      <c r="I1684" s="38"/>
      <c r="J1684" s="38"/>
      <c r="K1684" s="38"/>
    </row>
    <row r="1685">
      <c r="A1685" s="38"/>
      <c r="B1685" s="38"/>
      <c r="C1685" s="38"/>
      <c r="D1685" s="38"/>
      <c r="E1685" s="38"/>
      <c r="F1685" s="38"/>
      <c r="G1685" s="38"/>
      <c r="H1685" s="38"/>
      <c r="I1685" s="38"/>
      <c r="J1685" s="38"/>
      <c r="K1685" s="38"/>
    </row>
    <row r="1686">
      <c r="A1686" s="38"/>
      <c r="B1686" s="38"/>
      <c r="C1686" s="38"/>
      <c r="D1686" s="38"/>
      <c r="E1686" s="38"/>
      <c r="F1686" s="38"/>
      <c r="G1686" s="38"/>
      <c r="H1686" s="38"/>
      <c r="I1686" s="38"/>
      <c r="J1686" s="38"/>
      <c r="K1686" s="38"/>
    </row>
    <row r="1687">
      <c r="A1687" s="38"/>
      <c r="B1687" s="38"/>
      <c r="C1687" s="38"/>
      <c r="D1687" s="38"/>
      <c r="E1687" s="38"/>
      <c r="F1687" s="38"/>
      <c r="G1687" s="38"/>
      <c r="H1687" s="38"/>
      <c r="I1687" s="38"/>
      <c r="J1687" s="38"/>
      <c r="K1687" s="38"/>
    </row>
    <row r="1688">
      <c r="A1688" s="38"/>
      <c r="B1688" s="38"/>
      <c r="C1688" s="38"/>
      <c r="D1688" s="38"/>
      <c r="E1688" s="38"/>
      <c r="F1688" s="38"/>
      <c r="G1688" s="38"/>
      <c r="H1688" s="38"/>
      <c r="I1688" s="38"/>
      <c r="J1688" s="38"/>
      <c r="K1688" s="38"/>
    </row>
    <row r="1689">
      <c r="A1689" s="38"/>
      <c r="B1689" s="38"/>
      <c r="C1689" s="38"/>
      <c r="D1689" s="38"/>
      <c r="E1689" s="38"/>
      <c r="F1689" s="38"/>
      <c r="G1689" s="38"/>
      <c r="H1689" s="38"/>
      <c r="I1689" s="38"/>
      <c r="J1689" s="38"/>
      <c r="K1689" s="38"/>
    </row>
    <row r="1690">
      <c r="A1690" s="38"/>
      <c r="B1690" s="38"/>
      <c r="C1690" s="38"/>
      <c r="D1690" s="38"/>
      <c r="E1690" s="38"/>
      <c r="F1690" s="38"/>
      <c r="G1690" s="38"/>
      <c r="H1690" s="38"/>
      <c r="I1690" s="38"/>
      <c r="J1690" s="38"/>
      <c r="K1690" s="38"/>
    </row>
    <row r="1691">
      <c r="A1691" s="38"/>
      <c r="B1691" s="38"/>
      <c r="C1691" s="38"/>
      <c r="D1691" s="38"/>
      <c r="E1691" s="38"/>
      <c r="F1691" s="38"/>
      <c r="G1691" s="38"/>
      <c r="H1691" s="38"/>
      <c r="I1691" s="38"/>
      <c r="J1691" s="38"/>
      <c r="K1691" s="38"/>
    </row>
    <row r="1692">
      <c r="A1692" s="38"/>
      <c r="B1692" s="38"/>
      <c r="C1692" s="38"/>
      <c r="D1692" s="38"/>
      <c r="E1692" s="38"/>
      <c r="F1692" s="38"/>
      <c r="G1692" s="38"/>
      <c r="H1692" s="38"/>
      <c r="I1692" s="38"/>
      <c r="J1692" s="38"/>
      <c r="K1692" s="38"/>
    </row>
    <row r="1693">
      <c r="A1693" s="38"/>
      <c r="B1693" s="38"/>
      <c r="C1693" s="38"/>
      <c r="D1693" s="38"/>
      <c r="E1693" s="38"/>
      <c r="F1693" s="38"/>
      <c r="G1693" s="38"/>
      <c r="H1693" s="38"/>
      <c r="I1693" s="38"/>
      <c r="J1693" s="38"/>
      <c r="K1693" s="38"/>
    </row>
    <row r="1694">
      <c r="A1694" s="38"/>
      <c r="B1694" s="38"/>
      <c r="C1694" s="38"/>
      <c r="D1694" s="38"/>
      <c r="E1694" s="38"/>
      <c r="F1694" s="38"/>
      <c r="G1694" s="38"/>
      <c r="H1694" s="38"/>
      <c r="I1694" s="38"/>
      <c r="J1694" s="38"/>
      <c r="K1694" s="38"/>
    </row>
    <row r="1695">
      <c r="A1695" s="38"/>
      <c r="B1695" s="38"/>
      <c r="C1695" s="38"/>
      <c r="D1695" s="38"/>
      <c r="E1695" s="38"/>
      <c r="F1695" s="38"/>
      <c r="G1695" s="38"/>
      <c r="H1695" s="38"/>
      <c r="I1695" s="38"/>
      <c r="J1695" s="38"/>
      <c r="K1695" s="38"/>
    </row>
    <row r="1696">
      <c r="A1696" s="38"/>
      <c r="B1696" s="38"/>
      <c r="C1696" s="38"/>
      <c r="D1696" s="38"/>
      <c r="E1696" s="38"/>
      <c r="F1696" s="38"/>
      <c r="G1696" s="38"/>
      <c r="H1696" s="38"/>
      <c r="I1696" s="38"/>
      <c r="J1696" s="38"/>
      <c r="K1696" s="38"/>
    </row>
    <row r="1697">
      <c r="A1697" s="38"/>
      <c r="B1697" s="38"/>
      <c r="C1697" s="38"/>
      <c r="D1697" s="38"/>
      <c r="E1697" s="38"/>
      <c r="F1697" s="38"/>
      <c r="G1697" s="38"/>
      <c r="H1697" s="38"/>
      <c r="I1697" s="38"/>
      <c r="J1697" s="38"/>
      <c r="K1697" s="38"/>
    </row>
    <row r="1698">
      <c r="A1698" s="38"/>
      <c r="B1698" s="38"/>
      <c r="C1698" s="38"/>
      <c r="D1698" s="38"/>
      <c r="E1698" s="38"/>
      <c r="F1698" s="38"/>
      <c r="G1698" s="38"/>
      <c r="H1698" s="38"/>
      <c r="I1698" s="38"/>
      <c r="J1698" s="38"/>
      <c r="K1698" s="38"/>
    </row>
    <row r="1699">
      <c r="A1699" s="38"/>
      <c r="B1699" s="38"/>
      <c r="C1699" s="38"/>
      <c r="D1699" s="38"/>
      <c r="E1699" s="38"/>
      <c r="F1699" s="38"/>
      <c r="G1699" s="38"/>
      <c r="H1699" s="38"/>
      <c r="I1699" s="38"/>
      <c r="J1699" s="38"/>
      <c r="K1699" s="38"/>
    </row>
    <row r="1700">
      <c r="A1700" s="38"/>
      <c r="B1700" s="38"/>
      <c r="C1700" s="38"/>
      <c r="D1700" s="38"/>
      <c r="E1700" s="38"/>
      <c r="F1700" s="38"/>
      <c r="G1700" s="38"/>
      <c r="H1700" s="38"/>
      <c r="I1700" s="38"/>
      <c r="J1700" s="38"/>
      <c r="K1700" s="38"/>
    </row>
    <row r="1701">
      <c r="A1701" s="38"/>
      <c r="B1701" s="38"/>
      <c r="C1701" s="38"/>
      <c r="D1701" s="38"/>
      <c r="E1701" s="38"/>
      <c r="F1701" s="38"/>
      <c r="G1701" s="38"/>
      <c r="H1701" s="38"/>
      <c r="I1701" s="38"/>
      <c r="J1701" s="38"/>
      <c r="K1701" s="38"/>
    </row>
    <row r="1702">
      <c r="A1702" s="38"/>
      <c r="B1702" s="38"/>
      <c r="C1702" s="38"/>
      <c r="D1702" s="38"/>
      <c r="E1702" s="38"/>
      <c r="F1702" s="38"/>
      <c r="G1702" s="38"/>
      <c r="H1702" s="38"/>
      <c r="I1702" s="38"/>
      <c r="J1702" s="38"/>
      <c r="K1702" s="38"/>
    </row>
    <row r="1703">
      <c r="A1703" s="38"/>
      <c r="B1703" s="38"/>
      <c r="C1703" s="38"/>
      <c r="D1703" s="38"/>
      <c r="E1703" s="38"/>
      <c r="F1703" s="38"/>
      <c r="G1703" s="38"/>
      <c r="H1703" s="38"/>
      <c r="I1703" s="38"/>
      <c r="J1703" s="38"/>
      <c r="K1703" s="38"/>
    </row>
    <row r="1704">
      <c r="A1704" s="38"/>
      <c r="B1704" s="38"/>
      <c r="C1704" s="38"/>
      <c r="D1704" s="38"/>
      <c r="E1704" s="38"/>
      <c r="F1704" s="38"/>
      <c r="G1704" s="38"/>
      <c r="H1704" s="38"/>
      <c r="I1704" s="38"/>
      <c r="J1704" s="38"/>
      <c r="K1704" s="38"/>
    </row>
    <row r="1705">
      <c r="A1705" s="38"/>
      <c r="B1705" s="38"/>
      <c r="C1705" s="38"/>
      <c r="D1705" s="38"/>
      <c r="E1705" s="38"/>
      <c r="F1705" s="38"/>
      <c r="G1705" s="38"/>
      <c r="H1705" s="38"/>
      <c r="I1705" s="38"/>
      <c r="J1705" s="38"/>
      <c r="K1705" s="38"/>
    </row>
    <row r="1706">
      <c r="A1706" s="38"/>
      <c r="B1706" s="38"/>
      <c r="C1706" s="38"/>
      <c r="D1706" s="38"/>
      <c r="E1706" s="38"/>
      <c r="F1706" s="38"/>
      <c r="G1706" s="38"/>
      <c r="H1706" s="38"/>
      <c r="I1706" s="38"/>
      <c r="J1706" s="38"/>
      <c r="K1706" s="38"/>
    </row>
    <row r="1707">
      <c r="A1707" s="38"/>
      <c r="B1707" s="38"/>
      <c r="C1707" s="38"/>
      <c r="D1707" s="38"/>
      <c r="E1707" s="38"/>
      <c r="F1707" s="38"/>
      <c r="G1707" s="38"/>
      <c r="H1707" s="38"/>
      <c r="I1707" s="38"/>
      <c r="J1707" s="38"/>
      <c r="K1707" s="38"/>
    </row>
    <row r="1708">
      <c r="A1708" s="38"/>
      <c r="B1708" s="38"/>
      <c r="C1708" s="38"/>
      <c r="D1708" s="38"/>
      <c r="E1708" s="38"/>
      <c r="F1708" s="38"/>
      <c r="G1708" s="38"/>
      <c r="H1708" s="38"/>
      <c r="I1708" s="38"/>
      <c r="J1708" s="38"/>
      <c r="K1708" s="38"/>
    </row>
    <row r="1709">
      <c r="A1709" s="38"/>
      <c r="B1709" s="38"/>
      <c r="C1709" s="38"/>
      <c r="D1709" s="38"/>
      <c r="E1709" s="38"/>
      <c r="F1709" s="38"/>
      <c r="G1709" s="38"/>
      <c r="H1709" s="38"/>
      <c r="I1709" s="38"/>
      <c r="J1709" s="38"/>
      <c r="K1709" s="38"/>
    </row>
    <row r="1710">
      <c r="A1710" s="38"/>
      <c r="B1710" s="38"/>
      <c r="C1710" s="38"/>
      <c r="D1710" s="38"/>
      <c r="E1710" s="38"/>
      <c r="F1710" s="38"/>
      <c r="G1710" s="38"/>
      <c r="H1710" s="38"/>
      <c r="I1710" s="38"/>
      <c r="J1710" s="38"/>
      <c r="K1710" s="38"/>
    </row>
    <row r="1711">
      <c r="A1711" s="38"/>
      <c r="B1711" s="38"/>
      <c r="C1711" s="38"/>
      <c r="D1711" s="38"/>
      <c r="E1711" s="38"/>
      <c r="F1711" s="38"/>
      <c r="G1711" s="38"/>
      <c r="H1711" s="38"/>
      <c r="I1711" s="38"/>
      <c r="J1711" s="38"/>
      <c r="K1711" s="38"/>
    </row>
    <row r="1712">
      <c r="A1712" s="38"/>
      <c r="B1712" s="38"/>
      <c r="C1712" s="38"/>
      <c r="D1712" s="38"/>
      <c r="E1712" s="38"/>
      <c r="F1712" s="38"/>
      <c r="G1712" s="38"/>
      <c r="H1712" s="38"/>
      <c r="I1712" s="38"/>
      <c r="J1712" s="38"/>
      <c r="K1712" s="38"/>
    </row>
    <row r="1713">
      <c r="A1713" s="38"/>
      <c r="B1713" s="38"/>
      <c r="C1713" s="38"/>
      <c r="D1713" s="38"/>
      <c r="E1713" s="38"/>
      <c r="F1713" s="38"/>
      <c r="G1713" s="38"/>
      <c r="H1713" s="38"/>
      <c r="I1713" s="38"/>
      <c r="J1713" s="38"/>
      <c r="K1713" s="38"/>
    </row>
    <row r="1714">
      <c r="A1714" s="38"/>
      <c r="B1714" s="38"/>
      <c r="C1714" s="38"/>
      <c r="D1714" s="38"/>
      <c r="E1714" s="38"/>
      <c r="F1714" s="38"/>
      <c r="G1714" s="38"/>
      <c r="H1714" s="38"/>
      <c r="I1714" s="38"/>
      <c r="J1714" s="38"/>
      <c r="K1714" s="38"/>
    </row>
    <row r="1715">
      <c r="A1715" s="38"/>
      <c r="B1715" s="38"/>
      <c r="C1715" s="38"/>
      <c r="D1715" s="38"/>
      <c r="E1715" s="38"/>
      <c r="F1715" s="38"/>
      <c r="G1715" s="38"/>
      <c r="H1715" s="38"/>
      <c r="I1715" s="38"/>
      <c r="J1715" s="38"/>
      <c r="K1715" s="38"/>
    </row>
    <row r="1716">
      <c r="A1716" s="38"/>
      <c r="B1716" s="38"/>
      <c r="C1716" s="38"/>
      <c r="D1716" s="38"/>
      <c r="E1716" s="38"/>
      <c r="F1716" s="38"/>
      <c r="G1716" s="38"/>
      <c r="H1716" s="38"/>
      <c r="I1716" s="38"/>
      <c r="J1716" s="38"/>
      <c r="K1716" s="38"/>
    </row>
    <row r="1717">
      <c r="A1717" s="38"/>
      <c r="B1717" s="38"/>
      <c r="C1717" s="38"/>
      <c r="D1717" s="38"/>
      <c r="E1717" s="38"/>
      <c r="F1717" s="38"/>
      <c r="G1717" s="38"/>
      <c r="H1717" s="38"/>
      <c r="I1717" s="38"/>
      <c r="J1717" s="38"/>
      <c r="K1717" s="38"/>
    </row>
    <row r="1718">
      <c r="A1718" s="38"/>
      <c r="B1718" s="38"/>
      <c r="C1718" s="38"/>
      <c r="D1718" s="38"/>
      <c r="E1718" s="38"/>
      <c r="F1718" s="38"/>
      <c r="G1718" s="38"/>
      <c r="H1718" s="38"/>
      <c r="I1718" s="38"/>
      <c r="J1718" s="38"/>
      <c r="K1718" s="38"/>
    </row>
    <row r="1719">
      <c r="A1719" s="38"/>
      <c r="B1719" s="38"/>
      <c r="C1719" s="38"/>
      <c r="D1719" s="38"/>
      <c r="E1719" s="38"/>
      <c r="F1719" s="38"/>
      <c r="G1719" s="38"/>
      <c r="H1719" s="38"/>
      <c r="I1719" s="38"/>
      <c r="J1719" s="38"/>
      <c r="K1719" s="38"/>
    </row>
    <row r="1720">
      <c r="A1720" s="38"/>
      <c r="B1720" s="38"/>
      <c r="C1720" s="38"/>
      <c r="D1720" s="38"/>
      <c r="E1720" s="38"/>
      <c r="F1720" s="38"/>
      <c r="G1720" s="38"/>
      <c r="H1720" s="38"/>
      <c r="I1720" s="38"/>
      <c r="J1720" s="38"/>
      <c r="K1720" s="38"/>
    </row>
    <row r="1721">
      <c r="A1721" s="38"/>
      <c r="B1721" s="38"/>
      <c r="C1721" s="38"/>
      <c r="D1721" s="38"/>
      <c r="E1721" s="38"/>
      <c r="F1721" s="38"/>
      <c r="G1721" s="38"/>
      <c r="H1721" s="38"/>
      <c r="I1721" s="38"/>
      <c r="J1721" s="38"/>
      <c r="K1721" s="38"/>
    </row>
    <row r="1722">
      <c r="A1722" s="38"/>
      <c r="B1722" s="38"/>
      <c r="C1722" s="38"/>
      <c r="D1722" s="38"/>
      <c r="E1722" s="38"/>
      <c r="F1722" s="38"/>
      <c r="G1722" s="38"/>
      <c r="H1722" s="38"/>
      <c r="I1722" s="38"/>
      <c r="J1722" s="38"/>
      <c r="K1722" s="38"/>
    </row>
    <row r="1723">
      <c r="A1723" s="38"/>
      <c r="B1723" s="38"/>
      <c r="C1723" s="38"/>
      <c r="D1723" s="38"/>
      <c r="E1723" s="38"/>
      <c r="F1723" s="38"/>
      <c r="G1723" s="38"/>
      <c r="H1723" s="38"/>
      <c r="I1723" s="38"/>
      <c r="J1723" s="38"/>
      <c r="K1723" s="38"/>
    </row>
    <row r="1724">
      <c r="A1724" s="38"/>
      <c r="B1724" s="38"/>
      <c r="C1724" s="38"/>
      <c r="D1724" s="38"/>
      <c r="E1724" s="38"/>
      <c r="F1724" s="38"/>
      <c r="G1724" s="38"/>
      <c r="H1724" s="38"/>
      <c r="I1724" s="38"/>
      <c r="J1724" s="38"/>
      <c r="K1724" s="38"/>
    </row>
    <row r="1725">
      <c r="A1725" s="38"/>
      <c r="B1725" s="38"/>
      <c r="C1725" s="38"/>
      <c r="D1725" s="38"/>
      <c r="E1725" s="38"/>
      <c r="F1725" s="38"/>
      <c r="G1725" s="38"/>
      <c r="H1725" s="38"/>
      <c r="I1725" s="38"/>
      <c r="J1725" s="38"/>
      <c r="K1725" s="38"/>
    </row>
    <row r="1726">
      <c r="A1726" s="38"/>
      <c r="B1726" s="38"/>
      <c r="C1726" s="38"/>
      <c r="D1726" s="38"/>
      <c r="E1726" s="38"/>
      <c r="F1726" s="38"/>
      <c r="G1726" s="38"/>
      <c r="H1726" s="38"/>
      <c r="I1726" s="38"/>
      <c r="J1726" s="38"/>
      <c r="K1726" s="38"/>
    </row>
    <row r="1727">
      <c r="A1727" s="38"/>
      <c r="B1727" s="38"/>
      <c r="C1727" s="38"/>
      <c r="D1727" s="38"/>
      <c r="E1727" s="38"/>
      <c r="F1727" s="38"/>
      <c r="G1727" s="38"/>
      <c r="H1727" s="38"/>
      <c r="I1727" s="38"/>
      <c r="J1727" s="38"/>
      <c r="K1727" s="38"/>
    </row>
    <row r="1728">
      <c r="A1728" s="38"/>
      <c r="B1728" s="38"/>
      <c r="C1728" s="38"/>
      <c r="D1728" s="38"/>
      <c r="E1728" s="38"/>
      <c r="F1728" s="38"/>
      <c r="G1728" s="38"/>
      <c r="H1728" s="38"/>
      <c r="I1728" s="38"/>
      <c r="J1728" s="38"/>
      <c r="K1728" s="38"/>
    </row>
    <row r="1729">
      <c r="A1729" s="38"/>
      <c r="B1729" s="38"/>
      <c r="C1729" s="38"/>
      <c r="D1729" s="38"/>
      <c r="E1729" s="38"/>
      <c r="F1729" s="38"/>
      <c r="G1729" s="38"/>
      <c r="H1729" s="38"/>
      <c r="I1729" s="38"/>
      <c r="J1729" s="38"/>
      <c r="K1729" s="38"/>
    </row>
    <row r="1730">
      <c r="A1730" s="38"/>
      <c r="B1730" s="38"/>
      <c r="C1730" s="38"/>
      <c r="D1730" s="38"/>
      <c r="E1730" s="38"/>
      <c r="F1730" s="38"/>
      <c r="G1730" s="38"/>
      <c r="H1730" s="38"/>
      <c r="I1730" s="38"/>
      <c r="J1730" s="38"/>
      <c r="K1730" s="38"/>
    </row>
    <row r="1731">
      <c r="A1731" s="38"/>
      <c r="B1731" s="38"/>
      <c r="C1731" s="38"/>
      <c r="D1731" s="38"/>
      <c r="E1731" s="38"/>
      <c r="F1731" s="38"/>
      <c r="G1731" s="38"/>
      <c r="H1731" s="38"/>
      <c r="I1731" s="38"/>
      <c r="J1731" s="38"/>
      <c r="K1731" s="38"/>
    </row>
    <row r="1732">
      <c r="A1732" s="38"/>
      <c r="B1732" s="38"/>
      <c r="C1732" s="38"/>
      <c r="D1732" s="38"/>
      <c r="E1732" s="38"/>
      <c r="F1732" s="38"/>
      <c r="G1732" s="38"/>
      <c r="H1732" s="38"/>
      <c r="I1732" s="38"/>
      <c r="J1732" s="38"/>
      <c r="K1732" s="38"/>
    </row>
    <row r="1733">
      <c r="A1733" s="38"/>
      <c r="B1733" s="38"/>
      <c r="C1733" s="38"/>
      <c r="D1733" s="38"/>
      <c r="E1733" s="38"/>
      <c r="F1733" s="38"/>
      <c r="G1733" s="38"/>
      <c r="H1733" s="38"/>
      <c r="I1733" s="38"/>
      <c r="J1733" s="38"/>
      <c r="K1733" s="38"/>
    </row>
    <row r="1734">
      <c r="A1734" s="38"/>
      <c r="B1734" s="38"/>
      <c r="C1734" s="38"/>
      <c r="D1734" s="38"/>
      <c r="E1734" s="38"/>
      <c r="F1734" s="38"/>
      <c r="G1734" s="38"/>
      <c r="H1734" s="38"/>
      <c r="I1734" s="38"/>
      <c r="J1734" s="38"/>
      <c r="K1734" s="38"/>
    </row>
    <row r="1735">
      <c r="A1735" s="38"/>
      <c r="B1735" s="38"/>
      <c r="C1735" s="38"/>
      <c r="D1735" s="38"/>
      <c r="E1735" s="38"/>
      <c r="F1735" s="38"/>
      <c r="G1735" s="38"/>
      <c r="H1735" s="38"/>
      <c r="I1735" s="38"/>
      <c r="J1735" s="38"/>
      <c r="K1735" s="38"/>
    </row>
    <row r="1736">
      <c r="A1736" s="38"/>
      <c r="B1736" s="38"/>
      <c r="C1736" s="38"/>
      <c r="D1736" s="38"/>
      <c r="E1736" s="38"/>
      <c r="F1736" s="38"/>
      <c r="G1736" s="38"/>
      <c r="H1736" s="38"/>
      <c r="I1736" s="38"/>
      <c r="J1736" s="38"/>
      <c r="K1736" s="38"/>
    </row>
    <row r="1737">
      <c r="A1737" s="38"/>
      <c r="B1737" s="38"/>
      <c r="C1737" s="38"/>
      <c r="D1737" s="38"/>
      <c r="E1737" s="38"/>
      <c r="F1737" s="38"/>
      <c r="G1737" s="38"/>
      <c r="H1737" s="38"/>
      <c r="I1737" s="38"/>
      <c r="J1737" s="38"/>
      <c r="K1737" s="38"/>
    </row>
    <row r="1738">
      <c r="A1738" s="38"/>
      <c r="B1738" s="38"/>
      <c r="C1738" s="38"/>
      <c r="D1738" s="38"/>
      <c r="E1738" s="38"/>
      <c r="F1738" s="38"/>
      <c r="G1738" s="38"/>
      <c r="H1738" s="38"/>
      <c r="I1738" s="38"/>
      <c r="J1738" s="38"/>
      <c r="K1738" s="38"/>
    </row>
    <row r="1739">
      <c r="A1739" s="38"/>
      <c r="B1739" s="38"/>
      <c r="C1739" s="38"/>
      <c r="D1739" s="38"/>
      <c r="E1739" s="38"/>
      <c r="F1739" s="38"/>
      <c r="G1739" s="38"/>
      <c r="H1739" s="38"/>
      <c r="I1739" s="38"/>
      <c r="J1739" s="38"/>
      <c r="K1739" s="38"/>
    </row>
    <row r="1740">
      <c r="A1740" s="38"/>
      <c r="B1740" s="38"/>
      <c r="C1740" s="38"/>
      <c r="D1740" s="38"/>
      <c r="E1740" s="38"/>
      <c r="F1740" s="38"/>
      <c r="G1740" s="38"/>
      <c r="H1740" s="38"/>
      <c r="I1740" s="38"/>
      <c r="J1740" s="38"/>
      <c r="K1740" s="38"/>
    </row>
    <row r="1741">
      <c r="A1741" s="38"/>
      <c r="B1741" s="38"/>
      <c r="C1741" s="38"/>
      <c r="D1741" s="38"/>
      <c r="E1741" s="38"/>
      <c r="F1741" s="38"/>
      <c r="G1741" s="38"/>
      <c r="H1741" s="38"/>
      <c r="I1741" s="38"/>
      <c r="J1741" s="38"/>
      <c r="K1741" s="38"/>
    </row>
    <row r="1742">
      <c r="A1742" s="38"/>
      <c r="B1742" s="38"/>
      <c r="C1742" s="38"/>
      <c r="D1742" s="38"/>
      <c r="E1742" s="38"/>
      <c r="F1742" s="38"/>
      <c r="G1742" s="38"/>
      <c r="H1742" s="38"/>
      <c r="I1742" s="38"/>
      <c r="J1742" s="38"/>
      <c r="K1742" s="38"/>
    </row>
    <row r="1743">
      <c r="A1743" s="38"/>
      <c r="B1743" s="38"/>
      <c r="C1743" s="38"/>
      <c r="D1743" s="38"/>
      <c r="E1743" s="38"/>
      <c r="F1743" s="38"/>
      <c r="G1743" s="38"/>
      <c r="H1743" s="38"/>
      <c r="I1743" s="38"/>
      <c r="J1743" s="38"/>
      <c r="K1743" s="38"/>
    </row>
    <row r="1744">
      <c r="A1744" s="38"/>
      <c r="B1744" s="38"/>
      <c r="C1744" s="38"/>
      <c r="D1744" s="38"/>
      <c r="E1744" s="38"/>
      <c r="F1744" s="38"/>
      <c r="G1744" s="38"/>
      <c r="H1744" s="38"/>
      <c r="I1744" s="38"/>
      <c r="J1744" s="38"/>
      <c r="K1744" s="38"/>
    </row>
    <row r="1745">
      <c r="A1745" s="38"/>
      <c r="B1745" s="38"/>
      <c r="C1745" s="38"/>
      <c r="D1745" s="38"/>
      <c r="E1745" s="38"/>
      <c r="F1745" s="38"/>
      <c r="G1745" s="38"/>
      <c r="H1745" s="38"/>
      <c r="I1745" s="38"/>
      <c r="J1745" s="38"/>
      <c r="K1745" s="38"/>
    </row>
    <row r="1746">
      <c r="A1746" s="38"/>
      <c r="B1746" s="38"/>
      <c r="C1746" s="38"/>
      <c r="D1746" s="38"/>
      <c r="E1746" s="38"/>
      <c r="F1746" s="38"/>
      <c r="G1746" s="38"/>
      <c r="H1746" s="38"/>
      <c r="I1746" s="38"/>
      <c r="J1746" s="38"/>
      <c r="K1746" s="38"/>
    </row>
    <row r="1747">
      <c r="A1747" s="38"/>
      <c r="B1747" s="38"/>
      <c r="C1747" s="38"/>
      <c r="D1747" s="38"/>
      <c r="E1747" s="38"/>
      <c r="F1747" s="38"/>
      <c r="G1747" s="38"/>
      <c r="H1747" s="38"/>
      <c r="I1747" s="38"/>
      <c r="J1747" s="38"/>
      <c r="K1747" s="38"/>
    </row>
    <row r="1748">
      <c r="A1748" s="38"/>
      <c r="B1748" s="38"/>
      <c r="C1748" s="38"/>
      <c r="D1748" s="38"/>
      <c r="E1748" s="38"/>
      <c r="F1748" s="38"/>
      <c r="G1748" s="38"/>
      <c r="H1748" s="38"/>
      <c r="I1748" s="38"/>
      <c r="J1748" s="38"/>
      <c r="K1748" s="38"/>
    </row>
    <row r="1749">
      <c r="A1749" s="38"/>
      <c r="B1749" s="38"/>
      <c r="C1749" s="38"/>
      <c r="D1749" s="38"/>
      <c r="E1749" s="38"/>
      <c r="F1749" s="38"/>
      <c r="G1749" s="38"/>
      <c r="H1749" s="38"/>
      <c r="I1749" s="38"/>
      <c r="J1749" s="38"/>
      <c r="K1749" s="38"/>
    </row>
    <row r="1750">
      <c r="A1750" s="38"/>
      <c r="B1750" s="38"/>
      <c r="C1750" s="38"/>
      <c r="D1750" s="38"/>
      <c r="E1750" s="38"/>
      <c r="F1750" s="38"/>
      <c r="G1750" s="38"/>
      <c r="H1750" s="38"/>
      <c r="I1750" s="38"/>
      <c r="J1750" s="38"/>
      <c r="K1750" s="38"/>
    </row>
    <row r="1751">
      <c r="A1751" s="38"/>
      <c r="B1751" s="38"/>
      <c r="C1751" s="38"/>
      <c r="D1751" s="38"/>
      <c r="E1751" s="38"/>
      <c r="F1751" s="38"/>
      <c r="G1751" s="38"/>
      <c r="H1751" s="38"/>
      <c r="I1751" s="38"/>
      <c r="J1751" s="38"/>
      <c r="K1751" s="38"/>
    </row>
    <row r="1752">
      <c r="A1752" s="38"/>
      <c r="B1752" s="38"/>
      <c r="C1752" s="38"/>
      <c r="D1752" s="38"/>
      <c r="E1752" s="38"/>
      <c r="F1752" s="38"/>
      <c r="G1752" s="38"/>
      <c r="H1752" s="38"/>
      <c r="I1752" s="38"/>
      <c r="J1752" s="38"/>
      <c r="K1752" s="38"/>
    </row>
    <row r="1753">
      <c r="A1753" s="38"/>
      <c r="B1753" s="38"/>
      <c r="C1753" s="38"/>
      <c r="D1753" s="38"/>
      <c r="E1753" s="38"/>
      <c r="F1753" s="38"/>
      <c r="G1753" s="38"/>
      <c r="H1753" s="38"/>
      <c r="I1753" s="38"/>
      <c r="J1753" s="38"/>
      <c r="K1753" s="38"/>
    </row>
    <row r="1754">
      <c r="A1754" s="38"/>
      <c r="B1754" s="38"/>
      <c r="C1754" s="38"/>
      <c r="D1754" s="38"/>
      <c r="E1754" s="38"/>
      <c r="F1754" s="38"/>
      <c r="G1754" s="38"/>
      <c r="H1754" s="38"/>
      <c r="I1754" s="38"/>
      <c r="J1754" s="38"/>
      <c r="K1754" s="38"/>
    </row>
    <row r="1755">
      <c r="A1755" s="38"/>
      <c r="B1755" s="38"/>
      <c r="C1755" s="38"/>
      <c r="D1755" s="38"/>
      <c r="E1755" s="38"/>
      <c r="F1755" s="38"/>
      <c r="G1755" s="38"/>
      <c r="H1755" s="38"/>
      <c r="I1755" s="38"/>
      <c r="J1755" s="38"/>
      <c r="K1755" s="38"/>
    </row>
    <row r="1756">
      <c r="A1756" s="38"/>
      <c r="B1756" s="38"/>
      <c r="C1756" s="38"/>
      <c r="D1756" s="38"/>
      <c r="E1756" s="38"/>
      <c r="F1756" s="38"/>
      <c r="G1756" s="38"/>
      <c r="H1756" s="38"/>
      <c r="I1756" s="38"/>
      <c r="J1756" s="38"/>
      <c r="K1756" s="38"/>
    </row>
    <row r="1757">
      <c r="A1757" s="38"/>
      <c r="B1757" s="38"/>
      <c r="C1757" s="38"/>
      <c r="D1757" s="38"/>
      <c r="E1757" s="38"/>
      <c r="F1757" s="38"/>
      <c r="G1757" s="38"/>
      <c r="H1757" s="38"/>
      <c r="I1757" s="38"/>
      <c r="J1757" s="38"/>
      <c r="K1757" s="38"/>
    </row>
    <row r="1758">
      <c r="A1758" s="38"/>
      <c r="B1758" s="38"/>
      <c r="C1758" s="38"/>
      <c r="D1758" s="38"/>
      <c r="E1758" s="38"/>
      <c r="F1758" s="38"/>
      <c r="G1758" s="38"/>
      <c r="H1758" s="38"/>
      <c r="I1758" s="38"/>
      <c r="J1758" s="38"/>
      <c r="K1758" s="38"/>
    </row>
    <row r="1759">
      <c r="A1759" s="38"/>
      <c r="B1759" s="38"/>
      <c r="C1759" s="38"/>
      <c r="D1759" s="38"/>
      <c r="E1759" s="38"/>
      <c r="F1759" s="38"/>
      <c r="G1759" s="38"/>
      <c r="H1759" s="38"/>
      <c r="I1759" s="38"/>
      <c r="J1759" s="38"/>
      <c r="K1759" s="38"/>
    </row>
    <row r="1760">
      <c r="A1760" s="38"/>
      <c r="B1760" s="38"/>
      <c r="C1760" s="38"/>
      <c r="D1760" s="38"/>
      <c r="E1760" s="38"/>
      <c r="F1760" s="38"/>
      <c r="G1760" s="38"/>
      <c r="H1760" s="38"/>
      <c r="I1760" s="38"/>
      <c r="J1760" s="38"/>
      <c r="K1760" s="38"/>
    </row>
    <row r="1761">
      <c r="A1761" s="38"/>
      <c r="B1761" s="38"/>
      <c r="C1761" s="38"/>
      <c r="D1761" s="38"/>
      <c r="E1761" s="38"/>
      <c r="F1761" s="38"/>
      <c r="G1761" s="38"/>
      <c r="H1761" s="38"/>
      <c r="I1761" s="38"/>
      <c r="J1761" s="38"/>
      <c r="K1761" s="38"/>
    </row>
    <row r="1762">
      <c r="A1762" s="38"/>
      <c r="B1762" s="38"/>
      <c r="C1762" s="38"/>
      <c r="D1762" s="38"/>
      <c r="E1762" s="38"/>
      <c r="F1762" s="38"/>
      <c r="G1762" s="38"/>
      <c r="H1762" s="38"/>
      <c r="I1762" s="38"/>
      <c r="J1762" s="38"/>
      <c r="K1762" s="38"/>
    </row>
    <row r="1763">
      <c r="A1763" s="38"/>
      <c r="B1763" s="38"/>
      <c r="C1763" s="38"/>
      <c r="D1763" s="38"/>
      <c r="E1763" s="38"/>
      <c r="F1763" s="38"/>
      <c r="G1763" s="38"/>
      <c r="H1763" s="38"/>
      <c r="I1763" s="38"/>
      <c r="J1763" s="38"/>
      <c r="K1763" s="38"/>
    </row>
    <row r="1764">
      <c r="A1764" s="38"/>
      <c r="B1764" s="38"/>
      <c r="C1764" s="38"/>
      <c r="D1764" s="38"/>
      <c r="E1764" s="38"/>
      <c r="F1764" s="38"/>
      <c r="G1764" s="38"/>
      <c r="H1764" s="38"/>
      <c r="I1764" s="38"/>
      <c r="J1764" s="38"/>
      <c r="K1764" s="38"/>
    </row>
    <row r="1765">
      <c r="A1765" s="38"/>
      <c r="B1765" s="38"/>
      <c r="C1765" s="38"/>
      <c r="D1765" s="38"/>
      <c r="E1765" s="38"/>
      <c r="F1765" s="38"/>
      <c r="G1765" s="38"/>
      <c r="H1765" s="38"/>
      <c r="I1765" s="38"/>
      <c r="J1765" s="38"/>
      <c r="K1765" s="38"/>
    </row>
    <row r="1766">
      <c r="A1766" s="38"/>
      <c r="B1766" s="38"/>
      <c r="C1766" s="38"/>
      <c r="D1766" s="38"/>
      <c r="E1766" s="38"/>
      <c r="F1766" s="38"/>
      <c r="G1766" s="38"/>
      <c r="H1766" s="38"/>
      <c r="I1766" s="38"/>
      <c r="J1766" s="38"/>
      <c r="K1766" s="38"/>
    </row>
    <row r="1767">
      <c r="A1767" s="38"/>
      <c r="B1767" s="38"/>
      <c r="C1767" s="38"/>
      <c r="D1767" s="38"/>
      <c r="E1767" s="38"/>
      <c r="F1767" s="38"/>
      <c r="G1767" s="38"/>
      <c r="H1767" s="38"/>
      <c r="I1767" s="38"/>
      <c r="J1767" s="38"/>
      <c r="K1767" s="38"/>
    </row>
    <row r="1768">
      <c r="A1768" s="38"/>
      <c r="B1768" s="38"/>
      <c r="C1768" s="38"/>
      <c r="D1768" s="38"/>
      <c r="E1768" s="38"/>
      <c r="F1768" s="38"/>
      <c r="G1768" s="38"/>
      <c r="H1768" s="38"/>
      <c r="I1768" s="38"/>
      <c r="J1768" s="38"/>
      <c r="K1768" s="38"/>
    </row>
    <row r="1769">
      <c r="A1769" s="38"/>
      <c r="B1769" s="38"/>
      <c r="C1769" s="38"/>
      <c r="D1769" s="38"/>
      <c r="E1769" s="38"/>
      <c r="F1769" s="38"/>
      <c r="G1769" s="38"/>
      <c r="H1769" s="38"/>
      <c r="I1769" s="38"/>
      <c r="J1769" s="38"/>
      <c r="K1769" s="38"/>
    </row>
    <row r="1770">
      <c r="A1770" s="38"/>
      <c r="B1770" s="38"/>
      <c r="C1770" s="38"/>
      <c r="D1770" s="38"/>
      <c r="E1770" s="38"/>
      <c r="F1770" s="38"/>
      <c r="G1770" s="38"/>
      <c r="H1770" s="38"/>
      <c r="I1770" s="38"/>
      <c r="J1770" s="38"/>
      <c r="K1770" s="38"/>
    </row>
    <row r="1771">
      <c r="A1771" s="38"/>
      <c r="B1771" s="38"/>
      <c r="C1771" s="38"/>
      <c r="D1771" s="38"/>
      <c r="E1771" s="38"/>
      <c r="F1771" s="38"/>
      <c r="G1771" s="38"/>
      <c r="H1771" s="38"/>
      <c r="I1771" s="38"/>
      <c r="J1771" s="38"/>
      <c r="K1771" s="38"/>
    </row>
    <row r="1772">
      <c r="A1772" s="38"/>
      <c r="B1772" s="38"/>
      <c r="C1772" s="38"/>
      <c r="D1772" s="38"/>
      <c r="E1772" s="38"/>
      <c r="F1772" s="38"/>
      <c r="G1772" s="38"/>
      <c r="H1772" s="38"/>
      <c r="I1772" s="38"/>
      <c r="J1772" s="38"/>
      <c r="K1772" s="38"/>
    </row>
    <row r="1773">
      <c r="A1773" s="38"/>
      <c r="B1773" s="38"/>
      <c r="C1773" s="38"/>
      <c r="D1773" s="38"/>
      <c r="E1773" s="38"/>
      <c r="F1773" s="38"/>
      <c r="G1773" s="38"/>
      <c r="H1773" s="38"/>
      <c r="I1773" s="38"/>
      <c r="J1773" s="38"/>
      <c r="K1773" s="38"/>
    </row>
    <row r="1774">
      <c r="A1774" s="38"/>
      <c r="B1774" s="38"/>
      <c r="C1774" s="38"/>
      <c r="D1774" s="38"/>
      <c r="E1774" s="38"/>
      <c r="F1774" s="38"/>
      <c r="G1774" s="38"/>
      <c r="H1774" s="38"/>
      <c r="I1774" s="38"/>
      <c r="J1774" s="38"/>
      <c r="K1774" s="38"/>
    </row>
    <row r="1775">
      <c r="A1775" s="38"/>
      <c r="B1775" s="38"/>
      <c r="C1775" s="38"/>
      <c r="D1775" s="38"/>
      <c r="E1775" s="38"/>
      <c r="F1775" s="38"/>
      <c r="G1775" s="38"/>
      <c r="H1775" s="38"/>
      <c r="I1775" s="38"/>
      <c r="J1775" s="38"/>
      <c r="K1775" s="38"/>
    </row>
    <row r="1776">
      <c r="A1776" s="38"/>
      <c r="B1776" s="38"/>
      <c r="C1776" s="38"/>
      <c r="D1776" s="38"/>
      <c r="E1776" s="38"/>
      <c r="F1776" s="38"/>
      <c r="G1776" s="38"/>
      <c r="H1776" s="38"/>
      <c r="I1776" s="38"/>
      <c r="J1776" s="38"/>
      <c r="K1776" s="38"/>
    </row>
    <row r="1777">
      <c r="A1777" s="38"/>
      <c r="B1777" s="38"/>
      <c r="C1777" s="38"/>
      <c r="D1777" s="38"/>
      <c r="E1777" s="38"/>
      <c r="F1777" s="38"/>
      <c r="G1777" s="38"/>
      <c r="H1777" s="38"/>
      <c r="I1777" s="38"/>
      <c r="J1777" s="38"/>
      <c r="K1777" s="38"/>
    </row>
    <row r="1778">
      <c r="A1778" s="38"/>
      <c r="B1778" s="38"/>
      <c r="C1778" s="38"/>
      <c r="D1778" s="38"/>
      <c r="E1778" s="38"/>
      <c r="F1778" s="38"/>
      <c r="G1778" s="38"/>
      <c r="H1778" s="38"/>
      <c r="I1778" s="38"/>
      <c r="J1778" s="38"/>
      <c r="K1778" s="38"/>
    </row>
    <row r="1779">
      <c r="A1779" s="38"/>
      <c r="B1779" s="38"/>
      <c r="C1779" s="38"/>
      <c r="D1779" s="38"/>
      <c r="E1779" s="38"/>
      <c r="F1779" s="38"/>
      <c r="G1779" s="38"/>
      <c r="H1779" s="38"/>
      <c r="I1779" s="38"/>
      <c r="J1779" s="38"/>
      <c r="K1779" s="38"/>
    </row>
    <row r="1780">
      <c r="A1780" s="38"/>
      <c r="B1780" s="38"/>
      <c r="C1780" s="38"/>
      <c r="D1780" s="38"/>
      <c r="E1780" s="38"/>
      <c r="F1780" s="38"/>
      <c r="G1780" s="38"/>
      <c r="H1780" s="38"/>
      <c r="I1780" s="38"/>
      <c r="J1780" s="38"/>
      <c r="K1780" s="38"/>
    </row>
    <row r="1781">
      <c r="A1781" s="38"/>
      <c r="B1781" s="38"/>
      <c r="C1781" s="38"/>
      <c r="D1781" s="38"/>
      <c r="E1781" s="38"/>
      <c r="F1781" s="38"/>
      <c r="G1781" s="38"/>
      <c r="H1781" s="38"/>
      <c r="I1781" s="38"/>
      <c r="J1781" s="38"/>
      <c r="K1781" s="38"/>
    </row>
    <row r="1782">
      <c r="A1782" s="38"/>
      <c r="B1782" s="38"/>
      <c r="C1782" s="38"/>
      <c r="D1782" s="38"/>
      <c r="E1782" s="38"/>
      <c r="F1782" s="38"/>
      <c r="G1782" s="38"/>
      <c r="H1782" s="38"/>
      <c r="I1782" s="38"/>
      <c r="J1782" s="38"/>
      <c r="K1782" s="38"/>
    </row>
    <row r="1783">
      <c r="A1783" s="38"/>
      <c r="B1783" s="38"/>
      <c r="C1783" s="38"/>
      <c r="D1783" s="38"/>
      <c r="E1783" s="38"/>
      <c r="F1783" s="38"/>
      <c r="G1783" s="38"/>
      <c r="H1783" s="38"/>
      <c r="I1783" s="38"/>
      <c r="J1783" s="38"/>
      <c r="K1783" s="38"/>
    </row>
    <row r="1784">
      <c r="A1784" s="38"/>
      <c r="B1784" s="38"/>
      <c r="C1784" s="38"/>
      <c r="D1784" s="38"/>
      <c r="E1784" s="38"/>
      <c r="F1784" s="38"/>
      <c r="G1784" s="38"/>
      <c r="H1784" s="38"/>
      <c r="I1784" s="38"/>
      <c r="J1784" s="38"/>
      <c r="K1784" s="38"/>
    </row>
    <row r="1785">
      <c r="A1785" s="38"/>
      <c r="B1785" s="38"/>
      <c r="C1785" s="38"/>
      <c r="D1785" s="38"/>
      <c r="E1785" s="38"/>
      <c r="F1785" s="38"/>
      <c r="G1785" s="38"/>
      <c r="H1785" s="38"/>
      <c r="I1785" s="38"/>
      <c r="J1785" s="38"/>
      <c r="K1785" s="38"/>
    </row>
    <row r="1786">
      <c r="A1786" s="38"/>
      <c r="B1786" s="38"/>
      <c r="C1786" s="38"/>
      <c r="D1786" s="38"/>
      <c r="E1786" s="38"/>
      <c r="F1786" s="38"/>
      <c r="G1786" s="38"/>
      <c r="H1786" s="38"/>
      <c r="I1786" s="38"/>
      <c r="J1786" s="38"/>
      <c r="K1786" s="38"/>
    </row>
    <row r="1787">
      <c r="A1787" s="38"/>
      <c r="B1787" s="38"/>
      <c r="C1787" s="38"/>
      <c r="D1787" s="38"/>
      <c r="E1787" s="38"/>
      <c r="F1787" s="38"/>
      <c r="G1787" s="38"/>
      <c r="H1787" s="38"/>
      <c r="I1787" s="38"/>
      <c r="J1787" s="38"/>
      <c r="K1787" s="38"/>
    </row>
    <row r="1788">
      <c r="A1788" s="38"/>
      <c r="B1788" s="38"/>
      <c r="C1788" s="38"/>
      <c r="D1788" s="38"/>
      <c r="E1788" s="38"/>
      <c r="F1788" s="38"/>
      <c r="G1788" s="38"/>
      <c r="H1788" s="38"/>
      <c r="I1788" s="38"/>
      <c r="J1788" s="38"/>
      <c r="K1788" s="38"/>
    </row>
    <row r="1789">
      <c r="A1789" s="38"/>
      <c r="B1789" s="38"/>
      <c r="C1789" s="38"/>
      <c r="D1789" s="38"/>
      <c r="E1789" s="38"/>
      <c r="F1789" s="38"/>
      <c r="G1789" s="38"/>
      <c r="H1789" s="38"/>
      <c r="I1789" s="38"/>
      <c r="J1789" s="38"/>
      <c r="K1789" s="38"/>
    </row>
    <row r="1790">
      <c r="A1790" s="38"/>
      <c r="B1790" s="38"/>
      <c r="C1790" s="38"/>
      <c r="D1790" s="38"/>
      <c r="E1790" s="38"/>
      <c r="F1790" s="38"/>
      <c r="G1790" s="38"/>
      <c r="H1790" s="38"/>
      <c r="I1790" s="38"/>
      <c r="J1790" s="38"/>
      <c r="K1790" s="38"/>
    </row>
    <row r="1791">
      <c r="A1791" s="38"/>
      <c r="B1791" s="38"/>
      <c r="C1791" s="38"/>
      <c r="D1791" s="38"/>
      <c r="E1791" s="38"/>
      <c r="F1791" s="38"/>
      <c r="G1791" s="38"/>
      <c r="H1791" s="38"/>
      <c r="I1791" s="38"/>
      <c r="J1791" s="38"/>
      <c r="K1791" s="38"/>
    </row>
    <row r="1792">
      <c r="A1792" s="38"/>
      <c r="B1792" s="38"/>
      <c r="C1792" s="38"/>
      <c r="D1792" s="38"/>
      <c r="E1792" s="38"/>
      <c r="F1792" s="38"/>
      <c r="G1792" s="38"/>
      <c r="H1792" s="38"/>
      <c r="I1792" s="38"/>
      <c r="J1792" s="38"/>
      <c r="K1792" s="38"/>
    </row>
    <row r="1793">
      <c r="A1793" s="38"/>
      <c r="B1793" s="38"/>
      <c r="C1793" s="38"/>
      <c r="D1793" s="38"/>
      <c r="E1793" s="38"/>
      <c r="F1793" s="38"/>
      <c r="G1793" s="38"/>
      <c r="H1793" s="38"/>
      <c r="I1793" s="38"/>
      <c r="J1793" s="38"/>
      <c r="K1793" s="38"/>
    </row>
    <row r="1794">
      <c r="A1794" s="38"/>
      <c r="B1794" s="38"/>
      <c r="C1794" s="38"/>
      <c r="D1794" s="38"/>
      <c r="E1794" s="38"/>
      <c r="F1794" s="38"/>
      <c r="G1794" s="38"/>
      <c r="H1794" s="38"/>
      <c r="I1794" s="38"/>
      <c r="J1794" s="38"/>
      <c r="K1794" s="38"/>
    </row>
    <row r="1795">
      <c r="A1795" s="38"/>
      <c r="B1795" s="38"/>
      <c r="C1795" s="38"/>
      <c r="D1795" s="38"/>
      <c r="E1795" s="38"/>
      <c r="F1795" s="38"/>
      <c r="G1795" s="38"/>
      <c r="H1795" s="38"/>
      <c r="I1795" s="38"/>
      <c r="J1795" s="38"/>
      <c r="K1795" s="38"/>
    </row>
    <row r="1796">
      <c r="A1796" s="38"/>
      <c r="B1796" s="38"/>
      <c r="C1796" s="38"/>
      <c r="D1796" s="38"/>
      <c r="E1796" s="38"/>
      <c r="F1796" s="38"/>
      <c r="G1796" s="38"/>
      <c r="H1796" s="38"/>
      <c r="I1796" s="38"/>
      <c r="J1796" s="38"/>
      <c r="K1796" s="38"/>
    </row>
    <row r="1797">
      <c r="A1797" s="38"/>
      <c r="B1797" s="38"/>
      <c r="C1797" s="38"/>
      <c r="D1797" s="38"/>
      <c r="E1797" s="38"/>
      <c r="F1797" s="38"/>
      <c r="G1797" s="38"/>
      <c r="H1797" s="38"/>
      <c r="I1797" s="38"/>
      <c r="J1797" s="38"/>
      <c r="K1797" s="38"/>
    </row>
    <row r="1798">
      <c r="A1798" s="38"/>
      <c r="B1798" s="38"/>
      <c r="C1798" s="38"/>
      <c r="D1798" s="38"/>
      <c r="E1798" s="38"/>
      <c r="F1798" s="38"/>
      <c r="G1798" s="38"/>
      <c r="H1798" s="38"/>
      <c r="I1798" s="38"/>
      <c r="J1798" s="38"/>
      <c r="K1798" s="38"/>
    </row>
    <row r="1799">
      <c r="A1799" s="38"/>
      <c r="B1799" s="38"/>
      <c r="C1799" s="38"/>
      <c r="D1799" s="38"/>
      <c r="E1799" s="38"/>
      <c r="F1799" s="38"/>
      <c r="G1799" s="38"/>
      <c r="H1799" s="38"/>
      <c r="I1799" s="38"/>
      <c r="J1799" s="38"/>
      <c r="K1799" s="38"/>
    </row>
    <row r="1800">
      <c r="A1800" s="38"/>
      <c r="B1800" s="38"/>
      <c r="C1800" s="38"/>
      <c r="D1800" s="38"/>
      <c r="E1800" s="38"/>
      <c r="F1800" s="38"/>
      <c r="G1800" s="38"/>
      <c r="H1800" s="38"/>
      <c r="I1800" s="38"/>
      <c r="J1800" s="38"/>
      <c r="K1800" s="38"/>
    </row>
    <row r="1801">
      <c r="A1801" s="38"/>
      <c r="B1801" s="38"/>
      <c r="C1801" s="38"/>
      <c r="D1801" s="38"/>
      <c r="E1801" s="38"/>
      <c r="F1801" s="38"/>
      <c r="G1801" s="38"/>
      <c r="H1801" s="38"/>
      <c r="I1801" s="38"/>
      <c r="J1801" s="38"/>
      <c r="K1801" s="38"/>
    </row>
    <row r="1802">
      <c r="A1802" s="38"/>
      <c r="B1802" s="38"/>
      <c r="C1802" s="38"/>
      <c r="D1802" s="38"/>
      <c r="E1802" s="38"/>
      <c r="F1802" s="38"/>
      <c r="G1802" s="38"/>
      <c r="H1802" s="38"/>
      <c r="I1802" s="38"/>
      <c r="J1802" s="38"/>
      <c r="K1802" s="38"/>
    </row>
    <row r="1803">
      <c r="A1803" s="38"/>
      <c r="B1803" s="38"/>
      <c r="C1803" s="38"/>
      <c r="D1803" s="38"/>
      <c r="E1803" s="38"/>
      <c r="F1803" s="38"/>
      <c r="G1803" s="38"/>
      <c r="H1803" s="38"/>
      <c r="I1803" s="38"/>
      <c r="J1803" s="38"/>
      <c r="K1803" s="38"/>
    </row>
    <row r="1804">
      <c r="A1804" s="38"/>
      <c r="B1804" s="38"/>
      <c r="C1804" s="38"/>
      <c r="D1804" s="38"/>
      <c r="E1804" s="38"/>
      <c r="F1804" s="38"/>
      <c r="G1804" s="38"/>
      <c r="H1804" s="38"/>
      <c r="I1804" s="38"/>
      <c r="J1804" s="38"/>
      <c r="K1804" s="38"/>
    </row>
    <row r="1805">
      <c r="A1805" s="38"/>
      <c r="B1805" s="38"/>
      <c r="C1805" s="38"/>
      <c r="D1805" s="38"/>
      <c r="E1805" s="38"/>
      <c r="F1805" s="38"/>
      <c r="G1805" s="38"/>
      <c r="H1805" s="38"/>
      <c r="I1805" s="38"/>
      <c r="J1805" s="38"/>
      <c r="K1805" s="38"/>
    </row>
    <row r="1806">
      <c r="A1806" s="38"/>
      <c r="B1806" s="38"/>
      <c r="C1806" s="38"/>
      <c r="D1806" s="38"/>
      <c r="E1806" s="38"/>
      <c r="F1806" s="38"/>
      <c r="G1806" s="38"/>
      <c r="H1806" s="38"/>
      <c r="I1806" s="38"/>
      <c r="J1806" s="38"/>
      <c r="K1806" s="38"/>
    </row>
    <row r="1807">
      <c r="A1807" s="38"/>
      <c r="B1807" s="38"/>
      <c r="C1807" s="38"/>
      <c r="D1807" s="38"/>
      <c r="E1807" s="38"/>
      <c r="F1807" s="38"/>
      <c r="G1807" s="38"/>
      <c r="H1807" s="38"/>
      <c r="I1807" s="38"/>
      <c r="J1807" s="38"/>
      <c r="K1807" s="38"/>
    </row>
    <row r="1808">
      <c r="A1808" s="38"/>
      <c r="B1808" s="38"/>
      <c r="C1808" s="38"/>
      <c r="D1808" s="38"/>
      <c r="E1808" s="38"/>
      <c r="F1808" s="38"/>
      <c r="G1808" s="38"/>
      <c r="H1808" s="38"/>
      <c r="I1808" s="38"/>
      <c r="J1808" s="38"/>
      <c r="K1808" s="38"/>
    </row>
    <row r="1809">
      <c r="A1809" s="38"/>
      <c r="B1809" s="38"/>
      <c r="C1809" s="38"/>
      <c r="D1809" s="38"/>
      <c r="E1809" s="38"/>
      <c r="F1809" s="38"/>
      <c r="G1809" s="38"/>
      <c r="H1809" s="38"/>
      <c r="I1809" s="38"/>
      <c r="J1809" s="38"/>
      <c r="K1809" s="38"/>
    </row>
    <row r="1810">
      <c r="A1810" s="38"/>
      <c r="B1810" s="38"/>
      <c r="C1810" s="38"/>
      <c r="D1810" s="38"/>
      <c r="E1810" s="38"/>
      <c r="F1810" s="38"/>
      <c r="G1810" s="38"/>
      <c r="H1810" s="38"/>
      <c r="I1810" s="38"/>
      <c r="J1810" s="38"/>
      <c r="K1810" s="38"/>
    </row>
    <row r="1811">
      <c r="A1811" s="38"/>
      <c r="B1811" s="38"/>
      <c r="C1811" s="38"/>
      <c r="D1811" s="38"/>
      <c r="E1811" s="38"/>
      <c r="F1811" s="38"/>
      <c r="G1811" s="38"/>
      <c r="H1811" s="38"/>
      <c r="I1811" s="38"/>
      <c r="J1811" s="38"/>
      <c r="K1811" s="38"/>
    </row>
    <row r="1812">
      <c r="A1812" s="38"/>
      <c r="B1812" s="38"/>
      <c r="C1812" s="38"/>
      <c r="D1812" s="38"/>
      <c r="E1812" s="38"/>
      <c r="F1812" s="38"/>
      <c r="G1812" s="38"/>
      <c r="H1812" s="38"/>
      <c r="I1812" s="38"/>
      <c r="J1812" s="38"/>
      <c r="K1812" s="38"/>
    </row>
    <row r="1813">
      <c r="A1813" s="38"/>
      <c r="B1813" s="38"/>
      <c r="C1813" s="38"/>
      <c r="D1813" s="38"/>
      <c r="E1813" s="38"/>
      <c r="F1813" s="38"/>
      <c r="G1813" s="38"/>
      <c r="H1813" s="38"/>
      <c r="I1813" s="38"/>
      <c r="J1813" s="38"/>
      <c r="K1813" s="38"/>
    </row>
    <row r="1814">
      <c r="A1814" s="38"/>
      <c r="B1814" s="38"/>
      <c r="C1814" s="38"/>
      <c r="D1814" s="38"/>
      <c r="E1814" s="38"/>
      <c r="F1814" s="38"/>
      <c r="G1814" s="38"/>
      <c r="H1814" s="38"/>
      <c r="I1814" s="38"/>
      <c r="J1814" s="38"/>
      <c r="K1814" s="38"/>
    </row>
    <row r="1815">
      <c r="A1815" s="38"/>
      <c r="B1815" s="38"/>
      <c r="C1815" s="38"/>
      <c r="D1815" s="38"/>
      <c r="E1815" s="38"/>
      <c r="F1815" s="38"/>
      <c r="G1815" s="38"/>
      <c r="H1815" s="38"/>
      <c r="I1815" s="38"/>
      <c r="J1815" s="38"/>
      <c r="K1815" s="38"/>
    </row>
    <row r="1816">
      <c r="A1816" s="38"/>
      <c r="B1816" s="38"/>
      <c r="C1816" s="38"/>
      <c r="D1816" s="38"/>
      <c r="E1816" s="38"/>
      <c r="F1816" s="38"/>
      <c r="G1816" s="38"/>
      <c r="H1816" s="38"/>
      <c r="I1816" s="38"/>
      <c r="J1816" s="38"/>
      <c r="K1816" s="38"/>
    </row>
    <row r="1817">
      <c r="A1817" s="38"/>
      <c r="B1817" s="38"/>
      <c r="C1817" s="38"/>
      <c r="D1817" s="38"/>
      <c r="E1817" s="38"/>
      <c r="F1817" s="38"/>
      <c r="G1817" s="38"/>
      <c r="H1817" s="38"/>
      <c r="I1817" s="38"/>
      <c r="J1817" s="38"/>
      <c r="K1817" s="38"/>
    </row>
    <row r="1818">
      <c r="A1818" s="38"/>
      <c r="B1818" s="38"/>
      <c r="C1818" s="38"/>
      <c r="D1818" s="38"/>
      <c r="E1818" s="38"/>
      <c r="F1818" s="38"/>
      <c r="G1818" s="38"/>
      <c r="H1818" s="38"/>
      <c r="I1818" s="38"/>
      <c r="J1818" s="38"/>
      <c r="K1818" s="38"/>
    </row>
    <row r="1819">
      <c r="A1819" s="38"/>
      <c r="B1819" s="38"/>
      <c r="C1819" s="38"/>
      <c r="D1819" s="38"/>
      <c r="E1819" s="38"/>
      <c r="F1819" s="38"/>
      <c r="G1819" s="38"/>
      <c r="H1819" s="38"/>
      <c r="I1819" s="38"/>
      <c r="J1819" s="38"/>
      <c r="K1819" s="38"/>
    </row>
    <row r="1820">
      <c r="A1820" s="38"/>
      <c r="B1820" s="38"/>
      <c r="C1820" s="38"/>
      <c r="D1820" s="38"/>
      <c r="E1820" s="38"/>
      <c r="F1820" s="38"/>
      <c r="G1820" s="38"/>
      <c r="H1820" s="38"/>
      <c r="I1820" s="38"/>
      <c r="J1820" s="38"/>
      <c r="K1820" s="38"/>
    </row>
    <row r="1821">
      <c r="A1821" s="38"/>
      <c r="B1821" s="38"/>
      <c r="C1821" s="38"/>
      <c r="D1821" s="38"/>
      <c r="E1821" s="38"/>
      <c r="F1821" s="38"/>
      <c r="G1821" s="38"/>
      <c r="H1821" s="38"/>
      <c r="I1821" s="38"/>
      <c r="J1821" s="38"/>
      <c r="K1821" s="38"/>
    </row>
    <row r="1822">
      <c r="A1822" s="38"/>
      <c r="B1822" s="38"/>
      <c r="C1822" s="38"/>
      <c r="D1822" s="38"/>
      <c r="E1822" s="38"/>
      <c r="F1822" s="38"/>
      <c r="G1822" s="38"/>
      <c r="H1822" s="38"/>
      <c r="I1822" s="38"/>
      <c r="J1822" s="38"/>
      <c r="K1822" s="38"/>
    </row>
    <row r="1823">
      <c r="A1823" s="38"/>
      <c r="B1823" s="38"/>
      <c r="C1823" s="38"/>
      <c r="D1823" s="38"/>
      <c r="E1823" s="38"/>
      <c r="F1823" s="38"/>
      <c r="G1823" s="38"/>
      <c r="H1823" s="38"/>
      <c r="I1823" s="38"/>
      <c r="J1823" s="38"/>
      <c r="K1823" s="38"/>
    </row>
    <row r="1824">
      <c r="A1824" s="38"/>
      <c r="B1824" s="38"/>
      <c r="C1824" s="38"/>
      <c r="D1824" s="38"/>
      <c r="E1824" s="38"/>
      <c r="F1824" s="38"/>
      <c r="G1824" s="38"/>
      <c r="H1824" s="38"/>
      <c r="I1824" s="38"/>
      <c r="J1824" s="38"/>
      <c r="K1824" s="38"/>
    </row>
    <row r="1825">
      <c r="A1825" s="38"/>
      <c r="B1825" s="38"/>
      <c r="C1825" s="38"/>
      <c r="D1825" s="38"/>
      <c r="E1825" s="38"/>
      <c r="F1825" s="38"/>
      <c r="G1825" s="38"/>
      <c r="H1825" s="38"/>
      <c r="I1825" s="38"/>
      <c r="J1825" s="38"/>
      <c r="K1825" s="38"/>
    </row>
    <row r="1826">
      <c r="A1826" s="38"/>
      <c r="B1826" s="38"/>
      <c r="C1826" s="38"/>
      <c r="D1826" s="38"/>
      <c r="E1826" s="38"/>
      <c r="F1826" s="38"/>
      <c r="G1826" s="38"/>
      <c r="H1826" s="38"/>
      <c r="I1826" s="38"/>
      <c r="J1826" s="38"/>
      <c r="K1826" s="38"/>
    </row>
    <row r="1827">
      <c r="A1827" s="38"/>
      <c r="B1827" s="38"/>
      <c r="C1827" s="38"/>
      <c r="D1827" s="38"/>
      <c r="E1827" s="38"/>
      <c r="F1827" s="38"/>
      <c r="G1827" s="38"/>
      <c r="H1827" s="38"/>
      <c r="I1827" s="38"/>
      <c r="J1827" s="38"/>
      <c r="K1827" s="38"/>
    </row>
    <row r="1828">
      <c r="A1828" s="38"/>
      <c r="B1828" s="38"/>
      <c r="C1828" s="38"/>
      <c r="D1828" s="38"/>
      <c r="E1828" s="38"/>
      <c r="F1828" s="38"/>
      <c r="G1828" s="38"/>
      <c r="H1828" s="38"/>
      <c r="I1828" s="38"/>
      <c r="J1828" s="38"/>
      <c r="K1828" s="38"/>
    </row>
    <row r="1829">
      <c r="A1829" s="38"/>
      <c r="B1829" s="38"/>
      <c r="C1829" s="38"/>
      <c r="D1829" s="38"/>
      <c r="E1829" s="38"/>
      <c r="F1829" s="38"/>
      <c r="G1829" s="38"/>
      <c r="H1829" s="38"/>
      <c r="I1829" s="38"/>
      <c r="J1829" s="38"/>
      <c r="K1829" s="38"/>
    </row>
    <row r="1830">
      <c r="A1830" s="38"/>
      <c r="B1830" s="38"/>
      <c r="C1830" s="38"/>
      <c r="D1830" s="38"/>
      <c r="E1830" s="38"/>
      <c r="F1830" s="38"/>
      <c r="G1830" s="38"/>
      <c r="H1830" s="38"/>
      <c r="I1830" s="38"/>
      <c r="J1830" s="38"/>
      <c r="K1830" s="38"/>
    </row>
    <row r="1831">
      <c r="A1831" s="38"/>
      <c r="B1831" s="38"/>
      <c r="C1831" s="38"/>
      <c r="D1831" s="38"/>
      <c r="E1831" s="38"/>
      <c r="F1831" s="38"/>
      <c r="G1831" s="38"/>
      <c r="H1831" s="38"/>
      <c r="I1831" s="38"/>
      <c r="J1831" s="38"/>
      <c r="K1831" s="38"/>
    </row>
    <row r="1832">
      <c r="A1832" s="38"/>
      <c r="B1832" s="38"/>
      <c r="C1832" s="38"/>
      <c r="D1832" s="38"/>
      <c r="E1832" s="38"/>
      <c r="F1832" s="38"/>
      <c r="G1832" s="38"/>
      <c r="H1832" s="38"/>
      <c r="I1832" s="38"/>
      <c r="J1832" s="38"/>
      <c r="K1832" s="38"/>
    </row>
    <row r="1833">
      <c r="A1833" s="38"/>
      <c r="B1833" s="38"/>
      <c r="C1833" s="38"/>
      <c r="D1833" s="38"/>
      <c r="E1833" s="38"/>
      <c r="F1833" s="38"/>
      <c r="G1833" s="38"/>
      <c r="H1833" s="38"/>
      <c r="I1833" s="38"/>
      <c r="J1833" s="38"/>
      <c r="K1833" s="38"/>
    </row>
    <row r="1834">
      <c r="A1834" s="38"/>
      <c r="B1834" s="38"/>
      <c r="C1834" s="38"/>
      <c r="D1834" s="38"/>
      <c r="E1834" s="38"/>
      <c r="F1834" s="38"/>
      <c r="G1834" s="38"/>
      <c r="H1834" s="38"/>
      <c r="I1834" s="38"/>
      <c r="J1834" s="38"/>
      <c r="K1834" s="38"/>
    </row>
    <row r="1835">
      <c r="A1835" s="38"/>
      <c r="B1835" s="38"/>
      <c r="C1835" s="38"/>
      <c r="D1835" s="38"/>
      <c r="E1835" s="38"/>
      <c r="F1835" s="38"/>
      <c r="G1835" s="38"/>
      <c r="H1835" s="38"/>
      <c r="I1835" s="38"/>
      <c r="J1835" s="38"/>
      <c r="K1835" s="38"/>
    </row>
    <row r="1836">
      <c r="A1836" s="38"/>
      <c r="B1836" s="38"/>
      <c r="C1836" s="38"/>
      <c r="D1836" s="38"/>
      <c r="E1836" s="38"/>
      <c r="F1836" s="38"/>
      <c r="G1836" s="38"/>
      <c r="H1836" s="38"/>
      <c r="I1836" s="38"/>
      <c r="J1836" s="38"/>
      <c r="K1836" s="38"/>
    </row>
    <row r="1837">
      <c r="A1837" s="38"/>
      <c r="B1837" s="38"/>
      <c r="C1837" s="38"/>
      <c r="D1837" s="38"/>
      <c r="E1837" s="38"/>
      <c r="F1837" s="38"/>
      <c r="G1837" s="38"/>
      <c r="H1837" s="38"/>
      <c r="I1837" s="38"/>
      <c r="J1837" s="38"/>
      <c r="K1837" s="38"/>
    </row>
    <row r="1838">
      <c r="A1838" s="38"/>
      <c r="B1838" s="38"/>
      <c r="C1838" s="38"/>
      <c r="D1838" s="38"/>
      <c r="E1838" s="38"/>
      <c r="F1838" s="38"/>
      <c r="G1838" s="38"/>
      <c r="H1838" s="38"/>
      <c r="I1838" s="38"/>
      <c r="J1838" s="38"/>
      <c r="K1838" s="38"/>
    </row>
    <row r="1839">
      <c r="A1839" s="38"/>
      <c r="B1839" s="38"/>
      <c r="C1839" s="38"/>
      <c r="D1839" s="38"/>
      <c r="E1839" s="38"/>
      <c r="F1839" s="38"/>
      <c r="G1839" s="38"/>
      <c r="H1839" s="38"/>
      <c r="I1839" s="38"/>
      <c r="J1839" s="38"/>
      <c r="K1839" s="38"/>
    </row>
    <row r="1840">
      <c r="A1840" s="38"/>
      <c r="B1840" s="38"/>
      <c r="C1840" s="38"/>
      <c r="D1840" s="38"/>
      <c r="E1840" s="38"/>
      <c r="F1840" s="38"/>
      <c r="G1840" s="38"/>
      <c r="H1840" s="38"/>
      <c r="I1840" s="38"/>
      <c r="J1840" s="38"/>
      <c r="K1840" s="38"/>
    </row>
    <row r="1841">
      <c r="A1841" s="38"/>
      <c r="B1841" s="38"/>
      <c r="C1841" s="38"/>
      <c r="D1841" s="38"/>
      <c r="E1841" s="38"/>
      <c r="F1841" s="38"/>
      <c r="G1841" s="38"/>
      <c r="H1841" s="38"/>
      <c r="I1841" s="38"/>
      <c r="J1841" s="38"/>
      <c r="K1841" s="38"/>
    </row>
    <row r="1842">
      <c r="A1842" s="38"/>
      <c r="B1842" s="38"/>
      <c r="C1842" s="38"/>
      <c r="D1842" s="38"/>
      <c r="E1842" s="38"/>
      <c r="F1842" s="38"/>
      <c r="G1842" s="38"/>
      <c r="H1842" s="38"/>
      <c r="I1842" s="38"/>
      <c r="J1842" s="38"/>
      <c r="K1842" s="38"/>
    </row>
    <row r="1843">
      <c r="A1843" s="38"/>
      <c r="B1843" s="38"/>
      <c r="C1843" s="38"/>
      <c r="D1843" s="38"/>
      <c r="E1843" s="38"/>
      <c r="F1843" s="38"/>
      <c r="G1843" s="38"/>
      <c r="H1843" s="38"/>
      <c r="I1843" s="38"/>
      <c r="J1843" s="38"/>
      <c r="K1843" s="38"/>
    </row>
    <row r="1844">
      <c r="A1844" s="38"/>
      <c r="B1844" s="38"/>
      <c r="C1844" s="38"/>
      <c r="D1844" s="38"/>
      <c r="E1844" s="38"/>
      <c r="F1844" s="38"/>
      <c r="G1844" s="38"/>
      <c r="H1844" s="38"/>
      <c r="I1844" s="38"/>
      <c r="J1844" s="38"/>
      <c r="K1844" s="38"/>
    </row>
    <row r="1845">
      <c r="A1845" s="38"/>
      <c r="B1845" s="38"/>
      <c r="C1845" s="38"/>
      <c r="D1845" s="38"/>
      <c r="E1845" s="38"/>
      <c r="F1845" s="38"/>
      <c r="G1845" s="38"/>
      <c r="H1845" s="38"/>
      <c r="I1845" s="38"/>
      <c r="J1845" s="38"/>
      <c r="K1845" s="38"/>
    </row>
    <row r="1846">
      <c r="A1846" s="38"/>
      <c r="B1846" s="38"/>
      <c r="C1846" s="38"/>
      <c r="D1846" s="38"/>
      <c r="E1846" s="38"/>
      <c r="F1846" s="38"/>
      <c r="G1846" s="38"/>
      <c r="H1846" s="38"/>
      <c r="I1846" s="38"/>
      <c r="J1846" s="38"/>
      <c r="K1846" s="38"/>
    </row>
    <row r="1847">
      <c r="A1847" s="38"/>
      <c r="B1847" s="38"/>
      <c r="C1847" s="38"/>
      <c r="D1847" s="38"/>
      <c r="E1847" s="38"/>
      <c r="F1847" s="38"/>
      <c r="G1847" s="38"/>
      <c r="H1847" s="38"/>
      <c r="I1847" s="38"/>
      <c r="J1847" s="38"/>
      <c r="K1847" s="38"/>
    </row>
    <row r="1848">
      <c r="A1848" s="38"/>
      <c r="B1848" s="38"/>
      <c r="C1848" s="38"/>
      <c r="D1848" s="38"/>
      <c r="E1848" s="38"/>
      <c r="F1848" s="38"/>
      <c r="G1848" s="38"/>
      <c r="H1848" s="38"/>
      <c r="I1848" s="38"/>
      <c r="J1848" s="38"/>
      <c r="K1848" s="38"/>
    </row>
    <row r="1849">
      <c r="A1849" s="38"/>
      <c r="B1849" s="38"/>
      <c r="C1849" s="38"/>
      <c r="D1849" s="38"/>
      <c r="E1849" s="38"/>
      <c r="F1849" s="38"/>
      <c r="G1849" s="38"/>
      <c r="H1849" s="38"/>
      <c r="I1849" s="38"/>
      <c r="J1849" s="38"/>
      <c r="K1849" s="38"/>
    </row>
    <row r="1850">
      <c r="A1850" s="38"/>
      <c r="B1850" s="38"/>
      <c r="C1850" s="38"/>
      <c r="D1850" s="38"/>
      <c r="E1850" s="38"/>
      <c r="F1850" s="38"/>
      <c r="G1850" s="38"/>
      <c r="H1850" s="38"/>
      <c r="I1850" s="38"/>
      <c r="J1850" s="38"/>
      <c r="K1850" s="38"/>
    </row>
    <row r="1851">
      <c r="A1851" s="38"/>
      <c r="B1851" s="38"/>
      <c r="C1851" s="38"/>
      <c r="D1851" s="38"/>
      <c r="E1851" s="38"/>
      <c r="F1851" s="38"/>
      <c r="G1851" s="38"/>
      <c r="H1851" s="38"/>
      <c r="I1851" s="38"/>
      <c r="J1851" s="38"/>
      <c r="K1851" s="38"/>
    </row>
    <row r="1852">
      <c r="A1852" s="38"/>
      <c r="B1852" s="38"/>
      <c r="C1852" s="38"/>
      <c r="D1852" s="38"/>
      <c r="E1852" s="38"/>
      <c r="F1852" s="38"/>
      <c r="G1852" s="38"/>
      <c r="H1852" s="38"/>
      <c r="I1852" s="38"/>
      <c r="J1852" s="38"/>
      <c r="K1852" s="38"/>
    </row>
    <row r="1853">
      <c r="A1853" s="38"/>
      <c r="B1853" s="38"/>
      <c r="C1853" s="38"/>
      <c r="D1853" s="38"/>
      <c r="E1853" s="38"/>
      <c r="F1853" s="38"/>
      <c r="G1853" s="38"/>
      <c r="H1853" s="38"/>
      <c r="I1853" s="38"/>
      <c r="J1853" s="38"/>
      <c r="K1853" s="38"/>
    </row>
    <row r="1854">
      <c r="A1854" s="38"/>
      <c r="B1854" s="38"/>
      <c r="C1854" s="38"/>
      <c r="D1854" s="38"/>
      <c r="E1854" s="38"/>
      <c r="F1854" s="38"/>
      <c r="G1854" s="38"/>
      <c r="H1854" s="38"/>
      <c r="I1854" s="38"/>
      <c r="J1854" s="38"/>
      <c r="K1854" s="38"/>
    </row>
    <row r="1855">
      <c r="A1855" s="38"/>
      <c r="B1855" s="38"/>
      <c r="C1855" s="38"/>
      <c r="D1855" s="38"/>
      <c r="E1855" s="38"/>
      <c r="F1855" s="38"/>
      <c r="G1855" s="38"/>
      <c r="H1855" s="38"/>
      <c r="I1855" s="38"/>
      <c r="J1855" s="38"/>
      <c r="K1855" s="38"/>
    </row>
    <row r="1856">
      <c r="A1856" s="38"/>
      <c r="B1856" s="38"/>
      <c r="C1856" s="38"/>
      <c r="D1856" s="38"/>
      <c r="E1856" s="38"/>
      <c r="F1856" s="38"/>
      <c r="G1856" s="38"/>
      <c r="H1856" s="38"/>
      <c r="I1856" s="38"/>
      <c r="J1856" s="38"/>
      <c r="K1856" s="38"/>
    </row>
    <row r="1857">
      <c r="A1857" s="38"/>
      <c r="B1857" s="38"/>
      <c r="C1857" s="38"/>
      <c r="D1857" s="38"/>
      <c r="E1857" s="38"/>
      <c r="F1857" s="38"/>
      <c r="G1857" s="38"/>
      <c r="H1857" s="38"/>
      <c r="I1857" s="38"/>
      <c r="J1857" s="38"/>
      <c r="K1857" s="38"/>
    </row>
    <row r="1858">
      <c r="A1858" s="38"/>
      <c r="B1858" s="38"/>
      <c r="C1858" s="38"/>
      <c r="D1858" s="38"/>
      <c r="E1858" s="38"/>
      <c r="F1858" s="38"/>
      <c r="G1858" s="38"/>
      <c r="H1858" s="38"/>
      <c r="I1858" s="38"/>
      <c r="J1858" s="38"/>
      <c r="K1858" s="38"/>
    </row>
    <row r="1859">
      <c r="A1859" s="38"/>
      <c r="B1859" s="38"/>
      <c r="C1859" s="38"/>
      <c r="D1859" s="38"/>
      <c r="E1859" s="38"/>
      <c r="F1859" s="38"/>
      <c r="G1859" s="38"/>
      <c r="H1859" s="38"/>
      <c r="I1859" s="38"/>
      <c r="J1859" s="38"/>
      <c r="K1859" s="38"/>
    </row>
    <row r="1860">
      <c r="A1860" s="38"/>
      <c r="B1860" s="38"/>
      <c r="C1860" s="38"/>
      <c r="D1860" s="38"/>
      <c r="E1860" s="38"/>
      <c r="F1860" s="38"/>
      <c r="G1860" s="38"/>
      <c r="H1860" s="38"/>
      <c r="I1860" s="38"/>
      <c r="J1860" s="38"/>
      <c r="K1860" s="38"/>
    </row>
    <row r="1861">
      <c r="A1861" s="38"/>
      <c r="B1861" s="38"/>
      <c r="C1861" s="38"/>
      <c r="D1861" s="38"/>
      <c r="E1861" s="38"/>
      <c r="F1861" s="38"/>
      <c r="G1861" s="38"/>
      <c r="H1861" s="38"/>
      <c r="I1861" s="38"/>
      <c r="J1861" s="38"/>
      <c r="K1861" s="38"/>
    </row>
    <row r="1862">
      <c r="A1862" s="38"/>
      <c r="B1862" s="38"/>
      <c r="C1862" s="38"/>
      <c r="D1862" s="38"/>
      <c r="E1862" s="38"/>
      <c r="F1862" s="38"/>
      <c r="G1862" s="38"/>
      <c r="H1862" s="38"/>
      <c r="I1862" s="38"/>
      <c r="J1862" s="38"/>
      <c r="K1862" s="38"/>
    </row>
    <row r="1863">
      <c r="A1863" s="38"/>
      <c r="B1863" s="38"/>
      <c r="C1863" s="38"/>
      <c r="D1863" s="38"/>
      <c r="E1863" s="38"/>
      <c r="F1863" s="38"/>
      <c r="G1863" s="38"/>
      <c r="H1863" s="38"/>
      <c r="I1863" s="38"/>
      <c r="J1863" s="38"/>
      <c r="K1863" s="38"/>
    </row>
    <row r="1864">
      <c r="A1864" s="38"/>
      <c r="B1864" s="38"/>
      <c r="C1864" s="38"/>
      <c r="D1864" s="38"/>
      <c r="E1864" s="38"/>
      <c r="F1864" s="38"/>
      <c r="G1864" s="38"/>
      <c r="H1864" s="38"/>
      <c r="I1864" s="38"/>
      <c r="J1864" s="38"/>
      <c r="K1864" s="38"/>
    </row>
    <row r="1865">
      <c r="A1865" s="38"/>
      <c r="B1865" s="38"/>
      <c r="C1865" s="38"/>
      <c r="D1865" s="38"/>
      <c r="E1865" s="38"/>
      <c r="F1865" s="38"/>
      <c r="G1865" s="38"/>
      <c r="H1865" s="38"/>
      <c r="I1865" s="38"/>
      <c r="J1865" s="38"/>
      <c r="K1865" s="38"/>
    </row>
    <row r="1866">
      <c r="A1866" s="38"/>
      <c r="B1866" s="38"/>
      <c r="C1866" s="38"/>
      <c r="D1866" s="38"/>
      <c r="E1866" s="38"/>
      <c r="F1866" s="38"/>
      <c r="G1866" s="38"/>
      <c r="H1866" s="38"/>
      <c r="I1866" s="38"/>
      <c r="J1866" s="38"/>
      <c r="K1866" s="38"/>
    </row>
    <row r="1867">
      <c r="A1867" s="38"/>
      <c r="B1867" s="38"/>
      <c r="C1867" s="38"/>
      <c r="D1867" s="38"/>
      <c r="E1867" s="38"/>
      <c r="F1867" s="38"/>
      <c r="G1867" s="38"/>
      <c r="H1867" s="38"/>
      <c r="I1867" s="38"/>
      <c r="J1867" s="38"/>
      <c r="K1867" s="38"/>
    </row>
    <row r="1868">
      <c r="A1868" s="38"/>
      <c r="B1868" s="38"/>
      <c r="C1868" s="38"/>
      <c r="D1868" s="38"/>
      <c r="E1868" s="38"/>
      <c r="F1868" s="38"/>
      <c r="G1868" s="38"/>
      <c r="H1868" s="38"/>
      <c r="I1868" s="38"/>
      <c r="J1868" s="38"/>
      <c r="K1868" s="38"/>
    </row>
    <row r="1869">
      <c r="A1869" s="38"/>
      <c r="B1869" s="38"/>
      <c r="C1869" s="38"/>
      <c r="D1869" s="38"/>
      <c r="E1869" s="38"/>
      <c r="F1869" s="38"/>
      <c r="G1869" s="38"/>
      <c r="H1869" s="38"/>
      <c r="I1869" s="38"/>
      <c r="J1869" s="38"/>
      <c r="K1869" s="38"/>
    </row>
    <row r="1870">
      <c r="A1870" s="38"/>
      <c r="B1870" s="38"/>
      <c r="C1870" s="38"/>
      <c r="D1870" s="38"/>
      <c r="E1870" s="38"/>
      <c r="F1870" s="38"/>
      <c r="G1870" s="38"/>
      <c r="H1870" s="38"/>
      <c r="I1870" s="38"/>
      <c r="J1870" s="38"/>
      <c r="K1870" s="38"/>
    </row>
    <row r="1871">
      <c r="A1871" s="38"/>
      <c r="B1871" s="38"/>
      <c r="C1871" s="38"/>
      <c r="D1871" s="38"/>
      <c r="E1871" s="38"/>
      <c r="F1871" s="38"/>
      <c r="G1871" s="38"/>
      <c r="H1871" s="38"/>
      <c r="I1871" s="38"/>
      <c r="J1871" s="38"/>
      <c r="K1871" s="38"/>
    </row>
    <row r="1872">
      <c r="A1872" s="38"/>
      <c r="B1872" s="38"/>
      <c r="C1872" s="38"/>
      <c r="D1872" s="38"/>
      <c r="E1872" s="38"/>
      <c r="F1872" s="38"/>
      <c r="G1872" s="38"/>
      <c r="H1872" s="38"/>
      <c r="I1872" s="38"/>
      <c r="J1872" s="38"/>
      <c r="K1872" s="38"/>
    </row>
    <row r="1873">
      <c r="A1873" s="38"/>
      <c r="B1873" s="38"/>
      <c r="C1873" s="38"/>
      <c r="D1873" s="38"/>
      <c r="E1873" s="38"/>
      <c r="F1873" s="38"/>
      <c r="G1873" s="38"/>
      <c r="H1873" s="38"/>
      <c r="I1873" s="38"/>
      <c r="J1873" s="38"/>
      <c r="K1873" s="38"/>
    </row>
    <row r="1874">
      <c r="A1874" s="38"/>
      <c r="B1874" s="38"/>
      <c r="C1874" s="38"/>
      <c r="D1874" s="38"/>
      <c r="E1874" s="38"/>
      <c r="F1874" s="38"/>
      <c r="G1874" s="38"/>
      <c r="H1874" s="38"/>
      <c r="I1874" s="38"/>
      <c r="J1874" s="38"/>
      <c r="K1874" s="38"/>
    </row>
    <row r="1875">
      <c r="A1875" s="38"/>
      <c r="B1875" s="38"/>
      <c r="C1875" s="38"/>
      <c r="D1875" s="38"/>
      <c r="E1875" s="38"/>
      <c r="F1875" s="38"/>
      <c r="G1875" s="38"/>
      <c r="H1875" s="38"/>
      <c r="I1875" s="38"/>
      <c r="J1875" s="38"/>
      <c r="K1875" s="38"/>
    </row>
    <row r="1876">
      <c r="A1876" s="38"/>
      <c r="B1876" s="38"/>
      <c r="C1876" s="38"/>
      <c r="D1876" s="38"/>
      <c r="E1876" s="38"/>
      <c r="F1876" s="38"/>
      <c r="G1876" s="38"/>
      <c r="H1876" s="38"/>
      <c r="I1876" s="38"/>
      <c r="J1876" s="38"/>
      <c r="K1876" s="38"/>
    </row>
    <row r="1877">
      <c r="A1877" s="38"/>
      <c r="B1877" s="38"/>
      <c r="C1877" s="38"/>
      <c r="D1877" s="38"/>
      <c r="E1877" s="38"/>
      <c r="F1877" s="38"/>
      <c r="G1877" s="38"/>
      <c r="H1877" s="38"/>
      <c r="I1877" s="38"/>
      <c r="J1877" s="38"/>
      <c r="K1877" s="38"/>
    </row>
    <row r="1878">
      <c r="A1878" s="38"/>
      <c r="B1878" s="38"/>
      <c r="C1878" s="38"/>
      <c r="D1878" s="38"/>
      <c r="E1878" s="38"/>
      <c r="F1878" s="38"/>
      <c r="G1878" s="38"/>
      <c r="H1878" s="38"/>
      <c r="I1878" s="38"/>
      <c r="J1878" s="38"/>
      <c r="K1878" s="38"/>
    </row>
    <row r="1879">
      <c r="A1879" s="38"/>
      <c r="B1879" s="38"/>
      <c r="C1879" s="38"/>
      <c r="D1879" s="38"/>
      <c r="E1879" s="38"/>
      <c r="F1879" s="38"/>
      <c r="G1879" s="38"/>
      <c r="H1879" s="38"/>
      <c r="I1879" s="38"/>
      <c r="J1879" s="38"/>
      <c r="K1879" s="38"/>
    </row>
    <row r="1880">
      <c r="A1880" s="38"/>
      <c r="B1880" s="38"/>
      <c r="C1880" s="38"/>
      <c r="D1880" s="38"/>
      <c r="E1880" s="38"/>
      <c r="F1880" s="38"/>
      <c r="G1880" s="38"/>
      <c r="H1880" s="38"/>
      <c r="I1880" s="38"/>
      <c r="J1880" s="38"/>
      <c r="K1880" s="38"/>
    </row>
    <row r="1881">
      <c r="A1881" s="38"/>
      <c r="B1881" s="38"/>
      <c r="C1881" s="38"/>
      <c r="D1881" s="38"/>
      <c r="E1881" s="38"/>
      <c r="F1881" s="38"/>
      <c r="G1881" s="38"/>
      <c r="H1881" s="38"/>
      <c r="I1881" s="38"/>
      <c r="J1881" s="38"/>
      <c r="K1881" s="38"/>
    </row>
    <row r="1882">
      <c r="A1882" s="38"/>
      <c r="B1882" s="38"/>
      <c r="C1882" s="38"/>
      <c r="D1882" s="38"/>
      <c r="E1882" s="38"/>
      <c r="F1882" s="38"/>
      <c r="G1882" s="38"/>
      <c r="H1882" s="38"/>
      <c r="I1882" s="38"/>
      <c r="J1882" s="38"/>
      <c r="K1882" s="38"/>
    </row>
    <row r="1883">
      <c r="A1883" s="38"/>
      <c r="B1883" s="38"/>
      <c r="C1883" s="38"/>
      <c r="D1883" s="38"/>
      <c r="E1883" s="38"/>
      <c r="F1883" s="38"/>
      <c r="G1883" s="38"/>
      <c r="H1883" s="38"/>
      <c r="I1883" s="38"/>
      <c r="J1883" s="38"/>
      <c r="K1883" s="38"/>
    </row>
    <row r="1884">
      <c r="A1884" s="38"/>
      <c r="B1884" s="38"/>
      <c r="C1884" s="38"/>
      <c r="D1884" s="38"/>
      <c r="E1884" s="38"/>
      <c r="F1884" s="38"/>
      <c r="G1884" s="38"/>
      <c r="H1884" s="38"/>
      <c r="I1884" s="38"/>
      <c r="J1884" s="38"/>
      <c r="K1884" s="38"/>
    </row>
    <row r="1885">
      <c r="A1885" s="38"/>
      <c r="B1885" s="38"/>
      <c r="C1885" s="38"/>
      <c r="D1885" s="38"/>
      <c r="E1885" s="38"/>
      <c r="F1885" s="38"/>
      <c r="G1885" s="38"/>
      <c r="H1885" s="38"/>
      <c r="I1885" s="38"/>
      <c r="J1885" s="38"/>
      <c r="K1885" s="38"/>
    </row>
    <row r="1886">
      <c r="A1886" s="38"/>
      <c r="B1886" s="38"/>
      <c r="C1886" s="38"/>
      <c r="D1886" s="38"/>
      <c r="E1886" s="38"/>
      <c r="F1886" s="38"/>
      <c r="G1886" s="38"/>
      <c r="H1886" s="38"/>
      <c r="I1886" s="38"/>
      <c r="J1886" s="38"/>
      <c r="K1886" s="38"/>
    </row>
    <row r="1887">
      <c r="A1887" s="38"/>
      <c r="B1887" s="38"/>
      <c r="C1887" s="38"/>
      <c r="D1887" s="38"/>
      <c r="E1887" s="38"/>
      <c r="F1887" s="38"/>
      <c r="G1887" s="38"/>
      <c r="H1887" s="38"/>
      <c r="I1887" s="38"/>
      <c r="J1887" s="38"/>
      <c r="K1887" s="38"/>
    </row>
    <row r="1888">
      <c r="A1888" s="38"/>
      <c r="B1888" s="38"/>
      <c r="C1888" s="38"/>
      <c r="D1888" s="38"/>
      <c r="E1888" s="38"/>
      <c r="F1888" s="38"/>
      <c r="G1888" s="38"/>
      <c r="H1888" s="38"/>
      <c r="I1888" s="38"/>
      <c r="J1888" s="38"/>
      <c r="K1888" s="38"/>
    </row>
    <row r="1889">
      <c r="A1889" s="38"/>
      <c r="B1889" s="38"/>
      <c r="C1889" s="38"/>
      <c r="D1889" s="38"/>
      <c r="E1889" s="38"/>
      <c r="F1889" s="38"/>
      <c r="G1889" s="38"/>
      <c r="H1889" s="38"/>
      <c r="I1889" s="38"/>
      <c r="J1889" s="38"/>
      <c r="K1889" s="38"/>
    </row>
    <row r="1890">
      <c r="A1890" s="38"/>
      <c r="B1890" s="38"/>
      <c r="C1890" s="38"/>
      <c r="D1890" s="38"/>
      <c r="E1890" s="38"/>
      <c r="F1890" s="38"/>
      <c r="G1890" s="38"/>
      <c r="H1890" s="38"/>
      <c r="I1890" s="38"/>
      <c r="J1890" s="38"/>
      <c r="K1890" s="38"/>
    </row>
    <row r="1891">
      <c r="A1891" s="38"/>
      <c r="B1891" s="38"/>
      <c r="C1891" s="38"/>
      <c r="D1891" s="38"/>
      <c r="E1891" s="38"/>
      <c r="F1891" s="38"/>
      <c r="G1891" s="38"/>
      <c r="H1891" s="38"/>
      <c r="I1891" s="38"/>
      <c r="J1891" s="38"/>
      <c r="K1891" s="38"/>
    </row>
    <row r="1892">
      <c r="A1892" s="38"/>
      <c r="B1892" s="38"/>
      <c r="C1892" s="38"/>
      <c r="D1892" s="38"/>
      <c r="E1892" s="38"/>
      <c r="F1892" s="38"/>
      <c r="G1892" s="38"/>
      <c r="H1892" s="38"/>
      <c r="I1892" s="38"/>
      <c r="J1892" s="38"/>
      <c r="K1892" s="38"/>
    </row>
    <row r="1893">
      <c r="A1893" s="38"/>
      <c r="B1893" s="38"/>
      <c r="C1893" s="38"/>
      <c r="D1893" s="38"/>
      <c r="E1893" s="38"/>
      <c r="F1893" s="38"/>
      <c r="G1893" s="38"/>
      <c r="H1893" s="38"/>
      <c r="I1893" s="38"/>
      <c r="J1893" s="38"/>
      <c r="K1893" s="38"/>
    </row>
    <row r="1894">
      <c r="A1894" s="38"/>
      <c r="B1894" s="38"/>
      <c r="C1894" s="38"/>
      <c r="D1894" s="38"/>
      <c r="E1894" s="38"/>
      <c r="F1894" s="38"/>
      <c r="G1894" s="38"/>
      <c r="H1894" s="38"/>
      <c r="I1894" s="38"/>
      <c r="J1894" s="38"/>
      <c r="K1894" s="38"/>
    </row>
    <row r="1895">
      <c r="A1895" s="38"/>
      <c r="B1895" s="38"/>
      <c r="C1895" s="38"/>
      <c r="D1895" s="38"/>
      <c r="E1895" s="38"/>
      <c r="F1895" s="38"/>
      <c r="G1895" s="38"/>
      <c r="H1895" s="38"/>
      <c r="I1895" s="38"/>
      <c r="J1895" s="38"/>
      <c r="K1895" s="38"/>
    </row>
    <row r="1896">
      <c r="A1896" s="38"/>
      <c r="B1896" s="38"/>
      <c r="C1896" s="38"/>
      <c r="D1896" s="38"/>
      <c r="E1896" s="38"/>
      <c r="F1896" s="38"/>
      <c r="G1896" s="38"/>
      <c r="H1896" s="38"/>
      <c r="I1896" s="38"/>
      <c r="J1896" s="38"/>
      <c r="K1896" s="38"/>
    </row>
    <row r="1897">
      <c r="A1897" s="38"/>
      <c r="B1897" s="38"/>
      <c r="C1897" s="38"/>
      <c r="D1897" s="38"/>
      <c r="E1897" s="38"/>
      <c r="F1897" s="38"/>
      <c r="G1897" s="38"/>
      <c r="H1897" s="38"/>
      <c r="I1897" s="38"/>
      <c r="J1897" s="38"/>
      <c r="K1897" s="38"/>
    </row>
    <row r="1898">
      <c r="A1898" s="38"/>
      <c r="B1898" s="38"/>
      <c r="C1898" s="38"/>
      <c r="D1898" s="38"/>
      <c r="E1898" s="38"/>
      <c r="F1898" s="38"/>
      <c r="G1898" s="38"/>
      <c r="H1898" s="38"/>
      <c r="I1898" s="38"/>
      <c r="J1898" s="38"/>
      <c r="K1898" s="38"/>
    </row>
    <row r="1899">
      <c r="A1899" s="38"/>
      <c r="B1899" s="38"/>
      <c r="C1899" s="38"/>
      <c r="D1899" s="38"/>
      <c r="E1899" s="38"/>
      <c r="F1899" s="38"/>
      <c r="G1899" s="38"/>
      <c r="H1899" s="38"/>
      <c r="I1899" s="38"/>
      <c r="J1899" s="38"/>
      <c r="K1899" s="38"/>
    </row>
    <row r="1900">
      <c r="A1900" s="38"/>
      <c r="B1900" s="38"/>
      <c r="C1900" s="38"/>
      <c r="D1900" s="38"/>
      <c r="E1900" s="38"/>
      <c r="F1900" s="38"/>
      <c r="G1900" s="38"/>
      <c r="H1900" s="38"/>
      <c r="I1900" s="38"/>
      <c r="J1900" s="38"/>
      <c r="K1900" s="38"/>
    </row>
    <row r="1901">
      <c r="A1901" s="38"/>
      <c r="B1901" s="38"/>
      <c r="C1901" s="38"/>
      <c r="D1901" s="38"/>
      <c r="E1901" s="38"/>
      <c r="F1901" s="38"/>
      <c r="G1901" s="38"/>
      <c r="H1901" s="38"/>
      <c r="I1901" s="38"/>
      <c r="J1901" s="38"/>
      <c r="K1901" s="38"/>
    </row>
    <row r="1902">
      <c r="A1902" s="38"/>
      <c r="B1902" s="38"/>
      <c r="C1902" s="38"/>
      <c r="D1902" s="38"/>
      <c r="E1902" s="38"/>
      <c r="F1902" s="38"/>
      <c r="G1902" s="38"/>
      <c r="H1902" s="38"/>
      <c r="I1902" s="38"/>
      <c r="J1902" s="38"/>
      <c r="K1902" s="38"/>
    </row>
    <row r="1903">
      <c r="A1903" s="38"/>
      <c r="B1903" s="38"/>
      <c r="C1903" s="38"/>
      <c r="D1903" s="38"/>
      <c r="E1903" s="38"/>
      <c r="F1903" s="38"/>
      <c r="G1903" s="38"/>
      <c r="H1903" s="38"/>
      <c r="I1903" s="38"/>
      <c r="J1903" s="38"/>
      <c r="K1903" s="38"/>
    </row>
    <row r="1904">
      <c r="A1904" s="38"/>
      <c r="B1904" s="38"/>
      <c r="C1904" s="38"/>
      <c r="D1904" s="38"/>
      <c r="E1904" s="38"/>
      <c r="F1904" s="38"/>
      <c r="G1904" s="38"/>
      <c r="H1904" s="38"/>
      <c r="I1904" s="38"/>
      <c r="J1904" s="38"/>
      <c r="K1904" s="38"/>
    </row>
    <row r="1905">
      <c r="A1905" s="38"/>
      <c r="B1905" s="38"/>
      <c r="C1905" s="38"/>
      <c r="D1905" s="38"/>
      <c r="E1905" s="38"/>
      <c r="F1905" s="38"/>
      <c r="G1905" s="38"/>
      <c r="H1905" s="38"/>
      <c r="I1905" s="38"/>
      <c r="J1905" s="38"/>
      <c r="K1905" s="38"/>
    </row>
    <row r="1906">
      <c r="A1906" s="38"/>
      <c r="B1906" s="38"/>
      <c r="C1906" s="38"/>
      <c r="D1906" s="38"/>
      <c r="E1906" s="38"/>
      <c r="F1906" s="38"/>
      <c r="G1906" s="38"/>
      <c r="H1906" s="38"/>
      <c r="I1906" s="38"/>
      <c r="J1906" s="38"/>
      <c r="K1906" s="38"/>
    </row>
    <row r="1907">
      <c r="A1907" s="38"/>
      <c r="B1907" s="38"/>
      <c r="C1907" s="38"/>
      <c r="D1907" s="38"/>
      <c r="E1907" s="38"/>
      <c r="F1907" s="38"/>
      <c r="G1907" s="38"/>
      <c r="H1907" s="38"/>
      <c r="I1907" s="38"/>
      <c r="J1907" s="38"/>
      <c r="K1907" s="38"/>
    </row>
    <row r="1908">
      <c r="A1908" s="38"/>
      <c r="B1908" s="38"/>
      <c r="C1908" s="38"/>
      <c r="D1908" s="38"/>
      <c r="E1908" s="38"/>
      <c r="F1908" s="38"/>
      <c r="G1908" s="38"/>
      <c r="H1908" s="38"/>
      <c r="I1908" s="38"/>
      <c r="J1908" s="38"/>
      <c r="K1908" s="38"/>
    </row>
    <row r="1909">
      <c r="A1909" s="38"/>
      <c r="B1909" s="38"/>
      <c r="C1909" s="38"/>
      <c r="D1909" s="38"/>
      <c r="E1909" s="38"/>
      <c r="F1909" s="38"/>
      <c r="G1909" s="38"/>
      <c r="H1909" s="38"/>
      <c r="I1909" s="38"/>
      <c r="J1909" s="38"/>
      <c r="K1909" s="38"/>
    </row>
    <row r="1910">
      <c r="A1910" s="38"/>
      <c r="B1910" s="38"/>
      <c r="C1910" s="38"/>
      <c r="D1910" s="38"/>
      <c r="E1910" s="38"/>
      <c r="F1910" s="38"/>
      <c r="G1910" s="38"/>
      <c r="H1910" s="38"/>
      <c r="I1910" s="38"/>
      <c r="J1910" s="38"/>
      <c r="K1910" s="38"/>
    </row>
    <row r="1911">
      <c r="A1911" s="38"/>
      <c r="B1911" s="38"/>
      <c r="C1911" s="38"/>
      <c r="D1911" s="38"/>
      <c r="E1911" s="38"/>
      <c r="F1911" s="38"/>
      <c r="G1911" s="38"/>
      <c r="H1911" s="38"/>
      <c r="I1911" s="38"/>
      <c r="J1911" s="38"/>
      <c r="K1911" s="38"/>
    </row>
    <row r="1912">
      <c r="A1912" s="38"/>
      <c r="B1912" s="38"/>
      <c r="C1912" s="38"/>
      <c r="D1912" s="38"/>
      <c r="E1912" s="38"/>
      <c r="F1912" s="38"/>
      <c r="G1912" s="38"/>
      <c r="H1912" s="38"/>
      <c r="I1912" s="38"/>
      <c r="J1912" s="38"/>
      <c r="K1912" s="38"/>
    </row>
    <row r="1913">
      <c r="A1913" s="38"/>
      <c r="B1913" s="38"/>
      <c r="C1913" s="38"/>
      <c r="D1913" s="38"/>
      <c r="E1913" s="38"/>
      <c r="F1913" s="38"/>
      <c r="G1913" s="38"/>
      <c r="H1913" s="38"/>
      <c r="I1913" s="38"/>
      <c r="J1913" s="38"/>
      <c r="K1913" s="38"/>
    </row>
    <row r="1914">
      <c r="A1914" s="38"/>
      <c r="B1914" s="38"/>
      <c r="C1914" s="38"/>
      <c r="D1914" s="38"/>
      <c r="E1914" s="38"/>
      <c r="F1914" s="38"/>
      <c r="G1914" s="38"/>
      <c r="H1914" s="38"/>
      <c r="I1914" s="38"/>
      <c r="J1914" s="38"/>
      <c r="K1914" s="38"/>
    </row>
    <row r="1915">
      <c r="A1915" s="38"/>
      <c r="B1915" s="38"/>
      <c r="C1915" s="38"/>
      <c r="D1915" s="38"/>
      <c r="E1915" s="38"/>
      <c r="F1915" s="38"/>
      <c r="G1915" s="38"/>
      <c r="H1915" s="38"/>
      <c r="I1915" s="38"/>
      <c r="J1915" s="38"/>
      <c r="K1915" s="38"/>
    </row>
    <row r="1916">
      <c r="A1916" s="38"/>
      <c r="B1916" s="38"/>
      <c r="C1916" s="38"/>
      <c r="D1916" s="38"/>
      <c r="E1916" s="38"/>
      <c r="F1916" s="38"/>
      <c r="G1916" s="38"/>
      <c r="H1916" s="38"/>
      <c r="I1916" s="38"/>
      <c r="J1916" s="38"/>
      <c r="K1916" s="38"/>
    </row>
    <row r="1917">
      <c r="A1917" s="38"/>
      <c r="B1917" s="38"/>
      <c r="C1917" s="38"/>
      <c r="D1917" s="38"/>
      <c r="E1917" s="38"/>
      <c r="F1917" s="38"/>
      <c r="G1917" s="38"/>
      <c r="H1917" s="38"/>
      <c r="I1917" s="38"/>
      <c r="J1917" s="38"/>
      <c r="K1917" s="38"/>
    </row>
    <row r="1918">
      <c r="A1918" s="38"/>
      <c r="B1918" s="38"/>
      <c r="C1918" s="38"/>
      <c r="D1918" s="38"/>
      <c r="E1918" s="38"/>
      <c r="F1918" s="38"/>
      <c r="G1918" s="38"/>
      <c r="H1918" s="38"/>
      <c r="I1918" s="38"/>
      <c r="J1918" s="38"/>
      <c r="K1918" s="38"/>
    </row>
    <row r="1919">
      <c r="A1919" s="38"/>
      <c r="B1919" s="38"/>
      <c r="C1919" s="38"/>
      <c r="D1919" s="38"/>
      <c r="E1919" s="38"/>
      <c r="F1919" s="38"/>
      <c r="G1919" s="38"/>
      <c r="H1919" s="38"/>
      <c r="I1919" s="38"/>
      <c r="J1919" s="38"/>
      <c r="K1919" s="38"/>
    </row>
    <row r="1920">
      <c r="A1920" s="38"/>
      <c r="B1920" s="38"/>
      <c r="C1920" s="38"/>
      <c r="D1920" s="38"/>
      <c r="E1920" s="38"/>
      <c r="F1920" s="38"/>
      <c r="G1920" s="38"/>
      <c r="H1920" s="38"/>
      <c r="I1920" s="38"/>
      <c r="J1920" s="38"/>
      <c r="K1920" s="38"/>
    </row>
    <row r="1921">
      <c r="A1921" s="38"/>
      <c r="B1921" s="38"/>
      <c r="C1921" s="38"/>
      <c r="D1921" s="38"/>
      <c r="E1921" s="38"/>
      <c r="F1921" s="38"/>
      <c r="G1921" s="38"/>
      <c r="H1921" s="38"/>
      <c r="I1921" s="38"/>
      <c r="J1921" s="38"/>
      <c r="K1921" s="38"/>
    </row>
    <row r="1922">
      <c r="A1922" s="38"/>
      <c r="B1922" s="38"/>
      <c r="C1922" s="38"/>
      <c r="D1922" s="38"/>
      <c r="E1922" s="38"/>
      <c r="F1922" s="38"/>
      <c r="G1922" s="38"/>
      <c r="H1922" s="38"/>
      <c r="I1922" s="38"/>
      <c r="J1922" s="38"/>
      <c r="K1922" s="38"/>
    </row>
    <row r="1923">
      <c r="A1923" s="38"/>
      <c r="B1923" s="38"/>
      <c r="C1923" s="38"/>
      <c r="D1923" s="38"/>
      <c r="E1923" s="38"/>
      <c r="F1923" s="38"/>
      <c r="G1923" s="38"/>
      <c r="H1923" s="38"/>
      <c r="I1923" s="38"/>
      <c r="J1923" s="38"/>
      <c r="K1923" s="38"/>
    </row>
    <row r="1924">
      <c r="A1924" s="38"/>
      <c r="B1924" s="38"/>
      <c r="C1924" s="38"/>
      <c r="D1924" s="38"/>
      <c r="E1924" s="38"/>
      <c r="F1924" s="38"/>
      <c r="G1924" s="38"/>
      <c r="H1924" s="38"/>
      <c r="I1924" s="38"/>
      <c r="J1924" s="38"/>
      <c r="K1924" s="38"/>
    </row>
    <row r="1925">
      <c r="A1925" s="38"/>
      <c r="B1925" s="38"/>
      <c r="C1925" s="38"/>
      <c r="D1925" s="38"/>
      <c r="E1925" s="38"/>
      <c r="F1925" s="38"/>
      <c r="G1925" s="38"/>
      <c r="H1925" s="38"/>
      <c r="I1925" s="38"/>
      <c r="J1925" s="38"/>
      <c r="K1925" s="38"/>
    </row>
    <row r="1926">
      <c r="A1926" s="38"/>
      <c r="B1926" s="38"/>
      <c r="C1926" s="38"/>
      <c r="D1926" s="38"/>
      <c r="E1926" s="38"/>
      <c r="F1926" s="38"/>
      <c r="G1926" s="38"/>
      <c r="H1926" s="38"/>
      <c r="I1926" s="38"/>
      <c r="J1926" s="38"/>
      <c r="K1926" s="38"/>
    </row>
    <row r="1927">
      <c r="A1927" s="38"/>
      <c r="B1927" s="38"/>
      <c r="C1927" s="38"/>
      <c r="D1927" s="38"/>
      <c r="E1927" s="38"/>
      <c r="F1927" s="38"/>
      <c r="G1927" s="38"/>
      <c r="H1927" s="38"/>
      <c r="I1927" s="38"/>
      <c r="J1927" s="38"/>
      <c r="K1927" s="38"/>
    </row>
    <row r="1928">
      <c r="A1928" s="38"/>
      <c r="B1928" s="38"/>
      <c r="C1928" s="38"/>
      <c r="D1928" s="38"/>
      <c r="E1928" s="38"/>
      <c r="F1928" s="38"/>
      <c r="G1928" s="38"/>
      <c r="H1928" s="38"/>
      <c r="I1928" s="38"/>
      <c r="J1928" s="38"/>
      <c r="K1928" s="38"/>
    </row>
    <row r="1929">
      <c r="A1929" s="38"/>
      <c r="B1929" s="38"/>
      <c r="C1929" s="38"/>
      <c r="D1929" s="38"/>
      <c r="E1929" s="38"/>
      <c r="F1929" s="38"/>
      <c r="G1929" s="38"/>
      <c r="H1929" s="38"/>
      <c r="I1929" s="38"/>
      <c r="J1929" s="38"/>
      <c r="K1929" s="38"/>
    </row>
    <row r="1930">
      <c r="A1930" s="38"/>
      <c r="B1930" s="38"/>
      <c r="C1930" s="38"/>
      <c r="D1930" s="38"/>
      <c r="E1930" s="38"/>
      <c r="F1930" s="38"/>
      <c r="G1930" s="38"/>
      <c r="H1930" s="38"/>
      <c r="I1930" s="38"/>
      <c r="J1930" s="38"/>
      <c r="K1930" s="38"/>
    </row>
    <row r="1931">
      <c r="A1931" s="38"/>
      <c r="B1931" s="38"/>
      <c r="C1931" s="38"/>
      <c r="D1931" s="38"/>
      <c r="E1931" s="38"/>
      <c r="F1931" s="38"/>
      <c r="G1931" s="38"/>
      <c r="H1931" s="38"/>
      <c r="I1931" s="38"/>
      <c r="J1931" s="38"/>
      <c r="K1931" s="38"/>
    </row>
    <row r="1932">
      <c r="A1932" s="38"/>
      <c r="B1932" s="38"/>
      <c r="C1932" s="38"/>
      <c r="D1932" s="38"/>
      <c r="E1932" s="38"/>
      <c r="F1932" s="38"/>
      <c r="G1932" s="38"/>
      <c r="H1932" s="38"/>
      <c r="I1932" s="38"/>
      <c r="J1932" s="38"/>
      <c r="K1932" s="38"/>
    </row>
    <row r="1933">
      <c r="A1933" s="38"/>
      <c r="B1933" s="38"/>
      <c r="C1933" s="38"/>
      <c r="D1933" s="38"/>
      <c r="E1933" s="38"/>
      <c r="F1933" s="38"/>
      <c r="G1933" s="38"/>
      <c r="H1933" s="38"/>
      <c r="I1933" s="38"/>
      <c r="J1933" s="38"/>
      <c r="K1933" s="38"/>
    </row>
    <row r="1934">
      <c r="A1934" s="38"/>
      <c r="B1934" s="38"/>
      <c r="C1934" s="38"/>
      <c r="D1934" s="38"/>
      <c r="E1934" s="38"/>
      <c r="F1934" s="38"/>
      <c r="G1934" s="38"/>
      <c r="H1934" s="38"/>
      <c r="I1934" s="38"/>
      <c r="J1934" s="38"/>
      <c r="K1934" s="38"/>
    </row>
    <row r="1935">
      <c r="A1935" s="38"/>
      <c r="B1935" s="38"/>
      <c r="C1935" s="38"/>
      <c r="D1935" s="38"/>
      <c r="E1935" s="38"/>
      <c r="F1935" s="38"/>
      <c r="G1935" s="38"/>
      <c r="H1935" s="38"/>
      <c r="I1935" s="38"/>
      <c r="J1935" s="38"/>
      <c r="K1935" s="38"/>
    </row>
    <row r="1936">
      <c r="A1936" s="38"/>
      <c r="B1936" s="38"/>
      <c r="C1936" s="38"/>
      <c r="D1936" s="38"/>
      <c r="E1936" s="38"/>
      <c r="F1936" s="38"/>
      <c r="G1936" s="38"/>
      <c r="H1936" s="38"/>
      <c r="I1936" s="38"/>
      <c r="J1936" s="38"/>
      <c r="K1936" s="38"/>
    </row>
    <row r="1937">
      <c r="A1937" s="38"/>
      <c r="B1937" s="38"/>
      <c r="C1937" s="38"/>
      <c r="D1937" s="38"/>
      <c r="E1937" s="38"/>
      <c r="F1937" s="38"/>
      <c r="G1937" s="38"/>
      <c r="H1937" s="38"/>
      <c r="I1937" s="38"/>
      <c r="J1937" s="38"/>
      <c r="K1937" s="38"/>
    </row>
    <row r="1938">
      <c r="A1938" s="38"/>
      <c r="B1938" s="38"/>
      <c r="C1938" s="38"/>
      <c r="D1938" s="38"/>
      <c r="E1938" s="38"/>
      <c r="F1938" s="38"/>
      <c r="G1938" s="38"/>
      <c r="H1938" s="38"/>
      <c r="I1938" s="38"/>
      <c r="J1938" s="38"/>
      <c r="K1938" s="38"/>
    </row>
    <row r="1939">
      <c r="A1939" s="38"/>
      <c r="B1939" s="38"/>
      <c r="C1939" s="38"/>
      <c r="D1939" s="38"/>
      <c r="E1939" s="38"/>
      <c r="F1939" s="38"/>
      <c r="G1939" s="38"/>
      <c r="H1939" s="38"/>
      <c r="I1939" s="38"/>
      <c r="J1939" s="38"/>
      <c r="K1939" s="38"/>
    </row>
    <row r="1940">
      <c r="A1940" s="38"/>
      <c r="B1940" s="38"/>
      <c r="C1940" s="38"/>
      <c r="D1940" s="38"/>
      <c r="E1940" s="38"/>
      <c r="F1940" s="38"/>
      <c r="G1940" s="38"/>
      <c r="H1940" s="38"/>
      <c r="I1940" s="38"/>
      <c r="J1940" s="38"/>
      <c r="K1940" s="38"/>
    </row>
    <row r="1941">
      <c r="A1941" s="38"/>
      <c r="B1941" s="38"/>
      <c r="C1941" s="38"/>
      <c r="D1941" s="38"/>
      <c r="E1941" s="38"/>
      <c r="F1941" s="38"/>
      <c r="G1941" s="38"/>
      <c r="H1941" s="38"/>
      <c r="I1941" s="38"/>
      <c r="J1941" s="38"/>
      <c r="K1941" s="38"/>
    </row>
    <row r="1942">
      <c r="A1942" s="38"/>
      <c r="B1942" s="38"/>
      <c r="C1942" s="38"/>
      <c r="D1942" s="38"/>
      <c r="E1942" s="38"/>
      <c r="F1942" s="38"/>
      <c r="G1942" s="38"/>
      <c r="H1942" s="38"/>
      <c r="I1942" s="38"/>
      <c r="J1942" s="38"/>
      <c r="K1942" s="38"/>
    </row>
    <row r="1943">
      <c r="A1943" s="38"/>
      <c r="B1943" s="38"/>
      <c r="C1943" s="38"/>
      <c r="D1943" s="38"/>
      <c r="E1943" s="38"/>
      <c r="F1943" s="38"/>
      <c r="G1943" s="38"/>
      <c r="H1943" s="38"/>
      <c r="I1943" s="38"/>
      <c r="J1943" s="38"/>
      <c r="K1943" s="38"/>
    </row>
    <row r="1944">
      <c r="A1944" s="38"/>
      <c r="B1944" s="38"/>
      <c r="C1944" s="38"/>
      <c r="D1944" s="38"/>
      <c r="E1944" s="38"/>
      <c r="F1944" s="38"/>
      <c r="G1944" s="38"/>
      <c r="H1944" s="38"/>
      <c r="I1944" s="38"/>
      <c r="J1944" s="38"/>
      <c r="K1944" s="38"/>
    </row>
    <row r="1945">
      <c r="A1945" s="38"/>
      <c r="B1945" s="38"/>
      <c r="C1945" s="38"/>
      <c r="D1945" s="38"/>
      <c r="E1945" s="38"/>
      <c r="F1945" s="38"/>
      <c r="G1945" s="38"/>
      <c r="H1945" s="38"/>
      <c r="I1945" s="38"/>
      <c r="J1945" s="38"/>
      <c r="K1945" s="38"/>
    </row>
    <row r="1946">
      <c r="A1946" s="38"/>
      <c r="B1946" s="38"/>
      <c r="C1946" s="38"/>
      <c r="D1946" s="38"/>
      <c r="E1946" s="38"/>
      <c r="F1946" s="38"/>
      <c r="G1946" s="38"/>
      <c r="H1946" s="38"/>
      <c r="I1946" s="38"/>
      <c r="J1946" s="38"/>
      <c r="K1946" s="38"/>
    </row>
    <row r="1947">
      <c r="A1947" s="38"/>
      <c r="B1947" s="38"/>
      <c r="C1947" s="38"/>
      <c r="D1947" s="38"/>
      <c r="E1947" s="38"/>
      <c r="F1947" s="38"/>
      <c r="G1947" s="38"/>
      <c r="H1947" s="38"/>
      <c r="I1947" s="38"/>
      <c r="J1947" s="38"/>
      <c r="K1947" s="38"/>
    </row>
    <row r="1948">
      <c r="A1948" s="38"/>
      <c r="B1948" s="38"/>
      <c r="C1948" s="38"/>
      <c r="D1948" s="38"/>
      <c r="E1948" s="38"/>
      <c r="F1948" s="38"/>
      <c r="G1948" s="38"/>
      <c r="H1948" s="38"/>
      <c r="I1948" s="38"/>
      <c r="J1948" s="38"/>
      <c r="K1948" s="38"/>
    </row>
    <row r="1949">
      <c r="A1949" s="38"/>
      <c r="B1949" s="38"/>
      <c r="C1949" s="38"/>
      <c r="D1949" s="38"/>
      <c r="E1949" s="38"/>
      <c r="F1949" s="38"/>
      <c r="G1949" s="38"/>
      <c r="H1949" s="38"/>
      <c r="I1949" s="38"/>
      <c r="J1949" s="38"/>
      <c r="K1949" s="38"/>
    </row>
    <row r="1950">
      <c r="A1950" s="38"/>
      <c r="B1950" s="38"/>
      <c r="C1950" s="38"/>
      <c r="D1950" s="38"/>
      <c r="E1950" s="38"/>
      <c r="F1950" s="38"/>
      <c r="G1950" s="38"/>
      <c r="H1950" s="38"/>
      <c r="I1950" s="38"/>
      <c r="J1950" s="38"/>
      <c r="K1950" s="38"/>
    </row>
    <row r="1951">
      <c r="A1951" s="38"/>
      <c r="B1951" s="38"/>
      <c r="C1951" s="38"/>
      <c r="D1951" s="38"/>
      <c r="E1951" s="38"/>
      <c r="F1951" s="38"/>
      <c r="G1951" s="38"/>
      <c r="H1951" s="38"/>
      <c r="I1951" s="38"/>
      <c r="J1951" s="38"/>
      <c r="K1951" s="38"/>
    </row>
    <row r="1952">
      <c r="A1952" s="38"/>
      <c r="B1952" s="38"/>
      <c r="C1952" s="38"/>
      <c r="D1952" s="38"/>
      <c r="E1952" s="38"/>
      <c r="F1952" s="38"/>
      <c r="G1952" s="38"/>
      <c r="H1952" s="38"/>
      <c r="I1952" s="38"/>
      <c r="J1952" s="38"/>
      <c r="K1952" s="38"/>
    </row>
    <row r="1953">
      <c r="A1953" s="38"/>
      <c r="B1953" s="38"/>
      <c r="C1953" s="38"/>
      <c r="D1953" s="38"/>
      <c r="E1953" s="38"/>
      <c r="F1953" s="38"/>
      <c r="G1953" s="38"/>
      <c r="H1953" s="38"/>
      <c r="I1953" s="38"/>
      <c r="J1953" s="38"/>
      <c r="K1953" s="38"/>
    </row>
    <row r="1954">
      <c r="A1954" s="38"/>
      <c r="B1954" s="38"/>
      <c r="C1954" s="38"/>
      <c r="D1954" s="38"/>
      <c r="E1954" s="38"/>
      <c r="F1954" s="38"/>
      <c r="G1954" s="38"/>
      <c r="H1954" s="38"/>
      <c r="I1954" s="38"/>
      <c r="J1954" s="38"/>
      <c r="K1954" s="38"/>
    </row>
    <row r="1955">
      <c r="A1955" s="38"/>
      <c r="B1955" s="38"/>
      <c r="C1955" s="38"/>
      <c r="D1955" s="38"/>
      <c r="E1955" s="38"/>
      <c r="F1955" s="38"/>
      <c r="G1955" s="38"/>
      <c r="H1955" s="38"/>
      <c r="I1955" s="38"/>
      <c r="J1955" s="38"/>
      <c r="K1955" s="38"/>
    </row>
    <row r="1956">
      <c r="A1956" s="38"/>
      <c r="B1956" s="38"/>
      <c r="C1956" s="38"/>
      <c r="D1956" s="38"/>
      <c r="E1956" s="38"/>
      <c r="F1956" s="38"/>
      <c r="G1956" s="38"/>
      <c r="H1956" s="38"/>
      <c r="I1956" s="38"/>
      <c r="J1956" s="38"/>
      <c r="K1956" s="38"/>
    </row>
    <row r="1957">
      <c r="A1957" s="38"/>
      <c r="B1957" s="38"/>
      <c r="C1957" s="38"/>
      <c r="D1957" s="38"/>
      <c r="E1957" s="38"/>
      <c r="F1957" s="38"/>
      <c r="G1957" s="38"/>
      <c r="H1957" s="38"/>
      <c r="I1957" s="38"/>
      <c r="J1957" s="38"/>
      <c r="K1957" s="38"/>
    </row>
    <row r="1958">
      <c r="A1958" s="38"/>
      <c r="B1958" s="38"/>
      <c r="C1958" s="38"/>
      <c r="D1958" s="38"/>
      <c r="E1958" s="38"/>
      <c r="F1958" s="38"/>
      <c r="G1958" s="38"/>
      <c r="H1958" s="38"/>
      <c r="I1958" s="38"/>
      <c r="J1958" s="38"/>
      <c r="K1958" s="38"/>
    </row>
    <row r="1959">
      <c r="A1959" s="38"/>
      <c r="B1959" s="38"/>
      <c r="C1959" s="38"/>
      <c r="D1959" s="38"/>
      <c r="E1959" s="38"/>
      <c r="F1959" s="38"/>
      <c r="G1959" s="38"/>
      <c r="H1959" s="38"/>
      <c r="I1959" s="38"/>
      <c r="J1959" s="38"/>
      <c r="K1959" s="38"/>
    </row>
    <row r="1960">
      <c r="A1960" s="38"/>
      <c r="B1960" s="38"/>
      <c r="C1960" s="38"/>
      <c r="D1960" s="38"/>
      <c r="E1960" s="38"/>
      <c r="F1960" s="38"/>
      <c r="G1960" s="38"/>
      <c r="H1960" s="38"/>
      <c r="I1960" s="38"/>
      <c r="J1960" s="38"/>
      <c r="K1960" s="38"/>
    </row>
    <row r="1961">
      <c r="A1961" s="38"/>
      <c r="B1961" s="38"/>
      <c r="C1961" s="38"/>
      <c r="D1961" s="38"/>
      <c r="E1961" s="38"/>
      <c r="F1961" s="38"/>
      <c r="G1961" s="38"/>
      <c r="H1961" s="38"/>
      <c r="I1961" s="38"/>
      <c r="J1961" s="38"/>
      <c r="K1961" s="38"/>
    </row>
    <row r="1962">
      <c r="A1962" s="38"/>
      <c r="B1962" s="38"/>
      <c r="C1962" s="38"/>
      <c r="D1962" s="38"/>
      <c r="E1962" s="38"/>
      <c r="F1962" s="38"/>
      <c r="G1962" s="38"/>
      <c r="H1962" s="38"/>
      <c r="I1962" s="38"/>
      <c r="J1962" s="38"/>
      <c r="K1962" s="38"/>
    </row>
    <row r="1963">
      <c r="A1963" s="38"/>
      <c r="B1963" s="38"/>
      <c r="C1963" s="38"/>
      <c r="D1963" s="38"/>
      <c r="E1963" s="38"/>
      <c r="F1963" s="38"/>
      <c r="G1963" s="38"/>
      <c r="H1963" s="38"/>
      <c r="I1963" s="38"/>
      <c r="J1963" s="38"/>
      <c r="K1963" s="38"/>
    </row>
    <row r="1964">
      <c r="A1964" s="38"/>
      <c r="B1964" s="38"/>
      <c r="C1964" s="38"/>
      <c r="D1964" s="38"/>
      <c r="E1964" s="38"/>
      <c r="F1964" s="38"/>
      <c r="G1964" s="38"/>
      <c r="H1964" s="38"/>
      <c r="I1964" s="38"/>
      <c r="J1964" s="38"/>
      <c r="K1964" s="38"/>
    </row>
    <row r="1965">
      <c r="A1965" s="38"/>
      <c r="B1965" s="38"/>
      <c r="C1965" s="38"/>
      <c r="D1965" s="38"/>
      <c r="E1965" s="38"/>
      <c r="F1965" s="38"/>
      <c r="G1965" s="38"/>
      <c r="H1965" s="38"/>
      <c r="I1965" s="38"/>
      <c r="J1965" s="38"/>
      <c r="K1965" s="38"/>
    </row>
    <row r="1966">
      <c r="A1966" s="38"/>
      <c r="B1966" s="38"/>
      <c r="C1966" s="38"/>
      <c r="D1966" s="38"/>
      <c r="E1966" s="38"/>
      <c r="F1966" s="38"/>
      <c r="G1966" s="38"/>
      <c r="H1966" s="38"/>
      <c r="I1966" s="38"/>
      <c r="J1966" s="38"/>
      <c r="K1966" s="38"/>
    </row>
    <row r="1967">
      <c r="A1967" s="38"/>
      <c r="B1967" s="38"/>
      <c r="C1967" s="38"/>
      <c r="D1967" s="38"/>
      <c r="E1967" s="38"/>
      <c r="F1967" s="38"/>
      <c r="G1967" s="38"/>
      <c r="H1967" s="38"/>
      <c r="I1967" s="38"/>
      <c r="J1967" s="38"/>
      <c r="K1967" s="38"/>
    </row>
    <row r="1968">
      <c r="A1968" s="38"/>
      <c r="B1968" s="38"/>
      <c r="C1968" s="38"/>
      <c r="D1968" s="38"/>
      <c r="E1968" s="38"/>
      <c r="F1968" s="38"/>
      <c r="G1968" s="38"/>
      <c r="H1968" s="38"/>
      <c r="I1968" s="38"/>
      <c r="J1968" s="38"/>
      <c r="K1968" s="38"/>
    </row>
    <row r="1969">
      <c r="A1969" s="38"/>
      <c r="B1969" s="38"/>
      <c r="C1969" s="38"/>
      <c r="D1969" s="38"/>
      <c r="E1969" s="38"/>
      <c r="F1969" s="38"/>
      <c r="G1969" s="38"/>
      <c r="H1969" s="38"/>
      <c r="I1969" s="38"/>
      <c r="J1969" s="38"/>
      <c r="K1969" s="38"/>
    </row>
    <row r="1970">
      <c r="A1970" s="38"/>
      <c r="B1970" s="38"/>
      <c r="C1970" s="38"/>
      <c r="D1970" s="38"/>
      <c r="E1970" s="38"/>
      <c r="F1970" s="38"/>
      <c r="G1970" s="38"/>
      <c r="H1970" s="38"/>
      <c r="I1970" s="38"/>
      <c r="J1970" s="38"/>
      <c r="K1970" s="38"/>
    </row>
    <row r="1971">
      <c r="A1971" s="38"/>
      <c r="B1971" s="38"/>
      <c r="C1971" s="38"/>
      <c r="D1971" s="38"/>
      <c r="E1971" s="38"/>
      <c r="F1971" s="38"/>
      <c r="G1971" s="38"/>
      <c r="H1971" s="38"/>
      <c r="I1971" s="38"/>
      <c r="J1971" s="38"/>
      <c r="K1971" s="38"/>
    </row>
    <row r="1972">
      <c r="A1972" s="38"/>
      <c r="B1972" s="38"/>
      <c r="C1972" s="38"/>
      <c r="D1972" s="38"/>
      <c r="E1972" s="38"/>
      <c r="F1972" s="38"/>
      <c r="G1972" s="38"/>
      <c r="H1972" s="38"/>
      <c r="I1972" s="38"/>
      <c r="J1972" s="38"/>
      <c r="K1972" s="38"/>
    </row>
    <row r="1973">
      <c r="A1973" s="38"/>
      <c r="B1973" s="38"/>
      <c r="C1973" s="38"/>
      <c r="D1973" s="38"/>
      <c r="E1973" s="38"/>
      <c r="F1973" s="38"/>
      <c r="G1973" s="38"/>
      <c r="H1973" s="38"/>
      <c r="I1973" s="38"/>
      <c r="J1973" s="38"/>
      <c r="K1973" s="38"/>
    </row>
    <row r="1974">
      <c r="A1974" s="38"/>
      <c r="B1974" s="38"/>
      <c r="C1974" s="38"/>
      <c r="D1974" s="38"/>
      <c r="E1974" s="38"/>
      <c r="F1974" s="38"/>
      <c r="G1974" s="38"/>
      <c r="H1974" s="38"/>
      <c r="I1974" s="38"/>
      <c r="J1974" s="38"/>
      <c r="K1974" s="38"/>
    </row>
    <row r="1975">
      <c r="A1975" s="38"/>
      <c r="B1975" s="38"/>
      <c r="C1975" s="38"/>
      <c r="D1975" s="38"/>
      <c r="E1975" s="38"/>
      <c r="F1975" s="38"/>
      <c r="G1975" s="38"/>
      <c r="H1975" s="38"/>
      <c r="I1975" s="38"/>
      <c r="J1975" s="38"/>
      <c r="K1975" s="38"/>
    </row>
    <row r="1976">
      <c r="A1976" s="38"/>
      <c r="B1976" s="38"/>
      <c r="C1976" s="38"/>
      <c r="D1976" s="38"/>
      <c r="E1976" s="38"/>
      <c r="F1976" s="38"/>
      <c r="G1976" s="38"/>
      <c r="H1976" s="38"/>
      <c r="I1976" s="38"/>
      <c r="J1976" s="38"/>
      <c r="K1976" s="38"/>
    </row>
    <row r="1977">
      <c r="A1977" s="38"/>
      <c r="B1977" s="38"/>
      <c r="C1977" s="38"/>
      <c r="D1977" s="38"/>
      <c r="E1977" s="38"/>
      <c r="F1977" s="38"/>
      <c r="G1977" s="38"/>
      <c r="H1977" s="38"/>
      <c r="I1977" s="38"/>
      <c r="J1977" s="38"/>
      <c r="K1977" s="38"/>
    </row>
    <row r="1978">
      <c r="A1978" s="38"/>
      <c r="B1978" s="38"/>
      <c r="C1978" s="38"/>
      <c r="D1978" s="38"/>
      <c r="E1978" s="38"/>
      <c r="F1978" s="38"/>
      <c r="G1978" s="38"/>
      <c r="H1978" s="38"/>
      <c r="I1978" s="38"/>
      <c r="J1978" s="38"/>
      <c r="K1978" s="38"/>
    </row>
    <row r="1979">
      <c r="A1979" s="38"/>
      <c r="B1979" s="38"/>
      <c r="C1979" s="38"/>
      <c r="D1979" s="38"/>
      <c r="E1979" s="38"/>
      <c r="F1979" s="38"/>
      <c r="G1979" s="38"/>
      <c r="H1979" s="38"/>
      <c r="I1979" s="38"/>
      <c r="J1979" s="38"/>
      <c r="K1979" s="38"/>
    </row>
    <row r="1980">
      <c r="A1980" s="38"/>
      <c r="B1980" s="38"/>
      <c r="C1980" s="38"/>
      <c r="D1980" s="38"/>
      <c r="E1980" s="38"/>
      <c r="F1980" s="38"/>
      <c r="G1980" s="38"/>
      <c r="H1980" s="38"/>
      <c r="I1980" s="38"/>
      <c r="J1980" s="38"/>
      <c r="K1980" s="38"/>
    </row>
    <row r="1981">
      <c r="A1981" s="38"/>
      <c r="B1981" s="38"/>
      <c r="C1981" s="38"/>
      <c r="D1981" s="38"/>
      <c r="E1981" s="38"/>
      <c r="F1981" s="38"/>
      <c r="G1981" s="38"/>
      <c r="H1981" s="38"/>
      <c r="I1981" s="38"/>
      <c r="J1981" s="38"/>
      <c r="K1981" s="38"/>
    </row>
    <row r="1982">
      <c r="A1982" s="38"/>
      <c r="B1982" s="38"/>
      <c r="C1982" s="38"/>
      <c r="D1982" s="38"/>
      <c r="E1982" s="38"/>
      <c r="F1982" s="38"/>
      <c r="G1982" s="38"/>
      <c r="H1982" s="38"/>
      <c r="I1982" s="38"/>
      <c r="J1982" s="38"/>
      <c r="K1982" s="38"/>
    </row>
    <row r="1983">
      <c r="A1983" s="38"/>
      <c r="B1983" s="38"/>
      <c r="C1983" s="38"/>
      <c r="D1983" s="38"/>
      <c r="E1983" s="38"/>
      <c r="F1983" s="38"/>
      <c r="G1983" s="38"/>
      <c r="H1983" s="38"/>
      <c r="I1983" s="38"/>
      <c r="J1983" s="38"/>
      <c r="K1983" s="38"/>
    </row>
    <row r="1984">
      <c r="A1984" s="38"/>
      <c r="B1984" s="38"/>
      <c r="C1984" s="38"/>
      <c r="D1984" s="38"/>
      <c r="E1984" s="38"/>
      <c r="F1984" s="38"/>
      <c r="G1984" s="38"/>
      <c r="H1984" s="38"/>
      <c r="I1984" s="38"/>
      <c r="J1984" s="38"/>
      <c r="K1984" s="38"/>
    </row>
    <row r="1985">
      <c r="A1985" s="38"/>
      <c r="B1985" s="38"/>
      <c r="C1985" s="38"/>
      <c r="D1985" s="38"/>
      <c r="E1985" s="38"/>
      <c r="F1985" s="38"/>
      <c r="G1985" s="38"/>
      <c r="H1985" s="38"/>
      <c r="I1985" s="38"/>
      <c r="J1985" s="38"/>
      <c r="K1985" s="38"/>
    </row>
    <row r="1986">
      <c r="A1986" s="38"/>
      <c r="B1986" s="38"/>
      <c r="C1986" s="38"/>
      <c r="D1986" s="38"/>
      <c r="E1986" s="38"/>
      <c r="F1986" s="38"/>
      <c r="G1986" s="38"/>
      <c r="H1986" s="38"/>
      <c r="I1986" s="38"/>
      <c r="J1986" s="38"/>
      <c r="K1986" s="38"/>
    </row>
    <row r="1987">
      <c r="A1987" s="38"/>
      <c r="B1987" s="38"/>
      <c r="C1987" s="38"/>
      <c r="D1987" s="38"/>
      <c r="E1987" s="38"/>
      <c r="F1987" s="38"/>
      <c r="G1987" s="38"/>
      <c r="H1987" s="38"/>
      <c r="I1987" s="38"/>
      <c r="J1987" s="38"/>
      <c r="K1987" s="38"/>
    </row>
    <row r="1988">
      <c r="A1988" s="38"/>
      <c r="B1988" s="38"/>
      <c r="C1988" s="38"/>
      <c r="D1988" s="38"/>
      <c r="E1988" s="38"/>
      <c r="F1988" s="38"/>
      <c r="G1988" s="38"/>
      <c r="H1988" s="38"/>
      <c r="I1988" s="38"/>
      <c r="J1988" s="38"/>
      <c r="K1988" s="38"/>
    </row>
    <row r="1989">
      <c r="A1989" s="38"/>
      <c r="B1989" s="38"/>
      <c r="C1989" s="38"/>
      <c r="D1989" s="38"/>
      <c r="E1989" s="38"/>
      <c r="F1989" s="38"/>
      <c r="G1989" s="38"/>
      <c r="H1989" s="38"/>
      <c r="I1989" s="38"/>
      <c r="J1989" s="38"/>
      <c r="K1989" s="38"/>
    </row>
    <row r="1990">
      <c r="A1990" s="38"/>
      <c r="B1990" s="38"/>
      <c r="C1990" s="38"/>
      <c r="D1990" s="38"/>
      <c r="E1990" s="38"/>
      <c r="F1990" s="38"/>
      <c r="G1990" s="38"/>
      <c r="H1990" s="38"/>
      <c r="I1990" s="38"/>
      <c r="J1990" s="38"/>
      <c r="K1990" s="38"/>
    </row>
    <row r="1991">
      <c r="A1991" s="38"/>
      <c r="B1991" s="38"/>
      <c r="C1991" s="38"/>
      <c r="D1991" s="38"/>
      <c r="E1991" s="38"/>
      <c r="F1991" s="38"/>
      <c r="G1991" s="38"/>
      <c r="H1991" s="38"/>
      <c r="I1991" s="38"/>
      <c r="J1991" s="38"/>
      <c r="K1991" s="38"/>
    </row>
    <row r="1992">
      <c r="A1992" s="38"/>
      <c r="B1992" s="38"/>
      <c r="C1992" s="38"/>
      <c r="D1992" s="38"/>
      <c r="E1992" s="38"/>
      <c r="F1992" s="38"/>
      <c r="G1992" s="38"/>
      <c r="H1992" s="38"/>
      <c r="I1992" s="38"/>
      <c r="J1992" s="38"/>
      <c r="K1992" s="38"/>
    </row>
    <row r="1993">
      <c r="A1993" s="38"/>
      <c r="B1993" s="38"/>
      <c r="C1993" s="38"/>
      <c r="D1993" s="38"/>
      <c r="E1993" s="38"/>
      <c r="F1993" s="38"/>
      <c r="G1993" s="38"/>
      <c r="H1993" s="38"/>
      <c r="I1993" s="38"/>
      <c r="J1993" s="38"/>
      <c r="K1993" s="38"/>
    </row>
    <row r="1994">
      <c r="A1994" s="38"/>
      <c r="B1994" s="38"/>
      <c r="C1994" s="38"/>
      <c r="D1994" s="38"/>
      <c r="E1994" s="38"/>
      <c r="F1994" s="38"/>
      <c r="G1994" s="38"/>
      <c r="H1994" s="38"/>
      <c r="I1994" s="38"/>
      <c r="J1994" s="38"/>
      <c r="K1994" s="38"/>
    </row>
    <row r="1995">
      <c r="A1995" s="38"/>
      <c r="B1995" s="38"/>
      <c r="C1995" s="38"/>
      <c r="D1995" s="38"/>
      <c r="E1995" s="38"/>
      <c r="F1995" s="38"/>
      <c r="G1995" s="38"/>
      <c r="H1995" s="38"/>
      <c r="I1995" s="38"/>
      <c r="J1995" s="38"/>
      <c r="K1995" s="38"/>
    </row>
    <row r="1996">
      <c r="A1996" s="38"/>
      <c r="B1996" s="38"/>
      <c r="C1996" s="38"/>
      <c r="D1996" s="38"/>
      <c r="E1996" s="38"/>
      <c r="F1996" s="38"/>
      <c r="G1996" s="38"/>
      <c r="H1996" s="38"/>
      <c r="I1996" s="38"/>
      <c r="J1996" s="38"/>
      <c r="K1996" s="38"/>
    </row>
    <row r="1997">
      <c r="A1997" s="38"/>
      <c r="B1997" s="38"/>
      <c r="C1997" s="38"/>
      <c r="D1997" s="38"/>
      <c r="E1997" s="38"/>
      <c r="F1997" s="38"/>
      <c r="G1997" s="38"/>
      <c r="H1997" s="38"/>
      <c r="I1997" s="38"/>
      <c r="J1997" s="38"/>
      <c r="K1997" s="38"/>
    </row>
    <row r="1998">
      <c r="A1998" s="38"/>
      <c r="B1998" s="38"/>
      <c r="C1998" s="38"/>
      <c r="D1998" s="38"/>
      <c r="E1998" s="38"/>
      <c r="F1998" s="38"/>
      <c r="G1998" s="38"/>
      <c r="H1998" s="38"/>
      <c r="I1998" s="38"/>
      <c r="J1998" s="38"/>
      <c r="K1998" s="38"/>
    </row>
    <row r="1999">
      <c r="A1999" s="38"/>
      <c r="B1999" s="38"/>
      <c r="C1999" s="38"/>
      <c r="D1999" s="38"/>
      <c r="E1999" s="38"/>
      <c r="F1999" s="38"/>
      <c r="G1999" s="38"/>
      <c r="H1999" s="38"/>
      <c r="I1999" s="38"/>
      <c r="J1999" s="38"/>
      <c r="K1999" s="38"/>
    </row>
  </sheetData>
  <customSheetViews>
    <customSheetView guid="{CC23A891-D95F-4582-8EE6-90FE54A6989D}" filter="1" showAutoFilter="1">
      <autoFilter ref="$J$1:$J$1999"/>
    </customSheetView>
    <customSheetView guid="{1A0EF219-A6AE-4F07-8056-7B247C03A825}" filter="1" showAutoFilter="1">
      <autoFilter ref="$J$1:$J$1999"/>
    </customSheetView>
    <customSheetView guid="{A8C68EB6-DAE4-4041-A6FD-1114D53CF2C0}" filter="1" showAutoFilter="1">
      <autoFilter ref="$J$1:$J$1999"/>
    </customSheetView>
    <customSheetView guid="{3F517011-DA5E-46BD-A2D4-296A5DF083B2}" filter="1" showAutoFilter="1">
      <autoFilter ref="$J$1:$J$999">
        <filterColumn colId="0">
          <filters>
            <filter val="shane"/>
            <filter val="Victoria"/>
            <filter val="Aylar"/>
            <filter val="aylar"/>
            <filter val="fahad"/>
          </filters>
        </filterColumn>
      </autoFilter>
    </customSheetView>
    <customSheetView guid="{D922055A-293D-4CC4-9B40-992455D3C7E4}" filter="1" showAutoFilter="1">
      <autoFilter ref="$A$1:$AG$88">
        <filterColumn colId="3">
          <customFilters>
            <customFilter val="*055*"/>
          </customFilters>
        </filterColumn>
      </autoFilter>
    </customSheetView>
    <customSheetView guid="{44FC87AE-5319-4287-B929-2AD1A2A4249D}" filter="1" showAutoFilter="1">
      <autoFilter ref="$F$1:$F$1999">
        <filterColumn colId="0">
          <filters>
            <filter val="PropertyFinder"/>
            <filter val="JustProperty"/>
            <filter val="Bayut"/>
            <filter val="propspace"/>
            <filter val="Bayut /Rent"/>
            <filter val="Bayut / Bayut"/>
          </filters>
        </filterColumn>
      </autoFilter>
    </customSheetView>
    <customSheetView guid="{5EF3A18D-569B-44D4-9767-C569FEAD10CA}" filter="1" showAutoFilter="1">
      <autoFilter ref="$F$1:$F$1999"/>
    </customSheetView>
    <customSheetView guid="{9D2F5B4C-BA7D-479C-B7FF-4F2FBA79609E}" filter="1" showAutoFilter="1">
      <autoFilter ref="$E$1:$E$999"/>
    </customSheetView>
    <customSheetView guid="{E5144974-1149-41D1-8936-498D1C9FCAF8}" filter="1" showAutoFilter="1">
      <autoFilter ref="$B$1:$B$1999"/>
    </customSheetView>
  </customSheetViews>
  <hyperlinks>
    <hyperlink r:id="rId1" ref="F3"/>
    <hyperlink r:id="rId2" ref="E12"/>
    <hyperlink r:id="rId3" ref="E14"/>
    <hyperlink r:id="rId4" ref="G14"/>
    <hyperlink r:id="rId5" ref="E16"/>
    <hyperlink r:id="rId6" ref="H16"/>
    <hyperlink r:id="rId7" ref="H17"/>
  </hyperlinks>
  <drawing r:id="rId8"/>
  <tableParts count="3">
    <tablePart r:id="rId12"/>
    <tablePart r:id="rId13"/>
    <tablePart r:id="rId1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cols>
    <col customWidth="1" min="2" max="2" width="27.57"/>
    <col customWidth="1" min="3" max="3" width="10.29"/>
    <col customWidth="1" min="5" max="5" width="27.57"/>
    <col customWidth="1" min="8" max="8" width="16.14"/>
    <col customWidth="1" min="9" max="9" width="10.86"/>
  </cols>
  <sheetData>
    <row r="1">
      <c r="A1" s="5" t="s">
        <v>7</v>
      </c>
      <c r="B1" s="7" t="s">
        <v>1</v>
      </c>
      <c r="C1" s="7"/>
      <c r="D1" s="7" t="s">
        <v>2</v>
      </c>
      <c r="E1" s="7" t="s">
        <v>3</v>
      </c>
      <c r="F1" s="7" t="s">
        <v>4</v>
      </c>
      <c r="G1" s="11" t="s">
        <v>5</v>
      </c>
      <c r="H1" s="18"/>
      <c r="I1" s="4" t="s">
        <v>6</v>
      </c>
      <c r="J1" s="6" t="s">
        <v>8</v>
      </c>
      <c r="K1" s="4" t="s">
        <v>9</v>
      </c>
      <c r="L1" s="8"/>
      <c r="M1" s="9"/>
      <c r="N1" s="9"/>
      <c r="O1" s="9"/>
      <c r="P1" s="9"/>
      <c r="Q1" s="9"/>
      <c r="R1" s="9"/>
      <c r="S1" s="9"/>
      <c r="T1" s="9"/>
      <c r="U1" s="9"/>
      <c r="V1" s="9"/>
      <c r="W1" s="9"/>
      <c r="X1" s="9"/>
      <c r="Y1" s="9"/>
      <c r="Z1" s="9"/>
      <c r="AA1" s="9"/>
      <c r="AB1" s="9"/>
      <c r="AC1" s="9"/>
      <c r="AD1" s="9"/>
      <c r="AE1" s="9"/>
      <c r="AF1" s="9"/>
      <c r="AG1" s="9"/>
      <c r="AH1" s="9"/>
    </row>
    <row r="2" ht="17.25" customHeight="1">
      <c r="A2" s="24">
        <v>43435.0</v>
      </c>
      <c r="B2" s="26" t="s">
        <v>20</v>
      </c>
      <c r="C2" s="27"/>
      <c r="D2" s="28" t="s">
        <v>21</v>
      </c>
      <c r="E2" s="45" t="s">
        <v>22</v>
      </c>
      <c r="F2" s="47" t="s">
        <v>50</v>
      </c>
      <c r="G2" s="26" t="s">
        <v>52</v>
      </c>
      <c r="I2" s="49" t="s">
        <v>53</v>
      </c>
      <c r="J2" s="22"/>
      <c r="K2" s="49" t="s">
        <v>54</v>
      </c>
      <c r="L2" s="22"/>
      <c r="M2" s="22"/>
      <c r="N2" s="22"/>
      <c r="O2" s="22"/>
      <c r="P2" s="22"/>
      <c r="Q2" s="22"/>
      <c r="R2" s="22"/>
      <c r="S2" s="22"/>
      <c r="T2" s="22"/>
      <c r="U2" s="22"/>
      <c r="V2" s="22"/>
      <c r="W2" s="22"/>
      <c r="X2" s="22"/>
      <c r="Y2" s="22"/>
      <c r="Z2" s="22"/>
      <c r="AA2" s="22"/>
      <c r="AB2" s="22"/>
      <c r="AC2" s="22"/>
      <c r="AD2" s="22"/>
      <c r="AE2" s="22"/>
      <c r="AF2" s="22"/>
      <c r="AG2" s="22"/>
      <c r="AH2" s="22"/>
    </row>
    <row r="3">
      <c r="A3" s="51">
        <v>43435.0</v>
      </c>
      <c r="B3" s="53" t="s">
        <v>57</v>
      </c>
      <c r="C3" s="55"/>
      <c r="D3" s="57" t="s">
        <v>61</v>
      </c>
      <c r="E3" s="53" t="s">
        <v>63</v>
      </c>
      <c r="F3" s="53" t="s">
        <v>13</v>
      </c>
      <c r="G3" s="53" t="s">
        <v>69</v>
      </c>
      <c r="I3" s="36" t="s">
        <v>72</v>
      </c>
      <c r="K3" s="36" t="s">
        <v>32</v>
      </c>
    </row>
    <row r="4">
      <c r="A4" s="24">
        <v>43435.0</v>
      </c>
      <c r="B4" s="63" t="s">
        <v>78</v>
      </c>
      <c r="C4" s="27"/>
      <c r="D4" s="63">
        <v>5.04595809E8</v>
      </c>
      <c r="E4" s="63" t="s">
        <v>90</v>
      </c>
      <c r="F4" s="63" t="s">
        <v>26</v>
      </c>
      <c r="G4" s="63" t="s">
        <v>93</v>
      </c>
      <c r="I4" s="36" t="s">
        <v>95</v>
      </c>
      <c r="K4" s="36" t="s">
        <v>97</v>
      </c>
    </row>
    <row r="5">
      <c r="A5" s="51">
        <v>43435.0</v>
      </c>
      <c r="B5" s="66" t="s">
        <v>103</v>
      </c>
      <c r="C5" s="55"/>
      <c r="D5" s="68" t="s">
        <v>111</v>
      </c>
      <c r="E5" s="66" t="s">
        <v>118</v>
      </c>
      <c r="F5" s="66" t="s">
        <v>115</v>
      </c>
      <c r="G5" s="66" t="s">
        <v>120</v>
      </c>
      <c r="I5" s="36" t="s">
        <v>72</v>
      </c>
      <c r="K5" s="36" t="s">
        <v>32</v>
      </c>
    </row>
    <row r="6">
      <c r="A6" s="24">
        <v>43435.0</v>
      </c>
      <c r="B6" s="71" t="s">
        <v>112</v>
      </c>
      <c r="C6" s="27"/>
      <c r="D6" s="72" t="s">
        <v>125</v>
      </c>
      <c r="E6" s="63" t="s">
        <v>127</v>
      </c>
      <c r="F6" s="63" t="s">
        <v>26</v>
      </c>
      <c r="G6" s="63" t="s">
        <v>128</v>
      </c>
      <c r="I6" s="36" t="s">
        <v>129</v>
      </c>
      <c r="K6" s="36" t="s">
        <v>32</v>
      </c>
    </row>
    <row r="7">
      <c r="A7" s="51">
        <v>43435.0</v>
      </c>
      <c r="B7" s="74" t="s">
        <v>132</v>
      </c>
      <c r="C7" s="55"/>
      <c r="D7" s="68" t="s">
        <v>135</v>
      </c>
      <c r="E7" s="66" t="s">
        <v>138</v>
      </c>
      <c r="F7" s="66" t="s">
        <v>139</v>
      </c>
      <c r="G7" s="66" t="s">
        <v>140</v>
      </c>
      <c r="K7" s="36" t="s">
        <v>143</v>
      </c>
    </row>
    <row r="8">
      <c r="A8" s="24">
        <v>43435.0</v>
      </c>
      <c r="B8" s="63" t="s">
        <v>145</v>
      </c>
      <c r="C8" s="27"/>
      <c r="D8" s="72" t="s">
        <v>147</v>
      </c>
      <c r="E8" s="63" t="s">
        <v>148</v>
      </c>
      <c r="F8" s="63" t="s">
        <v>26</v>
      </c>
      <c r="G8" s="63" t="s">
        <v>150</v>
      </c>
      <c r="K8" s="49" t="s">
        <v>54</v>
      </c>
    </row>
    <row r="9">
      <c r="A9" s="51">
        <v>43437.0</v>
      </c>
      <c r="B9" s="66" t="s">
        <v>152</v>
      </c>
      <c r="C9" s="55"/>
      <c r="D9" s="68" t="s">
        <v>153</v>
      </c>
      <c r="E9" s="66" t="s">
        <v>154</v>
      </c>
      <c r="F9" s="66" t="s">
        <v>115</v>
      </c>
      <c r="G9" s="66" t="s">
        <v>156</v>
      </c>
      <c r="H9" s="79"/>
      <c r="I9" s="36" t="s">
        <v>157</v>
      </c>
      <c r="K9" s="36" t="s">
        <v>158</v>
      </c>
    </row>
    <row r="10">
      <c r="A10" s="24">
        <v>43437.0</v>
      </c>
      <c r="B10" s="63" t="s">
        <v>160</v>
      </c>
      <c r="C10" s="27"/>
      <c r="D10" s="72" t="s">
        <v>162</v>
      </c>
      <c r="E10" s="63" t="s">
        <v>163</v>
      </c>
      <c r="F10" s="47" t="s">
        <v>50</v>
      </c>
      <c r="G10" s="63" t="s">
        <v>165</v>
      </c>
      <c r="H10" s="82"/>
      <c r="K10" s="49" t="s">
        <v>54</v>
      </c>
    </row>
    <row r="11">
      <c r="A11" s="51">
        <v>43437.0</v>
      </c>
      <c r="B11" s="66" t="s">
        <v>168</v>
      </c>
      <c r="C11" s="55"/>
      <c r="D11" s="68" t="s">
        <v>172</v>
      </c>
      <c r="E11" s="66" t="s">
        <v>173</v>
      </c>
      <c r="F11" s="66" t="s">
        <v>26</v>
      </c>
      <c r="G11" s="66" t="s">
        <v>165</v>
      </c>
      <c r="H11" s="79"/>
      <c r="K11" s="49" t="s">
        <v>54</v>
      </c>
    </row>
    <row r="12">
      <c r="A12" s="24">
        <v>43437.0</v>
      </c>
      <c r="B12" s="63" t="s">
        <v>175</v>
      </c>
      <c r="C12" s="27"/>
      <c r="D12" s="72" t="s">
        <v>176</v>
      </c>
      <c r="E12" s="63" t="s">
        <v>177</v>
      </c>
      <c r="F12" s="63" t="s">
        <v>26</v>
      </c>
      <c r="G12" s="63" t="s">
        <v>179</v>
      </c>
      <c r="H12" s="82"/>
      <c r="K12" s="36" t="s">
        <v>180</v>
      </c>
    </row>
    <row r="13">
      <c r="A13" s="51">
        <v>43438.0</v>
      </c>
      <c r="B13" s="66" t="s">
        <v>181</v>
      </c>
      <c r="C13" s="55"/>
      <c r="D13" s="68" t="s">
        <v>182</v>
      </c>
      <c r="E13" s="66" t="s">
        <v>183</v>
      </c>
      <c r="F13" s="66" t="s">
        <v>26</v>
      </c>
      <c r="G13" s="66" t="s">
        <v>185</v>
      </c>
      <c r="H13" s="79"/>
      <c r="I13" s="36" t="s">
        <v>53</v>
      </c>
      <c r="K13" s="49" t="s">
        <v>54</v>
      </c>
    </row>
    <row r="14">
      <c r="A14" s="24">
        <v>43439.0</v>
      </c>
      <c r="B14" s="63" t="s">
        <v>188</v>
      </c>
      <c r="C14" s="27"/>
      <c r="D14" s="72" t="s">
        <v>190</v>
      </c>
      <c r="E14" s="63" t="s">
        <v>191</v>
      </c>
      <c r="F14" s="63" t="s">
        <v>26</v>
      </c>
      <c r="G14" s="63" t="s">
        <v>193</v>
      </c>
      <c r="H14" s="82"/>
      <c r="I14" s="36" t="s">
        <v>194</v>
      </c>
      <c r="K14" s="36" t="s">
        <v>97</v>
      </c>
    </row>
    <row r="15">
      <c r="A15" s="51">
        <v>43439.0</v>
      </c>
      <c r="B15" s="66" t="s">
        <v>197</v>
      </c>
      <c r="C15" s="55"/>
      <c r="D15" s="66" t="s">
        <v>201</v>
      </c>
      <c r="E15" s="66" t="s">
        <v>202</v>
      </c>
      <c r="F15" s="66" t="s">
        <v>115</v>
      </c>
      <c r="G15" s="66" t="s">
        <v>205</v>
      </c>
      <c r="H15" s="79"/>
      <c r="I15" s="36" t="s">
        <v>53</v>
      </c>
      <c r="K15" s="49" t="s">
        <v>54</v>
      </c>
    </row>
    <row r="16">
      <c r="A16" s="24">
        <v>43439.0</v>
      </c>
      <c r="B16" s="63" t="s">
        <v>209</v>
      </c>
      <c r="C16" s="27"/>
      <c r="D16" s="72" t="s">
        <v>211</v>
      </c>
      <c r="E16" s="63" t="s">
        <v>212</v>
      </c>
      <c r="F16" s="47" t="s">
        <v>13</v>
      </c>
      <c r="G16" s="63" t="s">
        <v>214</v>
      </c>
      <c r="H16" s="82"/>
      <c r="I16" s="36" t="s">
        <v>53</v>
      </c>
      <c r="K16" s="49" t="s">
        <v>54</v>
      </c>
    </row>
    <row r="17">
      <c r="A17" s="51">
        <v>43440.0</v>
      </c>
      <c r="B17" s="66" t="s">
        <v>216</v>
      </c>
      <c r="C17" s="55"/>
      <c r="D17" s="66" t="s">
        <v>217</v>
      </c>
      <c r="E17" s="66" t="s">
        <v>219</v>
      </c>
      <c r="F17" s="66" t="s">
        <v>26</v>
      </c>
      <c r="G17" s="66" t="s">
        <v>220</v>
      </c>
      <c r="H17" s="79"/>
      <c r="I17" s="36" t="s">
        <v>221</v>
      </c>
      <c r="K17" s="36" t="s">
        <v>97</v>
      </c>
    </row>
    <row r="18">
      <c r="A18" s="24">
        <v>43440.0</v>
      </c>
      <c r="B18" s="63" t="s">
        <v>223</v>
      </c>
      <c r="C18" s="27"/>
      <c r="D18" s="72" t="s">
        <v>224</v>
      </c>
      <c r="E18" s="63" t="s">
        <v>226</v>
      </c>
      <c r="F18" s="63" t="s">
        <v>26</v>
      </c>
      <c r="G18" s="63" t="s">
        <v>228</v>
      </c>
      <c r="H18" s="82"/>
      <c r="K18" s="36" t="s">
        <v>97</v>
      </c>
    </row>
    <row r="19">
      <c r="A19" s="51">
        <v>43440.0</v>
      </c>
      <c r="B19" s="86" t="s">
        <v>230</v>
      </c>
      <c r="C19" s="55"/>
      <c r="D19" s="57" t="s">
        <v>234</v>
      </c>
      <c r="E19" s="86" t="s">
        <v>235</v>
      </c>
      <c r="F19" s="53" t="s">
        <v>13</v>
      </c>
      <c r="G19" s="66" t="s">
        <v>237</v>
      </c>
      <c r="H19" s="79"/>
      <c r="I19" s="36" t="s">
        <v>215</v>
      </c>
      <c r="J19" s="87" t="s">
        <v>239</v>
      </c>
      <c r="K19" s="36" t="s">
        <v>97</v>
      </c>
    </row>
    <row r="20">
      <c r="A20" s="24">
        <v>43440.0</v>
      </c>
      <c r="B20" s="26" t="s">
        <v>112</v>
      </c>
      <c r="C20" s="27"/>
      <c r="D20" s="72" t="s">
        <v>242</v>
      </c>
      <c r="E20" s="63" t="s">
        <v>243</v>
      </c>
      <c r="F20" s="47" t="s">
        <v>13</v>
      </c>
      <c r="G20" s="63" t="s">
        <v>244</v>
      </c>
      <c r="H20" s="82"/>
      <c r="K20" s="36" t="s">
        <v>231</v>
      </c>
    </row>
    <row r="21">
      <c r="A21" s="51">
        <v>43440.0</v>
      </c>
      <c r="B21" s="66" t="s">
        <v>248</v>
      </c>
      <c r="C21" s="55"/>
      <c r="D21" s="68" t="s">
        <v>250</v>
      </c>
      <c r="E21" s="89"/>
      <c r="F21" s="66" t="s">
        <v>252</v>
      </c>
      <c r="G21" s="66" t="s">
        <v>254</v>
      </c>
      <c r="H21" s="79"/>
      <c r="I21" s="87" t="s">
        <v>257</v>
      </c>
      <c r="K21" s="36" t="s">
        <v>231</v>
      </c>
    </row>
    <row r="22">
      <c r="A22" s="24">
        <v>43442.0</v>
      </c>
      <c r="B22" s="63" t="s">
        <v>263</v>
      </c>
      <c r="C22" s="27"/>
      <c r="D22" s="72" t="s">
        <v>266</v>
      </c>
      <c r="E22" s="63" t="s">
        <v>267</v>
      </c>
      <c r="F22" s="63" t="s">
        <v>26</v>
      </c>
      <c r="G22" s="63" t="s">
        <v>269</v>
      </c>
      <c r="H22" s="82"/>
      <c r="K22" s="49" t="s">
        <v>54</v>
      </c>
    </row>
    <row r="23">
      <c r="A23" s="51">
        <v>43442.0</v>
      </c>
      <c r="B23" s="66" t="s">
        <v>272</v>
      </c>
      <c r="C23" s="55"/>
      <c r="D23" s="68" t="s">
        <v>273</v>
      </c>
      <c r="E23" s="66" t="s">
        <v>274</v>
      </c>
      <c r="F23" s="66" t="s">
        <v>115</v>
      </c>
      <c r="G23" s="66" t="s">
        <v>276</v>
      </c>
      <c r="H23" s="79"/>
      <c r="K23" s="36" t="s">
        <v>32</v>
      </c>
    </row>
    <row r="24">
      <c r="A24" s="24">
        <v>43442.0</v>
      </c>
      <c r="B24" s="63" t="s">
        <v>20</v>
      </c>
      <c r="C24" s="27"/>
      <c r="D24" s="72" t="s">
        <v>279</v>
      </c>
      <c r="E24" s="63" t="s">
        <v>280</v>
      </c>
      <c r="F24" s="63" t="s">
        <v>50</v>
      </c>
      <c r="G24" s="63" t="s">
        <v>281</v>
      </c>
      <c r="H24" s="82"/>
      <c r="I24" s="36" t="s">
        <v>282</v>
      </c>
      <c r="J24" s="87" t="s">
        <v>189</v>
      </c>
      <c r="K24" s="36" t="s">
        <v>32</v>
      </c>
    </row>
    <row r="25">
      <c r="A25" s="51">
        <v>43442.0</v>
      </c>
      <c r="B25" s="86" t="s">
        <v>285</v>
      </c>
      <c r="C25" s="55"/>
      <c r="D25" s="68" t="s">
        <v>287</v>
      </c>
      <c r="E25" s="66" t="s">
        <v>288</v>
      </c>
      <c r="F25" s="66" t="s">
        <v>50</v>
      </c>
      <c r="G25" s="66" t="s">
        <v>290</v>
      </c>
      <c r="H25" s="79"/>
      <c r="I25" s="36" t="s">
        <v>53</v>
      </c>
      <c r="J25" s="87" t="s">
        <v>189</v>
      </c>
      <c r="K25" s="49" t="s">
        <v>54</v>
      </c>
    </row>
    <row r="26">
      <c r="A26" s="24">
        <v>43442.0</v>
      </c>
      <c r="B26" s="63" t="s">
        <v>291</v>
      </c>
      <c r="C26" s="27"/>
      <c r="D26" s="72" t="s">
        <v>292</v>
      </c>
      <c r="E26" s="63" t="s">
        <v>293</v>
      </c>
      <c r="F26" s="63" t="s">
        <v>26</v>
      </c>
      <c r="G26" s="63" t="s">
        <v>295</v>
      </c>
      <c r="H26" s="82"/>
      <c r="I26" s="36" t="s">
        <v>297</v>
      </c>
      <c r="K26" s="36" t="s">
        <v>158</v>
      </c>
    </row>
    <row r="27">
      <c r="A27" s="51">
        <v>43442.0</v>
      </c>
      <c r="B27" s="66" t="s">
        <v>291</v>
      </c>
      <c r="C27" s="55"/>
      <c r="D27" s="68" t="s">
        <v>292</v>
      </c>
      <c r="E27" s="66" t="s">
        <v>293</v>
      </c>
      <c r="F27" s="66" t="s">
        <v>26</v>
      </c>
      <c r="G27" s="66" t="s">
        <v>303</v>
      </c>
      <c r="H27" s="79"/>
      <c r="I27" s="36" t="s">
        <v>305</v>
      </c>
      <c r="K27" s="36" t="s">
        <v>158</v>
      </c>
    </row>
    <row r="28">
      <c r="A28" s="24">
        <v>43442.0</v>
      </c>
      <c r="B28" s="63" t="s">
        <v>309</v>
      </c>
      <c r="C28" s="27"/>
      <c r="D28" s="72" t="s">
        <v>313</v>
      </c>
      <c r="E28" s="63" t="s">
        <v>316</v>
      </c>
      <c r="F28" s="63" t="s">
        <v>26</v>
      </c>
      <c r="G28" s="63" t="s">
        <v>318</v>
      </c>
      <c r="H28" s="82"/>
      <c r="I28" s="36" t="s">
        <v>320</v>
      </c>
      <c r="K28" s="49" t="s">
        <v>54</v>
      </c>
    </row>
    <row r="29">
      <c r="A29" s="51">
        <v>43442.0</v>
      </c>
      <c r="B29" s="66" t="s">
        <v>324</v>
      </c>
      <c r="C29" s="55"/>
      <c r="D29" s="68" t="s">
        <v>325</v>
      </c>
      <c r="E29" s="66" t="s">
        <v>327</v>
      </c>
      <c r="F29" s="66" t="s">
        <v>328</v>
      </c>
      <c r="G29" s="66" t="s">
        <v>330</v>
      </c>
      <c r="H29" s="79"/>
      <c r="K29" s="36" t="s">
        <v>332</v>
      </c>
    </row>
    <row r="30">
      <c r="A30" s="24">
        <v>43442.0</v>
      </c>
      <c r="B30" s="63" t="s">
        <v>334</v>
      </c>
      <c r="C30" s="27"/>
      <c r="D30" s="72" t="s">
        <v>335</v>
      </c>
      <c r="E30" s="63" t="s">
        <v>336</v>
      </c>
      <c r="F30" s="63" t="s">
        <v>26</v>
      </c>
      <c r="G30" s="63" t="s">
        <v>337</v>
      </c>
      <c r="H30" s="82"/>
      <c r="I30" s="36" t="s">
        <v>46</v>
      </c>
      <c r="K30" s="36" t="s">
        <v>32</v>
      </c>
    </row>
    <row r="31">
      <c r="A31" s="51">
        <v>43442.0</v>
      </c>
      <c r="B31" s="66" t="s">
        <v>341</v>
      </c>
      <c r="C31" s="55"/>
      <c r="D31" s="68" t="s">
        <v>343</v>
      </c>
      <c r="E31" s="89"/>
      <c r="F31" s="66" t="s">
        <v>115</v>
      </c>
      <c r="G31" s="66" t="s">
        <v>348</v>
      </c>
      <c r="H31" s="79"/>
      <c r="I31" s="36" t="s">
        <v>215</v>
      </c>
      <c r="K31" s="36" t="s">
        <v>97</v>
      </c>
    </row>
    <row r="32">
      <c r="A32" s="24">
        <v>43442.0</v>
      </c>
      <c r="B32" s="63" t="s">
        <v>351</v>
      </c>
      <c r="C32" s="27"/>
      <c r="D32" s="72" t="s">
        <v>353</v>
      </c>
      <c r="E32" s="63" t="s">
        <v>355</v>
      </c>
      <c r="F32" s="63" t="s">
        <v>290</v>
      </c>
      <c r="G32" s="92"/>
      <c r="H32" s="92"/>
      <c r="K32" s="36" t="s">
        <v>362</v>
      </c>
    </row>
    <row r="33">
      <c r="A33" s="51">
        <v>43443.0</v>
      </c>
      <c r="B33" s="66" t="s">
        <v>365</v>
      </c>
      <c r="C33" s="55"/>
      <c r="D33" s="66" t="s">
        <v>368</v>
      </c>
      <c r="E33" s="66" t="s">
        <v>369</v>
      </c>
      <c r="F33" s="66" t="s">
        <v>115</v>
      </c>
      <c r="G33" s="66" t="s">
        <v>290</v>
      </c>
      <c r="H33" s="79"/>
      <c r="I33" s="36" t="s">
        <v>53</v>
      </c>
      <c r="K33" s="49" t="s">
        <v>54</v>
      </c>
    </row>
    <row r="34">
      <c r="A34" s="24">
        <v>43443.0</v>
      </c>
      <c r="B34" s="63" t="s">
        <v>377</v>
      </c>
      <c r="C34" s="27"/>
      <c r="D34" s="72" t="s">
        <v>379</v>
      </c>
      <c r="E34" s="63" t="s">
        <v>381</v>
      </c>
      <c r="F34" s="63" t="s">
        <v>26</v>
      </c>
      <c r="G34" s="63" t="s">
        <v>382</v>
      </c>
      <c r="H34" s="94" t="s">
        <v>384</v>
      </c>
      <c r="I34" s="36" t="s">
        <v>387</v>
      </c>
      <c r="K34" s="36" t="s">
        <v>373</v>
      </c>
    </row>
    <row r="35">
      <c r="A35" s="51">
        <v>43443.0</v>
      </c>
      <c r="B35" s="66" t="s">
        <v>389</v>
      </c>
      <c r="C35" s="55"/>
      <c r="D35" s="68" t="s">
        <v>390</v>
      </c>
      <c r="E35" s="66" t="s">
        <v>391</v>
      </c>
      <c r="F35" s="66" t="s">
        <v>26</v>
      </c>
      <c r="G35" s="66" t="s">
        <v>393</v>
      </c>
      <c r="H35" s="66" t="s">
        <v>394</v>
      </c>
      <c r="I35" s="36" t="s">
        <v>395</v>
      </c>
      <c r="K35" s="49" t="s">
        <v>54</v>
      </c>
    </row>
    <row r="36">
      <c r="A36" s="24">
        <v>43443.0</v>
      </c>
      <c r="B36" s="94" t="s">
        <v>397</v>
      </c>
      <c r="C36" s="27"/>
      <c r="D36" s="96" t="s">
        <v>399</v>
      </c>
      <c r="E36" s="101" t="s">
        <v>406</v>
      </c>
      <c r="F36" s="63" t="s">
        <v>26</v>
      </c>
      <c r="G36" s="26" t="s">
        <v>417</v>
      </c>
      <c r="H36" s="26" t="s">
        <v>419</v>
      </c>
      <c r="I36" s="36" t="s">
        <v>420</v>
      </c>
      <c r="K36" s="36" t="s">
        <v>97</v>
      </c>
    </row>
    <row r="37">
      <c r="A37" s="51">
        <v>43443.0</v>
      </c>
      <c r="B37" s="66" t="s">
        <v>423</v>
      </c>
      <c r="C37" s="55"/>
      <c r="D37" s="68" t="s">
        <v>425</v>
      </c>
      <c r="E37" s="89"/>
      <c r="F37" s="66" t="s">
        <v>252</v>
      </c>
      <c r="G37" s="66" t="s">
        <v>427</v>
      </c>
      <c r="H37" s="89"/>
      <c r="K37" s="36" t="s">
        <v>143</v>
      </c>
    </row>
    <row r="38">
      <c r="A38" s="24">
        <v>43443.0</v>
      </c>
      <c r="B38" s="63" t="s">
        <v>430</v>
      </c>
      <c r="C38" s="27"/>
      <c r="D38" s="72" t="s">
        <v>224</v>
      </c>
      <c r="E38" s="63" t="s">
        <v>433</v>
      </c>
      <c r="F38" s="63" t="s">
        <v>26</v>
      </c>
      <c r="G38" s="63" t="s">
        <v>434</v>
      </c>
      <c r="H38" s="92"/>
    </row>
    <row r="39">
      <c r="A39" s="51">
        <v>43443.0</v>
      </c>
      <c r="B39" s="66" t="s">
        <v>248</v>
      </c>
      <c r="C39" s="55"/>
      <c r="D39" s="68" t="s">
        <v>250</v>
      </c>
      <c r="E39" s="66" t="s">
        <v>257</v>
      </c>
      <c r="F39" s="66" t="s">
        <v>252</v>
      </c>
      <c r="G39" s="66" t="s">
        <v>254</v>
      </c>
      <c r="H39" s="89"/>
    </row>
    <row r="40">
      <c r="A40" s="24">
        <v>43443.0</v>
      </c>
      <c r="B40" s="26" t="s">
        <v>112</v>
      </c>
      <c r="C40" s="27"/>
      <c r="D40" s="72" t="s">
        <v>444</v>
      </c>
      <c r="E40" s="63" t="s">
        <v>243</v>
      </c>
      <c r="F40" s="47" t="s">
        <v>13</v>
      </c>
      <c r="G40" s="63" t="s">
        <v>445</v>
      </c>
      <c r="H40" s="63" t="s">
        <v>447</v>
      </c>
    </row>
    <row r="41">
      <c r="A41" s="51">
        <v>43443.0</v>
      </c>
      <c r="B41" s="66" t="s">
        <v>397</v>
      </c>
      <c r="C41" s="55"/>
      <c r="D41" s="68" t="s">
        <v>449</v>
      </c>
      <c r="E41" s="66" t="s">
        <v>406</v>
      </c>
      <c r="F41" s="66" t="s">
        <v>26</v>
      </c>
      <c r="G41" s="66" t="s">
        <v>455</v>
      </c>
      <c r="H41" s="89"/>
      <c r="K41" s="36" t="s">
        <v>97</v>
      </c>
    </row>
    <row r="42">
      <c r="A42" s="24">
        <v>43443.0</v>
      </c>
      <c r="B42" s="63" t="s">
        <v>423</v>
      </c>
      <c r="C42" s="27"/>
      <c r="D42" s="72" t="s">
        <v>425</v>
      </c>
      <c r="E42" s="92"/>
      <c r="F42" s="63" t="s">
        <v>252</v>
      </c>
      <c r="G42" s="63" t="s">
        <v>461</v>
      </c>
      <c r="H42" s="92"/>
    </row>
    <row r="43">
      <c r="A43" s="51">
        <v>43444.0</v>
      </c>
      <c r="B43" s="66" t="s">
        <v>462</v>
      </c>
      <c r="C43" s="55"/>
      <c r="D43" s="57" t="s">
        <v>463</v>
      </c>
      <c r="E43" s="66" t="s">
        <v>464</v>
      </c>
      <c r="F43" s="66" t="s">
        <v>115</v>
      </c>
      <c r="G43" s="66" t="s">
        <v>465</v>
      </c>
      <c r="H43" s="53" t="s">
        <v>466</v>
      </c>
      <c r="I43" s="36" t="s">
        <v>300</v>
      </c>
      <c r="K43" s="36" t="s">
        <v>32</v>
      </c>
    </row>
    <row r="44">
      <c r="A44" s="24">
        <v>43444.0</v>
      </c>
      <c r="B44" s="63" t="s">
        <v>469</v>
      </c>
      <c r="C44" s="27"/>
      <c r="D44" s="72" t="s">
        <v>471</v>
      </c>
      <c r="E44" s="63" t="s">
        <v>472</v>
      </c>
      <c r="F44" s="63" t="s">
        <v>26</v>
      </c>
      <c r="G44" s="72" t="s">
        <v>475</v>
      </c>
      <c r="H44" s="92"/>
      <c r="I44" s="36" t="s">
        <v>478</v>
      </c>
      <c r="K44" s="36" t="s">
        <v>97</v>
      </c>
    </row>
    <row r="45">
      <c r="A45" s="51">
        <v>43444.0</v>
      </c>
      <c r="B45" s="66" t="s">
        <v>480</v>
      </c>
      <c r="C45" s="55"/>
      <c r="D45" s="68" t="s">
        <v>71</v>
      </c>
      <c r="E45" s="66" t="s">
        <v>74</v>
      </c>
      <c r="F45" s="66" t="s">
        <v>26</v>
      </c>
      <c r="G45" s="66" t="s">
        <v>167</v>
      </c>
      <c r="H45" s="89"/>
      <c r="K45" s="49" t="s">
        <v>54</v>
      </c>
    </row>
    <row r="46">
      <c r="A46" s="24">
        <v>43444.0</v>
      </c>
      <c r="B46" s="63" t="s">
        <v>493</v>
      </c>
      <c r="C46" s="27"/>
      <c r="D46" s="72" t="s">
        <v>498</v>
      </c>
      <c r="E46" s="63" t="s">
        <v>499</v>
      </c>
      <c r="F46" s="63" t="s">
        <v>26</v>
      </c>
      <c r="G46" s="63" t="s">
        <v>504</v>
      </c>
      <c r="H46" s="92"/>
      <c r="I46" s="36" t="s">
        <v>507</v>
      </c>
      <c r="K46" s="49" t="s">
        <v>54</v>
      </c>
    </row>
    <row r="47">
      <c r="A47" s="51">
        <v>43445.0</v>
      </c>
      <c r="B47" s="66" t="s">
        <v>512</v>
      </c>
      <c r="C47" s="55"/>
      <c r="D47" s="68" t="s">
        <v>514</v>
      </c>
      <c r="E47" s="66" t="s">
        <v>516</v>
      </c>
      <c r="F47" s="66" t="s">
        <v>115</v>
      </c>
      <c r="G47" s="66" t="s">
        <v>371</v>
      </c>
      <c r="H47" s="89"/>
      <c r="K47" s="36" t="s">
        <v>373</v>
      </c>
    </row>
    <row r="48">
      <c r="A48" s="24">
        <v>43445.0</v>
      </c>
      <c r="B48" s="63" t="s">
        <v>20</v>
      </c>
      <c r="C48" s="27"/>
      <c r="D48" s="72" t="s">
        <v>521</v>
      </c>
      <c r="E48" s="63" t="s">
        <v>522</v>
      </c>
      <c r="F48" s="63" t="s">
        <v>50</v>
      </c>
      <c r="G48" s="63" t="s">
        <v>523</v>
      </c>
      <c r="H48" s="92"/>
      <c r="I48" s="117" t="s">
        <v>524</v>
      </c>
      <c r="K48" s="36" t="s">
        <v>32</v>
      </c>
    </row>
    <row r="49">
      <c r="A49" s="51">
        <v>43445.0</v>
      </c>
      <c r="B49" s="66" t="s">
        <v>529</v>
      </c>
      <c r="C49" s="55"/>
      <c r="D49" s="68" t="s">
        <v>530</v>
      </c>
      <c r="E49" s="66" t="s">
        <v>531</v>
      </c>
      <c r="F49" s="66" t="s">
        <v>532</v>
      </c>
      <c r="G49" s="66" t="s">
        <v>533</v>
      </c>
      <c r="H49" s="89"/>
      <c r="I49" s="36" t="s">
        <v>535</v>
      </c>
      <c r="K49" s="36" t="s">
        <v>32</v>
      </c>
    </row>
    <row r="50">
      <c r="A50" s="24">
        <v>43445.0</v>
      </c>
      <c r="B50" s="119" t="s">
        <v>538</v>
      </c>
      <c r="C50" s="27"/>
      <c r="D50" s="72" t="s">
        <v>539</v>
      </c>
      <c r="E50" s="63" t="s">
        <v>541</v>
      </c>
      <c r="F50" s="63" t="s">
        <v>26</v>
      </c>
      <c r="G50" s="63" t="s">
        <v>542</v>
      </c>
      <c r="H50" s="92"/>
      <c r="I50" s="36" t="s">
        <v>420</v>
      </c>
      <c r="J50" s="87" t="s">
        <v>546</v>
      </c>
      <c r="K50" s="49" t="s">
        <v>54</v>
      </c>
    </row>
    <row r="51">
      <c r="A51" s="51">
        <v>43445.0</v>
      </c>
      <c r="B51" s="86" t="s">
        <v>548</v>
      </c>
      <c r="C51" s="55"/>
      <c r="D51" s="57" t="s">
        <v>550</v>
      </c>
      <c r="E51" s="89"/>
      <c r="F51" s="66" t="s">
        <v>26</v>
      </c>
      <c r="G51" s="66" t="s">
        <v>554</v>
      </c>
      <c r="H51" s="89"/>
      <c r="K51" s="36" t="s">
        <v>32</v>
      </c>
    </row>
    <row r="52">
      <c r="A52" s="24">
        <v>43445.0</v>
      </c>
      <c r="B52" s="63" t="s">
        <v>462</v>
      </c>
      <c r="C52" s="27"/>
      <c r="D52" s="72" t="s">
        <v>463</v>
      </c>
      <c r="E52" s="63" t="s">
        <v>464</v>
      </c>
      <c r="F52" s="63" t="s">
        <v>115</v>
      </c>
      <c r="G52" s="63" t="s">
        <v>561</v>
      </c>
      <c r="H52" s="92"/>
      <c r="K52" s="36" t="s">
        <v>32</v>
      </c>
    </row>
    <row r="53">
      <c r="A53" s="51">
        <v>43445.0</v>
      </c>
      <c r="B53" s="66" t="s">
        <v>197</v>
      </c>
      <c r="C53" s="55"/>
      <c r="D53" s="66" t="s">
        <v>201</v>
      </c>
      <c r="E53" s="66" t="s">
        <v>202</v>
      </c>
      <c r="F53" s="66" t="s">
        <v>115</v>
      </c>
      <c r="G53" s="66" t="s">
        <v>572</v>
      </c>
      <c r="H53" s="89"/>
      <c r="I53" s="36" t="s">
        <v>53</v>
      </c>
      <c r="K53" s="49" t="s">
        <v>54</v>
      </c>
    </row>
    <row r="54">
      <c r="A54" s="24">
        <v>43445.0</v>
      </c>
      <c r="B54" s="26" t="s">
        <v>580</v>
      </c>
      <c r="C54" s="27"/>
      <c r="D54" s="121" t="s">
        <v>584</v>
      </c>
      <c r="E54" s="26" t="s">
        <v>588</v>
      </c>
      <c r="F54" s="63" t="s">
        <v>115</v>
      </c>
      <c r="G54" s="26" t="s">
        <v>589</v>
      </c>
      <c r="H54" s="92"/>
      <c r="I54" s="36" t="s">
        <v>395</v>
      </c>
      <c r="K54" s="49" t="s">
        <v>54</v>
      </c>
    </row>
    <row r="55">
      <c r="A55" s="51">
        <v>43445.0</v>
      </c>
      <c r="B55" s="66" t="s">
        <v>594</v>
      </c>
      <c r="C55" s="55"/>
      <c r="D55" s="66" t="s">
        <v>111</v>
      </c>
      <c r="E55" s="66" t="s">
        <v>118</v>
      </c>
      <c r="F55" s="66" t="s">
        <v>115</v>
      </c>
      <c r="G55" s="66" t="s">
        <v>605</v>
      </c>
      <c r="H55" s="89"/>
      <c r="I55" s="36" t="s">
        <v>72</v>
      </c>
      <c r="K55" s="36" t="s">
        <v>32</v>
      </c>
    </row>
    <row r="56">
      <c r="A56" s="24">
        <v>43447.0</v>
      </c>
      <c r="B56" s="94" t="s">
        <v>619</v>
      </c>
      <c r="C56" s="27"/>
      <c r="D56" s="28" t="s">
        <v>623</v>
      </c>
      <c r="E56" s="63" t="s">
        <v>626</v>
      </c>
      <c r="F56" s="63" t="s">
        <v>50</v>
      </c>
      <c r="G56" s="63" t="s">
        <v>628</v>
      </c>
      <c r="H56" s="92"/>
      <c r="I56" s="36" t="s">
        <v>633</v>
      </c>
      <c r="J56" s="87" t="s">
        <v>635</v>
      </c>
      <c r="K56" s="36" t="s">
        <v>158</v>
      </c>
    </row>
    <row r="57">
      <c r="A57" s="51">
        <v>43447.0</v>
      </c>
      <c r="B57" s="66" t="s">
        <v>640</v>
      </c>
      <c r="C57" s="55"/>
      <c r="D57" s="68" t="s">
        <v>643</v>
      </c>
      <c r="E57" s="66" t="s">
        <v>645</v>
      </c>
      <c r="F57" s="66" t="s">
        <v>115</v>
      </c>
      <c r="G57" s="66" t="s">
        <v>649</v>
      </c>
      <c r="H57" s="89"/>
      <c r="I57" s="36" t="s">
        <v>323</v>
      </c>
      <c r="K57" s="49" t="s">
        <v>54</v>
      </c>
    </row>
    <row r="58">
      <c r="A58" s="24">
        <v>43449.0</v>
      </c>
      <c r="B58" s="63" t="s">
        <v>653</v>
      </c>
      <c r="C58" s="27"/>
      <c r="D58" s="72" t="s">
        <v>655</v>
      </c>
      <c r="E58" s="63" t="s">
        <v>658</v>
      </c>
      <c r="F58" s="63" t="s">
        <v>26</v>
      </c>
      <c r="G58" s="63" t="s">
        <v>662</v>
      </c>
      <c r="H58" s="92"/>
      <c r="I58" s="36" t="s">
        <v>666</v>
      </c>
      <c r="K58" s="36" t="s">
        <v>32</v>
      </c>
    </row>
    <row r="59">
      <c r="A59" s="51">
        <v>43449.0</v>
      </c>
      <c r="B59" s="125" t="s">
        <v>671</v>
      </c>
      <c r="C59" s="55"/>
      <c r="D59" s="68" t="s">
        <v>679</v>
      </c>
      <c r="E59" s="127" t="s">
        <v>681</v>
      </c>
      <c r="F59" s="66" t="s">
        <v>26</v>
      </c>
      <c r="G59" s="66" t="s">
        <v>723</v>
      </c>
      <c r="H59" s="89"/>
      <c r="I59" s="36" t="s">
        <v>729</v>
      </c>
      <c r="K59" s="90" t="s">
        <v>731</v>
      </c>
    </row>
    <row r="60">
      <c r="A60" s="24">
        <v>43449.0</v>
      </c>
      <c r="B60" s="63" t="s">
        <v>739</v>
      </c>
      <c r="C60" s="27"/>
      <c r="D60" s="72" t="s">
        <v>743</v>
      </c>
      <c r="E60" s="63" t="s">
        <v>746</v>
      </c>
      <c r="F60" s="63" t="s">
        <v>26</v>
      </c>
      <c r="G60" s="63" t="s">
        <v>662</v>
      </c>
      <c r="H60" s="92"/>
      <c r="I60" s="36" t="s">
        <v>666</v>
      </c>
      <c r="K60" s="36" t="s">
        <v>32</v>
      </c>
    </row>
    <row r="61">
      <c r="A61" s="51">
        <v>43449.0</v>
      </c>
      <c r="B61" s="66" t="s">
        <v>758</v>
      </c>
      <c r="C61" s="55"/>
      <c r="D61" s="68" t="s">
        <v>762</v>
      </c>
      <c r="E61" s="66" t="s">
        <v>764</v>
      </c>
      <c r="F61" s="66" t="s">
        <v>26</v>
      </c>
      <c r="G61" s="66" t="s">
        <v>768</v>
      </c>
      <c r="H61" s="89"/>
      <c r="I61" s="36" t="s">
        <v>774</v>
      </c>
      <c r="K61" s="36" t="s">
        <v>32</v>
      </c>
    </row>
    <row r="62">
      <c r="A62" s="24">
        <v>43449.0</v>
      </c>
      <c r="B62" s="130" t="s">
        <v>671</v>
      </c>
      <c r="C62" s="27"/>
      <c r="D62" s="72" t="s">
        <v>679</v>
      </c>
      <c r="E62" s="101" t="s">
        <v>681</v>
      </c>
      <c r="F62" s="63" t="s">
        <v>804</v>
      </c>
      <c r="G62" s="63" t="s">
        <v>723</v>
      </c>
      <c r="H62" s="92"/>
      <c r="I62" s="36" t="s">
        <v>729</v>
      </c>
      <c r="K62" s="90" t="s">
        <v>731</v>
      </c>
    </row>
    <row r="63">
      <c r="A63" s="51">
        <v>43449.0</v>
      </c>
      <c r="B63" s="66" t="s">
        <v>809</v>
      </c>
      <c r="C63" s="55"/>
      <c r="D63" s="68" t="s">
        <v>811</v>
      </c>
      <c r="E63" s="89"/>
      <c r="F63" s="66" t="s">
        <v>817</v>
      </c>
      <c r="G63" s="66" t="s">
        <v>819</v>
      </c>
      <c r="H63" s="66" t="s">
        <v>820</v>
      </c>
      <c r="I63" s="36" t="s">
        <v>323</v>
      </c>
      <c r="K63" s="49" t="s">
        <v>54</v>
      </c>
    </row>
    <row r="64">
      <c r="A64" s="24">
        <v>43449.0</v>
      </c>
      <c r="B64" s="94" t="s">
        <v>823</v>
      </c>
      <c r="C64" s="27"/>
      <c r="D64" s="94" t="s">
        <v>824</v>
      </c>
      <c r="E64" s="94" t="s">
        <v>825</v>
      </c>
      <c r="F64" s="63" t="s">
        <v>50</v>
      </c>
      <c r="G64" s="94" t="s">
        <v>826</v>
      </c>
      <c r="H64" s="136" t="s">
        <v>827</v>
      </c>
      <c r="I64" s="36" t="s">
        <v>828</v>
      </c>
      <c r="K64" s="36" t="s">
        <v>97</v>
      </c>
    </row>
    <row r="65">
      <c r="A65" s="51">
        <v>43449.0</v>
      </c>
      <c r="B65" s="66" t="s">
        <v>829</v>
      </c>
      <c r="C65" s="55"/>
      <c r="D65" s="68" t="s">
        <v>830</v>
      </c>
      <c r="E65" s="66" t="s">
        <v>831</v>
      </c>
      <c r="F65" s="66" t="s">
        <v>26</v>
      </c>
      <c r="G65" s="66" t="s">
        <v>832</v>
      </c>
      <c r="H65" s="89"/>
      <c r="I65" s="36" t="s">
        <v>834</v>
      </c>
      <c r="K65" s="36" t="s">
        <v>158</v>
      </c>
    </row>
    <row r="66">
      <c r="A66" s="138">
        <v>43451.0</v>
      </c>
      <c r="B66" s="63" t="s">
        <v>835</v>
      </c>
      <c r="C66" s="27"/>
      <c r="D66" s="72" t="s">
        <v>836</v>
      </c>
      <c r="E66" s="63" t="s">
        <v>837</v>
      </c>
      <c r="F66" s="63" t="s">
        <v>115</v>
      </c>
      <c r="G66" s="63" t="s">
        <v>319</v>
      </c>
      <c r="H66" s="92"/>
      <c r="I66" s="36" t="s">
        <v>323</v>
      </c>
      <c r="K66" s="49" t="s">
        <v>54</v>
      </c>
    </row>
    <row r="67">
      <c r="A67" s="139">
        <v>43451.0</v>
      </c>
      <c r="B67" s="66" t="s">
        <v>20</v>
      </c>
      <c r="C67" s="55"/>
      <c r="D67" s="66">
        <v>9.71502974339E11</v>
      </c>
      <c r="E67" s="66" t="s">
        <v>842</v>
      </c>
      <c r="F67" s="66" t="s">
        <v>844</v>
      </c>
      <c r="G67" s="66" t="s">
        <v>845</v>
      </c>
      <c r="H67" s="89"/>
      <c r="I67" s="36" t="s">
        <v>846</v>
      </c>
      <c r="K67" s="49" t="s">
        <v>54</v>
      </c>
    </row>
    <row r="68">
      <c r="A68" s="138">
        <v>43451.0</v>
      </c>
      <c r="B68" s="63" t="s">
        <v>848</v>
      </c>
      <c r="C68" s="27"/>
      <c r="D68" s="72" t="s">
        <v>849</v>
      </c>
      <c r="E68" s="63" t="s">
        <v>851</v>
      </c>
      <c r="F68" s="63" t="s">
        <v>115</v>
      </c>
      <c r="G68" s="63" t="s">
        <v>605</v>
      </c>
      <c r="H68" s="92"/>
      <c r="I68" s="36" t="s">
        <v>72</v>
      </c>
      <c r="K68" s="36" t="s">
        <v>32</v>
      </c>
    </row>
    <row r="69">
      <c r="A69" s="139">
        <v>43451.0</v>
      </c>
      <c r="B69" s="66" t="s">
        <v>853</v>
      </c>
      <c r="C69" s="55"/>
      <c r="D69" s="68" t="s">
        <v>855</v>
      </c>
      <c r="E69" s="66" t="s">
        <v>856</v>
      </c>
      <c r="F69" s="66" t="s">
        <v>50</v>
      </c>
      <c r="G69" s="66" t="s">
        <v>858</v>
      </c>
      <c r="H69" s="66" t="s">
        <v>860</v>
      </c>
      <c r="I69" s="36" t="s">
        <v>862</v>
      </c>
      <c r="K69" s="36" t="s">
        <v>32</v>
      </c>
    </row>
    <row r="70">
      <c r="A70" s="138">
        <v>43452.0</v>
      </c>
      <c r="B70" s="63" t="s">
        <v>863</v>
      </c>
      <c r="C70" s="27"/>
      <c r="D70" s="28" t="s">
        <v>865</v>
      </c>
      <c r="E70" s="141" t="s">
        <v>867</v>
      </c>
      <c r="F70" s="63" t="s">
        <v>26</v>
      </c>
      <c r="G70" s="26" t="s">
        <v>417</v>
      </c>
      <c r="H70" s="26" t="s">
        <v>869</v>
      </c>
      <c r="I70" s="36" t="s">
        <v>871</v>
      </c>
      <c r="K70" s="36" t="s">
        <v>637</v>
      </c>
    </row>
    <row r="71">
      <c r="A71" s="139">
        <v>43452.0</v>
      </c>
      <c r="B71" s="66" t="s">
        <v>20</v>
      </c>
      <c r="C71" s="55"/>
      <c r="D71" s="68" t="s">
        <v>873</v>
      </c>
      <c r="E71" s="66" t="s">
        <v>875</v>
      </c>
      <c r="F71" s="66" t="s">
        <v>50</v>
      </c>
      <c r="G71" s="66" t="s">
        <v>877</v>
      </c>
      <c r="H71" s="66" t="s">
        <v>189</v>
      </c>
      <c r="I71" s="36" t="s">
        <v>879</v>
      </c>
      <c r="K71" s="36" t="s">
        <v>97</v>
      </c>
    </row>
    <row r="72">
      <c r="A72" s="138">
        <v>43452.0</v>
      </c>
      <c r="B72" s="63" t="s">
        <v>863</v>
      </c>
      <c r="C72" s="27"/>
      <c r="D72" s="28" t="s">
        <v>865</v>
      </c>
      <c r="E72" s="141" t="s">
        <v>867</v>
      </c>
      <c r="F72" s="63" t="s">
        <v>804</v>
      </c>
      <c r="G72" s="26" t="s">
        <v>417</v>
      </c>
      <c r="H72" s="26" t="s">
        <v>869</v>
      </c>
      <c r="I72" s="36" t="s">
        <v>871</v>
      </c>
      <c r="K72" s="36" t="s">
        <v>143</v>
      </c>
    </row>
    <row r="73">
      <c r="A73" s="139">
        <v>43452.0</v>
      </c>
      <c r="B73" s="66" t="s">
        <v>884</v>
      </c>
      <c r="C73" s="55"/>
      <c r="D73" s="68" t="s">
        <v>885</v>
      </c>
      <c r="E73" s="86" t="s">
        <v>886</v>
      </c>
      <c r="F73" s="66" t="s">
        <v>50</v>
      </c>
      <c r="G73" s="66" t="s">
        <v>887</v>
      </c>
      <c r="H73" s="89"/>
      <c r="I73" s="36" t="s">
        <v>888</v>
      </c>
      <c r="K73" s="36" t="s">
        <v>265</v>
      </c>
    </row>
    <row r="74">
      <c r="A74" s="138">
        <v>43453.0</v>
      </c>
      <c r="B74" s="63" t="s">
        <v>890</v>
      </c>
      <c r="C74" s="27"/>
      <c r="D74" s="72" t="s">
        <v>892</v>
      </c>
      <c r="E74" s="72" t="s">
        <v>894</v>
      </c>
      <c r="F74" s="63" t="s">
        <v>50</v>
      </c>
      <c r="G74" s="63" t="s">
        <v>895</v>
      </c>
      <c r="H74" s="63" t="s">
        <v>897</v>
      </c>
      <c r="I74" s="36" t="s">
        <v>899</v>
      </c>
      <c r="K74" s="90" t="s">
        <v>900</v>
      </c>
    </row>
    <row r="75">
      <c r="A75" s="145">
        <v>43453.0</v>
      </c>
      <c r="B75" s="86" t="s">
        <v>903</v>
      </c>
      <c r="C75" s="55"/>
      <c r="D75" s="146"/>
      <c r="E75" s="86" t="s">
        <v>906</v>
      </c>
      <c r="G75" s="86" t="s">
        <v>907</v>
      </c>
      <c r="H75" s="86" t="s">
        <v>908</v>
      </c>
      <c r="I75" s="36" t="s">
        <v>909</v>
      </c>
      <c r="K75" s="36" t="s">
        <v>32</v>
      </c>
    </row>
    <row r="76">
      <c r="A76" s="145">
        <v>43453.0</v>
      </c>
      <c r="B76" s="63" t="s">
        <v>912</v>
      </c>
      <c r="C76" s="27"/>
      <c r="D76" s="72" t="s">
        <v>914</v>
      </c>
      <c r="E76" s="63" t="s">
        <v>915</v>
      </c>
      <c r="F76" s="63" t="s">
        <v>26</v>
      </c>
      <c r="G76" s="63" t="s">
        <v>917</v>
      </c>
      <c r="H76" s="92"/>
      <c r="K76" s="36" t="s">
        <v>97</v>
      </c>
    </row>
    <row r="77">
      <c r="A77" s="145">
        <v>43453.0</v>
      </c>
      <c r="B77" s="66" t="s">
        <v>919</v>
      </c>
      <c r="C77" s="55"/>
      <c r="D77" s="68" t="s">
        <v>921</v>
      </c>
      <c r="E77" s="66" t="s">
        <v>922</v>
      </c>
      <c r="F77" s="66" t="s">
        <v>26</v>
      </c>
      <c r="G77" s="66" t="s">
        <v>924</v>
      </c>
      <c r="H77" s="66" t="s">
        <v>926</v>
      </c>
      <c r="K77" s="90" t="s">
        <v>409</v>
      </c>
    </row>
    <row r="78">
      <c r="A78" s="148">
        <v>43454.0</v>
      </c>
      <c r="B78" s="63" t="s">
        <v>919</v>
      </c>
      <c r="C78" s="27"/>
      <c r="D78" s="72" t="s">
        <v>921</v>
      </c>
      <c r="E78" s="63" t="s">
        <v>922</v>
      </c>
      <c r="F78" s="63" t="s">
        <v>26</v>
      </c>
      <c r="G78" s="63" t="s">
        <v>924</v>
      </c>
      <c r="H78" s="63" t="s">
        <v>926</v>
      </c>
      <c r="K78" s="90" t="s">
        <v>409</v>
      </c>
    </row>
    <row r="79">
      <c r="A79" s="148">
        <v>43454.0</v>
      </c>
      <c r="B79" s="66" t="s">
        <v>934</v>
      </c>
      <c r="C79" s="55"/>
      <c r="D79" s="68" t="s">
        <v>935</v>
      </c>
      <c r="E79" s="66" t="s">
        <v>936</v>
      </c>
      <c r="F79" s="66" t="s">
        <v>26</v>
      </c>
      <c r="G79" s="66" t="s">
        <v>937</v>
      </c>
      <c r="H79" s="66" t="s">
        <v>938</v>
      </c>
      <c r="K79" s="49" t="s">
        <v>54</v>
      </c>
    </row>
    <row r="80">
      <c r="A80" s="148">
        <v>43454.0</v>
      </c>
      <c r="B80" s="63" t="s">
        <v>941</v>
      </c>
      <c r="C80" s="27"/>
      <c r="D80" s="72" t="s">
        <v>942</v>
      </c>
      <c r="E80" s="63" t="s">
        <v>944</v>
      </c>
      <c r="F80" s="63" t="s">
        <v>50</v>
      </c>
      <c r="G80" s="63" t="s">
        <v>945</v>
      </c>
      <c r="H80" s="63" t="s">
        <v>946</v>
      </c>
      <c r="K80" s="36" t="s">
        <v>97</v>
      </c>
    </row>
    <row r="81">
      <c r="A81" s="148">
        <v>43454.0</v>
      </c>
      <c r="B81" s="66" t="s">
        <v>948</v>
      </c>
      <c r="C81" s="55"/>
      <c r="D81" s="68" t="s">
        <v>950</v>
      </c>
      <c r="E81" s="66" t="s">
        <v>952</v>
      </c>
      <c r="F81" s="66" t="s">
        <v>26</v>
      </c>
      <c r="G81" s="66" t="s">
        <v>953</v>
      </c>
      <c r="H81" s="89"/>
      <c r="I81" s="36" t="s">
        <v>955</v>
      </c>
      <c r="K81" s="36" t="s">
        <v>32</v>
      </c>
    </row>
    <row r="82">
      <c r="A82" s="148">
        <v>43456.0</v>
      </c>
      <c r="B82" s="63" t="s">
        <v>956</v>
      </c>
      <c r="C82" s="27"/>
      <c r="D82" s="72" t="s">
        <v>957</v>
      </c>
      <c r="E82" s="63" t="s">
        <v>958</v>
      </c>
      <c r="F82" s="63" t="s">
        <v>50</v>
      </c>
      <c r="G82" s="63" t="s">
        <v>959</v>
      </c>
      <c r="H82" s="63" t="s">
        <v>960</v>
      </c>
      <c r="I82" s="36" t="s">
        <v>962</v>
      </c>
      <c r="K82" s="90" t="s">
        <v>963</v>
      </c>
    </row>
    <row r="83">
      <c r="A83" s="148">
        <v>43457.0</v>
      </c>
      <c r="B83" s="66" t="s">
        <v>965</v>
      </c>
      <c r="C83" s="55"/>
      <c r="D83" s="68" t="s">
        <v>967</v>
      </c>
      <c r="E83" s="66" t="s">
        <v>968</v>
      </c>
      <c r="F83" s="66" t="s">
        <v>50</v>
      </c>
      <c r="G83" s="66" t="s">
        <v>249</v>
      </c>
      <c r="H83" s="66" t="s">
        <v>970</v>
      </c>
      <c r="I83" s="36" t="s">
        <v>251</v>
      </c>
      <c r="K83" s="36" t="s">
        <v>32</v>
      </c>
    </row>
    <row r="84">
      <c r="A84" s="148">
        <v>43457.0</v>
      </c>
      <c r="B84" s="63" t="s">
        <v>973</v>
      </c>
      <c r="C84" s="27"/>
      <c r="D84" s="72" t="s">
        <v>975</v>
      </c>
      <c r="E84" s="92"/>
      <c r="F84" s="63" t="s">
        <v>50</v>
      </c>
      <c r="G84" s="63" t="s">
        <v>976</v>
      </c>
      <c r="H84" s="92"/>
      <c r="I84" s="36" t="s">
        <v>978</v>
      </c>
      <c r="K84" s="90" t="s">
        <v>82</v>
      </c>
    </row>
    <row r="85">
      <c r="A85" s="148">
        <v>43457.0</v>
      </c>
      <c r="B85" s="66" t="s">
        <v>981</v>
      </c>
      <c r="C85" s="55"/>
      <c r="D85" s="68" t="s">
        <v>982</v>
      </c>
      <c r="E85" s="68" t="s">
        <v>983</v>
      </c>
      <c r="F85" s="66" t="s">
        <v>26</v>
      </c>
      <c r="G85" s="66" t="s">
        <v>984</v>
      </c>
      <c r="H85" s="89"/>
      <c r="I85" s="36" t="s">
        <v>178</v>
      </c>
      <c r="K85" s="49" t="s">
        <v>54</v>
      </c>
    </row>
    <row r="86">
      <c r="A86" s="148">
        <v>43457.0</v>
      </c>
      <c r="B86" s="26" t="s">
        <v>985</v>
      </c>
      <c r="C86" s="27"/>
      <c r="D86" s="72" t="s">
        <v>986</v>
      </c>
      <c r="E86" s="26" t="s">
        <v>987</v>
      </c>
      <c r="F86" s="63" t="s">
        <v>431</v>
      </c>
      <c r="G86" s="63" t="s">
        <v>989</v>
      </c>
      <c r="H86" s="92"/>
      <c r="I86" s="36" t="s">
        <v>650</v>
      </c>
      <c r="K86" s="36" t="s">
        <v>32</v>
      </c>
    </row>
    <row r="87">
      <c r="A87" s="148">
        <v>43457.0</v>
      </c>
      <c r="B87" s="66" t="s">
        <v>991</v>
      </c>
      <c r="C87" s="55"/>
      <c r="D87" s="68" t="s">
        <v>993</v>
      </c>
      <c r="E87" s="66" t="s">
        <v>994</v>
      </c>
      <c r="F87" s="66" t="s">
        <v>26</v>
      </c>
      <c r="G87" s="66" t="s">
        <v>995</v>
      </c>
      <c r="H87" s="89"/>
      <c r="I87" s="36" t="s">
        <v>997</v>
      </c>
      <c r="K87" s="90" t="s">
        <v>998</v>
      </c>
    </row>
    <row r="88">
      <c r="A88" s="148">
        <v>43457.0</v>
      </c>
      <c r="B88" s="63" t="s">
        <v>143</v>
      </c>
      <c r="C88" s="27"/>
      <c r="D88" s="72" t="s">
        <v>1000</v>
      </c>
      <c r="E88" s="92"/>
      <c r="F88" s="63" t="s">
        <v>50</v>
      </c>
      <c r="G88" s="63" t="s">
        <v>1001</v>
      </c>
      <c r="H88" s="92"/>
      <c r="K88" s="90" t="s">
        <v>1002</v>
      </c>
    </row>
    <row r="89">
      <c r="A89" s="148">
        <v>43460.0</v>
      </c>
      <c r="B89" s="66" t="s">
        <v>1004</v>
      </c>
      <c r="C89" s="55"/>
      <c r="D89" s="68" t="s">
        <v>1005</v>
      </c>
      <c r="E89" s="66" t="s">
        <v>1007</v>
      </c>
      <c r="F89" s="66" t="s">
        <v>26</v>
      </c>
      <c r="G89" s="66" t="s">
        <v>165</v>
      </c>
      <c r="H89" s="89"/>
      <c r="I89" s="36" t="s">
        <v>395</v>
      </c>
      <c r="K89" s="49" t="s">
        <v>54</v>
      </c>
    </row>
    <row r="90">
      <c r="A90" s="148">
        <v>43460.0</v>
      </c>
      <c r="B90" s="63" t="s">
        <v>1009</v>
      </c>
      <c r="C90" s="27"/>
      <c r="D90" s="63">
        <v>5.53669906E8</v>
      </c>
      <c r="E90" s="63" t="s">
        <v>149</v>
      </c>
      <c r="F90" s="63" t="s">
        <v>26</v>
      </c>
      <c r="G90" s="63" t="s">
        <v>167</v>
      </c>
      <c r="H90" s="92"/>
      <c r="I90" s="36" t="s">
        <v>80</v>
      </c>
      <c r="K90" s="49" t="s">
        <v>54</v>
      </c>
    </row>
    <row r="91">
      <c r="A91" s="148">
        <v>43460.0</v>
      </c>
      <c r="B91" s="66" t="s">
        <v>1012</v>
      </c>
      <c r="C91" s="55"/>
      <c r="D91" s="68" t="s">
        <v>1013</v>
      </c>
      <c r="E91" s="66" t="s">
        <v>1014</v>
      </c>
      <c r="F91" s="66" t="s">
        <v>26</v>
      </c>
      <c r="G91" s="66" t="s">
        <v>1016</v>
      </c>
      <c r="H91" s="89"/>
      <c r="I91" s="36" t="s">
        <v>1017</v>
      </c>
      <c r="K91" s="36" t="s">
        <v>32</v>
      </c>
    </row>
    <row r="92">
      <c r="A92" s="148">
        <v>43460.0</v>
      </c>
      <c r="B92" s="63" t="s">
        <v>1019</v>
      </c>
      <c r="C92" s="27"/>
      <c r="D92" s="72" t="s">
        <v>1020</v>
      </c>
      <c r="E92" s="63" t="s">
        <v>1021</v>
      </c>
      <c r="F92" s="63" t="s">
        <v>26</v>
      </c>
      <c r="G92" s="63" t="s">
        <v>1023</v>
      </c>
      <c r="H92" s="92"/>
      <c r="K92" s="36" t="s">
        <v>1024</v>
      </c>
    </row>
    <row r="93">
      <c r="A93" s="148">
        <v>43460.0</v>
      </c>
      <c r="B93" s="66" t="s">
        <v>956</v>
      </c>
      <c r="C93" s="55"/>
      <c r="D93" s="68" t="s">
        <v>957</v>
      </c>
      <c r="E93" s="66" t="s">
        <v>958</v>
      </c>
      <c r="F93" s="66" t="s">
        <v>26</v>
      </c>
      <c r="G93" s="66" t="s">
        <v>1026</v>
      </c>
      <c r="H93" s="66" t="s">
        <v>1028</v>
      </c>
      <c r="K93" s="90" t="s">
        <v>803</v>
      </c>
    </row>
    <row r="94">
      <c r="A94" s="148">
        <v>43460.0</v>
      </c>
      <c r="B94" s="63" t="s">
        <v>948</v>
      </c>
      <c r="C94" s="27"/>
      <c r="D94" s="72" t="s">
        <v>950</v>
      </c>
      <c r="E94" s="63" t="s">
        <v>952</v>
      </c>
      <c r="F94" s="63" t="s">
        <v>115</v>
      </c>
      <c r="G94" s="63" t="s">
        <v>1031</v>
      </c>
      <c r="H94" s="92"/>
      <c r="I94" s="36" t="s">
        <v>955</v>
      </c>
      <c r="K94" s="36" t="s">
        <v>32</v>
      </c>
    </row>
    <row r="95">
      <c r="A95" s="148">
        <v>43460.0</v>
      </c>
      <c r="B95" s="66" t="s">
        <v>1034</v>
      </c>
      <c r="C95" s="55"/>
      <c r="D95" s="68" t="s">
        <v>1035</v>
      </c>
      <c r="E95" s="66" t="s">
        <v>1036</v>
      </c>
      <c r="F95" s="66" t="s">
        <v>26</v>
      </c>
      <c r="G95" s="66" t="s">
        <v>1037</v>
      </c>
      <c r="H95" s="66" t="s">
        <v>1039</v>
      </c>
      <c r="I95" s="36" t="s">
        <v>300</v>
      </c>
      <c r="K95" s="36" t="s">
        <v>32</v>
      </c>
    </row>
    <row r="96">
      <c r="A96" s="150">
        <v>43461.0</v>
      </c>
      <c r="B96" s="63" t="s">
        <v>20</v>
      </c>
      <c r="C96" s="27"/>
      <c r="D96" s="72" t="s">
        <v>1044</v>
      </c>
      <c r="E96" s="63" t="s">
        <v>1046</v>
      </c>
      <c r="F96" s="63" t="s">
        <v>50</v>
      </c>
      <c r="G96" s="63" t="s">
        <v>1048</v>
      </c>
      <c r="H96" s="63" t="s">
        <v>1049</v>
      </c>
      <c r="I96" s="36" t="s">
        <v>1051</v>
      </c>
      <c r="K96" s="36" t="s">
        <v>1052</v>
      </c>
    </row>
    <row r="97">
      <c r="A97" s="151">
        <v>43461.0</v>
      </c>
      <c r="B97" s="152" t="s">
        <v>1054</v>
      </c>
      <c r="C97" s="153"/>
      <c r="D97" s="154" t="s">
        <v>1058</v>
      </c>
      <c r="E97" s="152" t="s">
        <v>1059</v>
      </c>
      <c r="F97" s="152" t="s">
        <v>1061</v>
      </c>
      <c r="G97" s="152" t="s">
        <v>1063</v>
      </c>
      <c r="H97" s="155"/>
      <c r="I97" s="156"/>
      <c r="J97" s="156"/>
      <c r="K97" s="90" t="s">
        <v>1066</v>
      </c>
    </row>
    <row r="98">
      <c r="A98" s="150">
        <v>43461.0</v>
      </c>
      <c r="B98" s="63" t="s">
        <v>1069</v>
      </c>
      <c r="C98" s="27"/>
      <c r="D98" s="72" t="s">
        <v>1071</v>
      </c>
      <c r="E98" s="92"/>
      <c r="F98" s="63" t="s">
        <v>1073</v>
      </c>
      <c r="G98" s="63" t="s">
        <v>1074</v>
      </c>
      <c r="H98" s="63" t="s">
        <v>1075</v>
      </c>
      <c r="I98" s="36" t="s">
        <v>1077</v>
      </c>
      <c r="K98" s="36" t="s">
        <v>143</v>
      </c>
    </row>
    <row r="99">
      <c r="A99" s="158">
        <v>43463.0</v>
      </c>
      <c r="B99" s="66" t="s">
        <v>20</v>
      </c>
      <c r="C99" s="55"/>
      <c r="D99" s="68" t="s">
        <v>1082</v>
      </c>
      <c r="E99" s="66" t="s">
        <v>1083</v>
      </c>
      <c r="F99" s="66" t="s">
        <v>50</v>
      </c>
      <c r="G99" s="66" t="s">
        <v>1084</v>
      </c>
      <c r="H99" s="66" t="s">
        <v>260</v>
      </c>
      <c r="K99" s="36" t="s">
        <v>609</v>
      </c>
    </row>
    <row r="100">
      <c r="A100" s="150">
        <v>43463.0</v>
      </c>
      <c r="B100" s="63" t="s">
        <v>1085</v>
      </c>
      <c r="C100" s="27"/>
      <c r="D100" s="72" t="s">
        <v>1086</v>
      </c>
      <c r="E100" s="63" t="s">
        <v>1087</v>
      </c>
      <c r="F100" s="63" t="s">
        <v>50</v>
      </c>
      <c r="G100" s="63" t="s">
        <v>1089</v>
      </c>
      <c r="H100" s="63" t="s">
        <v>189</v>
      </c>
      <c r="I100" s="36" t="s">
        <v>1090</v>
      </c>
      <c r="K100" s="36" t="s">
        <v>97</v>
      </c>
    </row>
    <row r="101">
      <c r="A101" s="158">
        <v>43463.0</v>
      </c>
      <c r="B101" s="66" t="s">
        <v>1093</v>
      </c>
      <c r="C101" s="55"/>
      <c r="D101" s="68" t="s">
        <v>1095</v>
      </c>
      <c r="E101" s="66" t="s">
        <v>1096</v>
      </c>
      <c r="F101" s="66" t="s">
        <v>26</v>
      </c>
      <c r="G101" s="66" t="s">
        <v>1097</v>
      </c>
      <c r="H101" s="89"/>
      <c r="I101" s="36" t="s">
        <v>1099</v>
      </c>
      <c r="K101" s="36" t="s">
        <v>1100</v>
      </c>
    </row>
    <row r="102">
      <c r="A102" s="150">
        <v>43463.0</v>
      </c>
      <c r="B102" s="63" t="s">
        <v>1101</v>
      </c>
      <c r="C102" s="27"/>
      <c r="D102" s="72" t="s">
        <v>743</v>
      </c>
      <c r="E102" s="63" t="s">
        <v>1104</v>
      </c>
      <c r="F102" s="63" t="s">
        <v>26</v>
      </c>
      <c r="G102" s="63" t="s">
        <v>1106</v>
      </c>
      <c r="H102" s="92"/>
      <c r="I102" s="36" t="s">
        <v>251</v>
      </c>
      <c r="K102" s="49" t="s">
        <v>54</v>
      </c>
    </row>
    <row r="103">
      <c r="A103" s="158">
        <v>43463.0</v>
      </c>
      <c r="B103" s="66" t="s">
        <v>1107</v>
      </c>
      <c r="C103" s="55"/>
      <c r="D103" s="68" t="s">
        <v>1108</v>
      </c>
      <c r="E103" s="66" t="s">
        <v>1109</v>
      </c>
      <c r="F103" s="66" t="s">
        <v>115</v>
      </c>
      <c r="G103" s="66" t="s">
        <v>1111</v>
      </c>
      <c r="H103" s="89"/>
      <c r="K103" s="49" t="s">
        <v>54</v>
      </c>
    </row>
    <row r="104">
      <c r="A104" s="150">
        <v>43463.0</v>
      </c>
      <c r="B104" s="160" t="s">
        <v>1093</v>
      </c>
      <c r="D104" s="161">
        <f>+971551777768</f>
        <v>971551777768</v>
      </c>
      <c r="E104" s="160" t="s">
        <v>1096</v>
      </c>
      <c r="F104" s="63" t="s">
        <v>26</v>
      </c>
      <c r="G104" s="160" t="s">
        <v>1126</v>
      </c>
      <c r="H104" s="160" t="s">
        <v>1097</v>
      </c>
      <c r="K104" s="90" t="s">
        <v>1128</v>
      </c>
    </row>
    <row r="105" ht="19.5" customHeight="1">
      <c r="A105" s="158">
        <v>43464.0</v>
      </c>
      <c r="B105" s="162" t="s">
        <v>1129</v>
      </c>
      <c r="C105" s="55" t="s">
        <v>1131</v>
      </c>
      <c r="D105" s="163" t="s">
        <v>1133</v>
      </c>
      <c r="E105" s="164" t="s">
        <v>1135</v>
      </c>
      <c r="F105" s="66" t="s">
        <v>26</v>
      </c>
      <c r="G105" s="164" t="s">
        <v>26</v>
      </c>
      <c r="H105" s="164"/>
      <c r="I105" s="36" t="s">
        <v>297</v>
      </c>
      <c r="K105" s="165" t="s">
        <v>158</v>
      </c>
    </row>
    <row r="106">
      <c r="A106" s="150">
        <v>43464.0</v>
      </c>
      <c r="B106" s="63" t="s">
        <v>1141</v>
      </c>
      <c r="C106" s="27"/>
      <c r="D106" s="72" t="s">
        <v>1142</v>
      </c>
      <c r="E106" s="63" t="s">
        <v>1144</v>
      </c>
      <c r="F106" s="63" t="s">
        <v>26</v>
      </c>
      <c r="G106" s="63" t="s">
        <v>1146</v>
      </c>
      <c r="H106" s="92"/>
      <c r="I106" s="36" t="s">
        <v>1149</v>
      </c>
      <c r="K106" s="90" t="s">
        <v>1150</v>
      </c>
    </row>
    <row r="107">
      <c r="A107" s="158">
        <v>43464.0</v>
      </c>
      <c r="B107" s="66" t="s">
        <v>1152</v>
      </c>
      <c r="C107" s="55"/>
      <c r="D107" s="68" t="s">
        <v>1155</v>
      </c>
      <c r="E107" s="66" t="s">
        <v>1156</v>
      </c>
      <c r="F107" s="66" t="s">
        <v>26</v>
      </c>
      <c r="G107" s="66" t="s">
        <v>1158</v>
      </c>
      <c r="H107" s="89"/>
      <c r="I107" s="36" t="s">
        <v>178</v>
      </c>
      <c r="K107" s="49" t="s">
        <v>54</v>
      </c>
    </row>
    <row r="108">
      <c r="A108" s="150">
        <v>43464.0</v>
      </c>
      <c r="B108" s="63" t="s">
        <v>1160</v>
      </c>
      <c r="C108" s="27"/>
      <c r="D108" s="72" t="s">
        <v>1162</v>
      </c>
      <c r="E108" s="63" t="s">
        <v>1164</v>
      </c>
      <c r="F108" s="63" t="s">
        <v>26</v>
      </c>
      <c r="G108" s="63" t="s">
        <v>1166</v>
      </c>
      <c r="H108" s="92"/>
      <c r="I108" s="36" t="s">
        <v>1167</v>
      </c>
      <c r="K108" s="90" t="s">
        <v>1168</v>
      </c>
    </row>
    <row r="109">
      <c r="A109" s="158">
        <v>43464.0</v>
      </c>
      <c r="B109" s="86" t="s">
        <v>1169</v>
      </c>
      <c r="C109" s="55"/>
      <c r="D109" s="57" t="s">
        <v>1170</v>
      </c>
      <c r="E109" s="86" t="s">
        <v>1172</v>
      </c>
      <c r="F109" s="66" t="s">
        <v>26</v>
      </c>
      <c r="G109" s="86" t="s">
        <v>229</v>
      </c>
      <c r="H109" s="89"/>
      <c r="K109" s="36" t="s">
        <v>82</v>
      </c>
    </row>
    <row r="110" ht="19.5" customHeight="1">
      <c r="A110" s="150">
        <v>43464.0</v>
      </c>
      <c r="B110" s="166" t="s">
        <v>1129</v>
      </c>
      <c r="C110" s="27" t="s">
        <v>1131</v>
      </c>
      <c r="D110" s="167" t="s">
        <v>1133</v>
      </c>
      <c r="E110" s="168" t="s">
        <v>1135</v>
      </c>
      <c r="F110" s="169" t="s">
        <v>26</v>
      </c>
      <c r="H110" s="168"/>
      <c r="K110" s="165" t="s">
        <v>158</v>
      </c>
    </row>
    <row r="111">
      <c r="A111" s="158">
        <v>43465.0</v>
      </c>
      <c r="B111" s="66" t="s">
        <v>1181</v>
      </c>
      <c r="C111" s="55"/>
      <c r="D111" s="68" t="s">
        <v>1182</v>
      </c>
      <c r="E111" s="66" t="s">
        <v>1184</v>
      </c>
      <c r="F111" s="170" t="s">
        <v>26</v>
      </c>
      <c r="G111" s="66" t="s">
        <v>1187</v>
      </c>
      <c r="H111" s="89"/>
      <c r="I111" s="36" t="s">
        <v>1188</v>
      </c>
      <c r="K111" s="36" t="s">
        <v>82</v>
      </c>
    </row>
    <row r="112">
      <c r="A112" s="150">
        <v>43465.0</v>
      </c>
      <c r="B112" s="63" t="s">
        <v>1189</v>
      </c>
      <c r="C112" s="27"/>
      <c r="D112" s="72" t="s">
        <v>1190</v>
      </c>
      <c r="E112" s="92"/>
      <c r="F112" s="169" t="s">
        <v>26</v>
      </c>
      <c r="G112" s="63" t="s">
        <v>1193</v>
      </c>
      <c r="H112" s="92"/>
      <c r="K112" s="36" t="s">
        <v>82</v>
      </c>
    </row>
    <row r="113">
      <c r="A113" s="158">
        <v>43465.0</v>
      </c>
      <c r="B113" s="66" t="s">
        <v>1196</v>
      </c>
      <c r="C113" s="55"/>
      <c r="D113" s="66" t="s">
        <v>1197</v>
      </c>
      <c r="E113" s="66" t="s">
        <v>1198</v>
      </c>
      <c r="F113" s="66" t="s">
        <v>814</v>
      </c>
      <c r="G113" s="66" t="s">
        <v>1199</v>
      </c>
      <c r="H113" s="89"/>
      <c r="K113" s="36" t="s">
        <v>97</v>
      </c>
    </row>
    <row r="114">
      <c r="A114" s="173"/>
      <c r="B114" s="166"/>
      <c r="C114" s="27"/>
      <c r="D114" s="173"/>
      <c r="E114" s="92"/>
      <c r="H114" s="92"/>
    </row>
    <row r="115">
      <c r="A115" s="146"/>
      <c r="B115" s="162"/>
      <c r="C115" s="55"/>
      <c r="D115" s="146"/>
      <c r="E115" s="89"/>
      <c r="H115" s="89"/>
    </row>
    <row r="116">
      <c r="A116" s="173"/>
      <c r="B116" s="166"/>
      <c r="C116" s="27"/>
      <c r="D116" s="173"/>
      <c r="E116" s="92"/>
      <c r="H116" s="92"/>
    </row>
    <row r="117">
      <c r="A117" s="146"/>
      <c r="B117" s="162"/>
      <c r="C117" s="55"/>
      <c r="D117" s="146"/>
      <c r="E117" s="89"/>
      <c r="G117" s="162"/>
      <c r="H117" s="89"/>
    </row>
  </sheetData>
  <customSheetViews>
    <customSheetView guid="{3F517011-DA5E-46BD-A2D4-296A5DF083B2}" filter="1" showAutoFilter="1">
      <autoFilter ref="$F$1:$F$1000"/>
    </customSheetView>
    <customSheetView guid="{9D2F5B4C-BA7D-479C-B7FF-4F2FBA79609E}" filter="1" showAutoFilter="1">
      <autoFilter ref="$K$1:$K$1000"/>
    </customSheetView>
  </customSheetViews>
  <mergeCells count="8">
    <mergeCell ref="G2:H2"/>
    <mergeCell ref="G3:H3"/>
    <mergeCell ref="G4:H4"/>
    <mergeCell ref="G5:H5"/>
    <mergeCell ref="G6:H6"/>
    <mergeCell ref="G7:H7"/>
    <mergeCell ref="G8:H8"/>
    <mergeCell ref="H104:I104"/>
  </mergeCells>
  <hyperlinks>
    <hyperlink r:id="rId1" ref="E2"/>
    <hyperlink r:id="rId2" ref="E36"/>
    <hyperlink r:id="rId3" ref="E59"/>
    <hyperlink r:id="rId4" ref="E62"/>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86"/>
    <col customWidth="1" min="2" max="2" width="28.0"/>
    <col customWidth="1" min="3" max="3" width="18.43"/>
  </cols>
  <sheetData>
    <row r="1">
      <c r="A1" s="179" t="s">
        <v>1291</v>
      </c>
      <c r="B1" s="179" t="s">
        <v>1293</v>
      </c>
      <c r="C1" s="179" t="s">
        <v>1294</v>
      </c>
      <c r="D1" s="180" t="s">
        <v>1295</v>
      </c>
      <c r="E1" s="180" t="s">
        <v>1296</v>
      </c>
      <c r="F1" s="181"/>
      <c r="G1" s="181"/>
      <c r="H1" s="181"/>
      <c r="I1" s="181"/>
      <c r="J1" s="181"/>
      <c r="K1" s="181"/>
      <c r="L1" s="181"/>
      <c r="M1" s="181"/>
      <c r="N1" s="181"/>
      <c r="O1" s="181"/>
      <c r="P1" s="181"/>
      <c r="Q1" s="181"/>
      <c r="R1" s="181"/>
      <c r="S1" s="181"/>
      <c r="T1" s="181"/>
      <c r="U1" s="181"/>
      <c r="V1" s="181"/>
      <c r="W1" s="181"/>
    </row>
    <row r="2">
      <c r="A2" s="67" t="s">
        <v>1297</v>
      </c>
      <c r="B2" s="67" t="s">
        <v>1299</v>
      </c>
      <c r="C2" s="69" t="s">
        <v>1300</v>
      </c>
      <c r="D2" s="36" t="s">
        <v>1302</v>
      </c>
      <c r="E2" s="182" t="s">
        <v>1303</v>
      </c>
    </row>
    <row r="3">
      <c r="A3" s="67" t="s">
        <v>1306</v>
      </c>
      <c r="B3" s="67" t="s">
        <v>1307</v>
      </c>
      <c r="C3" s="69" t="s">
        <v>1308</v>
      </c>
      <c r="D3" s="36" t="s">
        <v>1302</v>
      </c>
      <c r="E3" s="182" t="s">
        <v>1303</v>
      </c>
    </row>
    <row r="4">
      <c r="A4" s="67" t="s">
        <v>1309</v>
      </c>
      <c r="B4" s="67" t="s">
        <v>1310</v>
      </c>
      <c r="C4" s="69" t="s">
        <v>1311</v>
      </c>
      <c r="D4" s="36" t="s">
        <v>1302</v>
      </c>
      <c r="E4" s="182" t="s">
        <v>1303</v>
      </c>
    </row>
    <row r="5">
      <c r="A5" s="67" t="s">
        <v>1312</v>
      </c>
      <c r="B5" s="67" t="s">
        <v>1314</v>
      </c>
      <c r="C5" s="69" t="s">
        <v>1315</v>
      </c>
      <c r="D5" s="36" t="s">
        <v>1302</v>
      </c>
      <c r="E5" s="182" t="s">
        <v>1316</v>
      </c>
    </row>
    <row r="6">
      <c r="A6" s="67" t="s">
        <v>1318</v>
      </c>
      <c r="B6" s="67" t="s">
        <v>1319</v>
      </c>
      <c r="C6" s="69" t="s">
        <v>1321</v>
      </c>
      <c r="D6" s="36" t="s">
        <v>1302</v>
      </c>
      <c r="E6" s="182" t="s">
        <v>1316</v>
      </c>
    </row>
    <row r="7">
      <c r="A7" s="67" t="s">
        <v>1322</v>
      </c>
      <c r="B7" s="67" t="s">
        <v>1323</v>
      </c>
      <c r="C7" s="69" t="s">
        <v>71</v>
      </c>
      <c r="D7" s="36" t="s">
        <v>1302</v>
      </c>
      <c r="E7" s="182" t="s">
        <v>1303</v>
      </c>
    </row>
    <row r="8">
      <c r="A8" s="67" t="s">
        <v>1325</v>
      </c>
      <c r="B8" s="67" t="s">
        <v>1327</v>
      </c>
      <c r="C8" s="69" t="s">
        <v>1328</v>
      </c>
      <c r="D8" s="36" t="s">
        <v>1302</v>
      </c>
      <c r="E8" s="182" t="s">
        <v>1316</v>
      </c>
    </row>
    <row r="9">
      <c r="A9" s="183">
        <v>43443.722916666666</v>
      </c>
      <c r="B9" s="184">
        <v>4.7453703703703704E-4</v>
      </c>
      <c r="C9" s="75" t="s">
        <v>1333</v>
      </c>
      <c r="D9" s="36" t="s">
        <v>115</v>
      </c>
      <c r="E9" s="19" t="s">
        <v>1334</v>
      </c>
    </row>
    <row r="10">
      <c r="A10" s="183">
        <v>43443.71875</v>
      </c>
      <c r="B10" s="185" t="s">
        <v>1335</v>
      </c>
      <c r="C10" s="75" t="s">
        <v>1336</v>
      </c>
      <c r="D10" s="36" t="s">
        <v>115</v>
      </c>
      <c r="E10" s="19" t="s">
        <v>1338</v>
      </c>
    </row>
    <row r="11">
      <c r="A11" s="183">
        <v>43443.62708333333</v>
      </c>
      <c r="B11" s="184">
        <v>0.0012962962962962963</v>
      </c>
      <c r="C11" s="75" t="s">
        <v>1336</v>
      </c>
      <c r="D11" s="36" t="s">
        <v>115</v>
      </c>
      <c r="E11" s="36" t="s">
        <v>637</v>
      </c>
    </row>
    <row r="12">
      <c r="A12" s="183">
        <v>43443.626388888886</v>
      </c>
      <c r="B12" s="185" t="s">
        <v>1335</v>
      </c>
      <c r="C12" s="75" t="s">
        <v>1336</v>
      </c>
      <c r="D12" s="36" t="s">
        <v>115</v>
      </c>
      <c r="E12" s="19" t="s">
        <v>1338</v>
      </c>
    </row>
    <row r="13">
      <c r="A13" s="183">
        <v>43443.626388888886</v>
      </c>
      <c r="B13" s="185" t="s">
        <v>1335</v>
      </c>
      <c r="C13" s="75" t="s">
        <v>1336</v>
      </c>
      <c r="D13" s="36" t="s">
        <v>115</v>
      </c>
      <c r="E13" s="19" t="s">
        <v>1338</v>
      </c>
    </row>
    <row r="14">
      <c r="A14" s="183">
        <v>43443.55416666667</v>
      </c>
      <c r="B14" s="185" t="s">
        <v>1335</v>
      </c>
      <c r="C14" s="75" t="s">
        <v>1343</v>
      </c>
      <c r="D14" s="36" t="s">
        <v>115</v>
      </c>
      <c r="E14" s="36" t="s">
        <v>637</v>
      </c>
    </row>
    <row r="15">
      <c r="A15" s="183">
        <v>43439.538194444445</v>
      </c>
      <c r="B15" s="184">
        <v>9.953703703703704E-4</v>
      </c>
      <c r="C15" s="38">
        <f>+971506621735</f>
        <v>971506621735</v>
      </c>
      <c r="D15" s="36" t="s">
        <v>115</v>
      </c>
      <c r="E15" s="19" t="s">
        <v>1334</v>
      </c>
    </row>
    <row r="16">
      <c r="A16" s="183">
        <v>43439.53194444445</v>
      </c>
      <c r="B16" s="184">
        <v>0.0012962962962962963</v>
      </c>
      <c r="C16" s="75" t="s">
        <v>1347</v>
      </c>
      <c r="D16" s="36" t="s">
        <v>115</v>
      </c>
      <c r="E16" s="19" t="s">
        <v>1348</v>
      </c>
    </row>
    <row r="17">
      <c r="A17" s="186">
        <v>43418.67222222222</v>
      </c>
      <c r="B17" s="184">
        <v>0.0013773148148148147</v>
      </c>
      <c r="C17" s="38">
        <f>+971556825423</f>
        <v>971556825423</v>
      </c>
      <c r="D17" s="36" t="s">
        <v>115</v>
      </c>
      <c r="E17" s="19" t="s">
        <v>1334</v>
      </c>
    </row>
    <row r="18">
      <c r="A18" s="19" t="s">
        <v>1359</v>
      </c>
      <c r="B18" s="19" t="s">
        <v>1360</v>
      </c>
      <c r="C18" s="75" t="s">
        <v>1361</v>
      </c>
      <c r="D18" s="36" t="s">
        <v>1302</v>
      </c>
      <c r="E18" s="19" t="s">
        <v>1303</v>
      </c>
    </row>
    <row r="19">
      <c r="A19" s="186">
        <v>43415.76458333333</v>
      </c>
      <c r="B19" s="184">
        <v>3.2407407407407406E-4</v>
      </c>
      <c r="C19" s="75" t="s">
        <v>1362</v>
      </c>
      <c r="D19" s="36" t="s">
        <v>115</v>
      </c>
      <c r="E19" s="19" t="s">
        <v>1334</v>
      </c>
    </row>
    <row r="20">
      <c r="A20" s="186">
        <v>43445.75625</v>
      </c>
      <c r="B20" s="184">
        <v>7.407407407407407E-4</v>
      </c>
      <c r="C20" s="75" t="s">
        <v>1364</v>
      </c>
      <c r="D20" s="36" t="s">
        <v>115</v>
      </c>
      <c r="E20" s="19" t="s">
        <v>1338</v>
      </c>
    </row>
    <row r="21">
      <c r="A21" s="187">
        <v>43446.47083333333</v>
      </c>
      <c r="B21" s="188" t="s">
        <v>1366</v>
      </c>
      <c r="C21" s="124" t="s">
        <v>1368</v>
      </c>
      <c r="D21" s="36" t="s">
        <v>115</v>
      </c>
      <c r="E21" s="189" t="s">
        <v>1369</v>
      </c>
    </row>
    <row r="22">
      <c r="A22" s="19" t="s">
        <v>1370</v>
      </c>
      <c r="B22" s="19" t="s">
        <v>1371</v>
      </c>
      <c r="C22" s="19">
        <v>9.71562002019E11</v>
      </c>
      <c r="D22" s="36" t="s">
        <v>1302</v>
      </c>
      <c r="E22" s="19" t="s">
        <v>1338</v>
      </c>
    </row>
    <row r="23">
      <c r="A23" s="187">
        <v>43446.75277777778</v>
      </c>
      <c r="B23" s="190">
        <v>0.0038194444444444443</v>
      </c>
      <c r="C23" s="124" t="s">
        <v>1373</v>
      </c>
      <c r="D23" s="36" t="s">
        <v>115</v>
      </c>
      <c r="E23" s="36" t="s">
        <v>1334</v>
      </c>
    </row>
    <row r="24">
      <c r="A24" s="67" t="s">
        <v>1374</v>
      </c>
      <c r="B24" s="182" t="s">
        <v>1376</v>
      </c>
      <c r="C24" s="75" t="s">
        <v>1377</v>
      </c>
      <c r="D24" s="36" t="s">
        <v>1302</v>
      </c>
      <c r="E24" s="19" t="s">
        <v>1338</v>
      </c>
    </row>
    <row r="25">
      <c r="A25" s="19" t="s">
        <v>1378</v>
      </c>
      <c r="B25" s="19" t="s">
        <v>1379</v>
      </c>
      <c r="C25" s="124" t="s">
        <v>1380</v>
      </c>
      <c r="D25" s="36" t="s">
        <v>1302</v>
      </c>
      <c r="E25" s="36" t="s">
        <v>637</v>
      </c>
    </row>
    <row r="26">
      <c r="A26" s="67" t="s">
        <v>1381</v>
      </c>
      <c r="B26" s="182" t="s">
        <v>1382</v>
      </c>
      <c r="C26" s="75" t="s">
        <v>1383</v>
      </c>
      <c r="D26" s="36" t="s">
        <v>1302</v>
      </c>
      <c r="E26" s="36" t="s">
        <v>1334</v>
      </c>
    </row>
    <row r="27">
      <c r="A27" s="187">
        <v>43450.626388888886</v>
      </c>
      <c r="B27" s="191" t="s">
        <v>1335</v>
      </c>
      <c r="C27" s="124" t="s">
        <v>1385</v>
      </c>
      <c r="D27" s="36" t="s">
        <v>115</v>
      </c>
      <c r="E27" s="189" t="s">
        <v>637</v>
      </c>
    </row>
    <row r="28">
      <c r="A28" s="192" t="s">
        <v>1387</v>
      </c>
      <c r="B28" s="191" t="s">
        <v>1335</v>
      </c>
      <c r="C28" s="193" t="s">
        <v>1389</v>
      </c>
      <c r="D28" s="36" t="s">
        <v>50</v>
      </c>
      <c r="E28" s="189" t="s">
        <v>637</v>
      </c>
    </row>
    <row r="29">
      <c r="A29" s="192" t="s">
        <v>1390</v>
      </c>
      <c r="B29" s="191" t="s">
        <v>1335</v>
      </c>
      <c r="C29" s="193" t="s">
        <v>1391</v>
      </c>
      <c r="D29" s="36" t="s">
        <v>50</v>
      </c>
      <c r="E29" s="189" t="s">
        <v>637</v>
      </c>
    </row>
    <row r="30">
      <c r="A30" s="194">
        <v>43450.0</v>
      </c>
      <c r="B30" s="19" t="s">
        <v>1392</v>
      </c>
      <c r="D30" s="36" t="s">
        <v>1302</v>
      </c>
      <c r="E30" s="189" t="s">
        <v>637</v>
      </c>
    </row>
    <row r="31">
      <c r="A31" s="195">
        <v>43450.42986111111</v>
      </c>
      <c r="B31" s="196">
        <v>3.125E-4</v>
      </c>
      <c r="C31" s="197">
        <f>+971526908645</f>
        <v>971526908645</v>
      </c>
      <c r="D31" s="36" t="s">
        <v>115</v>
      </c>
      <c r="E31" s="189" t="s">
        <v>637</v>
      </c>
    </row>
    <row r="32">
      <c r="A32" s="182" t="s">
        <v>1395</v>
      </c>
      <c r="B32" s="182" t="s">
        <v>1396</v>
      </c>
      <c r="C32" s="75" t="s">
        <v>1397</v>
      </c>
      <c r="D32" s="36" t="s">
        <v>1302</v>
      </c>
      <c r="E32" s="19" t="s">
        <v>1338</v>
      </c>
    </row>
    <row r="33">
      <c r="A33" s="182" t="s">
        <v>1400</v>
      </c>
      <c r="B33" s="182" t="s">
        <v>1401</v>
      </c>
      <c r="C33" s="75" t="s">
        <v>1402</v>
      </c>
      <c r="D33" s="36" t="s">
        <v>1302</v>
      </c>
      <c r="E33" s="36" t="s">
        <v>1403</v>
      </c>
    </row>
    <row r="34">
      <c r="A34" s="182" t="s">
        <v>1404</v>
      </c>
      <c r="B34" s="182" t="s">
        <v>1405</v>
      </c>
      <c r="C34" s="75" t="s">
        <v>1406</v>
      </c>
      <c r="D34" s="36" t="s">
        <v>1302</v>
      </c>
      <c r="E34" s="19" t="s">
        <v>1338</v>
      </c>
    </row>
    <row r="35">
      <c r="A35" s="182" t="s">
        <v>1408</v>
      </c>
      <c r="B35" s="182" t="s">
        <v>1409</v>
      </c>
      <c r="C35" s="75" t="s">
        <v>1406</v>
      </c>
      <c r="D35" s="36" t="s">
        <v>1302</v>
      </c>
      <c r="E35" s="19" t="s">
        <v>1338</v>
      </c>
    </row>
    <row r="36">
      <c r="A36" s="19" t="s">
        <v>1410</v>
      </c>
      <c r="B36" s="19" t="s">
        <v>1411</v>
      </c>
      <c r="C36" s="75" t="s">
        <v>1412</v>
      </c>
      <c r="D36" s="36" t="s">
        <v>1302</v>
      </c>
      <c r="E36" s="36" t="s">
        <v>1414</v>
      </c>
    </row>
    <row r="37">
      <c r="A37" s="198">
        <v>43450.42986111111</v>
      </c>
      <c r="B37" s="199">
        <v>3.125E-4</v>
      </c>
      <c r="C37" s="124" t="s">
        <v>1418</v>
      </c>
      <c r="D37" s="36" t="s">
        <v>115</v>
      </c>
      <c r="E37" s="36" t="s">
        <v>1420</v>
      </c>
    </row>
    <row r="38">
      <c r="A38" s="182" t="s">
        <v>1422</v>
      </c>
      <c r="B38" s="182" t="s">
        <v>1424</v>
      </c>
      <c r="C38" s="75" t="s">
        <v>1425</v>
      </c>
      <c r="D38" s="36" t="s">
        <v>1302</v>
      </c>
      <c r="E38" s="182" t="s">
        <v>1426</v>
      </c>
    </row>
    <row r="39">
      <c r="A39" s="182" t="s">
        <v>1427</v>
      </c>
      <c r="B39" s="182" t="s">
        <v>1428</v>
      </c>
      <c r="C39" s="75" t="s">
        <v>1430</v>
      </c>
      <c r="D39" s="36" t="s">
        <v>1302</v>
      </c>
      <c r="E39" s="182" t="s">
        <v>1316</v>
      </c>
    </row>
    <row r="40">
      <c r="A40" s="67" t="s">
        <v>1432</v>
      </c>
      <c r="B40" s="67" t="s">
        <v>1433</v>
      </c>
      <c r="C40" s="124" t="s">
        <v>1434</v>
      </c>
      <c r="D40" s="36" t="s">
        <v>1302</v>
      </c>
      <c r="E40" s="182" t="s">
        <v>1436</v>
      </c>
    </row>
    <row r="41">
      <c r="A41" s="200" t="s">
        <v>1437</v>
      </c>
      <c r="B41" s="200" t="s">
        <v>1439</v>
      </c>
      <c r="C41" s="124" t="s">
        <v>1441</v>
      </c>
      <c r="D41" s="36" t="s">
        <v>50</v>
      </c>
      <c r="E41" s="36" t="s">
        <v>637</v>
      </c>
    </row>
    <row r="42">
      <c r="A42" s="200" t="s">
        <v>1437</v>
      </c>
      <c r="B42" s="200" t="s">
        <v>1443</v>
      </c>
      <c r="C42" s="124" t="s">
        <v>1444</v>
      </c>
      <c r="D42" s="36" t="s">
        <v>50</v>
      </c>
      <c r="E42" s="36" t="s">
        <v>637</v>
      </c>
    </row>
    <row r="43">
      <c r="B43" s="38"/>
      <c r="C43" s="38"/>
      <c r="D43" s="67"/>
    </row>
    <row r="44">
      <c r="A44" s="38"/>
      <c r="B44" s="38"/>
      <c r="C44" s="38"/>
    </row>
    <row r="45">
      <c r="A45" s="182" t="s">
        <v>1447</v>
      </c>
      <c r="B45" s="182" t="s">
        <v>1448</v>
      </c>
      <c r="C45" s="19">
        <v>9.6659555055E11</v>
      </c>
      <c r="D45" s="36" t="s">
        <v>1302</v>
      </c>
      <c r="E45" s="36" t="s">
        <v>1450</v>
      </c>
    </row>
    <row r="46">
      <c r="A46" s="182" t="s">
        <v>1452</v>
      </c>
      <c r="B46" s="182" t="s">
        <v>1453</v>
      </c>
      <c r="C46" s="42" t="s">
        <v>1455</v>
      </c>
      <c r="D46" s="36" t="s">
        <v>1302</v>
      </c>
      <c r="E46" s="36" t="s">
        <v>637</v>
      </c>
    </row>
    <row r="47">
      <c r="A47" s="38"/>
      <c r="B47" s="38"/>
      <c r="C47" s="38"/>
      <c r="D47" s="67"/>
    </row>
    <row r="48">
      <c r="A48" s="38"/>
      <c r="B48" s="38"/>
      <c r="C48" s="38"/>
      <c r="D48" s="201"/>
    </row>
    <row r="49">
      <c r="A49" s="38"/>
      <c r="B49" s="38"/>
      <c r="C49" s="202">
        <f>+971503408590</f>
        <v>971503408590</v>
      </c>
      <c r="D49" s="36" t="s">
        <v>115</v>
      </c>
    </row>
    <row r="50">
      <c r="A50" s="38"/>
      <c r="B50" s="38"/>
      <c r="C50" s="202">
        <f>+971501892514</f>
        <v>971501892514</v>
      </c>
      <c r="D50" s="36" t="s">
        <v>115</v>
      </c>
    </row>
    <row r="51">
      <c r="A51" s="203" t="s">
        <v>1462</v>
      </c>
      <c r="B51" s="204"/>
      <c r="C51" s="202">
        <f t="shared" ref="C51:C52" si="1">+971544879018</f>
        <v>971544879018</v>
      </c>
      <c r="D51" s="36" t="s">
        <v>115</v>
      </c>
      <c r="E51" s="36" t="s">
        <v>900</v>
      </c>
    </row>
    <row r="52">
      <c r="A52" s="203" t="s">
        <v>1466</v>
      </c>
      <c r="B52" s="204"/>
      <c r="C52" s="202">
        <f t="shared" si="1"/>
        <v>971544879018</v>
      </c>
      <c r="D52" s="36" t="s">
        <v>115</v>
      </c>
      <c r="E52" s="36" t="s">
        <v>900</v>
      </c>
    </row>
    <row r="53">
      <c r="A53" s="38"/>
      <c r="B53" s="38"/>
      <c r="C53" s="38"/>
    </row>
    <row r="54">
      <c r="A54" s="38"/>
      <c r="B54" s="38"/>
      <c r="C54" s="38"/>
    </row>
    <row r="55">
      <c r="A55" s="38"/>
      <c r="B55" s="38"/>
      <c r="C55" s="38"/>
    </row>
    <row r="56">
      <c r="A56" s="38"/>
      <c r="B56" s="38"/>
      <c r="C56" s="38"/>
    </row>
    <row r="57">
      <c r="A57" s="38"/>
      <c r="B57" s="38"/>
      <c r="C57" s="38"/>
    </row>
    <row r="58">
      <c r="A58" s="38"/>
      <c r="B58" s="38"/>
      <c r="C58" s="38"/>
    </row>
    <row r="59">
      <c r="A59" s="38"/>
      <c r="B59" s="38"/>
      <c r="C59" s="38"/>
    </row>
    <row r="60">
      <c r="A60" s="38"/>
      <c r="B60" s="38"/>
      <c r="C60" s="38"/>
    </row>
    <row r="61">
      <c r="A61" s="38"/>
      <c r="B61" s="38"/>
      <c r="C61" s="38"/>
    </row>
    <row r="62">
      <c r="A62" s="38"/>
      <c r="B62" s="38"/>
      <c r="C62" s="38"/>
    </row>
    <row r="63">
      <c r="A63" s="38"/>
      <c r="B63" s="38"/>
      <c r="C63" s="38"/>
    </row>
    <row r="64">
      <c r="A64" s="38"/>
      <c r="B64" s="38"/>
      <c r="C64" s="38"/>
    </row>
    <row r="65">
      <c r="A65" s="38"/>
      <c r="B65" s="38"/>
      <c r="C65" s="38"/>
    </row>
    <row r="66">
      <c r="A66" s="38"/>
      <c r="B66" s="38"/>
      <c r="C66" s="38"/>
    </row>
    <row r="67">
      <c r="A67" s="38"/>
      <c r="B67" s="38"/>
      <c r="C67" s="38"/>
    </row>
    <row r="68">
      <c r="A68" s="38"/>
      <c r="B68" s="38"/>
      <c r="C68" s="38"/>
    </row>
    <row r="69">
      <c r="A69" s="38"/>
      <c r="B69" s="38"/>
      <c r="C69" s="38"/>
    </row>
    <row r="70">
      <c r="A70" s="38"/>
      <c r="B70" s="38"/>
      <c r="C70" s="38"/>
    </row>
    <row r="71">
      <c r="A71" s="38"/>
      <c r="B71" s="38"/>
      <c r="C71" s="38"/>
    </row>
    <row r="72">
      <c r="A72" s="38"/>
      <c r="B72" s="38"/>
      <c r="C72" s="38"/>
    </row>
    <row r="73">
      <c r="A73" s="38"/>
      <c r="B73" s="38"/>
      <c r="C73" s="38"/>
    </row>
    <row r="74">
      <c r="A74" s="38"/>
      <c r="B74" s="38"/>
      <c r="C74" s="38"/>
    </row>
    <row r="75">
      <c r="A75" s="38"/>
      <c r="B75" s="38"/>
      <c r="C75" s="38"/>
    </row>
    <row r="76">
      <c r="A76" s="38"/>
      <c r="B76" s="38"/>
      <c r="C76" s="38"/>
    </row>
    <row r="77">
      <c r="A77" s="38"/>
      <c r="B77" s="38"/>
      <c r="C77" s="38"/>
    </row>
    <row r="78">
      <c r="A78" s="38"/>
      <c r="B78" s="38"/>
      <c r="C78" s="38"/>
    </row>
    <row r="79">
      <c r="A79" s="38"/>
      <c r="B79" s="38"/>
      <c r="C79" s="38"/>
    </row>
    <row r="80">
      <c r="A80" s="38"/>
      <c r="B80" s="38"/>
      <c r="C80" s="38"/>
    </row>
    <row r="81">
      <c r="A81" s="38"/>
      <c r="B81" s="38"/>
      <c r="C81" s="38"/>
    </row>
    <row r="82">
      <c r="A82" s="38"/>
      <c r="B82" s="38"/>
      <c r="C82" s="38"/>
    </row>
    <row r="83">
      <c r="A83" s="38"/>
      <c r="B83" s="38"/>
      <c r="C83" s="38"/>
    </row>
    <row r="84">
      <c r="A84" s="38"/>
      <c r="B84" s="38"/>
      <c r="C84" s="38"/>
    </row>
    <row r="85">
      <c r="A85" s="38"/>
      <c r="B85" s="38"/>
      <c r="C85" s="38"/>
    </row>
    <row r="86">
      <c r="A86" s="38"/>
      <c r="B86" s="38"/>
      <c r="C86" s="38"/>
    </row>
    <row r="87">
      <c r="A87" s="38"/>
      <c r="B87" s="38"/>
      <c r="C87" s="38"/>
    </row>
    <row r="88">
      <c r="A88" s="38"/>
      <c r="B88" s="38"/>
      <c r="C88" s="38"/>
    </row>
    <row r="89">
      <c r="A89" s="38"/>
      <c r="B89" s="38"/>
      <c r="C89" s="38"/>
    </row>
    <row r="90">
      <c r="A90" s="38"/>
      <c r="B90" s="38"/>
      <c r="C90" s="38"/>
    </row>
    <row r="91">
      <c r="A91" s="38"/>
      <c r="B91" s="38"/>
      <c r="C91" s="38"/>
    </row>
    <row r="92">
      <c r="A92" s="38"/>
      <c r="B92" s="38"/>
      <c r="C92" s="38"/>
    </row>
    <row r="93">
      <c r="A93" s="38"/>
      <c r="B93" s="38"/>
      <c r="C93" s="38"/>
    </row>
    <row r="94">
      <c r="A94" s="38"/>
      <c r="B94" s="38"/>
      <c r="C94" s="38"/>
    </row>
    <row r="95">
      <c r="A95" s="38"/>
      <c r="B95" s="38"/>
      <c r="C95" s="38"/>
    </row>
    <row r="96">
      <c r="A96" s="38"/>
      <c r="B96" s="38"/>
      <c r="C96" s="38"/>
    </row>
    <row r="97">
      <c r="A97" s="38"/>
      <c r="B97" s="38"/>
      <c r="C97" s="38"/>
    </row>
    <row r="98">
      <c r="A98" s="38"/>
      <c r="B98" s="38"/>
      <c r="C98" s="38"/>
    </row>
    <row r="99">
      <c r="A99" s="38"/>
      <c r="B99" s="38"/>
      <c r="C99" s="38"/>
    </row>
    <row r="100">
      <c r="A100" s="38"/>
      <c r="B100" s="38"/>
      <c r="C100" s="38"/>
    </row>
    <row r="101">
      <c r="A101" s="38"/>
      <c r="B101" s="38"/>
      <c r="C101" s="38"/>
    </row>
    <row r="102">
      <c r="A102" s="38"/>
      <c r="B102" s="38"/>
      <c r="C102" s="38"/>
    </row>
    <row r="103">
      <c r="A103" s="38"/>
      <c r="B103" s="38"/>
      <c r="C103" s="38"/>
    </row>
    <row r="104">
      <c r="A104" s="38"/>
      <c r="B104" s="38"/>
      <c r="C104" s="38"/>
    </row>
    <row r="105">
      <c r="A105" s="38"/>
      <c r="B105" s="38"/>
      <c r="C105" s="38"/>
    </row>
    <row r="106">
      <c r="A106" s="38"/>
      <c r="B106" s="38"/>
      <c r="C106" s="38"/>
    </row>
    <row r="107">
      <c r="A107" s="38"/>
      <c r="B107" s="38"/>
      <c r="C107" s="38"/>
    </row>
    <row r="108">
      <c r="A108" s="38"/>
      <c r="B108" s="38"/>
      <c r="C108" s="38"/>
    </row>
    <row r="109">
      <c r="A109" s="38"/>
      <c r="B109" s="38"/>
      <c r="C109" s="38"/>
    </row>
    <row r="110">
      <c r="A110" s="38"/>
      <c r="B110" s="38"/>
      <c r="C110" s="38"/>
    </row>
    <row r="111">
      <c r="A111" s="38"/>
      <c r="B111" s="38"/>
      <c r="C111" s="38"/>
    </row>
    <row r="112">
      <c r="A112" s="38"/>
      <c r="B112" s="38"/>
      <c r="C112" s="38"/>
    </row>
    <row r="113">
      <c r="A113" s="38"/>
      <c r="B113" s="38"/>
      <c r="C113" s="38"/>
    </row>
    <row r="114">
      <c r="A114" s="38"/>
      <c r="B114" s="38"/>
      <c r="C114" s="38"/>
    </row>
    <row r="115">
      <c r="A115" s="38"/>
      <c r="B115" s="38"/>
      <c r="C115" s="38"/>
    </row>
    <row r="116">
      <c r="A116" s="38"/>
      <c r="B116" s="38"/>
      <c r="C116" s="38"/>
    </row>
    <row r="117">
      <c r="A117" s="38"/>
      <c r="B117" s="38"/>
      <c r="C117" s="38"/>
    </row>
    <row r="118">
      <c r="A118" s="38"/>
      <c r="B118" s="38"/>
      <c r="C118" s="38"/>
    </row>
    <row r="119">
      <c r="A119" s="38"/>
      <c r="B119" s="38"/>
      <c r="C119" s="38"/>
    </row>
    <row r="120">
      <c r="A120" s="38"/>
      <c r="B120" s="38"/>
      <c r="C120" s="38"/>
    </row>
    <row r="121">
      <c r="A121" s="38"/>
      <c r="B121" s="38"/>
      <c r="C121" s="38"/>
    </row>
    <row r="122">
      <c r="A122" s="38"/>
      <c r="B122" s="38"/>
      <c r="C122" s="38"/>
    </row>
    <row r="123">
      <c r="A123" s="38"/>
      <c r="B123" s="38"/>
      <c r="C123" s="38"/>
    </row>
    <row r="124">
      <c r="A124" s="38"/>
      <c r="B124" s="38"/>
      <c r="C124" s="38"/>
    </row>
    <row r="125">
      <c r="A125" s="38"/>
      <c r="B125" s="38"/>
      <c r="C125" s="38"/>
    </row>
    <row r="126">
      <c r="A126" s="38"/>
      <c r="B126" s="38"/>
      <c r="C126" s="38"/>
    </row>
    <row r="127">
      <c r="A127" s="38"/>
      <c r="B127" s="38"/>
      <c r="C127" s="38"/>
    </row>
    <row r="128">
      <c r="A128" s="38"/>
      <c r="B128" s="38"/>
      <c r="C128" s="38"/>
    </row>
    <row r="129">
      <c r="A129" s="38"/>
      <c r="B129" s="38"/>
      <c r="C129" s="38"/>
    </row>
    <row r="130">
      <c r="A130" s="38"/>
      <c r="B130" s="38"/>
      <c r="C130" s="38"/>
    </row>
    <row r="131">
      <c r="A131" s="38"/>
      <c r="B131" s="38"/>
      <c r="C131" s="38"/>
    </row>
    <row r="132">
      <c r="A132" s="38"/>
      <c r="B132" s="38"/>
      <c r="C132" s="38"/>
    </row>
    <row r="133">
      <c r="A133" s="38"/>
      <c r="B133" s="38"/>
      <c r="C133" s="38"/>
    </row>
    <row r="134">
      <c r="A134" s="38"/>
      <c r="B134" s="38"/>
      <c r="C134" s="38"/>
    </row>
    <row r="135">
      <c r="A135" s="38"/>
      <c r="B135" s="38"/>
      <c r="C135" s="38"/>
    </row>
    <row r="136">
      <c r="A136" s="38"/>
      <c r="B136" s="38"/>
      <c r="C136" s="38"/>
    </row>
    <row r="137">
      <c r="A137" s="38"/>
      <c r="B137" s="38"/>
      <c r="C137" s="38"/>
    </row>
    <row r="138">
      <c r="A138" s="38"/>
      <c r="B138" s="38"/>
      <c r="C138" s="38"/>
    </row>
    <row r="139">
      <c r="A139" s="38"/>
      <c r="B139" s="38"/>
      <c r="C139" s="38"/>
    </row>
    <row r="140">
      <c r="A140" s="38"/>
      <c r="B140" s="38"/>
      <c r="C140" s="38"/>
    </row>
    <row r="141">
      <c r="A141" s="38"/>
      <c r="B141" s="38"/>
      <c r="C141" s="38"/>
    </row>
    <row r="142">
      <c r="A142" s="38"/>
      <c r="B142" s="38"/>
      <c r="C142" s="38"/>
    </row>
    <row r="143">
      <c r="A143" s="38"/>
      <c r="B143" s="38"/>
      <c r="C143" s="38"/>
    </row>
    <row r="144">
      <c r="A144" s="38"/>
      <c r="B144" s="38"/>
      <c r="C144" s="38"/>
    </row>
    <row r="145">
      <c r="A145" s="38"/>
      <c r="B145" s="38"/>
      <c r="C145" s="38"/>
    </row>
    <row r="146">
      <c r="A146" s="38"/>
      <c r="B146" s="38"/>
      <c r="C146" s="38"/>
    </row>
    <row r="147">
      <c r="A147" s="38"/>
      <c r="B147" s="38"/>
      <c r="C147" s="38"/>
    </row>
    <row r="148">
      <c r="A148" s="38"/>
      <c r="B148" s="38"/>
      <c r="C148" s="38"/>
    </row>
    <row r="149">
      <c r="A149" s="38"/>
      <c r="B149" s="38"/>
      <c r="C149" s="38"/>
    </row>
    <row r="150">
      <c r="A150" s="38"/>
      <c r="B150" s="38"/>
      <c r="C150" s="38"/>
    </row>
    <row r="151">
      <c r="A151" s="38"/>
      <c r="B151" s="38"/>
      <c r="C151" s="38"/>
    </row>
    <row r="152">
      <c r="A152" s="38"/>
      <c r="B152" s="38"/>
      <c r="C152" s="38"/>
    </row>
    <row r="153">
      <c r="A153" s="38"/>
      <c r="B153" s="38"/>
      <c r="C153" s="38"/>
    </row>
    <row r="154">
      <c r="A154" s="38"/>
      <c r="B154" s="38"/>
      <c r="C154" s="38"/>
    </row>
    <row r="155">
      <c r="A155" s="38"/>
      <c r="B155" s="38"/>
      <c r="C155" s="38"/>
    </row>
    <row r="156">
      <c r="A156" s="38"/>
      <c r="B156" s="38"/>
      <c r="C156" s="38"/>
    </row>
    <row r="157">
      <c r="A157" s="38"/>
      <c r="B157" s="38"/>
      <c r="C157" s="38"/>
    </row>
    <row r="158">
      <c r="A158" s="38"/>
      <c r="B158" s="38"/>
      <c r="C158" s="38"/>
    </row>
    <row r="159">
      <c r="A159" s="38"/>
      <c r="B159" s="38"/>
      <c r="C159" s="38"/>
    </row>
    <row r="160">
      <c r="A160" s="38"/>
      <c r="B160" s="38"/>
      <c r="C160" s="38"/>
    </row>
    <row r="161">
      <c r="A161" s="38"/>
      <c r="B161" s="38"/>
      <c r="C161" s="38"/>
    </row>
    <row r="162">
      <c r="A162" s="38"/>
      <c r="B162" s="38"/>
      <c r="C162" s="38"/>
    </row>
    <row r="163">
      <c r="A163" s="38"/>
      <c r="B163" s="38"/>
      <c r="C163" s="38"/>
    </row>
    <row r="164">
      <c r="A164" s="38"/>
      <c r="B164" s="38"/>
      <c r="C164" s="38"/>
    </row>
    <row r="165">
      <c r="A165" s="38"/>
      <c r="B165" s="38"/>
      <c r="C165" s="38"/>
    </row>
    <row r="166">
      <c r="A166" s="38"/>
      <c r="B166" s="38"/>
      <c r="C166" s="38"/>
    </row>
    <row r="167">
      <c r="A167" s="38"/>
      <c r="B167" s="38"/>
      <c r="C167" s="38"/>
    </row>
    <row r="168">
      <c r="A168" s="38"/>
      <c r="B168" s="38"/>
      <c r="C168" s="38"/>
    </row>
    <row r="169">
      <c r="A169" s="38"/>
      <c r="B169" s="38"/>
      <c r="C169" s="38"/>
    </row>
    <row r="170">
      <c r="A170" s="38"/>
      <c r="B170" s="38"/>
      <c r="C170" s="38"/>
    </row>
    <row r="171">
      <c r="A171" s="38"/>
      <c r="B171" s="38"/>
      <c r="C171" s="38"/>
    </row>
    <row r="172">
      <c r="A172" s="38"/>
      <c r="B172" s="38"/>
      <c r="C172" s="38"/>
    </row>
    <row r="173">
      <c r="A173" s="38"/>
      <c r="B173" s="38"/>
      <c r="C173" s="38"/>
    </row>
    <row r="174">
      <c r="A174" s="38"/>
      <c r="B174" s="38"/>
      <c r="C174" s="38"/>
    </row>
    <row r="175">
      <c r="A175" s="38"/>
      <c r="B175" s="38"/>
      <c r="C175" s="38"/>
    </row>
    <row r="176">
      <c r="A176" s="38"/>
      <c r="B176" s="38"/>
      <c r="C176" s="38"/>
    </row>
    <row r="177">
      <c r="A177" s="38"/>
      <c r="B177" s="38"/>
      <c r="C177" s="38"/>
    </row>
    <row r="178">
      <c r="A178" s="38"/>
      <c r="B178" s="38"/>
      <c r="C178" s="38"/>
    </row>
    <row r="179">
      <c r="A179" s="38"/>
      <c r="B179" s="38"/>
      <c r="C179" s="38"/>
    </row>
    <row r="180">
      <c r="A180" s="38"/>
      <c r="B180" s="38"/>
      <c r="C180" s="38"/>
    </row>
    <row r="181">
      <c r="A181" s="38"/>
      <c r="B181" s="38"/>
      <c r="C181" s="38"/>
    </row>
    <row r="182">
      <c r="A182" s="38"/>
      <c r="B182" s="38"/>
      <c r="C182" s="38"/>
    </row>
    <row r="183">
      <c r="A183" s="38"/>
      <c r="B183" s="38"/>
      <c r="C183" s="38"/>
    </row>
    <row r="184">
      <c r="A184" s="38"/>
      <c r="B184" s="38"/>
      <c r="C184" s="38"/>
    </row>
    <row r="185">
      <c r="A185" s="38"/>
      <c r="B185" s="38"/>
      <c r="C185" s="38"/>
    </row>
    <row r="186">
      <c r="A186" s="38"/>
      <c r="B186" s="38"/>
      <c r="C186" s="38"/>
    </row>
    <row r="187">
      <c r="A187" s="38"/>
      <c r="B187" s="38"/>
      <c r="C187" s="38"/>
    </row>
    <row r="188">
      <c r="A188" s="38"/>
      <c r="B188" s="38"/>
      <c r="C188" s="38"/>
    </row>
    <row r="189">
      <c r="A189" s="38"/>
      <c r="B189" s="38"/>
      <c r="C189" s="38"/>
    </row>
    <row r="190">
      <c r="A190" s="38"/>
      <c r="B190" s="38"/>
      <c r="C190" s="38"/>
    </row>
    <row r="191">
      <c r="A191" s="38"/>
      <c r="B191" s="38"/>
      <c r="C191" s="38"/>
    </row>
    <row r="192">
      <c r="A192" s="38"/>
      <c r="B192" s="38"/>
      <c r="C192" s="38"/>
    </row>
    <row r="193">
      <c r="A193" s="38"/>
      <c r="B193" s="38"/>
      <c r="C193" s="38"/>
    </row>
    <row r="194">
      <c r="A194" s="38"/>
      <c r="B194" s="38"/>
      <c r="C194" s="38"/>
    </row>
    <row r="195">
      <c r="A195" s="38"/>
      <c r="B195" s="38"/>
      <c r="C195" s="38"/>
    </row>
    <row r="196">
      <c r="A196" s="38"/>
      <c r="B196" s="38"/>
      <c r="C196" s="38"/>
    </row>
    <row r="197">
      <c r="A197" s="38"/>
      <c r="B197" s="38"/>
      <c r="C197" s="38"/>
    </row>
    <row r="198">
      <c r="A198" s="38"/>
      <c r="B198" s="38"/>
      <c r="C198" s="38"/>
    </row>
    <row r="199">
      <c r="A199" s="38"/>
      <c r="B199" s="38"/>
      <c r="C199" s="38"/>
    </row>
    <row r="200">
      <c r="A200" s="38"/>
      <c r="B200" s="38"/>
      <c r="C200" s="38"/>
    </row>
    <row r="201">
      <c r="A201" s="38"/>
      <c r="B201" s="38"/>
      <c r="C201" s="38"/>
    </row>
    <row r="202">
      <c r="A202" s="38"/>
      <c r="B202" s="38"/>
      <c r="C202" s="38"/>
    </row>
    <row r="203">
      <c r="A203" s="38"/>
      <c r="B203" s="38"/>
      <c r="C203" s="38"/>
    </row>
    <row r="204">
      <c r="A204" s="38"/>
      <c r="B204" s="38"/>
      <c r="C204" s="38"/>
    </row>
    <row r="205">
      <c r="A205" s="38"/>
      <c r="B205" s="38"/>
      <c r="C205" s="38"/>
    </row>
    <row r="206">
      <c r="A206" s="38"/>
      <c r="B206" s="38"/>
      <c r="C206" s="38"/>
    </row>
    <row r="207">
      <c r="A207" s="38"/>
      <c r="B207" s="38"/>
      <c r="C207" s="38"/>
    </row>
    <row r="208">
      <c r="A208" s="38"/>
      <c r="B208" s="38"/>
      <c r="C208" s="38"/>
    </row>
    <row r="209">
      <c r="A209" s="38"/>
      <c r="B209" s="38"/>
      <c r="C209" s="38"/>
    </row>
    <row r="210">
      <c r="A210" s="38"/>
      <c r="B210" s="38"/>
      <c r="C210" s="38"/>
    </row>
    <row r="211">
      <c r="A211" s="38"/>
      <c r="B211" s="38"/>
      <c r="C211" s="38"/>
    </row>
    <row r="212">
      <c r="A212" s="38"/>
      <c r="B212" s="38"/>
      <c r="C212" s="38"/>
    </row>
    <row r="213">
      <c r="A213" s="38"/>
      <c r="B213" s="38"/>
      <c r="C213" s="38"/>
    </row>
    <row r="214">
      <c r="A214" s="38"/>
      <c r="B214" s="38"/>
      <c r="C214" s="38"/>
    </row>
    <row r="215">
      <c r="A215" s="38"/>
      <c r="B215" s="38"/>
      <c r="C215" s="38"/>
    </row>
    <row r="216">
      <c r="A216" s="38"/>
      <c r="B216" s="38"/>
      <c r="C216" s="38"/>
    </row>
    <row r="217">
      <c r="A217" s="38"/>
      <c r="B217" s="38"/>
      <c r="C217" s="38"/>
    </row>
    <row r="218">
      <c r="A218" s="38"/>
      <c r="B218" s="38"/>
      <c r="C218" s="38"/>
    </row>
    <row r="219">
      <c r="A219" s="38"/>
      <c r="B219" s="38"/>
      <c r="C219" s="38"/>
    </row>
    <row r="220">
      <c r="A220" s="38"/>
      <c r="B220" s="38"/>
      <c r="C220" s="38"/>
    </row>
    <row r="221">
      <c r="A221" s="38"/>
      <c r="B221" s="38"/>
      <c r="C221" s="38"/>
    </row>
    <row r="222">
      <c r="A222" s="38"/>
      <c r="B222" s="38"/>
      <c r="C222" s="38"/>
    </row>
    <row r="223">
      <c r="A223" s="38"/>
      <c r="B223" s="38"/>
      <c r="C223" s="38"/>
    </row>
    <row r="224">
      <c r="A224" s="38"/>
      <c r="B224" s="38"/>
      <c r="C224" s="38"/>
    </row>
    <row r="225">
      <c r="A225" s="38"/>
      <c r="B225" s="38"/>
      <c r="C225" s="38"/>
    </row>
    <row r="226">
      <c r="A226" s="38"/>
      <c r="B226" s="38"/>
      <c r="C226" s="38"/>
    </row>
    <row r="227">
      <c r="A227" s="38"/>
      <c r="B227" s="38"/>
      <c r="C227" s="38"/>
    </row>
    <row r="228">
      <c r="A228" s="38"/>
      <c r="B228" s="38"/>
      <c r="C228" s="38"/>
    </row>
    <row r="229">
      <c r="A229" s="38"/>
      <c r="B229" s="38"/>
      <c r="C229" s="38"/>
    </row>
    <row r="230">
      <c r="A230" s="38"/>
      <c r="B230" s="38"/>
      <c r="C230" s="38"/>
    </row>
    <row r="231">
      <c r="A231" s="38"/>
      <c r="B231" s="38"/>
      <c r="C231" s="38"/>
    </row>
    <row r="232">
      <c r="A232" s="38"/>
      <c r="B232" s="38"/>
      <c r="C232" s="38"/>
    </row>
    <row r="233">
      <c r="A233" s="38"/>
      <c r="B233" s="38"/>
      <c r="C233" s="38"/>
    </row>
    <row r="234">
      <c r="A234" s="38"/>
      <c r="B234" s="38"/>
      <c r="C234" s="38"/>
    </row>
    <row r="235">
      <c r="A235" s="38"/>
      <c r="B235" s="38"/>
      <c r="C235" s="38"/>
    </row>
    <row r="236">
      <c r="A236" s="38"/>
      <c r="B236" s="38"/>
      <c r="C236" s="38"/>
    </row>
    <row r="237">
      <c r="A237" s="38"/>
      <c r="B237" s="38"/>
      <c r="C237" s="38"/>
    </row>
    <row r="238">
      <c r="A238" s="38"/>
      <c r="B238" s="38"/>
      <c r="C238" s="38"/>
    </row>
    <row r="239">
      <c r="A239" s="38"/>
      <c r="B239" s="38"/>
      <c r="C239" s="38"/>
    </row>
    <row r="240">
      <c r="A240" s="38"/>
      <c r="B240" s="38"/>
      <c r="C240" s="38"/>
    </row>
    <row r="241">
      <c r="A241" s="38"/>
      <c r="B241" s="38"/>
      <c r="C241" s="38"/>
    </row>
    <row r="242">
      <c r="A242" s="38"/>
      <c r="B242" s="38"/>
      <c r="C242" s="38"/>
    </row>
    <row r="243">
      <c r="A243" s="38"/>
      <c r="B243" s="38"/>
      <c r="C243" s="38"/>
    </row>
    <row r="244">
      <c r="A244" s="38"/>
      <c r="B244" s="38"/>
      <c r="C244" s="38"/>
    </row>
    <row r="245">
      <c r="A245" s="38"/>
      <c r="B245" s="38"/>
      <c r="C245" s="38"/>
    </row>
    <row r="246">
      <c r="A246" s="38"/>
      <c r="B246" s="38"/>
      <c r="C246" s="38"/>
    </row>
    <row r="247">
      <c r="A247" s="38"/>
      <c r="B247" s="38"/>
      <c r="C247" s="38"/>
    </row>
    <row r="248">
      <c r="A248" s="38"/>
      <c r="B248" s="38"/>
      <c r="C248" s="38"/>
    </row>
    <row r="249">
      <c r="A249" s="38"/>
      <c r="B249" s="38"/>
      <c r="C249" s="38"/>
    </row>
    <row r="250">
      <c r="A250" s="38"/>
      <c r="B250" s="38"/>
      <c r="C250" s="38"/>
    </row>
    <row r="251">
      <c r="A251" s="38"/>
      <c r="B251" s="38"/>
      <c r="C251" s="38"/>
    </row>
    <row r="252">
      <c r="A252" s="38"/>
      <c r="B252" s="38"/>
      <c r="C252" s="38"/>
    </row>
    <row r="253">
      <c r="A253" s="38"/>
      <c r="B253" s="38"/>
      <c r="C253" s="38"/>
    </row>
    <row r="254">
      <c r="A254" s="38"/>
      <c r="B254" s="38"/>
      <c r="C254" s="38"/>
    </row>
    <row r="255">
      <c r="A255" s="38"/>
      <c r="B255" s="38"/>
      <c r="C255" s="38"/>
    </row>
    <row r="256">
      <c r="A256" s="38"/>
      <c r="B256" s="38"/>
      <c r="C256" s="38"/>
    </row>
    <row r="257">
      <c r="A257" s="38"/>
      <c r="B257" s="38"/>
      <c r="C257" s="38"/>
    </row>
    <row r="258">
      <c r="A258" s="38"/>
      <c r="B258" s="38"/>
      <c r="C258" s="38"/>
    </row>
    <row r="259">
      <c r="A259" s="38"/>
      <c r="B259" s="38"/>
      <c r="C259" s="38"/>
    </row>
    <row r="260">
      <c r="A260" s="38"/>
      <c r="B260" s="38"/>
      <c r="C260" s="38"/>
    </row>
    <row r="261">
      <c r="A261" s="38"/>
      <c r="B261" s="38"/>
      <c r="C261" s="38"/>
    </row>
    <row r="262">
      <c r="A262" s="38"/>
      <c r="B262" s="38"/>
      <c r="C262" s="38"/>
    </row>
    <row r="263">
      <c r="A263" s="38"/>
      <c r="B263" s="38"/>
      <c r="C263" s="38"/>
    </row>
    <row r="264">
      <c r="A264" s="38"/>
      <c r="B264" s="38"/>
      <c r="C264" s="38"/>
    </row>
    <row r="265">
      <c r="A265" s="38"/>
      <c r="B265" s="38"/>
      <c r="C265" s="38"/>
    </row>
    <row r="266">
      <c r="A266" s="38"/>
      <c r="B266" s="38"/>
      <c r="C266" s="38"/>
    </row>
    <row r="267">
      <c r="A267" s="38"/>
      <c r="B267" s="38"/>
      <c r="C267" s="38"/>
    </row>
    <row r="268">
      <c r="A268" s="38"/>
      <c r="B268" s="38"/>
      <c r="C268" s="38"/>
    </row>
    <row r="269">
      <c r="A269" s="38"/>
      <c r="B269" s="38"/>
      <c r="C269" s="38"/>
    </row>
    <row r="270">
      <c r="A270" s="38"/>
      <c r="B270" s="38"/>
      <c r="C270" s="38"/>
    </row>
    <row r="271">
      <c r="A271" s="38"/>
      <c r="B271" s="38"/>
      <c r="C271" s="38"/>
    </row>
    <row r="272">
      <c r="A272" s="38"/>
      <c r="B272" s="38"/>
      <c r="C272" s="38"/>
    </row>
    <row r="273">
      <c r="A273" s="38"/>
      <c r="B273" s="38"/>
      <c r="C273" s="38"/>
    </row>
    <row r="274">
      <c r="A274" s="38"/>
      <c r="B274" s="38"/>
      <c r="C274" s="38"/>
    </row>
    <row r="275">
      <c r="A275" s="38"/>
      <c r="B275" s="38"/>
      <c r="C275" s="38"/>
    </row>
    <row r="276">
      <c r="A276" s="38"/>
      <c r="B276" s="38"/>
      <c r="C276" s="38"/>
    </row>
    <row r="277">
      <c r="A277" s="38"/>
      <c r="B277" s="38"/>
      <c r="C277" s="38"/>
    </row>
    <row r="278">
      <c r="A278" s="38"/>
      <c r="B278" s="38"/>
      <c r="C278" s="38"/>
    </row>
    <row r="279">
      <c r="A279" s="38"/>
      <c r="B279" s="38"/>
      <c r="C279" s="38"/>
    </row>
    <row r="280">
      <c r="A280" s="38"/>
      <c r="B280" s="38"/>
      <c r="C280" s="38"/>
    </row>
    <row r="281">
      <c r="A281" s="38"/>
      <c r="B281" s="38"/>
      <c r="C281" s="38"/>
    </row>
    <row r="282">
      <c r="A282" s="38"/>
      <c r="B282" s="38"/>
      <c r="C282" s="38"/>
    </row>
    <row r="283">
      <c r="A283" s="38"/>
      <c r="B283" s="38"/>
      <c r="C283" s="38"/>
    </row>
    <row r="284">
      <c r="A284" s="38"/>
      <c r="B284" s="38"/>
      <c r="C284" s="38"/>
    </row>
    <row r="285">
      <c r="A285" s="38"/>
      <c r="B285" s="38"/>
      <c r="C285" s="38"/>
    </row>
    <row r="286">
      <c r="A286" s="38"/>
      <c r="B286" s="38"/>
      <c r="C286" s="38"/>
    </row>
    <row r="287">
      <c r="A287" s="38"/>
      <c r="B287" s="38"/>
      <c r="C287" s="38"/>
    </row>
    <row r="288">
      <c r="A288" s="38"/>
      <c r="B288" s="38"/>
      <c r="C288" s="38"/>
    </row>
    <row r="289">
      <c r="A289" s="38"/>
      <c r="B289" s="38"/>
      <c r="C289" s="38"/>
    </row>
    <row r="290">
      <c r="A290" s="38"/>
      <c r="B290" s="38"/>
      <c r="C290" s="38"/>
    </row>
    <row r="291">
      <c r="A291" s="38"/>
      <c r="B291" s="38"/>
      <c r="C291" s="38"/>
    </row>
    <row r="292">
      <c r="A292" s="38"/>
      <c r="B292" s="38"/>
      <c r="C292" s="38"/>
    </row>
    <row r="293">
      <c r="A293" s="38"/>
      <c r="B293" s="38"/>
      <c r="C293" s="38"/>
    </row>
    <row r="294">
      <c r="A294" s="38"/>
      <c r="B294" s="38"/>
      <c r="C294" s="38"/>
    </row>
    <row r="295">
      <c r="A295" s="38"/>
      <c r="B295" s="38"/>
      <c r="C295" s="38"/>
    </row>
    <row r="296">
      <c r="A296" s="38"/>
      <c r="B296" s="38"/>
      <c r="C296" s="38"/>
    </row>
    <row r="297">
      <c r="A297" s="38"/>
      <c r="B297" s="38"/>
      <c r="C297" s="38"/>
    </row>
    <row r="298">
      <c r="A298" s="38"/>
      <c r="B298" s="38"/>
      <c r="C298" s="38"/>
    </row>
    <row r="299">
      <c r="A299" s="38"/>
      <c r="B299" s="38"/>
      <c r="C299" s="38"/>
    </row>
    <row r="300">
      <c r="A300" s="38"/>
      <c r="B300" s="38"/>
      <c r="C300" s="38"/>
    </row>
    <row r="301">
      <c r="A301" s="38"/>
      <c r="B301" s="38"/>
      <c r="C301" s="38"/>
    </row>
    <row r="302">
      <c r="A302" s="38"/>
      <c r="B302" s="38"/>
      <c r="C302" s="38"/>
    </row>
    <row r="303">
      <c r="A303" s="38"/>
      <c r="B303" s="38"/>
      <c r="C303" s="38"/>
    </row>
    <row r="304">
      <c r="A304" s="38"/>
      <c r="B304" s="38"/>
      <c r="C304" s="38"/>
    </row>
    <row r="305">
      <c r="A305" s="38"/>
      <c r="B305" s="38"/>
      <c r="C305" s="38"/>
    </row>
    <row r="306">
      <c r="A306" s="38"/>
      <c r="B306" s="38"/>
      <c r="C306" s="38"/>
    </row>
    <row r="307">
      <c r="A307" s="38"/>
      <c r="B307" s="38"/>
      <c r="C307" s="38"/>
    </row>
    <row r="308">
      <c r="A308" s="38"/>
      <c r="B308" s="38"/>
      <c r="C308" s="38"/>
    </row>
    <row r="309">
      <c r="A309" s="38"/>
      <c r="B309" s="38"/>
      <c r="C309" s="38"/>
    </row>
    <row r="310">
      <c r="A310" s="38"/>
      <c r="B310" s="38"/>
      <c r="C310" s="38"/>
    </row>
    <row r="311">
      <c r="A311" s="38"/>
      <c r="B311" s="38"/>
      <c r="C311" s="38"/>
    </row>
    <row r="312">
      <c r="A312" s="38"/>
      <c r="B312" s="38"/>
      <c r="C312" s="38"/>
    </row>
    <row r="313">
      <c r="A313" s="38"/>
      <c r="B313" s="38"/>
      <c r="C313" s="38"/>
    </row>
    <row r="314">
      <c r="A314" s="38"/>
      <c r="B314" s="38"/>
      <c r="C314" s="38"/>
    </row>
    <row r="315">
      <c r="A315" s="38"/>
      <c r="B315" s="38"/>
      <c r="C315" s="38"/>
    </row>
    <row r="316">
      <c r="A316" s="38"/>
      <c r="B316" s="38"/>
      <c r="C316" s="38"/>
    </row>
    <row r="317">
      <c r="A317" s="38"/>
      <c r="B317" s="38"/>
      <c r="C317" s="38"/>
    </row>
    <row r="318">
      <c r="A318" s="38"/>
      <c r="B318" s="38"/>
      <c r="C318" s="38"/>
    </row>
    <row r="319">
      <c r="A319" s="38"/>
      <c r="B319" s="38"/>
      <c r="C319" s="38"/>
    </row>
    <row r="320">
      <c r="A320" s="38"/>
      <c r="B320" s="38"/>
      <c r="C320" s="38"/>
    </row>
    <row r="321">
      <c r="A321" s="38"/>
      <c r="B321" s="38"/>
      <c r="C321" s="38"/>
    </row>
    <row r="322">
      <c r="A322" s="38"/>
      <c r="B322" s="38"/>
      <c r="C322" s="38"/>
    </row>
    <row r="323">
      <c r="A323" s="38"/>
      <c r="B323" s="38"/>
      <c r="C323" s="38"/>
    </row>
    <row r="324">
      <c r="A324" s="38"/>
      <c r="B324" s="38"/>
      <c r="C324" s="38"/>
    </row>
    <row r="325">
      <c r="A325" s="38"/>
      <c r="B325" s="38"/>
      <c r="C325" s="38"/>
    </row>
    <row r="326">
      <c r="A326" s="38"/>
      <c r="B326" s="38"/>
      <c r="C326" s="38"/>
    </row>
    <row r="327">
      <c r="A327" s="38"/>
      <c r="B327" s="38"/>
      <c r="C327" s="38"/>
    </row>
    <row r="328">
      <c r="A328" s="38"/>
      <c r="B328" s="38"/>
      <c r="C328" s="38"/>
    </row>
    <row r="329">
      <c r="A329" s="38"/>
      <c r="B329" s="38"/>
      <c r="C329" s="38"/>
    </row>
    <row r="330">
      <c r="A330" s="38"/>
      <c r="B330" s="38"/>
      <c r="C330" s="38"/>
    </row>
    <row r="331">
      <c r="A331" s="38"/>
      <c r="B331" s="38"/>
      <c r="C331" s="38"/>
    </row>
    <row r="332">
      <c r="A332" s="38"/>
      <c r="B332" s="38"/>
      <c r="C332" s="38"/>
    </row>
    <row r="333">
      <c r="A333" s="38"/>
      <c r="B333" s="38"/>
      <c r="C333" s="38"/>
    </row>
    <row r="334">
      <c r="A334" s="38"/>
      <c r="B334" s="38"/>
      <c r="C334" s="38"/>
    </row>
    <row r="335">
      <c r="A335" s="38"/>
      <c r="B335" s="38"/>
      <c r="C335" s="38"/>
    </row>
    <row r="336">
      <c r="A336" s="38"/>
      <c r="B336" s="38"/>
      <c r="C336" s="38"/>
    </row>
    <row r="337">
      <c r="A337" s="38"/>
      <c r="B337" s="38"/>
      <c r="C337" s="38"/>
    </row>
    <row r="338">
      <c r="A338" s="38"/>
      <c r="B338" s="38"/>
      <c r="C338" s="38"/>
    </row>
    <row r="339">
      <c r="A339" s="38"/>
      <c r="B339" s="38"/>
      <c r="C339" s="38"/>
    </row>
    <row r="340">
      <c r="A340" s="38"/>
      <c r="B340" s="38"/>
      <c r="C340" s="38"/>
    </row>
    <row r="341">
      <c r="A341" s="38"/>
      <c r="B341" s="38"/>
      <c r="C341" s="38"/>
    </row>
    <row r="342">
      <c r="A342" s="38"/>
      <c r="B342" s="38"/>
      <c r="C342" s="38"/>
    </row>
    <row r="343">
      <c r="A343" s="38"/>
      <c r="B343" s="38"/>
      <c r="C343" s="38"/>
    </row>
    <row r="344">
      <c r="A344" s="38"/>
      <c r="B344" s="38"/>
      <c r="C344" s="38"/>
    </row>
    <row r="345">
      <c r="A345" s="38"/>
      <c r="B345" s="38"/>
      <c r="C345" s="38"/>
    </row>
    <row r="346">
      <c r="A346" s="38"/>
      <c r="B346" s="38"/>
      <c r="C346" s="38"/>
    </row>
    <row r="347">
      <c r="A347" s="38"/>
      <c r="B347" s="38"/>
      <c r="C347" s="38"/>
    </row>
    <row r="348">
      <c r="A348" s="38"/>
      <c r="B348" s="38"/>
      <c r="C348" s="38"/>
    </row>
    <row r="349">
      <c r="A349" s="38"/>
      <c r="B349" s="38"/>
      <c r="C349" s="38"/>
    </row>
    <row r="350">
      <c r="A350" s="38"/>
      <c r="B350" s="38"/>
      <c r="C350" s="38"/>
    </row>
    <row r="351">
      <c r="A351" s="38"/>
      <c r="B351" s="38"/>
      <c r="C351" s="38"/>
    </row>
    <row r="352">
      <c r="A352" s="38"/>
      <c r="B352" s="38"/>
      <c r="C352" s="38"/>
    </row>
    <row r="353">
      <c r="A353" s="38"/>
      <c r="B353" s="38"/>
      <c r="C353" s="38"/>
    </row>
    <row r="354">
      <c r="A354" s="38"/>
      <c r="B354" s="38"/>
      <c r="C354" s="38"/>
    </row>
    <row r="355">
      <c r="A355" s="38"/>
      <c r="B355" s="38"/>
      <c r="C355" s="38"/>
    </row>
    <row r="356">
      <c r="A356" s="38"/>
      <c r="B356" s="38"/>
      <c r="C356" s="38"/>
    </row>
    <row r="357">
      <c r="A357" s="38"/>
      <c r="B357" s="38"/>
      <c r="C357" s="38"/>
    </row>
    <row r="358">
      <c r="A358" s="38"/>
      <c r="B358" s="38"/>
      <c r="C358" s="38"/>
    </row>
    <row r="359">
      <c r="A359" s="38"/>
      <c r="B359" s="38"/>
      <c r="C359" s="38"/>
    </row>
    <row r="360">
      <c r="A360" s="38"/>
      <c r="B360" s="38"/>
      <c r="C360" s="38"/>
    </row>
    <row r="361">
      <c r="A361" s="38"/>
      <c r="B361" s="38"/>
      <c r="C361" s="38"/>
    </row>
    <row r="362">
      <c r="A362" s="38"/>
      <c r="B362" s="38"/>
      <c r="C362" s="38"/>
    </row>
    <row r="363">
      <c r="A363" s="38"/>
      <c r="B363" s="38"/>
      <c r="C363" s="38"/>
    </row>
    <row r="364">
      <c r="A364" s="38"/>
      <c r="B364" s="38"/>
      <c r="C364" s="38"/>
    </row>
    <row r="365">
      <c r="A365" s="38"/>
      <c r="B365" s="38"/>
      <c r="C365" s="38"/>
    </row>
    <row r="366">
      <c r="A366" s="38"/>
      <c r="B366" s="38"/>
      <c r="C366" s="38"/>
    </row>
    <row r="367">
      <c r="A367" s="38"/>
      <c r="B367" s="38"/>
      <c r="C367" s="38"/>
    </row>
    <row r="368">
      <c r="A368" s="38"/>
      <c r="B368" s="38"/>
      <c r="C368" s="38"/>
    </row>
    <row r="369">
      <c r="A369" s="38"/>
      <c r="B369" s="38"/>
      <c r="C369" s="38"/>
    </row>
    <row r="370">
      <c r="A370" s="38"/>
      <c r="B370" s="38"/>
      <c r="C370" s="38"/>
    </row>
    <row r="371">
      <c r="A371" s="38"/>
      <c r="B371" s="38"/>
      <c r="C371" s="38"/>
    </row>
    <row r="372">
      <c r="A372" s="38"/>
      <c r="B372" s="38"/>
      <c r="C372" s="38"/>
    </row>
    <row r="373">
      <c r="A373" s="38"/>
      <c r="B373" s="38"/>
      <c r="C373" s="38"/>
    </row>
    <row r="374">
      <c r="A374" s="38"/>
      <c r="B374" s="38"/>
      <c r="C374" s="38"/>
    </row>
    <row r="375">
      <c r="A375" s="38"/>
      <c r="B375" s="38"/>
      <c r="C375" s="38"/>
    </row>
    <row r="376">
      <c r="A376" s="38"/>
      <c r="B376" s="38"/>
      <c r="C376" s="38"/>
    </row>
    <row r="377">
      <c r="A377" s="38"/>
      <c r="B377" s="38"/>
      <c r="C377" s="38"/>
    </row>
    <row r="378">
      <c r="A378" s="38"/>
      <c r="B378" s="38"/>
      <c r="C378" s="38"/>
    </row>
    <row r="379">
      <c r="A379" s="38"/>
      <c r="B379" s="38"/>
      <c r="C379" s="38"/>
    </row>
    <row r="380">
      <c r="A380" s="38"/>
      <c r="B380" s="38"/>
      <c r="C380" s="38"/>
    </row>
    <row r="381">
      <c r="A381" s="38"/>
      <c r="B381" s="38"/>
      <c r="C381" s="38"/>
    </row>
    <row r="382">
      <c r="A382" s="38"/>
      <c r="B382" s="38"/>
      <c r="C382" s="38"/>
    </row>
    <row r="383">
      <c r="A383" s="38"/>
      <c r="B383" s="38"/>
      <c r="C383" s="38"/>
    </row>
    <row r="384">
      <c r="A384" s="38"/>
      <c r="B384" s="38"/>
      <c r="C384" s="38"/>
    </row>
    <row r="385">
      <c r="A385" s="38"/>
      <c r="B385" s="38"/>
      <c r="C385" s="38"/>
    </row>
    <row r="386">
      <c r="A386" s="38"/>
      <c r="B386" s="38"/>
      <c r="C386" s="38"/>
    </row>
    <row r="387">
      <c r="A387" s="38"/>
      <c r="B387" s="38"/>
      <c r="C387" s="38"/>
    </row>
    <row r="388">
      <c r="A388" s="38"/>
      <c r="B388" s="38"/>
      <c r="C388" s="38"/>
    </row>
    <row r="389">
      <c r="A389" s="38"/>
      <c r="B389" s="38"/>
      <c r="C389" s="38"/>
    </row>
    <row r="390">
      <c r="A390" s="38"/>
      <c r="B390" s="38"/>
      <c r="C390" s="38"/>
    </row>
    <row r="391">
      <c r="A391" s="38"/>
      <c r="B391" s="38"/>
      <c r="C391" s="38"/>
    </row>
    <row r="392">
      <c r="A392" s="38"/>
      <c r="B392" s="38"/>
      <c r="C392" s="38"/>
    </row>
    <row r="393">
      <c r="A393" s="38"/>
      <c r="B393" s="38"/>
      <c r="C393" s="38"/>
    </row>
    <row r="394">
      <c r="A394" s="38"/>
      <c r="B394" s="38"/>
      <c r="C394" s="38"/>
    </row>
    <row r="395">
      <c r="A395" s="38"/>
      <c r="B395" s="38"/>
      <c r="C395" s="38"/>
    </row>
    <row r="396">
      <c r="A396" s="38"/>
      <c r="B396" s="38"/>
      <c r="C396" s="38"/>
    </row>
    <row r="397">
      <c r="A397" s="38"/>
      <c r="B397" s="38"/>
      <c r="C397" s="38"/>
    </row>
    <row r="398">
      <c r="A398" s="38"/>
      <c r="B398" s="38"/>
      <c r="C398" s="38"/>
    </row>
    <row r="399">
      <c r="A399" s="38"/>
      <c r="B399" s="38"/>
      <c r="C399" s="38"/>
    </row>
    <row r="400">
      <c r="A400" s="38"/>
      <c r="B400" s="38"/>
      <c r="C400" s="38"/>
    </row>
    <row r="401">
      <c r="A401" s="38"/>
      <c r="B401" s="38"/>
      <c r="C401" s="38"/>
    </row>
    <row r="402">
      <c r="A402" s="38"/>
      <c r="B402" s="38"/>
      <c r="C402" s="38"/>
    </row>
    <row r="403">
      <c r="A403" s="38"/>
      <c r="B403" s="38"/>
      <c r="C403" s="38"/>
    </row>
    <row r="404">
      <c r="A404" s="38"/>
      <c r="B404" s="38"/>
      <c r="C404" s="38"/>
    </row>
    <row r="405">
      <c r="A405" s="38"/>
      <c r="B405" s="38"/>
      <c r="C405" s="38"/>
    </row>
    <row r="406">
      <c r="A406" s="38"/>
      <c r="B406" s="38"/>
      <c r="C406" s="38"/>
    </row>
    <row r="407">
      <c r="A407" s="38"/>
      <c r="B407" s="38"/>
      <c r="C407" s="38"/>
    </row>
    <row r="408">
      <c r="A408" s="38"/>
      <c r="B408" s="38"/>
      <c r="C408" s="38"/>
    </row>
    <row r="409">
      <c r="A409" s="38"/>
      <c r="B409" s="38"/>
      <c r="C409" s="38"/>
    </row>
    <row r="410">
      <c r="A410" s="38"/>
      <c r="B410" s="38"/>
      <c r="C410" s="38"/>
    </row>
    <row r="411">
      <c r="A411" s="38"/>
      <c r="B411" s="38"/>
      <c r="C411" s="38"/>
    </row>
    <row r="412">
      <c r="A412" s="38"/>
      <c r="B412" s="38"/>
      <c r="C412" s="38"/>
    </row>
    <row r="413">
      <c r="A413" s="38"/>
      <c r="B413" s="38"/>
      <c r="C413" s="38"/>
    </row>
    <row r="414">
      <c r="A414" s="38"/>
      <c r="B414" s="38"/>
      <c r="C414" s="38"/>
    </row>
    <row r="415">
      <c r="A415" s="38"/>
      <c r="B415" s="38"/>
      <c r="C415" s="38"/>
    </row>
    <row r="416">
      <c r="A416" s="38"/>
      <c r="B416" s="38"/>
      <c r="C416" s="38"/>
    </row>
    <row r="417">
      <c r="A417" s="38"/>
      <c r="B417" s="38"/>
      <c r="C417" s="38"/>
    </row>
    <row r="418">
      <c r="A418" s="38"/>
      <c r="B418" s="38"/>
      <c r="C418" s="38"/>
    </row>
    <row r="419">
      <c r="A419" s="38"/>
      <c r="B419" s="38"/>
      <c r="C419" s="38"/>
    </row>
    <row r="420">
      <c r="A420" s="38"/>
      <c r="B420" s="38"/>
      <c r="C420" s="38"/>
    </row>
    <row r="421">
      <c r="A421" s="38"/>
      <c r="B421" s="38"/>
      <c r="C421" s="38"/>
    </row>
    <row r="422">
      <c r="A422" s="38"/>
      <c r="B422" s="38"/>
      <c r="C422" s="38"/>
    </row>
    <row r="423">
      <c r="A423" s="38"/>
      <c r="B423" s="38"/>
      <c r="C423" s="38"/>
    </row>
    <row r="424">
      <c r="A424" s="38"/>
      <c r="B424" s="38"/>
      <c r="C424" s="38"/>
    </row>
    <row r="425">
      <c r="A425" s="38"/>
      <c r="B425" s="38"/>
      <c r="C425" s="38"/>
    </row>
    <row r="426">
      <c r="A426" s="38"/>
      <c r="B426" s="38"/>
      <c r="C426" s="38"/>
    </row>
    <row r="427">
      <c r="A427" s="38"/>
      <c r="B427" s="38"/>
      <c r="C427" s="38"/>
    </row>
    <row r="428">
      <c r="A428" s="38"/>
      <c r="B428" s="38"/>
      <c r="C428" s="38"/>
    </row>
    <row r="429">
      <c r="A429" s="38"/>
      <c r="B429" s="38"/>
      <c r="C429" s="38"/>
    </row>
    <row r="430">
      <c r="A430" s="38"/>
      <c r="B430" s="38"/>
      <c r="C430" s="38"/>
    </row>
    <row r="431">
      <c r="A431" s="38"/>
      <c r="B431" s="38"/>
      <c r="C431" s="38"/>
    </row>
    <row r="432">
      <c r="A432" s="38"/>
      <c r="B432" s="38"/>
      <c r="C432" s="38"/>
    </row>
    <row r="433">
      <c r="A433" s="38"/>
      <c r="B433" s="38"/>
      <c r="C433" s="38"/>
    </row>
    <row r="434">
      <c r="A434" s="38"/>
      <c r="B434" s="38"/>
      <c r="C434" s="38"/>
    </row>
    <row r="435">
      <c r="A435" s="38"/>
      <c r="B435" s="38"/>
      <c r="C435" s="38"/>
    </row>
    <row r="436">
      <c r="A436" s="38"/>
      <c r="B436" s="38"/>
      <c r="C436" s="38"/>
    </row>
    <row r="437">
      <c r="A437" s="38"/>
      <c r="B437" s="38"/>
      <c r="C437" s="38"/>
    </row>
    <row r="438">
      <c r="A438" s="38"/>
      <c r="B438" s="38"/>
      <c r="C438" s="38"/>
    </row>
    <row r="439">
      <c r="A439" s="38"/>
      <c r="B439" s="38"/>
      <c r="C439" s="38"/>
    </row>
    <row r="440">
      <c r="A440" s="38"/>
      <c r="B440" s="38"/>
      <c r="C440" s="38"/>
    </row>
    <row r="441">
      <c r="A441" s="38"/>
      <c r="B441" s="38"/>
      <c r="C441" s="38"/>
    </row>
    <row r="442">
      <c r="A442" s="38"/>
      <c r="B442" s="38"/>
      <c r="C442" s="38"/>
    </row>
    <row r="443">
      <c r="A443" s="38"/>
      <c r="B443" s="38"/>
      <c r="C443" s="38"/>
    </row>
    <row r="444">
      <c r="A444" s="38"/>
      <c r="B444" s="38"/>
      <c r="C444" s="38"/>
    </row>
    <row r="445">
      <c r="A445" s="38"/>
      <c r="B445" s="38"/>
      <c r="C445" s="38"/>
    </row>
    <row r="446">
      <c r="A446" s="38"/>
      <c r="B446" s="38"/>
      <c r="C446" s="38"/>
    </row>
    <row r="447">
      <c r="A447" s="38"/>
      <c r="B447" s="38"/>
      <c r="C447" s="38"/>
    </row>
    <row r="448">
      <c r="A448" s="38"/>
      <c r="B448" s="38"/>
      <c r="C448" s="38"/>
    </row>
    <row r="449">
      <c r="A449" s="38"/>
      <c r="B449" s="38"/>
      <c r="C449" s="38"/>
    </row>
    <row r="450">
      <c r="A450" s="38"/>
      <c r="B450" s="38"/>
      <c r="C450" s="38"/>
    </row>
    <row r="451">
      <c r="A451" s="38"/>
      <c r="B451" s="38"/>
      <c r="C451" s="38"/>
    </row>
    <row r="452">
      <c r="A452" s="38"/>
      <c r="B452" s="38"/>
      <c r="C452" s="38"/>
    </row>
    <row r="453">
      <c r="A453" s="38"/>
      <c r="B453" s="38"/>
      <c r="C453" s="38"/>
    </row>
    <row r="454">
      <c r="A454" s="38"/>
      <c r="B454" s="38"/>
      <c r="C454" s="38"/>
    </row>
    <row r="455">
      <c r="A455" s="38"/>
      <c r="B455" s="38"/>
      <c r="C455" s="38"/>
    </row>
    <row r="456">
      <c r="A456" s="38"/>
      <c r="B456" s="38"/>
      <c r="C456" s="38"/>
    </row>
    <row r="457">
      <c r="A457" s="38"/>
      <c r="B457" s="38"/>
      <c r="C457" s="38"/>
    </row>
    <row r="458">
      <c r="A458" s="38"/>
      <c r="B458" s="38"/>
      <c r="C458" s="38"/>
    </row>
    <row r="459">
      <c r="A459" s="38"/>
      <c r="B459" s="38"/>
      <c r="C459" s="38"/>
    </row>
    <row r="460">
      <c r="A460" s="38"/>
      <c r="B460" s="38"/>
      <c r="C460" s="38"/>
    </row>
    <row r="461">
      <c r="A461" s="38"/>
      <c r="B461" s="38"/>
      <c r="C461" s="38"/>
    </row>
    <row r="462">
      <c r="A462" s="38"/>
      <c r="B462" s="38"/>
      <c r="C462" s="38"/>
    </row>
    <row r="463">
      <c r="A463" s="38"/>
      <c r="B463" s="38"/>
      <c r="C463" s="38"/>
    </row>
    <row r="464">
      <c r="A464" s="38"/>
      <c r="B464" s="38"/>
      <c r="C464" s="38"/>
    </row>
    <row r="465">
      <c r="A465" s="38"/>
      <c r="B465" s="38"/>
      <c r="C465" s="38"/>
    </row>
    <row r="466">
      <c r="A466" s="38"/>
      <c r="B466" s="38"/>
      <c r="C466" s="38"/>
    </row>
    <row r="467">
      <c r="A467" s="38"/>
      <c r="B467" s="38"/>
      <c r="C467" s="38"/>
    </row>
    <row r="468">
      <c r="A468" s="38"/>
      <c r="B468" s="38"/>
      <c r="C468" s="38"/>
    </row>
    <row r="469">
      <c r="A469" s="38"/>
      <c r="B469" s="38"/>
      <c r="C469" s="38"/>
    </row>
    <row r="470">
      <c r="A470" s="38"/>
      <c r="B470" s="38"/>
      <c r="C470" s="38"/>
    </row>
    <row r="471">
      <c r="A471" s="38"/>
      <c r="B471" s="38"/>
      <c r="C471" s="38"/>
    </row>
    <row r="472">
      <c r="A472" s="38"/>
      <c r="B472" s="38"/>
      <c r="C472" s="38"/>
    </row>
    <row r="473">
      <c r="A473" s="38"/>
      <c r="B473" s="38"/>
      <c r="C473" s="38"/>
    </row>
    <row r="474">
      <c r="A474" s="38"/>
      <c r="B474" s="38"/>
      <c r="C474" s="38"/>
    </row>
    <row r="475">
      <c r="A475" s="38"/>
      <c r="B475" s="38"/>
      <c r="C475" s="38"/>
    </row>
    <row r="476">
      <c r="A476" s="38"/>
      <c r="B476" s="38"/>
      <c r="C476" s="38"/>
    </row>
    <row r="477">
      <c r="A477" s="38"/>
      <c r="B477" s="38"/>
      <c r="C477" s="38"/>
    </row>
    <row r="478">
      <c r="A478" s="38"/>
      <c r="B478" s="38"/>
      <c r="C478" s="38"/>
    </row>
    <row r="479">
      <c r="A479" s="38"/>
      <c r="B479" s="38"/>
      <c r="C479" s="38"/>
    </row>
    <row r="480">
      <c r="A480" s="38"/>
      <c r="B480" s="38"/>
      <c r="C480" s="38"/>
    </row>
    <row r="481">
      <c r="A481" s="38"/>
      <c r="B481" s="38"/>
      <c r="C481" s="38"/>
    </row>
    <row r="482">
      <c r="A482" s="38"/>
      <c r="B482" s="38"/>
      <c r="C482" s="38"/>
    </row>
    <row r="483">
      <c r="A483" s="38"/>
      <c r="B483" s="38"/>
      <c r="C483" s="38"/>
    </row>
    <row r="484">
      <c r="A484" s="38"/>
      <c r="B484" s="38"/>
      <c r="C484" s="38"/>
    </row>
    <row r="485">
      <c r="A485" s="38"/>
      <c r="B485" s="38"/>
      <c r="C485" s="38"/>
    </row>
    <row r="486">
      <c r="A486" s="38"/>
      <c r="B486" s="38"/>
      <c r="C486" s="38"/>
    </row>
    <row r="487">
      <c r="A487" s="38"/>
      <c r="B487" s="38"/>
      <c r="C487" s="38"/>
    </row>
    <row r="488">
      <c r="A488" s="38"/>
      <c r="B488" s="38"/>
      <c r="C488" s="38"/>
    </row>
    <row r="489">
      <c r="A489" s="38"/>
      <c r="B489" s="38"/>
      <c r="C489" s="38"/>
    </row>
    <row r="490">
      <c r="A490" s="38"/>
      <c r="B490" s="38"/>
      <c r="C490" s="38"/>
    </row>
    <row r="491">
      <c r="A491" s="38"/>
      <c r="B491" s="38"/>
      <c r="C491" s="38"/>
    </row>
    <row r="492">
      <c r="A492" s="38"/>
      <c r="B492" s="38"/>
      <c r="C492" s="38"/>
    </row>
    <row r="493">
      <c r="A493" s="38"/>
      <c r="B493" s="38"/>
      <c r="C493" s="38"/>
    </row>
    <row r="494">
      <c r="A494" s="38"/>
      <c r="B494" s="38"/>
      <c r="C494" s="38"/>
    </row>
    <row r="495">
      <c r="A495" s="38"/>
      <c r="B495" s="38"/>
      <c r="C495" s="38"/>
    </row>
    <row r="496">
      <c r="A496" s="38"/>
      <c r="B496" s="38"/>
      <c r="C496" s="38"/>
    </row>
    <row r="497">
      <c r="A497" s="38"/>
      <c r="B497" s="38"/>
      <c r="C497" s="38"/>
    </row>
    <row r="498">
      <c r="A498" s="38"/>
      <c r="B498" s="38"/>
      <c r="C498" s="38"/>
    </row>
    <row r="499">
      <c r="A499" s="38"/>
      <c r="B499" s="38"/>
      <c r="C499" s="38"/>
    </row>
    <row r="500">
      <c r="A500" s="38"/>
      <c r="B500" s="38"/>
      <c r="C500" s="38"/>
    </row>
    <row r="501">
      <c r="A501" s="38"/>
      <c r="B501" s="38"/>
      <c r="C501" s="38"/>
    </row>
    <row r="502">
      <c r="A502" s="38"/>
      <c r="B502" s="38"/>
      <c r="C502" s="38"/>
    </row>
    <row r="503">
      <c r="A503" s="38"/>
      <c r="B503" s="38"/>
      <c r="C503" s="38"/>
    </row>
    <row r="504">
      <c r="A504" s="38"/>
      <c r="B504" s="38"/>
      <c r="C504" s="38"/>
    </row>
    <row r="505">
      <c r="A505" s="38"/>
      <c r="B505" s="38"/>
      <c r="C505" s="38"/>
    </row>
    <row r="506">
      <c r="A506" s="38"/>
      <c r="B506" s="38"/>
      <c r="C506" s="38"/>
    </row>
    <row r="507">
      <c r="A507" s="38"/>
      <c r="B507" s="38"/>
      <c r="C507" s="38"/>
    </row>
    <row r="508">
      <c r="A508" s="38"/>
      <c r="B508" s="38"/>
      <c r="C508" s="38"/>
    </row>
    <row r="509">
      <c r="A509" s="38"/>
      <c r="B509" s="38"/>
      <c r="C509" s="38"/>
    </row>
    <row r="510">
      <c r="A510" s="38"/>
      <c r="B510" s="38"/>
      <c r="C510" s="38"/>
    </row>
    <row r="511">
      <c r="A511" s="38"/>
      <c r="B511" s="38"/>
      <c r="C511" s="38"/>
    </row>
    <row r="512">
      <c r="A512" s="38"/>
      <c r="B512" s="38"/>
      <c r="C512" s="38"/>
    </row>
    <row r="513">
      <c r="A513" s="38"/>
      <c r="B513" s="38"/>
      <c r="C513" s="38"/>
    </row>
    <row r="514">
      <c r="A514" s="38"/>
      <c r="B514" s="38"/>
      <c r="C514" s="38"/>
    </row>
    <row r="515">
      <c r="A515" s="38"/>
      <c r="B515" s="38"/>
      <c r="C515" s="38"/>
    </row>
    <row r="516">
      <c r="A516" s="38"/>
      <c r="B516" s="38"/>
      <c r="C516" s="38"/>
    </row>
    <row r="517">
      <c r="A517" s="38"/>
      <c r="B517" s="38"/>
      <c r="C517" s="38"/>
    </row>
    <row r="518">
      <c r="A518" s="38"/>
      <c r="B518" s="38"/>
      <c r="C518" s="38"/>
    </row>
    <row r="519">
      <c r="A519" s="38"/>
      <c r="B519" s="38"/>
      <c r="C519" s="38"/>
    </row>
    <row r="520">
      <c r="A520" s="38"/>
      <c r="B520" s="38"/>
      <c r="C520" s="38"/>
    </row>
    <row r="521">
      <c r="A521" s="38"/>
      <c r="B521" s="38"/>
      <c r="C521" s="38"/>
    </row>
    <row r="522">
      <c r="A522" s="38"/>
      <c r="B522" s="38"/>
      <c r="C522" s="38"/>
    </row>
    <row r="523">
      <c r="A523" s="38"/>
      <c r="B523" s="38"/>
      <c r="C523" s="38"/>
    </row>
    <row r="524">
      <c r="A524" s="38"/>
      <c r="B524" s="38"/>
      <c r="C524" s="38"/>
    </row>
    <row r="525">
      <c r="A525" s="38"/>
      <c r="B525" s="38"/>
      <c r="C525" s="38"/>
    </row>
    <row r="526">
      <c r="A526" s="38"/>
      <c r="B526" s="38"/>
      <c r="C526" s="38"/>
    </row>
    <row r="527">
      <c r="A527" s="38"/>
      <c r="B527" s="38"/>
      <c r="C527" s="38"/>
    </row>
    <row r="528">
      <c r="A528" s="38"/>
      <c r="B528" s="38"/>
      <c r="C528" s="38"/>
    </row>
    <row r="529">
      <c r="A529" s="38"/>
      <c r="B529" s="38"/>
      <c r="C529" s="38"/>
    </row>
    <row r="530">
      <c r="A530" s="38"/>
      <c r="B530" s="38"/>
      <c r="C530" s="38"/>
    </row>
    <row r="531">
      <c r="A531" s="38"/>
      <c r="B531" s="38"/>
      <c r="C531" s="38"/>
    </row>
    <row r="532">
      <c r="A532" s="38"/>
      <c r="B532" s="38"/>
      <c r="C532" s="38"/>
    </row>
    <row r="533">
      <c r="A533" s="38"/>
      <c r="B533" s="38"/>
      <c r="C533" s="38"/>
    </row>
    <row r="534">
      <c r="A534" s="38"/>
      <c r="B534" s="38"/>
      <c r="C534" s="38"/>
    </row>
    <row r="535">
      <c r="A535" s="38"/>
      <c r="B535" s="38"/>
      <c r="C535" s="38"/>
    </row>
    <row r="536">
      <c r="A536" s="38"/>
      <c r="B536" s="38"/>
      <c r="C536" s="38"/>
    </row>
    <row r="537">
      <c r="A537" s="38"/>
      <c r="B537" s="38"/>
      <c r="C537" s="38"/>
    </row>
    <row r="538">
      <c r="A538" s="38"/>
      <c r="B538" s="38"/>
      <c r="C538" s="38"/>
    </row>
    <row r="539">
      <c r="A539" s="38"/>
      <c r="B539" s="38"/>
      <c r="C539" s="38"/>
    </row>
    <row r="540">
      <c r="A540" s="38"/>
      <c r="B540" s="38"/>
      <c r="C540" s="38"/>
    </row>
    <row r="541">
      <c r="A541" s="38"/>
      <c r="B541" s="38"/>
      <c r="C541" s="38"/>
    </row>
    <row r="542">
      <c r="A542" s="38"/>
      <c r="B542" s="38"/>
      <c r="C542" s="38"/>
    </row>
    <row r="543">
      <c r="A543" s="38"/>
      <c r="B543" s="38"/>
      <c r="C543" s="38"/>
    </row>
    <row r="544">
      <c r="A544" s="38"/>
      <c r="B544" s="38"/>
      <c r="C544" s="38"/>
    </row>
    <row r="545">
      <c r="A545" s="38"/>
      <c r="B545" s="38"/>
      <c r="C545" s="38"/>
    </row>
    <row r="546">
      <c r="A546" s="38"/>
      <c r="B546" s="38"/>
      <c r="C546" s="38"/>
    </row>
    <row r="547">
      <c r="A547" s="38"/>
      <c r="B547" s="38"/>
      <c r="C547" s="38"/>
    </row>
    <row r="548">
      <c r="A548" s="38"/>
      <c r="B548" s="38"/>
      <c r="C548" s="38"/>
    </row>
    <row r="549">
      <c r="A549" s="38"/>
      <c r="B549" s="38"/>
      <c r="C549" s="38"/>
    </row>
    <row r="550">
      <c r="A550" s="38"/>
      <c r="B550" s="38"/>
      <c r="C550" s="38"/>
    </row>
    <row r="551">
      <c r="A551" s="38"/>
      <c r="B551" s="38"/>
      <c r="C551" s="38"/>
    </row>
    <row r="552">
      <c r="A552" s="38"/>
      <c r="B552" s="38"/>
      <c r="C552" s="38"/>
    </row>
    <row r="553">
      <c r="A553" s="38"/>
      <c r="B553" s="38"/>
      <c r="C553" s="38"/>
    </row>
    <row r="554">
      <c r="A554" s="38"/>
      <c r="B554" s="38"/>
      <c r="C554" s="38"/>
    </row>
    <row r="555">
      <c r="A555" s="38"/>
      <c r="B555" s="38"/>
      <c r="C555" s="38"/>
    </row>
    <row r="556">
      <c r="A556" s="38"/>
      <c r="B556" s="38"/>
      <c r="C556" s="38"/>
    </row>
    <row r="557">
      <c r="A557" s="38"/>
      <c r="B557" s="38"/>
      <c r="C557" s="38"/>
    </row>
    <row r="558">
      <c r="A558" s="38"/>
      <c r="B558" s="38"/>
      <c r="C558" s="38"/>
    </row>
    <row r="559">
      <c r="A559" s="38"/>
      <c r="B559" s="38"/>
      <c r="C559" s="38"/>
    </row>
    <row r="560">
      <c r="A560" s="38"/>
      <c r="B560" s="38"/>
      <c r="C560" s="38"/>
    </row>
    <row r="561">
      <c r="A561" s="38"/>
      <c r="B561" s="38"/>
      <c r="C561" s="38"/>
    </row>
    <row r="562">
      <c r="A562" s="38"/>
      <c r="B562" s="38"/>
      <c r="C562" s="38"/>
    </row>
    <row r="563">
      <c r="A563" s="38"/>
      <c r="B563" s="38"/>
      <c r="C563" s="38"/>
    </row>
    <row r="564">
      <c r="A564" s="38"/>
      <c r="B564" s="38"/>
      <c r="C564" s="38"/>
    </row>
    <row r="565">
      <c r="A565" s="38"/>
      <c r="B565" s="38"/>
      <c r="C565" s="38"/>
    </row>
    <row r="566">
      <c r="A566" s="38"/>
      <c r="B566" s="38"/>
      <c r="C566" s="38"/>
    </row>
    <row r="567">
      <c r="A567" s="38"/>
      <c r="B567" s="38"/>
      <c r="C567" s="38"/>
    </row>
    <row r="568">
      <c r="A568" s="38"/>
      <c r="B568" s="38"/>
      <c r="C568" s="38"/>
    </row>
    <row r="569">
      <c r="A569" s="38"/>
      <c r="B569" s="38"/>
      <c r="C569" s="38"/>
    </row>
    <row r="570">
      <c r="A570" s="38"/>
      <c r="B570" s="38"/>
      <c r="C570" s="38"/>
    </row>
    <row r="571">
      <c r="A571" s="38"/>
      <c r="B571" s="38"/>
      <c r="C571" s="38"/>
    </row>
    <row r="572">
      <c r="A572" s="38"/>
      <c r="B572" s="38"/>
      <c r="C572" s="38"/>
    </row>
    <row r="573">
      <c r="A573" s="38"/>
      <c r="B573" s="38"/>
      <c r="C573" s="38"/>
    </row>
    <row r="574">
      <c r="A574" s="38"/>
      <c r="B574" s="38"/>
      <c r="C574" s="38"/>
    </row>
    <row r="575">
      <c r="A575" s="38"/>
      <c r="B575" s="38"/>
      <c r="C575" s="38"/>
    </row>
    <row r="576">
      <c r="A576" s="38"/>
      <c r="B576" s="38"/>
      <c r="C576" s="38"/>
    </row>
    <row r="577">
      <c r="A577" s="38"/>
      <c r="B577" s="38"/>
      <c r="C577" s="38"/>
    </row>
    <row r="578">
      <c r="A578" s="38"/>
      <c r="B578" s="38"/>
      <c r="C578" s="38"/>
    </row>
    <row r="579">
      <c r="A579" s="38"/>
      <c r="B579" s="38"/>
      <c r="C579" s="38"/>
    </row>
    <row r="580">
      <c r="A580" s="38"/>
      <c r="B580" s="38"/>
      <c r="C580" s="38"/>
    </row>
    <row r="581">
      <c r="A581" s="38"/>
      <c r="B581" s="38"/>
      <c r="C581" s="38"/>
    </row>
    <row r="582">
      <c r="A582" s="38"/>
      <c r="B582" s="38"/>
      <c r="C582" s="38"/>
    </row>
    <row r="583">
      <c r="A583" s="38"/>
      <c r="B583" s="38"/>
      <c r="C583" s="38"/>
    </row>
    <row r="584">
      <c r="A584" s="38"/>
      <c r="B584" s="38"/>
      <c r="C584" s="38"/>
    </row>
    <row r="585">
      <c r="A585" s="38"/>
      <c r="B585" s="38"/>
      <c r="C585" s="38"/>
    </row>
    <row r="586">
      <c r="A586" s="38"/>
      <c r="B586" s="38"/>
      <c r="C586" s="38"/>
    </row>
    <row r="587">
      <c r="A587" s="38"/>
      <c r="B587" s="38"/>
      <c r="C587" s="38"/>
    </row>
    <row r="588">
      <c r="A588" s="38"/>
      <c r="B588" s="38"/>
      <c r="C588" s="38"/>
    </row>
    <row r="589">
      <c r="A589" s="38"/>
      <c r="B589" s="38"/>
      <c r="C589" s="38"/>
    </row>
    <row r="590">
      <c r="A590" s="38"/>
      <c r="B590" s="38"/>
      <c r="C590" s="38"/>
    </row>
    <row r="591">
      <c r="A591" s="38"/>
      <c r="B591" s="38"/>
      <c r="C591" s="38"/>
    </row>
    <row r="592">
      <c r="A592" s="38"/>
      <c r="B592" s="38"/>
      <c r="C592" s="38"/>
    </row>
    <row r="593">
      <c r="A593" s="38"/>
      <c r="B593" s="38"/>
      <c r="C593" s="38"/>
    </row>
    <row r="594">
      <c r="A594" s="38"/>
      <c r="B594" s="38"/>
      <c r="C594" s="38"/>
    </row>
    <row r="595">
      <c r="A595" s="38"/>
      <c r="B595" s="38"/>
      <c r="C595" s="38"/>
    </row>
    <row r="596">
      <c r="A596" s="38"/>
      <c r="B596" s="38"/>
      <c r="C596" s="38"/>
    </row>
    <row r="597">
      <c r="A597" s="38"/>
      <c r="B597" s="38"/>
      <c r="C597" s="38"/>
    </row>
    <row r="598">
      <c r="A598" s="38"/>
      <c r="B598" s="38"/>
      <c r="C598" s="38"/>
    </row>
    <row r="599">
      <c r="A599" s="38"/>
      <c r="B599" s="38"/>
      <c r="C599" s="38"/>
    </row>
    <row r="600">
      <c r="A600" s="38"/>
      <c r="B600" s="38"/>
      <c r="C600" s="38"/>
    </row>
    <row r="601">
      <c r="A601" s="38"/>
      <c r="B601" s="38"/>
      <c r="C601" s="38"/>
    </row>
    <row r="602">
      <c r="A602" s="38"/>
      <c r="B602" s="38"/>
      <c r="C602" s="38"/>
    </row>
    <row r="603">
      <c r="A603" s="38"/>
      <c r="B603" s="38"/>
      <c r="C603" s="38"/>
    </row>
    <row r="604">
      <c r="A604" s="38"/>
      <c r="B604" s="38"/>
      <c r="C604" s="38"/>
    </row>
    <row r="605">
      <c r="A605" s="38"/>
      <c r="B605" s="38"/>
      <c r="C605" s="38"/>
    </row>
    <row r="606">
      <c r="A606" s="38"/>
      <c r="B606" s="38"/>
      <c r="C606" s="38"/>
    </row>
    <row r="607">
      <c r="A607" s="38"/>
      <c r="B607" s="38"/>
      <c r="C607" s="38"/>
    </row>
    <row r="608">
      <c r="A608" s="38"/>
      <c r="B608" s="38"/>
      <c r="C608" s="38"/>
    </row>
    <row r="609">
      <c r="A609" s="38"/>
      <c r="B609" s="38"/>
      <c r="C609" s="38"/>
    </row>
    <row r="610">
      <c r="A610" s="38"/>
      <c r="B610" s="38"/>
      <c r="C610" s="38"/>
    </row>
    <row r="611">
      <c r="A611" s="38"/>
      <c r="B611" s="38"/>
      <c r="C611" s="38"/>
    </row>
    <row r="612">
      <c r="A612" s="38"/>
      <c r="B612" s="38"/>
      <c r="C612" s="38"/>
    </row>
    <row r="613">
      <c r="A613" s="38"/>
      <c r="B613" s="38"/>
      <c r="C613" s="38"/>
    </row>
    <row r="614">
      <c r="A614" s="38"/>
      <c r="B614" s="38"/>
      <c r="C614" s="38"/>
    </row>
    <row r="615">
      <c r="A615" s="38"/>
      <c r="B615" s="38"/>
      <c r="C615" s="38"/>
    </row>
    <row r="616">
      <c r="A616" s="38"/>
      <c r="B616" s="38"/>
      <c r="C616" s="38"/>
    </row>
    <row r="617">
      <c r="A617" s="38"/>
      <c r="B617" s="38"/>
      <c r="C617" s="38"/>
    </row>
    <row r="618">
      <c r="A618" s="38"/>
      <c r="B618" s="38"/>
      <c r="C618" s="38"/>
    </row>
    <row r="619">
      <c r="A619" s="38"/>
      <c r="B619" s="38"/>
      <c r="C619" s="38"/>
    </row>
    <row r="620">
      <c r="A620" s="38"/>
      <c r="B620" s="38"/>
      <c r="C620" s="38"/>
    </row>
    <row r="621">
      <c r="A621" s="38"/>
      <c r="B621" s="38"/>
      <c r="C621" s="38"/>
    </row>
    <row r="622">
      <c r="A622" s="38"/>
      <c r="B622" s="38"/>
      <c r="C622" s="38"/>
    </row>
    <row r="623">
      <c r="A623" s="38"/>
      <c r="B623" s="38"/>
      <c r="C623" s="38"/>
    </row>
    <row r="624">
      <c r="A624" s="38"/>
      <c r="B624" s="38"/>
      <c r="C624" s="38"/>
    </row>
    <row r="625">
      <c r="A625" s="38"/>
      <c r="B625" s="38"/>
      <c r="C625" s="38"/>
    </row>
    <row r="626">
      <c r="A626" s="38"/>
      <c r="B626" s="38"/>
      <c r="C626" s="38"/>
    </row>
    <row r="627">
      <c r="A627" s="38"/>
      <c r="B627" s="38"/>
      <c r="C627" s="38"/>
    </row>
    <row r="628">
      <c r="A628" s="38"/>
      <c r="B628" s="38"/>
      <c r="C628" s="38"/>
    </row>
    <row r="629">
      <c r="A629" s="38"/>
      <c r="B629" s="38"/>
      <c r="C629" s="38"/>
    </row>
    <row r="630">
      <c r="A630" s="38"/>
      <c r="B630" s="38"/>
      <c r="C630" s="38"/>
    </row>
    <row r="631">
      <c r="A631" s="38"/>
      <c r="B631" s="38"/>
      <c r="C631" s="38"/>
    </row>
    <row r="632">
      <c r="A632" s="38"/>
      <c r="B632" s="38"/>
      <c r="C632" s="38"/>
    </row>
    <row r="633">
      <c r="A633" s="38"/>
      <c r="B633" s="38"/>
      <c r="C633" s="38"/>
    </row>
    <row r="634">
      <c r="A634" s="38"/>
      <c r="B634" s="38"/>
      <c r="C634" s="38"/>
    </row>
    <row r="635">
      <c r="A635" s="38"/>
      <c r="B635" s="38"/>
      <c r="C635" s="38"/>
    </row>
    <row r="636">
      <c r="A636" s="38"/>
      <c r="B636" s="38"/>
      <c r="C636" s="38"/>
    </row>
    <row r="637">
      <c r="A637" s="38"/>
      <c r="B637" s="38"/>
      <c r="C637" s="38"/>
    </row>
    <row r="638">
      <c r="A638" s="38"/>
      <c r="B638" s="38"/>
      <c r="C638" s="38"/>
    </row>
    <row r="639">
      <c r="A639" s="38"/>
      <c r="B639" s="38"/>
      <c r="C639" s="38"/>
    </row>
    <row r="640">
      <c r="A640" s="38"/>
      <c r="B640" s="38"/>
      <c r="C640" s="38"/>
    </row>
    <row r="641">
      <c r="A641" s="38"/>
      <c r="B641" s="38"/>
      <c r="C641" s="38"/>
    </row>
    <row r="642">
      <c r="A642" s="38"/>
      <c r="B642" s="38"/>
      <c r="C642" s="38"/>
    </row>
    <row r="643">
      <c r="A643" s="38"/>
      <c r="B643" s="38"/>
      <c r="C643" s="38"/>
    </row>
    <row r="644">
      <c r="A644" s="38"/>
      <c r="B644" s="38"/>
      <c r="C644" s="38"/>
    </row>
    <row r="645">
      <c r="A645" s="38"/>
      <c r="B645" s="38"/>
      <c r="C645" s="38"/>
    </row>
    <row r="646">
      <c r="A646" s="38"/>
      <c r="B646" s="38"/>
      <c r="C646" s="38"/>
    </row>
    <row r="647">
      <c r="A647" s="38"/>
      <c r="B647" s="38"/>
      <c r="C647" s="38"/>
    </row>
    <row r="648">
      <c r="A648" s="38"/>
      <c r="B648" s="38"/>
      <c r="C648" s="38"/>
    </row>
    <row r="649">
      <c r="A649" s="38"/>
      <c r="B649" s="38"/>
      <c r="C649" s="38"/>
    </row>
    <row r="650">
      <c r="A650" s="38"/>
      <c r="B650" s="38"/>
      <c r="C650" s="38"/>
    </row>
    <row r="651">
      <c r="A651" s="38"/>
      <c r="B651" s="38"/>
      <c r="C651" s="38"/>
    </row>
    <row r="652">
      <c r="A652" s="38"/>
      <c r="B652" s="38"/>
      <c r="C652" s="38"/>
    </row>
    <row r="653">
      <c r="A653" s="38"/>
      <c r="B653" s="38"/>
      <c r="C653" s="38"/>
    </row>
    <row r="654">
      <c r="A654" s="38"/>
      <c r="B654" s="38"/>
      <c r="C654" s="38"/>
    </row>
    <row r="655">
      <c r="A655" s="38"/>
      <c r="B655" s="38"/>
      <c r="C655" s="38"/>
    </row>
    <row r="656">
      <c r="A656" s="38"/>
      <c r="B656" s="38"/>
      <c r="C656" s="38"/>
    </row>
    <row r="657">
      <c r="A657" s="38"/>
      <c r="B657" s="38"/>
      <c r="C657" s="38"/>
    </row>
    <row r="658">
      <c r="A658" s="38"/>
      <c r="B658" s="38"/>
      <c r="C658" s="38"/>
    </row>
    <row r="659">
      <c r="A659" s="38"/>
      <c r="B659" s="38"/>
      <c r="C659" s="38"/>
    </row>
    <row r="660">
      <c r="A660" s="38"/>
      <c r="B660" s="38"/>
      <c r="C660" s="38"/>
    </row>
    <row r="661">
      <c r="A661" s="38"/>
      <c r="B661" s="38"/>
      <c r="C661" s="38"/>
    </row>
    <row r="662">
      <c r="A662" s="38"/>
      <c r="B662" s="38"/>
      <c r="C662" s="38"/>
    </row>
    <row r="663">
      <c r="A663" s="38"/>
      <c r="B663" s="38"/>
      <c r="C663" s="38"/>
    </row>
    <row r="664">
      <c r="A664" s="38"/>
      <c r="B664" s="38"/>
      <c r="C664" s="38"/>
    </row>
    <row r="665">
      <c r="A665" s="38"/>
      <c r="B665" s="38"/>
      <c r="C665" s="38"/>
    </row>
    <row r="666">
      <c r="A666" s="38"/>
      <c r="B666" s="38"/>
      <c r="C666" s="38"/>
    </row>
    <row r="667">
      <c r="A667" s="38"/>
      <c r="B667" s="38"/>
      <c r="C667" s="38"/>
    </row>
    <row r="668">
      <c r="A668" s="38"/>
      <c r="B668" s="38"/>
      <c r="C668" s="38"/>
    </row>
    <row r="669">
      <c r="A669" s="38"/>
      <c r="B669" s="38"/>
      <c r="C669" s="38"/>
    </row>
    <row r="670">
      <c r="A670" s="38"/>
      <c r="B670" s="38"/>
      <c r="C670" s="38"/>
    </row>
    <row r="671">
      <c r="A671" s="38"/>
      <c r="B671" s="38"/>
      <c r="C671" s="38"/>
    </row>
    <row r="672">
      <c r="A672" s="38"/>
      <c r="B672" s="38"/>
      <c r="C672" s="38"/>
    </row>
    <row r="673">
      <c r="A673" s="38"/>
      <c r="B673" s="38"/>
      <c r="C673" s="38"/>
    </row>
    <row r="674">
      <c r="A674" s="38"/>
      <c r="B674" s="38"/>
      <c r="C674" s="38"/>
    </row>
    <row r="675">
      <c r="A675" s="38"/>
      <c r="B675" s="38"/>
      <c r="C675" s="38"/>
    </row>
    <row r="676">
      <c r="A676" s="38"/>
      <c r="B676" s="38"/>
      <c r="C676" s="38"/>
    </row>
    <row r="677">
      <c r="A677" s="38"/>
      <c r="B677" s="38"/>
      <c r="C677" s="38"/>
    </row>
    <row r="678">
      <c r="A678" s="38"/>
      <c r="B678" s="38"/>
      <c r="C678" s="38"/>
    </row>
    <row r="679">
      <c r="A679" s="38"/>
      <c r="B679" s="38"/>
      <c r="C679" s="38"/>
    </row>
    <row r="680">
      <c r="A680" s="38"/>
      <c r="B680" s="38"/>
      <c r="C680" s="38"/>
    </row>
    <row r="681">
      <c r="A681" s="38"/>
      <c r="B681" s="38"/>
      <c r="C681" s="38"/>
    </row>
    <row r="682">
      <c r="A682" s="38"/>
      <c r="B682" s="38"/>
      <c r="C682" s="38"/>
    </row>
    <row r="683">
      <c r="A683" s="38"/>
      <c r="B683" s="38"/>
      <c r="C683" s="38"/>
    </row>
    <row r="684">
      <c r="A684" s="38"/>
      <c r="B684" s="38"/>
      <c r="C684" s="38"/>
    </row>
    <row r="685">
      <c r="A685" s="38"/>
      <c r="B685" s="38"/>
      <c r="C685" s="38"/>
    </row>
    <row r="686">
      <c r="A686" s="38"/>
      <c r="B686" s="38"/>
      <c r="C686" s="38"/>
    </row>
    <row r="687">
      <c r="A687" s="38"/>
      <c r="B687" s="38"/>
      <c r="C687" s="38"/>
    </row>
    <row r="688">
      <c r="A688" s="38"/>
      <c r="B688" s="38"/>
      <c r="C688" s="38"/>
    </row>
    <row r="689">
      <c r="A689" s="38"/>
      <c r="B689" s="38"/>
      <c r="C689" s="38"/>
    </row>
    <row r="690">
      <c r="A690" s="38"/>
      <c r="B690" s="38"/>
      <c r="C690" s="38"/>
    </row>
    <row r="691">
      <c r="A691" s="38"/>
      <c r="B691" s="38"/>
      <c r="C691" s="38"/>
    </row>
    <row r="692">
      <c r="A692" s="38"/>
      <c r="B692" s="38"/>
      <c r="C692" s="38"/>
    </row>
    <row r="693">
      <c r="A693" s="38"/>
      <c r="B693" s="38"/>
      <c r="C693" s="38"/>
    </row>
    <row r="694">
      <c r="A694" s="38"/>
      <c r="B694" s="38"/>
      <c r="C694" s="38"/>
    </row>
    <row r="695">
      <c r="A695" s="38"/>
      <c r="B695" s="38"/>
      <c r="C695" s="38"/>
    </row>
    <row r="696">
      <c r="A696" s="38"/>
      <c r="B696" s="38"/>
      <c r="C696" s="38"/>
    </row>
    <row r="697">
      <c r="A697" s="38"/>
      <c r="B697" s="38"/>
      <c r="C697" s="38"/>
    </row>
    <row r="698">
      <c r="A698" s="38"/>
      <c r="B698" s="38"/>
      <c r="C698" s="38"/>
    </row>
    <row r="699">
      <c r="A699" s="38"/>
      <c r="B699" s="38"/>
      <c r="C699" s="38"/>
    </row>
    <row r="700">
      <c r="A700" s="38"/>
      <c r="B700" s="38"/>
      <c r="C700" s="38"/>
    </row>
    <row r="701">
      <c r="A701" s="38"/>
      <c r="B701" s="38"/>
      <c r="C701" s="38"/>
    </row>
    <row r="702">
      <c r="A702" s="38"/>
      <c r="B702" s="38"/>
      <c r="C702" s="38"/>
    </row>
    <row r="703">
      <c r="A703" s="38"/>
      <c r="B703" s="38"/>
      <c r="C703" s="38"/>
    </row>
    <row r="704">
      <c r="A704" s="38"/>
      <c r="B704" s="38"/>
      <c r="C704" s="38"/>
    </row>
    <row r="705">
      <c r="A705" s="38"/>
      <c r="B705" s="38"/>
      <c r="C705" s="38"/>
    </row>
    <row r="706">
      <c r="A706" s="38"/>
      <c r="B706" s="38"/>
      <c r="C706" s="38"/>
    </row>
    <row r="707">
      <c r="A707" s="38"/>
      <c r="B707" s="38"/>
      <c r="C707" s="38"/>
    </row>
    <row r="708">
      <c r="A708" s="38"/>
      <c r="B708" s="38"/>
      <c r="C708" s="38"/>
    </row>
    <row r="709">
      <c r="A709" s="38"/>
      <c r="B709" s="38"/>
      <c r="C709" s="38"/>
    </row>
    <row r="710">
      <c r="A710" s="38"/>
      <c r="B710" s="38"/>
      <c r="C710" s="38"/>
    </row>
    <row r="711">
      <c r="A711" s="38"/>
      <c r="B711" s="38"/>
      <c r="C711" s="38"/>
    </row>
    <row r="712">
      <c r="A712" s="38"/>
      <c r="B712" s="38"/>
      <c r="C712" s="38"/>
    </row>
    <row r="713">
      <c r="A713" s="38"/>
      <c r="B713" s="38"/>
      <c r="C713" s="38"/>
    </row>
    <row r="714">
      <c r="A714" s="38"/>
      <c r="B714" s="38"/>
      <c r="C714" s="38"/>
    </row>
    <row r="715">
      <c r="A715" s="38"/>
      <c r="B715" s="38"/>
      <c r="C715" s="38"/>
    </row>
    <row r="716">
      <c r="A716" s="38"/>
      <c r="B716" s="38"/>
      <c r="C716" s="38"/>
    </row>
    <row r="717">
      <c r="A717" s="38"/>
      <c r="B717" s="38"/>
      <c r="C717" s="38"/>
    </row>
    <row r="718">
      <c r="A718" s="38"/>
      <c r="B718" s="38"/>
      <c r="C718" s="38"/>
    </row>
    <row r="719">
      <c r="A719" s="38"/>
      <c r="B719" s="38"/>
      <c r="C719" s="38"/>
    </row>
    <row r="720">
      <c r="A720" s="38"/>
      <c r="B720" s="38"/>
      <c r="C720" s="38"/>
    </row>
    <row r="721">
      <c r="A721" s="38"/>
      <c r="B721" s="38"/>
      <c r="C721" s="38"/>
    </row>
    <row r="722">
      <c r="A722" s="38"/>
      <c r="B722" s="38"/>
      <c r="C722" s="38"/>
    </row>
    <row r="723">
      <c r="A723" s="38"/>
      <c r="B723" s="38"/>
      <c r="C723" s="38"/>
    </row>
    <row r="724">
      <c r="A724" s="38"/>
      <c r="B724" s="38"/>
      <c r="C724" s="38"/>
    </row>
    <row r="725">
      <c r="A725" s="38"/>
      <c r="B725" s="38"/>
      <c r="C725" s="38"/>
    </row>
    <row r="726">
      <c r="A726" s="38"/>
      <c r="B726" s="38"/>
      <c r="C726" s="38"/>
    </row>
    <row r="727">
      <c r="A727" s="38"/>
      <c r="B727" s="38"/>
      <c r="C727" s="38"/>
    </row>
    <row r="728">
      <c r="A728" s="38"/>
      <c r="B728" s="38"/>
      <c r="C728" s="38"/>
    </row>
    <row r="729">
      <c r="A729" s="38"/>
      <c r="B729" s="38"/>
      <c r="C729" s="38"/>
    </row>
    <row r="730">
      <c r="A730" s="38"/>
      <c r="B730" s="38"/>
      <c r="C730" s="38"/>
    </row>
    <row r="731">
      <c r="A731" s="38"/>
      <c r="B731" s="38"/>
      <c r="C731" s="38"/>
    </row>
    <row r="732">
      <c r="A732" s="38"/>
      <c r="B732" s="38"/>
      <c r="C732" s="38"/>
    </row>
    <row r="733">
      <c r="A733" s="38"/>
      <c r="B733" s="38"/>
      <c r="C733" s="38"/>
    </row>
    <row r="734">
      <c r="A734" s="38"/>
      <c r="B734" s="38"/>
      <c r="C734" s="38"/>
    </row>
    <row r="735">
      <c r="A735" s="38"/>
      <c r="B735" s="38"/>
      <c r="C735" s="38"/>
    </row>
    <row r="736">
      <c r="A736" s="38"/>
      <c r="B736" s="38"/>
      <c r="C736" s="38"/>
    </row>
    <row r="737">
      <c r="A737" s="38"/>
      <c r="B737" s="38"/>
      <c r="C737" s="38"/>
    </row>
    <row r="738">
      <c r="A738" s="38"/>
      <c r="B738" s="38"/>
      <c r="C738" s="38"/>
    </row>
    <row r="739">
      <c r="A739" s="38"/>
      <c r="B739" s="38"/>
      <c r="C739" s="38"/>
    </row>
    <row r="740">
      <c r="A740" s="38"/>
      <c r="B740" s="38"/>
      <c r="C740" s="38"/>
    </row>
    <row r="741">
      <c r="A741" s="38"/>
      <c r="B741" s="38"/>
      <c r="C741" s="38"/>
    </row>
    <row r="742">
      <c r="A742" s="38"/>
      <c r="B742" s="38"/>
      <c r="C742" s="38"/>
    </row>
    <row r="743">
      <c r="A743" s="38"/>
      <c r="B743" s="38"/>
      <c r="C743" s="38"/>
    </row>
    <row r="744">
      <c r="A744" s="38"/>
      <c r="B744" s="38"/>
      <c r="C744" s="38"/>
    </row>
    <row r="745">
      <c r="A745" s="38"/>
      <c r="B745" s="38"/>
      <c r="C745" s="38"/>
    </row>
    <row r="746">
      <c r="A746" s="38"/>
      <c r="B746" s="38"/>
      <c r="C746" s="38"/>
    </row>
    <row r="747">
      <c r="A747" s="38"/>
      <c r="B747" s="38"/>
      <c r="C747" s="38"/>
    </row>
    <row r="748">
      <c r="A748" s="38"/>
      <c r="B748" s="38"/>
      <c r="C748" s="38"/>
    </row>
    <row r="749">
      <c r="A749" s="38"/>
      <c r="B749" s="38"/>
      <c r="C749" s="38"/>
    </row>
    <row r="750">
      <c r="A750" s="38"/>
      <c r="B750" s="38"/>
      <c r="C750" s="38"/>
    </row>
    <row r="751">
      <c r="A751" s="38"/>
      <c r="B751" s="38"/>
      <c r="C751" s="38"/>
    </row>
    <row r="752">
      <c r="A752" s="38"/>
      <c r="B752" s="38"/>
      <c r="C752" s="38"/>
    </row>
    <row r="753">
      <c r="A753" s="38"/>
      <c r="B753" s="38"/>
      <c r="C753" s="38"/>
    </row>
    <row r="754">
      <c r="A754" s="38"/>
      <c r="B754" s="38"/>
      <c r="C754" s="38"/>
    </row>
    <row r="755">
      <c r="A755" s="38"/>
      <c r="B755" s="38"/>
      <c r="C755" s="38"/>
    </row>
    <row r="756">
      <c r="A756" s="38"/>
      <c r="B756" s="38"/>
      <c r="C756" s="38"/>
    </row>
    <row r="757">
      <c r="A757" s="38"/>
      <c r="B757" s="38"/>
      <c r="C757" s="38"/>
    </row>
    <row r="758">
      <c r="A758" s="38"/>
      <c r="B758" s="38"/>
      <c r="C758" s="38"/>
    </row>
    <row r="759">
      <c r="A759" s="38"/>
      <c r="B759" s="38"/>
      <c r="C759" s="38"/>
    </row>
    <row r="760">
      <c r="A760" s="38"/>
      <c r="B760" s="38"/>
      <c r="C760" s="38"/>
    </row>
    <row r="761">
      <c r="A761" s="38"/>
      <c r="B761" s="38"/>
      <c r="C761" s="38"/>
    </row>
    <row r="762">
      <c r="A762" s="38"/>
      <c r="B762" s="38"/>
      <c r="C762" s="38"/>
    </row>
    <row r="763">
      <c r="A763" s="38"/>
      <c r="B763" s="38"/>
      <c r="C763" s="38"/>
    </row>
    <row r="764">
      <c r="A764" s="38"/>
      <c r="B764" s="38"/>
      <c r="C764" s="38"/>
    </row>
    <row r="765">
      <c r="A765" s="38"/>
      <c r="B765" s="38"/>
      <c r="C765" s="38"/>
    </row>
    <row r="766">
      <c r="A766" s="38"/>
      <c r="B766" s="38"/>
      <c r="C766" s="38"/>
    </row>
    <row r="767">
      <c r="A767" s="38"/>
      <c r="B767" s="38"/>
      <c r="C767" s="38"/>
    </row>
    <row r="768">
      <c r="A768" s="38"/>
      <c r="B768" s="38"/>
      <c r="C768" s="38"/>
    </row>
    <row r="769">
      <c r="A769" s="38"/>
      <c r="B769" s="38"/>
      <c r="C769" s="38"/>
    </row>
    <row r="770">
      <c r="A770" s="38"/>
      <c r="B770" s="38"/>
      <c r="C770" s="38"/>
    </row>
    <row r="771">
      <c r="A771" s="38"/>
      <c r="B771" s="38"/>
      <c r="C771" s="38"/>
    </row>
    <row r="772">
      <c r="A772" s="38"/>
      <c r="B772" s="38"/>
      <c r="C772" s="38"/>
    </row>
    <row r="773">
      <c r="A773" s="38"/>
      <c r="B773" s="38"/>
      <c r="C773" s="38"/>
    </row>
    <row r="774">
      <c r="A774" s="38"/>
      <c r="B774" s="38"/>
      <c r="C774" s="38"/>
    </row>
    <row r="775">
      <c r="A775" s="38"/>
      <c r="B775" s="38"/>
      <c r="C775" s="38"/>
    </row>
    <row r="776">
      <c r="A776" s="38"/>
      <c r="B776" s="38"/>
      <c r="C776" s="38"/>
    </row>
    <row r="777">
      <c r="A777" s="38"/>
      <c r="B777" s="38"/>
      <c r="C777" s="38"/>
    </row>
    <row r="778">
      <c r="A778" s="38"/>
      <c r="B778" s="38"/>
      <c r="C778" s="38"/>
    </row>
    <row r="779">
      <c r="A779" s="38"/>
      <c r="B779" s="38"/>
      <c r="C779" s="38"/>
    </row>
    <row r="780">
      <c r="A780" s="38"/>
      <c r="B780" s="38"/>
      <c r="C780" s="38"/>
    </row>
    <row r="781">
      <c r="A781" s="38"/>
      <c r="B781" s="38"/>
      <c r="C781" s="38"/>
    </row>
    <row r="782">
      <c r="A782" s="38"/>
      <c r="B782" s="38"/>
      <c r="C782" s="38"/>
    </row>
    <row r="783">
      <c r="A783" s="38"/>
      <c r="B783" s="38"/>
      <c r="C783" s="38"/>
    </row>
    <row r="784">
      <c r="A784" s="38"/>
      <c r="B784" s="38"/>
      <c r="C784" s="38"/>
    </row>
    <row r="785">
      <c r="A785" s="38"/>
      <c r="B785" s="38"/>
      <c r="C785" s="38"/>
    </row>
    <row r="786">
      <c r="A786" s="38"/>
      <c r="B786" s="38"/>
      <c r="C786" s="38"/>
    </row>
    <row r="787">
      <c r="A787" s="38"/>
      <c r="B787" s="38"/>
      <c r="C787" s="38"/>
    </row>
    <row r="788">
      <c r="A788" s="38"/>
      <c r="B788" s="38"/>
      <c r="C788" s="38"/>
    </row>
    <row r="789">
      <c r="A789" s="38"/>
      <c r="B789" s="38"/>
      <c r="C789" s="38"/>
    </row>
    <row r="790">
      <c r="A790" s="38"/>
      <c r="B790" s="38"/>
      <c r="C790" s="38"/>
    </row>
    <row r="791">
      <c r="A791" s="38"/>
      <c r="B791" s="38"/>
      <c r="C791" s="38"/>
    </row>
    <row r="792">
      <c r="A792" s="38"/>
      <c r="B792" s="38"/>
      <c r="C792" s="38"/>
    </row>
    <row r="793">
      <c r="A793" s="38"/>
      <c r="B793" s="38"/>
      <c r="C793" s="38"/>
    </row>
    <row r="794">
      <c r="A794" s="38"/>
      <c r="B794" s="38"/>
      <c r="C794" s="38"/>
    </row>
    <row r="795">
      <c r="A795" s="38"/>
      <c r="B795" s="38"/>
      <c r="C795" s="38"/>
    </row>
    <row r="796">
      <c r="A796" s="38"/>
      <c r="B796" s="38"/>
      <c r="C796" s="38"/>
    </row>
    <row r="797">
      <c r="A797" s="38"/>
      <c r="B797" s="38"/>
      <c r="C797" s="38"/>
    </row>
    <row r="798">
      <c r="A798" s="38"/>
      <c r="B798" s="38"/>
      <c r="C798" s="38"/>
    </row>
    <row r="799">
      <c r="A799" s="38"/>
      <c r="B799" s="38"/>
      <c r="C799" s="38"/>
    </row>
    <row r="800">
      <c r="A800" s="38"/>
      <c r="B800" s="38"/>
      <c r="C800" s="38"/>
    </row>
    <row r="801">
      <c r="A801" s="38"/>
      <c r="B801" s="38"/>
      <c r="C801" s="38"/>
    </row>
    <row r="802">
      <c r="A802" s="38"/>
      <c r="B802" s="38"/>
      <c r="C802" s="38"/>
    </row>
    <row r="803">
      <c r="A803" s="38"/>
      <c r="B803" s="38"/>
      <c r="C803" s="38"/>
    </row>
    <row r="804">
      <c r="A804" s="38"/>
      <c r="B804" s="38"/>
      <c r="C804" s="38"/>
    </row>
    <row r="805">
      <c r="A805" s="38"/>
      <c r="B805" s="38"/>
      <c r="C805" s="38"/>
    </row>
    <row r="806">
      <c r="A806" s="38"/>
      <c r="B806" s="38"/>
      <c r="C806" s="38"/>
    </row>
    <row r="807">
      <c r="A807" s="38"/>
      <c r="B807" s="38"/>
      <c r="C807" s="38"/>
    </row>
    <row r="808">
      <c r="A808" s="38"/>
      <c r="B808" s="38"/>
      <c r="C808" s="38"/>
    </row>
    <row r="809">
      <c r="A809" s="38"/>
      <c r="B809" s="38"/>
      <c r="C809" s="38"/>
    </row>
    <row r="810">
      <c r="A810" s="38"/>
      <c r="B810" s="38"/>
      <c r="C810" s="38"/>
    </row>
    <row r="811">
      <c r="A811" s="38"/>
      <c r="B811" s="38"/>
      <c r="C811" s="38"/>
    </row>
    <row r="812">
      <c r="A812" s="38"/>
      <c r="B812" s="38"/>
      <c r="C812" s="38"/>
    </row>
    <row r="813">
      <c r="A813" s="38"/>
      <c r="B813" s="38"/>
      <c r="C813" s="38"/>
    </row>
    <row r="814">
      <c r="A814" s="38"/>
      <c r="B814" s="38"/>
      <c r="C814" s="38"/>
    </row>
    <row r="815">
      <c r="A815" s="38"/>
      <c r="B815" s="38"/>
      <c r="C815" s="38"/>
    </row>
    <row r="816">
      <c r="A816" s="38"/>
      <c r="B816" s="38"/>
      <c r="C816" s="38"/>
    </row>
    <row r="817">
      <c r="A817" s="38"/>
      <c r="B817" s="38"/>
      <c r="C817" s="38"/>
    </row>
    <row r="818">
      <c r="A818" s="38"/>
      <c r="B818" s="38"/>
      <c r="C818" s="38"/>
    </row>
    <row r="819">
      <c r="A819" s="38"/>
      <c r="B819" s="38"/>
      <c r="C819" s="38"/>
    </row>
    <row r="820">
      <c r="A820" s="38"/>
      <c r="B820" s="38"/>
      <c r="C820" s="38"/>
    </row>
    <row r="821">
      <c r="A821" s="38"/>
      <c r="B821" s="38"/>
      <c r="C821" s="38"/>
    </row>
    <row r="822">
      <c r="A822" s="38"/>
      <c r="B822" s="38"/>
      <c r="C822" s="38"/>
    </row>
    <row r="823">
      <c r="A823" s="38"/>
      <c r="B823" s="38"/>
      <c r="C823" s="38"/>
    </row>
    <row r="824">
      <c r="A824" s="38"/>
      <c r="B824" s="38"/>
      <c r="C824" s="38"/>
    </row>
    <row r="825">
      <c r="A825" s="38"/>
      <c r="B825" s="38"/>
      <c r="C825" s="38"/>
    </row>
    <row r="826">
      <c r="A826" s="38"/>
      <c r="B826" s="38"/>
      <c r="C826" s="38"/>
    </row>
    <row r="827">
      <c r="A827" s="38"/>
      <c r="B827" s="38"/>
      <c r="C827" s="38"/>
    </row>
    <row r="828">
      <c r="A828" s="38"/>
      <c r="B828" s="38"/>
      <c r="C828" s="38"/>
    </row>
    <row r="829">
      <c r="A829" s="38"/>
      <c r="B829" s="38"/>
      <c r="C829" s="38"/>
    </row>
    <row r="830">
      <c r="A830" s="38"/>
      <c r="B830" s="38"/>
      <c r="C830" s="38"/>
    </row>
    <row r="831">
      <c r="A831" s="38"/>
      <c r="B831" s="38"/>
      <c r="C831" s="38"/>
    </row>
    <row r="832">
      <c r="A832" s="38"/>
      <c r="B832" s="38"/>
      <c r="C832" s="38"/>
    </row>
    <row r="833">
      <c r="A833" s="38"/>
      <c r="B833" s="38"/>
      <c r="C833" s="38"/>
    </row>
    <row r="834">
      <c r="A834" s="38"/>
      <c r="B834" s="38"/>
      <c r="C834" s="38"/>
    </row>
    <row r="835">
      <c r="A835" s="38"/>
      <c r="B835" s="38"/>
      <c r="C835" s="38"/>
    </row>
    <row r="836">
      <c r="A836" s="38"/>
      <c r="B836" s="38"/>
      <c r="C836" s="38"/>
    </row>
    <row r="837">
      <c r="A837" s="38"/>
      <c r="B837" s="38"/>
      <c r="C837" s="38"/>
    </row>
    <row r="838">
      <c r="A838" s="38"/>
      <c r="B838" s="38"/>
      <c r="C838" s="38"/>
    </row>
    <row r="839">
      <c r="A839" s="38"/>
      <c r="B839" s="38"/>
      <c r="C839" s="38"/>
    </row>
    <row r="840">
      <c r="A840" s="38"/>
      <c r="B840" s="38"/>
      <c r="C840" s="38"/>
    </row>
    <row r="841">
      <c r="A841" s="38"/>
      <c r="B841" s="38"/>
      <c r="C841" s="38"/>
    </row>
    <row r="842">
      <c r="A842" s="38"/>
      <c r="B842" s="38"/>
      <c r="C842" s="38"/>
    </row>
    <row r="843">
      <c r="A843" s="38"/>
      <c r="B843" s="38"/>
      <c r="C843" s="38"/>
    </row>
    <row r="844">
      <c r="A844" s="38"/>
      <c r="B844" s="38"/>
      <c r="C844" s="38"/>
    </row>
    <row r="845">
      <c r="A845" s="38"/>
      <c r="B845" s="38"/>
      <c r="C845" s="38"/>
    </row>
    <row r="846">
      <c r="A846" s="38"/>
      <c r="B846" s="38"/>
      <c r="C846" s="38"/>
    </row>
    <row r="847">
      <c r="A847" s="38"/>
      <c r="B847" s="38"/>
      <c r="C847" s="38"/>
    </row>
    <row r="848">
      <c r="A848" s="38"/>
      <c r="B848" s="38"/>
      <c r="C848" s="38"/>
    </row>
    <row r="849">
      <c r="A849" s="38"/>
      <c r="B849" s="38"/>
      <c r="C849" s="38"/>
    </row>
    <row r="850">
      <c r="A850" s="38"/>
      <c r="B850" s="38"/>
      <c r="C850" s="38"/>
    </row>
    <row r="851">
      <c r="A851" s="38"/>
      <c r="B851" s="38"/>
      <c r="C851" s="38"/>
    </row>
    <row r="852">
      <c r="A852" s="38"/>
      <c r="B852" s="38"/>
      <c r="C852" s="38"/>
    </row>
    <row r="853">
      <c r="A853" s="38"/>
      <c r="B853" s="38"/>
      <c r="C853" s="38"/>
    </row>
    <row r="854">
      <c r="A854" s="38"/>
      <c r="B854" s="38"/>
      <c r="C854" s="38"/>
    </row>
    <row r="855">
      <c r="A855" s="38"/>
      <c r="B855" s="38"/>
      <c r="C855" s="38"/>
    </row>
    <row r="856">
      <c r="A856" s="38"/>
      <c r="B856" s="38"/>
      <c r="C856" s="38"/>
    </row>
    <row r="857">
      <c r="A857" s="38"/>
      <c r="B857" s="38"/>
      <c r="C857" s="38"/>
    </row>
    <row r="858">
      <c r="A858" s="38"/>
      <c r="B858" s="38"/>
      <c r="C858" s="38"/>
    </row>
    <row r="859">
      <c r="A859" s="38"/>
      <c r="B859" s="38"/>
      <c r="C859" s="38"/>
    </row>
    <row r="860">
      <c r="A860" s="38"/>
      <c r="B860" s="38"/>
      <c r="C860" s="38"/>
    </row>
    <row r="861">
      <c r="A861" s="38"/>
      <c r="B861" s="38"/>
      <c r="C861" s="38"/>
    </row>
    <row r="862">
      <c r="A862" s="38"/>
      <c r="B862" s="38"/>
      <c r="C862" s="38"/>
    </row>
    <row r="863">
      <c r="A863" s="38"/>
      <c r="B863" s="38"/>
      <c r="C863" s="38"/>
    </row>
    <row r="864">
      <c r="A864" s="38"/>
      <c r="B864" s="38"/>
      <c r="C864" s="38"/>
    </row>
    <row r="865">
      <c r="A865" s="38"/>
      <c r="B865" s="38"/>
      <c r="C865" s="38"/>
    </row>
    <row r="866">
      <c r="A866" s="38"/>
      <c r="B866" s="38"/>
      <c r="C866" s="38"/>
    </row>
    <row r="867">
      <c r="A867" s="38"/>
      <c r="B867" s="38"/>
      <c r="C867" s="38"/>
    </row>
    <row r="868">
      <c r="A868" s="38"/>
      <c r="B868" s="38"/>
      <c r="C868" s="38"/>
    </row>
    <row r="869">
      <c r="A869" s="38"/>
      <c r="B869" s="38"/>
      <c r="C869" s="38"/>
    </row>
    <row r="870">
      <c r="A870" s="38"/>
      <c r="B870" s="38"/>
      <c r="C870" s="38"/>
    </row>
    <row r="871">
      <c r="A871" s="38"/>
      <c r="B871" s="38"/>
      <c r="C871" s="38"/>
    </row>
    <row r="872">
      <c r="A872" s="38"/>
      <c r="B872" s="38"/>
      <c r="C872" s="38"/>
    </row>
    <row r="873">
      <c r="A873" s="38"/>
      <c r="B873" s="38"/>
      <c r="C873" s="38"/>
    </row>
    <row r="874">
      <c r="A874" s="38"/>
      <c r="B874" s="38"/>
      <c r="C874" s="38"/>
    </row>
    <row r="875">
      <c r="A875" s="38"/>
      <c r="B875" s="38"/>
      <c r="C875" s="38"/>
    </row>
    <row r="876">
      <c r="A876" s="38"/>
      <c r="B876" s="38"/>
      <c r="C876" s="38"/>
    </row>
    <row r="877">
      <c r="A877" s="38"/>
      <c r="B877" s="38"/>
      <c r="C877" s="38"/>
    </row>
    <row r="878">
      <c r="A878" s="38"/>
      <c r="B878" s="38"/>
      <c r="C878" s="38"/>
    </row>
    <row r="879">
      <c r="A879" s="38"/>
      <c r="B879" s="38"/>
      <c r="C879" s="38"/>
    </row>
    <row r="880">
      <c r="A880" s="38"/>
      <c r="B880" s="38"/>
      <c r="C880" s="38"/>
    </row>
    <row r="881">
      <c r="A881" s="38"/>
      <c r="B881" s="38"/>
      <c r="C881" s="38"/>
    </row>
    <row r="882">
      <c r="A882" s="38"/>
      <c r="B882" s="38"/>
      <c r="C882" s="38"/>
    </row>
    <row r="883">
      <c r="A883" s="38"/>
      <c r="B883" s="38"/>
      <c r="C883" s="38"/>
    </row>
    <row r="884">
      <c r="A884" s="38"/>
      <c r="B884" s="38"/>
      <c r="C884" s="38"/>
    </row>
    <row r="885">
      <c r="A885" s="38"/>
      <c r="B885" s="38"/>
      <c r="C885" s="38"/>
    </row>
    <row r="886">
      <c r="A886" s="38"/>
      <c r="B886" s="38"/>
      <c r="C886" s="38"/>
    </row>
    <row r="887">
      <c r="A887" s="38"/>
      <c r="B887" s="38"/>
      <c r="C887" s="38"/>
    </row>
    <row r="888">
      <c r="A888" s="38"/>
      <c r="B888" s="38"/>
      <c r="C888" s="38"/>
    </row>
    <row r="889">
      <c r="A889" s="38"/>
      <c r="B889" s="38"/>
      <c r="C889" s="38"/>
    </row>
    <row r="890">
      <c r="A890" s="38"/>
      <c r="B890" s="38"/>
      <c r="C890" s="38"/>
    </row>
    <row r="891">
      <c r="A891" s="38"/>
      <c r="B891" s="38"/>
      <c r="C891" s="38"/>
    </row>
    <row r="892">
      <c r="A892" s="38"/>
      <c r="B892" s="38"/>
      <c r="C892" s="38"/>
    </row>
    <row r="893">
      <c r="A893" s="38"/>
      <c r="B893" s="38"/>
      <c r="C893" s="38"/>
    </row>
    <row r="894">
      <c r="A894" s="38"/>
      <c r="B894" s="38"/>
      <c r="C894" s="38"/>
    </row>
    <row r="895">
      <c r="A895" s="38"/>
      <c r="B895" s="38"/>
      <c r="C895" s="38"/>
    </row>
    <row r="896">
      <c r="A896" s="38"/>
      <c r="B896" s="38"/>
      <c r="C896" s="38"/>
    </row>
    <row r="897">
      <c r="A897" s="38"/>
      <c r="B897" s="38"/>
      <c r="C897" s="38"/>
    </row>
    <row r="898">
      <c r="A898" s="38"/>
      <c r="B898" s="38"/>
      <c r="C898" s="38"/>
    </row>
    <row r="899">
      <c r="A899" s="38"/>
      <c r="B899" s="38"/>
      <c r="C899" s="38"/>
    </row>
    <row r="900">
      <c r="A900" s="38"/>
      <c r="B900" s="38"/>
      <c r="C900" s="38"/>
    </row>
    <row r="901">
      <c r="A901" s="38"/>
      <c r="B901" s="38"/>
      <c r="C901" s="38"/>
    </row>
    <row r="902">
      <c r="A902" s="38"/>
      <c r="B902" s="38"/>
      <c r="C902" s="38"/>
    </row>
    <row r="903">
      <c r="A903" s="38"/>
      <c r="B903" s="38"/>
      <c r="C903" s="38"/>
    </row>
    <row r="904">
      <c r="A904" s="38"/>
      <c r="B904" s="38"/>
      <c r="C904" s="38"/>
    </row>
    <row r="905">
      <c r="A905" s="38"/>
      <c r="B905" s="38"/>
      <c r="C905" s="38"/>
    </row>
    <row r="906">
      <c r="A906" s="38"/>
      <c r="B906" s="38"/>
      <c r="C906" s="38"/>
    </row>
    <row r="907">
      <c r="A907" s="38"/>
      <c r="B907" s="38"/>
      <c r="C907" s="38"/>
    </row>
    <row r="908">
      <c r="A908" s="38"/>
      <c r="B908" s="38"/>
      <c r="C908" s="38"/>
    </row>
    <row r="909">
      <c r="A909" s="38"/>
      <c r="B909" s="38"/>
      <c r="C909" s="38"/>
    </row>
    <row r="910">
      <c r="A910" s="38"/>
      <c r="B910" s="38"/>
      <c r="C910" s="38"/>
    </row>
    <row r="911">
      <c r="A911" s="38"/>
      <c r="B911" s="38"/>
      <c r="C911" s="38"/>
    </row>
    <row r="912">
      <c r="A912" s="38"/>
      <c r="B912" s="38"/>
      <c r="C912" s="38"/>
    </row>
    <row r="913">
      <c r="A913" s="38"/>
      <c r="B913" s="38"/>
      <c r="C913" s="38"/>
    </row>
    <row r="914">
      <c r="A914" s="38"/>
      <c r="B914" s="38"/>
      <c r="C914" s="38"/>
    </row>
    <row r="915">
      <c r="A915" s="38"/>
      <c r="B915" s="38"/>
      <c r="C915" s="38"/>
    </row>
    <row r="916">
      <c r="A916" s="38"/>
      <c r="B916" s="38"/>
      <c r="C916" s="38"/>
    </row>
    <row r="917">
      <c r="A917" s="38"/>
      <c r="B917" s="38"/>
      <c r="C917" s="38"/>
    </row>
    <row r="918">
      <c r="A918" s="38"/>
      <c r="B918" s="38"/>
      <c r="C918" s="38"/>
    </row>
    <row r="919">
      <c r="A919" s="38"/>
      <c r="B919" s="38"/>
      <c r="C919" s="38"/>
    </row>
    <row r="920">
      <c r="A920" s="38"/>
      <c r="B920" s="38"/>
      <c r="C920" s="38"/>
    </row>
    <row r="921">
      <c r="A921" s="38"/>
      <c r="B921" s="38"/>
      <c r="C921" s="38"/>
    </row>
    <row r="922">
      <c r="A922" s="38"/>
      <c r="B922" s="38"/>
      <c r="C922" s="38"/>
    </row>
    <row r="923">
      <c r="A923" s="38"/>
      <c r="B923" s="38"/>
      <c r="C923" s="38"/>
    </row>
    <row r="924">
      <c r="A924" s="38"/>
      <c r="B924" s="38"/>
      <c r="C924" s="38"/>
    </row>
    <row r="925">
      <c r="A925" s="38"/>
      <c r="B925" s="38"/>
      <c r="C925" s="38"/>
    </row>
    <row r="926">
      <c r="A926" s="38"/>
      <c r="B926" s="38"/>
      <c r="C926" s="38"/>
    </row>
    <row r="927">
      <c r="A927" s="38"/>
      <c r="B927" s="38"/>
      <c r="C927" s="38"/>
    </row>
    <row r="928">
      <c r="A928" s="38"/>
      <c r="B928" s="38"/>
      <c r="C928" s="38"/>
    </row>
    <row r="929">
      <c r="A929" s="38"/>
      <c r="B929" s="38"/>
      <c r="C929" s="38"/>
    </row>
    <row r="930">
      <c r="A930" s="38"/>
      <c r="B930" s="38"/>
      <c r="C930" s="38"/>
    </row>
    <row r="931">
      <c r="A931" s="38"/>
      <c r="B931" s="38"/>
      <c r="C931" s="38"/>
    </row>
    <row r="932">
      <c r="A932" s="38"/>
      <c r="B932" s="38"/>
      <c r="C932" s="38"/>
    </row>
    <row r="933">
      <c r="A933" s="38"/>
      <c r="B933" s="38"/>
      <c r="C933" s="38"/>
    </row>
    <row r="934">
      <c r="A934" s="38"/>
      <c r="B934" s="38"/>
      <c r="C934" s="38"/>
    </row>
    <row r="935">
      <c r="A935" s="38"/>
      <c r="B935" s="38"/>
      <c r="C935" s="38"/>
    </row>
    <row r="936">
      <c r="A936" s="38"/>
      <c r="B936" s="38"/>
      <c r="C936" s="38"/>
    </row>
    <row r="937">
      <c r="A937" s="38"/>
      <c r="B937" s="38"/>
      <c r="C937" s="38"/>
    </row>
    <row r="938">
      <c r="A938" s="38"/>
      <c r="B938" s="38"/>
      <c r="C938" s="38"/>
    </row>
    <row r="939">
      <c r="A939" s="38"/>
      <c r="B939" s="38"/>
      <c r="C939" s="38"/>
    </row>
  </sheetData>
  <customSheetViews>
    <customSheetView guid="{9D2F5B4C-BA7D-479C-B7FF-4F2FBA79609E}" filter="1" showAutoFilter="1">
      <autoFilter ref="$A$1:$W$42">
        <filterColumn colId="2">
          <customFilters>
            <customFilter val="*971*"/>
          </customFilters>
        </filterColumn>
      </autoFilter>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75"/>
  <cols>
    <col customWidth="1" min="2" max="2" width="21.0"/>
    <col customWidth="1" min="3" max="3" width="13.57"/>
    <col customWidth="1" min="4" max="4" width="16.14"/>
    <col customWidth="1" min="5" max="5" width="27.0"/>
  </cols>
  <sheetData>
    <row r="1">
      <c r="A1" s="224" t="s">
        <v>0</v>
      </c>
      <c r="B1" s="225" t="s">
        <v>1</v>
      </c>
      <c r="C1" s="225" t="s">
        <v>1817</v>
      </c>
      <c r="D1" s="225" t="s">
        <v>2</v>
      </c>
      <c r="E1" s="225" t="s">
        <v>3</v>
      </c>
      <c r="F1" s="225" t="s">
        <v>4</v>
      </c>
      <c r="G1" s="226"/>
      <c r="H1" s="226" t="s">
        <v>6</v>
      </c>
      <c r="I1" s="227" t="s">
        <v>8</v>
      </c>
      <c r="J1" s="226" t="s">
        <v>9</v>
      </c>
      <c r="K1" s="228"/>
      <c r="L1" s="9"/>
      <c r="M1" s="9"/>
      <c r="N1" s="9"/>
      <c r="O1" s="9"/>
      <c r="P1" s="9"/>
      <c r="Q1" s="9"/>
      <c r="R1" s="9"/>
      <c r="S1" s="9"/>
      <c r="T1" s="9"/>
      <c r="U1" s="9"/>
      <c r="V1" s="9"/>
      <c r="W1" s="9"/>
      <c r="X1" s="9"/>
      <c r="Y1" s="9"/>
      <c r="Z1" s="9"/>
      <c r="AA1" s="9"/>
      <c r="AB1" s="9"/>
      <c r="AC1" s="9"/>
      <c r="AD1" s="9"/>
      <c r="AE1" s="9"/>
      <c r="AF1" s="9"/>
      <c r="AG1" s="9"/>
    </row>
    <row r="2">
      <c r="A2" s="229">
        <v>43375.0</v>
      </c>
      <c r="B2" s="230" t="s">
        <v>1824</v>
      </c>
      <c r="C2" s="231" t="s">
        <v>1826</v>
      </c>
      <c r="D2" s="232" t="s">
        <v>1828</v>
      </c>
      <c r="E2" s="233" t="s">
        <v>1829</v>
      </c>
      <c r="F2" s="234" t="s">
        <v>1830</v>
      </c>
      <c r="H2" s="235" t="s">
        <v>1831</v>
      </c>
      <c r="I2" s="117" t="s">
        <v>1832</v>
      </c>
    </row>
    <row r="3">
      <c r="A3" s="229">
        <v>43375.0</v>
      </c>
      <c r="B3" s="236" t="s">
        <v>1833</v>
      </c>
      <c r="C3" s="237"/>
      <c r="D3" s="238" t="s">
        <v>1834</v>
      </c>
      <c r="E3" s="239" t="s">
        <v>1835</v>
      </c>
      <c r="F3" s="234" t="s">
        <v>1839</v>
      </c>
      <c r="I3" s="240" t="s">
        <v>1840</v>
      </c>
    </row>
    <row r="4">
      <c r="A4" s="229">
        <v>43375.0</v>
      </c>
      <c r="B4" s="241" t="s">
        <v>1844</v>
      </c>
      <c r="C4" s="87" t="s">
        <v>675</v>
      </c>
      <c r="D4" s="242" t="s">
        <v>1845</v>
      </c>
      <c r="E4" s="243" t="s">
        <v>1848</v>
      </c>
      <c r="F4" s="234" t="s">
        <v>1839</v>
      </c>
      <c r="I4" s="182" t="s">
        <v>1855</v>
      </c>
    </row>
    <row r="5">
      <c r="A5" s="229">
        <v>43375.0</v>
      </c>
      <c r="B5" s="244" t="s">
        <v>1857</v>
      </c>
      <c r="C5" s="245" t="s">
        <v>1860</v>
      </c>
      <c r="D5" s="126" t="s">
        <v>1862</v>
      </c>
      <c r="E5" s="117" t="s">
        <v>1863</v>
      </c>
      <c r="F5" s="246" t="s">
        <v>476</v>
      </c>
      <c r="H5" s="250" t="s">
        <v>1865</v>
      </c>
    </row>
    <row r="6">
      <c r="A6" s="229">
        <v>43375.0</v>
      </c>
      <c r="B6" s="251" t="s">
        <v>1883</v>
      </c>
      <c r="C6" s="231" t="s">
        <v>1826</v>
      </c>
      <c r="D6" s="126" t="s">
        <v>1884</v>
      </c>
      <c r="E6" s="253" t="s">
        <v>1885</v>
      </c>
      <c r="F6" s="246" t="s">
        <v>476</v>
      </c>
    </row>
    <row r="7">
      <c r="A7" s="229">
        <v>43375.0</v>
      </c>
      <c r="B7" s="244" t="s">
        <v>1891</v>
      </c>
      <c r="C7" s="231" t="s">
        <v>1826</v>
      </c>
      <c r="D7" s="254">
        <f>+923008645303</f>
        <v>923008645303</v>
      </c>
      <c r="E7" s="255" t="s">
        <v>1896</v>
      </c>
      <c r="F7" s="246" t="s">
        <v>476</v>
      </c>
    </row>
    <row r="8">
      <c r="A8" s="229">
        <v>43375.0</v>
      </c>
      <c r="B8" s="256" t="s">
        <v>1903</v>
      </c>
      <c r="C8" s="231" t="s">
        <v>1826</v>
      </c>
      <c r="D8" s="126" t="s">
        <v>1905</v>
      </c>
      <c r="E8" s="257" t="s">
        <v>1906</v>
      </c>
      <c r="F8" s="234" t="s">
        <v>1839</v>
      </c>
      <c r="H8" s="212" t="s">
        <v>1911</v>
      </c>
    </row>
    <row r="9">
      <c r="A9" s="262">
        <v>43371.0</v>
      </c>
      <c r="B9" s="263" t="s">
        <v>1917</v>
      </c>
      <c r="C9" s="245" t="s">
        <v>1919</v>
      </c>
      <c r="D9" s="264" t="s">
        <v>1920</v>
      </c>
      <c r="E9" s="255" t="s">
        <v>1923</v>
      </c>
      <c r="F9" s="36" t="s">
        <v>1926</v>
      </c>
      <c r="H9" s="36" t="s">
        <v>1927</v>
      </c>
    </row>
    <row r="10">
      <c r="A10" s="262">
        <v>43370.0</v>
      </c>
      <c r="B10" s="263" t="s">
        <v>1928</v>
      </c>
      <c r="C10" s="245" t="s">
        <v>1929</v>
      </c>
      <c r="D10" s="266" t="s">
        <v>1930</v>
      </c>
      <c r="E10" s="253" t="s">
        <v>1932</v>
      </c>
      <c r="F10" s="234" t="s">
        <v>1839</v>
      </c>
    </row>
    <row r="11">
      <c r="A11" s="262">
        <v>43369.0</v>
      </c>
      <c r="B11" s="244" t="s">
        <v>1937</v>
      </c>
      <c r="C11" s="270" t="s">
        <v>1938</v>
      </c>
      <c r="D11" s="272">
        <v>9.710552893441E12</v>
      </c>
      <c r="E11" s="117" t="s">
        <v>1940</v>
      </c>
      <c r="F11" s="36" t="s">
        <v>1941</v>
      </c>
    </row>
    <row r="12">
      <c r="A12" s="262">
        <v>43367.0</v>
      </c>
      <c r="B12" s="244" t="s">
        <v>1942</v>
      </c>
      <c r="C12" s="245" t="s">
        <v>1929</v>
      </c>
      <c r="D12" s="275" t="s">
        <v>1943</v>
      </c>
      <c r="E12" s="117" t="s">
        <v>1946</v>
      </c>
      <c r="F12" s="36" t="s">
        <v>1947</v>
      </c>
      <c r="H12" s="36" t="s">
        <v>1948</v>
      </c>
    </row>
    <row r="13">
      <c r="A13" s="262">
        <v>43366.0</v>
      </c>
      <c r="B13" s="251" t="s">
        <v>1949</v>
      </c>
      <c r="C13" s="245" t="s">
        <v>1929</v>
      </c>
      <c r="D13" s="278" t="s">
        <v>1950</v>
      </c>
      <c r="E13" s="255" t="s">
        <v>1951</v>
      </c>
      <c r="F13" s="246" t="s">
        <v>476</v>
      </c>
    </row>
    <row r="14">
      <c r="A14" s="262">
        <v>43365.0</v>
      </c>
      <c r="B14" s="251" t="s">
        <v>1961</v>
      </c>
      <c r="C14" s="280"/>
      <c r="D14" s="278" t="s">
        <v>1962</v>
      </c>
      <c r="E14" s="255" t="s">
        <v>1964</v>
      </c>
      <c r="F14" s="246" t="s">
        <v>476</v>
      </c>
      <c r="H14" s="216" t="s">
        <v>1970</v>
      </c>
    </row>
    <row r="15">
      <c r="A15" s="281">
        <v>43376.0</v>
      </c>
      <c r="C15" s="117" t="s">
        <v>15</v>
      </c>
      <c r="D15" s="117"/>
    </row>
    <row r="16">
      <c r="A16" s="281">
        <v>43376.0</v>
      </c>
      <c r="B16" s="119" t="s">
        <v>1972</v>
      </c>
      <c r="C16" s="117" t="s">
        <v>158</v>
      </c>
      <c r="D16" s="126" t="s">
        <v>1974</v>
      </c>
      <c r="E16" s="119" t="s">
        <v>1975</v>
      </c>
      <c r="F16" s="234" t="s">
        <v>1839</v>
      </c>
      <c r="H16" s="36" t="s">
        <v>1976</v>
      </c>
      <c r="I16" s="36" t="s">
        <v>362</v>
      </c>
    </row>
    <row r="17">
      <c r="A17" s="281">
        <v>43376.0</v>
      </c>
      <c r="B17" s="117" t="s">
        <v>1978</v>
      </c>
      <c r="C17" s="231" t="s">
        <v>1826</v>
      </c>
      <c r="D17" s="126" t="s">
        <v>1979</v>
      </c>
      <c r="E17" s="257" t="s">
        <v>1980</v>
      </c>
      <c r="F17" s="234" t="s">
        <v>1839</v>
      </c>
      <c r="H17" s="234" t="s">
        <v>455</v>
      </c>
    </row>
    <row r="18">
      <c r="A18" s="281">
        <v>43376.0</v>
      </c>
      <c r="B18" s="36" t="s">
        <v>1987</v>
      </c>
      <c r="C18" s="282" t="s">
        <v>1988</v>
      </c>
      <c r="D18" s="126" t="s">
        <v>1990</v>
      </c>
      <c r="F18" s="36" t="s">
        <v>1992</v>
      </c>
      <c r="H18" s="36" t="s">
        <v>1993</v>
      </c>
    </row>
    <row r="19">
      <c r="A19" s="281">
        <v>43377.0</v>
      </c>
      <c r="B19" s="117" t="s">
        <v>1995</v>
      </c>
      <c r="C19" s="283" t="s">
        <v>1996</v>
      </c>
      <c r="D19" s="126" t="s">
        <v>1998</v>
      </c>
      <c r="E19" s="36" t="s">
        <v>2000</v>
      </c>
      <c r="F19" s="234" t="s">
        <v>1839</v>
      </c>
      <c r="H19" s="212" t="s">
        <v>2001</v>
      </c>
    </row>
    <row r="20">
      <c r="A20" s="262">
        <v>43377.0</v>
      </c>
      <c r="B20" s="36" t="s">
        <v>2004</v>
      </c>
      <c r="D20" s="124" t="s">
        <v>2005</v>
      </c>
      <c r="E20" s="36" t="s">
        <v>2006</v>
      </c>
      <c r="F20" s="36" t="s">
        <v>50</v>
      </c>
      <c r="J20" s="36" t="s">
        <v>54</v>
      </c>
    </row>
    <row r="21">
      <c r="A21" s="262">
        <v>43379.0</v>
      </c>
      <c r="B21" s="284" t="s">
        <v>2007</v>
      </c>
      <c r="C21" s="285"/>
      <c r="D21" s="266" t="s">
        <v>2009</v>
      </c>
      <c r="E21" s="257" t="s">
        <v>2011</v>
      </c>
      <c r="F21" s="234" t="s">
        <v>1839</v>
      </c>
      <c r="H21" s="212" t="s">
        <v>2016</v>
      </c>
    </row>
    <row r="22">
      <c r="A22" s="262">
        <v>43380.0</v>
      </c>
      <c r="B22" s="117" t="s">
        <v>556</v>
      </c>
      <c r="C22" s="285"/>
      <c r="D22" s="278" t="s">
        <v>2028</v>
      </c>
      <c r="E22" s="257" t="s">
        <v>2030</v>
      </c>
      <c r="H22" s="240" t="s">
        <v>2036</v>
      </c>
    </row>
    <row r="23">
      <c r="A23" s="262">
        <v>43380.0</v>
      </c>
      <c r="B23" s="36" t="s">
        <v>2039</v>
      </c>
      <c r="D23" s="126" t="s">
        <v>2040</v>
      </c>
      <c r="E23" s="257" t="s">
        <v>2041</v>
      </c>
      <c r="F23" s="36" t="s">
        <v>50</v>
      </c>
      <c r="H23" s="117" t="s">
        <v>2046</v>
      </c>
      <c r="I23" s="200" t="s">
        <v>2047</v>
      </c>
      <c r="J23" s="36" t="s">
        <v>54</v>
      </c>
    </row>
    <row r="24">
      <c r="A24" s="262">
        <v>43381.0</v>
      </c>
      <c r="B24" s="36" t="s">
        <v>2048</v>
      </c>
      <c r="D24" s="36" t="s">
        <v>2049</v>
      </c>
      <c r="E24" s="36" t="s">
        <v>2050</v>
      </c>
      <c r="H24" s="36" t="s">
        <v>2051</v>
      </c>
      <c r="J24" s="90" t="s">
        <v>373</v>
      </c>
    </row>
    <row r="25">
      <c r="A25" s="262">
        <v>43382.0</v>
      </c>
      <c r="B25" s="117" t="s">
        <v>2052</v>
      </c>
      <c r="C25" s="285"/>
      <c r="D25" s="278" t="s">
        <v>2053</v>
      </c>
      <c r="E25" s="257" t="s">
        <v>2054</v>
      </c>
      <c r="H25" s="117" t="s">
        <v>2055</v>
      </c>
    </row>
    <row r="26">
      <c r="A26" s="262">
        <v>43414.0</v>
      </c>
      <c r="B26" s="119" t="s">
        <v>2056</v>
      </c>
      <c r="C26" s="285"/>
      <c r="D26" s="124" t="s">
        <v>2057</v>
      </c>
      <c r="E26" s="36" t="s">
        <v>2058</v>
      </c>
      <c r="F26" s="36" t="s">
        <v>770</v>
      </c>
      <c r="H26" s="36" t="s">
        <v>2059</v>
      </c>
    </row>
    <row r="27">
      <c r="A27" s="262">
        <v>43414.0</v>
      </c>
      <c r="B27" s="36" t="s">
        <v>2060</v>
      </c>
      <c r="D27" s="36" t="s">
        <v>2061</v>
      </c>
      <c r="E27" s="36" t="s">
        <v>2062</v>
      </c>
      <c r="F27" s="234" t="s">
        <v>1839</v>
      </c>
      <c r="G27" s="36" t="s">
        <v>2063</v>
      </c>
    </row>
    <row r="28">
      <c r="A28" s="287" t="s">
        <v>2064</v>
      </c>
      <c r="B28" s="117" t="s">
        <v>2066</v>
      </c>
      <c r="C28" s="285"/>
      <c r="D28" s="124" t="s">
        <v>2068</v>
      </c>
      <c r="E28" s="36" t="s">
        <v>2069</v>
      </c>
      <c r="J28" s="90" t="s">
        <v>492</v>
      </c>
    </row>
    <row r="29">
      <c r="A29" s="287" t="s">
        <v>2064</v>
      </c>
      <c r="B29" s="36" t="s">
        <v>2071</v>
      </c>
      <c r="C29" s="285"/>
      <c r="D29" s="278" t="s">
        <v>2072</v>
      </c>
      <c r="E29" s="257" t="s">
        <v>2073</v>
      </c>
      <c r="F29" s="36" t="s">
        <v>50</v>
      </c>
      <c r="G29" s="257" t="s">
        <v>2079</v>
      </c>
    </row>
    <row r="30">
      <c r="A30" s="287" t="s">
        <v>2064</v>
      </c>
      <c r="B30" s="117" t="s">
        <v>2100</v>
      </c>
      <c r="D30" s="126" t="s">
        <v>2102</v>
      </c>
      <c r="E30" s="36" t="s">
        <v>2103</v>
      </c>
      <c r="F30" s="234" t="s">
        <v>1839</v>
      </c>
      <c r="G30" s="240" t="s">
        <v>1060</v>
      </c>
      <c r="J30" s="36" t="s">
        <v>32</v>
      </c>
    </row>
    <row r="31">
      <c r="A31" s="287" t="s">
        <v>2104</v>
      </c>
      <c r="B31" s="36" t="s">
        <v>2105</v>
      </c>
      <c r="D31" s="289" t="s">
        <v>2106</v>
      </c>
      <c r="E31" s="36" t="s">
        <v>2109</v>
      </c>
      <c r="F31" s="234" t="s">
        <v>1839</v>
      </c>
      <c r="H31" s="119" t="s">
        <v>2110</v>
      </c>
    </row>
    <row r="32">
      <c r="A32" s="287" t="s">
        <v>2104</v>
      </c>
      <c r="B32" s="36" t="s">
        <v>2113</v>
      </c>
      <c r="D32" s="289" t="s">
        <v>2114</v>
      </c>
      <c r="E32" s="117"/>
      <c r="F32" s="36" t="s">
        <v>252</v>
      </c>
      <c r="G32" s="36" t="s">
        <v>2116</v>
      </c>
    </row>
    <row r="33">
      <c r="A33" s="287" t="s">
        <v>2104</v>
      </c>
      <c r="B33" s="36" t="s">
        <v>2117</v>
      </c>
      <c r="D33" s="124" t="s">
        <v>2118</v>
      </c>
      <c r="E33" s="36" t="s">
        <v>2119</v>
      </c>
      <c r="F33" s="36" t="s">
        <v>2120</v>
      </c>
      <c r="H33" s="36" t="s">
        <v>2121</v>
      </c>
    </row>
    <row r="34">
      <c r="A34" s="291" t="s">
        <v>2122</v>
      </c>
      <c r="B34" s="36" t="s">
        <v>2123</v>
      </c>
      <c r="D34" s="289">
        <f>971558495835</f>
        <v>971558495835</v>
      </c>
      <c r="E34" s="36" t="s">
        <v>2124</v>
      </c>
      <c r="F34" s="36" t="s">
        <v>2125</v>
      </c>
      <c r="J34" s="36" t="s">
        <v>45</v>
      </c>
    </row>
    <row r="35">
      <c r="A35" s="291" t="s">
        <v>2122</v>
      </c>
      <c r="B35" s="36" t="s">
        <v>2126</v>
      </c>
      <c r="D35" s="124" t="s">
        <v>2127</v>
      </c>
      <c r="E35" s="124" t="s">
        <v>2128</v>
      </c>
      <c r="F35" s="36" t="s">
        <v>2129</v>
      </c>
      <c r="H35" s="36" t="s">
        <v>2130</v>
      </c>
      <c r="J35" s="90" t="s">
        <v>492</v>
      </c>
    </row>
    <row r="36">
      <c r="A36" s="36" t="s">
        <v>2131</v>
      </c>
      <c r="B36" s="36" t="s">
        <v>2132</v>
      </c>
      <c r="D36" s="124" t="s">
        <v>2133</v>
      </c>
      <c r="E36" s="36" t="s">
        <v>2134</v>
      </c>
      <c r="F36" s="36" t="s">
        <v>2135</v>
      </c>
      <c r="G36" s="36" t="s">
        <v>2136</v>
      </c>
      <c r="J36" s="36" t="s">
        <v>45</v>
      </c>
    </row>
    <row r="37">
      <c r="A37" s="36" t="s">
        <v>2131</v>
      </c>
      <c r="B37" s="36" t="s">
        <v>2137</v>
      </c>
      <c r="D37" s="126" t="s">
        <v>2138</v>
      </c>
      <c r="E37" s="36" t="s">
        <v>2139</v>
      </c>
      <c r="F37" s="36" t="s">
        <v>2140</v>
      </c>
      <c r="H37" s="36" t="s">
        <v>1664</v>
      </c>
    </row>
    <row r="38">
      <c r="A38" s="36" t="s">
        <v>2141</v>
      </c>
      <c r="B38" s="36" t="s">
        <v>2142</v>
      </c>
      <c r="D38" s="126" t="s">
        <v>2143</v>
      </c>
      <c r="E38" s="36" t="s">
        <v>2144</v>
      </c>
      <c r="F38" s="36" t="s">
        <v>2145</v>
      </c>
      <c r="I38" s="36" t="s">
        <v>2146</v>
      </c>
      <c r="J38" s="36" t="s">
        <v>278</v>
      </c>
    </row>
    <row r="39">
      <c r="A39" s="36" t="s">
        <v>2147</v>
      </c>
      <c r="B39" s="36" t="s">
        <v>2148</v>
      </c>
      <c r="C39" s="90" t="s">
        <v>2149</v>
      </c>
      <c r="D39" s="36" t="s">
        <v>2150</v>
      </c>
      <c r="E39" s="36" t="s">
        <v>2151</v>
      </c>
      <c r="F39" s="36" t="s">
        <v>2152</v>
      </c>
      <c r="H39" s="36" t="s">
        <v>2153</v>
      </c>
    </row>
    <row r="40">
      <c r="A40" s="36" t="s">
        <v>2147</v>
      </c>
      <c r="B40" s="36" t="s">
        <v>2154</v>
      </c>
      <c r="D40" s="289" t="s">
        <v>2155</v>
      </c>
      <c r="E40" s="36" t="s">
        <v>2156</v>
      </c>
      <c r="F40" s="36" t="s">
        <v>2157</v>
      </c>
      <c r="J40" s="90" t="s">
        <v>609</v>
      </c>
    </row>
    <row r="41">
      <c r="A41" s="36" t="s">
        <v>2147</v>
      </c>
      <c r="B41" s="36" t="s">
        <v>2158</v>
      </c>
      <c r="D41" s="289" t="s">
        <v>2159</v>
      </c>
      <c r="E41" s="36" t="s">
        <v>2160</v>
      </c>
      <c r="F41" s="36" t="s">
        <v>2161</v>
      </c>
      <c r="J41" s="90" t="s">
        <v>492</v>
      </c>
    </row>
    <row r="42">
      <c r="A42" s="36" t="s">
        <v>2147</v>
      </c>
      <c r="B42" s="36" t="s">
        <v>2162</v>
      </c>
      <c r="D42" s="289" t="s">
        <v>2163</v>
      </c>
      <c r="E42" s="36" t="s">
        <v>2164</v>
      </c>
      <c r="F42" s="36" t="s">
        <v>2165</v>
      </c>
      <c r="J42" s="36" t="s">
        <v>45</v>
      </c>
    </row>
    <row r="43">
      <c r="A43" s="36" t="s">
        <v>2166</v>
      </c>
      <c r="B43" s="36" t="s">
        <v>2167</v>
      </c>
      <c r="D43" s="289" t="s">
        <v>2168</v>
      </c>
      <c r="E43" s="36" t="s">
        <v>2169</v>
      </c>
      <c r="F43" s="36" t="s">
        <v>2170</v>
      </c>
      <c r="H43" s="36" t="s">
        <v>2171</v>
      </c>
      <c r="J43" s="90" t="s">
        <v>609</v>
      </c>
    </row>
    <row r="44">
      <c r="A44" s="36" t="s">
        <v>2166</v>
      </c>
      <c r="B44" s="36" t="s">
        <v>2172</v>
      </c>
      <c r="D44" s="124" t="s">
        <v>1243</v>
      </c>
      <c r="E44" s="36" t="s">
        <v>2173</v>
      </c>
      <c r="F44" s="36" t="s">
        <v>2174</v>
      </c>
      <c r="G44" s="36" t="s">
        <v>2175</v>
      </c>
      <c r="J44" s="90" t="s">
        <v>158</v>
      </c>
    </row>
    <row r="45">
      <c r="A45" s="36" t="s">
        <v>2166</v>
      </c>
      <c r="B45" s="36" t="s">
        <v>2176</v>
      </c>
      <c r="D45" s="126" t="s">
        <v>2177</v>
      </c>
      <c r="E45" s="36" t="s">
        <v>2178</v>
      </c>
      <c r="F45" s="36" t="s">
        <v>2179</v>
      </c>
      <c r="J45" s="90" t="s">
        <v>609</v>
      </c>
    </row>
    <row r="46">
      <c r="A46" s="36" t="s">
        <v>2166</v>
      </c>
      <c r="B46" s="36" t="s">
        <v>2180</v>
      </c>
      <c r="D46" s="126" t="s">
        <v>2181</v>
      </c>
      <c r="F46" s="36" t="s">
        <v>2182</v>
      </c>
      <c r="G46" s="36" t="s">
        <v>2183</v>
      </c>
      <c r="J46" s="90" t="s">
        <v>609</v>
      </c>
    </row>
    <row r="47">
      <c r="A47" s="36" t="s">
        <v>2166</v>
      </c>
      <c r="B47" s="36" t="s">
        <v>2184</v>
      </c>
      <c r="D47" s="126" t="s">
        <v>2185</v>
      </c>
      <c r="F47" s="36" t="s">
        <v>2186</v>
      </c>
      <c r="I47" s="36" t="s">
        <v>2187</v>
      </c>
      <c r="J47" s="36" t="s">
        <v>54</v>
      </c>
    </row>
    <row r="48">
      <c r="A48" s="36" t="s">
        <v>2166</v>
      </c>
      <c r="B48" s="36" t="s">
        <v>2188</v>
      </c>
      <c r="D48" s="126" t="s">
        <v>2189</v>
      </c>
      <c r="F48" s="36" t="s">
        <v>2190</v>
      </c>
      <c r="H48" s="36" t="s">
        <v>2191</v>
      </c>
      <c r="J48" s="36" t="s">
        <v>1148</v>
      </c>
    </row>
    <row r="49">
      <c r="A49" s="36" t="s">
        <v>2192</v>
      </c>
      <c r="B49" s="36" t="s">
        <v>2193</v>
      </c>
      <c r="D49" s="126" t="s">
        <v>1192</v>
      </c>
      <c r="F49" s="36" t="s">
        <v>2194</v>
      </c>
      <c r="J49" s="36" t="s">
        <v>32</v>
      </c>
    </row>
    <row r="50">
      <c r="A50" s="36" t="s">
        <v>2192</v>
      </c>
      <c r="B50" s="36" t="s">
        <v>2195</v>
      </c>
      <c r="D50" s="126" t="s">
        <v>2196</v>
      </c>
      <c r="E50" s="36" t="s">
        <v>2197</v>
      </c>
      <c r="F50" s="36" t="s">
        <v>2198</v>
      </c>
      <c r="J50" s="90" t="s">
        <v>609</v>
      </c>
    </row>
    <row r="51">
      <c r="A51" s="36" t="s">
        <v>2199</v>
      </c>
      <c r="B51" s="36" t="s">
        <v>2200</v>
      </c>
      <c r="D51" s="126" t="s">
        <v>2201</v>
      </c>
      <c r="E51" s="36" t="s">
        <v>2202</v>
      </c>
      <c r="F51" s="36" t="s">
        <v>2203</v>
      </c>
      <c r="J51" s="36" t="s">
        <v>97</v>
      </c>
    </row>
    <row r="52">
      <c r="A52" s="36" t="s">
        <v>2199</v>
      </c>
      <c r="B52" s="36" t="s">
        <v>2204</v>
      </c>
      <c r="D52" s="36" t="s">
        <v>2205</v>
      </c>
      <c r="E52" s="36" t="s">
        <v>2206</v>
      </c>
      <c r="F52" s="36" t="s">
        <v>2207</v>
      </c>
      <c r="J52" s="36" t="s">
        <v>32</v>
      </c>
    </row>
    <row r="53">
      <c r="A53" s="36" t="s">
        <v>2192</v>
      </c>
      <c r="B53" s="36" t="s">
        <v>2208</v>
      </c>
      <c r="D53" s="36" t="s">
        <v>2209</v>
      </c>
      <c r="E53" s="36" t="s">
        <v>2210</v>
      </c>
      <c r="F53" s="36" t="s">
        <v>2211</v>
      </c>
      <c r="J53" s="36" t="s">
        <v>82</v>
      </c>
    </row>
    <row r="54">
      <c r="A54" s="36" t="s">
        <v>2192</v>
      </c>
      <c r="B54" s="36" t="s">
        <v>2212</v>
      </c>
      <c r="D54" s="126" t="s">
        <v>2213</v>
      </c>
      <c r="E54" s="36" t="s">
        <v>2214</v>
      </c>
      <c r="F54" s="36" t="s">
        <v>2211</v>
      </c>
      <c r="I54" s="36" t="s">
        <v>2215</v>
      </c>
      <c r="J54" s="36" t="s">
        <v>82</v>
      </c>
    </row>
    <row r="55">
      <c r="A55" s="36" t="s">
        <v>2216</v>
      </c>
      <c r="B55" s="119" t="s">
        <v>2217</v>
      </c>
      <c r="D55" s="298" t="s">
        <v>2218</v>
      </c>
      <c r="E55" s="119" t="s">
        <v>2219</v>
      </c>
      <c r="F55" s="119" t="s">
        <v>2220</v>
      </c>
      <c r="H55" s="36" t="s">
        <v>2221</v>
      </c>
      <c r="J55" s="90" t="s">
        <v>32</v>
      </c>
    </row>
    <row r="56">
      <c r="A56" s="36" t="s">
        <v>2216</v>
      </c>
      <c r="B56" s="36" t="s">
        <v>2222</v>
      </c>
      <c r="D56" s="126" t="s">
        <v>2223</v>
      </c>
      <c r="E56" s="36" t="s">
        <v>2224</v>
      </c>
      <c r="F56" s="36" t="s">
        <v>2225</v>
      </c>
      <c r="J56" s="90" t="s">
        <v>54</v>
      </c>
    </row>
    <row r="57">
      <c r="A57" s="36" t="s">
        <v>2216</v>
      </c>
      <c r="B57" s="299" t="s">
        <v>2226</v>
      </c>
      <c r="C57" s="300"/>
      <c r="D57" s="301">
        <f>+971507036675</f>
        <v>971507036675</v>
      </c>
      <c r="E57" s="253" t="s">
        <v>2227</v>
      </c>
      <c r="F57" s="36" t="s">
        <v>2228</v>
      </c>
      <c r="G57" s="36" t="s">
        <v>2229</v>
      </c>
      <c r="J57" s="90"/>
    </row>
    <row r="58">
      <c r="B58" s="36" t="s">
        <v>2230</v>
      </c>
      <c r="D58" s="302" t="s">
        <v>2231</v>
      </c>
      <c r="E58" s="119" t="s">
        <v>2232</v>
      </c>
      <c r="F58" s="36" t="s">
        <v>2233</v>
      </c>
      <c r="G58" s="119" t="s">
        <v>2234</v>
      </c>
      <c r="H58" s="36" t="s">
        <v>2235</v>
      </c>
      <c r="J58" s="90" t="s">
        <v>32</v>
      </c>
    </row>
    <row r="59">
      <c r="A59" s="36" t="s">
        <v>2236</v>
      </c>
      <c r="B59" s="36" t="s">
        <v>2237</v>
      </c>
      <c r="C59" s="303"/>
      <c r="D59" s="126" t="s">
        <v>2238</v>
      </c>
      <c r="E59" s="36" t="s">
        <v>2239</v>
      </c>
      <c r="F59" s="36" t="s">
        <v>2240</v>
      </c>
      <c r="G59" s="36" t="s">
        <v>2241</v>
      </c>
      <c r="I59" s="36" t="s">
        <v>1538</v>
      </c>
    </row>
    <row r="60">
      <c r="B60" s="36" t="s">
        <v>2242</v>
      </c>
      <c r="D60" s="126" t="s">
        <v>2243</v>
      </c>
      <c r="E60" s="119" t="s">
        <v>2244</v>
      </c>
      <c r="F60" s="36" t="s">
        <v>50</v>
      </c>
      <c r="G60" s="119" t="s">
        <v>1245</v>
      </c>
      <c r="H60" s="36" t="s">
        <v>2245</v>
      </c>
      <c r="J60" s="90" t="s">
        <v>492</v>
      </c>
    </row>
    <row r="61">
      <c r="B61" s="36" t="s">
        <v>2246</v>
      </c>
      <c r="D61" s="126" t="s">
        <v>2247</v>
      </c>
      <c r="E61" s="36" t="s">
        <v>2248</v>
      </c>
      <c r="F61" s="36" t="s">
        <v>115</v>
      </c>
      <c r="G61" s="36" t="s">
        <v>2249</v>
      </c>
      <c r="J61" s="36" t="s">
        <v>32</v>
      </c>
    </row>
    <row r="62">
      <c r="B62" s="36" t="s">
        <v>2250</v>
      </c>
      <c r="D62" s="126" t="s">
        <v>2251</v>
      </c>
      <c r="E62" s="36" t="s">
        <v>2252</v>
      </c>
      <c r="F62" s="36" t="s">
        <v>1839</v>
      </c>
      <c r="G62" s="36" t="s">
        <v>2253</v>
      </c>
    </row>
    <row r="63">
      <c r="A63" s="36" t="s">
        <v>2254</v>
      </c>
      <c r="B63" s="36" t="s">
        <v>2255</v>
      </c>
      <c r="D63" s="126" t="s">
        <v>2256</v>
      </c>
      <c r="E63" s="36" t="s">
        <v>2257</v>
      </c>
      <c r="F63" s="36" t="s">
        <v>2258</v>
      </c>
      <c r="H63" s="36" t="s">
        <v>2259</v>
      </c>
      <c r="J63" s="36" t="s">
        <v>32</v>
      </c>
    </row>
    <row r="89">
      <c r="D89" s="36" t="s">
        <v>492</v>
      </c>
    </row>
    <row r="102">
      <c r="B102" s="36" t="s">
        <v>2260</v>
      </c>
    </row>
    <row r="103">
      <c r="B103" s="36" t="s">
        <v>2261</v>
      </c>
    </row>
    <row r="104">
      <c r="B104" s="36" t="s">
        <v>2262</v>
      </c>
      <c r="D104" s="36" t="s">
        <v>45</v>
      </c>
    </row>
    <row r="105">
      <c r="B105" s="36" t="s">
        <v>2263</v>
      </c>
    </row>
    <row r="108">
      <c r="B108" s="36" t="s">
        <v>2264</v>
      </c>
    </row>
    <row r="109">
      <c r="B109" s="36" t="s">
        <v>2265</v>
      </c>
      <c r="C109" s="36" t="s">
        <v>2266</v>
      </c>
    </row>
    <row r="110">
      <c r="B110" s="36" t="s">
        <v>2267</v>
      </c>
      <c r="C110">
        <f>+971506848111</f>
        <v>971506848111</v>
      </c>
      <c r="E110" s="36" t="s">
        <v>1538</v>
      </c>
    </row>
    <row r="111">
      <c r="B111" s="36" t="s">
        <v>2268</v>
      </c>
      <c r="C111" s="36" t="s">
        <v>2269</v>
      </c>
    </row>
    <row r="112">
      <c r="B112" s="36" t="s">
        <v>2270</v>
      </c>
    </row>
    <row r="113">
      <c r="B113" s="36" t="s">
        <v>2271</v>
      </c>
    </row>
    <row r="114">
      <c r="B114" s="36" t="s">
        <v>2272</v>
      </c>
    </row>
    <row r="115">
      <c r="B115" s="36" t="s">
        <v>2273</v>
      </c>
    </row>
    <row r="116">
      <c r="B116" s="36" t="s">
        <v>2274</v>
      </c>
    </row>
    <row r="117">
      <c r="B117" s="36" t="s">
        <v>2275</v>
      </c>
    </row>
    <row r="118">
      <c r="B118" s="36" t="s">
        <v>2276</v>
      </c>
    </row>
    <row r="119">
      <c r="B119" s="36" t="s">
        <v>2277</v>
      </c>
    </row>
    <row r="120">
      <c r="B120" s="36" t="s">
        <v>2278</v>
      </c>
      <c r="C120" s="36" t="s">
        <v>2279</v>
      </c>
    </row>
  </sheetData>
  <customSheetViews>
    <customSheetView guid="{9D2F5B4C-BA7D-479C-B7FF-4F2FBA79609E}" filter="1" showAutoFilter="1">
      <autoFilter ref="$D$1:$D$990"/>
    </customSheetView>
  </customSheetViews>
  <hyperlinks>
    <hyperlink r:id="rId1" ref="E2"/>
    <hyperlink r:id="rId2" ref="E3"/>
    <hyperlink r:id="rId3" ref="E4"/>
    <hyperlink r:id="rId4" ref="H5"/>
    <hyperlink r:id="rId5" ref="E6"/>
    <hyperlink r:id="rId6" ref="E7"/>
    <hyperlink r:id="rId7" ref="E8"/>
    <hyperlink r:id="rId8" ref="H8"/>
    <hyperlink r:id="rId9" ref="E9"/>
    <hyperlink r:id="rId10" ref="E10"/>
    <hyperlink r:id="rId11" ref="E13"/>
    <hyperlink r:id="rId12" ref="E14"/>
    <hyperlink r:id="rId13" ref="E17"/>
    <hyperlink r:id="rId14" ref="H19"/>
    <hyperlink r:id="rId15" ref="E21"/>
    <hyperlink r:id="rId16" ref="H21"/>
    <hyperlink r:id="rId17" ref="E22"/>
    <hyperlink r:id="rId18" ref="E23"/>
    <hyperlink r:id="rId19" ref="E25"/>
    <hyperlink r:id="rId20" ref="E29"/>
    <hyperlink r:id="rId21" ref="G29"/>
    <hyperlink r:id="rId22" ref="E57"/>
  </hyperlinks>
  <drawing r:id="rId23"/>
  <tableParts count="1">
    <tablePart r:id="rId2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86"/>
    <col customWidth="1" min="2" max="2" width="20.29"/>
    <col customWidth="1" min="4" max="4" width="20.57"/>
    <col customWidth="1" min="5" max="5" width="28.29"/>
    <col customWidth="1" min="7" max="7" width="6.57"/>
    <col customWidth="1" min="8" max="8" width="9.86"/>
    <col customWidth="1" min="9" max="9" width="27.0"/>
  </cols>
  <sheetData>
    <row r="1">
      <c r="A1" s="224" t="s">
        <v>0</v>
      </c>
      <c r="B1" s="225" t="s">
        <v>1</v>
      </c>
      <c r="C1" s="225" t="s">
        <v>1817</v>
      </c>
      <c r="D1" s="225" t="s">
        <v>2</v>
      </c>
      <c r="E1" s="225" t="s">
        <v>3</v>
      </c>
      <c r="F1" s="225" t="s">
        <v>4</v>
      </c>
      <c r="G1" s="226"/>
      <c r="H1" s="226" t="s">
        <v>6</v>
      </c>
      <c r="I1" s="227" t="s">
        <v>8</v>
      </c>
      <c r="J1" s="226" t="s">
        <v>9</v>
      </c>
      <c r="K1" s="228"/>
      <c r="L1" s="9"/>
      <c r="M1" s="9"/>
      <c r="N1" s="9"/>
      <c r="O1" s="9"/>
      <c r="P1" s="9"/>
      <c r="Q1" s="9"/>
      <c r="R1" s="9"/>
      <c r="S1" s="9"/>
      <c r="T1" s="9"/>
      <c r="U1" s="9"/>
      <c r="V1" s="9"/>
      <c r="W1" s="9"/>
      <c r="X1" s="9"/>
      <c r="Y1" s="9"/>
      <c r="Z1" s="9"/>
      <c r="AA1" s="9"/>
      <c r="AB1" s="9"/>
      <c r="AC1" s="9"/>
      <c r="AD1" s="9"/>
      <c r="AE1" s="9"/>
      <c r="AF1" s="9"/>
      <c r="AG1" s="9"/>
    </row>
    <row r="2">
      <c r="A2" s="304">
        <v>43344.0</v>
      </c>
      <c r="B2" s="305"/>
      <c r="C2" s="306"/>
      <c r="D2" s="307"/>
      <c r="E2" s="306"/>
      <c r="F2" s="308"/>
    </row>
    <row r="3">
      <c r="A3" s="306"/>
      <c r="B3" s="305" t="s">
        <v>2280</v>
      </c>
      <c r="C3" s="306"/>
      <c r="D3" s="238" t="s">
        <v>2281</v>
      </c>
      <c r="E3" s="309" t="s">
        <v>2282</v>
      </c>
      <c r="F3" s="310" t="s">
        <v>2283</v>
      </c>
      <c r="H3" s="36" t="s">
        <v>2284</v>
      </c>
      <c r="I3" s="240" t="s">
        <v>2285</v>
      </c>
      <c r="J3" s="36" t="s">
        <v>32</v>
      </c>
    </row>
    <row r="4">
      <c r="A4" s="306"/>
      <c r="B4" s="305" t="s">
        <v>2286</v>
      </c>
      <c r="C4" s="306"/>
      <c r="D4" s="238" t="s">
        <v>2287</v>
      </c>
      <c r="E4" s="309" t="s">
        <v>2288</v>
      </c>
      <c r="F4" s="310" t="s">
        <v>2283</v>
      </c>
      <c r="H4" s="36" t="s">
        <v>2284</v>
      </c>
      <c r="I4" s="36" t="s">
        <v>2289</v>
      </c>
      <c r="J4" s="36" t="s">
        <v>32</v>
      </c>
    </row>
    <row r="5">
      <c r="A5" s="306"/>
      <c r="B5" s="311" t="s">
        <v>2290</v>
      </c>
      <c r="C5" s="306"/>
      <c r="D5" s="238" t="s">
        <v>2291</v>
      </c>
      <c r="E5" s="239" t="s">
        <v>2292</v>
      </c>
      <c r="F5" s="310" t="s">
        <v>2293</v>
      </c>
      <c r="H5" s="36" t="s">
        <v>2284</v>
      </c>
      <c r="I5" s="36" t="s">
        <v>2294</v>
      </c>
      <c r="J5" s="36" t="s">
        <v>54</v>
      </c>
    </row>
    <row r="6">
      <c r="A6" s="306"/>
      <c r="B6" s="305" t="s">
        <v>2295</v>
      </c>
      <c r="C6" s="306"/>
      <c r="D6" s="238" t="s">
        <v>2296</v>
      </c>
      <c r="E6" s="309" t="s">
        <v>2297</v>
      </c>
      <c r="F6" s="310" t="s">
        <v>2283</v>
      </c>
      <c r="H6" s="36" t="s">
        <v>2284</v>
      </c>
      <c r="I6" s="240" t="s">
        <v>2298</v>
      </c>
      <c r="J6" s="36" t="s">
        <v>54</v>
      </c>
    </row>
    <row r="7">
      <c r="A7" s="306"/>
      <c r="B7" s="311" t="s">
        <v>2299</v>
      </c>
      <c r="C7" s="306"/>
      <c r="D7" s="238" t="s">
        <v>2300</v>
      </c>
      <c r="E7" s="239" t="s">
        <v>2301</v>
      </c>
      <c r="F7" s="310" t="s">
        <v>2293</v>
      </c>
      <c r="H7" s="36" t="s">
        <v>2284</v>
      </c>
      <c r="I7" s="312" t="s">
        <v>2302</v>
      </c>
      <c r="J7" s="36" t="s">
        <v>54</v>
      </c>
    </row>
    <row r="8">
      <c r="A8" s="306"/>
      <c r="B8" s="305" t="s">
        <v>2303</v>
      </c>
      <c r="C8" s="306"/>
      <c r="D8" s="242" t="s">
        <v>2304</v>
      </c>
      <c r="E8" s="309" t="s">
        <v>2305</v>
      </c>
      <c r="F8" s="310" t="s">
        <v>2283</v>
      </c>
      <c r="H8" s="36" t="s">
        <v>2284</v>
      </c>
      <c r="I8" s="240" t="s">
        <v>2306</v>
      </c>
      <c r="J8" s="36" t="s">
        <v>54</v>
      </c>
    </row>
    <row r="9">
      <c r="A9" s="306"/>
      <c r="B9" s="313" t="s">
        <v>2307</v>
      </c>
      <c r="C9" s="306"/>
      <c r="D9" s="242" t="s">
        <v>2308</v>
      </c>
      <c r="E9" s="314" t="s">
        <v>2309</v>
      </c>
      <c r="F9" s="308"/>
      <c r="H9" s="36" t="s">
        <v>2310</v>
      </c>
      <c r="I9" s="315" t="s">
        <v>98</v>
      </c>
      <c r="J9" s="36" t="s">
        <v>2311</v>
      </c>
    </row>
    <row r="10">
      <c r="A10" s="306"/>
      <c r="B10" s="305" t="s">
        <v>2312</v>
      </c>
      <c r="C10" s="306"/>
      <c r="D10" s="238" t="s">
        <v>2313</v>
      </c>
      <c r="E10" s="309" t="s">
        <v>2314</v>
      </c>
      <c r="F10" s="310" t="s">
        <v>2283</v>
      </c>
      <c r="H10" s="36" t="s">
        <v>2284</v>
      </c>
      <c r="I10" s="240" t="s">
        <v>2315</v>
      </c>
      <c r="J10" s="36" t="s">
        <v>32</v>
      </c>
    </row>
    <row r="11">
      <c r="A11" s="306"/>
      <c r="B11" s="311" t="s">
        <v>2316</v>
      </c>
      <c r="C11" s="306"/>
      <c r="D11" s="238" t="s">
        <v>2317</v>
      </c>
      <c r="E11" s="239" t="s">
        <v>1240</v>
      </c>
      <c r="F11" s="310" t="s">
        <v>2293</v>
      </c>
      <c r="H11" s="36" t="s">
        <v>2284</v>
      </c>
      <c r="I11" s="316" t="s">
        <v>2318</v>
      </c>
      <c r="J11" s="36" t="s">
        <v>32</v>
      </c>
    </row>
    <row r="12">
      <c r="A12" s="306"/>
      <c r="B12" s="305" t="s">
        <v>2319</v>
      </c>
      <c r="C12" s="306"/>
      <c r="D12" s="242" t="s">
        <v>2320</v>
      </c>
      <c r="E12" s="309" t="s">
        <v>2321</v>
      </c>
      <c r="F12" s="310" t="s">
        <v>2283</v>
      </c>
      <c r="H12" s="36" t="s">
        <v>2284</v>
      </c>
      <c r="I12" s="240" t="s">
        <v>1127</v>
      </c>
      <c r="J12" s="36" t="s">
        <v>54</v>
      </c>
    </row>
    <row r="13">
      <c r="A13" s="317"/>
      <c r="B13" s="318" t="s">
        <v>2322</v>
      </c>
      <c r="C13" s="317"/>
      <c r="D13" s="319">
        <v>5.62638893E8</v>
      </c>
      <c r="E13" s="320" t="s">
        <v>2323</v>
      </c>
      <c r="F13" s="321" t="s">
        <v>2324</v>
      </c>
      <c r="G13" s="22"/>
      <c r="H13" s="36" t="s">
        <v>2284</v>
      </c>
      <c r="I13" s="322" t="s">
        <v>2325</v>
      </c>
      <c r="J13" s="49" t="s">
        <v>492</v>
      </c>
      <c r="K13" s="22"/>
      <c r="L13" s="22"/>
      <c r="M13" s="22"/>
      <c r="N13" s="22"/>
      <c r="O13" s="22"/>
      <c r="P13" s="22"/>
      <c r="Q13" s="22"/>
      <c r="R13" s="22"/>
      <c r="S13" s="22"/>
      <c r="T13" s="22"/>
      <c r="U13" s="22"/>
      <c r="V13" s="22"/>
      <c r="W13" s="22"/>
      <c r="X13" s="22"/>
      <c r="Y13" s="22"/>
      <c r="Z13" s="22"/>
      <c r="AA13" s="22"/>
      <c r="AB13" s="22"/>
      <c r="AC13" s="22"/>
      <c r="AD13" s="22"/>
      <c r="AE13" s="22"/>
      <c r="AF13" s="22"/>
      <c r="AG13" s="22"/>
    </row>
    <row r="14">
      <c r="A14" s="306"/>
      <c r="B14" s="305" t="s">
        <v>2326</v>
      </c>
      <c r="C14" s="306"/>
      <c r="D14" s="323" t="s">
        <v>2327</v>
      </c>
      <c r="E14" s="309" t="s">
        <v>2328</v>
      </c>
      <c r="F14" s="310" t="s">
        <v>2283</v>
      </c>
      <c r="H14" s="36" t="s">
        <v>2284</v>
      </c>
      <c r="I14" s="324" t="s">
        <v>2329</v>
      </c>
      <c r="J14" s="36" t="s">
        <v>492</v>
      </c>
    </row>
    <row r="15">
      <c r="A15" s="306"/>
      <c r="B15" s="325" t="s">
        <v>2330</v>
      </c>
      <c r="C15" s="306"/>
      <c r="D15" s="323" t="s">
        <v>2331</v>
      </c>
      <c r="E15" s="320" t="s">
        <v>2332</v>
      </c>
      <c r="F15" s="310" t="s">
        <v>2324</v>
      </c>
      <c r="H15" s="36" t="s">
        <v>2333</v>
      </c>
      <c r="I15" s="36" t="s">
        <v>2334</v>
      </c>
      <c r="J15" s="36" t="s">
        <v>2311</v>
      </c>
    </row>
    <row r="16">
      <c r="A16" s="306"/>
      <c r="B16" s="305" t="s">
        <v>2335</v>
      </c>
      <c r="C16" s="306"/>
      <c r="D16" s="323" t="s">
        <v>2336</v>
      </c>
      <c r="E16" s="309" t="s">
        <v>2337</v>
      </c>
      <c r="F16" s="310" t="s">
        <v>2283</v>
      </c>
      <c r="H16" s="36" t="s">
        <v>2284</v>
      </c>
      <c r="I16" s="324" t="s">
        <v>2338</v>
      </c>
      <c r="J16" s="36" t="s">
        <v>492</v>
      </c>
    </row>
    <row r="17">
      <c r="A17" s="304">
        <v>43345.0</v>
      </c>
      <c r="B17" s="306"/>
      <c r="C17" s="306"/>
      <c r="D17" s="306"/>
      <c r="E17" s="306"/>
      <c r="F17" s="306"/>
    </row>
    <row r="18">
      <c r="A18" s="306"/>
      <c r="B18" s="87" t="s">
        <v>2339</v>
      </c>
      <c r="C18" s="306"/>
      <c r="D18" s="238" t="s">
        <v>2340</v>
      </c>
      <c r="E18" s="309" t="s">
        <v>2341</v>
      </c>
      <c r="F18" s="310" t="s">
        <v>2283</v>
      </c>
      <c r="H18" s="36" t="s">
        <v>2342</v>
      </c>
      <c r="I18" s="36" t="s">
        <v>2343</v>
      </c>
      <c r="J18" s="36" t="s">
        <v>2344</v>
      </c>
    </row>
    <row r="19">
      <c r="A19" s="306"/>
      <c r="B19" s="305" t="s">
        <v>2345</v>
      </c>
      <c r="C19" s="306"/>
      <c r="D19" s="238" t="s">
        <v>2346</v>
      </c>
      <c r="E19" s="309" t="s">
        <v>2347</v>
      </c>
      <c r="F19" s="310" t="s">
        <v>2283</v>
      </c>
      <c r="H19" s="36" t="s">
        <v>1537</v>
      </c>
      <c r="I19" s="240" t="s">
        <v>1127</v>
      </c>
    </row>
    <row r="20">
      <c r="A20" s="304">
        <v>43346.0</v>
      </c>
      <c r="B20" s="306"/>
      <c r="C20" s="306"/>
      <c r="D20" s="307"/>
      <c r="E20" s="306"/>
      <c r="F20" s="308"/>
    </row>
    <row r="21">
      <c r="A21" s="306"/>
      <c r="B21" s="311" t="s">
        <v>2348</v>
      </c>
      <c r="C21" s="306"/>
      <c r="D21" s="238" t="s">
        <v>2349</v>
      </c>
      <c r="E21" s="239" t="s">
        <v>2350</v>
      </c>
      <c r="F21" s="310" t="s">
        <v>2293</v>
      </c>
      <c r="H21" s="36" t="s">
        <v>1537</v>
      </c>
      <c r="I21" s="36" t="s">
        <v>2351</v>
      </c>
    </row>
    <row r="22">
      <c r="A22" s="304">
        <v>43347.0</v>
      </c>
      <c r="B22" s="305"/>
      <c r="C22" s="306"/>
      <c r="D22" s="307"/>
      <c r="E22" s="305"/>
      <c r="F22" s="308"/>
    </row>
    <row r="23">
      <c r="A23" s="306"/>
      <c r="B23" s="305" t="s">
        <v>112</v>
      </c>
      <c r="C23" s="306"/>
      <c r="D23" s="326" t="s">
        <v>2352</v>
      </c>
      <c r="E23" s="309" t="s">
        <v>2353</v>
      </c>
      <c r="F23" s="310" t="s">
        <v>2283</v>
      </c>
      <c r="H23" s="36" t="s">
        <v>1537</v>
      </c>
      <c r="I23" s="240" t="s">
        <v>2354</v>
      </c>
      <c r="J23" s="36"/>
    </row>
    <row r="24">
      <c r="A24" s="304">
        <v>43348.0</v>
      </c>
      <c r="B24" s="306"/>
      <c r="C24" s="306"/>
      <c r="D24" s="307"/>
      <c r="E24" s="306"/>
      <c r="F24" s="308"/>
    </row>
    <row r="25">
      <c r="A25" s="306"/>
      <c r="B25" s="87" t="s">
        <v>2355</v>
      </c>
      <c r="C25" s="306"/>
      <c r="D25" s="327" t="s">
        <v>2356</v>
      </c>
      <c r="E25" s="87" t="s">
        <v>2357</v>
      </c>
      <c r="F25" s="310" t="s">
        <v>2283</v>
      </c>
      <c r="I25" s="36" t="s">
        <v>2358</v>
      </c>
      <c r="J25" s="328" t="s">
        <v>2359</v>
      </c>
      <c r="L25" s="329"/>
    </row>
    <row r="26">
      <c r="A26" s="306"/>
      <c r="B26" s="87" t="s">
        <v>341</v>
      </c>
      <c r="C26" s="306"/>
      <c r="D26" s="330" t="s">
        <v>2360</v>
      </c>
      <c r="E26" s="87" t="s">
        <v>2361</v>
      </c>
      <c r="F26" s="310" t="s">
        <v>2283</v>
      </c>
      <c r="I26" s="36" t="s">
        <v>2362</v>
      </c>
      <c r="J26" s="36" t="s">
        <v>492</v>
      </c>
    </row>
    <row r="27">
      <c r="A27" s="331"/>
      <c r="B27" s="332" t="s">
        <v>2363</v>
      </c>
      <c r="C27" s="333"/>
      <c r="D27" s="334" t="s">
        <v>2364</v>
      </c>
      <c r="E27" s="332" t="s">
        <v>2365</v>
      </c>
      <c r="F27" s="335" t="s">
        <v>2283</v>
      </c>
      <c r="G27" s="336"/>
      <c r="H27" s="337" t="s">
        <v>2366</v>
      </c>
      <c r="I27" s="337" t="s">
        <v>2367</v>
      </c>
      <c r="J27" s="338" t="s">
        <v>492</v>
      </c>
      <c r="K27" s="339"/>
      <c r="L27" s="339"/>
      <c r="M27" s="339"/>
      <c r="N27" s="339"/>
      <c r="O27" s="339"/>
      <c r="P27" s="339"/>
      <c r="Q27" s="339"/>
      <c r="R27" s="339"/>
      <c r="S27" s="339"/>
      <c r="T27" s="339"/>
      <c r="U27" s="339"/>
      <c r="V27" s="339"/>
      <c r="W27" s="339"/>
      <c r="X27" s="339"/>
      <c r="Y27" s="339"/>
      <c r="Z27" s="339"/>
      <c r="AA27" s="339"/>
      <c r="AB27" s="339"/>
      <c r="AC27" s="339"/>
      <c r="AD27" s="339"/>
      <c r="AE27" s="339"/>
      <c r="AF27" s="339"/>
      <c r="AG27" s="339"/>
    </row>
    <row r="28">
      <c r="A28" s="306"/>
      <c r="B28" s="87" t="s">
        <v>2368</v>
      </c>
      <c r="C28" s="306"/>
      <c r="D28" s="330" t="s">
        <v>2369</v>
      </c>
      <c r="E28" s="87" t="s">
        <v>2370</v>
      </c>
      <c r="F28" s="340" t="s">
        <v>2324</v>
      </c>
      <c r="H28" s="36" t="s">
        <v>2366</v>
      </c>
      <c r="I28" s="36" t="s">
        <v>2371</v>
      </c>
      <c r="J28" s="36" t="s">
        <v>492</v>
      </c>
    </row>
    <row r="29">
      <c r="A29" s="304">
        <v>43349.0</v>
      </c>
      <c r="B29" s="306"/>
      <c r="C29" s="306"/>
      <c r="D29" s="307"/>
      <c r="E29" s="306"/>
      <c r="F29" s="308"/>
    </row>
    <row r="30">
      <c r="A30" s="306"/>
      <c r="B30" s="87" t="s">
        <v>2372</v>
      </c>
      <c r="C30" s="306"/>
      <c r="D30" s="238" t="s">
        <v>2373</v>
      </c>
      <c r="E30" s="87" t="s">
        <v>2374</v>
      </c>
      <c r="F30" s="310" t="s">
        <v>50</v>
      </c>
      <c r="H30" s="36" t="s">
        <v>2375</v>
      </c>
      <c r="I30" s="117" t="s">
        <v>2376</v>
      </c>
      <c r="J30" s="36" t="s">
        <v>15</v>
      </c>
    </row>
    <row r="31">
      <c r="A31" s="306"/>
      <c r="B31" s="230" t="s">
        <v>2377</v>
      </c>
      <c r="C31" s="306"/>
      <c r="D31" s="242" t="s">
        <v>2378</v>
      </c>
      <c r="E31" s="233" t="s">
        <v>2379</v>
      </c>
      <c r="F31" s="310" t="s">
        <v>13</v>
      </c>
      <c r="H31" s="36" t="s">
        <v>2375</v>
      </c>
      <c r="I31" s="36" t="s">
        <v>2380</v>
      </c>
      <c r="J31" s="36" t="s">
        <v>15</v>
      </c>
    </row>
    <row r="32">
      <c r="A32" s="306"/>
      <c r="B32" s="87" t="s">
        <v>2381</v>
      </c>
      <c r="C32" s="306"/>
      <c r="D32" s="242" t="s">
        <v>2382</v>
      </c>
      <c r="E32" s="87" t="s">
        <v>2383</v>
      </c>
      <c r="F32" s="310" t="s">
        <v>1126</v>
      </c>
      <c r="H32" s="36" t="s">
        <v>2384</v>
      </c>
      <c r="I32" s="36" t="s">
        <v>2385</v>
      </c>
      <c r="J32" s="36" t="s">
        <v>2386</v>
      </c>
    </row>
    <row r="33">
      <c r="A33" s="306"/>
      <c r="B33" s="234" t="s">
        <v>2387</v>
      </c>
      <c r="C33" s="306"/>
      <c r="D33" s="242" t="s">
        <v>2388</v>
      </c>
      <c r="E33" s="234" t="s">
        <v>2389</v>
      </c>
      <c r="F33" s="310" t="s">
        <v>50</v>
      </c>
      <c r="H33" s="36" t="s">
        <v>2366</v>
      </c>
      <c r="I33" s="341" t="s">
        <v>448</v>
      </c>
      <c r="J33" s="36" t="s">
        <v>492</v>
      </c>
    </row>
    <row r="34">
      <c r="A34" s="306"/>
      <c r="B34" s="87" t="s">
        <v>2390</v>
      </c>
      <c r="C34" s="306"/>
      <c r="D34" s="330" t="s">
        <v>2391</v>
      </c>
      <c r="E34" s="87" t="s">
        <v>2392</v>
      </c>
      <c r="F34" s="310" t="s">
        <v>1126</v>
      </c>
      <c r="H34" s="36" t="s">
        <v>2384</v>
      </c>
      <c r="I34" s="341" t="s">
        <v>2393</v>
      </c>
      <c r="J34" s="36" t="s">
        <v>45</v>
      </c>
    </row>
    <row r="35">
      <c r="A35" s="304">
        <v>43351.0</v>
      </c>
      <c r="B35" s="306"/>
      <c r="C35" s="306"/>
      <c r="D35" s="307"/>
      <c r="E35" s="306"/>
      <c r="F35" s="308"/>
    </row>
    <row r="36">
      <c r="A36" s="306"/>
      <c r="B36" s="342" t="s">
        <v>2394</v>
      </c>
      <c r="C36" s="306"/>
      <c r="D36" s="238" t="s">
        <v>2395</v>
      </c>
      <c r="E36" s="309" t="s">
        <v>2396</v>
      </c>
      <c r="F36" s="310" t="s">
        <v>1126</v>
      </c>
      <c r="H36" s="36" t="s">
        <v>2366</v>
      </c>
      <c r="I36" s="343" t="s">
        <v>2397</v>
      </c>
      <c r="J36" s="36"/>
      <c r="K36" s="36" t="s">
        <v>2398</v>
      </c>
    </row>
    <row r="37">
      <c r="A37" s="306"/>
      <c r="B37" s="241" t="s">
        <v>2399</v>
      </c>
      <c r="C37" s="344"/>
      <c r="D37" s="345" t="s">
        <v>2400</v>
      </c>
      <c r="E37" s="241" t="s">
        <v>2401</v>
      </c>
      <c r="F37" s="310" t="s">
        <v>115</v>
      </c>
      <c r="I37" s="346" t="s">
        <v>2402</v>
      </c>
      <c r="J37" s="36" t="s">
        <v>45</v>
      </c>
    </row>
    <row r="38">
      <c r="A38" s="306"/>
      <c r="B38" s="347" t="s">
        <v>2403</v>
      </c>
      <c r="C38" s="344"/>
      <c r="D38" s="348" t="s">
        <v>2404</v>
      </c>
      <c r="E38" s="233" t="s">
        <v>2405</v>
      </c>
      <c r="F38" s="310" t="s">
        <v>13</v>
      </c>
      <c r="H38" s="36" t="s">
        <v>2366</v>
      </c>
      <c r="I38" s="322" t="s">
        <v>2406</v>
      </c>
      <c r="J38" s="36" t="s">
        <v>492</v>
      </c>
    </row>
    <row r="39">
      <c r="A39" s="306"/>
      <c r="B39" s="349" t="s">
        <v>2407</v>
      </c>
      <c r="C39" s="344"/>
      <c r="D39" s="350" t="s">
        <v>2408</v>
      </c>
      <c r="E39" s="351" t="s">
        <v>2409</v>
      </c>
      <c r="F39" s="310" t="s">
        <v>2410</v>
      </c>
      <c r="J39" s="36" t="s">
        <v>2411</v>
      </c>
    </row>
    <row r="40">
      <c r="A40" s="306"/>
      <c r="B40" s="352" t="s">
        <v>2412</v>
      </c>
      <c r="C40" s="353"/>
      <c r="D40" s="348" t="s">
        <v>2413</v>
      </c>
      <c r="E40" s="234" t="s">
        <v>2414</v>
      </c>
      <c r="F40" s="310" t="s">
        <v>1126</v>
      </c>
      <c r="H40" s="36" t="s">
        <v>2366</v>
      </c>
      <c r="I40" s="240" t="s">
        <v>2415</v>
      </c>
      <c r="J40" s="36" t="s">
        <v>45</v>
      </c>
    </row>
    <row r="41">
      <c r="A41" s="306"/>
      <c r="B41" s="349" t="s">
        <v>2416</v>
      </c>
      <c r="C41" s="306"/>
      <c r="D41" s="354">
        <f>971555921010</f>
        <v>971555921010</v>
      </c>
      <c r="E41" s="351" t="s">
        <v>2417</v>
      </c>
      <c r="F41" s="310" t="s">
        <v>2410</v>
      </c>
    </row>
    <row r="42">
      <c r="A42" s="306"/>
      <c r="B42" s="87" t="s">
        <v>2418</v>
      </c>
      <c r="C42" s="241"/>
      <c r="D42" s="348" t="s">
        <v>2419</v>
      </c>
      <c r="E42" s="344" t="s">
        <v>2420</v>
      </c>
      <c r="F42" s="310" t="s">
        <v>1126</v>
      </c>
      <c r="H42" s="36" t="s">
        <v>2366</v>
      </c>
      <c r="I42" s="341" t="s">
        <v>2421</v>
      </c>
      <c r="J42" s="36" t="s">
        <v>45</v>
      </c>
    </row>
    <row r="43">
      <c r="A43" s="304">
        <v>43352.0</v>
      </c>
      <c r="B43" s="306"/>
      <c r="C43" s="241"/>
      <c r="D43" s="307"/>
      <c r="E43" s="306"/>
      <c r="F43" s="308"/>
    </row>
    <row r="44">
      <c r="A44" s="306"/>
      <c r="B44" s="305" t="s">
        <v>2422</v>
      </c>
      <c r="C44" s="305"/>
      <c r="D44" s="242" t="s">
        <v>2423</v>
      </c>
      <c r="E44" s="309" t="s">
        <v>2424</v>
      </c>
      <c r="F44" s="308"/>
    </row>
    <row r="45">
      <c r="A45" s="304">
        <v>43353.0</v>
      </c>
      <c r="B45" s="306"/>
      <c r="C45" s="355"/>
      <c r="D45" s="356"/>
      <c r="E45" s="357"/>
      <c r="F45" s="308"/>
    </row>
    <row r="46">
      <c r="A46" s="306"/>
      <c r="B46" s="305" t="s">
        <v>2425</v>
      </c>
      <c r="C46" s="358"/>
      <c r="D46" s="359" t="s">
        <v>2426</v>
      </c>
      <c r="E46" s="309" t="s">
        <v>2427</v>
      </c>
      <c r="F46" s="310" t="s">
        <v>2283</v>
      </c>
      <c r="H46" s="36" t="s">
        <v>2284</v>
      </c>
      <c r="I46" s="36" t="s">
        <v>2428</v>
      </c>
      <c r="J46" s="36" t="s">
        <v>2429</v>
      </c>
    </row>
    <row r="47">
      <c r="A47" s="306"/>
      <c r="B47" s="311" t="s">
        <v>2430</v>
      </c>
      <c r="C47" s="360"/>
      <c r="D47" s="359" t="s">
        <v>2431</v>
      </c>
      <c r="E47" s="239" t="s">
        <v>2432</v>
      </c>
      <c r="F47" s="310" t="s">
        <v>2293</v>
      </c>
      <c r="H47" s="36" t="s">
        <v>2333</v>
      </c>
      <c r="I47" s="36" t="s">
        <v>2433</v>
      </c>
    </row>
    <row r="48">
      <c r="A48" s="306"/>
      <c r="B48" s="305" t="s">
        <v>2434</v>
      </c>
      <c r="C48" s="355"/>
      <c r="D48" s="361" t="s">
        <v>2435</v>
      </c>
      <c r="E48" s="309" t="s">
        <v>2436</v>
      </c>
      <c r="F48" s="310" t="s">
        <v>2283</v>
      </c>
      <c r="H48" s="36" t="s">
        <v>2284</v>
      </c>
      <c r="I48" s="362" t="s">
        <v>684</v>
      </c>
      <c r="J48" s="36" t="s">
        <v>32</v>
      </c>
    </row>
    <row r="49">
      <c r="A49" s="306"/>
      <c r="B49" s="241" t="s">
        <v>2437</v>
      </c>
      <c r="C49" s="363"/>
      <c r="D49" s="359" t="s">
        <v>2438</v>
      </c>
      <c r="E49" s="357" t="s">
        <v>2439</v>
      </c>
      <c r="F49" s="310" t="s">
        <v>2440</v>
      </c>
      <c r="H49" s="36" t="s">
        <v>2284</v>
      </c>
      <c r="I49" s="36" t="s">
        <v>2441</v>
      </c>
      <c r="J49" s="36" t="s">
        <v>1538</v>
      </c>
      <c r="K49" s="364" t="s">
        <v>2442</v>
      </c>
    </row>
    <row r="50">
      <c r="A50" s="304">
        <v>43354.0</v>
      </c>
      <c r="B50" s="306"/>
      <c r="C50" s="306"/>
      <c r="D50" s="357"/>
      <c r="E50" s="357"/>
      <c r="F50" s="308"/>
    </row>
    <row r="51">
      <c r="A51" s="306"/>
      <c r="B51" s="305" t="s">
        <v>2443</v>
      </c>
      <c r="C51" s="306"/>
      <c r="D51" s="359" t="s">
        <v>2444</v>
      </c>
      <c r="E51" s="309" t="s">
        <v>2445</v>
      </c>
      <c r="F51" s="310" t="s">
        <v>2283</v>
      </c>
      <c r="H51" s="36" t="s">
        <v>2284</v>
      </c>
      <c r="I51" s="36" t="s">
        <v>2446</v>
      </c>
      <c r="J51" s="36" t="s">
        <v>32</v>
      </c>
    </row>
    <row r="52">
      <c r="A52" s="304">
        <v>43355.0</v>
      </c>
      <c r="B52" s="306"/>
      <c r="C52" s="306"/>
      <c r="D52" s="307"/>
      <c r="E52" s="306"/>
      <c r="F52" s="308"/>
    </row>
    <row r="53">
      <c r="A53" s="304"/>
      <c r="B53" s="365" t="s">
        <v>1222</v>
      </c>
      <c r="C53" s="365"/>
      <c r="D53" s="366" t="s">
        <v>2447</v>
      </c>
      <c r="E53" s="367" t="s">
        <v>1224</v>
      </c>
      <c r="F53" s="365"/>
      <c r="G53" s="106"/>
      <c r="H53" s="106" t="s">
        <v>2366</v>
      </c>
      <c r="I53" s="106" t="s">
        <v>2448</v>
      </c>
      <c r="J53" s="106" t="s">
        <v>492</v>
      </c>
    </row>
    <row r="54">
      <c r="A54" s="304"/>
      <c r="B54" s="306"/>
      <c r="C54" s="306"/>
      <c r="D54" s="354"/>
      <c r="E54" s="306"/>
      <c r="F54" s="308"/>
    </row>
    <row r="55">
      <c r="A55" s="304">
        <v>43358.0</v>
      </c>
      <c r="B55" s="368" t="s">
        <v>2449</v>
      </c>
      <c r="C55" s="306"/>
      <c r="D55" s="238" t="s">
        <v>2450</v>
      </c>
      <c r="E55" s="369" t="s">
        <v>2451</v>
      </c>
      <c r="F55" s="310" t="s">
        <v>13</v>
      </c>
      <c r="H55" s="106" t="s">
        <v>2366</v>
      </c>
      <c r="I55" s="328" t="s">
        <v>2452</v>
      </c>
      <c r="J55" s="36" t="s">
        <v>1538</v>
      </c>
      <c r="K55" s="370" t="s">
        <v>2453</v>
      </c>
    </row>
    <row r="56">
      <c r="A56" s="304">
        <v>43358.0</v>
      </c>
      <c r="B56" s="371" t="s">
        <v>2454</v>
      </c>
      <c r="C56" s="306"/>
      <c r="D56" s="372" t="s">
        <v>2455</v>
      </c>
      <c r="E56" s="239" t="s">
        <v>2456</v>
      </c>
      <c r="F56" s="60" t="s">
        <v>50</v>
      </c>
      <c r="H56" s="106" t="s">
        <v>2366</v>
      </c>
      <c r="I56" s="117" t="s">
        <v>2457</v>
      </c>
      <c r="J56" s="36" t="s">
        <v>1538</v>
      </c>
      <c r="K56" s="364" t="s">
        <v>2458</v>
      </c>
    </row>
    <row r="57">
      <c r="A57" s="304">
        <v>43358.0</v>
      </c>
      <c r="B57" s="373" t="s">
        <v>2459</v>
      </c>
      <c r="C57" s="306"/>
      <c r="D57" s="238" t="s">
        <v>2460</v>
      </c>
      <c r="E57" s="234" t="s">
        <v>2461</v>
      </c>
      <c r="F57" s="60" t="s">
        <v>13</v>
      </c>
      <c r="H57" s="106" t="s">
        <v>2366</v>
      </c>
      <c r="I57" s="341" t="s">
        <v>2462</v>
      </c>
      <c r="J57" s="36" t="s">
        <v>1538</v>
      </c>
      <c r="K57" s="364" t="s">
        <v>2463</v>
      </c>
    </row>
    <row r="58">
      <c r="A58" s="304">
        <v>43358.0</v>
      </c>
      <c r="B58" s="234" t="s">
        <v>2464</v>
      </c>
      <c r="C58" s="306"/>
      <c r="D58" s="374" t="s">
        <v>2465</v>
      </c>
      <c r="E58" s="234" t="s">
        <v>2466</v>
      </c>
      <c r="F58" s="234" t="s">
        <v>1126</v>
      </c>
      <c r="H58" s="375" t="s">
        <v>2375</v>
      </c>
      <c r="I58" s="341" t="s">
        <v>2467</v>
      </c>
      <c r="J58" s="36" t="s">
        <v>45</v>
      </c>
    </row>
    <row r="59">
      <c r="A59" s="304">
        <v>43358.0</v>
      </c>
      <c r="B59" s="87" t="s">
        <v>20</v>
      </c>
      <c r="C59" s="306"/>
      <c r="D59" s="330" t="s">
        <v>2300</v>
      </c>
      <c r="E59" s="87" t="s">
        <v>2301</v>
      </c>
      <c r="F59" s="234" t="s">
        <v>50</v>
      </c>
      <c r="H59" s="106" t="s">
        <v>2366</v>
      </c>
      <c r="I59" s="36" t="s">
        <v>2468</v>
      </c>
      <c r="J59" s="36" t="s">
        <v>45</v>
      </c>
    </row>
    <row r="60">
      <c r="A60" s="304">
        <v>43358.0</v>
      </c>
      <c r="B60" s="87" t="s">
        <v>2469</v>
      </c>
      <c r="C60" s="306"/>
      <c r="D60" s="330" t="s">
        <v>2470</v>
      </c>
      <c r="E60" s="87" t="s">
        <v>2471</v>
      </c>
      <c r="F60" s="234" t="s">
        <v>1126</v>
      </c>
      <c r="H60" s="375" t="s">
        <v>2375</v>
      </c>
      <c r="I60" s="341" t="s">
        <v>2472</v>
      </c>
      <c r="J60" s="36" t="s">
        <v>45</v>
      </c>
    </row>
    <row r="61">
      <c r="A61" s="304">
        <v>43358.0</v>
      </c>
      <c r="B61" s="87" t="s">
        <v>341</v>
      </c>
      <c r="C61" s="306"/>
      <c r="D61" s="376"/>
      <c r="E61" s="87" t="s">
        <v>2473</v>
      </c>
      <c r="F61" s="234" t="s">
        <v>2474</v>
      </c>
      <c r="I61" s="341" t="s">
        <v>2475</v>
      </c>
      <c r="J61" s="36" t="s">
        <v>492</v>
      </c>
      <c r="K61" s="36"/>
    </row>
    <row r="62">
      <c r="A62" s="304">
        <v>43358.0</v>
      </c>
      <c r="B62" s="87" t="s">
        <v>20</v>
      </c>
      <c r="C62" s="306"/>
      <c r="D62" s="330" t="s">
        <v>2476</v>
      </c>
      <c r="E62" s="87" t="s">
        <v>2477</v>
      </c>
      <c r="F62" s="234" t="s">
        <v>50</v>
      </c>
      <c r="H62" s="36" t="s">
        <v>2366</v>
      </c>
      <c r="I62" s="341" t="s">
        <v>2478</v>
      </c>
      <c r="J62" s="36" t="s">
        <v>492</v>
      </c>
    </row>
    <row r="63">
      <c r="A63" s="304">
        <v>43358.0</v>
      </c>
      <c r="B63" s="87" t="s">
        <v>2479</v>
      </c>
      <c r="C63" s="306"/>
      <c r="D63" s="330" t="s">
        <v>2480</v>
      </c>
      <c r="E63" s="87" t="s">
        <v>2481</v>
      </c>
      <c r="F63" s="234" t="s">
        <v>1126</v>
      </c>
      <c r="H63" s="36" t="s">
        <v>2482</v>
      </c>
      <c r="J63" s="36" t="s">
        <v>2386</v>
      </c>
    </row>
    <row r="64">
      <c r="A64" s="304">
        <v>43358.0</v>
      </c>
      <c r="B64" s="369" t="s">
        <v>2483</v>
      </c>
      <c r="C64" s="306"/>
      <c r="D64" s="238" t="s">
        <v>2484</v>
      </c>
      <c r="E64" s="369" t="s">
        <v>2485</v>
      </c>
      <c r="F64" s="60" t="s">
        <v>115</v>
      </c>
      <c r="H64" s="36" t="s">
        <v>2366</v>
      </c>
      <c r="I64" s="328" t="s">
        <v>2486</v>
      </c>
      <c r="J64" s="36" t="s">
        <v>45</v>
      </c>
    </row>
    <row r="65">
      <c r="A65" s="304">
        <v>43359.0</v>
      </c>
      <c r="B65" s="87" t="s">
        <v>2487</v>
      </c>
      <c r="C65" s="306"/>
      <c r="D65" s="330" t="s">
        <v>2488</v>
      </c>
      <c r="E65" s="87" t="s">
        <v>2489</v>
      </c>
      <c r="F65" s="234" t="s">
        <v>1126</v>
      </c>
      <c r="H65" s="36" t="s">
        <v>2366</v>
      </c>
      <c r="I65" s="36" t="s">
        <v>2490</v>
      </c>
      <c r="J65" s="36" t="s">
        <v>45</v>
      </c>
    </row>
    <row r="66">
      <c r="A66" s="306"/>
      <c r="B66" s="306"/>
      <c r="C66" s="306"/>
      <c r="D66" s="354"/>
      <c r="E66" s="306"/>
      <c r="F66" s="308"/>
      <c r="J66" s="156"/>
    </row>
    <row r="67">
      <c r="A67" s="304">
        <v>43360.0</v>
      </c>
      <c r="B67" s="306"/>
      <c r="C67" s="306"/>
      <c r="D67" s="354"/>
      <c r="E67" s="306"/>
      <c r="F67" s="308"/>
    </row>
    <row r="68">
      <c r="A68" s="306"/>
      <c r="B68" s="305" t="s">
        <v>2491</v>
      </c>
      <c r="C68" s="306"/>
      <c r="D68" s="330" t="s">
        <v>2492</v>
      </c>
      <c r="E68" s="309" t="s">
        <v>2493</v>
      </c>
      <c r="F68" s="308"/>
      <c r="H68" s="36" t="s">
        <v>2284</v>
      </c>
      <c r="I68" s="240" t="s">
        <v>318</v>
      </c>
      <c r="J68" s="36" t="s">
        <v>54</v>
      </c>
    </row>
    <row r="69">
      <c r="A69" s="306"/>
      <c r="B69" s="325" t="s">
        <v>2494</v>
      </c>
      <c r="C69" s="306"/>
      <c r="D69" s="330" t="s">
        <v>2495</v>
      </c>
      <c r="E69" s="320" t="s">
        <v>2496</v>
      </c>
      <c r="F69" s="308"/>
      <c r="I69" s="253" t="s">
        <v>249</v>
      </c>
      <c r="J69" s="36" t="s">
        <v>32</v>
      </c>
    </row>
    <row r="70">
      <c r="A70" s="306"/>
      <c r="B70" s="305" t="s">
        <v>2497</v>
      </c>
      <c r="C70" s="306"/>
      <c r="D70" s="330" t="s">
        <v>2498</v>
      </c>
      <c r="E70" s="309" t="s">
        <v>2499</v>
      </c>
      <c r="F70" s="308"/>
      <c r="H70" s="36" t="s">
        <v>2284</v>
      </c>
      <c r="I70" s="362" t="s">
        <v>2500</v>
      </c>
      <c r="J70" s="36" t="s">
        <v>32</v>
      </c>
    </row>
    <row r="71">
      <c r="A71" s="306"/>
      <c r="B71" s="305" t="s">
        <v>2501</v>
      </c>
      <c r="C71" s="306"/>
      <c r="D71" s="330" t="s">
        <v>2502</v>
      </c>
      <c r="E71" s="369" t="s">
        <v>2503</v>
      </c>
      <c r="F71" s="234" t="s">
        <v>1839</v>
      </c>
      <c r="H71" s="36" t="s">
        <v>2333</v>
      </c>
      <c r="I71" s="36" t="s">
        <v>2334</v>
      </c>
      <c r="J71" s="36" t="s">
        <v>2386</v>
      </c>
    </row>
    <row r="72">
      <c r="A72" s="306"/>
      <c r="B72" s="241" t="s">
        <v>2504</v>
      </c>
      <c r="C72" s="306"/>
      <c r="D72" s="330" t="s">
        <v>2505</v>
      </c>
      <c r="E72" s="377" t="s">
        <v>2506</v>
      </c>
      <c r="F72" s="308"/>
      <c r="H72" s="36" t="s">
        <v>2284</v>
      </c>
      <c r="I72" s="36" t="s">
        <v>2507</v>
      </c>
      <c r="K72" s="364" t="s">
        <v>2508</v>
      </c>
    </row>
    <row r="73">
      <c r="A73" s="306"/>
      <c r="B73" s="241" t="s">
        <v>2509</v>
      </c>
      <c r="C73" s="87" t="s">
        <v>9</v>
      </c>
      <c r="D73" s="238" t="s">
        <v>2510</v>
      </c>
      <c r="E73" s="378"/>
      <c r="F73" s="60" t="s">
        <v>115</v>
      </c>
      <c r="H73" s="36" t="s">
        <v>2284</v>
      </c>
      <c r="I73" s="36" t="s">
        <v>2507</v>
      </c>
      <c r="K73" s="364" t="s">
        <v>2511</v>
      </c>
    </row>
    <row r="74">
      <c r="A74" s="306"/>
      <c r="B74" s="305" t="s">
        <v>2512</v>
      </c>
      <c r="C74" s="306"/>
      <c r="D74" s="238" t="s">
        <v>2513</v>
      </c>
      <c r="E74" s="309" t="s">
        <v>2514</v>
      </c>
      <c r="F74" s="234" t="s">
        <v>1126</v>
      </c>
      <c r="H74" s="36" t="s">
        <v>2284</v>
      </c>
      <c r="I74" s="36" t="s">
        <v>2515</v>
      </c>
      <c r="J74" s="36" t="s">
        <v>32</v>
      </c>
    </row>
    <row r="75">
      <c r="A75" s="304">
        <v>43361.0</v>
      </c>
      <c r="B75" s="87" t="s">
        <v>2516</v>
      </c>
      <c r="C75" s="306"/>
      <c r="D75" s="330" t="s">
        <v>2517</v>
      </c>
      <c r="E75" s="87" t="s">
        <v>2518</v>
      </c>
      <c r="F75" s="234" t="s">
        <v>2519</v>
      </c>
      <c r="H75" s="36" t="s">
        <v>2375</v>
      </c>
      <c r="I75" s="36" t="s">
        <v>2520</v>
      </c>
      <c r="J75" s="36" t="s">
        <v>15</v>
      </c>
    </row>
    <row r="76">
      <c r="A76" s="87" t="s">
        <v>2521</v>
      </c>
      <c r="B76" s="369" t="s">
        <v>20</v>
      </c>
      <c r="C76" s="306"/>
      <c r="D76" s="238" t="s">
        <v>2522</v>
      </c>
      <c r="E76" s="369" t="s">
        <v>2523</v>
      </c>
      <c r="F76" s="234" t="s">
        <v>50</v>
      </c>
      <c r="I76" s="328" t="s">
        <v>2524</v>
      </c>
    </row>
    <row r="77">
      <c r="A77" s="304">
        <v>43362.0</v>
      </c>
      <c r="B77" s="306"/>
      <c r="C77" s="306"/>
      <c r="D77" s="354"/>
      <c r="E77" s="306"/>
      <c r="F77" s="308"/>
    </row>
    <row r="78">
      <c r="A78" s="306"/>
      <c r="B78" s="87" t="s">
        <v>2525</v>
      </c>
      <c r="C78" s="306"/>
      <c r="D78" s="238" t="s">
        <v>2526</v>
      </c>
      <c r="E78" s="239" t="s">
        <v>2527</v>
      </c>
      <c r="F78" s="310" t="s">
        <v>2283</v>
      </c>
      <c r="H78" s="36" t="s">
        <v>2528</v>
      </c>
      <c r="I78" s="240" t="s">
        <v>2529</v>
      </c>
      <c r="J78" s="90" t="s">
        <v>32</v>
      </c>
    </row>
    <row r="79">
      <c r="A79" s="306"/>
      <c r="B79" s="311" t="s">
        <v>2530</v>
      </c>
      <c r="C79" s="306"/>
      <c r="D79" s="238" t="s">
        <v>2531</v>
      </c>
      <c r="E79" s="239" t="s">
        <v>2532</v>
      </c>
      <c r="F79" s="310" t="s">
        <v>2293</v>
      </c>
      <c r="I79" s="257" t="s">
        <v>2533</v>
      </c>
      <c r="J79" s="90" t="s">
        <v>158</v>
      </c>
    </row>
    <row r="80">
      <c r="A80" s="306"/>
      <c r="B80" s="311" t="s">
        <v>2534</v>
      </c>
      <c r="C80" s="306"/>
      <c r="D80" s="238" t="s">
        <v>2535</v>
      </c>
      <c r="E80" s="239" t="s">
        <v>2536</v>
      </c>
      <c r="F80" s="310" t="s">
        <v>2283</v>
      </c>
      <c r="I80" s="36" t="s">
        <v>2334</v>
      </c>
      <c r="J80" s="90" t="s">
        <v>2537</v>
      </c>
    </row>
    <row r="81">
      <c r="A81" s="306"/>
      <c r="B81" s="87" t="s">
        <v>2538</v>
      </c>
      <c r="C81" s="306"/>
      <c r="D81" s="330" t="s">
        <v>2539</v>
      </c>
      <c r="E81" s="87" t="s">
        <v>2540</v>
      </c>
      <c r="F81" s="234" t="s">
        <v>1839</v>
      </c>
      <c r="I81" s="36" t="s">
        <v>2541</v>
      </c>
      <c r="J81" s="90" t="s">
        <v>158</v>
      </c>
    </row>
    <row r="82">
      <c r="A82" s="304">
        <v>43363.0</v>
      </c>
      <c r="B82" s="369" t="s">
        <v>2542</v>
      </c>
      <c r="C82" s="306"/>
      <c r="D82" s="238" t="s">
        <v>2543</v>
      </c>
      <c r="E82" s="306"/>
      <c r="F82" s="234" t="s">
        <v>431</v>
      </c>
      <c r="J82" s="90" t="s">
        <v>158</v>
      </c>
    </row>
    <row r="83">
      <c r="A83" s="304">
        <v>43367.0</v>
      </c>
      <c r="B83" s="87" t="s">
        <v>20</v>
      </c>
      <c r="C83" s="87" t="s">
        <v>45</v>
      </c>
      <c r="D83" s="330" t="s">
        <v>2544</v>
      </c>
      <c r="E83" s="87" t="s">
        <v>2545</v>
      </c>
      <c r="F83" s="234" t="s">
        <v>2546</v>
      </c>
      <c r="I83" s="36" t="s">
        <v>1680</v>
      </c>
    </row>
    <row r="84">
      <c r="A84" s="304">
        <v>43370.0</v>
      </c>
      <c r="B84" s="87" t="s">
        <v>2547</v>
      </c>
      <c r="C84" s="87" t="s">
        <v>2548</v>
      </c>
      <c r="D84" s="330" t="s">
        <v>2549</v>
      </c>
      <c r="E84" s="306"/>
      <c r="F84" s="234" t="s">
        <v>2546</v>
      </c>
      <c r="I84" s="36" t="s">
        <v>2550</v>
      </c>
    </row>
    <row r="85">
      <c r="A85" s="304">
        <v>43372.0</v>
      </c>
      <c r="B85" s="306"/>
      <c r="C85" s="87" t="s">
        <v>492</v>
      </c>
      <c r="D85" s="330" t="s">
        <v>2551</v>
      </c>
      <c r="E85" s="87" t="s">
        <v>2552</v>
      </c>
      <c r="F85" s="310" t="s">
        <v>1535</v>
      </c>
      <c r="I85" s="119" t="s">
        <v>2553</v>
      </c>
    </row>
    <row r="86">
      <c r="A86" s="304">
        <v>43372.0</v>
      </c>
      <c r="B86" s="87" t="s">
        <v>2554</v>
      </c>
      <c r="C86" s="87" t="s">
        <v>492</v>
      </c>
      <c r="D86" s="330" t="s">
        <v>2555</v>
      </c>
      <c r="E86" s="87" t="s">
        <v>2556</v>
      </c>
      <c r="F86" s="310" t="s">
        <v>1535</v>
      </c>
    </row>
    <row r="87">
      <c r="A87" s="229">
        <v>43373.0</v>
      </c>
      <c r="B87" s="347" t="s">
        <v>809</v>
      </c>
      <c r="C87" s="36" t="s">
        <v>45</v>
      </c>
      <c r="D87" s="379" t="s">
        <v>2557</v>
      </c>
      <c r="E87" s="87" t="s">
        <v>2558</v>
      </c>
      <c r="F87" s="234" t="s">
        <v>1839</v>
      </c>
      <c r="I87" s="117"/>
    </row>
    <row r="91">
      <c r="D91" s="380"/>
      <c r="F91" s="329"/>
      <c r="I91" s="381"/>
    </row>
    <row r="92">
      <c r="B92" s="382"/>
      <c r="C92" s="383"/>
      <c r="D92" s="380"/>
      <c r="F92" s="329"/>
    </row>
    <row r="93">
      <c r="B93" s="382"/>
      <c r="C93" s="254"/>
      <c r="D93" s="380"/>
      <c r="F93" s="329"/>
    </row>
    <row r="94">
      <c r="B94" s="382"/>
      <c r="C94" s="246"/>
      <c r="D94" s="380"/>
      <c r="F94" s="329"/>
    </row>
    <row r="95">
      <c r="D95" s="380"/>
      <c r="F95" s="329"/>
    </row>
    <row r="96">
      <c r="D96" s="380"/>
      <c r="F96" s="329"/>
    </row>
    <row r="97">
      <c r="D97" s="380"/>
      <c r="F97" s="329"/>
    </row>
    <row r="98">
      <c r="D98" s="380"/>
      <c r="F98" s="329"/>
    </row>
    <row r="99">
      <c r="D99" s="380"/>
      <c r="F99" s="329"/>
    </row>
    <row r="100">
      <c r="D100" s="380"/>
      <c r="F100" s="329"/>
    </row>
    <row r="101">
      <c r="D101" s="380"/>
      <c r="F101" s="329"/>
    </row>
    <row r="102">
      <c r="D102" s="380"/>
      <c r="F102" s="329"/>
    </row>
    <row r="103">
      <c r="D103" s="380"/>
      <c r="F103" s="329"/>
    </row>
    <row r="104">
      <c r="D104" s="380"/>
      <c r="F104" s="329"/>
    </row>
    <row r="105">
      <c r="D105" s="380"/>
      <c r="F105" s="329"/>
    </row>
    <row r="106">
      <c r="D106" s="380"/>
      <c r="F106" s="329"/>
    </row>
    <row r="107">
      <c r="D107" s="380"/>
      <c r="F107" s="329"/>
    </row>
    <row r="108">
      <c r="D108" s="380"/>
      <c r="F108" s="329"/>
    </row>
    <row r="109">
      <c r="D109" s="380"/>
      <c r="F109" s="329"/>
    </row>
    <row r="110">
      <c r="D110" s="380"/>
      <c r="F110" s="329"/>
    </row>
    <row r="111">
      <c r="D111" s="380"/>
      <c r="F111" s="329"/>
    </row>
    <row r="112">
      <c r="D112" s="380"/>
      <c r="F112" s="329"/>
    </row>
    <row r="113">
      <c r="D113" s="380"/>
      <c r="F113" s="329"/>
    </row>
    <row r="114">
      <c r="D114" s="380"/>
      <c r="F114" s="329"/>
    </row>
    <row r="115">
      <c r="D115" s="380"/>
      <c r="F115" s="329"/>
    </row>
    <row r="116">
      <c r="D116" s="380"/>
      <c r="F116" s="329"/>
    </row>
    <row r="117">
      <c r="D117" s="380"/>
      <c r="F117" s="329"/>
    </row>
    <row r="118">
      <c r="D118" s="380"/>
      <c r="F118" s="329"/>
    </row>
    <row r="119">
      <c r="D119" s="380"/>
      <c r="F119" s="329"/>
    </row>
    <row r="120">
      <c r="D120" s="380"/>
      <c r="F120" s="329"/>
    </row>
    <row r="121">
      <c r="D121" s="380"/>
      <c r="F121" s="329"/>
    </row>
    <row r="122">
      <c r="D122" s="380"/>
      <c r="F122" s="329"/>
    </row>
    <row r="123">
      <c r="D123" s="380"/>
      <c r="F123" s="329"/>
    </row>
    <row r="124">
      <c r="D124" s="380"/>
      <c r="F124" s="329"/>
    </row>
    <row r="125">
      <c r="D125" s="380"/>
      <c r="F125" s="329"/>
    </row>
    <row r="126">
      <c r="D126" s="380"/>
      <c r="F126" s="329"/>
    </row>
    <row r="127">
      <c r="D127" s="380"/>
      <c r="F127" s="329"/>
    </row>
    <row r="128">
      <c r="D128" s="380"/>
      <c r="F128" s="329"/>
    </row>
    <row r="129">
      <c r="D129" s="380"/>
      <c r="F129" s="329"/>
    </row>
    <row r="130">
      <c r="D130" s="380"/>
      <c r="F130" s="329"/>
    </row>
    <row r="131">
      <c r="D131" s="380"/>
      <c r="F131" s="329"/>
    </row>
    <row r="132">
      <c r="D132" s="380"/>
      <c r="F132" s="329"/>
    </row>
    <row r="133">
      <c r="D133" s="380"/>
      <c r="F133" s="329"/>
    </row>
    <row r="134">
      <c r="D134" s="380"/>
      <c r="F134" s="329"/>
    </row>
    <row r="135">
      <c r="D135" s="380"/>
      <c r="F135" s="329"/>
    </row>
    <row r="136">
      <c r="D136" s="380"/>
      <c r="F136" s="329"/>
    </row>
    <row r="137">
      <c r="D137" s="380"/>
      <c r="F137" s="329"/>
    </row>
    <row r="138">
      <c r="D138" s="380"/>
      <c r="F138" s="329"/>
    </row>
    <row r="139">
      <c r="D139" s="380"/>
      <c r="F139" s="329"/>
    </row>
    <row r="140">
      <c r="D140" s="380"/>
      <c r="F140" s="329"/>
    </row>
    <row r="141">
      <c r="D141" s="380"/>
      <c r="F141" s="329"/>
    </row>
    <row r="142">
      <c r="D142" s="380"/>
      <c r="F142" s="329"/>
    </row>
    <row r="143">
      <c r="D143" s="380"/>
      <c r="F143" s="329"/>
    </row>
    <row r="144">
      <c r="D144" s="380"/>
      <c r="F144" s="329"/>
    </row>
    <row r="145">
      <c r="D145" s="380"/>
      <c r="F145" s="329"/>
    </row>
    <row r="146">
      <c r="D146" s="380"/>
      <c r="F146" s="329"/>
    </row>
    <row r="147">
      <c r="D147" s="380"/>
      <c r="F147" s="329"/>
    </row>
    <row r="148">
      <c r="D148" s="380"/>
      <c r="F148" s="329"/>
    </row>
    <row r="149">
      <c r="D149" s="380"/>
      <c r="F149" s="329"/>
    </row>
    <row r="150">
      <c r="D150" s="380"/>
      <c r="F150" s="329"/>
    </row>
    <row r="151">
      <c r="D151" s="380"/>
      <c r="F151" s="329"/>
    </row>
    <row r="152">
      <c r="D152" s="380"/>
      <c r="F152" s="329"/>
    </row>
    <row r="153">
      <c r="D153" s="380"/>
      <c r="F153" s="329"/>
    </row>
    <row r="154">
      <c r="D154" s="380"/>
      <c r="F154" s="329"/>
    </row>
    <row r="155">
      <c r="D155" s="380"/>
      <c r="F155" s="329"/>
    </row>
    <row r="156">
      <c r="D156" s="380"/>
      <c r="F156" s="329"/>
    </row>
    <row r="157">
      <c r="D157" s="380"/>
      <c r="F157" s="329"/>
    </row>
    <row r="158">
      <c r="D158" s="380"/>
      <c r="F158" s="329"/>
    </row>
    <row r="159">
      <c r="D159" s="380"/>
      <c r="F159" s="329"/>
    </row>
    <row r="160">
      <c r="D160" s="380"/>
      <c r="F160" s="329"/>
    </row>
    <row r="161">
      <c r="D161" s="380"/>
      <c r="F161" s="329"/>
    </row>
    <row r="162">
      <c r="D162" s="380"/>
      <c r="F162" s="329"/>
    </row>
    <row r="163">
      <c r="D163" s="380"/>
      <c r="F163" s="329"/>
    </row>
    <row r="164">
      <c r="D164" s="380"/>
      <c r="F164" s="329"/>
    </row>
    <row r="165">
      <c r="D165" s="380"/>
      <c r="F165" s="329"/>
    </row>
    <row r="166">
      <c r="D166" s="380"/>
      <c r="F166" s="329"/>
    </row>
    <row r="167">
      <c r="D167" s="380"/>
      <c r="F167" s="329"/>
    </row>
    <row r="168">
      <c r="D168" s="380"/>
      <c r="F168" s="329"/>
    </row>
    <row r="169">
      <c r="D169" s="380"/>
      <c r="F169" s="329"/>
    </row>
    <row r="170">
      <c r="D170" s="380"/>
      <c r="F170" s="329"/>
    </row>
    <row r="171">
      <c r="D171" s="380"/>
      <c r="F171" s="329"/>
    </row>
    <row r="172">
      <c r="D172" s="380"/>
      <c r="F172" s="329"/>
    </row>
    <row r="173">
      <c r="D173" s="380"/>
      <c r="F173" s="329"/>
    </row>
    <row r="174">
      <c r="D174" s="380"/>
      <c r="F174" s="329"/>
    </row>
    <row r="175">
      <c r="D175" s="380"/>
      <c r="F175" s="329"/>
    </row>
    <row r="176">
      <c r="D176" s="380"/>
      <c r="F176" s="329"/>
    </row>
    <row r="177">
      <c r="D177" s="380"/>
      <c r="F177" s="329"/>
    </row>
    <row r="178">
      <c r="D178" s="380"/>
      <c r="F178" s="329"/>
    </row>
    <row r="179">
      <c r="D179" s="380"/>
      <c r="F179" s="329"/>
    </row>
    <row r="180">
      <c r="D180" s="380"/>
      <c r="F180" s="329"/>
    </row>
    <row r="181">
      <c r="D181" s="380"/>
      <c r="F181" s="329"/>
    </row>
    <row r="182">
      <c r="D182" s="380"/>
      <c r="F182" s="329"/>
    </row>
    <row r="183">
      <c r="D183" s="380"/>
      <c r="F183" s="329"/>
    </row>
    <row r="184">
      <c r="D184" s="380"/>
      <c r="F184" s="329"/>
    </row>
    <row r="185">
      <c r="D185" s="380"/>
      <c r="F185" s="329"/>
    </row>
    <row r="186">
      <c r="D186" s="380"/>
      <c r="F186" s="329"/>
    </row>
    <row r="187">
      <c r="D187" s="380"/>
      <c r="F187" s="329"/>
    </row>
    <row r="188">
      <c r="D188" s="380"/>
      <c r="F188" s="329"/>
    </row>
    <row r="189">
      <c r="D189" s="380"/>
      <c r="F189" s="329"/>
    </row>
    <row r="190">
      <c r="D190" s="380"/>
      <c r="F190" s="329"/>
    </row>
    <row r="191">
      <c r="D191" s="380"/>
      <c r="F191" s="329"/>
    </row>
    <row r="192">
      <c r="D192" s="380"/>
      <c r="F192" s="329"/>
    </row>
    <row r="193">
      <c r="D193" s="380"/>
      <c r="F193" s="329"/>
    </row>
    <row r="194">
      <c r="D194" s="380"/>
      <c r="F194" s="329"/>
    </row>
    <row r="195">
      <c r="D195" s="380"/>
      <c r="F195" s="329"/>
    </row>
    <row r="196">
      <c r="D196" s="380"/>
      <c r="F196" s="329"/>
    </row>
    <row r="197">
      <c r="D197" s="380"/>
      <c r="F197" s="329"/>
    </row>
    <row r="198">
      <c r="D198" s="380"/>
      <c r="F198" s="329"/>
    </row>
    <row r="199">
      <c r="D199" s="380"/>
      <c r="F199" s="329"/>
    </row>
    <row r="200">
      <c r="D200" s="380"/>
      <c r="F200" s="329"/>
    </row>
    <row r="201">
      <c r="D201" s="380"/>
      <c r="F201" s="329"/>
    </row>
    <row r="202">
      <c r="D202" s="380"/>
      <c r="F202" s="329"/>
    </row>
    <row r="203">
      <c r="D203" s="380"/>
      <c r="F203" s="329"/>
    </row>
    <row r="204">
      <c r="D204" s="380"/>
      <c r="F204" s="329"/>
    </row>
    <row r="205">
      <c r="D205" s="380"/>
      <c r="F205" s="329"/>
    </row>
    <row r="206">
      <c r="D206" s="380"/>
      <c r="F206" s="329"/>
    </row>
    <row r="207">
      <c r="D207" s="380"/>
      <c r="F207" s="329"/>
    </row>
    <row r="208">
      <c r="D208" s="380"/>
      <c r="F208" s="329"/>
    </row>
    <row r="209">
      <c r="D209" s="380"/>
      <c r="F209" s="329"/>
    </row>
    <row r="210">
      <c r="D210" s="380"/>
      <c r="F210" s="329"/>
    </row>
    <row r="211">
      <c r="D211" s="380"/>
      <c r="F211" s="329"/>
    </row>
    <row r="212">
      <c r="D212" s="380"/>
      <c r="F212" s="329"/>
    </row>
    <row r="213">
      <c r="D213" s="380"/>
      <c r="F213" s="329"/>
    </row>
    <row r="214">
      <c r="D214" s="380"/>
      <c r="F214" s="329"/>
    </row>
    <row r="215">
      <c r="D215" s="380"/>
      <c r="F215" s="329"/>
    </row>
    <row r="216">
      <c r="D216" s="380"/>
      <c r="F216" s="329"/>
    </row>
    <row r="217">
      <c r="D217" s="380"/>
      <c r="F217" s="329"/>
    </row>
    <row r="218">
      <c r="D218" s="380"/>
      <c r="F218" s="329"/>
    </row>
    <row r="219">
      <c r="D219" s="380"/>
      <c r="F219" s="329"/>
    </row>
    <row r="220">
      <c r="D220" s="380"/>
      <c r="F220" s="329"/>
    </row>
    <row r="221">
      <c r="D221" s="380"/>
      <c r="F221" s="329"/>
    </row>
    <row r="222">
      <c r="D222" s="380"/>
      <c r="F222" s="329"/>
    </row>
    <row r="223">
      <c r="D223" s="380"/>
      <c r="F223" s="329"/>
    </row>
    <row r="224">
      <c r="D224" s="380"/>
      <c r="F224" s="329"/>
    </row>
    <row r="225">
      <c r="D225" s="380"/>
      <c r="F225" s="329"/>
    </row>
    <row r="226">
      <c r="D226" s="380"/>
      <c r="F226" s="329"/>
    </row>
    <row r="227">
      <c r="D227" s="380"/>
      <c r="F227" s="329"/>
    </row>
    <row r="228">
      <c r="D228" s="380"/>
      <c r="F228" s="329"/>
    </row>
    <row r="229">
      <c r="D229" s="380"/>
      <c r="F229" s="329"/>
    </row>
    <row r="230">
      <c r="D230" s="380"/>
      <c r="F230" s="329"/>
    </row>
    <row r="231">
      <c r="D231" s="380"/>
      <c r="F231" s="329"/>
    </row>
    <row r="232">
      <c r="D232" s="380"/>
      <c r="F232" s="329"/>
    </row>
    <row r="233">
      <c r="D233" s="380"/>
      <c r="F233" s="329"/>
    </row>
    <row r="234">
      <c r="D234" s="380"/>
      <c r="F234" s="329"/>
    </row>
    <row r="235">
      <c r="D235" s="380"/>
      <c r="F235" s="329"/>
    </row>
    <row r="236">
      <c r="D236" s="380"/>
      <c r="F236" s="329"/>
    </row>
    <row r="237">
      <c r="D237" s="380"/>
      <c r="F237" s="329"/>
    </row>
    <row r="238">
      <c r="D238" s="380"/>
      <c r="F238" s="329"/>
    </row>
    <row r="239">
      <c r="D239" s="380"/>
      <c r="F239" s="329"/>
    </row>
    <row r="240">
      <c r="D240" s="380"/>
      <c r="F240" s="329"/>
    </row>
    <row r="241">
      <c r="D241" s="380"/>
      <c r="F241" s="329"/>
    </row>
    <row r="242">
      <c r="D242" s="380"/>
      <c r="F242" s="329"/>
    </row>
    <row r="243">
      <c r="D243" s="380"/>
      <c r="F243" s="329"/>
    </row>
    <row r="244">
      <c r="D244" s="380"/>
      <c r="F244" s="329"/>
    </row>
    <row r="245">
      <c r="D245" s="380"/>
      <c r="F245" s="329"/>
    </row>
    <row r="246">
      <c r="D246" s="380"/>
      <c r="F246" s="329"/>
    </row>
    <row r="247">
      <c r="D247" s="380"/>
      <c r="F247" s="329"/>
    </row>
    <row r="248">
      <c r="D248" s="380"/>
      <c r="F248" s="329"/>
    </row>
    <row r="249">
      <c r="D249" s="380"/>
      <c r="F249" s="329"/>
    </row>
    <row r="250">
      <c r="D250" s="380"/>
      <c r="F250" s="329"/>
    </row>
    <row r="251">
      <c r="D251" s="380"/>
      <c r="F251" s="329"/>
    </row>
    <row r="252">
      <c r="D252" s="380"/>
      <c r="F252" s="329"/>
    </row>
    <row r="253">
      <c r="D253" s="380"/>
      <c r="F253" s="329"/>
    </row>
    <row r="254">
      <c r="D254" s="380"/>
      <c r="F254" s="329"/>
    </row>
    <row r="255">
      <c r="D255" s="380"/>
      <c r="F255" s="329"/>
    </row>
    <row r="256">
      <c r="D256" s="380"/>
      <c r="F256" s="329"/>
    </row>
    <row r="257">
      <c r="D257" s="380"/>
      <c r="F257" s="329"/>
    </row>
    <row r="258">
      <c r="D258" s="380"/>
      <c r="F258" s="329"/>
    </row>
    <row r="259">
      <c r="D259" s="380"/>
      <c r="F259" s="329"/>
    </row>
    <row r="260">
      <c r="D260" s="380"/>
      <c r="F260" s="329"/>
    </row>
    <row r="261">
      <c r="D261" s="380"/>
      <c r="F261" s="329"/>
    </row>
    <row r="262">
      <c r="D262" s="380"/>
      <c r="F262" s="329"/>
    </row>
    <row r="263">
      <c r="D263" s="380"/>
      <c r="F263" s="329"/>
    </row>
    <row r="264">
      <c r="D264" s="380"/>
      <c r="F264" s="329"/>
    </row>
    <row r="265">
      <c r="D265" s="380"/>
      <c r="F265" s="329"/>
    </row>
    <row r="266">
      <c r="D266" s="380"/>
      <c r="F266" s="329"/>
    </row>
    <row r="267">
      <c r="D267" s="380"/>
      <c r="F267" s="329"/>
    </row>
    <row r="268">
      <c r="D268" s="380"/>
      <c r="F268" s="329"/>
    </row>
    <row r="269">
      <c r="D269" s="380"/>
      <c r="F269" s="329"/>
    </row>
    <row r="270">
      <c r="D270" s="380"/>
      <c r="F270" s="329"/>
    </row>
    <row r="271">
      <c r="D271" s="380"/>
      <c r="F271" s="329"/>
    </row>
    <row r="272">
      <c r="D272" s="380"/>
      <c r="F272" s="329"/>
    </row>
    <row r="273">
      <c r="D273" s="380"/>
      <c r="F273" s="329"/>
    </row>
    <row r="274">
      <c r="D274" s="380"/>
      <c r="F274" s="329"/>
    </row>
    <row r="275">
      <c r="D275" s="380"/>
      <c r="F275" s="329"/>
    </row>
    <row r="276">
      <c r="D276" s="380"/>
      <c r="F276" s="329"/>
    </row>
    <row r="277">
      <c r="D277" s="380"/>
      <c r="F277" s="329"/>
    </row>
    <row r="278">
      <c r="D278" s="380"/>
      <c r="F278" s="329"/>
    </row>
    <row r="279">
      <c r="D279" s="380"/>
      <c r="F279" s="329"/>
    </row>
    <row r="280">
      <c r="D280" s="380"/>
      <c r="F280" s="329"/>
    </row>
    <row r="281">
      <c r="D281" s="380"/>
      <c r="F281" s="329"/>
    </row>
    <row r="282">
      <c r="D282" s="380"/>
      <c r="F282" s="329"/>
    </row>
    <row r="283">
      <c r="D283" s="380"/>
      <c r="F283" s="329"/>
    </row>
    <row r="284">
      <c r="D284" s="380"/>
      <c r="F284" s="329"/>
    </row>
    <row r="285">
      <c r="D285" s="380"/>
      <c r="F285" s="329"/>
    </row>
    <row r="286">
      <c r="D286" s="380"/>
      <c r="F286" s="329"/>
    </row>
    <row r="287">
      <c r="D287" s="380"/>
      <c r="F287" s="329"/>
    </row>
    <row r="288">
      <c r="D288" s="380"/>
      <c r="F288" s="329"/>
    </row>
    <row r="289">
      <c r="D289" s="380"/>
      <c r="F289" s="329"/>
    </row>
    <row r="290">
      <c r="D290" s="380"/>
      <c r="F290" s="329"/>
    </row>
    <row r="291">
      <c r="D291" s="380"/>
      <c r="F291" s="329"/>
    </row>
    <row r="292">
      <c r="D292" s="380"/>
      <c r="F292" s="329"/>
    </row>
    <row r="293">
      <c r="D293" s="380"/>
      <c r="F293" s="329"/>
    </row>
    <row r="294">
      <c r="D294" s="380"/>
      <c r="F294" s="329"/>
    </row>
    <row r="295">
      <c r="D295" s="380"/>
      <c r="F295" s="329"/>
    </row>
    <row r="296">
      <c r="D296" s="380"/>
      <c r="F296" s="329"/>
    </row>
    <row r="297">
      <c r="D297" s="380"/>
      <c r="F297" s="329"/>
    </row>
    <row r="298">
      <c r="D298" s="380"/>
      <c r="F298" s="329"/>
    </row>
    <row r="299">
      <c r="D299" s="380"/>
      <c r="F299" s="329"/>
    </row>
    <row r="300">
      <c r="D300" s="380"/>
      <c r="F300" s="329"/>
    </row>
    <row r="301">
      <c r="D301" s="380"/>
      <c r="F301" s="329"/>
    </row>
    <row r="302">
      <c r="D302" s="380"/>
      <c r="F302" s="329"/>
    </row>
    <row r="303">
      <c r="D303" s="380"/>
      <c r="F303" s="329"/>
    </row>
    <row r="304">
      <c r="D304" s="380"/>
      <c r="F304" s="329"/>
    </row>
    <row r="305">
      <c r="D305" s="380"/>
      <c r="F305" s="329"/>
    </row>
    <row r="306">
      <c r="D306" s="380"/>
      <c r="F306" s="329"/>
    </row>
    <row r="307">
      <c r="D307" s="380"/>
      <c r="F307" s="329"/>
    </row>
    <row r="308">
      <c r="D308" s="380"/>
      <c r="F308" s="329"/>
    </row>
    <row r="309">
      <c r="D309" s="380"/>
      <c r="F309" s="329"/>
    </row>
    <row r="310">
      <c r="D310" s="380"/>
      <c r="F310" s="329"/>
    </row>
    <row r="311">
      <c r="D311" s="380"/>
      <c r="F311" s="329"/>
    </row>
    <row r="312">
      <c r="D312" s="380"/>
      <c r="F312" s="329"/>
    </row>
    <row r="313">
      <c r="D313" s="380"/>
      <c r="F313" s="329"/>
    </row>
    <row r="314">
      <c r="D314" s="380"/>
      <c r="F314" s="329"/>
    </row>
    <row r="315">
      <c r="D315" s="380"/>
      <c r="F315" s="329"/>
    </row>
    <row r="316">
      <c r="D316" s="380"/>
      <c r="F316" s="329"/>
    </row>
    <row r="317">
      <c r="D317" s="380"/>
      <c r="F317" s="329"/>
    </row>
    <row r="318">
      <c r="D318" s="380"/>
      <c r="F318" s="329"/>
    </row>
    <row r="319">
      <c r="D319" s="380"/>
      <c r="F319" s="329"/>
    </row>
    <row r="320">
      <c r="D320" s="380"/>
      <c r="F320" s="329"/>
    </row>
    <row r="321">
      <c r="D321" s="380"/>
      <c r="F321" s="329"/>
    </row>
    <row r="322">
      <c r="D322" s="380"/>
      <c r="F322" s="329"/>
    </row>
    <row r="323">
      <c r="D323" s="380"/>
      <c r="F323" s="329"/>
    </row>
    <row r="324">
      <c r="D324" s="380"/>
      <c r="F324" s="329"/>
    </row>
    <row r="325">
      <c r="D325" s="380"/>
      <c r="F325" s="329"/>
    </row>
    <row r="326">
      <c r="D326" s="380"/>
      <c r="F326" s="329"/>
    </row>
    <row r="327">
      <c r="D327" s="380"/>
      <c r="F327" s="329"/>
    </row>
    <row r="328">
      <c r="D328" s="380"/>
      <c r="F328" s="329"/>
    </row>
    <row r="329">
      <c r="D329" s="380"/>
      <c r="F329" s="329"/>
    </row>
    <row r="330">
      <c r="D330" s="380"/>
      <c r="F330" s="329"/>
    </row>
    <row r="331">
      <c r="D331" s="380"/>
      <c r="F331" s="329"/>
    </row>
    <row r="332">
      <c r="D332" s="380"/>
      <c r="F332" s="329"/>
    </row>
    <row r="333">
      <c r="D333" s="380"/>
      <c r="F333" s="329"/>
    </row>
    <row r="334">
      <c r="D334" s="380"/>
      <c r="F334" s="329"/>
    </row>
    <row r="335">
      <c r="D335" s="380"/>
      <c r="F335" s="329"/>
    </row>
    <row r="336">
      <c r="D336" s="380"/>
      <c r="F336" s="329"/>
    </row>
    <row r="337">
      <c r="D337" s="380"/>
      <c r="F337" s="329"/>
    </row>
    <row r="338">
      <c r="D338" s="380"/>
      <c r="F338" s="329"/>
    </row>
    <row r="339">
      <c r="D339" s="380"/>
      <c r="F339" s="329"/>
    </row>
    <row r="340">
      <c r="D340" s="380"/>
      <c r="F340" s="329"/>
    </row>
    <row r="341">
      <c r="D341" s="380"/>
      <c r="F341" s="329"/>
    </row>
    <row r="342">
      <c r="D342" s="380"/>
      <c r="F342" s="329"/>
    </row>
    <row r="343">
      <c r="D343" s="380"/>
      <c r="F343" s="329"/>
    </row>
    <row r="344">
      <c r="D344" s="380"/>
      <c r="F344" s="329"/>
    </row>
    <row r="345">
      <c r="D345" s="380"/>
      <c r="F345" s="329"/>
    </row>
    <row r="346">
      <c r="D346" s="380"/>
      <c r="F346" s="329"/>
    </row>
    <row r="347">
      <c r="D347" s="380"/>
      <c r="F347" s="329"/>
    </row>
    <row r="348">
      <c r="D348" s="380"/>
      <c r="F348" s="329"/>
    </row>
    <row r="349">
      <c r="D349" s="380"/>
      <c r="F349" s="329"/>
    </row>
    <row r="350">
      <c r="D350" s="380"/>
      <c r="F350" s="329"/>
    </row>
    <row r="351">
      <c r="D351" s="380"/>
      <c r="F351" s="329"/>
    </row>
    <row r="352">
      <c r="D352" s="380"/>
      <c r="F352" s="329"/>
    </row>
    <row r="353">
      <c r="D353" s="380"/>
      <c r="F353" s="329"/>
    </row>
    <row r="354">
      <c r="D354" s="380"/>
      <c r="F354" s="329"/>
    </row>
    <row r="355">
      <c r="D355" s="380"/>
      <c r="F355" s="329"/>
    </row>
    <row r="356">
      <c r="D356" s="380"/>
      <c r="F356" s="329"/>
    </row>
    <row r="357">
      <c r="D357" s="380"/>
      <c r="F357" s="329"/>
    </row>
    <row r="358">
      <c r="D358" s="380"/>
      <c r="F358" s="329"/>
    </row>
    <row r="359">
      <c r="D359" s="380"/>
      <c r="F359" s="329"/>
    </row>
    <row r="360">
      <c r="D360" s="380"/>
      <c r="F360" s="329"/>
    </row>
    <row r="361">
      <c r="D361" s="380"/>
      <c r="F361" s="329"/>
    </row>
    <row r="362">
      <c r="D362" s="380"/>
      <c r="F362" s="329"/>
    </row>
    <row r="363">
      <c r="D363" s="380"/>
      <c r="F363" s="329"/>
    </row>
    <row r="364">
      <c r="D364" s="380"/>
      <c r="F364" s="329"/>
    </row>
    <row r="365">
      <c r="D365" s="380"/>
      <c r="F365" s="329"/>
    </row>
    <row r="366">
      <c r="D366" s="380"/>
      <c r="F366" s="329"/>
    </row>
    <row r="367">
      <c r="D367" s="380"/>
      <c r="F367" s="329"/>
    </row>
    <row r="368">
      <c r="D368" s="380"/>
      <c r="F368" s="329"/>
    </row>
    <row r="369">
      <c r="D369" s="380"/>
      <c r="F369" s="329"/>
    </row>
    <row r="370">
      <c r="D370" s="380"/>
      <c r="F370" s="329"/>
    </row>
    <row r="371">
      <c r="D371" s="380"/>
      <c r="F371" s="329"/>
    </row>
    <row r="372">
      <c r="D372" s="380"/>
      <c r="F372" s="329"/>
    </row>
    <row r="373">
      <c r="D373" s="380"/>
      <c r="F373" s="329"/>
    </row>
    <row r="374">
      <c r="D374" s="380"/>
      <c r="F374" s="329"/>
    </row>
    <row r="375">
      <c r="D375" s="380"/>
      <c r="F375" s="329"/>
    </row>
    <row r="376">
      <c r="D376" s="380"/>
      <c r="F376" s="329"/>
    </row>
    <row r="377">
      <c r="D377" s="380"/>
      <c r="F377" s="329"/>
    </row>
    <row r="378">
      <c r="D378" s="380"/>
      <c r="F378" s="329"/>
    </row>
    <row r="379">
      <c r="D379" s="380"/>
      <c r="F379" s="329"/>
    </row>
    <row r="380">
      <c r="D380" s="380"/>
      <c r="F380" s="329"/>
    </row>
    <row r="381">
      <c r="D381" s="380"/>
      <c r="F381" s="329"/>
    </row>
    <row r="382">
      <c r="D382" s="380"/>
      <c r="F382" s="329"/>
    </row>
    <row r="383">
      <c r="D383" s="380"/>
      <c r="F383" s="329"/>
    </row>
    <row r="384">
      <c r="D384" s="380"/>
      <c r="F384" s="329"/>
    </row>
    <row r="385">
      <c r="D385" s="380"/>
      <c r="F385" s="329"/>
    </row>
    <row r="386">
      <c r="D386" s="380"/>
      <c r="F386" s="329"/>
    </row>
    <row r="387">
      <c r="D387" s="380"/>
      <c r="F387" s="329"/>
    </row>
    <row r="388">
      <c r="D388" s="380"/>
      <c r="F388" s="329"/>
    </row>
    <row r="389">
      <c r="D389" s="380"/>
      <c r="F389" s="329"/>
    </row>
    <row r="390">
      <c r="D390" s="380"/>
      <c r="F390" s="329"/>
    </row>
    <row r="391">
      <c r="D391" s="380"/>
      <c r="F391" s="329"/>
    </row>
    <row r="392">
      <c r="D392" s="380"/>
      <c r="F392" s="329"/>
    </row>
    <row r="393">
      <c r="D393" s="380"/>
      <c r="F393" s="329"/>
    </row>
    <row r="394">
      <c r="D394" s="380"/>
      <c r="F394" s="329"/>
    </row>
    <row r="395">
      <c r="D395" s="380"/>
      <c r="F395" s="329"/>
    </row>
    <row r="396">
      <c r="D396" s="380"/>
      <c r="F396" s="329"/>
    </row>
    <row r="397">
      <c r="D397" s="380"/>
      <c r="F397" s="329"/>
    </row>
    <row r="398">
      <c r="D398" s="380"/>
      <c r="F398" s="329"/>
    </row>
    <row r="399">
      <c r="D399" s="380"/>
      <c r="F399" s="329"/>
    </row>
    <row r="400">
      <c r="D400" s="380"/>
      <c r="F400" s="329"/>
    </row>
    <row r="401">
      <c r="D401" s="380"/>
      <c r="F401" s="329"/>
    </row>
    <row r="402">
      <c r="D402" s="380"/>
      <c r="F402" s="329"/>
    </row>
    <row r="403">
      <c r="D403" s="380"/>
      <c r="F403" s="329"/>
    </row>
    <row r="404">
      <c r="D404" s="380"/>
      <c r="F404" s="329"/>
    </row>
    <row r="405">
      <c r="D405" s="380"/>
      <c r="F405" s="329"/>
    </row>
    <row r="406">
      <c r="D406" s="380"/>
      <c r="F406" s="329"/>
    </row>
    <row r="407">
      <c r="D407" s="380"/>
      <c r="F407" s="329"/>
    </row>
    <row r="408">
      <c r="D408" s="380"/>
      <c r="F408" s="329"/>
    </row>
    <row r="409">
      <c r="D409" s="380"/>
      <c r="F409" s="329"/>
    </row>
    <row r="410">
      <c r="D410" s="380"/>
      <c r="F410" s="329"/>
    </row>
    <row r="411">
      <c r="D411" s="380"/>
      <c r="F411" s="329"/>
    </row>
    <row r="412">
      <c r="D412" s="380"/>
      <c r="F412" s="329"/>
    </row>
    <row r="413">
      <c r="D413" s="380"/>
      <c r="F413" s="329"/>
    </row>
    <row r="414">
      <c r="D414" s="380"/>
      <c r="F414" s="329"/>
    </row>
    <row r="415">
      <c r="D415" s="380"/>
      <c r="F415" s="329"/>
    </row>
    <row r="416">
      <c r="D416" s="380"/>
      <c r="F416" s="329"/>
    </row>
    <row r="417">
      <c r="D417" s="380"/>
      <c r="F417" s="329"/>
    </row>
    <row r="418">
      <c r="D418" s="380"/>
      <c r="F418" s="329"/>
    </row>
    <row r="419">
      <c r="D419" s="380"/>
      <c r="F419" s="329"/>
    </row>
    <row r="420">
      <c r="D420" s="380"/>
      <c r="F420" s="329"/>
    </row>
    <row r="421">
      <c r="D421" s="380"/>
      <c r="F421" s="329"/>
    </row>
    <row r="422">
      <c r="D422" s="380"/>
      <c r="F422" s="329"/>
    </row>
    <row r="423">
      <c r="D423" s="380"/>
      <c r="F423" s="329"/>
    </row>
    <row r="424">
      <c r="D424" s="380"/>
      <c r="F424" s="329"/>
    </row>
    <row r="425">
      <c r="D425" s="380"/>
      <c r="F425" s="329"/>
    </row>
    <row r="426">
      <c r="D426" s="380"/>
      <c r="F426" s="329"/>
    </row>
    <row r="427">
      <c r="D427" s="380"/>
      <c r="F427" s="329"/>
    </row>
    <row r="428">
      <c r="D428" s="380"/>
      <c r="F428" s="329"/>
    </row>
    <row r="429">
      <c r="D429" s="380"/>
      <c r="F429" s="329"/>
    </row>
    <row r="430">
      <c r="D430" s="380"/>
      <c r="F430" s="329"/>
    </row>
    <row r="431">
      <c r="D431" s="380"/>
      <c r="F431" s="329"/>
    </row>
    <row r="432">
      <c r="D432" s="380"/>
      <c r="F432" s="329"/>
    </row>
    <row r="433">
      <c r="D433" s="380"/>
      <c r="F433" s="329"/>
    </row>
    <row r="434">
      <c r="D434" s="380"/>
      <c r="F434" s="329"/>
    </row>
    <row r="435">
      <c r="D435" s="380"/>
      <c r="F435" s="329"/>
    </row>
    <row r="436">
      <c r="D436" s="380"/>
      <c r="F436" s="329"/>
    </row>
    <row r="437">
      <c r="D437" s="380"/>
      <c r="F437" s="329"/>
    </row>
    <row r="438">
      <c r="D438" s="380"/>
      <c r="F438" s="329"/>
    </row>
    <row r="439">
      <c r="D439" s="380"/>
      <c r="F439" s="329"/>
    </row>
    <row r="440">
      <c r="D440" s="380"/>
      <c r="F440" s="329"/>
    </row>
    <row r="441">
      <c r="D441" s="380"/>
      <c r="F441" s="329"/>
    </row>
    <row r="442">
      <c r="D442" s="380"/>
      <c r="F442" s="329"/>
    </row>
    <row r="443">
      <c r="D443" s="380"/>
      <c r="F443" s="329"/>
    </row>
    <row r="444">
      <c r="D444" s="380"/>
      <c r="F444" s="329"/>
    </row>
    <row r="445">
      <c r="D445" s="380"/>
      <c r="F445" s="329"/>
    </row>
    <row r="446">
      <c r="D446" s="380"/>
      <c r="F446" s="329"/>
    </row>
    <row r="447">
      <c r="D447" s="380"/>
      <c r="F447" s="329"/>
    </row>
    <row r="448">
      <c r="D448" s="380"/>
      <c r="F448" s="329"/>
    </row>
    <row r="449">
      <c r="D449" s="380"/>
      <c r="F449" s="329"/>
    </row>
    <row r="450">
      <c r="D450" s="380"/>
      <c r="F450" s="329"/>
    </row>
    <row r="451">
      <c r="D451" s="380"/>
      <c r="F451" s="329"/>
    </row>
    <row r="452">
      <c r="D452" s="380"/>
      <c r="F452" s="329"/>
    </row>
    <row r="453">
      <c r="D453" s="380"/>
      <c r="F453" s="329"/>
    </row>
    <row r="454">
      <c r="D454" s="380"/>
      <c r="F454" s="329"/>
    </row>
    <row r="455">
      <c r="D455" s="380"/>
      <c r="F455" s="329"/>
    </row>
    <row r="456">
      <c r="D456" s="380"/>
      <c r="F456" s="329"/>
    </row>
    <row r="457">
      <c r="D457" s="380"/>
      <c r="F457" s="329"/>
    </row>
    <row r="458">
      <c r="D458" s="380"/>
      <c r="F458" s="329"/>
    </row>
    <row r="459">
      <c r="D459" s="380"/>
      <c r="F459" s="329"/>
    </row>
    <row r="460">
      <c r="D460" s="380"/>
      <c r="F460" s="329"/>
    </row>
    <row r="461">
      <c r="D461" s="380"/>
      <c r="F461" s="329"/>
    </row>
    <row r="462">
      <c r="D462" s="380"/>
      <c r="F462" s="329"/>
    </row>
    <row r="463">
      <c r="D463" s="380"/>
      <c r="F463" s="329"/>
    </row>
    <row r="464">
      <c r="D464" s="380"/>
      <c r="F464" s="329"/>
    </row>
    <row r="465">
      <c r="D465" s="380"/>
      <c r="F465" s="329"/>
    </row>
    <row r="466">
      <c r="D466" s="380"/>
      <c r="F466" s="329"/>
    </row>
    <row r="467">
      <c r="D467" s="380"/>
      <c r="F467" s="329"/>
    </row>
    <row r="468">
      <c r="D468" s="380"/>
      <c r="F468" s="329"/>
    </row>
    <row r="469">
      <c r="D469" s="380"/>
      <c r="F469" s="329"/>
    </row>
    <row r="470">
      <c r="D470" s="380"/>
      <c r="F470" s="329"/>
    </row>
    <row r="471">
      <c r="D471" s="380"/>
      <c r="F471" s="329"/>
    </row>
    <row r="472">
      <c r="D472" s="380"/>
      <c r="F472" s="329"/>
    </row>
    <row r="473">
      <c r="D473" s="380"/>
      <c r="F473" s="329"/>
    </row>
    <row r="474">
      <c r="D474" s="380"/>
      <c r="F474" s="329"/>
    </row>
    <row r="475">
      <c r="D475" s="380"/>
      <c r="F475" s="329"/>
    </row>
    <row r="476">
      <c r="D476" s="380"/>
      <c r="F476" s="329"/>
    </row>
    <row r="477">
      <c r="D477" s="380"/>
      <c r="F477" s="329"/>
    </row>
    <row r="478">
      <c r="D478" s="380"/>
      <c r="F478" s="329"/>
    </row>
    <row r="479">
      <c r="D479" s="380"/>
      <c r="F479" s="329"/>
    </row>
    <row r="480">
      <c r="D480" s="380"/>
      <c r="F480" s="329"/>
    </row>
    <row r="481">
      <c r="D481" s="380"/>
      <c r="F481" s="329"/>
    </row>
    <row r="482">
      <c r="D482" s="380"/>
      <c r="F482" s="329"/>
    </row>
    <row r="483">
      <c r="D483" s="380"/>
      <c r="F483" s="329"/>
    </row>
    <row r="484">
      <c r="D484" s="380"/>
      <c r="F484" s="329"/>
    </row>
    <row r="485">
      <c r="D485" s="380"/>
      <c r="F485" s="329"/>
    </row>
    <row r="486">
      <c r="D486" s="380"/>
      <c r="F486" s="329"/>
    </row>
    <row r="487">
      <c r="D487" s="380"/>
      <c r="F487" s="329"/>
    </row>
    <row r="488">
      <c r="D488" s="380"/>
      <c r="F488" s="329"/>
    </row>
    <row r="489">
      <c r="D489" s="380"/>
      <c r="F489" s="329"/>
    </row>
    <row r="490">
      <c r="D490" s="380"/>
      <c r="F490" s="329"/>
    </row>
    <row r="491">
      <c r="D491" s="380"/>
      <c r="F491" s="329"/>
    </row>
    <row r="492">
      <c r="D492" s="380"/>
      <c r="F492" s="329"/>
    </row>
    <row r="493">
      <c r="D493" s="380"/>
      <c r="F493" s="329"/>
    </row>
    <row r="494">
      <c r="D494" s="380"/>
      <c r="F494" s="329"/>
    </row>
    <row r="495">
      <c r="D495" s="380"/>
      <c r="F495" s="329"/>
    </row>
    <row r="496">
      <c r="D496" s="380"/>
      <c r="F496" s="329"/>
    </row>
    <row r="497">
      <c r="D497" s="380"/>
      <c r="F497" s="329"/>
    </row>
    <row r="498">
      <c r="D498" s="380"/>
      <c r="F498" s="329"/>
    </row>
    <row r="499">
      <c r="D499" s="380"/>
      <c r="F499" s="329"/>
    </row>
    <row r="500">
      <c r="D500" s="380"/>
      <c r="F500" s="329"/>
    </row>
    <row r="501">
      <c r="D501" s="380"/>
      <c r="F501" s="329"/>
    </row>
    <row r="502">
      <c r="D502" s="380"/>
      <c r="F502" s="329"/>
    </row>
    <row r="503">
      <c r="D503" s="380"/>
      <c r="F503" s="329"/>
    </row>
    <row r="504">
      <c r="D504" s="380"/>
      <c r="F504" s="329"/>
    </row>
    <row r="505">
      <c r="D505" s="380"/>
      <c r="F505" s="329"/>
    </row>
    <row r="506">
      <c r="D506" s="380"/>
      <c r="F506" s="329"/>
    </row>
    <row r="507">
      <c r="D507" s="380"/>
      <c r="F507" s="329"/>
    </row>
    <row r="508">
      <c r="D508" s="380"/>
      <c r="F508" s="329"/>
    </row>
    <row r="509">
      <c r="D509" s="380"/>
      <c r="F509" s="329"/>
    </row>
    <row r="510">
      <c r="D510" s="380"/>
      <c r="F510" s="329"/>
    </row>
    <row r="511">
      <c r="D511" s="380"/>
      <c r="F511" s="329"/>
    </row>
    <row r="512">
      <c r="D512" s="380"/>
      <c r="F512" s="329"/>
    </row>
    <row r="513">
      <c r="D513" s="380"/>
      <c r="F513" s="329"/>
    </row>
    <row r="514">
      <c r="D514" s="380"/>
      <c r="F514" s="329"/>
    </row>
    <row r="515">
      <c r="D515" s="380"/>
      <c r="F515" s="329"/>
    </row>
    <row r="516">
      <c r="D516" s="380"/>
      <c r="F516" s="329"/>
    </row>
    <row r="517">
      <c r="D517" s="380"/>
      <c r="F517" s="329"/>
    </row>
    <row r="518">
      <c r="D518" s="380"/>
      <c r="F518" s="329"/>
    </row>
    <row r="519">
      <c r="D519" s="380"/>
      <c r="F519" s="329"/>
    </row>
    <row r="520">
      <c r="D520" s="380"/>
      <c r="F520" s="329"/>
    </row>
    <row r="521">
      <c r="D521" s="380"/>
      <c r="F521" s="329"/>
    </row>
    <row r="522">
      <c r="D522" s="380"/>
      <c r="F522" s="329"/>
    </row>
    <row r="523">
      <c r="D523" s="380"/>
      <c r="F523" s="329"/>
    </row>
    <row r="524">
      <c r="D524" s="380"/>
      <c r="F524" s="329"/>
    </row>
    <row r="525">
      <c r="D525" s="380"/>
      <c r="F525" s="329"/>
    </row>
    <row r="526">
      <c r="D526" s="380"/>
      <c r="F526" s="329"/>
    </row>
    <row r="527">
      <c r="D527" s="380"/>
      <c r="F527" s="329"/>
    </row>
    <row r="528">
      <c r="D528" s="380"/>
      <c r="F528" s="329"/>
    </row>
    <row r="529">
      <c r="D529" s="380"/>
      <c r="F529" s="329"/>
    </row>
    <row r="530">
      <c r="D530" s="380"/>
      <c r="F530" s="329"/>
    </row>
    <row r="531">
      <c r="D531" s="380"/>
      <c r="F531" s="329"/>
    </row>
    <row r="532">
      <c r="D532" s="380"/>
      <c r="F532" s="329"/>
    </row>
    <row r="533">
      <c r="D533" s="380"/>
      <c r="F533" s="329"/>
    </row>
    <row r="534">
      <c r="D534" s="380"/>
      <c r="F534" s="329"/>
    </row>
    <row r="535">
      <c r="D535" s="380"/>
      <c r="F535" s="329"/>
    </row>
    <row r="536">
      <c r="D536" s="380"/>
      <c r="F536" s="329"/>
    </row>
    <row r="537">
      <c r="D537" s="380"/>
      <c r="F537" s="329"/>
    </row>
    <row r="538">
      <c r="D538" s="380"/>
      <c r="F538" s="329"/>
    </row>
    <row r="539">
      <c r="D539" s="380"/>
      <c r="F539" s="329"/>
    </row>
    <row r="540">
      <c r="D540" s="380"/>
      <c r="F540" s="329"/>
    </row>
    <row r="541">
      <c r="D541" s="380"/>
      <c r="F541" s="329"/>
    </row>
    <row r="542">
      <c r="D542" s="380"/>
      <c r="F542" s="329"/>
    </row>
    <row r="543">
      <c r="D543" s="380"/>
      <c r="F543" s="329"/>
    </row>
    <row r="544">
      <c r="D544" s="380"/>
      <c r="F544" s="329"/>
    </row>
    <row r="545">
      <c r="D545" s="380"/>
      <c r="F545" s="329"/>
    </row>
    <row r="546">
      <c r="D546" s="380"/>
      <c r="F546" s="329"/>
    </row>
    <row r="547">
      <c r="D547" s="380"/>
      <c r="F547" s="329"/>
    </row>
    <row r="548">
      <c r="D548" s="380"/>
      <c r="F548" s="329"/>
    </row>
    <row r="549">
      <c r="D549" s="380"/>
      <c r="F549" s="329"/>
    </row>
    <row r="550">
      <c r="D550" s="380"/>
      <c r="F550" s="329"/>
    </row>
    <row r="551">
      <c r="D551" s="380"/>
      <c r="F551" s="329"/>
    </row>
    <row r="552">
      <c r="D552" s="380"/>
      <c r="F552" s="329"/>
    </row>
    <row r="553">
      <c r="D553" s="380"/>
      <c r="F553" s="329"/>
    </row>
    <row r="554">
      <c r="D554" s="380"/>
      <c r="F554" s="329"/>
    </row>
    <row r="555">
      <c r="D555" s="380"/>
      <c r="F555" s="329"/>
    </row>
    <row r="556">
      <c r="D556" s="380"/>
      <c r="F556" s="329"/>
    </row>
    <row r="557">
      <c r="D557" s="380"/>
      <c r="F557" s="329"/>
    </row>
    <row r="558">
      <c r="D558" s="380"/>
      <c r="F558" s="329"/>
    </row>
    <row r="559">
      <c r="D559" s="380"/>
      <c r="F559" s="329"/>
    </row>
    <row r="560">
      <c r="D560" s="380"/>
      <c r="F560" s="329"/>
    </row>
    <row r="561">
      <c r="D561" s="380"/>
      <c r="F561" s="329"/>
    </row>
    <row r="562">
      <c r="D562" s="380"/>
      <c r="F562" s="329"/>
    </row>
    <row r="563">
      <c r="D563" s="380"/>
      <c r="F563" s="329"/>
    </row>
    <row r="564">
      <c r="D564" s="380"/>
      <c r="F564" s="329"/>
    </row>
    <row r="565">
      <c r="D565" s="380"/>
      <c r="F565" s="329"/>
    </row>
    <row r="566">
      <c r="D566" s="380"/>
      <c r="F566" s="329"/>
    </row>
    <row r="567">
      <c r="D567" s="380"/>
      <c r="F567" s="329"/>
    </row>
    <row r="568">
      <c r="D568" s="380"/>
      <c r="F568" s="329"/>
    </row>
    <row r="569">
      <c r="D569" s="380"/>
      <c r="F569" s="329"/>
    </row>
    <row r="570">
      <c r="D570" s="380"/>
      <c r="F570" s="329"/>
    </row>
    <row r="571">
      <c r="D571" s="380"/>
      <c r="F571" s="329"/>
    </row>
    <row r="572">
      <c r="D572" s="380"/>
      <c r="F572" s="329"/>
    </row>
    <row r="573">
      <c r="D573" s="380"/>
      <c r="F573" s="329"/>
    </row>
    <row r="574">
      <c r="D574" s="380"/>
      <c r="F574" s="329"/>
    </row>
    <row r="575">
      <c r="D575" s="380"/>
      <c r="F575" s="329"/>
    </row>
    <row r="576">
      <c r="D576" s="380"/>
      <c r="F576" s="329"/>
    </row>
    <row r="577">
      <c r="D577" s="380"/>
      <c r="F577" s="329"/>
    </row>
    <row r="578">
      <c r="D578" s="380"/>
      <c r="F578" s="329"/>
    </row>
    <row r="579">
      <c r="D579" s="380"/>
      <c r="F579" s="329"/>
    </row>
    <row r="580">
      <c r="D580" s="380"/>
      <c r="F580" s="329"/>
    </row>
    <row r="581">
      <c r="D581" s="380"/>
      <c r="F581" s="329"/>
    </row>
    <row r="582">
      <c r="D582" s="380"/>
      <c r="F582" s="329"/>
    </row>
    <row r="583">
      <c r="D583" s="380"/>
      <c r="F583" s="329"/>
    </row>
    <row r="584">
      <c r="D584" s="380"/>
      <c r="F584" s="329"/>
    </row>
    <row r="585">
      <c r="D585" s="380"/>
      <c r="F585" s="329"/>
    </row>
    <row r="586">
      <c r="D586" s="380"/>
      <c r="F586" s="329"/>
    </row>
    <row r="587">
      <c r="D587" s="380"/>
      <c r="F587" s="329"/>
    </row>
    <row r="588">
      <c r="D588" s="380"/>
      <c r="F588" s="329"/>
    </row>
    <row r="589">
      <c r="D589" s="380"/>
      <c r="F589" s="329"/>
    </row>
    <row r="590">
      <c r="D590" s="380"/>
      <c r="F590" s="329"/>
    </row>
    <row r="591">
      <c r="D591" s="380"/>
      <c r="F591" s="329"/>
    </row>
    <row r="592">
      <c r="D592" s="380"/>
      <c r="F592" s="329"/>
    </row>
    <row r="593">
      <c r="D593" s="380"/>
      <c r="F593" s="329"/>
    </row>
    <row r="594">
      <c r="D594" s="380"/>
      <c r="F594" s="329"/>
    </row>
    <row r="595">
      <c r="D595" s="380"/>
      <c r="F595" s="329"/>
    </row>
    <row r="596">
      <c r="D596" s="380"/>
      <c r="F596" s="329"/>
    </row>
    <row r="597">
      <c r="D597" s="380"/>
      <c r="F597" s="329"/>
    </row>
    <row r="598">
      <c r="D598" s="380"/>
      <c r="F598" s="329"/>
    </row>
    <row r="599">
      <c r="D599" s="380"/>
      <c r="F599" s="329"/>
    </row>
    <row r="600">
      <c r="D600" s="380"/>
      <c r="F600" s="329"/>
    </row>
    <row r="601">
      <c r="D601" s="380"/>
      <c r="F601" s="329"/>
    </row>
    <row r="602">
      <c r="D602" s="380"/>
      <c r="F602" s="329"/>
    </row>
    <row r="603">
      <c r="D603" s="380"/>
      <c r="F603" s="329"/>
    </row>
    <row r="604">
      <c r="D604" s="380"/>
      <c r="F604" s="329"/>
    </row>
    <row r="605">
      <c r="D605" s="380"/>
      <c r="F605" s="329"/>
    </row>
    <row r="606">
      <c r="D606" s="380"/>
      <c r="F606" s="329"/>
    </row>
    <row r="607">
      <c r="D607" s="380"/>
      <c r="F607" s="329"/>
    </row>
    <row r="608">
      <c r="D608" s="380"/>
      <c r="F608" s="329"/>
    </row>
    <row r="609">
      <c r="D609" s="380"/>
      <c r="F609" s="329"/>
    </row>
    <row r="610">
      <c r="D610" s="380"/>
      <c r="F610" s="329"/>
    </row>
    <row r="611">
      <c r="D611" s="380"/>
      <c r="F611" s="329"/>
    </row>
    <row r="612">
      <c r="D612" s="380"/>
      <c r="F612" s="329"/>
    </row>
    <row r="613">
      <c r="D613" s="380"/>
      <c r="F613" s="329"/>
    </row>
    <row r="614">
      <c r="D614" s="380"/>
      <c r="F614" s="329"/>
    </row>
    <row r="615">
      <c r="D615" s="380"/>
      <c r="F615" s="329"/>
    </row>
    <row r="616">
      <c r="D616" s="380"/>
      <c r="F616" s="329"/>
    </row>
    <row r="617">
      <c r="D617" s="380"/>
      <c r="F617" s="329"/>
    </row>
    <row r="618">
      <c r="D618" s="380"/>
      <c r="F618" s="329"/>
    </row>
    <row r="619">
      <c r="D619" s="380"/>
      <c r="F619" s="329"/>
    </row>
    <row r="620">
      <c r="D620" s="380"/>
      <c r="F620" s="329"/>
    </row>
    <row r="621">
      <c r="D621" s="380"/>
      <c r="F621" s="329"/>
    </row>
    <row r="622">
      <c r="D622" s="380"/>
      <c r="F622" s="329"/>
    </row>
    <row r="623">
      <c r="D623" s="380"/>
      <c r="F623" s="329"/>
    </row>
    <row r="624">
      <c r="D624" s="380"/>
      <c r="F624" s="329"/>
    </row>
    <row r="625">
      <c r="D625" s="380"/>
      <c r="F625" s="329"/>
    </row>
    <row r="626">
      <c r="D626" s="380"/>
      <c r="F626" s="329"/>
    </row>
    <row r="627">
      <c r="D627" s="380"/>
      <c r="F627" s="329"/>
    </row>
    <row r="628">
      <c r="D628" s="380"/>
      <c r="F628" s="329"/>
    </row>
    <row r="629">
      <c r="D629" s="380"/>
      <c r="F629" s="329"/>
    </row>
    <row r="630">
      <c r="D630" s="380"/>
      <c r="F630" s="329"/>
    </row>
    <row r="631">
      <c r="D631" s="380"/>
      <c r="F631" s="329"/>
    </row>
    <row r="632">
      <c r="D632" s="380"/>
      <c r="F632" s="329"/>
    </row>
    <row r="633">
      <c r="D633" s="380"/>
      <c r="F633" s="329"/>
    </row>
    <row r="634">
      <c r="D634" s="380"/>
      <c r="F634" s="329"/>
    </row>
    <row r="635">
      <c r="D635" s="380"/>
      <c r="F635" s="329"/>
    </row>
    <row r="636">
      <c r="D636" s="380"/>
      <c r="F636" s="329"/>
    </row>
    <row r="637">
      <c r="D637" s="380"/>
      <c r="F637" s="329"/>
    </row>
    <row r="638">
      <c r="D638" s="380"/>
      <c r="F638" s="329"/>
    </row>
    <row r="639">
      <c r="D639" s="380"/>
      <c r="F639" s="329"/>
    </row>
    <row r="640">
      <c r="D640" s="380"/>
      <c r="F640" s="329"/>
    </row>
    <row r="641">
      <c r="D641" s="380"/>
      <c r="F641" s="329"/>
    </row>
    <row r="642">
      <c r="D642" s="380"/>
      <c r="F642" s="329"/>
    </row>
    <row r="643">
      <c r="D643" s="380"/>
      <c r="F643" s="329"/>
    </row>
    <row r="644">
      <c r="D644" s="380"/>
      <c r="F644" s="329"/>
    </row>
    <row r="645">
      <c r="D645" s="380"/>
      <c r="F645" s="329"/>
    </row>
    <row r="646">
      <c r="D646" s="380"/>
      <c r="F646" s="329"/>
    </row>
    <row r="647">
      <c r="D647" s="380"/>
      <c r="F647" s="329"/>
    </row>
    <row r="648">
      <c r="D648" s="380"/>
      <c r="F648" s="329"/>
    </row>
    <row r="649">
      <c r="D649" s="380"/>
      <c r="F649" s="329"/>
    </row>
    <row r="650">
      <c r="D650" s="380"/>
      <c r="F650" s="329"/>
    </row>
    <row r="651">
      <c r="D651" s="380"/>
      <c r="F651" s="329"/>
    </row>
    <row r="652">
      <c r="D652" s="380"/>
      <c r="F652" s="329"/>
    </row>
    <row r="653">
      <c r="D653" s="380"/>
      <c r="F653" s="329"/>
    </row>
    <row r="654">
      <c r="D654" s="380"/>
      <c r="F654" s="329"/>
    </row>
    <row r="655">
      <c r="D655" s="380"/>
      <c r="F655" s="329"/>
    </row>
    <row r="656">
      <c r="D656" s="380"/>
      <c r="F656" s="329"/>
    </row>
    <row r="657">
      <c r="D657" s="380"/>
      <c r="F657" s="329"/>
    </row>
    <row r="658">
      <c r="D658" s="380"/>
      <c r="F658" s="329"/>
    </row>
    <row r="659">
      <c r="D659" s="380"/>
      <c r="F659" s="329"/>
    </row>
    <row r="660">
      <c r="D660" s="380"/>
      <c r="F660" s="329"/>
    </row>
    <row r="661">
      <c r="D661" s="380"/>
      <c r="F661" s="329"/>
    </row>
    <row r="662">
      <c r="D662" s="380"/>
      <c r="F662" s="329"/>
    </row>
    <row r="663">
      <c r="D663" s="380"/>
      <c r="F663" s="329"/>
    </row>
    <row r="664">
      <c r="D664" s="380"/>
      <c r="F664" s="329"/>
    </row>
    <row r="665">
      <c r="D665" s="380"/>
      <c r="F665" s="329"/>
    </row>
    <row r="666">
      <c r="D666" s="380"/>
      <c r="F666" s="329"/>
    </row>
    <row r="667">
      <c r="D667" s="380"/>
      <c r="F667" s="329"/>
    </row>
    <row r="668">
      <c r="D668" s="380"/>
      <c r="F668" s="329"/>
    </row>
    <row r="669">
      <c r="D669" s="380"/>
      <c r="F669" s="329"/>
    </row>
    <row r="670">
      <c r="D670" s="380"/>
      <c r="F670" s="329"/>
    </row>
    <row r="671">
      <c r="D671" s="380"/>
      <c r="F671" s="329"/>
    </row>
    <row r="672">
      <c r="D672" s="380"/>
      <c r="F672" s="329"/>
    </row>
    <row r="673">
      <c r="D673" s="380"/>
      <c r="F673" s="329"/>
    </row>
    <row r="674">
      <c r="D674" s="380"/>
      <c r="F674" s="329"/>
    </row>
    <row r="675">
      <c r="D675" s="380"/>
      <c r="F675" s="329"/>
    </row>
    <row r="676">
      <c r="D676" s="380"/>
      <c r="F676" s="329"/>
    </row>
    <row r="677">
      <c r="D677" s="380"/>
      <c r="F677" s="329"/>
    </row>
    <row r="678">
      <c r="D678" s="380"/>
      <c r="F678" s="329"/>
    </row>
    <row r="679">
      <c r="D679" s="380"/>
      <c r="F679" s="329"/>
    </row>
    <row r="680">
      <c r="D680" s="380"/>
      <c r="F680" s="329"/>
    </row>
    <row r="681">
      <c r="D681" s="380"/>
      <c r="F681" s="329"/>
    </row>
    <row r="682">
      <c r="D682" s="380"/>
      <c r="F682" s="329"/>
    </row>
    <row r="683">
      <c r="D683" s="380"/>
      <c r="F683" s="329"/>
    </row>
    <row r="684">
      <c r="D684" s="380"/>
      <c r="F684" s="329"/>
    </row>
    <row r="685">
      <c r="D685" s="380"/>
      <c r="F685" s="329"/>
    </row>
    <row r="686">
      <c r="D686" s="380"/>
      <c r="F686" s="329"/>
    </row>
    <row r="687">
      <c r="D687" s="380"/>
      <c r="F687" s="329"/>
    </row>
    <row r="688">
      <c r="D688" s="380"/>
      <c r="F688" s="329"/>
    </row>
    <row r="689">
      <c r="D689" s="380"/>
      <c r="F689" s="329"/>
    </row>
    <row r="690">
      <c r="D690" s="380"/>
      <c r="F690" s="329"/>
    </row>
    <row r="691">
      <c r="D691" s="380"/>
      <c r="F691" s="329"/>
    </row>
    <row r="692">
      <c r="D692" s="380"/>
      <c r="F692" s="329"/>
    </row>
    <row r="693">
      <c r="D693" s="380"/>
      <c r="F693" s="329"/>
    </row>
    <row r="694">
      <c r="D694" s="380"/>
      <c r="F694" s="329"/>
    </row>
    <row r="695">
      <c r="D695" s="380"/>
      <c r="F695" s="329"/>
    </row>
    <row r="696">
      <c r="D696" s="380"/>
      <c r="F696" s="329"/>
    </row>
    <row r="697">
      <c r="D697" s="380"/>
      <c r="F697" s="329"/>
    </row>
    <row r="698">
      <c r="D698" s="380"/>
      <c r="F698" s="329"/>
    </row>
    <row r="699">
      <c r="D699" s="380"/>
      <c r="F699" s="329"/>
    </row>
    <row r="700">
      <c r="D700" s="380"/>
      <c r="F700" s="329"/>
    </row>
    <row r="701">
      <c r="D701" s="380"/>
      <c r="F701" s="329"/>
    </row>
    <row r="702">
      <c r="D702" s="380"/>
      <c r="F702" s="329"/>
    </row>
    <row r="703">
      <c r="D703" s="380"/>
      <c r="F703" s="329"/>
    </row>
    <row r="704">
      <c r="D704" s="380"/>
      <c r="F704" s="329"/>
    </row>
    <row r="705">
      <c r="D705" s="380"/>
      <c r="F705" s="329"/>
    </row>
    <row r="706">
      <c r="D706" s="380"/>
      <c r="F706" s="329"/>
    </row>
    <row r="707">
      <c r="D707" s="380"/>
      <c r="F707" s="329"/>
    </row>
    <row r="708">
      <c r="D708" s="380"/>
      <c r="F708" s="329"/>
    </row>
    <row r="709">
      <c r="D709" s="380"/>
      <c r="F709" s="329"/>
    </row>
    <row r="710">
      <c r="D710" s="380"/>
      <c r="F710" s="329"/>
    </row>
    <row r="711">
      <c r="D711" s="380"/>
      <c r="F711" s="329"/>
    </row>
    <row r="712">
      <c r="D712" s="380"/>
      <c r="F712" s="329"/>
    </row>
    <row r="713">
      <c r="D713" s="380"/>
      <c r="F713" s="329"/>
    </row>
    <row r="714">
      <c r="D714" s="380"/>
      <c r="F714" s="329"/>
    </row>
    <row r="715">
      <c r="D715" s="380"/>
      <c r="F715" s="329"/>
    </row>
    <row r="716">
      <c r="D716" s="380"/>
      <c r="F716" s="329"/>
    </row>
    <row r="717">
      <c r="D717" s="380"/>
      <c r="F717" s="329"/>
    </row>
    <row r="718">
      <c r="D718" s="380"/>
      <c r="F718" s="329"/>
    </row>
    <row r="719">
      <c r="D719" s="380"/>
      <c r="F719" s="329"/>
    </row>
    <row r="720">
      <c r="D720" s="380"/>
      <c r="F720" s="329"/>
    </row>
    <row r="721">
      <c r="D721" s="380"/>
      <c r="F721" s="329"/>
    </row>
    <row r="722">
      <c r="D722" s="380"/>
      <c r="F722" s="329"/>
    </row>
    <row r="723">
      <c r="D723" s="380"/>
      <c r="F723" s="329"/>
    </row>
    <row r="724">
      <c r="D724" s="380"/>
      <c r="F724" s="329"/>
    </row>
    <row r="725">
      <c r="D725" s="380"/>
      <c r="F725" s="329"/>
    </row>
    <row r="726">
      <c r="D726" s="380"/>
      <c r="F726" s="329"/>
    </row>
    <row r="727">
      <c r="D727" s="380"/>
      <c r="F727" s="329"/>
    </row>
    <row r="728">
      <c r="D728" s="380"/>
      <c r="F728" s="329"/>
    </row>
    <row r="729">
      <c r="D729" s="380"/>
      <c r="F729" s="329"/>
    </row>
    <row r="730">
      <c r="D730" s="380"/>
      <c r="F730" s="329"/>
    </row>
    <row r="731">
      <c r="D731" s="380"/>
      <c r="F731" s="329"/>
    </row>
    <row r="732">
      <c r="D732" s="380"/>
      <c r="F732" s="329"/>
    </row>
    <row r="733">
      <c r="D733" s="380"/>
      <c r="F733" s="329"/>
    </row>
    <row r="734">
      <c r="D734" s="380"/>
      <c r="F734" s="329"/>
    </row>
    <row r="735">
      <c r="D735" s="380"/>
      <c r="F735" s="329"/>
    </row>
    <row r="736">
      <c r="D736" s="380"/>
      <c r="F736" s="329"/>
    </row>
    <row r="737">
      <c r="D737" s="380"/>
      <c r="F737" s="329"/>
    </row>
    <row r="738">
      <c r="D738" s="380"/>
      <c r="F738" s="329"/>
    </row>
    <row r="739">
      <c r="D739" s="380"/>
      <c r="F739" s="329"/>
    </row>
    <row r="740">
      <c r="D740" s="380"/>
      <c r="F740" s="329"/>
    </row>
    <row r="741">
      <c r="D741" s="380"/>
      <c r="F741" s="329"/>
    </row>
    <row r="742">
      <c r="D742" s="380"/>
      <c r="F742" s="329"/>
    </row>
    <row r="743">
      <c r="D743" s="380"/>
      <c r="F743" s="329"/>
    </row>
    <row r="744">
      <c r="D744" s="380"/>
      <c r="F744" s="329"/>
    </row>
    <row r="745">
      <c r="D745" s="380"/>
      <c r="F745" s="329"/>
    </row>
    <row r="746">
      <c r="D746" s="380"/>
      <c r="F746" s="329"/>
    </row>
    <row r="747">
      <c r="D747" s="380"/>
      <c r="F747" s="329"/>
    </row>
    <row r="748">
      <c r="D748" s="380"/>
      <c r="F748" s="329"/>
    </row>
    <row r="749">
      <c r="D749" s="380"/>
      <c r="F749" s="329"/>
    </row>
    <row r="750">
      <c r="D750" s="380"/>
      <c r="F750" s="329"/>
    </row>
    <row r="751">
      <c r="D751" s="380"/>
      <c r="F751" s="329"/>
    </row>
    <row r="752">
      <c r="D752" s="380"/>
      <c r="F752" s="329"/>
    </row>
    <row r="753">
      <c r="D753" s="380"/>
      <c r="F753" s="329"/>
    </row>
    <row r="754">
      <c r="D754" s="380"/>
      <c r="F754" s="329"/>
    </row>
    <row r="755">
      <c r="D755" s="380"/>
      <c r="F755" s="329"/>
    </row>
    <row r="756">
      <c r="D756" s="380"/>
      <c r="F756" s="329"/>
    </row>
    <row r="757">
      <c r="D757" s="380"/>
      <c r="F757" s="329"/>
    </row>
    <row r="758">
      <c r="D758" s="380"/>
      <c r="F758" s="329"/>
    </row>
    <row r="759">
      <c r="D759" s="380"/>
      <c r="F759" s="329"/>
    </row>
    <row r="760">
      <c r="D760" s="380"/>
      <c r="F760" s="329"/>
    </row>
    <row r="761">
      <c r="D761" s="380"/>
      <c r="F761" s="329"/>
    </row>
    <row r="762">
      <c r="D762" s="380"/>
      <c r="F762" s="329"/>
    </row>
    <row r="763">
      <c r="D763" s="380"/>
      <c r="F763" s="329"/>
    </row>
    <row r="764">
      <c r="D764" s="380"/>
      <c r="F764" s="329"/>
    </row>
    <row r="765">
      <c r="D765" s="380"/>
      <c r="F765" s="329"/>
    </row>
    <row r="766">
      <c r="D766" s="380"/>
      <c r="F766" s="329"/>
    </row>
    <row r="767">
      <c r="D767" s="380"/>
      <c r="F767" s="329"/>
    </row>
    <row r="768">
      <c r="D768" s="380"/>
      <c r="F768" s="329"/>
    </row>
    <row r="769">
      <c r="D769" s="380"/>
      <c r="F769" s="329"/>
    </row>
    <row r="770">
      <c r="D770" s="380"/>
      <c r="F770" s="329"/>
    </row>
    <row r="771">
      <c r="D771" s="380"/>
      <c r="F771" s="329"/>
    </row>
    <row r="772">
      <c r="D772" s="380"/>
      <c r="F772" s="329"/>
    </row>
    <row r="773">
      <c r="D773" s="380"/>
      <c r="F773" s="329"/>
    </row>
    <row r="774">
      <c r="D774" s="380"/>
      <c r="F774" s="329"/>
    </row>
    <row r="775">
      <c r="D775" s="380"/>
      <c r="F775" s="329"/>
    </row>
    <row r="776">
      <c r="D776" s="380"/>
      <c r="F776" s="329"/>
    </row>
    <row r="777">
      <c r="D777" s="380"/>
      <c r="F777" s="329"/>
    </row>
    <row r="778">
      <c r="D778" s="380"/>
      <c r="F778" s="329"/>
    </row>
    <row r="779">
      <c r="D779" s="380"/>
      <c r="F779" s="329"/>
    </row>
    <row r="780">
      <c r="D780" s="380"/>
      <c r="F780" s="329"/>
    </row>
    <row r="781">
      <c r="D781" s="380"/>
      <c r="F781" s="329"/>
    </row>
    <row r="782">
      <c r="D782" s="380"/>
      <c r="F782" s="329"/>
    </row>
    <row r="783">
      <c r="D783" s="380"/>
      <c r="F783" s="329"/>
    </row>
    <row r="784">
      <c r="D784" s="380"/>
      <c r="F784" s="329"/>
    </row>
    <row r="785">
      <c r="D785" s="380"/>
      <c r="F785" s="329"/>
    </row>
    <row r="786">
      <c r="D786" s="380"/>
      <c r="F786" s="329"/>
    </row>
    <row r="787">
      <c r="D787" s="380"/>
      <c r="F787" s="329"/>
    </row>
    <row r="788">
      <c r="D788" s="380"/>
      <c r="F788" s="329"/>
    </row>
    <row r="789">
      <c r="D789" s="380"/>
      <c r="F789" s="329"/>
    </row>
    <row r="790">
      <c r="D790" s="380"/>
      <c r="F790" s="329"/>
    </row>
    <row r="791">
      <c r="D791" s="380"/>
      <c r="F791" s="329"/>
    </row>
    <row r="792">
      <c r="D792" s="380"/>
      <c r="F792" s="329"/>
    </row>
    <row r="793">
      <c r="D793" s="380"/>
      <c r="F793" s="329"/>
    </row>
    <row r="794">
      <c r="D794" s="380"/>
      <c r="F794" s="329"/>
    </row>
    <row r="795">
      <c r="D795" s="380"/>
      <c r="F795" s="329"/>
    </row>
    <row r="796">
      <c r="D796" s="380"/>
      <c r="F796" s="329"/>
    </row>
    <row r="797">
      <c r="D797" s="380"/>
      <c r="F797" s="329"/>
    </row>
    <row r="798">
      <c r="D798" s="380"/>
      <c r="F798" s="329"/>
    </row>
    <row r="799">
      <c r="D799" s="380"/>
      <c r="F799" s="329"/>
    </row>
    <row r="800">
      <c r="D800" s="380"/>
      <c r="F800" s="329"/>
    </row>
    <row r="801">
      <c r="D801" s="380"/>
      <c r="F801" s="329"/>
    </row>
    <row r="802">
      <c r="D802" s="380"/>
      <c r="F802" s="329"/>
    </row>
    <row r="803">
      <c r="D803" s="380"/>
      <c r="F803" s="329"/>
    </row>
    <row r="804">
      <c r="D804" s="380"/>
      <c r="F804" s="329"/>
    </row>
    <row r="805">
      <c r="D805" s="380"/>
      <c r="F805" s="329"/>
    </row>
    <row r="806">
      <c r="D806" s="380"/>
      <c r="F806" s="329"/>
    </row>
    <row r="807">
      <c r="D807" s="380"/>
      <c r="F807" s="329"/>
    </row>
    <row r="808">
      <c r="D808" s="380"/>
      <c r="F808" s="329"/>
    </row>
    <row r="809">
      <c r="D809" s="380"/>
      <c r="F809" s="329"/>
    </row>
    <row r="810">
      <c r="D810" s="380"/>
      <c r="F810" s="329"/>
    </row>
    <row r="811">
      <c r="D811" s="380"/>
      <c r="F811" s="329"/>
    </row>
    <row r="812">
      <c r="D812" s="380"/>
      <c r="F812" s="329"/>
    </row>
    <row r="813">
      <c r="D813" s="380"/>
      <c r="F813" s="329"/>
    </row>
    <row r="814">
      <c r="D814" s="380"/>
      <c r="F814" s="329"/>
    </row>
    <row r="815">
      <c r="D815" s="380"/>
      <c r="F815" s="329"/>
    </row>
    <row r="816">
      <c r="D816" s="380"/>
      <c r="F816" s="329"/>
    </row>
    <row r="817">
      <c r="D817" s="380"/>
      <c r="F817" s="329"/>
    </row>
    <row r="818">
      <c r="D818" s="380"/>
      <c r="F818" s="329"/>
    </row>
    <row r="819">
      <c r="D819" s="380"/>
      <c r="F819" s="329"/>
    </row>
    <row r="820">
      <c r="D820" s="380"/>
      <c r="F820" s="329"/>
    </row>
    <row r="821">
      <c r="D821" s="380"/>
      <c r="F821" s="329"/>
    </row>
    <row r="822">
      <c r="D822" s="380"/>
      <c r="F822" s="329"/>
    </row>
    <row r="823">
      <c r="D823" s="380"/>
      <c r="F823" s="329"/>
    </row>
    <row r="824">
      <c r="D824" s="380"/>
      <c r="F824" s="329"/>
    </row>
    <row r="825">
      <c r="D825" s="380"/>
      <c r="F825" s="329"/>
    </row>
    <row r="826">
      <c r="D826" s="380"/>
      <c r="F826" s="329"/>
    </row>
    <row r="827">
      <c r="D827" s="380"/>
      <c r="F827" s="329"/>
    </row>
    <row r="828">
      <c r="D828" s="380"/>
      <c r="F828" s="329"/>
    </row>
    <row r="829">
      <c r="D829" s="380"/>
      <c r="F829" s="329"/>
    </row>
    <row r="830">
      <c r="D830" s="380"/>
      <c r="F830" s="329"/>
    </row>
    <row r="831">
      <c r="D831" s="380"/>
      <c r="F831" s="329"/>
    </row>
    <row r="832">
      <c r="D832" s="380"/>
      <c r="F832" s="329"/>
    </row>
    <row r="833">
      <c r="D833" s="380"/>
      <c r="F833" s="329"/>
    </row>
    <row r="834">
      <c r="D834" s="380"/>
      <c r="F834" s="329"/>
    </row>
    <row r="835">
      <c r="D835" s="380"/>
      <c r="F835" s="329"/>
    </row>
    <row r="836">
      <c r="D836" s="380"/>
      <c r="F836" s="329"/>
    </row>
    <row r="837">
      <c r="D837" s="380"/>
      <c r="F837" s="329"/>
    </row>
    <row r="838">
      <c r="D838" s="380"/>
      <c r="F838" s="329"/>
    </row>
    <row r="839">
      <c r="D839" s="380"/>
      <c r="F839" s="329"/>
    </row>
    <row r="840">
      <c r="D840" s="380"/>
      <c r="F840" s="329"/>
    </row>
    <row r="841">
      <c r="D841" s="380"/>
      <c r="F841" s="329"/>
    </row>
    <row r="842">
      <c r="D842" s="380"/>
      <c r="F842" s="329"/>
    </row>
    <row r="843">
      <c r="D843" s="380"/>
      <c r="F843" s="329"/>
    </row>
    <row r="844">
      <c r="D844" s="380"/>
      <c r="F844" s="329"/>
    </row>
    <row r="845">
      <c r="D845" s="380"/>
      <c r="F845" s="329"/>
    </row>
    <row r="846">
      <c r="D846" s="380"/>
      <c r="F846" s="329"/>
    </row>
    <row r="847">
      <c r="D847" s="380"/>
      <c r="F847" s="329"/>
    </row>
    <row r="848">
      <c r="D848" s="380"/>
      <c r="F848" s="329"/>
    </row>
    <row r="849">
      <c r="D849" s="380"/>
      <c r="F849" s="329"/>
    </row>
    <row r="850">
      <c r="D850" s="380"/>
      <c r="F850" s="329"/>
    </row>
    <row r="851">
      <c r="D851" s="380"/>
      <c r="F851" s="329"/>
    </row>
    <row r="852">
      <c r="D852" s="380"/>
      <c r="F852" s="329"/>
    </row>
    <row r="853">
      <c r="D853" s="380"/>
      <c r="F853" s="329"/>
    </row>
    <row r="854">
      <c r="D854" s="380"/>
      <c r="F854" s="329"/>
    </row>
    <row r="855">
      <c r="D855" s="380"/>
      <c r="F855" s="329"/>
    </row>
    <row r="856">
      <c r="D856" s="380"/>
      <c r="F856" s="329"/>
    </row>
    <row r="857">
      <c r="D857" s="380"/>
      <c r="F857" s="329"/>
    </row>
    <row r="858">
      <c r="D858" s="380"/>
      <c r="F858" s="329"/>
    </row>
    <row r="859">
      <c r="D859" s="380"/>
      <c r="F859" s="329"/>
    </row>
    <row r="860">
      <c r="D860" s="380"/>
      <c r="F860" s="329"/>
    </row>
    <row r="861">
      <c r="D861" s="380"/>
      <c r="F861" s="329"/>
    </row>
    <row r="862">
      <c r="D862" s="380"/>
      <c r="F862" s="329"/>
    </row>
    <row r="863">
      <c r="D863" s="380"/>
      <c r="F863" s="329"/>
    </row>
    <row r="864">
      <c r="D864" s="380"/>
      <c r="F864" s="329"/>
    </row>
    <row r="865">
      <c r="D865" s="380"/>
      <c r="F865" s="329"/>
    </row>
    <row r="866">
      <c r="D866" s="380"/>
      <c r="F866" s="329"/>
    </row>
    <row r="867">
      <c r="D867" s="380"/>
      <c r="F867" s="329"/>
    </row>
    <row r="868">
      <c r="D868" s="380"/>
      <c r="F868" s="329"/>
    </row>
    <row r="869">
      <c r="D869" s="380"/>
      <c r="F869" s="329"/>
    </row>
    <row r="870">
      <c r="D870" s="380"/>
      <c r="F870" s="329"/>
    </row>
    <row r="871">
      <c r="D871" s="380"/>
      <c r="F871" s="329"/>
    </row>
    <row r="872">
      <c r="D872" s="380"/>
      <c r="F872" s="329"/>
    </row>
    <row r="873">
      <c r="D873" s="380"/>
      <c r="F873" s="329"/>
    </row>
    <row r="874">
      <c r="D874" s="380"/>
      <c r="F874" s="329"/>
    </row>
    <row r="875">
      <c r="D875" s="380"/>
      <c r="F875" s="329"/>
    </row>
    <row r="876">
      <c r="D876" s="380"/>
      <c r="F876" s="329"/>
    </row>
    <row r="877">
      <c r="D877" s="380"/>
      <c r="F877" s="329"/>
    </row>
    <row r="878">
      <c r="D878" s="380"/>
      <c r="F878" s="329"/>
    </row>
    <row r="879">
      <c r="D879" s="380"/>
      <c r="F879" s="329"/>
    </row>
    <row r="880">
      <c r="D880" s="380"/>
      <c r="F880" s="329"/>
    </row>
    <row r="881">
      <c r="D881" s="380"/>
      <c r="F881" s="329"/>
    </row>
    <row r="882">
      <c r="D882" s="380"/>
      <c r="F882" s="329"/>
    </row>
    <row r="883">
      <c r="D883" s="380"/>
      <c r="F883" s="329"/>
    </row>
    <row r="884">
      <c r="D884" s="380"/>
      <c r="F884" s="329"/>
    </row>
    <row r="885">
      <c r="D885" s="380"/>
      <c r="F885" s="329"/>
    </row>
    <row r="886">
      <c r="D886" s="380"/>
      <c r="F886" s="329"/>
    </row>
    <row r="887">
      <c r="D887" s="380"/>
      <c r="F887" s="329"/>
    </row>
    <row r="888">
      <c r="D888" s="380"/>
      <c r="F888" s="329"/>
    </row>
    <row r="889">
      <c r="D889" s="380"/>
      <c r="F889" s="329"/>
    </row>
    <row r="890">
      <c r="D890" s="380"/>
      <c r="F890" s="329"/>
    </row>
    <row r="891">
      <c r="D891" s="380"/>
      <c r="F891" s="329"/>
    </row>
    <row r="892">
      <c r="D892" s="380"/>
      <c r="F892" s="329"/>
    </row>
    <row r="893">
      <c r="D893" s="380"/>
      <c r="F893" s="329"/>
    </row>
    <row r="894">
      <c r="D894" s="380"/>
      <c r="F894" s="329"/>
    </row>
    <row r="895">
      <c r="D895" s="380"/>
      <c r="F895" s="329"/>
    </row>
    <row r="896">
      <c r="D896" s="380"/>
      <c r="F896" s="329"/>
    </row>
    <row r="897">
      <c r="D897" s="380"/>
      <c r="F897" s="329"/>
    </row>
    <row r="898">
      <c r="D898" s="380"/>
      <c r="F898" s="329"/>
    </row>
    <row r="899">
      <c r="D899" s="380"/>
      <c r="F899" s="329"/>
    </row>
    <row r="900">
      <c r="D900" s="380"/>
      <c r="F900" s="329"/>
    </row>
    <row r="901">
      <c r="D901" s="380"/>
      <c r="F901" s="329"/>
    </row>
    <row r="902">
      <c r="D902" s="380"/>
      <c r="F902" s="329"/>
    </row>
    <row r="903">
      <c r="D903" s="380"/>
      <c r="F903" s="329"/>
    </row>
    <row r="904">
      <c r="D904" s="380"/>
      <c r="F904" s="329"/>
    </row>
    <row r="905">
      <c r="D905" s="380"/>
      <c r="F905" s="329"/>
    </row>
    <row r="906">
      <c r="D906" s="380"/>
      <c r="F906" s="329"/>
    </row>
    <row r="907">
      <c r="D907" s="380"/>
      <c r="F907" s="329"/>
    </row>
    <row r="908">
      <c r="D908" s="380"/>
      <c r="F908" s="329"/>
    </row>
    <row r="909">
      <c r="D909" s="380"/>
      <c r="F909" s="329"/>
    </row>
    <row r="910">
      <c r="D910" s="380"/>
      <c r="F910" s="329"/>
    </row>
    <row r="911">
      <c r="D911" s="380"/>
      <c r="F911" s="329"/>
    </row>
    <row r="912">
      <c r="D912" s="380"/>
      <c r="F912" s="329"/>
    </row>
    <row r="913">
      <c r="D913" s="380"/>
      <c r="F913" s="329"/>
    </row>
    <row r="914">
      <c r="D914" s="380"/>
      <c r="F914" s="329"/>
    </row>
    <row r="915">
      <c r="D915" s="380"/>
      <c r="F915" s="329"/>
    </row>
    <row r="916">
      <c r="D916" s="380"/>
      <c r="F916" s="329"/>
    </row>
    <row r="917">
      <c r="D917" s="380"/>
      <c r="F917" s="329"/>
    </row>
    <row r="918">
      <c r="D918" s="380"/>
      <c r="F918" s="329"/>
    </row>
    <row r="919">
      <c r="D919" s="380"/>
      <c r="F919" s="329"/>
    </row>
    <row r="920">
      <c r="D920" s="380"/>
      <c r="F920" s="329"/>
    </row>
    <row r="921">
      <c r="D921" s="380"/>
      <c r="F921" s="329"/>
    </row>
    <row r="922">
      <c r="D922" s="380"/>
      <c r="F922" s="329"/>
    </row>
    <row r="923">
      <c r="D923" s="380"/>
      <c r="F923" s="329"/>
    </row>
    <row r="924">
      <c r="D924" s="380"/>
      <c r="F924" s="329"/>
    </row>
    <row r="925">
      <c r="D925" s="380"/>
      <c r="F925" s="329"/>
    </row>
    <row r="926">
      <c r="D926" s="380"/>
      <c r="F926" s="329"/>
    </row>
    <row r="927">
      <c r="D927" s="380"/>
      <c r="F927" s="329"/>
    </row>
    <row r="928">
      <c r="D928" s="380"/>
      <c r="F928" s="329"/>
    </row>
    <row r="929">
      <c r="D929" s="380"/>
      <c r="F929" s="329"/>
    </row>
    <row r="930">
      <c r="D930" s="380"/>
      <c r="F930" s="329"/>
    </row>
    <row r="931">
      <c r="D931" s="380"/>
      <c r="F931" s="329"/>
    </row>
    <row r="932">
      <c r="D932" s="380"/>
      <c r="F932" s="329"/>
    </row>
    <row r="933">
      <c r="D933" s="380"/>
      <c r="F933" s="329"/>
    </row>
    <row r="934">
      <c r="D934" s="380"/>
      <c r="F934" s="329"/>
    </row>
    <row r="935">
      <c r="D935" s="380"/>
      <c r="F935" s="329"/>
    </row>
    <row r="936">
      <c r="D936" s="380"/>
      <c r="F936" s="329"/>
    </row>
    <row r="937">
      <c r="D937" s="380"/>
      <c r="F937" s="329"/>
    </row>
    <row r="938">
      <c r="D938" s="380"/>
      <c r="F938" s="329"/>
    </row>
    <row r="939">
      <c r="D939" s="380"/>
      <c r="F939" s="329"/>
    </row>
    <row r="940">
      <c r="D940" s="380"/>
      <c r="F940" s="329"/>
    </row>
    <row r="941">
      <c r="D941" s="380"/>
      <c r="F941" s="329"/>
    </row>
    <row r="942">
      <c r="D942" s="380"/>
      <c r="F942" s="329"/>
    </row>
    <row r="943">
      <c r="D943" s="380"/>
      <c r="F943" s="329"/>
    </row>
    <row r="944">
      <c r="D944" s="380"/>
      <c r="F944" s="329"/>
    </row>
    <row r="945">
      <c r="D945" s="380"/>
      <c r="F945" s="329"/>
    </row>
    <row r="946">
      <c r="D946" s="380"/>
      <c r="F946" s="329"/>
    </row>
    <row r="947">
      <c r="D947" s="380"/>
      <c r="F947" s="329"/>
    </row>
    <row r="948">
      <c r="D948" s="380"/>
      <c r="F948" s="329"/>
    </row>
    <row r="949">
      <c r="D949" s="380"/>
      <c r="F949" s="329"/>
    </row>
    <row r="950">
      <c r="D950" s="380"/>
      <c r="F950" s="329"/>
    </row>
    <row r="951">
      <c r="D951" s="380"/>
      <c r="F951" s="329"/>
    </row>
    <row r="952">
      <c r="D952" s="380"/>
      <c r="F952" s="329"/>
    </row>
    <row r="953">
      <c r="D953" s="380"/>
      <c r="F953" s="329"/>
    </row>
    <row r="954">
      <c r="D954" s="380"/>
      <c r="F954" s="329"/>
    </row>
    <row r="955">
      <c r="D955" s="380"/>
      <c r="F955" s="329"/>
    </row>
    <row r="956">
      <c r="D956" s="380"/>
      <c r="F956" s="329"/>
    </row>
    <row r="957">
      <c r="D957" s="380"/>
      <c r="F957" s="329"/>
    </row>
    <row r="958">
      <c r="D958" s="380"/>
      <c r="F958" s="329"/>
    </row>
    <row r="959">
      <c r="D959" s="380"/>
      <c r="F959" s="329"/>
    </row>
    <row r="960">
      <c r="D960" s="380"/>
      <c r="F960" s="329"/>
    </row>
    <row r="961">
      <c r="D961" s="380"/>
      <c r="F961" s="329"/>
    </row>
    <row r="962">
      <c r="D962" s="380"/>
      <c r="F962" s="329"/>
    </row>
    <row r="963">
      <c r="D963" s="380"/>
      <c r="F963" s="329"/>
    </row>
    <row r="964">
      <c r="D964" s="380"/>
      <c r="F964" s="329"/>
    </row>
    <row r="965">
      <c r="D965" s="380"/>
      <c r="F965" s="329"/>
    </row>
    <row r="966">
      <c r="D966" s="380"/>
      <c r="F966" s="329"/>
    </row>
    <row r="967">
      <c r="D967" s="380"/>
      <c r="F967" s="329"/>
    </row>
    <row r="968">
      <c r="D968" s="380"/>
      <c r="F968" s="329"/>
    </row>
    <row r="969">
      <c r="D969" s="380"/>
      <c r="F969" s="329"/>
    </row>
    <row r="970">
      <c r="D970" s="380"/>
      <c r="F970" s="329"/>
    </row>
    <row r="971">
      <c r="D971" s="380"/>
      <c r="F971" s="329"/>
    </row>
    <row r="972">
      <c r="D972" s="380"/>
      <c r="F972" s="329"/>
    </row>
    <row r="973">
      <c r="D973" s="380"/>
      <c r="F973" s="329"/>
    </row>
    <row r="974">
      <c r="D974" s="380"/>
      <c r="F974" s="329"/>
    </row>
    <row r="975">
      <c r="D975" s="380"/>
      <c r="F975" s="329"/>
    </row>
    <row r="976">
      <c r="D976" s="380"/>
      <c r="F976" s="329"/>
    </row>
    <row r="977">
      <c r="D977" s="380"/>
      <c r="F977" s="329"/>
    </row>
    <row r="978">
      <c r="D978" s="380"/>
      <c r="F978" s="329"/>
    </row>
    <row r="979">
      <c r="D979" s="380"/>
      <c r="F979" s="329"/>
    </row>
    <row r="980">
      <c r="D980" s="380"/>
      <c r="F980" s="329"/>
    </row>
    <row r="981">
      <c r="D981" s="380"/>
      <c r="F981" s="329"/>
    </row>
    <row r="982">
      <c r="D982" s="380"/>
      <c r="F982" s="329"/>
    </row>
    <row r="983">
      <c r="D983" s="380"/>
      <c r="F983" s="329"/>
    </row>
    <row r="984">
      <c r="D984" s="380"/>
      <c r="F984" s="329"/>
    </row>
    <row r="985">
      <c r="D985" s="380"/>
      <c r="F985" s="329"/>
    </row>
    <row r="986">
      <c r="D986" s="380"/>
      <c r="F986" s="329"/>
    </row>
    <row r="987">
      <c r="D987" s="380"/>
      <c r="F987" s="329"/>
    </row>
    <row r="988">
      <c r="D988" s="380"/>
      <c r="F988" s="329"/>
    </row>
    <row r="989">
      <c r="D989" s="380"/>
      <c r="F989" s="329"/>
    </row>
    <row r="990">
      <c r="D990" s="380"/>
      <c r="F990" s="329"/>
    </row>
    <row r="991">
      <c r="D991" s="380"/>
      <c r="F991" s="329"/>
    </row>
    <row r="992">
      <c r="D992" s="380"/>
      <c r="F992" s="329"/>
    </row>
    <row r="993">
      <c r="D993" s="380"/>
      <c r="F993" s="329"/>
    </row>
    <row r="994">
      <c r="D994" s="380"/>
      <c r="F994" s="329"/>
    </row>
    <row r="995">
      <c r="D995" s="380"/>
      <c r="F995" s="329"/>
    </row>
    <row r="996">
      <c r="D996" s="380"/>
      <c r="F996" s="329"/>
    </row>
    <row r="997">
      <c r="D997" s="380"/>
      <c r="F997" s="329"/>
    </row>
    <row r="998">
      <c r="D998" s="380"/>
      <c r="F998" s="329"/>
    </row>
    <row r="999">
      <c r="D999" s="380"/>
      <c r="F999" s="329"/>
    </row>
    <row r="1000">
      <c r="D1000" s="380"/>
      <c r="F1000" s="329"/>
    </row>
    <row r="1001">
      <c r="D1001" s="380"/>
      <c r="F1001" s="329"/>
    </row>
    <row r="1002">
      <c r="D1002" s="380"/>
      <c r="F1002" s="329"/>
    </row>
    <row r="1003">
      <c r="D1003" s="380"/>
      <c r="F1003" s="329"/>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8"/>
    <hyperlink r:id="rId16" ref="E19"/>
    <hyperlink r:id="rId17" ref="E21"/>
    <hyperlink r:id="rId18" ref="E23"/>
    <hyperlink r:id="rId19" ref="E31"/>
    <hyperlink r:id="rId20" ref="E36"/>
    <hyperlink r:id="rId21" ref="E38"/>
    <hyperlink r:id="rId22" ref="I38"/>
    <hyperlink r:id="rId23" ref="E39"/>
    <hyperlink r:id="rId24" ref="E41"/>
    <hyperlink r:id="rId25" ref="E44"/>
    <hyperlink r:id="rId26" ref="E46"/>
    <hyperlink r:id="rId27" ref="E47"/>
    <hyperlink r:id="rId28" ref="E48"/>
    <hyperlink r:id="rId29" ref="I48"/>
    <hyperlink r:id="rId30" ref="E51"/>
    <hyperlink r:id="rId31" ref="E56"/>
    <hyperlink r:id="rId32" ref="E68"/>
    <hyperlink r:id="rId33" ref="E69"/>
    <hyperlink r:id="rId34" ref="I69"/>
    <hyperlink r:id="rId35" ref="E70"/>
    <hyperlink r:id="rId36" ref="I70"/>
    <hyperlink r:id="rId37" ref="E72"/>
    <hyperlink r:id="rId38" ref="E74"/>
    <hyperlink r:id="rId39" ref="E78"/>
    <hyperlink r:id="rId40" ref="E79"/>
    <hyperlink r:id="rId41" ref="I79"/>
    <hyperlink r:id="rId42" ref="E80"/>
  </hyperlinks>
  <drawing r:id="rId43"/>
  <tableParts count="1">
    <tablePart r:id="rId4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9" max="9" width="27.71"/>
  </cols>
  <sheetData>
    <row r="1">
      <c r="A1" s="384" t="s">
        <v>0</v>
      </c>
      <c r="B1" s="226" t="s">
        <v>1</v>
      </c>
      <c r="C1" s="226" t="s">
        <v>1817</v>
      </c>
      <c r="D1" s="4" t="s">
        <v>2</v>
      </c>
      <c r="E1" s="226" t="s">
        <v>3</v>
      </c>
      <c r="F1" s="226" t="s">
        <v>4</v>
      </c>
      <c r="G1" s="226"/>
      <c r="H1" s="226" t="s">
        <v>6</v>
      </c>
      <c r="I1" s="227" t="s">
        <v>8</v>
      </c>
      <c r="J1" s="226" t="s">
        <v>9</v>
      </c>
      <c r="K1" s="228"/>
      <c r="L1" s="9"/>
      <c r="M1" s="9"/>
      <c r="N1" s="9"/>
      <c r="O1" s="9"/>
      <c r="P1" s="9"/>
      <c r="Q1" s="9"/>
      <c r="R1" s="9"/>
      <c r="S1" s="9"/>
      <c r="T1" s="9"/>
      <c r="U1" s="9"/>
      <c r="V1" s="9"/>
      <c r="W1" s="9"/>
      <c r="X1" s="9"/>
      <c r="Y1" s="9"/>
      <c r="Z1" s="9"/>
      <c r="AA1" s="9"/>
      <c r="AB1" s="9"/>
      <c r="AC1" s="9"/>
      <c r="AD1" s="9"/>
      <c r="AE1" s="9"/>
      <c r="AF1" s="9"/>
      <c r="AG1" s="9"/>
    </row>
    <row r="2">
      <c r="A2" s="388">
        <v>43313.0</v>
      </c>
      <c r="B2" s="389"/>
      <c r="C2" s="389"/>
      <c r="D2" s="390"/>
      <c r="E2" s="389"/>
      <c r="F2" s="392"/>
      <c r="G2" s="389"/>
      <c r="H2" s="389"/>
      <c r="I2" s="389"/>
      <c r="J2" s="389"/>
      <c r="K2" s="389"/>
      <c r="L2" s="389"/>
      <c r="M2" s="389"/>
      <c r="N2" s="389"/>
      <c r="O2" s="389"/>
      <c r="P2" s="389"/>
      <c r="Q2" s="389"/>
      <c r="R2" s="389"/>
      <c r="S2" s="389"/>
      <c r="T2" s="389"/>
      <c r="U2" s="389"/>
      <c r="V2" s="389"/>
      <c r="W2" s="389"/>
      <c r="X2" s="389"/>
      <c r="Y2" s="389"/>
      <c r="Z2" s="389"/>
      <c r="AA2" s="389"/>
      <c r="AB2" s="389"/>
      <c r="AC2" s="389"/>
      <c r="AD2" s="389"/>
      <c r="AE2" s="389"/>
      <c r="AF2" s="389"/>
      <c r="AG2" s="389"/>
    </row>
    <row r="3">
      <c r="A3" s="389"/>
      <c r="B3" s="393" t="s">
        <v>2559</v>
      </c>
      <c r="C3" s="389"/>
      <c r="D3" s="395" t="s">
        <v>2560</v>
      </c>
      <c r="E3" s="397" t="s">
        <v>2562</v>
      </c>
      <c r="F3" s="399" t="s">
        <v>2324</v>
      </c>
      <c r="G3" s="389"/>
      <c r="H3" s="400" t="s">
        <v>2284</v>
      </c>
      <c r="I3" s="400" t="s">
        <v>2566</v>
      </c>
      <c r="J3" s="389"/>
      <c r="K3" s="402" t="s">
        <v>2567</v>
      </c>
      <c r="L3" s="389"/>
      <c r="M3" s="389"/>
      <c r="N3" s="389"/>
      <c r="O3" s="389"/>
      <c r="P3" s="389"/>
      <c r="Q3" s="389"/>
      <c r="R3" s="389"/>
      <c r="S3" s="389"/>
      <c r="T3" s="389"/>
      <c r="U3" s="389"/>
      <c r="V3" s="389"/>
      <c r="W3" s="389"/>
      <c r="X3" s="389"/>
      <c r="Y3" s="389"/>
      <c r="Z3" s="389"/>
      <c r="AA3" s="389"/>
      <c r="AB3" s="389"/>
      <c r="AC3" s="389"/>
      <c r="AD3" s="389"/>
      <c r="AE3" s="389"/>
      <c r="AF3" s="389"/>
      <c r="AG3" s="389"/>
    </row>
    <row r="4">
      <c r="A4" s="388">
        <v>43314.0</v>
      </c>
      <c r="B4" s="389"/>
      <c r="C4" s="389"/>
      <c r="D4" s="390"/>
      <c r="E4" s="389"/>
      <c r="F4" s="392"/>
      <c r="G4" s="389"/>
      <c r="H4" s="389"/>
      <c r="I4" s="389"/>
      <c r="J4" s="389"/>
      <c r="K4" s="389"/>
      <c r="L4" s="389"/>
      <c r="M4" s="389"/>
      <c r="N4" s="389"/>
      <c r="O4" s="389"/>
      <c r="P4" s="389"/>
      <c r="Q4" s="389"/>
      <c r="R4" s="389"/>
      <c r="S4" s="389"/>
      <c r="T4" s="389"/>
      <c r="U4" s="389"/>
      <c r="V4" s="389"/>
      <c r="W4" s="389"/>
      <c r="X4" s="389"/>
      <c r="Y4" s="389"/>
      <c r="Z4" s="389"/>
      <c r="AA4" s="389"/>
      <c r="AB4" s="389"/>
      <c r="AC4" s="389"/>
      <c r="AD4" s="389"/>
      <c r="AE4" s="389"/>
      <c r="AF4" s="389"/>
      <c r="AG4" s="389"/>
    </row>
    <row r="5">
      <c r="A5" s="389"/>
      <c r="B5" s="393" t="s">
        <v>2571</v>
      </c>
      <c r="C5" s="389"/>
      <c r="D5" s="390"/>
      <c r="E5" s="400" t="s">
        <v>2572</v>
      </c>
      <c r="F5" s="399" t="s">
        <v>2324</v>
      </c>
      <c r="G5" s="389"/>
      <c r="H5" s="400" t="s">
        <v>2284</v>
      </c>
      <c r="I5" s="400" t="s">
        <v>2573</v>
      </c>
      <c r="J5" s="400" t="s">
        <v>32</v>
      </c>
      <c r="K5" s="389"/>
      <c r="L5" s="389"/>
      <c r="M5" s="389"/>
      <c r="N5" s="389"/>
      <c r="O5" s="389"/>
      <c r="P5" s="389"/>
      <c r="Q5" s="389"/>
      <c r="R5" s="389"/>
      <c r="S5" s="389"/>
      <c r="T5" s="389"/>
      <c r="U5" s="389"/>
      <c r="V5" s="389"/>
      <c r="W5" s="389"/>
      <c r="X5" s="389"/>
      <c r="Y5" s="389"/>
      <c r="Z5" s="389"/>
      <c r="AA5" s="389"/>
      <c r="AB5" s="389"/>
      <c r="AC5" s="389"/>
      <c r="AD5" s="389"/>
      <c r="AE5" s="389"/>
      <c r="AF5" s="389"/>
      <c r="AG5" s="389"/>
    </row>
    <row r="6">
      <c r="A6" s="388">
        <v>43316.0</v>
      </c>
      <c r="B6" s="389"/>
      <c r="C6" s="389"/>
      <c r="D6" s="390"/>
      <c r="E6" s="389"/>
      <c r="F6" s="392"/>
      <c r="G6" s="389"/>
      <c r="H6" s="389"/>
      <c r="I6" s="389"/>
      <c r="J6" s="389"/>
      <c r="K6" s="389"/>
      <c r="L6" s="389"/>
      <c r="M6" s="389"/>
      <c r="N6" s="389"/>
      <c r="O6" s="389"/>
      <c r="P6" s="389"/>
      <c r="Q6" s="389"/>
      <c r="R6" s="389"/>
      <c r="S6" s="389"/>
      <c r="T6" s="389"/>
      <c r="U6" s="389"/>
      <c r="V6" s="389"/>
      <c r="W6" s="389"/>
      <c r="X6" s="389"/>
      <c r="Y6" s="389"/>
      <c r="Z6" s="389"/>
      <c r="AA6" s="389"/>
      <c r="AB6" s="389"/>
      <c r="AC6" s="389"/>
      <c r="AD6" s="389"/>
      <c r="AE6" s="389"/>
      <c r="AF6" s="389"/>
      <c r="AG6" s="389"/>
    </row>
    <row r="7">
      <c r="A7" s="389"/>
      <c r="B7" s="400" t="s">
        <v>2575</v>
      </c>
      <c r="C7" s="389"/>
      <c r="D7" s="395" t="s">
        <v>2576</v>
      </c>
      <c r="E7" s="406" t="s">
        <v>2577</v>
      </c>
      <c r="F7" s="399" t="s">
        <v>2293</v>
      </c>
      <c r="G7" s="389"/>
      <c r="H7" s="400" t="s">
        <v>2284</v>
      </c>
      <c r="I7" s="406" t="s">
        <v>2581</v>
      </c>
      <c r="J7" s="400" t="s">
        <v>158</v>
      </c>
      <c r="K7" s="389"/>
      <c r="L7" s="389"/>
      <c r="M7" s="389"/>
      <c r="N7" s="389"/>
      <c r="O7" s="389"/>
      <c r="P7" s="389"/>
      <c r="Q7" s="389"/>
      <c r="R7" s="389"/>
      <c r="S7" s="389"/>
      <c r="T7" s="389"/>
      <c r="U7" s="389"/>
      <c r="V7" s="389"/>
      <c r="W7" s="389"/>
      <c r="X7" s="389"/>
      <c r="Y7" s="389"/>
      <c r="Z7" s="389"/>
      <c r="AA7" s="389"/>
      <c r="AB7" s="389"/>
      <c r="AC7" s="389"/>
      <c r="AD7" s="389"/>
      <c r="AE7" s="389"/>
      <c r="AF7" s="389"/>
      <c r="AG7" s="389"/>
    </row>
    <row r="8">
      <c r="A8" s="389"/>
      <c r="B8" s="408" t="s">
        <v>2589</v>
      </c>
      <c r="C8" s="389"/>
      <c r="D8" s="395" t="s">
        <v>2590</v>
      </c>
      <c r="E8" s="409" t="s">
        <v>2591</v>
      </c>
      <c r="F8" s="399" t="s">
        <v>2283</v>
      </c>
      <c r="G8" s="389"/>
      <c r="H8" s="400" t="s">
        <v>2284</v>
      </c>
      <c r="I8" s="411" t="s">
        <v>2325</v>
      </c>
      <c r="J8" s="400" t="s">
        <v>32</v>
      </c>
      <c r="K8" s="389"/>
      <c r="L8" s="389"/>
      <c r="M8" s="389"/>
      <c r="N8" s="389"/>
      <c r="O8" s="389"/>
      <c r="P8" s="389"/>
      <c r="Q8" s="389"/>
      <c r="R8" s="389"/>
      <c r="S8" s="389"/>
      <c r="T8" s="389"/>
      <c r="U8" s="389"/>
      <c r="V8" s="389"/>
      <c r="W8" s="389"/>
      <c r="X8" s="389"/>
      <c r="Y8" s="389"/>
      <c r="Z8" s="389"/>
      <c r="AA8" s="389"/>
      <c r="AB8" s="389"/>
      <c r="AC8" s="389"/>
      <c r="AD8" s="389"/>
      <c r="AE8" s="389"/>
      <c r="AF8" s="389"/>
      <c r="AG8" s="389"/>
    </row>
    <row r="9">
      <c r="A9" s="389"/>
      <c r="B9" s="400" t="s">
        <v>2604</v>
      </c>
      <c r="C9" s="389"/>
      <c r="D9" s="395" t="s">
        <v>2605</v>
      </c>
      <c r="E9" s="406" t="s">
        <v>2607</v>
      </c>
      <c r="F9" s="399" t="s">
        <v>2293</v>
      </c>
      <c r="G9" s="389"/>
      <c r="H9" s="400" t="s">
        <v>2284</v>
      </c>
      <c r="I9" s="400" t="s">
        <v>2610</v>
      </c>
      <c r="J9" s="400" t="s">
        <v>32</v>
      </c>
      <c r="K9" s="389"/>
      <c r="L9" s="389"/>
      <c r="M9" s="389"/>
      <c r="N9" s="389"/>
      <c r="O9" s="389"/>
      <c r="P9" s="389"/>
      <c r="Q9" s="389"/>
      <c r="R9" s="389"/>
      <c r="S9" s="389"/>
      <c r="T9" s="389"/>
      <c r="U9" s="389"/>
      <c r="V9" s="389"/>
      <c r="W9" s="389"/>
      <c r="X9" s="389"/>
      <c r="Y9" s="389"/>
      <c r="Z9" s="389"/>
      <c r="AA9" s="389"/>
      <c r="AB9" s="389"/>
      <c r="AC9" s="389"/>
      <c r="AD9" s="389"/>
      <c r="AE9" s="389"/>
      <c r="AF9" s="389"/>
      <c r="AG9" s="389"/>
    </row>
    <row r="10">
      <c r="A10" s="389"/>
      <c r="B10" s="408" t="s">
        <v>2611</v>
      </c>
      <c r="C10" s="389"/>
      <c r="D10" s="395" t="s">
        <v>2612</v>
      </c>
      <c r="E10" s="409" t="s">
        <v>2613</v>
      </c>
      <c r="F10" s="399" t="s">
        <v>2283</v>
      </c>
      <c r="G10" s="389"/>
      <c r="H10" s="389"/>
      <c r="I10" s="408" t="s">
        <v>2617</v>
      </c>
      <c r="J10" s="400" t="s">
        <v>54</v>
      </c>
      <c r="K10" s="389"/>
      <c r="L10" s="389"/>
      <c r="M10" s="389"/>
      <c r="N10" s="389"/>
      <c r="O10" s="389"/>
      <c r="P10" s="389"/>
      <c r="Q10" s="389"/>
      <c r="R10" s="389"/>
      <c r="S10" s="389"/>
      <c r="T10" s="389"/>
      <c r="U10" s="389"/>
      <c r="V10" s="389"/>
      <c r="W10" s="389"/>
      <c r="X10" s="389"/>
      <c r="Y10" s="389"/>
      <c r="Z10" s="389"/>
      <c r="AA10" s="389"/>
      <c r="AB10" s="389"/>
      <c r="AC10" s="389"/>
      <c r="AD10" s="389"/>
      <c r="AE10" s="389"/>
      <c r="AF10" s="389"/>
      <c r="AG10" s="389"/>
    </row>
    <row r="11">
      <c r="A11" s="389"/>
      <c r="B11" s="408" t="s">
        <v>2618</v>
      </c>
      <c r="C11" s="389"/>
      <c r="D11" s="395" t="s">
        <v>2619</v>
      </c>
      <c r="E11" s="409" t="s">
        <v>2620</v>
      </c>
      <c r="F11" s="399" t="s">
        <v>2283</v>
      </c>
      <c r="G11" s="389"/>
      <c r="H11" s="400" t="s">
        <v>2284</v>
      </c>
      <c r="I11" s="400" t="s">
        <v>2623</v>
      </c>
      <c r="J11" s="400" t="s">
        <v>54</v>
      </c>
      <c r="K11" s="389"/>
      <c r="L11" s="389"/>
      <c r="M11" s="389"/>
      <c r="N11" s="389"/>
      <c r="O11" s="389"/>
      <c r="P11" s="389"/>
      <c r="Q11" s="389"/>
      <c r="R11" s="389"/>
      <c r="S11" s="389"/>
      <c r="T11" s="389"/>
      <c r="U11" s="389"/>
      <c r="V11" s="389"/>
      <c r="W11" s="389"/>
      <c r="X11" s="389"/>
      <c r="Y11" s="389"/>
      <c r="Z11" s="389"/>
      <c r="AA11" s="389"/>
      <c r="AB11" s="389"/>
      <c r="AC11" s="389"/>
      <c r="AD11" s="389"/>
      <c r="AE11" s="389"/>
      <c r="AF11" s="389"/>
      <c r="AG11" s="389"/>
    </row>
    <row r="12">
      <c r="A12" s="388">
        <v>43317.0</v>
      </c>
      <c r="B12" s="389"/>
      <c r="C12" s="389"/>
      <c r="D12" s="390"/>
      <c r="E12" s="389"/>
      <c r="F12" s="392"/>
      <c r="G12" s="389"/>
      <c r="H12" s="389"/>
      <c r="I12" s="389"/>
      <c r="J12" s="389"/>
      <c r="K12" s="389"/>
      <c r="L12" s="389"/>
      <c r="M12" s="389"/>
      <c r="N12" s="389"/>
      <c r="O12" s="389"/>
      <c r="P12" s="389"/>
      <c r="Q12" s="389"/>
      <c r="R12" s="389"/>
      <c r="S12" s="389"/>
      <c r="T12" s="389"/>
      <c r="U12" s="389"/>
      <c r="V12" s="389"/>
      <c r="W12" s="389"/>
      <c r="X12" s="389"/>
      <c r="Y12" s="389"/>
      <c r="Z12" s="389"/>
      <c r="AA12" s="389"/>
      <c r="AB12" s="389"/>
      <c r="AC12" s="389"/>
      <c r="AD12" s="389"/>
      <c r="AE12" s="389"/>
      <c r="AF12" s="389"/>
      <c r="AG12" s="389"/>
    </row>
    <row r="13">
      <c r="A13" s="389"/>
      <c r="B13" s="393" t="s">
        <v>2625</v>
      </c>
      <c r="C13" s="389"/>
      <c r="D13" s="395" t="s">
        <v>2626</v>
      </c>
      <c r="E13" s="397" t="s">
        <v>2627</v>
      </c>
      <c r="F13" s="399" t="s">
        <v>2324</v>
      </c>
      <c r="G13" s="389"/>
      <c r="H13" s="400" t="s">
        <v>2284</v>
      </c>
      <c r="I13" s="400" t="s">
        <v>2635</v>
      </c>
      <c r="J13" s="400" t="s">
        <v>32</v>
      </c>
      <c r="K13" s="389"/>
      <c r="L13" s="389"/>
      <c r="M13" s="389"/>
      <c r="N13" s="389"/>
      <c r="O13" s="389"/>
      <c r="P13" s="389"/>
      <c r="Q13" s="389"/>
      <c r="R13" s="389"/>
      <c r="S13" s="389"/>
      <c r="T13" s="389"/>
      <c r="U13" s="389"/>
      <c r="V13" s="389"/>
      <c r="W13" s="389"/>
      <c r="X13" s="389"/>
      <c r="Y13" s="389"/>
      <c r="Z13" s="389"/>
      <c r="AA13" s="389"/>
      <c r="AB13" s="389"/>
      <c r="AC13" s="389"/>
      <c r="AD13" s="389"/>
      <c r="AE13" s="389"/>
      <c r="AF13" s="389"/>
      <c r="AG13" s="389"/>
    </row>
    <row r="14">
      <c r="A14" s="389"/>
      <c r="B14" s="400" t="s">
        <v>2637</v>
      </c>
      <c r="C14" s="389"/>
      <c r="D14" s="416">
        <v>9.71508100596E11</v>
      </c>
      <c r="E14" s="406" t="s">
        <v>2638</v>
      </c>
      <c r="F14" s="399" t="s">
        <v>2293</v>
      </c>
      <c r="G14" s="389"/>
      <c r="H14" s="389"/>
      <c r="I14" s="400" t="s">
        <v>2640</v>
      </c>
      <c r="J14" s="389"/>
      <c r="K14" s="400" t="s">
        <v>2641</v>
      </c>
      <c r="L14" s="389"/>
      <c r="M14" s="389"/>
      <c r="N14" s="389"/>
      <c r="O14" s="389"/>
      <c r="P14" s="389"/>
      <c r="Q14" s="389"/>
      <c r="R14" s="389"/>
      <c r="S14" s="389"/>
      <c r="T14" s="389"/>
      <c r="U14" s="389"/>
      <c r="V14" s="389"/>
      <c r="W14" s="389"/>
      <c r="X14" s="389"/>
      <c r="Y14" s="389"/>
      <c r="Z14" s="389"/>
      <c r="AA14" s="389"/>
      <c r="AB14" s="389"/>
      <c r="AC14" s="389"/>
      <c r="AD14" s="389"/>
      <c r="AE14" s="389"/>
      <c r="AF14" s="389"/>
      <c r="AG14" s="389"/>
    </row>
    <row r="15">
      <c r="A15" s="389"/>
      <c r="B15" s="408" t="s">
        <v>2642</v>
      </c>
      <c r="C15" s="389"/>
      <c r="D15" s="417" t="s">
        <v>2643</v>
      </c>
      <c r="E15" s="409" t="s">
        <v>2644</v>
      </c>
      <c r="F15" s="399" t="s">
        <v>2283</v>
      </c>
      <c r="G15" s="389"/>
      <c r="H15" s="389"/>
      <c r="I15" s="400" t="s">
        <v>2610</v>
      </c>
      <c r="J15" s="400" t="s">
        <v>32</v>
      </c>
      <c r="K15" s="389"/>
      <c r="L15" s="389"/>
      <c r="M15" s="389"/>
      <c r="N15" s="389"/>
      <c r="O15" s="389"/>
      <c r="P15" s="389"/>
      <c r="Q15" s="389"/>
      <c r="R15" s="389"/>
      <c r="S15" s="389"/>
      <c r="T15" s="389"/>
      <c r="U15" s="389"/>
      <c r="V15" s="389"/>
      <c r="W15" s="389"/>
      <c r="X15" s="389"/>
      <c r="Y15" s="389"/>
      <c r="Z15" s="389"/>
      <c r="AA15" s="389"/>
      <c r="AB15" s="389"/>
      <c r="AC15" s="389"/>
      <c r="AD15" s="389"/>
      <c r="AE15" s="389"/>
      <c r="AF15" s="389"/>
      <c r="AG15" s="389"/>
    </row>
    <row r="16">
      <c r="A16" s="388">
        <v>43318.0</v>
      </c>
      <c r="B16" s="389"/>
      <c r="C16" s="389"/>
      <c r="D16" s="390"/>
      <c r="E16" s="389"/>
      <c r="F16" s="392"/>
      <c r="G16" s="389"/>
      <c r="H16" s="389"/>
      <c r="I16" s="389"/>
      <c r="J16" s="389"/>
      <c r="K16" s="389"/>
      <c r="L16" s="389"/>
      <c r="M16" s="389"/>
      <c r="N16" s="389"/>
      <c r="O16" s="389"/>
      <c r="P16" s="389"/>
      <c r="Q16" s="389"/>
      <c r="R16" s="389"/>
      <c r="S16" s="389"/>
      <c r="T16" s="389"/>
      <c r="U16" s="389"/>
      <c r="V16" s="389"/>
      <c r="W16" s="389"/>
      <c r="X16" s="389"/>
      <c r="Y16" s="389"/>
      <c r="Z16" s="389"/>
      <c r="AA16" s="389"/>
      <c r="AB16" s="389"/>
      <c r="AC16" s="389"/>
      <c r="AD16" s="389"/>
      <c r="AE16" s="389"/>
      <c r="AF16" s="389"/>
      <c r="AG16" s="389"/>
    </row>
    <row r="17">
      <c r="A17" s="389"/>
      <c r="B17" s="408" t="s">
        <v>2645</v>
      </c>
      <c r="C17" s="389"/>
      <c r="D17" s="395" t="s">
        <v>2646</v>
      </c>
      <c r="E17" s="400" t="s">
        <v>2647</v>
      </c>
      <c r="F17" s="399" t="s">
        <v>2283</v>
      </c>
      <c r="G17" s="389"/>
      <c r="H17" s="400" t="s">
        <v>2284</v>
      </c>
      <c r="I17" s="400" t="s">
        <v>2648</v>
      </c>
      <c r="J17" s="389"/>
      <c r="K17" s="389"/>
      <c r="L17" s="389"/>
      <c r="M17" s="389"/>
      <c r="N17" s="389"/>
      <c r="O17" s="389"/>
      <c r="P17" s="389"/>
      <c r="Q17" s="389"/>
      <c r="R17" s="389"/>
      <c r="S17" s="389"/>
      <c r="T17" s="389"/>
      <c r="U17" s="389"/>
      <c r="V17" s="389"/>
      <c r="W17" s="389"/>
      <c r="X17" s="389"/>
      <c r="Y17" s="389"/>
      <c r="Z17" s="389"/>
      <c r="AA17" s="389"/>
      <c r="AB17" s="389"/>
      <c r="AC17" s="389"/>
      <c r="AD17" s="389"/>
      <c r="AE17" s="389"/>
      <c r="AF17" s="389"/>
      <c r="AG17" s="389"/>
    </row>
    <row r="18">
      <c r="A18" s="388">
        <v>43319.0</v>
      </c>
      <c r="B18" s="389"/>
      <c r="C18" s="389"/>
      <c r="D18" s="390"/>
      <c r="E18" s="389"/>
      <c r="F18" s="392"/>
      <c r="G18" s="389"/>
      <c r="H18" s="389"/>
      <c r="I18" s="389"/>
      <c r="J18" s="389"/>
      <c r="K18" s="389"/>
      <c r="L18" s="389"/>
      <c r="M18" s="389"/>
      <c r="N18" s="389"/>
      <c r="O18" s="389"/>
      <c r="P18" s="389"/>
      <c r="Q18" s="389"/>
      <c r="R18" s="389"/>
      <c r="S18" s="389"/>
      <c r="T18" s="389"/>
      <c r="U18" s="389"/>
      <c r="V18" s="389"/>
      <c r="W18" s="389"/>
      <c r="X18" s="389"/>
      <c r="Y18" s="389"/>
      <c r="Z18" s="389"/>
      <c r="AA18" s="389"/>
      <c r="AB18" s="389"/>
      <c r="AC18" s="389"/>
      <c r="AD18" s="389"/>
      <c r="AE18" s="389"/>
      <c r="AF18" s="389"/>
      <c r="AG18" s="389"/>
    </row>
    <row r="19">
      <c r="A19" s="389"/>
      <c r="B19" s="408" t="s">
        <v>2649</v>
      </c>
      <c r="C19" s="389"/>
      <c r="D19" s="417" t="s">
        <v>2650</v>
      </c>
      <c r="E19" s="409" t="s">
        <v>2651</v>
      </c>
      <c r="F19" s="399" t="s">
        <v>2283</v>
      </c>
      <c r="G19" s="389"/>
      <c r="H19" s="389"/>
      <c r="I19" s="400" t="s">
        <v>2652</v>
      </c>
      <c r="J19" s="389"/>
      <c r="K19" s="389"/>
      <c r="L19" s="389"/>
      <c r="M19" s="389"/>
      <c r="N19" s="389"/>
      <c r="O19" s="389"/>
      <c r="P19" s="389"/>
      <c r="Q19" s="389"/>
      <c r="R19" s="389"/>
      <c r="S19" s="389"/>
      <c r="T19" s="389"/>
      <c r="U19" s="389"/>
      <c r="V19" s="389"/>
      <c r="W19" s="389"/>
      <c r="X19" s="389"/>
      <c r="Y19" s="389"/>
      <c r="Z19" s="389"/>
      <c r="AA19" s="389"/>
      <c r="AB19" s="389"/>
      <c r="AC19" s="389"/>
      <c r="AD19" s="389"/>
      <c r="AE19" s="389"/>
      <c r="AF19" s="389"/>
      <c r="AG19" s="389"/>
    </row>
    <row r="20">
      <c r="A20" s="388">
        <v>43320.0</v>
      </c>
      <c r="B20" s="389"/>
      <c r="C20" s="389"/>
      <c r="D20" s="390"/>
      <c r="E20" s="389"/>
      <c r="F20" s="392"/>
      <c r="G20" s="389"/>
      <c r="H20" s="389"/>
      <c r="I20" s="389"/>
      <c r="J20" s="389"/>
      <c r="K20" s="389"/>
      <c r="L20" s="389"/>
      <c r="M20" s="389"/>
      <c r="N20" s="389"/>
      <c r="O20" s="389"/>
      <c r="P20" s="389"/>
      <c r="Q20" s="389"/>
      <c r="R20" s="389"/>
      <c r="S20" s="389"/>
      <c r="T20" s="389"/>
      <c r="U20" s="389"/>
      <c r="V20" s="389"/>
      <c r="W20" s="389"/>
      <c r="X20" s="389"/>
      <c r="Y20" s="389"/>
      <c r="Z20" s="389"/>
      <c r="AA20" s="389"/>
      <c r="AB20" s="389"/>
      <c r="AC20" s="389"/>
      <c r="AD20" s="389"/>
      <c r="AE20" s="389"/>
      <c r="AF20" s="389"/>
      <c r="AG20" s="389"/>
    </row>
    <row r="21">
      <c r="A21" s="389"/>
      <c r="B21" s="400" t="s">
        <v>2653</v>
      </c>
      <c r="C21" s="389"/>
      <c r="D21" s="395" t="s">
        <v>2654</v>
      </c>
      <c r="E21" s="406" t="s">
        <v>2655</v>
      </c>
      <c r="F21" s="399" t="s">
        <v>2293</v>
      </c>
      <c r="G21" s="389"/>
      <c r="H21" s="400" t="s">
        <v>2333</v>
      </c>
      <c r="I21" s="400" t="s">
        <v>2664</v>
      </c>
      <c r="J21" s="400" t="s">
        <v>900</v>
      </c>
      <c r="K21" s="389"/>
      <c r="L21" s="389"/>
      <c r="M21" s="389"/>
      <c r="N21" s="389"/>
      <c r="O21" s="389"/>
      <c r="P21" s="389"/>
      <c r="Q21" s="389"/>
      <c r="R21" s="389"/>
      <c r="S21" s="389"/>
      <c r="T21" s="389"/>
      <c r="U21" s="389"/>
      <c r="V21" s="389"/>
      <c r="W21" s="389"/>
      <c r="X21" s="389"/>
      <c r="Y21" s="389"/>
      <c r="Z21" s="389"/>
      <c r="AA21" s="389"/>
      <c r="AB21" s="389"/>
      <c r="AC21" s="389"/>
      <c r="AD21" s="389"/>
      <c r="AE21" s="389"/>
      <c r="AF21" s="389"/>
      <c r="AG21" s="389"/>
    </row>
    <row r="22">
      <c r="A22" s="389"/>
      <c r="B22" s="400" t="s">
        <v>2665</v>
      </c>
      <c r="C22" s="389"/>
      <c r="D22" s="395" t="s">
        <v>2666</v>
      </c>
      <c r="E22" s="406" t="s">
        <v>2667</v>
      </c>
      <c r="F22" s="399" t="s">
        <v>2293</v>
      </c>
      <c r="G22" s="389"/>
      <c r="H22" s="400" t="s">
        <v>2284</v>
      </c>
      <c r="I22" s="400" t="s">
        <v>2671</v>
      </c>
      <c r="J22" s="400" t="s">
        <v>32</v>
      </c>
      <c r="K22" s="389"/>
      <c r="L22" s="389"/>
      <c r="M22" s="389"/>
      <c r="N22" s="389"/>
      <c r="O22" s="389"/>
      <c r="P22" s="389"/>
      <c r="Q22" s="389"/>
      <c r="R22" s="389"/>
      <c r="S22" s="389"/>
      <c r="T22" s="389"/>
      <c r="U22" s="389"/>
      <c r="V22" s="389"/>
      <c r="W22" s="389"/>
      <c r="X22" s="389"/>
      <c r="Y22" s="389"/>
      <c r="Z22" s="389"/>
      <c r="AA22" s="389"/>
      <c r="AB22" s="389"/>
      <c r="AC22" s="389"/>
      <c r="AD22" s="389"/>
      <c r="AE22" s="389"/>
      <c r="AF22" s="389"/>
      <c r="AG22" s="389"/>
    </row>
    <row r="23">
      <c r="A23" s="389"/>
      <c r="B23" s="408" t="s">
        <v>2672</v>
      </c>
      <c r="C23" s="389"/>
      <c r="D23" s="395" t="s">
        <v>2673</v>
      </c>
      <c r="E23" s="409" t="s">
        <v>2674</v>
      </c>
      <c r="F23" s="399" t="s">
        <v>2283</v>
      </c>
      <c r="G23" s="389"/>
      <c r="H23" s="400" t="s">
        <v>2284</v>
      </c>
      <c r="I23" s="389"/>
      <c r="J23" s="389"/>
      <c r="K23" s="389"/>
      <c r="L23" s="389"/>
      <c r="M23" s="389"/>
      <c r="N23" s="389"/>
      <c r="O23" s="389"/>
      <c r="P23" s="389"/>
      <c r="Q23" s="389"/>
      <c r="R23" s="389"/>
      <c r="S23" s="389"/>
      <c r="T23" s="389"/>
      <c r="U23" s="389"/>
      <c r="V23" s="389"/>
      <c r="W23" s="389"/>
      <c r="X23" s="389"/>
      <c r="Y23" s="389"/>
      <c r="Z23" s="389"/>
      <c r="AA23" s="389"/>
      <c r="AB23" s="389"/>
      <c r="AC23" s="389"/>
      <c r="AD23" s="389"/>
      <c r="AE23" s="389"/>
      <c r="AF23" s="389"/>
      <c r="AG23" s="389"/>
    </row>
    <row r="24">
      <c r="A24" s="388">
        <v>43321.0</v>
      </c>
      <c r="B24" s="389"/>
      <c r="C24" s="389"/>
      <c r="D24" s="390"/>
      <c r="E24" s="389"/>
      <c r="F24" s="392"/>
      <c r="G24" s="389"/>
      <c r="H24" s="389"/>
      <c r="I24" s="389"/>
      <c r="J24" s="389"/>
      <c r="K24" s="389"/>
      <c r="L24" s="389"/>
      <c r="M24" s="389"/>
      <c r="N24" s="389"/>
      <c r="O24" s="389"/>
      <c r="P24" s="389"/>
      <c r="Q24" s="389"/>
      <c r="R24" s="389"/>
      <c r="S24" s="389"/>
      <c r="T24" s="389"/>
      <c r="U24" s="389"/>
      <c r="V24" s="389"/>
      <c r="W24" s="389"/>
      <c r="X24" s="389"/>
      <c r="Y24" s="389"/>
      <c r="Z24" s="389"/>
      <c r="AA24" s="389"/>
      <c r="AB24" s="389"/>
      <c r="AC24" s="389"/>
      <c r="AD24" s="389"/>
      <c r="AE24" s="389"/>
      <c r="AF24" s="389"/>
      <c r="AG24" s="389"/>
    </row>
    <row r="25">
      <c r="A25" s="389"/>
      <c r="B25" s="408" t="s">
        <v>2678</v>
      </c>
      <c r="C25" s="389"/>
      <c r="D25" s="417" t="s">
        <v>2679</v>
      </c>
      <c r="E25" s="409" t="s">
        <v>2680</v>
      </c>
      <c r="F25" s="399" t="s">
        <v>2283</v>
      </c>
      <c r="G25" s="389"/>
      <c r="H25" s="389"/>
      <c r="I25" s="400" t="s">
        <v>2685</v>
      </c>
      <c r="J25" s="389"/>
      <c r="K25" s="389"/>
      <c r="L25" s="389"/>
      <c r="M25" s="389"/>
      <c r="N25" s="389"/>
      <c r="O25" s="389"/>
      <c r="P25" s="389"/>
      <c r="Q25" s="389"/>
      <c r="R25" s="389"/>
      <c r="S25" s="389"/>
      <c r="T25" s="389"/>
      <c r="U25" s="389"/>
      <c r="V25" s="389"/>
      <c r="W25" s="389"/>
      <c r="X25" s="389"/>
      <c r="Y25" s="389"/>
      <c r="Z25" s="389"/>
      <c r="AA25" s="389"/>
      <c r="AB25" s="389"/>
      <c r="AC25" s="389"/>
      <c r="AD25" s="389"/>
      <c r="AE25" s="389"/>
      <c r="AF25" s="389"/>
      <c r="AG25" s="389"/>
    </row>
    <row r="26">
      <c r="A26" s="389"/>
      <c r="B26" s="389"/>
      <c r="C26" s="389"/>
      <c r="D26" s="421">
        <f>+971506432829</f>
        <v>971506432829</v>
      </c>
      <c r="E26" s="406" t="s">
        <v>2690</v>
      </c>
      <c r="F26" s="392"/>
      <c r="G26" s="389"/>
      <c r="H26" s="389"/>
      <c r="I26" s="400" t="s">
        <v>2691</v>
      </c>
      <c r="J26" s="389"/>
      <c r="K26" s="389"/>
      <c r="L26" s="389"/>
      <c r="M26" s="389"/>
      <c r="N26" s="389"/>
      <c r="O26" s="389"/>
      <c r="P26" s="389"/>
      <c r="Q26" s="389"/>
      <c r="R26" s="389"/>
      <c r="S26" s="389"/>
      <c r="T26" s="389"/>
      <c r="U26" s="389"/>
      <c r="V26" s="389"/>
      <c r="W26" s="389"/>
      <c r="X26" s="389"/>
      <c r="Y26" s="389"/>
      <c r="Z26" s="389"/>
      <c r="AA26" s="389"/>
      <c r="AB26" s="389"/>
      <c r="AC26" s="389"/>
      <c r="AD26" s="389"/>
      <c r="AE26" s="389"/>
      <c r="AF26" s="389"/>
      <c r="AG26" s="389"/>
    </row>
    <row r="27">
      <c r="A27" s="389"/>
      <c r="B27" s="389"/>
      <c r="C27" s="389"/>
      <c r="D27" s="422">
        <v>5.02159951E8</v>
      </c>
      <c r="E27" s="406" t="s">
        <v>2696</v>
      </c>
      <c r="F27" s="399" t="s">
        <v>2293</v>
      </c>
      <c r="G27" s="389"/>
      <c r="H27" s="389"/>
      <c r="I27" s="400" t="s">
        <v>2697</v>
      </c>
      <c r="J27" s="400" t="s">
        <v>900</v>
      </c>
      <c r="K27" s="389"/>
      <c r="L27" s="389"/>
      <c r="M27" s="389"/>
      <c r="N27" s="389"/>
      <c r="O27" s="389"/>
      <c r="P27" s="389"/>
      <c r="Q27" s="389"/>
      <c r="R27" s="389"/>
      <c r="S27" s="389"/>
      <c r="T27" s="389"/>
      <c r="U27" s="389"/>
      <c r="V27" s="389"/>
      <c r="W27" s="389"/>
      <c r="X27" s="389"/>
      <c r="Y27" s="389"/>
      <c r="Z27" s="389"/>
      <c r="AA27" s="389"/>
      <c r="AB27" s="389"/>
      <c r="AC27" s="389"/>
      <c r="AD27" s="389"/>
      <c r="AE27" s="389"/>
      <c r="AF27" s="389"/>
      <c r="AG27" s="389"/>
    </row>
    <row r="28">
      <c r="A28" s="388">
        <v>43324.0</v>
      </c>
      <c r="B28" s="389"/>
      <c r="C28" s="389"/>
      <c r="D28" s="390"/>
      <c r="E28" s="389"/>
      <c r="F28" s="392"/>
      <c r="G28" s="389"/>
      <c r="H28" s="389"/>
      <c r="I28" s="389"/>
      <c r="J28" s="389"/>
      <c r="K28" s="389"/>
      <c r="L28" s="389"/>
      <c r="M28" s="389"/>
      <c r="N28" s="389"/>
      <c r="O28" s="389"/>
      <c r="P28" s="389"/>
      <c r="Q28" s="389"/>
      <c r="R28" s="389"/>
      <c r="S28" s="389"/>
      <c r="T28" s="389"/>
      <c r="U28" s="389"/>
      <c r="V28" s="389"/>
      <c r="W28" s="389"/>
      <c r="X28" s="389"/>
      <c r="Y28" s="389"/>
      <c r="Z28" s="389"/>
      <c r="AA28" s="389"/>
      <c r="AB28" s="389"/>
      <c r="AC28" s="389"/>
      <c r="AD28" s="389"/>
      <c r="AE28" s="389"/>
      <c r="AF28" s="389"/>
      <c r="AG28" s="389"/>
    </row>
    <row r="29">
      <c r="A29" s="389"/>
      <c r="B29" s="408" t="s">
        <v>2701</v>
      </c>
      <c r="C29" s="389"/>
      <c r="D29" s="423" t="s">
        <v>2702</v>
      </c>
      <c r="E29" s="409" t="s">
        <v>2703</v>
      </c>
      <c r="F29" s="399" t="s">
        <v>2283</v>
      </c>
      <c r="G29" s="389"/>
      <c r="H29" s="400" t="s">
        <v>2284</v>
      </c>
      <c r="I29" s="400" t="s">
        <v>2705</v>
      </c>
      <c r="J29" s="389"/>
      <c r="K29" s="400" t="s">
        <v>2706</v>
      </c>
      <c r="L29" s="400" t="s">
        <v>2707</v>
      </c>
      <c r="M29" s="389"/>
      <c r="N29" s="389"/>
      <c r="O29" s="389"/>
      <c r="P29" s="389"/>
      <c r="Q29" s="389"/>
      <c r="R29" s="389"/>
      <c r="S29" s="389"/>
      <c r="T29" s="389"/>
      <c r="U29" s="389"/>
      <c r="V29" s="389"/>
      <c r="W29" s="389"/>
      <c r="X29" s="389"/>
      <c r="Y29" s="389"/>
      <c r="Z29" s="389"/>
      <c r="AA29" s="389"/>
      <c r="AB29" s="389"/>
      <c r="AC29" s="389"/>
      <c r="AD29" s="389"/>
      <c r="AE29" s="389"/>
      <c r="AF29" s="389"/>
      <c r="AG29" s="389"/>
    </row>
    <row r="30">
      <c r="A30" s="389"/>
      <c r="B30" s="408" t="s">
        <v>2708</v>
      </c>
      <c r="C30" s="389"/>
      <c r="D30" s="395" t="s">
        <v>2709</v>
      </c>
      <c r="E30" s="409" t="s">
        <v>2710</v>
      </c>
      <c r="F30" s="399" t="s">
        <v>2283</v>
      </c>
      <c r="G30" s="389"/>
      <c r="H30" s="400" t="s">
        <v>2284</v>
      </c>
      <c r="I30" s="400" t="s">
        <v>599</v>
      </c>
      <c r="J30" s="389"/>
      <c r="K30" s="400" t="s">
        <v>2706</v>
      </c>
      <c r="L30" s="400" t="s">
        <v>2713</v>
      </c>
      <c r="M30" s="389"/>
      <c r="N30" s="389"/>
      <c r="O30" s="389"/>
      <c r="P30" s="389"/>
      <c r="Q30" s="389"/>
      <c r="R30" s="389"/>
      <c r="S30" s="389"/>
      <c r="T30" s="389"/>
      <c r="U30" s="389"/>
      <c r="V30" s="389"/>
      <c r="W30" s="389"/>
      <c r="X30" s="389"/>
      <c r="Y30" s="389"/>
      <c r="Z30" s="389"/>
      <c r="AA30" s="389"/>
      <c r="AB30" s="389"/>
      <c r="AC30" s="389"/>
      <c r="AD30" s="389"/>
      <c r="AE30" s="389"/>
      <c r="AF30" s="389"/>
      <c r="AG30" s="389"/>
    </row>
    <row r="31">
      <c r="A31" s="389"/>
      <c r="B31" s="408" t="s">
        <v>2714</v>
      </c>
      <c r="C31" s="389"/>
      <c r="D31" s="395" t="s">
        <v>2715</v>
      </c>
      <c r="E31" s="409" t="s">
        <v>2716</v>
      </c>
      <c r="F31" s="399" t="s">
        <v>2283</v>
      </c>
      <c r="G31" s="389"/>
      <c r="H31" s="400" t="s">
        <v>2284</v>
      </c>
      <c r="I31" s="400" t="s">
        <v>2648</v>
      </c>
      <c r="J31" s="389"/>
      <c r="K31" s="400" t="s">
        <v>2723</v>
      </c>
      <c r="L31" s="389"/>
      <c r="M31" s="389"/>
      <c r="N31" s="389"/>
      <c r="O31" s="389"/>
      <c r="P31" s="389"/>
      <c r="Q31" s="389"/>
      <c r="R31" s="389"/>
      <c r="S31" s="389"/>
      <c r="T31" s="389"/>
      <c r="U31" s="389"/>
      <c r="V31" s="389"/>
      <c r="W31" s="389"/>
      <c r="X31" s="389"/>
      <c r="Y31" s="389"/>
      <c r="Z31" s="389"/>
      <c r="AA31" s="389"/>
      <c r="AB31" s="389"/>
      <c r="AC31" s="389"/>
      <c r="AD31" s="389"/>
      <c r="AE31" s="389"/>
      <c r="AF31" s="389"/>
      <c r="AG31" s="389"/>
    </row>
    <row r="32">
      <c r="A32" s="389"/>
      <c r="B32" s="408" t="s">
        <v>2724</v>
      </c>
      <c r="C32" s="389"/>
      <c r="D32" s="417" t="s">
        <v>2725</v>
      </c>
      <c r="E32" s="409" t="s">
        <v>2726</v>
      </c>
      <c r="F32" s="392"/>
      <c r="G32" s="389"/>
      <c r="H32" s="389"/>
      <c r="I32" s="400" t="s">
        <v>2727</v>
      </c>
      <c r="J32" s="389"/>
      <c r="K32" s="389"/>
      <c r="L32" s="389"/>
      <c r="M32" s="389"/>
      <c r="N32" s="389"/>
      <c r="O32" s="389"/>
      <c r="P32" s="389"/>
      <c r="Q32" s="389"/>
      <c r="R32" s="389"/>
      <c r="S32" s="389"/>
      <c r="T32" s="389"/>
      <c r="U32" s="389"/>
      <c r="V32" s="389"/>
      <c r="W32" s="389"/>
      <c r="X32" s="389"/>
      <c r="Y32" s="389"/>
      <c r="Z32" s="389"/>
      <c r="AA32" s="389"/>
      <c r="AB32" s="389"/>
      <c r="AC32" s="389"/>
      <c r="AD32" s="389"/>
      <c r="AE32" s="389"/>
      <c r="AF32" s="389"/>
      <c r="AG32" s="389"/>
    </row>
    <row r="33">
      <c r="A33" s="389"/>
      <c r="B33" s="400" t="s">
        <v>2728</v>
      </c>
      <c r="C33" s="389"/>
      <c r="D33" s="416">
        <v>5.08993292E8</v>
      </c>
      <c r="E33" s="406" t="s">
        <v>2729</v>
      </c>
      <c r="F33" s="399" t="s">
        <v>2293</v>
      </c>
      <c r="G33" s="389"/>
      <c r="H33" s="400" t="s">
        <v>2284</v>
      </c>
      <c r="I33" s="400" t="s">
        <v>2733</v>
      </c>
      <c r="J33" s="400" t="s">
        <v>32</v>
      </c>
      <c r="K33" s="389"/>
      <c r="L33" s="389"/>
      <c r="M33" s="389"/>
      <c r="N33" s="389"/>
      <c r="O33" s="389"/>
      <c r="P33" s="389"/>
      <c r="Q33" s="389"/>
      <c r="R33" s="389"/>
      <c r="S33" s="389"/>
      <c r="T33" s="389"/>
      <c r="U33" s="389"/>
      <c r="V33" s="389"/>
      <c r="W33" s="389"/>
      <c r="X33" s="389"/>
      <c r="Y33" s="389"/>
      <c r="Z33" s="389"/>
      <c r="AA33" s="389"/>
      <c r="AB33" s="389"/>
      <c r="AC33" s="389"/>
      <c r="AD33" s="389"/>
      <c r="AE33" s="389"/>
      <c r="AF33" s="389"/>
      <c r="AG33" s="389"/>
    </row>
    <row r="34">
      <c r="A34" s="389"/>
      <c r="B34" s="408" t="s">
        <v>2734</v>
      </c>
      <c r="C34" s="389"/>
      <c r="D34" s="417" t="s">
        <v>2735</v>
      </c>
      <c r="E34" s="400" t="s">
        <v>2736</v>
      </c>
      <c r="F34" s="399" t="s">
        <v>2283</v>
      </c>
      <c r="G34" s="389"/>
      <c r="H34" s="400" t="s">
        <v>2284</v>
      </c>
      <c r="I34" s="400" t="s">
        <v>2737</v>
      </c>
      <c r="J34" s="400" t="s">
        <v>32</v>
      </c>
      <c r="K34" s="389"/>
      <c r="L34" s="389"/>
      <c r="M34" s="389"/>
      <c r="N34" s="389"/>
      <c r="O34" s="389"/>
      <c r="P34" s="389"/>
      <c r="Q34" s="389"/>
      <c r="R34" s="389"/>
      <c r="S34" s="389"/>
      <c r="T34" s="389"/>
      <c r="U34" s="389"/>
      <c r="V34" s="389"/>
      <c r="W34" s="389"/>
      <c r="X34" s="389"/>
      <c r="Y34" s="389"/>
      <c r="Z34" s="389"/>
      <c r="AA34" s="389"/>
      <c r="AB34" s="389"/>
      <c r="AC34" s="389"/>
      <c r="AD34" s="389"/>
      <c r="AE34" s="389"/>
      <c r="AF34" s="389"/>
      <c r="AG34" s="389"/>
    </row>
    <row r="35">
      <c r="A35" s="389"/>
      <c r="B35" s="408" t="s">
        <v>2738</v>
      </c>
      <c r="C35" s="389"/>
      <c r="D35" s="395" t="s">
        <v>2739</v>
      </c>
      <c r="E35" s="409" t="s">
        <v>2740</v>
      </c>
      <c r="F35" s="399" t="s">
        <v>2283</v>
      </c>
      <c r="G35" s="389"/>
      <c r="H35" s="400" t="s">
        <v>2284</v>
      </c>
      <c r="I35" s="400" t="s">
        <v>2302</v>
      </c>
      <c r="J35" s="400" t="s">
        <v>54</v>
      </c>
      <c r="K35" s="389"/>
      <c r="L35" s="389"/>
      <c r="M35" s="389"/>
      <c r="N35" s="389"/>
      <c r="O35" s="389"/>
      <c r="P35" s="389"/>
      <c r="Q35" s="389"/>
      <c r="R35" s="389"/>
      <c r="S35" s="389"/>
      <c r="T35" s="389"/>
      <c r="U35" s="389"/>
      <c r="V35" s="389"/>
      <c r="W35" s="389"/>
      <c r="X35" s="389"/>
      <c r="Y35" s="389"/>
      <c r="Z35" s="389"/>
      <c r="AA35" s="389"/>
      <c r="AB35" s="389"/>
      <c r="AC35" s="389"/>
      <c r="AD35" s="389"/>
      <c r="AE35" s="389"/>
      <c r="AF35" s="389"/>
      <c r="AG35" s="389"/>
    </row>
    <row r="36">
      <c r="A36" s="389"/>
      <c r="B36" s="426" t="s">
        <v>2744</v>
      </c>
      <c r="C36" s="389"/>
      <c r="D36" s="417" t="s">
        <v>2745</v>
      </c>
      <c r="E36" s="427" t="s">
        <v>2746</v>
      </c>
      <c r="F36" s="428" t="s">
        <v>2440</v>
      </c>
      <c r="G36" s="429"/>
      <c r="H36" s="430" t="s">
        <v>2333</v>
      </c>
      <c r="I36" s="400" t="s">
        <v>2756</v>
      </c>
      <c r="J36" s="389"/>
      <c r="K36" s="389"/>
      <c r="L36" s="389"/>
      <c r="M36" s="389"/>
      <c r="N36" s="389"/>
      <c r="O36" s="389"/>
      <c r="P36" s="389"/>
      <c r="Q36" s="389"/>
      <c r="R36" s="389"/>
      <c r="S36" s="389"/>
      <c r="T36" s="389"/>
      <c r="U36" s="389"/>
      <c r="V36" s="389"/>
      <c r="W36" s="389"/>
      <c r="X36" s="389"/>
      <c r="Y36" s="389"/>
      <c r="Z36" s="389"/>
      <c r="AA36" s="389"/>
      <c r="AB36" s="389"/>
      <c r="AC36" s="389"/>
      <c r="AD36" s="389"/>
      <c r="AE36" s="389"/>
      <c r="AF36" s="389"/>
      <c r="AG36" s="389"/>
    </row>
    <row r="37">
      <c r="A37" s="389"/>
      <c r="B37" s="408" t="s">
        <v>2757</v>
      </c>
      <c r="C37" s="389"/>
      <c r="D37" s="395" t="s">
        <v>2758</v>
      </c>
      <c r="E37" s="409" t="s">
        <v>2759</v>
      </c>
      <c r="F37" s="392"/>
      <c r="G37" s="389"/>
      <c r="H37" s="400" t="s">
        <v>2284</v>
      </c>
      <c r="I37" s="400" t="s">
        <v>2763</v>
      </c>
      <c r="J37" s="400" t="s">
        <v>32</v>
      </c>
      <c r="K37" s="389"/>
      <c r="L37" s="389"/>
      <c r="M37" s="389"/>
      <c r="N37" s="389"/>
      <c r="O37" s="389"/>
      <c r="P37" s="389"/>
      <c r="Q37" s="389"/>
      <c r="R37" s="389"/>
      <c r="S37" s="389"/>
      <c r="T37" s="389"/>
      <c r="U37" s="389"/>
      <c r="V37" s="389"/>
      <c r="W37" s="389"/>
      <c r="X37" s="389"/>
      <c r="Y37" s="389"/>
      <c r="Z37" s="389"/>
      <c r="AA37" s="389"/>
      <c r="AB37" s="389"/>
      <c r="AC37" s="389"/>
      <c r="AD37" s="389"/>
      <c r="AE37" s="389"/>
      <c r="AF37" s="389"/>
      <c r="AG37" s="389"/>
    </row>
    <row r="38">
      <c r="A38" s="388">
        <v>43325.0</v>
      </c>
      <c r="B38" s="389"/>
      <c r="C38" s="389"/>
      <c r="D38" s="390"/>
      <c r="E38" s="389"/>
      <c r="F38" s="392"/>
      <c r="G38" s="389"/>
      <c r="H38" s="389"/>
      <c r="I38" s="389"/>
      <c r="J38" s="389"/>
      <c r="K38" s="389"/>
      <c r="L38" s="389"/>
      <c r="M38" s="389"/>
      <c r="N38" s="389"/>
      <c r="O38" s="389"/>
      <c r="P38" s="389"/>
      <c r="Q38" s="389"/>
      <c r="R38" s="389"/>
      <c r="S38" s="389"/>
      <c r="T38" s="389"/>
      <c r="U38" s="389"/>
      <c r="V38" s="389"/>
      <c r="W38" s="389"/>
      <c r="X38" s="389"/>
      <c r="Y38" s="389"/>
      <c r="Z38" s="389"/>
      <c r="AA38" s="389"/>
      <c r="AB38" s="389"/>
      <c r="AC38" s="389"/>
      <c r="AD38" s="389"/>
      <c r="AE38" s="389"/>
      <c r="AF38" s="389"/>
      <c r="AG38" s="389"/>
    </row>
    <row r="39">
      <c r="A39" s="389"/>
      <c r="B39" s="408" t="s">
        <v>2764</v>
      </c>
      <c r="C39" s="389"/>
      <c r="D39" s="395" t="s">
        <v>2765</v>
      </c>
      <c r="E39" s="409" t="s">
        <v>2766</v>
      </c>
      <c r="F39" s="399" t="s">
        <v>2283</v>
      </c>
      <c r="G39" s="389"/>
      <c r="H39" s="400" t="s">
        <v>2284</v>
      </c>
      <c r="I39" s="400" t="s">
        <v>2769</v>
      </c>
      <c r="J39" s="389"/>
      <c r="K39" s="400" t="s">
        <v>2706</v>
      </c>
      <c r="L39" s="389"/>
      <c r="M39" s="389"/>
      <c r="N39" s="389"/>
      <c r="O39" s="389"/>
      <c r="P39" s="389"/>
      <c r="Q39" s="389"/>
      <c r="R39" s="389"/>
      <c r="S39" s="389"/>
      <c r="T39" s="389"/>
      <c r="U39" s="389"/>
      <c r="V39" s="389"/>
      <c r="W39" s="389"/>
      <c r="X39" s="389"/>
      <c r="Y39" s="389"/>
      <c r="Z39" s="389"/>
      <c r="AA39" s="389"/>
      <c r="AB39" s="389"/>
      <c r="AC39" s="389"/>
      <c r="AD39" s="389"/>
      <c r="AE39" s="389"/>
      <c r="AF39" s="389"/>
      <c r="AG39" s="389"/>
    </row>
    <row r="40">
      <c r="A40" s="389"/>
      <c r="B40" s="400" t="s">
        <v>2773</v>
      </c>
      <c r="C40" s="389"/>
      <c r="D40" s="417" t="s">
        <v>2774</v>
      </c>
      <c r="E40" s="406" t="s">
        <v>2776</v>
      </c>
      <c r="F40" s="399" t="s">
        <v>2293</v>
      </c>
      <c r="G40" s="389"/>
      <c r="H40" s="400" t="s">
        <v>2284</v>
      </c>
      <c r="I40" s="406" t="s">
        <v>2779</v>
      </c>
      <c r="J40" s="400" t="s">
        <v>158</v>
      </c>
      <c r="K40" s="389"/>
      <c r="L40" s="389"/>
      <c r="M40" s="389"/>
      <c r="N40" s="389"/>
      <c r="O40" s="389"/>
      <c r="P40" s="389"/>
      <c r="Q40" s="389"/>
      <c r="R40" s="389"/>
      <c r="S40" s="389"/>
      <c r="T40" s="389"/>
      <c r="U40" s="389"/>
      <c r="V40" s="389"/>
      <c r="W40" s="389"/>
      <c r="X40" s="389"/>
      <c r="Y40" s="389"/>
      <c r="Z40" s="389"/>
      <c r="AA40" s="389"/>
      <c r="AB40" s="389"/>
      <c r="AC40" s="389"/>
      <c r="AD40" s="389"/>
      <c r="AE40" s="389"/>
      <c r="AF40" s="389"/>
      <c r="AG40" s="389"/>
    </row>
    <row r="41">
      <c r="A41" s="389"/>
      <c r="B41" s="408" t="s">
        <v>2800</v>
      </c>
      <c r="C41" s="389"/>
      <c r="D41" s="421">
        <f>971502886609</f>
        <v>971502886609</v>
      </c>
      <c r="E41" s="409" t="s">
        <v>2802</v>
      </c>
      <c r="F41" s="399" t="s">
        <v>2283</v>
      </c>
      <c r="G41" s="389"/>
      <c r="H41" s="389"/>
      <c r="I41" s="408" t="s">
        <v>2810</v>
      </c>
      <c r="J41" s="400" t="s">
        <v>32</v>
      </c>
      <c r="K41" s="389"/>
      <c r="L41" s="389"/>
      <c r="M41" s="389"/>
      <c r="N41" s="389"/>
      <c r="O41" s="389"/>
      <c r="P41" s="389"/>
      <c r="Q41" s="389"/>
      <c r="R41" s="389"/>
      <c r="S41" s="389"/>
      <c r="T41" s="389"/>
      <c r="U41" s="389"/>
      <c r="V41" s="389"/>
      <c r="W41" s="389"/>
      <c r="X41" s="389"/>
      <c r="Y41" s="389"/>
      <c r="Z41" s="389"/>
      <c r="AA41" s="389"/>
      <c r="AB41" s="389"/>
      <c r="AC41" s="389"/>
      <c r="AD41" s="389"/>
      <c r="AE41" s="389"/>
      <c r="AF41" s="389"/>
      <c r="AG41" s="389"/>
    </row>
    <row r="42">
      <c r="A42" s="389"/>
      <c r="B42" s="408" t="s">
        <v>2815</v>
      </c>
      <c r="C42" s="389"/>
      <c r="D42" s="395" t="s">
        <v>2816</v>
      </c>
      <c r="E42" s="409" t="s">
        <v>2819</v>
      </c>
      <c r="F42" s="399" t="s">
        <v>2283</v>
      </c>
      <c r="G42" s="389"/>
      <c r="H42" s="400" t="s">
        <v>2284</v>
      </c>
      <c r="I42" s="411" t="s">
        <v>2826</v>
      </c>
      <c r="J42" s="400" t="s">
        <v>32</v>
      </c>
      <c r="K42" s="389"/>
      <c r="L42" s="389"/>
      <c r="M42" s="389"/>
      <c r="N42" s="389"/>
      <c r="O42" s="389"/>
      <c r="P42" s="389"/>
      <c r="Q42" s="389"/>
      <c r="R42" s="389"/>
      <c r="S42" s="389"/>
      <c r="T42" s="389"/>
      <c r="U42" s="389"/>
      <c r="V42" s="389"/>
      <c r="W42" s="389"/>
      <c r="X42" s="389"/>
      <c r="Y42" s="389"/>
      <c r="Z42" s="389"/>
      <c r="AA42" s="389"/>
      <c r="AB42" s="389"/>
      <c r="AC42" s="389"/>
      <c r="AD42" s="389"/>
      <c r="AE42" s="389"/>
      <c r="AF42" s="389"/>
      <c r="AG42" s="389"/>
    </row>
    <row r="43">
      <c r="A43" s="389"/>
      <c r="B43" s="408" t="s">
        <v>2831</v>
      </c>
      <c r="C43" s="389"/>
      <c r="D43" s="417" t="s">
        <v>2832</v>
      </c>
      <c r="E43" s="409" t="s">
        <v>2833</v>
      </c>
      <c r="F43" s="392"/>
      <c r="G43" s="389"/>
      <c r="H43" s="400" t="s">
        <v>2342</v>
      </c>
      <c r="I43" s="400" t="s">
        <v>2837</v>
      </c>
      <c r="J43" s="400" t="s">
        <v>2838</v>
      </c>
      <c r="K43" s="389"/>
      <c r="L43" s="389"/>
      <c r="M43" s="389"/>
      <c r="N43" s="389"/>
      <c r="O43" s="389"/>
      <c r="P43" s="389"/>
      <c r="Q43" s="389"/>
      <c r="R43" s="389"/>
      <c r="S43" s="389"/>
      <c r="T43" s="389"/>
      <c r="U43" s="389"/>
      <c r="V43" s="389"/>
      <c r="W43" s="389"/>
      <c r="X43" s="389"/>
      <c r="Y43" s="389"/>
      <c r="Z43" s="389"/>
      <c r="AA43" s="389"/>
      <c r="AB43" s="389"/>
      <c r="AC43" s="389"/>
      <c r="AD43" s="389"/>
      <c r="AE43" s="389"/>
      <c r="AF43" s="389"/>
      <c r="AG43" s="389"/>
    </row>
    <row r="44">
      <c r="A44" s="389"/>
      <c r="B44" s="400" t="s">
        <v>2839</v>
      </c>
      <c r="C44" s="389"/>
      <c r="D44" s="395" t="s">
        <v>2840</v>
      </c>
      <c r="E44" s="406" t="s">
        <v>2841</v>
      </c>
      <c r="F44" s="399" t="s">
        <v>2293</v>
      </c>
      <c r="G44" s="389"/>
      <c r="H44" s="400" t="s">
        <v>2333</v>
      </c>
      <c r="I44" s="400" t="s">
        <v>2334</v>
      </c>
      <c r="J44" s="389"/>
      <c r="K44" s="389"/>
      <c r="L44" s="389"/>
      <c r="M44" s="389"/>
      <c r="N44" s="389"/>
      <c r="O44" s="389"/>
      <c r="P44" s="389"/>
      <c r="Q44" s="389"/>
      <c r="R44" s="389"/>
      <c r="S44" s="389"/>
      <c r="T44" s="389"/>
      <c r="U44" s="389"/>
      <c r="V44" s="389"/>
      <c r="W44" s="389"/>
      <c r="X44" s="389"/>
      <c r="Y44" s="389"/>
      <c r="Z44" s="389"/>
      <c r="AA44" s="389"/>
      <c r="AB44" s="389"/>
      <c r="AC44" s="389"/>
      <c r="AD44" s="389"/>
      <c r="AE44" s="389"/>
      <c r="AF44" s="389"/>
      <c r="AG44" s="389"/>
    </row>
    <row r="45">
      <c r="A45" s="388">
        <v>43326.0</v>
      </c>
      <c r="B45" s="389"/>
      <c r="C45" s="389"/>
      <c r="D45" s="390"/>
      <c r="E45" s="389"/>
      <c r="F45" s="392"/>
      <c r="G45" s="389"/>
      <c r="H45" s="389"/>
      <c r="I45" s="389"/>
      <c r="J45" s="389"/>
      <c r="K45" s="389"/>
      <c r="L45" s="389"/>
      <c r="M45" s="389"/>
      <c r="N45" s="389"/>
      <c r="O45" s="389"/>
      <c r="P45" s="389"/>
      <c r="Q45" s="389"/>
      <c r="R45" s="389"/>
      <c r="S45" s="389"/>
      <c r="T45" s="389"/>
      <c r="U45" s="389"/>
      <c r="V45" s="389"/>
      <c r="W45" s="389"/>
      <c r="X45" s="389"/>
      <c r="Y45" s="389"/>
      <c r="Z45" s="389"/>
      <c r="AA45" s="389"/>
      <c r="AB45" s="389"/>
      <c r="AC45" s="389"/>
      <c r="AD45" s="389"/>
      <c r="AE45" s="389"/>
      <c r="AF45" s="389"/>
      <c r="AG45" s="389"/>
    </row>
    <row r="46">
      <c r="A46" s="389"/>
      <c r="B46" s="439" t="s">
        <v>2847</v>
      </c>
      <c r="C46" s="389"/>
      <c r="D46" s="421">
        <f>+971505497876</f>
        <v>971505497876</v>
      </c>
      <c r="E46" s="406" t="s">
        <v>2852</v>
      </c>
      <c r="F46" s="399" t="s">
        <v>2717</v>
      </c>
      <c r="G46" s="400" t="s">
        <v>1931</v>
      </c>
      <c r="H46" s="389"/>
      <c r="I46" s="389"/>
      <c r="J46" s="389"/>
      <c r="K46" s="389"/>
      <c r="L46" s="389"/>
      <c r="M46" s="389"/>
      <c r="N46" s="389"/>
      <c r="O46" s="389"/>
      <c r="P46" s="389"/>
      <c r="Q46" s="389"/>
      <c r="R46" s="389"/>
      <c r="S46" s="389"/>
      <c r="T46" s="389"/>
      <c r="U46" s="389"/>
      <c r="V46" s="389"/>
      <c r="W46" s="389"/>
      <c r="X46" s="389"/>
      <c r="Y46" s="389"/>
      <c r="Z46" s="389"/>
      <c r="AA46" s="389"/>
      <c r="AB46" s="389"/>
      <c r="AC46" s="389"/>
      <c r="AD46" s="389"/>
      <c r="AE46" s="389"/>
      <c r="AF46" s="389"/>
      <c r="AG46" s="389"/>
    </row>
    <row r="47">
      <c r="A47" s="389"/>
      <c r="B47" s="408" t="s">
        <v>2856</v>
      </c>
      <c r="C47" s="389"/>
      <c r="D47" s="395" t="s">
        <v>2857</v>
      </c>
      <c r="E47" s="409" t="s">
        <v>2858</v>
      </c>
      <c r="F47" s="399" t="s">
        <v>2283</v>
      </c>
      <c r="G47" s="389"/>
      <c r="H47" s="400" t="s">
        <v>2333</v>
      </c>
      <c r="I47" s="400" t="s">
        <v>2756</v>
      </c>
      <c r="J47" s="389"/>
      <c r="K47" s="389"/>
      <c r="L47" s="389"/>
      <c r="M47" s="389"/>
      <c r="N47" s="389"/>
      <c r="O47" s="389"/>
      <c r="P47" s="389"/>
      <c r="Q47" s="389"/>
      <c r="R47" s="389"/>
      <c r="S47" s="389"/>
      <c r="T47" s="389"/>
      <c r="U47" s="389"/>
      <c r="V47" s="389"/>
      <c r="W47" s="389"/>
      <c r="X47" s="389"/>
      <c r="Y47" s="389"/>
      <c r="Z47" s="389"/>
      <c r="AA47" s="389"/>
      <c r="AB47" s="389"/>
      <c r="AC47" s="389"/>
      <c r="AD47" s="389"/>
      <c r="AE47" s="389"/>
      <c r="AF47" s="389"/>
      <c r="AG47" s="389"/>
    </row>
    <row r="48">
      <c r="A48" s="388">
        <v>43328.0</v>
      </c>
      <c r="B48" s="389"/>
      <c r="C48" s="389"/>
      <c r="D48" s="390"/>
      <c r="E48" s="389"/>
      <c r="F48" s="392"/>
      <c r="G48" s="389"/>
      <c r="H48" s="389"/>
      <c r="I48" s="389"/>
      <c r="J48" s="389"/>
      <c r="K48" s="389"/>
      <c r="L48" s="389"/>
      <c r="M48" s="389"/>
      <c r="N48" s="389"/>
      <c r="O48" s="389"/>
      <c r="P48" s="389"/>
      <c r="Q48" s="389"/>
      <c r="R48" s="389"/>
      <c r="S48" s="389"/>
      <c r="T48" s="389"/>
      <c r="U48" s="389"/>
      <c r="V48" s="389"/>
      <c r="W48" s="389"/>
      <c r="X48" s="389"/>
      <c r="Y48" s="389"/>
      <c r="Z48" s="389"/>
      <c r="AA48" s="389"/>
      <c r="AB48" s="389"/>
      <c r="AC48" s="389"/>
      <c r="AD48" s="389"/>
      <c r="AE48" s="389"/>
      <c r="AF48" s="389"/>
      <c r="AG48" s="389"/>
    </row>
    <row r="49">
      <c r="A49" s="389"/>
      <c r="B49" s="444" t="s">
        <v>2862</v>
      </c>
      <c r="C49" s="389"/>
      <c r="D49" s="417" t="s">
        <v>2867</v>
      </c>
      <c r="E49" s="444" t="s">
        <v>2868</v>
      </c>
      <c r="F49" s="399" t="s">
        <v>2717</v>
      </c>
      <c r="G49" s="389"/>
      <c r="H49" s="389"/>
      <c r="I49" s="389"/>
      <c r="J49" s="389"/>
      <c r="K49" s="389"/>
      <c r="L49" s="389"/>
      <c r="M49" s="389"/>
      <c r="N49" s="389"/>
      <c r="O49" s="389"/>
      <c r="P49" s="389"/>
      <c r="Q49" s="389"/>
      <c r="R49" s="389"/>
      <c r="S49" s="389"/>
      <c r="T49" s="389"/>
      <c r="U49" s="389"/>
      <c r="V49" s="389"/>
      <c r="W49" s="389"/>
      <c r="X49" s="389"/>
      <c r="Y49" s="389"/>
      <c r="Z49" s="389"/>
      <c r="AA49" s="389"/>
      <c r="AB49" s="389"/>
      <c r="AC49" s="389"/>
      <c r="AD49" s="389"/>
      <c r="AE49" s="389"/>
      <c r="AF49" s="389"/>
      <c r="AG49" s="389"/>
    </row>
    <row r="50">
      <c r="A50" s="389"/>
      <c r="B50" s="408" t="s">
        <v>2873</v>
      </c>
      <c r="C50" s="389"/>
      <c r="D50" s="395" t="s">
        <v>2874</v>
      </c>
      <c r="E50" s="409" t="s">
        <v>2875</v>
      </c>
      <c r="F50" s="399" t="s">
        <v>2283</v>
      </c>
      <c r="G50" s="389"/>
      <c r="H50" s="400" t="s">
        <v>2284</v>
      </c>
      <c r="I50" s="400" t="s">
        <v>2877</v>
      </c>
      <c r="J50" s="389"/>
      <c r="K50" s="389"/>
      <c r="L50" s="389"/>
      <c r="M50" s="389"/>
      <c r="N50" s="389"/>
      <c r="O50" s="389"/>
      <c r="P50" s="389"/>
      <c r="Q50" s="389"/>
      <c r="R50" s="389"/>
      <c r="S50" s="389"/>
      <c r="T50" s="389"/>
      <c r="U50" s="389"/>
      <c r="V50" s="389"/>
      <c r="W50" s="389"/>
      <c r="X50" s="389"/>
      <c r="Y50" s="389"/>
      <c r="Z50" s="389"/>
      <c r="AA50" s="389"/>
      <c r="AB50" s="389"/>
      <c r="AC50" s="389"/>
      <c r="AD50" s="389"/>
      <c r="AE50" s="389"/>
      <c r="AF50" s="389"/>
      <c r="AG50" s="389"/>
    </row>
    <row r="51">
      <c r="A51" s="388">
        <v>43330.0</v>
      </c>
      <c r="B51" s="389"/>
      <c r="C51" s="389"/>
      <c r="D51" s="390"/>
      <c r="E51" s="389"/>
      <c r="F51" s="392"/>
      <c r="G51" s="389"/>
      <c r="H51" s="389"/>
      <c r="I51" s="389"/>
      <c r="J51" s="389"/>
      <c r="K51" s="389"/>
      <c r="L51" s="389"/>
      <c r="M51" s="389"/>
      <c r="N51" s="389"/>
      <c r="O51" s="389"/>
      <c r="P51" s="389"/>
      <c r="Q51" s="389"/>
      <c r="R51" s="389"/>
      <c r="S51" s="389"/>
      <c r="T51" s="389"/>
      <c r="U51" s="389"/>
      <c r="V51" s="389"/>
      <c r="W51" s="389"/>
      <c r="X51" s="389"/>
      <c r="Y51" s="389"/>
      <c r="Z51" s="389"/>
      <c r="AA51" s="389"/>
      <c r="AB51" s="389"/>
      <c r="AC51" s="389"/>
      <c r="AD51" s="389"/>
      <c r="AE51" s="389"/>
      <c r="AF51" s="389"/>
      <c r="AG51" s="389"/>
    </row>
    <row r="52">
      <c r="A52" s="389"/>
      <c r="B52" s="408" t="s">
        <v>2880</v>
      </c>
      <c r="C52" s="389"/>
      <c r="D52" s="422">
        <v>5.58230719E8</v>
      </c>
      <c r="E52" s="409" t="s">
        <v>2881</v>
      </c>
      <c r="F52" s="399" t="s">
        <v>2283</v>
      </c>
      <c r="G52" s="389"/>
      <c r="H52" s="400" t="s">
        <v>2284</v>
      </c>
      <c r="I52" s="447" t="s">
        <v>2582</v>
      </c>
      <c r="J52" s="400" t="s">
        <v>32</v>
      </c>
      <c r="K52" s="389"/>
      <c r="L52" s="389"/>
      <c r="M52" s="389"/>
      <c r="N52" s="389"/>
      <c r="O52" s="389"/>
      <c r="P52" s="389"/>
      <c r="Q52" s="389"/>
      <c r="R52" s="389"/>
      <c r="S52" s="389"/>
      <c r="T52" s="389"/>
      <c r="U52" s="389"/>
      <c r="V52" s="389"/>
      <c r="W52" s="389"/>
      <c r="X52" s="389"/>
      <c r="Y52" s="389"/>
      <c r="Z52" s="389"/>
      <c r="AA52" s="389"/>
      <c r="AB52" s="389"/>
      <c r="AC52" s="389"/>
      <c r="AD52" s="389"/>
      <c r="AE52" s="389"/>
      <c r="AF52" s="389"/>
      <c r="AG52" s="389"/>
    </row>
    <row r="53">
      <c r="A53" s="389"/>
      <c r="B53" s="426" t="s">
        <v>2891</v>
      </c>
      <c r="C53" s="389"/>
      <c r="D53" s="395" t="s">
        <v>2897</v>
      </c>
      <c r="E53" s="427" t="s">
        <v>2898</v>
      </c>
      <c r="F53" s="399" t="s">
        <v>2440</v>
      </c>
      <c r="G53" s="389"/>
      <c r="H53" s="400" t="s">
        <v>2342</v>
      </c>
      <c r="I53" s="426" t="s">
        <v>2901</v>
      </c>
      <c r="J53" s="400" t="s">
        <v>54</v>
      </c>
      <c r="K53" s="389"/>
      <c r="L53" s="389"/>
      <c r="M53" s="389"/>
      <c r="N53" s="389"/>
      <c r="O53" s="389"/>
      <c r="P53" s="389"/>
      <c r="Q53" s="389"/>
      <c r="R53" s="389"/>
      <c r="S53" s="389"/>
      <c r="T53" s="389"/>
      <c r="U53" s="389"/>
      <c r="V53" s="389"/>
      <c r="W53" s="389"/>
      <c r="X53" s="389"/>
      <c r="Y53" s="389"/>
      <c r="Z53" s="389"/>
      <c r="AA53" s="389"/>
      <c r="AB53" s="389"/>
      <c r="AC53" s="389"/>
      <c r="AD53" s="389"/>
      <c r="AE53" s="389"/>
      <c r="AF53" s="389"/>
      <c r="AG53" s="389"/>
    </row>
    <row r="54">
      <c r="A54" s="389"/>
      <c r="B54" s="408" t="s">
        <v>2907</v>
      </c>
      <c r="C54" s="389"/>
      <c r="D54" s="417" t="s">
        <v>2908</v>
      </c>
      <c r="E54" s="409" t="s">
        <v>2909</v>
      </c>
      <c r="F54" s="399" t="s">
        <v>2283</v>
      </c>
      <c r="G54" s="389"/>
      <c r="H54" s="400" t="s">
        <v>2342</v>
      </c>
      <c r="I54" s="400" t="s">
        <v>2565</v>
      </c>
      <c r="J54" s="400" t="s">
        <v>32</v>
      </c>
      <c r="K54" s="389"/>
      <c r="L54" s="389"/>
      <c r="M54" s="389"/>
      <c r="N54" s="389"/>
      <c r="O54" s="389"/>
      <c r="P54" s="389"/>
      <c r="Q54" s="389"/>
      <c r="R54" s="389"/>
      <c r="S54" s="389"/>
      <c r="T54" s="389"/>
      <c r="U54" s="389"/>
      <c r="V54" s="389"/>
      <c r="W54" s="389"/>
      <c r="X54" s="389"/>
      <c r="Y54" s="389"/>
      <c r="Z54" s="389"/>
      <c r="AA54" s="389"/>
      <c r="AB54" s="389"/>
      <c r="AC54" s="389"/>
      <c r="AD54" s="389"/>
      <c r="AE54" s="389"/>
      <c r="AF54" s="389"/>
      <c r="AG54" s="389"/>
    </row>
    <row r="55">
      <c r="A55" s="389"/>
      <c r="B55" s="406" t="s">
        <v>2921</v>
      </c>
      <c r="C55" s="389"/>
      <c r="D55" s="417" t="s">
        <v>2930</v>
      </c>
      <c r="E55" s="406" t="s">
        <v>2921</v>
      </c>
      <c r="F55" s="399" t="s">
        <v>2293</v>
      </c>
      <c r="G55" s="389"/>
      <c r="H55" s="400" t="s">
        <v>2284</v>
      </c>
      <c r="I55" s="400" t="s">
        <v>2623</v>
      </c>
      <c r="J55" s="400" t="s">
        <v>54</v>
      </c>
      <c r="K55" s="389"/>
      <c r="L55" s="389"/>
      <c r="M55" s="389"/>
      <c r="N55" s="389"/>
      <c r="O55" s="389"/>
      <c r="P55" s="389"/>
      <c r="Q55" s="389"/>
      <c r="R55" s="389"/>
      <c r="S55" s="389"/>
      <c r="T55" s="389"/>
      <c r="U55" s="389"/>
      <c r="V55" s="389"/>
      <c r="W55" s="389"/>
      <c r="X55" s="389"/>
      <c r="Y55" s="389"/>
      <c r="Z55" s="389"/>
      <c r="AA55" s="389"/>
      <c r="AB55" s="389"/>
      <c r="AC55" s="389"/>
      <c r="AD55" s="389"/>
      <c r="AE55" s="389"/>
      <c r="AF55" s="389"/>
      <c r="AG55" s="389"/>
    </row>
    <row r="56">
      <c r="A56" s="389"/>
      <c r="B56" s="400" t="s">
        <v>2936</v>
      </c>
      <c r="C56" s="389"/>
      <c r="D56" s="395" t="s">
        <v>2937</v>
      </c>
      <c r="E56" s="406" t="s">
        <v>2938</v>
      </c>
      <c r="F56" s="399" t="s">
        <v>2283</v>
      </c>
      <c r="G56" s="389"/>
      <c r="H56" s="400" t="s">
        <v>2284</v>
      </c>
      <c r="I56" s="400" t="s">
        <v>2945</v>
      </c>
      <c r="J56" s="389"/>
      <c r="K56" s="400" t="s">
        <v>2946</v>
      </c>
      <c r="L56" s="389"/>
      <c r="M56" s="389"/>
      <c r="N56" s="389"/>
      <c r="O56" s="389"/>
      <c r="P56" s="389"/>
      <c r="Q56" s="389"/>
      <c r="R56" s="389"/>
      <c r="S56" s="389"/>
      <c r="T56" s="389"/>
      <c r="U56" s="389"/>
      <c r="V56" s="389"/>
      <c r="W56" s="389"/>
      <c r="X56" s="389"/>
      <c r="Y56" s="389"/>
      <c r="Z56" s="389"/>
      <c r="AA56" s="389"/>
      <c r="AB56" s="389"/>
      <c r="AC56" s="389"/>
      <c r="AD56" s="389"/>
      <c r="AE56" s="389"/>
      <c r="AF56" s="389"/>
      <c r="AG56" s="389"/>
    </row>
    <row r="57">
      <c r="A57" s="388">
        <v>43334.0</v>
      </c>
      <c r="B57" s="389"/>
      <c r="C57" s="389"/>
      <c r="D57" s="390"/>
      <c r="E57" s="389"/>
      <c r="F57" s="392"/>
      <c r="G57" s="389"/>
      <c r="H57" s="389"/>
      <c r="I57" s="389"/>
      <c r="J57" s="389"/>
      <c r="K57" s="389"/>
      <c r="L57" s="389"/>
      <c r="M57" s="389"/>
      <c r="N57" s="389"/>
      <c r="O57" s="389"/>
      <c r="P57" s="389"/>
      <c r="Q57" s="389"/>
      <c r="R57" s="389"/>
      <c r="S57" s="389"/>
      <c r="T57" s="389"/>
      <c r="U57" s="389"/>
      <c r="V57" s="389"/>
      <c r="W57" s="389"/>
      <c r="X57" s="389"/>
      <c r="Y57" s="389"/>
      <c r="Z57" s="389"/>
      <c r="AA57" s="389"/>
      <c r="AB57" s="389"/>
      <c r="AC57" s="389"/>
      <c r="AD57" s="389"/>
      <c r="AE57" s="389"/>
      <c r="AF57" s="389"/>
      <c r="AG57" s="389"/>
    </row>
    <row r="58">
      <c r="A58" s="389"/>
      <c r="B58" s="408" t="s">
        <v>2947</v>
      </c>
      <c r="C58" s="389"/>
      <c r="D58" s="417" t="s">
        <v>2948</v>
      </c>
      <c r="E58" s="409" t="s">
        <v>2950</v>
      </c>
      <c r="F58" s="399" t="s">
        <v>2283</v>
      </c>
      <c r="G58" s="389"/>
      <c r="H58" s="400" t="s">
        <v>2284</v>
      </c>
      <c r="I58" s="400" t="s">
        <v>2963</v>
      </c>
      <c r="J58" s="389"/>
      <c r="K58" s="389"/>
      <c r="L58" s="389"/>
      <c r="M58" s="389"/>
      <c r="N58" s="389"/>
      <c r="O58" s="389"/>
      <c r="P58" s="389"/>
      <c r="Q58" s="389"/>
      <c r="R58" s="389"/>
      <c r="S58" s="389"/>
      <c r="T58" s="389"/>
      <c r="U58" s="389"/>
      <c r="V58" s="389"/>
      <c r="W58" s="389"/>
      <c r="X58" s="389"/>
      <c r="Y58" s="389"/>
      <c r="Z58" s="389"/>
      <c r="AA58" s="389"/>
      <c r="AB58" s="389"/>
      <c r="AC58" s="389"/>
      <c r="AD58" s="389"/>
      <c r="AE58" s="389"/>
      <c r="AF58" s="389"/>
      <c r="AG58" s="389"/>
    </row>
    <row r="59">
      <c r="A59" s="389"/>
      <c r="B59" s="408" t="s">
        <v>2965</v>
      </c>
      <c r="C59" s="389"/>
      <c r="D59" s="417" t="s">
        <v>2966</v>
      </c>
      <c r="E59" s="409" t="s">
        <v>2967</v>
      </c>
      <c r="F59" s="399" t="s">
        <v>2283</v>
      </c>
      <c r="G59" s="389"/>
      <c r="H59" s="400" t="s">
        <v>2284</v>
      </c>
      <c r="I59" s="400" t="s">
        <v>2974</v>
      </c>
      <c r="J59" s="389"/>
      <c r="K59" s="400" t="s">
        <v>2946</v>
      </c>
      <c r="L59" s="389"/>
      <c r="M59" s="389"/>
      <c r="N59" s="389"/>
      <c r="O59" s="389"/>
      <c r="P59" s="389"/>
      <c r="Q59" s="389"/>
      <c r="R59" s="389"/>
      <c r="S59" s="389"/>
      <c r="T59" s="389"/>
      <c r="U59" s="389"/>
      <c r="V59" s="389"/>
      <c r="W59" s="389"/>
      <c r="X59" s="389"/>
      <c r="Y59" s="389"/>
      <c r="Z59" s="389"/>
      <c r="AA59" s="389"/>
      <c r="AB59" s="389"/>
      <c r="AC59" s="389"/>
      <c r="AD59" s="389"/>
      <c r="AE59" s="389"/>
      <c r="AF59" s="389"/>
      <c r="AG59" s="389"/>
    </row>
    <row r="60">
      <c r="A60" s="389"/>
      <c r="B60" s="400" t="s">
        <v>721</v>
      </c>
      <c r="C60" s="389"/>
      <c r="D60" s="417" t="s">
        <v>2977</v>
      </c>
      <c r="E60" s="406" t="s">
        <v>2980</v>
      </c>
      <c r="F60" s="392"/>
      <c r="G60" s="389"/>
      <c r="H60" s="400" t="s">
        <v>2284</v>
      </c>
      <c r="I60" s="400" t="s">
        <v>2974</v>
      </c>
      <c r="J60" s="389"/>
      <c r="K60" s="400" t="s">
        <v>2946</v>
      </c>
      <c r="L60" s="389"/>
      <c r="M60" s="389"/>
      <c r="N60" s="389"/>
      <c r="O60" s="389"/>
      <c r="P60" s="389"/>
      <c r="Q60" s="389"/>
      <c r="R60" s="389"/>
      <c r="S60" s="389"/>
      <c r="T60" s="389"/>
      <c r="U60" s="389"/>
      <c r="V60" s="389"/>
      <c r="W60" s="389"/>
      <c r="X60" s="389"/>
      <c r="Y60" s="389"/>
      <c r="Z60" s="389"/>
      <c r="AA60" s="389"/>
      <c r="AB60" s="389"/>
      <c r="AC60" s="389"/>
      <c r="AD60" s="389"/>
      <c r="AE60" s="389"/>
      <c r="AF60" s="389"/>
      <c r="AG60" s="389"/>
    </row>
    <row r="61">
      <c r="A61" s="389"/>
      <c r="B61" s="393" t="s">
        <v>2990</v>
      </c>
      <c r="C61" s="389"/>
      <c r="D61" s="395" t="s">
        <v>2993</v>
      </c>
      <c r="E61" s="397" t="s">
        <v>2995</v>
      </c>
      <c r="F61" s="399" t="s">
        <v>2324</v>
      </c>
      <c r="G61" s="389"/>
      <c r="H61" s="400" t="s">
        <v>2284</v>
      </c>
      <c r="I61" s="400" t="s">
        <v>2648</v>
      </c>
      <c r="J61" s="389"/>
      <c r="K61" s="389"/>
      <c r="L61" s="389"/>
      <c r="M61" s="389"/>
      <c r="N61" s="389"/>
      <c r="O61" s="389"/>
      <c r="P61" s="389"/>
      <c r="Q61" s="389"/>
      <c r="R61" s="389"/>
      <c r="S61" s="389"/>
      <c r="T61" s="389"/>
      <c r="U61" s="389"/>
      <c r="V61" s="389"/>
      <c r="W61" s="389"/>
      <c r="X61" s="389"/>
      <c r="Y61" s="389"/>
      <c r="Z61" s="389"/>
      <c r="AA61" s="389"/>
      <c r="AB61" s="389"/>
      <c r="AC61" s="389"/>
      <c r="AD61" s="389"/>
      <c r="AE61" s="389"/>
      <c r="AF61" s="389"/>
      <c r="AG61" s="389"/>
    </row>
    <row r="62">
      <c r="A62" s="389"/>
      <c r="B62" s="408" t="s">
        <v>3006</v>
      </c>
      <c r="C62" s="389"/>
      <c r="D62" s="395" t="s">
        <v>3007</v>
      </c>
      <c r="E62" s="409" t="s">
        <v>3008</v>
      </c>
      <c r="F62" s="399" t="s">
        <v>2283</v>
      </c>
      <c r="G62" s="389"/>
      <c r="H62" s="400" t="s">
        <v>2284</v>
      </c>
      <c r="I62" s="447" t="s">
        <v>2704</v>
      </c>
      <c r="J62" s="400" t="s">
        <v>54</v>
      </c>
      <c r="K62" s="389"/>
      <c r="L62" s="389"/>
      <c r="M62" s="389"/>
      <c r="N62" s="389"/>
      <c r="O62" s="389"/>
      <c r="P62" s="389"/>
      <c r="Q62" s="389"/>
      <c r="R62" s="389"/>
      <c r="S62" s="389"/>
      <c r="T62" s="389"/>
      <c r="U62" s="389"/>
      <c r="V62" s="389"/>
      <c r="W62" s="389"/>
      <c r="X62" s="389"/>
      <c r="Y62" s="389"/>
      <c r="Z62" s="389"/>
      <c r="AA62" s="389"/>
      <c r="AB62" s="389"/>
      <c r="AC62" s="389"/>
      <c r="AD62" s="389"/>
      <c r="AE62" s="389"/>
      <c r="AF62" s="389"/>
      <c r="AG62" s="389"/>
    </row>
    <row r="63">
      <c r="A63" s="389"/>
      <c r="B63" s="408" t="s">
        <v>3019</v>
      </c>
      <c r="C63" s="389"/>
      <c r="D63" s="423" t="s">
        <v>3020</v>
      </c>
      <c r="E63" s="409" t="s">
        <v>3021</v>
      </c>
      <c r="F63" s="399" t="s">
        <v>2283</v>
      </c>
      <c r="G63" s="389"/>
      <c r="H63" s="400" t="s">
        <v>2528</v>
      </c>
      <c r="I63" s="400" t="s">
        <v>3027</v>
      </c>
      <c r="J63" s="400" t="s">
        <v>373</v>
      </c>
      <c r="K63" s="389"/>
      <c r="L63" s="389"/>
      <c r="M63" s="389"/>
      <c r="N63" s="389"/>
      <c r="O63" s="389"/>
      <c r="P63" s="389"/>
      <c r="Q63" s="389"/>
      <c r="R63" s="389"/>
      <c r="S63" s="389"/>
      <c r="T63" s="389"/>
      <c r="U63" s="389"/>
      <c r="V63" s="389"/>
      <c r="W63" s="389"/>
      <c r="X63" s="389"/>
      <c r="Y63" s="389"/>
      <c r="Z63" s="389"/>
      <c r="AA63" s="389"/>
      <c r="AB63" s="389"/>
      <c r="AC63" s="389"/>
      <c r="AD63" s="389"/>
      <c r="AE63" s="389"/>
      <c r="AF63" s="389"/>
      <c r="AG63" s="389"/>
    </row>
    <row r="64">
      <c r="A64" s="389"/>
      <c r="B64" s="400" t="s">
        <v>3029</v>
      </c>
      <c r="C64" s="389"/>
      <c r="D64" s="417" t="s">
        <v>3030</v>
      </c>
      <c r="E64" s="406" t="s">
        <v>3031</v>
      </c>
      <c r="F64" s="399" t="s">
        <v>2293</v>
      </c>
      <c r="G64" s="389"/>
      <c r="H64" s="400" t="s">
        <v>2333</v>
      </c>
      <c r="I64" s="400" t="s">
        <v>3037</v>
      </c>
      <c r="J64" s="389"/>
      <c r="K64" s="389"/>
      <c r="L64" s="389"/>
      <c r="M64" s="389"/>
      <c r="N64" s="389"/>
      <c r="O64" s="389"/>
      <c r="P64" s="389"/>
      <c r="Q64" s="389"/>
      <c r="R64" s="389"/>
      <c r="S64" s="389"/>
      <c r="T64" s="389"/>
      <c r="U64" s="389"/>
      <c r="V64" s="389"/>
      <c r="W64" s="389"/>
      <c r="X64" s="389"/>
      <c r="Y64" s="389"/>
      <c r="Z64" s="389"/>
      <c r="AA64" s="389"/>
      <c r="AB64" s="389"/>
      <c r="AC64" s="389"/>
      <c r="AD64" s="389"/>
      <c r="AE64" s="389"/>
      <c r="AF64" s="389"/>
      <c r="AG64" s="389"/>
    </row>
    <row r="65">
      <c r="A65" s="389"/>
      <c r="B65" s="439" t="s">
        <v>2634</v>
      </c>
      <c r="C65" s="389"/>
      <c r="D65" s="417" t="s">
        <v>2770</v>
      </c>
      <c r="E65" s="406" t="s">
        <v>2636</v>
      </c>
      <c r="F65" s="399" t="s">
        <v>2293</v>
      </c>
      <c r="G65" s="389"/>
      <c r="H65" s="389"/>
      <c r="I65" s="406" t="s">
        <v>2639</v>
      </c>
      <c r="J65" s="400" t="s">
        <v>158</v>
      </c>
      <c r="K65" s="389"/>
      <c r="L65" s="389"/>
      <c r="M65" s="389"/>
      <c r="N65" s="389"/>
      <c r="O65" s="389"/>
      <c r="P65" s="389"/>
      <c r="Q65" s="389"/>
      <c r="R65" s="389"/>
      <c r="S65" s="389"/>
      <c r="T65" s="389"/>
      <c r="U65" s="389"/>
      <c r="V65" s="389"/>
      <c r="W65" s="389"/>
      <c r="X65" s="389"/>
      <c r="Y65" s="389"/>
      <c r="Z65" s="389"/>
      <c r="AA65" s="389"/>
      <c r="AB65" s="389"/>
      <c r="AC65" s="389"/>
      <c r="AD65" s="389"/>
      <c r="AE65" s="389"/>
      <c r="AF65" s="389"/>
      <c r="AG65" s="389"/>
    </row>
    <row r="66">
      <c r="A66" s="389"/>
      <c r="B66" s="400" t="s">
        <v>3056</v>
      </c>
      <c r="C66" s="389"/>
      <c r="D66" s="417" t="s">
        <v>3058</v>
      </c>
      <c r="E66" s="406" t="s">
        <v>3059</v>
      </c>
      <c r="F66" s="399" t="s">
        <v>2293</v>
      </c>
      <c r="G66" s="389"/>
      <c r="H66" s="389"/>
      <c r="I66" s="451" t="s">
        <v>696</v>
      </c>
      <c r="J66" s="400" t="s">
        <v>32</v>
      </c>
      <c r="K66" s="389"/>
      <c r="L66" s="389"/>
      <c r="M66" s="389"/>
      <c r="N66" s="389"/>
      <c r="O66" s="389"/>
      <c r="P66" s="389"/>
      <c r="Q66" s="389"/>
      <c r="R66" s="389"/>
      <c r="S66" s="389"/>
      <c r="T66" s="389"/>
      <c r="U66" s="389"/>
      <c r="V66" s="389"/>
      <c r="W66" s="389"/>
      <c r="X66" s="389"/>
      <c r="Y66" s="389"/>
      <c r="Z66" s="389"/>
      <c r="AA66" s="389"/>
      <c r="AB66" s="389"/>
      <c r="AC66" s="389"/>
      <c r="AD66" s="389"/>
      <c r="AE66" s="389"/>
      <c r="AF66" s="389"/>
      <c r="AG66" s="389"/>
    </row>
    <row r="67">
      <c r="A67" s="389"/>
      <c r="B67" s="400" t="s">
        <v>3079</v>
      </c>
      <c r="C67" s="389"/>
      <c r="D67" s="395" t="s">
        <v>3081</v>
      </c>
      <c r="E67" s="406" t="s">
        <v>3083</v>
      </c>
      <c r="F67" s="392"/>
      <c r="G67" s="389"/>
      <c r="H67" s="389"/>
      <c r="I67" s="451" t="s">
        <v>1498</v>
      </c>
      <c r="J67" s="400" t="s">
        <v>32</v>
      </c>
      <c r="K67" s="389"/>
      <c r="L67" s="389"/>
      <c r="M67" s="389"/>
      <c r="N67" s="389"/>
      <c r="O67" s="389"/>
      <c r="P67" s="389"/>
      <c r="Q67" s="389"/>
      <c r="R67" s="389"/>
      <c r="S67" s="389"/>
      <c r="T67" s="389"/>
      <c r="U67" s="389"/>
      <c r="V67" s="389"/>
      <c r="W67" s="389"/>
      <c r="X67" s="389"/>
      <c r="Y67" s="389"/>
      <c r="Z67" s="389"/>
      <c r="AA67" s="389"/>
      <c r="AB67" s="389"/>
      <c r="AC67" s="389"/>
      <c r="AD67" s="389"/>
      <c r="AE67" s="389"/>
      <c r="AF67" s="389"/>
      <c r="AG67" s="389"/>
    </row>
    <row r="68">
      <c r="A68" s="388">
        <v>43335.0</v>
      </c>
      <c r="B68" s="389"/>
      <c r="C68" s="389"/>
      <c r="D68" s="390"/>
      <c r="E68" s="389"/>
      <c r="F68" s="392"/>
      <c r="G68" s="389"/>
      <c r="H68" s="389"/>
      <c r="I68" s="389"/>
      <c r="J68" s="389"/>
      <c r="K68" s="389"/>
      <c r="L68" s="389"/>
      <c r="M68" s="389"/>
      <c r="N68" s="389"/>
      <c r="O68" s="389"/>
      <c r="P68" s="389"/>
      <c r="Q68" s="389"/>
      <c r="R68" s="389"/>
      <c r="S68" s="389"/>
      <c r="T68" s="389"/>
      <c r="U68" s="389"/>
      <c r="V68" s="389"/>
      <c r="W68" s="389"/>
      <c r="X68" s="389"/>
      <c r="Y68" s="389"/>
      <c r="Z68" s="389"/>
      <c r="AA68" s="389"/>
      <c r="AB68" s="389"/>
      <c r="AC68" s="389"/>
      <c r="AD68" s="389"/>
      <c r="AE68" s="389"/>
      <c r="AF68" s="389"/>
      <c r="AG68" s="389"/>
    </row>
    <row r="69">
      <c r="A69" s="389"/>
      <c r="B69" s="408" t="s">
        <v>3105</v>
      </c>
      <c r="C69" s="389"/>
      <c r="D69" s="395" t="s">
        <v>3106</v>
      </c>
      <c r="E69" s="409" t="s">
        <v>3107</v>
      </c>
      <c r="F69" s="399" t="s">
        <v>2283</v>
      </c>
      <c r="G69" s="389"/>
      <c r="H69" s="400" t="s">
        <v>2284</v>
      </c>
      <c r="I69" s="411" t="s">
        <v>3113</v>
      </c>
      <c r="J69" s="400" t="s">
        <v>54</v>
      </c>
      <c r="K69" s="389"/>
      <c r="L69" s="389"/>
      <c r="M69" s="389"/>
      <c r="N69" s="389"/>
      <c r="O69" s="389"/>
      <c r="P69" s="389"/>
      <c r="Q69" s="389"/>
      <c r="R69" s="389"/>
      <c r="S69" s="389"/>
      <c r="T69" s="389"/>
      <c r="U69" s="389"/>
      <c r="V69" s="389"/>
      <c r="W69" s="389"/>
      <c r="X69" s="389"/>
      <c r="Y69" s="389"/>
      <c r="Z69" s="389"/>
      <c r="AA69" s="389"/>
      <c r="AB69" s="389"/>
      <c r="AC69" s="389"/>
      <c r="AD69" s="389"/>
      <c r="AE69" s="389"/>
      <c r="AF69" s="389"/>
      <c r="AG69" s="389"/>
    </row>
    <row r="70">
      <c r="A70" s="389"/>
      <c r="B70" s="426" t="s">
        <v>3114</v>
      </c>
      <c r="C70" s="389"/>
      <c r="D70" s="395" t="s">
        <v>3115</v>
      </c>
      <c r="E70" s="427" t="s">
        <v>3117</v>
      </c>
      <c r="F70" s="428" t="s">
        <v>2440</v>
      </c>
      <c r="G70" s="429"/>
      <c r="H70" s="430" t="s">
        <v>2284</v>
      </c>
      <c r="I70" s="400" t="s">
        <v>2974</v>
      </c>
      <c r="J70" s="389"/>
      <c r="K70" s="400" t="s">
        <v>2946</v>
      </c>
      <c r="L70" s="389"/>
      <c r="M70" s="389"/>
      <c r="N70" s="389"/>
      <c r="O70" s="389"/>
      <c r="P70" s="389"/>
      <c r="Q70" s="389"/>
      <c r="R70" s="389"/>
      <c r="S70" s="389"/>
      <c r="T70" s="389"/>
      <c r="U70" s="389"/>
      <c r="V70" s="389"/>
      <c r="W70" s="389"/>
      <c r="X70" s="389"/>
      <c r="Y70" s="389"/>
      <c r="Z70" s="389"/>
      <c r="AA70" s="389"/>
      <c r="AB70" s="389"/>
      <c r="AC70" s="389"/>
      <c r="AD70" s="389"/>
      <c r="AE70" s="389"/>
      <c r="AF70" s="389"/>
      <c r="AG70" s="389"/>
    </row>
    <row r="71">
      <c r="A71" s="389"/>
      <c r="B71" s="400" t="s">
        <v>3126</v>
      </c>
      <c r="C71" s="389"/>
      <c r="D71" s="417" t="s">
        <v>3128</v>
      </c>
      <c r="E71" s="406" t="s">
        <v>3130</v>
      </c>
      <c r="F71" s="399" t="s">
        <v>2293</v>
      </c>
      <c r="G71" s="389"/>
      <c r="H71" s="400" t="s">
        <v>2284</v>
      </c>
      <c r="I71" s="400" t="s">
        <v>2428</v>
      </c>
      <c r="J71" s="400" t="s">
        <v>54</v>
      </c>
      <c r="K71" s="389"/>
      <c r="L71" s="389"/>
      <c r="M71" s="389"/>
      <c r="N71" s="389"/>
      <c r="O71" s="389"/>
      <c r="P71" s="389"/>
      <c r="Q71" s="389"/>
      <c r="R71" s="389"/>
      <c r="S71" s="389"/>
      <c r="T71" s="389"/>
      <c r="U71" s="389"/>
      <c r="V71" s="389"/>
      <c r="W71" s="389"/>
      <c r="X71" s="389"/>
      <c r="Y71" s="389"/>
      <c r="Z71" s="389"/>
      <c r="AA71" s="389"/>
      <c r="AB71" s="389"/>
      <c r="AC71" s="389"/>
      <c r="AD71" s="389"/>
      <c r="AE71" s="389"/>
      <c r="AF71" s="389"/>
      <c r="AG71" s="389"/>
    </row>
    <row r="72">
      <c r="A72" s="389"/>
      <c r="B72" s="400" t="s">
        <v>3135</v>
      </c>
      <c r="C72" s="389"/>
      <c r="D72" s="395" t="s">
        <v>3136</v>
      </c>
      <c r="E72" s="406" t="s">
        <v>3138</v>
      </c>
      <c r="F72" s="399" t="s">
        <v>2293</v>
      </c>
      <c r="G72" s="389"/>
      <c r="H72" s="400" t="s">
        <v>2333</v>
      </c>
      <c r="I72" s="400" t="s">
        <v>3147</v>
      </c>
      <c r="J72" s="400" t="s">
        <v>900</v>
      </c>
      <c r="K72" s="389"/>
      <c r="L72" s="389"/>
      <c r="M72" s="389"/>
      <c r="N72" s="389"/>
      <c r="O72" s="389"/>
      <c r="P72" s="389"/>
      <c r="Q72" s="389"/>
      <c r="R72" s="389"/>
      <c r="S72" s="389"/>
      <c r="T72" s="389"/>
      <c r="U72" s="389"/>
      <c r="V72" s="389"/>
      <c r="W72" s="389"/>
      <c r="X72" s="389"/>
      <c r="Y72" s="389"/>
      <c r="Z72" s="389"/>
      <c r="AA72" s="389"/>
      <c r="AB72" s="389"/>
      <c r="AC72" s="389"/>
      <c r="AD72" s="389"/>
      <c r="AE72" s="389"/>
      <c r="AF72" s="389"/>
      <c r="AG72" s="389"/>
    </row>
    <row r="73">
      <c r="A73" s="389"/>
      <c r="B73" s="408" t="s">
        <v>3148</v>
      </c>
      <c r="C73" s="389"/>
      <c r="D73" s="423" t="s">
        <v>3149</v>
      </c>
      <c r="E73" s="409" t="s">
        <v>3151</v>
      </c>
      <c r="F73" s="392"/>
      <c r="G73" s="389"/>
      <c r="H73" s="400" t="s">
        <v>2284</v>
      </c>
      <c r="I73" s="400" t="s">
        <v>2949</v>
      </c>
      <c r="J73" s="400" t="s">
        <v>32</v>
      </c>
      <c r="K73" s="389"/>
      <c r="L73" s="389"/>
      <c r="M73" s="389"/>
      <c r="N73" s="389"/>
      <c r="O73" s="389"/>
      <c r="P73" s="389"/>
      <c r="Q73" s="389"/>
      <c r="R73" s="389"/>
      <c r="S73" s="389"/>
      <c r="T73" s="389"/>
      <c r="U73" s="389"/>
      <c r="V73" s="389"/>
      <c r="W73" s="389"/>
      <c r="X73" s="389"/>
      <c r="Y73" s="389"/>
      <c r="Z73" s="389"/>
      <c r="AA73" s="389"/>
      <c r="AB73" s="389"/>
      <c r="AC73" s="389"/>
      <c r="AD73" s="389"/>
      <c r="AE73" s="389"/>
      <c r="AF73" s="389"/>
      <c r="AG73" s="389"/>
    </row>
    <row r="74">
      <c r="A74" s="388">
        <v>43337.0</v>
      </c>
      <c r="B74" s="389"/>
      <c r="C74" s="389"/>
      <c r="D74" s="390"/>
      <c r="E74" s="389"/>
      <c r="F74" s="392"/>
      <c r="G74" s="389"/>
      <c r="H74" s="389"/>
      <c r="I74" s="389"/>
      <c r="J74" s="389"/>
      <c r="K74" s="389"/>
      <c r="L74" s="389"/>
      <c r="M74" s="389"/>
      <c r="N74" s="389"/>
      <c r="O74" s="389"/>
      <c r="P74" s="389"/>
      <c r="Q74" s="389"/>
      <c r="R74" s="389"/>
      <c r="S74" s="389"/>
      <c r="T74" s="389"/>
      <c r="U74" s="389"/>
      <c r="V74" s="389"/>
      <c r="W74" s="389"/>
      <c r="X74" s="389"/>
      <c r="Y74" s="389"/>
      <c r="Z74" s="389"/>
      <c r="AA74" s="389"/>
      <c r="AB74" s="389"/>
      <c r="AC74" s="389"/>
      <c r="AD74" s="389"/>
      <c r="AE74" s="389"/>
      <c r="AF74" s="389"/>
      <c r="AG74" s="389"/>
    </row>
    <row r="75">
      <c r="A75" s="389"/>
      <c r="B75" s="400" t="s">
        <v>2418</v>
      </c>
      <c r="C75" s="389"/>
      <c r="D75" s="395" t="s">
        <v>3157</v>
      </c>
      <c r="E75" s="406" t="s">
        <v>2420</v>
      </c>
      <c r="F75" s="399" t="s">
        <v>2293</v>
      </c>
      <c r="G75" s="389"/>
      <c r="H75" s="400" t="s">
        <v>2284</v>
      </c>
      <c r="I75" s="453" t="s">
        <v>3162</v>
      </c>
      <c r="J75" s="400" t="s">
        <v>54</v>
      </c>
      <c r="K75" s="389"/>
      <c r="L75" s="389"/>
      <c r="M75" s="389"/>
      <c r="N75" s="389"/>
      <c r="O75" s="389"/>
      <c r="P75" s="389"/>
      <c r="Q75" s="389"/>
      <c r="R75" s="389"/>
      <c r="S75" s="389"/>
      <c r="T75" s="389"/>
      <c r="U75" s="389"/>
      <c r="V75" s="389"/>
      <c r="W75" s="389"/>
      <c r="X75" s="389"/>
      <c r="Y75" s="389"/>
      <c r="Z75" s="389"/>
      <c r="AA75" s="389"/>
      <c r="AB75" s="389"/>
      <c r="AC75" s="389"/>
      <c r="AD75" s="389"/>
      <c r="AE75" s="389"/>
      <c r="AF75" s="389"/>
      <c r="AG75" s="389"/>
    </row>
    <row r="76">
      <c r="A76" s="389"/>
      <c r="B76" s="400" t="s">
        <v>2418</v>
      </c>
      <c r="C76" s="389"/>
      <c r="D76" s="395" t="s">
        <v>3163</v>
      </c>
      <c r="E76" s="406" t="s">
        <v>2420</v>
      </c>
      <c r="F76" s="399" t="s">
        <v>2717</v>
      </c>
      <c r="G76" s="400" t="s">
        <v>3168</v>
      </c>
      <c r="H76" s="400" t="s">
        <v>2284</v>
      </c>
      <c r="I76" s="455" t="s">
        <v>3169</v>
      </c>
      <c r="J76" s="400" t="s">
        <v>54</v>
      </c>
      <c r="K76" s="389"/>
      <c r="L76" s="389"/>
      <c r="M76" s="389"/>
      <c r="N76" s="389"/>
      <c r="O76" s="389"/>
      <c r="P76" s="389"/>
      <c r="Q76" s="389"/>
      <c r="R76" s="389"/>
      <c r="S76" s="389"/>
      <c r="T76" s="389"/>
      <c r="U76" s="389"/>
      <c r="V76" s="389"/>
      <c r="W76" s="389"/>
      <c r="X76" s="389"/>
      <c r="Y76" s="389"/>
      <c r="Z76" s="389"/>
      <c r="AA76" s="389"/>
      <c r="AB76" s="389"/>
      <c r="AC76" s="389"/>
      <c r="AD76" s="389"/>
      <c r="AE76" s="389"/>
      <c r="AF76" s="389"/>
      <c r="AG76" s="389"/>
    </row>
    <row r="77">
      <c r="A77" s="389"/>
      <c r="B77" s="393" t="s">
        <v>3173</v>
      </c>
      <c r="C77" s="389"/>
      <c r="D77" s="395" t="s">
        <v>3174</v>
      </c>
      <c r="E77" s="397" t="s">
        <v>3175</v>
      </c>
      <c r="F77" s="399" t="s">
        <v>2324</v>
      </c>
      <c r="G77" s="389"/>
      <c r="H77" s="400" t="s">
        <v>2284</v>
      </c>
      <c r="I77" s="393" t="s">
        <v>3178</v>
      </c>
      <c r="J77" s="400" t="s">
        <v>54</v>
      </c>
      <c r="K77" s="389"/>
      <c r="L77" s="389"/>
      <c r="M77" s="389"/>
      <c r="N77" s="389"/>
      <c r="O77" s="389"/>
      <c r="P77" s="389"/>
      <c r="Q77" s="389"/>
      <c r="R77" s="389"/>
      <c r="S77" s="389"/>
      <c r="T77" s="389"/>
      <c r="U77" s="389"/>
      <c r="V77" s="389"/>
      <c r="W77" s="389"/>
      <c r="X77" s="389"/>
      <c r="Y77" s="389"/>
      <c r="Z77" s="389"/>
      <c r="AA77" s="389"/>
      <c r="AB77" s="389"/>
      <c r="AC77" s="389"/>
      <c r="AD77" s="389"/>
      <c r="AE77" s="389"/>
      <c r="AF77" s="389"/>
      <c r="AG77" s="389"/>
    </row>
    <row r="78">
      <c r="A78" s="389"/>
      <c r="B78" s="439" t="s">
        <v>3181</v>
      </c>
      <c r="C78" s="389"/>
      <c r="D78" s="417" t="s">
        <v>3182</v>
      </c>
      <c r="E78" s="406" t="s">
        <v>3183</v>
      </c>
      <c r="F78" s="399" t="s">
        <v>2717</v>
      </c>
      <c r="G78" s="400" t="s">
        <v>1931</v>
      </c>
      <c r="H78" s="389"/>
      <c r="I78" s="389"/>
      <c r="J78" s="389"/>
      <c r="K78" s="389"/>
      <c r="L78" s="389"/>
      <c r="M78" s="389"/>
      <c r="N78" s="389"/>
      <c r="O78" s="389"/>
      <c r="P78" s="389"/>
      <c r="Q78" s="389"/>
      <c r="R78" s="389"/>
      <c r="S78" s="389"/>
      <c r="T78" s="389"/>
      <c r="U78" s="389"/>
      <c r="V78" s="389"/>
      <c r="W78" s="389"/>
      <c r="X78" s="389"/>
      <c r="Y78" s="389"/>
      <c r="Z78" s="389"/>
      <c r="AA78" s="389"/>
      <c r="AB78" s="389"/>
      <c r="AC78" s="389"/>
      <c r="AD78" s="389"/>
      <c r="AE78" s="389"/>
      <c r="AF78" s="389"/>
      <c r="AG78" s="389"/>
    </row>
    <row r="79">
      <c r="A79" s="389"/>
      <c r="B79" s="400" t="s">
        <v>3186</v>
      </c>
      <c r="C79" s="389"/>
      <c r="D79" s="395" t="s">
        <v>3187</v>
      </c>
      <c r="E79" s="406" t="s">
        <v>3188</v>
      </c>
      <c r="F79" s="399" t="s">
        <v>2293</v>
      </c>
      <c r="G79" s="389"/>
      <c r="H79" s="389"/>
      <c r="I79" s="406" t="s">
        <v>2639</v>
      </c>
      <c r="J79" s="400" t="s">
        <v>158</v>
      </c>
      <c r="K79" s="389"/>
      <c r="L79" s="389"/>
      <c r="M79" s="389"/>
      <c r="N79" s="389"/>
      <c r="O79" s="389"/>
      <c r="P79" s="389"/>
      <c r="Q79" s="389"/>
      <c r="R79" s="389"/>
      <c r="S79" s="389"/>
      <c r="T79" s="389"/>
      <c r="U79" s="389"/>
      <c r="V79" s="389"/>
      <c r="W79" s="389"/>
      <c r="X79" s="389"/>
      <c r="Y79" s="389"/>
      <c r="Z79" s="389"/>
      <c r="AA79" s="389"/>
      <c r="AB79" s="389"/>
      <c r="AC79" s="389"/>
      <c r="AD79" s="389"/>
      <c r="AE79" s="389"/>
      <c r="AF79" s="389"/>
      <c r="AG79" s="389"/>
    </row>
    <row r="80">
      <c r="A80" s="389"/>
      <c r="B80" s="400" t="s">
        <v>3202</v>
      </c>
      <c r="C80" s="389"/>
      <c r="D80" s="395" t="s">
        <v>3203</v>
      </c>
      <c r="E80" s="406" t="s">
        <v>3204</v>
      </c>
      <c r="F80" s="399" t="s">
        <v>2293</v>
      </c>
      <c r="G80" s="389"/>
      <c r="H80" s="400" t="s">
        <v>2342</v>
      </c>
      <c r="I80" s="400" t="s">
        <v>3208</v>
      </c>
      <c r="J80" s="400" t="s">
        <v>900</v>
      </c>
      <c r="K80" s="458" t="s">
        <v>3209</v>
      </c>
      <c r="L80" s="389"/>
      <c r="M80" s="389"/>
      <c r="N80" s="389"/>
      <c r="O80" s="389"/>
      <c r="P80" s="389"/>
      <c r="Q80" s="389"/>
      <c r="R80" s="389"/>
      <c r="S80" s="389"/>
      <c r="T80" s="389"/>
      <c r="U80" s="389"/>
      <c r="V80" s="389"/>
      <c r="W80" s="389"/>
      <c r="X80" s="389"/>
      <c r="Y80" s="389"/>
      <c r="Z80" s="389"/>
      <c r="AA80" s="389"/>
      <c r="AB80" s="389"/>
      <c r="AC80" s="389"/>
      <c r="AD80" s="389"/>
      <c r="AE80" s="389"/>
      <c r="AF80" s="389"/>
      <c r="AG80" s="389"/>
    </row>
    <row r="81">
      <c r="A81" s="389"/>
      <c r="B81" s="408" t="s">
        <v>2497</v>
      </c>
      <c r="C81" s="389"/>
      <c r="D81" s="395" t="s">
        <v>2498</v>
      </c>
      <c r="E81" s="409" t="s">
        <v>2499</v>
      </c>
      <c r="F81" s="399" t="s">
        <v>2283</v>
      </c>
      <c r="G81" s="389"/>
      <c r="H81" s="400" t="s">
        <v>2284</v>
      </c>
      <c r="I81" s="400" t="s">
        <v>3210</v>
      </c>
      <c r="J81" s="400" t="s">
        <v>32</v>
      </c>
      <c r="K81" s="389"/>
      <c r="L81" s="389"/>
      <c r="M81" s="389"/>
      <c r="N81" s="389"/>
      <c r="O81" s="389"/>
      <c r="P81" s="389"/>
      <c r="Q81" s="389"/>
      <c r="R81" s="389"/>
      <c r="S81" s="389"/>
      <c r="T81" s="389"/>
      <c r="U81" s="389"/>
      <c r="V81" s="389"/>
      <c r="W81" s="389"/>
      <c r="X81" s="389"/>
      <c r="Y81" s="389"/>
      <c r="Z81" s="389"/>
      <c r="AA81" s="389"/>
      <c r="AB81" s="389"/>
      <c r="AC81" s="389"/>
      <c r="AD81" s="389"/>
      <c r="AE81" s="389"/>
      <c r="AF81" s="389"/>
      <c r="AG81" s="389"/>
    </row>
    <row r="82">
      <c r="A82" s="389"/>
      <c r="B82" s="400" t="s">
        <v>3211</v>
      </c>
      <c r="C82" s="389"/>
      <c r="D82" s="423" t="s">
        <v>3212</v>
      </c>
      <c r="E82" s="406" t="s">
        <v>3213</v>
      </c>
      <c r="F82" s="399" t="s">
        <v>2293</v>
      </c>
      <c r="G82" s="389"/>
      <c r="H82" s="400" t="s">
        <v>2284</v>
      </c>
      <c r="I82" s="400" t="s">
        <v>3217</v>
      </c>
      <c r="J82" s="389"/>
      <c r="K82" s="400" t="s">
        <v>3218</v>
      </c>
      <c r="L82" s="389"/>
      <c r="M82" s="389"/>
      <c r="N82" s="389"/>
      <c r="O82" s="389"/>
      <c r="P82" s="389"/>
      <c r="Q82" s="389"/>
      <c r="R82" s="389"/>
      <c r="S82" s="389"/>
      <c r="T82" s="389"/>
      <c r="U82" s="389"/>
      <c r="V82" s="389"/>
      <c r="W82" s="389"/>
      <c r="X82" s="389"/>
      <c r="Y82" s="389"/>
      <c r="Z82" s="389"/>
      <c r="AA82" s="389"/>
      <c r="AB82" s="389"/>
      <c r="AC82" s="389"/>
      <c r="AD82" s="389"/>
      <c r="AE82" s="389"/>
      <c r="AF82" s="389"/>
      <c r="AG82" s="389"/>
    </row>
    <row r="83">
      <c r="A83" s="388">
        <v>43338.0</v>
      </c>
      <c r="B83" s="389"/>
      <c r="C83" s="389"/>
      <c r="D83" s="390"/>
      <c r="E83" s="389"/>
      <c r="F83" s="389"/>
      <c r="G83" s="389"/>
      <c r="H83" s="389"/>
      <c r="I83" s="389"/>
      <c r="J83" s="389"/>
      <c r="K83" s="389"/>
      <c r="L83" s="389"/>
      <c r="M83" s="389"/>
      <c r="N83" s="389"/>
      <c r="O83" s="389"/>
      <c r="P83" s="389"/>
      <c r="Q83" s="389"/>
      <c r="R83" s="389"/>
      <c r="S83" s="389"/>
      <c r="T83" s="389"/>
      <c r="U83" s="389"/>
      <c r="V83" s="389"/>
      <c r="W83" s="389"/>
      <c r="X83" s="389"/>
      <c r="Y83" s="389"/>
      <c r="Z83" s="389"/>
      <c r="AA83" s="389"/>
      <c r="AB83" s="389"/>
      <c r="AC83" s="389"/>
      <c r="AD83" s="389"/>
      <c r="AE83" s="389"/>
      <c r="AF83" s="389"/>
      <c r="AG83" s="389"/>
    </row>
    <row r="84">
      <c r="A84" s="389"/>
      <c r="B84" s="439" t="s">
        <v>3222</v>
      </c>
      <c r="C84" s="389"/>
      <c r="D84" s="395" t="s">
        <v>3223</v>
      </c>
      <c r="E84" s="406" t="s">
        <v>3224</v>
      </c>
      <c r="F84" s="399" t="s">
        <v>2717</v>
      </c>
      <c r="G84" s="400" t="s">
        <v>1931</v>
      </c>
      <c r="H84" s="389"/>
      <c r="I84" s="389"/>
      <c r="J84" s="389"/>
      <c r="K84" s="389"/>
      <c r="L84" s="389"/>
      <c r="M84" s="389"/>
      <c r="N84" s="389"/>
      <c r="O84" s="389"/>
      <c r="P84" s="389"/>
      <c r="Q84" s="389"/>
      <c r="R84" s="389"/>
      <c r="S84" s="389"/>
      <c r="T84" s="389"/>
      <c r="U84" s="389"/>
      <c r="V84" s="389"/>
      <c r="W84" s="389"/>
      <c r="X84" s="389"/>
      <c r="Y84" s="389"/>
      <c r="Z84" s="389"/>
      <c r="AA84" s="389"/>
      <c r="AB84" s="389"/>
      <c r="AC84" s="389"/>
      <c r="AD84" s="389"/>
      <c r="AE84" s="389"/>
      <c r="AF84" s="389"/>
      <c r="AG84" s="389"/>
    </row>
    <row r="85">
      <c r="A85" s="389"/>
      <c r="B85" s="400" t="s">
        <v>3232</v>
      </c>
      <c r="C85" s="389"/>
      <c r="D85" s="395" t="s">
        <v>3233</v>
      </c>
      <c r="E85" s="406" t="s">
        <v>3234</v>
      </c>
      <c r="F85" s="399" t="s">
        <v>2293</v>
      </c>
      <c r="G85" s="389"/>
      <c r="H85" s="400" t="s">
        <v>2284</v>
      </c>
      <c r="I85" s="400" t="s">
        <v>3239</v>
      </c>
      <c r="J85" s="400" t="s">
        <v>32</v>
      </c>
      <c r="K85" s="389"/>
      <c r="L85" s="389"/>
      <c r="M85" s="389"/>
      <c r="N85" s="389"/>
      <c r="O85" s="389"/>
      <c r="P85" s="389"/>
      <c r="Q85" s="389"/>
      <c r="R85" s="389"/>
      <c r="S85" s="389"/>
      <c r="T85" s="389"/>
      <c r="U85" s="389"/>
      <c r="V85" s="389"/>
      <c r="W85" s="389"/>
      <c r="X85" s="389"/>
      <c r="Y85" s="389"/>
      <c r="Z85" s="389"/>
      <c r="AA85" s="389"/>
      <c r="AB85" s="389"/>
      <c r="AC85" s="389"/>
      <c r="AD85" s="389"/>
      <c r="AE85" s="389"/>
      <c r="AF85" s="389"/>
      <c r="AG85" s="389"/>
    </row>
    <row r="86">
      <c r="A86" s="389"/>
      <c r="B86" s="408" t="s">
        <v>3240</v>
      </c>
      <c r="C86" s="389"/>
      <c r="D86" s="417" t="s">
        <v>3241</v>
      </c>
      <c r="E86" s="409" t="s">
        <v>3242</v>
      </c>
      <c r="F86" s="399" t="s">
        <v>2283</v>
      </c>
      <c r="G86" s="389"/>
      <c r="H86" s="389"/>
      <c r="I86" s="463" t="s">
        <v>3249</v>
      </c>
      <c r="J86" s="400" t="s">
        <v>32</v>
      </c>
      <c r="K86" s="389"/>
      <c r="L86" s="389"/>
      <c r="M86" s="389"/>
      <c r="N86" s="389"/>
      <c r="O86" s="389"/>
      <c r="P86" s="389"/>
      <c r="Q86" s="389"/>
      <c r="R86" s="389"/>
      <c r="S86" s="389"/>
      <c r="T86" s="389"/>
      <c r="U86" s="389"/>
      <c r="V86" s="389"/>
      <c r="W86" s="389"/>
      <c r="X86" s="389"/>
      <c r="Y86" s="389"/>
      <c r="Z86" s="389"/>
      <c r="AA86" s="389"/>
      <c r="AB86" s="389"/>
      <c r="AC86" s="389"/>
      <c r="AD86" s="389"/>
      <c r="AE86" s="389"/>
      <c r="AF86" s="389"/>
      <c r="AG86" s="389"/>
    </row>
    <row r="87">
      <c r="A87" s="389"/>
      <c r="B87" s="408" t="s">
        <v>3259</v>
      </c>
      <c r="C87" s="389"/>
      <c r="D87" s="417" t="s">
        <v>3260</v>
      </c>
      <c r="E87" s="409" t="s">
        <v>3261</v>
      </c>
      <c r="F87" s="399" t="s">
        <v>2283</v>
      </c>
      <c r="G87" s="389"/>
      <c r="H87" s="389"/>
      <c r="I87" s="400" t="s">
        <v>3263</v>
      </c>
      <c r="J87" s="400" t="s">
        <v>158</v>
      </c>
      <c r="K87" s="389"/>
      <c r="L87" s="389"/>
      <c r="M87" s="389"/>
      <c r="N87" s="389"/>
      <c r="O87" s="389"/>
      <c r="P87" s="389"/>
      <c r="Q87" s="389"/>
      <c r="R87" s="389"/>
      <c r="S87" s="389"/>
      <c r="T87" s="389"/>
      <c r="U87" s="389"/>
      <c r="V87" s="389"/>
      <c r="W87" s="389"/>
      <c r="X87" s="389"/>
      <c r="Y87" s="389"/>
      <c r="Z87" s="389"/>
      <c r="AA87" s="389"/>
      <c r="AB87" s="389"/>
      <c r="AC87" s="389"/>
      <c r="AD87" s="389"/>
      <c r="AE87" s="389"/>
      <c r="AF87" s="389"/>
      <c r="AG87" s="389"/>
    </row>
    <row r="88">
      <c r="A88" s="389"/>
      <c r="B88" s="408" t="s">
        <v>3264</v>
      </c>
      <c r="C88" s="389"/>
      <c r="D88" s="423" t="s">
        <v>3265</v>
      </c>
      <c r="E88" s="409" t="s">
        <v>3266</v>
      </c>
      <c r="F88" s="399" t="s">
        <v>2283</v>
      </c>
      <c r="G88" s="389"/>
      <c r="H88" s="400" t="s">
        <v>2333</v>
      </c>
      <c r="I88" s="400" t="s">
        <v>3267</v>
      </c>
      <c r="J88" s="389"/>
      <c r="K88" s="389"/>
      <c r="L88" s="389"/>
      <c r="M88" s="389"/>
      <c r="N88" s="389"/>
      <c r="O88" s="389"/>
      <c r="P88" s="389"/>
      <c r="Q88" s="389"/>
      <c r="R88" s="389"/>
      <c r="S88" s="389"/>
      <c r="T88" s="389"/>
      <c r="U88" s="389"/>
      <c r="V88" s="389"/>
      <c r="W88" s="389"/>
      <c r="X88" s="389"/>
      <c r="Y88" s="389"/>
      <c r="Z88" s="389"/>
      <c r="AA88" s="389"/>
      <c r="AB88" s="389"/>
      <c r="AC88" s="389"/>
      <c r="AD88" s="389"/>
      <c r="AE88" s="389"/>
      <c r="AF88" s="389"/>
      <c r="AG88" s="389"/>
    </row>
    <row r="89">
      <c r="A89" s="388">
        <v>43339.0</v>
      </c>
      <c r="B89" s="389"/>
      <c r="C89" s="389"/>
      <c r="D89" s="390"/>
      <c r="E89" s="389"/>
      <c r="F89" s="392"/>
      <c r="G89" s="389"/>
      <c r="H89" s="389"/>
      <c r="I89" s="389"/>
      <c r="J89" s="389"/>
      <c r="K89" s="389"/>
      <c r="L89" s="389"/>
      <c r="M89" s="389"/>
      <c r="N89" s="389"/>
      <c r="O89" s="389"/>
      <c r="P89" s="389"/>
      <c r="Q89" s="389"/>
      <c r="R89" s="389"/>
      <c r="S89" s="389"/>
      <c r="T89" s="389"/>
      <c r="U89" s="389"/>
      <c r="V89" s="389"/>
      <c r="W89" s="389"/>
      <c r="X89" s="389"/>
      <c r="Y89" s="389"/>
      <c r="Z89" s="389"/>
      <c r="AA89" s="389"/>
      <c r="AB89" s="389"/>
      <c r="AC89" s="389"/>
      <c r="AD89" s="389"/>
      <c r="AE89" s="389"/>
      <c r="AF89" s="389"/>
      <c r="AG89" s="389"/>
    </row>
    <row r="90">
      <c r="A90" s="389"/>
      <c r="B90" s="408" t="s">
        <v>3268</v>
      </c>
      <c r="C90" s="389"/>
      <c r="D90" s="395" t="s">
        <v>3269</v>
      </c>
      <c r="E90" s="409" t="s">
        <v>3270</v>
      </c>
      <c r="F90" s="399" t="s">
        <v>2283</v>
      </c>
      <c r="G90" s="389"/>
      <c r="H90" s="400" t="s">
        <v>2284</v>
      </c>
      <c r="I90" s="411" t="s">
        <v>2623</v>
      </c>
      <c r="J90" s="400" t="s">
        <v>54</v>
      </c>
      <c r="K90" s="389"/>
      <c r="L90" s="389"/>
      <c r="M90" s="389"/>
      <c r="N90" s="389"/>
      <c r="O90" s="389"/>
      <c r="P90" s="389"/>
      <c r="Q90" s="389"/>
      <c r="R90" s="389"/>
      <c r="S90" s="389"/>
      <c r="T90" s="389"/>
      <c r="U90" s="389"/>
      <c r="V90" s="389"/>
      <c r="W90" s="389"/>
      <c r="X90" s="389"/>
      <c r="Y90" s="389"/>
      <c r="Z90" s="389"/>
      <c r="AA90" s="389"/>
      <c r="AB90" s="389"/>
      <c r="AC90" s="389"/>
      <c r="AD90" s="389"/>
      <c r="AE90" s="389"/>
      <c r="AF90" s="389"/>
      <c r="AG90" s="389"/>
    </row>
    <row r="91">
      <c r="A91" s="389"/>
      <c r="B91" s="464" t="s">
        <v>3271</v>
      </c>
      <c r="C91" s="389"/>
      <c r="D91" s="417" t="s">
        <v>3272</v>
      </c>
      <c r="E91" s="409" t="s">
        <v>3273</v>
      </c>
      <c r="F91" s="399" t="s">
        <v>2283</v>
      </c>
      <c r="G91" s="389"/>
      <c r="H91" s="389"/>
      <c r="I91" s="400" t="s">
        <v>3199</v>
      </c>
      <c r="J91" s="400" t="s">
        <v>84</v>
      </c>
      <c r="K91" s="389"/>
      <c r="L91" s="389"/>
      <c r="M91" s="389"/>
      <c r="N91" s="389"/>
      <c r="O91" s="389"/>
      <c r="P91" s="389"/>
      <c r="Q91" s="389"/>
      <c r="R91" s="389"/>
      <c r="S91" s="389"/>
      <c r="T91" s="389"/>
      <c r="U91" s="389"/>
      <c r="V91" s="389"/>
      <c r="W91" s="389"/>
      <c r="X91" s="389"/>
      <c r="Y91" s="389"/>
      <c r="Z91" s="389"/>
      <c r="AA91" s="389"/>
      <c r="AB91" s="389"/>
      <c r="AC91" s="389"/>
      <c r="AD91" s="389"/>
      <c r="AE91" s="389"/>
      <c r="AF91" s="389"/>
      <c r="AG91" s="389"/>
    </row>
    <row r="92">
      <c r="A92" s="389"/>
      <c r="B92" s="408" t="s">
        <v>3006</v>
      </c>
      <c r="C92" s="389"/>
      <c r="D92" s="395" t="s">
        <v>3007</v>
      </c>
      <c r="E92" s="409" t="s">
        <v>3008</v>
      </c>
      <c r="F92" s="399" t="s">
        <v>2283</v>
      </c>
      <c r="G92" s="389"/>
      <c r="H92" s="400" t="s">
        <v>2284</v>
      </c>
      <c r="I92" s="447" t="s">
        <v>2704</v>
      </c>
      <c r="J92" s="400" t="s">
        <v>54</v>
      </c>
      <c r="K92" s="389"/>
      <c r="L92" s="389"/>
      <c r="M92" s="389"/>
      <c r="N92" s="389"/>
      <c r="O92" s="389"/>
      <c r="P92" s="389"/>
      <c r="Q92" s="389"/>
      <c r="R92" s="389"/>
      <c r="S92" s="389"/>
      <c r="T92" s="389"/>
      <c r="U92" s="389"/>
      <c r="V92" s="389"/>
      <c r="W92" s="389"/>
      <c r="X92" s="389"/>
      <c r="Y92" s="389"/>
      <c r="Z92" s="389"/>
      <c r="AA92" s="389"/>
      <c r="AB92" s="389"/>
      <c r="AC92" s="389"/>
      <c r="AD92" s="389"/>
      <c r="AE92" s="389"/>
      <c r="AF92" s="389"/>
      <c r="AG92" s="389"/>
    </row>
    <row r="93">
      <c r="A93" s="389"/>
      <c r="B93" s="408" t="s">
        <v>3278</v>
      </c>
      <c r="C93" s="389"/>
      <c r="D93" s="395" t="s">
        <v>3280</v>
      </c>
      <c r="E93" s="409" t="s">
        <v>3282</v>
      </c>
      <c r="F93" s="399" t="s">
        <v>2283</v>
      </c>
      <c r="G93" s="389"/>
      <c r="H93" s="400" t="s">
        <v>2284</v>
      </c>
      <c r="I93" s="463" t="s">
        <v>3198</v>
      </c>
      <c r="J93" s="400" t="s">
        <v>158</v>
      </c>
      <c r="K93" s="389"/>
      <c r="L93" s="389"/>
      <c r="M93" s="389"/>
      <c r="N93" s="389"/>
      <c r="O93" s="389"/>
      <c r="P93" s="389"/>
      <c r="Q93" s="389"/>
      <c r="R93" s="389"/>
      <c r="S93" s="389"/>
      <c r="T93" s="389"/>
      <c r="U93" s="389"/>
      <c r="V93" s="389"/>
      <c r="W93" s="389"/>
      <c r="X93" s="389"/>
      <c r="Y93" s="389"/>
      <c r="Z93" s="389"/>
      <c r="AA93" s="389"/>
      <c r="AB93" s="389"/>
      <c r="AC93" s="389"/>
      <c r="AD93" s="389"/>
      <c r="AE93" s="389"/>
      <c r="AF93" s="389"/>
      <c r="AG93" s="389"/>
    </row>
    <row r="94">
      <c r="A94" s="388">
        <v>43340.0</v>
      </c>
      <c r="B94" s="389"/>
      <c r="C94" s="389"/>
      <c r="D94" s="390"/>
      <c r="E94" s="389"/>
      <c r="F94" s="392"/>
      <c r="G94" s="389"/>
      <c r="H94" s="389"/>
      <c r="I94" s="389"/>
      <c r="J94" s="389"/>
      <c r="K94" s="389"/>
      <c r="L94" s="389"/>
      <c r="M94" s="389"/>
      <c r="N94" s="389"/>
      <c r="O94" s="389"/>
      <c r="P94" s="389"/>
      <c r="Q94" s="389"/>
      <c r="R94" s="389"/>
      <c r="S94" s="389"/>
      <c r="T94" s="389"/>
      <c r="U94" s="389"/>
      <c r="V94" s="389"/>
      <c r="W94" s="389"/>
      <c r="X94" s="389"/>
      <c r="Y94" s="389"/>
      <c r="Z94" s="389"/>
      <c r="AA94" s="389"/>
      <c r="AB94" s="389"/>
      <c r="AC94" s="389"/>
      <c r="AD94" s="389"/>
      <c r="AE94" s="389"/>
      <c r="AF94" s="389"/>
      <c r="AG94" s="389"/>
    </row>
    <row r="95">
      <c r="A95" s="389"/>
      <c r="B95" s="426" t="s">
        <v>3285</v>
      </c>
      <c r="C95" s="389"/>
      <c r="D95" s="395" t="s">
        <v>3286</v>
      </c>
      <c r="E95" s="427" t="s">
        <v>3287</v>
      </c>
      <c r="F95" s="399" t="s">
        <v>2440</v>
      </c>
      <c r="G95" s="389"/>
      <c r="H95" s="400" t="s">
        <v>2284</v>
      </c>
      <c r="I95" s="400" t="s">
        <v>2628</v>
      </c>
      <c r="J95" s="389"/>
      <c r="K95" s="389"/>
      <c r="L95" s="389"/>
      <c r="M95" s="389"/>
      <c r="N95" s="389"/>
      <c r="O95" s="389"/>
      <c r="P95" s="389"/>
      <c r="Q95" s="389"/>
      <c r="R95" s="389"/>
      <c r="S95" s="389"/>
      <c r="T95" s="389"/>
      <c r="U95" s="389"/>
      <c r="V95" s="389"/>
      <c r="W95" s="389"/>
      <c r="X95" s="389"/>
      <c r="Y95" s="389"/>
      <c r="Z95" s="389"/>
      <c r="AA95" s="389"/>
      <c r="AB95" s="389"/>
      <c r="AC95" s="389"/>
      <c r="AD95" s="389"/>
      <c r="AE95" s="389"/>
      <c r="AF95" s="389"/>
      <c r="AG95" s="389"/>
    </row>
    <row r="96">
      <c r="A96" s="388">
        <v>43341.0</v>
      </c>
      <c r="B96" s="389"/>
      <c r="C96" s="389"/>
      <c r="D96" s="390"/>
      <c r="E96" s="389"/>
      <c r="F96" s="392"/>
      <c r="G96" s="389"/>
      <c r="H96" s="389"/>
      <c r="I96" s="389"/>
      <c r="J96" s="389"/>
      <c r="K96" s="389"/>
      <c r="L96" s="389"/>
      <c r="M96" s="389"/>
      <c r="N96" s="389"/>
      <c r="O96" s="389"/>
      <c r="P96" s="389"/>
      <c r="Q96" s="389"/>
      <c r="R96" s="389"/>
      <c r="S96" s="389"/>
      <c r="T96" s="389"/>
      <c r="U96" s="389"/>
      <c r="V96" s="389"/>
      <c r="W96" s="389"/>
      <c r="X96" s="389"/>
      <c r="Y96" s="389"/>
      <c r="Z96" s="389"/>
      <c r="AA96" s="389"/>
      <c r="AB96" s="389"/>
      <c r="AC96" s="389"/>
      <c r="AD96" s="389"/>
      <c r="AE96" s="389"/>
      <c r="AF96" s="389"/>
      <c r="AG96" s="389"/>
    </row>
    <row r="97">
      <c r="A97" s="389"/>
      <c r="B97" s="394" t="s">
        <v>3288</v>
      </c>
      <c r="C97" s="389"/>
      <c r="D97" s="417" t="s">
        <v>3289</v>
      </c>
      <c r="E97" s="398" t="s">
        <v>3290</v>
      </c>
      <c r="F97" s="399" t="s">
        <v>2283</v>
      </c>
      <c r="G97" s="389"/>
      <c r="H97" s="400" t="s">
        <v>2284</v>
      </c>
      <c r="I97" s="240" t="s">
        <v>2704</v>
      </c>
      <c r="J97" s="400" t="s">
        <v>54</v>
      </c>
      <c r="K97" s="389"/>
      <c r="L97" s="389"/>
      <c r="M97" s="389"/>
      <c r="N97" s="389"/>
      <c r="O97" s="389"/>
      <c r="P97" s="389"/>
      <c r="Q97" s="389"/>
      <c r="R97" s="389"/>
      <c r="S97" s="389"/>
      <c r="T97" s="389"/>
      <c r="U97" s="389"/>
      <c r="V97" s="389"/>
      <c r="W97" s="389"/>
      <c r="X97" s="389"/>
      <c r="Y97" s="389"/>
      <c r="Z97" s="389"/>
      <c r="AA97" s="389"/>
      <c r="AB97" s="389"/>
      <c r="AC97" s="389"/>
      <c r="AD97" s="389"/>
      <c r="AE97" s="389"/>
      <c r="AF97" s="389"/>
      <c r="AG97" s="389"/>
    </row>
    <row r="98">
      <c r="A98" s="389"/>
      <c r="B98" s="394" t="s">
        <v>2105</v>
      </c>
      <c r="C98" s="389"/>
      <c r="D98" s="423" t="s">
        <v>3291</v>
      </c>
      <c r="E98" s="398" t="s">
        <v>3292</v>
      </c>
      <c r="F98" s="399" t="s">
        <v>2283</v>
      </c>
      <c r="G98" s="389"/>
      <c r="H98" s="400" t="s">
        <v>2284</v>
      </c>
      <c r="I98" s="400" t="s">
        <v>599</v>
      </c>
      <c r="J98" s="389"/>
      <c r="K98" s="389"/>
      <c r="L98" s="389"/>
      <c r="M98" s="389"/>
      <c r="N98" s="389"/>
      <c r="O98" s="389"/>
      <c r="P98" s="389"/>
      <c r="Q98" s="389"/>
      <c r="R98" s="389"/>
      <c r="S98" s="389"/>
      <c r="T98" s="389"/>
      <c r="U98" s="389"/>
      <c r="V98" s="389"/>
      <c r="W98" s="389"/>
      <c r="X98" s="389"/>
      <c r="Y98" s="389"/>
      <c r="Z98" s="389"/>
      <c r="AA98" s="389"/>
      <c r="AB98" s="389"/>
      <c r="AC98" s="389"/>
      <c r="AD98" s="389"/>
      <c r="AE98" s="389"/>
      <c r="AF98" s="389"/>
      <c r="AG98" s="389"/>
    </row>
    <row r="99">
      <c r="A99" s="389"/>
      <c r="B99" s="394"/>
      <c r="C99" s="389"/>
      <c r="D99" s="390"/>
      <c r="E99" s="389"/>
      <c r="F99" s="392"/>
      <c r="G99" s="389"/>
      <c r="H99" s="389"/>
      <c r="I99" s="389"/>
      <c r="J99" s="389"/>
      <c r="K99" s="389"/>
      <c r="L99" s="389"/>
      <c r="M99" s="389"/>
      <c r="N99" s="389"/>
      <c r="O99" s="389"/>
      <c r="P99" s="389"/>
      <c r="Q99" s="389"/>
      <c r="R99" s="389"/>
      <c r="S99" s="389"/>
      <c r="T99" s="389"/>
      <c r="U99" s="389"/>
      <c r="V99" s="389"/>
      <c r="W99" s="389"/>
      <c r="X99" s="389"/>
      <c r="Y99" s="389"/>
      <c r="Z99" s="389"/>
      <c r="AA99" s="389"/>
      <c r="AB99" s="389"/>
      <c r="AC99" s="389"/>
      <c r="AD99" s="389"/>
      <c r="AE99" s="389"/>
      <c r="AF99" s="389"/>
      <c r="AG99" s="389"/>
    </row>
    <row r="100">
      <c r="A100" s="389"/>
      <c r="B100" s="389"/>
      <c r="C100" s="389"/>
      <c r="D100" s="390"/>
      <c r="E100" s="389"/>
      <c r="F100" s="392"/>
      <c r="G100" s="389"/>
      <c r="H100" s="389"/>
      <c r="I100" s="389"/>
      <c r="J100" s="389"/>
      <c r="K100" s="389"/>
      <c r="L100" s="389"/>
      <c r="M100" s="389"/>
      <c r="N100" s="389"/>
      <c r="O100" s="389"/>
      <c r="P100" s="389"/>
      <c r="Q100" s="389"/>
      <c r="R100" s="389"/>
      <c r="S100" s="389"/>
      <c r="T100" s="389"/>
      <c r="U100" s="389"/>
      <c r="V100" s="389"/>
      <c r="W100" s="389"/>
      <c r="X100" s="389"/>
      <c r="Y100" s="389"/>
      <c r="Z100" s="389"/>
      <c r="AA100" s="389"/>
      <c r="AB100" s="389"/>
      <c r="AC100" s="389"/>
      <c r="AD100" s="389"/>
      <c r="AE100" s="389"/>
      <c r="AF100" s="389"/>
      <c r="AG100" s="389"/>
    </row>
    <row r="101">
      <c r="A101" s="389"/>
      <c r="B101" s="389"/>
      <c r="C101" s="389"/>
      <c r="D101" s="390"/>
      <c r="E101" s="389"/>
      <c r="F101" s="392"/>
      <c r="G101" s="389"/>
      <c r="H101" s="389"/>
      <c r="I101" s="389"/>
      <c r="J101" s="389"/>
      <c r="K101" s="389"/>
      <c r="L101" s="389"/>
      <c r="M101" s="389"/>
      <c r="N101" s="389"/>
      <c r="O101" s="389"/>
      <c r="P101" s="389"/>
      <c r="Q101" s="389"/>
      <c r="R101" s="389"/>
      <c r="S101" s="389"/>
      <c r="T101" s="389"/>
      <c r="U101" s="389"/>
      <c r="V101" s="389"/>
      <c r="W101" s="389"/>
      <c r="X101" s="389"/>
      <c r="Y101" s="389"/>
      <c r="Z101" s="389"/>
      <c r="AA101" s="389"/>
      <c r="AB101" s="389"/>
      <c r="AC101" s="389"/>
      <c r="AD101" s="389"/>
      <c r="AE101" s="389"/>
      <c r="AF101" s="389"/>
      <c r="AG101" s="389"/>
    </row>
    <row r="102">
      <c r="A102" s="389"/>
      <c r="B102" s="389"/>
      <c r="C102" s="389"/>
      <c r="D102" s="390"/>
      <c r="E102" s="389"/>
      <c r="F102" s="392"/>
      <c r="G102" s="389"/>
      <c r="H102" s="389"/>
      <c r="I102" s="389"/>
      <c r="J102" s="389"/>
      <c r="K102" s="389"/>
      <c r="L102" s="389"/>
      <c r="M102" s="389"/>
      <c r="N102" s="389"/>
      <c r="O102" s="389"/>
      <c r="P102" s="389"/>
      <c r="Q102" s="389"/>
      <c r="R102" s="389"/>
      <c r="S102" s="389"/>
      <c r="T102" s="389"/>
      <c r="U102" s="389"/>
      <c r="V102" s="389"/>
      <c r="W102" s="389"/>
      <c r="X102" s="389"/>
      <c r="Y102" s="389"/>
      <c r="Z102" s="389"/>
      <c r="AA102" s="389"/>
      <c r="AB102" s="389"/>
      <c r="AC102" s="389"/>
      <c r="AD102" s="389"/>
      <c r="AE102" s="389"/>
      <c r="AF102" s="389"/>
      <c r="AG102" s="389"/>
    </row>
    <row r="103">
      <c r="A103" s="389"/>
      <c r="B103" s="389"/>
      <c r="C103" s="389"/>
      <c r="D103" s="390"/>
      <c r="E103" s="389"/>
      <c r="F103" s="392"/>
      <c r="G103" s="389"/>
      <c r="H103" s="389"/>
      <c r="I103" s="389"/>
      <c r="J103" s="389"/>
      <c r="K103" s="389"/>
      <c r="L103" s="389"/>
      <c r="M103" s="389"/>
      <c r="N103" s="389"/>
      <c r="O103" s="389"/>
      <c r="P103" s="389"/>
      <c r="Q103" s="389"/>
      <c r="R103" s="389"/>
      <c r="S103" s="389"/>
      <c r="T103" s="389"/>
      <c r="U103" s="389"/>
      <c r="V103" s="389"/>
      <c r="W103" s="389"/>
      <c r="X103" s="389"/>
      <c r="Y103" s="389"/>
      <c r="Z103" s="389"/>
      <c r="AA103" s="389"/>
      <c r="AB103" s="389"/>
      <c r="AC103" s="389"/>
      <c r="AD103" s="389"/>
      <c r="AE103" s="389"/>
      <c r="AF103" s="389"/>
      <c r="AG103" s="389"/>
    </row>
    <row r="104">
      <c r="A104" s="389"/>
      <c r="B104" s="389"/>
      <c r="C104" s="389"/>
      <c r="D104" s="390"/>
      <c r="E104" s="389"/>
      <c r="F104" s="392"/>
      <c r="G104" s="389"/>
      <c r="H104" s="389"/>
      <c r="I104" s="389"/>
      <c r="J104" s="389"/>
      <c r="K104" s="389"/>
      <c r="L104" s="389"/>
      <c r="M104" s="389"/>
      <c r="N104" s="389"/>
      <c r="O104" s="389"/>
      <c r="P104" s="389"/>
      <c r="Q104" s="389"/>
      <c r="R104" s="389"/>
      <c r="S104" s="389"/>
      <c r="T104" s="389"/>
      <c r="U104" s="389"/>
      <c r="V104" s="389"/>
      <c r="W104" s="389"/>
      <c r="X104" s="389"/>
      <c r="Y104" s="389"/>
      <c r="Z104" s="389"/>
      <c r="AA104" s="389"/>
      <c r="AB104" s="389"/>
      <c r="AC104" s="389"/>
      <c r="AD104" s="389"/>
      <c r="AE104" s="389"/>
      <c r="AF104" s="389"/>
      <c r="AG104" s="389"/>
    </row>
    <row r="105">
      <c r="A105" s="389"/>
      <c r="B105" s="389"/>
      <c r="C105" s="389"/>
      <c r="D105" s="390"/>
      <c r="E105" s="389"/>
      <c r="F105" s="392"/>
      <c r="G105" s="389"/>
      <c r="H105" s="389"/>
      <c r="I105" s="389"/>
      <c r="J105" s="389"/>
      <c r="K105" s="389"/>
      <c r="L105" s="389"/>
      <c r="M105" s="389"/>
      <c r="N105" s="389"/>
      <c r="O105" s="389"/>
      <c r="P105" s="389"/>
      <c r="Q105" s="389"/>
      <c r="R105" s="389"/>
      <c r="S105" s="389"/>
      <c r="T105" s="389"/>
      <c r="U105" s="389"/>
      <c r="V105" s="389"/>
      <c r="W105" s="389"/>
      <c r="X105" s="389"/>
      <c r="Y105" s="389"/>
      <c r="Z105" s="389"/>
      <c r="AA105" s="389"/>
      <c r="AB105" s="389"/>
      <c r="AC105" s="389"/>
      <c r="AD105" s="389"/>
      <c r="AE105" s="389"/>
      <c r="AF105" s="389"/>
      <c r="AG105" s="389"/>
    </row>
    <row r="106">
      <c r="A106" s="389"/>
      <c r="B106" s="389"/>
      <c r="C106" s="389"/>
      <c r="D106" s="390"/>
      <c r="E106" s="389"/>
      <c r="F106" s="392"/>
      <c r="G106" s="389"/>
      <c r="H106" s="389"/>
      <c r="I106" s="389"/>
      <c r="J106" s="389"/>
      <c r="K106" s="389"/>
      <c r="L106" s="389"/>
      <c r="M106" s="389"/>
      <c r="N106" s="389"/>
      <c r="O106" s="389"/>
      <c r="P106" s="389"/>
      <c r="Q106" s="389"/>
      <c r="R106" s="389"/>
      <c r="S106" s="389"/>
      <c r="T106" s="389"/>
      <c r="U106" s="389"/>
      <c r="V106" s="389"/>
      <c r="W106" s="389"/>
      <c r="X106" s="389"/>
      <c r="Y106" s="389"/>
      <c r="Z106" s="389"/>
      <c r="AA106" s="389"/>
      <c r="AB106" s="389"/>
      <c r="AC106" s="389"/>
      <c r="AD106" s="389"/>
      <c r="AE106" s="389"/>
      <c r="AF106" s="389"/>
      <c r="AG106" s="389"/>
    </row>
    <row r="107">
      <c r="A107" s="389"/>
      <c r="B107" s="389"/>
      <c r="C107" s="389"/>
      <c r="D107" s="390"/>
      <c r="E107" s="389"/>
      <c r="F107" s="392"/>
      <c r="G107" s="389"/>
      <c r="H107" s="389"/>
      <c r="I107" s="389"/>
      <c r="J107" s="389"/>
      <c r="K107" s="389"/>
      <c r="L107" s="389"/>
      <c r="M107" s="389"/>
      <c r="N107" s="389"/>
      <c r="O107" s="389"/>
      <c r="P107" s="389"/>
      <c r="Q107" s="389"/>
      <c r="R107" s="389"/>
      <c r="S107" s="389"/>
      <c r="T107" s="389"/>
      <c r="U107" s="389"/>
      <c r="V107" s="389"/>
      <c r="W107" s="389"/>
      <c r="X107" s="389"/>
      <c r="Y107" s="389"/>
      <c r="Z107" s="389"/>
      <c r="AA107" s="389"/>
      <c r="AB107" s="389"/>
      <c r="AC107" s="389"/>
      <c r="AD107" s="389"/>
      <c r="AE107" s="389"/>
      <c r="AF107" s="389"/>
      <c r="AG107" s="389"/>
    </row>
    <row r="108">
      <c r="A108" s="389"/>
      <c r="B108" s="389"/>
      <c r="C108" s="389"/>
      <c r="D108" s="390"/>
      <c r="E108" s="389"/>
      <c r="F108" s="392"/>
      <c r="G108" s="389"/>
      <c r="H108" s="389"/>
      <c r="I108" s="389"/>
      <c r="J108" s="389"/>
      <c r="K108" s="389"/>
      <c r="L108" s="389"/>
      <c r="M108" s="389"/>
      <c r="N108" s="389"/>
      <c r="O108" s="389"/>
      <c r="P108" s="389"/>
      <c r="Q108" s="389"/>
      <c r="R108" s="389"/>
      <c r="S108" s="389"/>
      <c r="T108" s="389"/>
      <c r="U108" s="389"/>
      <c r="V108" s="389"/>
      <c r="W108" s="389"/>
      <c r="X108" s="389"/>
      <c r="Y108" s="389"/>
      <c r="Z108" s="389"/>
      <c r="AA108" s="389"/>
      <c r="AB108" s="389"/>
      <c r="AC108" s="389"/>
      <c r="AD108" s="389"/>
      <c r="AE108" s="389"/>
      <c r="AF108" s="389"/>
      <c r="AG108" s="389"/>
    </row>
    <row r="109">
      <c r="A109" s="389"/>
      <c r="B109" s="389"/>
      <c r="C109" s="389"/>
      <c r="D109" s="390"/>
      <c r="E109" s="389"/>
      <c r="F109" s="392"/>
      <c r="G109" s="389"/>
      <c r="H109" s="389"/>
      <c r="I109" s="389"/>
      <c r="J109" s="389"/>
      <c r="K109" s="389"/>
      <c r="L109" s="389"/>
      <c r="M109" s="389"/>
      <c r="N109" s="389"/>
      <c r="O109" s="389"/>
      <c r="P109" s="389"/>
      <c r="Q109" s="389"/>
      <c r="R109" s="389"/>
      <c r="S109" s="389"/>
      <c r="T109" s="389"/>
      <c r="U109" s="389"/>
      <c r="V109" s="389"/>
      <c r="W109" s="389"/>
      <c r="X109" s="389"/>
      <c r="Y109" s="389"/>
      <c r="Z109" s="389"/>
      <c r="AA109" s="389"/>
      <c r="AB109" s="389"/>
      <c r="AC109" s="389"/>
      <c r="AD109" s="389"/>
      <c r="AE109" s="389"/>
      <c r="AF109" s="389"/>
      <c r="AG109" s="389"/>
    </row>
    <row r="110">
      <c r="A110" s="389"/>
      <c r="B110" s="389"/>
      <c r="C110" s="389"/>
      <c r="D110" s="390"/>
      <c r="E110" s="389"/>
      <c r="F110" s="392"/>
      <c r="G110" s="389"/>
      <c r="H110" s="389"/>
      <c r="I110" s="389"/>
      <c r="J110" s="389"/>
      <c r="K110" s="389"/>
      <c r="L110" s="389"/>
      <c r="M110" s="389"/>
      <c r="N110" s="389"/>
      <c r="O110" s="389"/>
      <c r="P110" s="389"/>
      <c r="Q110" s="389"/>
      <c r="R110" s="389"/>
      <c r="S110" s="389"/>
      <c r="T110" s="389"/>
      <c r="U110" s="389"/>
      <c r="V110" s="389"/>
      <c r="W110" s="389"/>
      <c r="X110" s="389"/>
      <c r="Y110" s="389"/>
      <c r="Z110" s="389"/>
      <c r="AA110" s="389"/>
      <c r="AB110" s="389"/>
      <c r="AC110" s="389"/>
      <c r="AD110" s="389"/>
      <c r="AE110" s="389"/>
      <c r="AF110" s="389"/>
      <c r="AG110" s="389"/>
    </row>
    <row r="111">
      <c r="A111" s="389"/>
      <c r="B111" s="389"/>
      <c r="C111" s="389"/>
      <c r="D111" s="390"/>
      <c r="E111" s="389"/>
      <c r="F111" s="392"/>
      <c r="G111" s="389"/>
      <c r="H111" s="389"/>
      <c r="I111" s="389"/>
      <c r="J111" s="389"/>
      <c r="K111" s="389"/>
      <c r="L111" s="389"/>
      <c r="M111" s="389"/>
      <c r="N111" s="389"/>
      <c r="O111" s="389"/>
      <c r="P111" s="389"/>
      <c r="Q111" s="389"/>
      <c r="R111" s="389"/>
      <c r="S111" s="389"/>
      <c r="T111" s="389"/>
      <c r="U111" s="389"/>
      <c r="V111" s="389"/>
      <c r="W111" s="389"/>
      <c r="X111" s="389"/>
      <c r="Y111" s="389"/>
      <c r="Z111" s="389"/>
      <c r="AA111" s="389"/>
      <c r="AB111" s="389"/>
      <c r="AC111" s="389"/>
      <c r="AD111" s="389"/>
      <c r="AE111" s="389"/>
      <c r="AF111" s="389"/>
      <c r="AG111" s="389"/>
    </row>
    <row r="112">
      <c r="A112" s="389"/>
      <c r="B112" s="389"/>
      <c r="C112" s="389"/>
      <c r="D112" s="390"/>
      <c r="E112" s="389"/>
      <c r="F112" s="392"/>
      <c r="G112" s="389"/>
      <c r="H112" s="389"/>
      <c r="I112" s="389"/>
      <c r="J112" s="389"/>
      <c r="K112" s="389"/>
      <c r="L112" s="389"/>
      <c r="M112" s="389"/>
      <c r="N112" s="389"/>
      <c r="O112" s="389"/>
      <c r="P112" s="389"/>
      <c r="Q112" s="389"/>
      <c r="R112" s="389"/>
      <c r="S112" s="389"/>
      <c r="T112" s="389"/>
      <c r="U112" s="389"/>
      <c r="V112" s="389"/>
      <c r="W112" s="389"/>
      <c r="X112" s="389"/>
      <c r="Y112" s="389"/>
      <c r="Z112" s="389"/>
      <c r="AA112" s="389"/>
      <c r="AB112" s="389"/>
      <c r="AC112" s="389"/>
      <c r="AD112" s="389"/>
      <c r="AE112" s="389"/>
      <c r="AF112" s="389"/>
      <c r="AG112" s="389"/>
    </row>
    <row r="113">
      <c r="A113" s="389"/>
      <c r="B113" s="389"/>
      <c r="C113" s="389"/>
      <c r="D113" s="390"/>
      <c r="E113" s="389"/>
      <c r="F113" s="392"/>
      <c r="G113" s="389"/>
      <c r="H113" s="389"/>
      <c r="I113" s="389"/>
      <c r="J113" s="389"/>
      <c r="K113" s="389"/>
      <c r="L113" s="389"/>
      <c r="M113" s="389"/>
      <c r="N113" s="389"/>
      <c r="O113" s="389"/>
      <c r="P113" s="389"/>
      <c r="Q113" s="389"/>
      <c r="R113" s="389"/>
      <c r="S113" s="389"/>
      <c r="T113" s="389"/>
      <c r="U113" s="389"/>
      <c r="V113" s="389"/>
      <c r="W113" s="389"/>
      <c r="X113" s="389"/>
      <c r="Y113" s="389"/>
      <c r="Z113" s="389"/>
      <c r="AA113" s="389"/>
      <c r="AB113" s="389"/>
      <c r="AC113" s="389"/>
      <c r="AD113" s="389"/>
      <c r="AE113" s="389"/>
      <c r="AF113" s="389"/>
      <c r="AG113" s="389"/>
    </row>
    <row r="114">
      <c r="A114" s="389"/>
      <c r="B114" s="389"/>
      <c r="C114" s="389"/>
      <c r="D114" s="390"/>
      <c r="E114" s="389"/>
      <c r="F114" s="392"/>
      <c r="G114" s="389"/>
      <c r="H114" s="389"/>
      <c r="I114" s="389"/>
      <c r="J114" s="389"/>
      <c r="K114" s="389"/>
      <c r="L114" s="389"/>
      <c r="M114" s="389"/>
      <c r="N114" s="389"/>
      <c r="O114" s="389"/>
      <c r="P114" s="389"/>
      <c r="Q114" s="389"/>
      <c r="R114" s="389"/>
      <c r="S114" s="389"/>
      <c r="T114" s="389"/>
      <c r="U114" s="389"/>
      <c r="V114" s="389"/>
      <c r="W114" s="389"/>
      <c r="X114" s="389"/>
      <c r="Y114" s="389"/>
      <c r="Z114" s="389"/>
      <c r="AA114" s="389"/>
      <c r="AB114" s="389"/>
      <c r="AC114" s="389"/>
      <c r="AD114" s="389"/>
      <c r="AE114" s="389"/>
      <c r="AF114" s="389"/>
      <c r="AG114" s="389"/>
    </row>
    <row r="115">
      <c r="A115" s="389"/>
      <c r="B115" s="389"/>
      <c r="C115" s="389"/>
      <c r="D115" s="390"/>
      <c r="E115" s="389"/>
      <c r="F115" s="392"/>
      <c r="G115" s="389"/>
      <c r="H115" s="389"/>
      <c r="I115" s="389"/>
      <c r="J115" s="389"/>
      <c r="K115" s="389"/>
      <c r="L115" s="389"/>
      <c r="M115" s="389"/>
      <c r="N115" s="389"/>
      <c r="O115" s="389"/>
      <c r="P115" s="389"/>
      <c r="Q115" s="389"/>
      <c r="R115" s="389"/>
      <c r="S115" s="389"/>
      <c r="T115" s="389"/>
      <c r="U115" s="389"/>
      <c r="V115" s="389"/>
      <c r="W115" s="389"/>
      <c r="X115" s="389"/>
      <c r="Y115" s="389"/>
      <c r="Z115" s="389"/>
      <c r="AA115" s="389"/>
      <c r="AB115" s="389"/>
      <c r="AC115" s="389"/>
      <c r="AD115" s="389"/>
      <c r="AE115" s="389"/>
      <c r="AF115" s="389"/>
      <c r="AG115" s="389"/>
    </row>
    <row r="116">
      <c r="A116" s="389"/>
      <c r="B116" s="389"/>
      <c r="C116" s="389"/>
      <c r="D116" s="390"/>
      <c r="E116" s="389"/>
      <c r="F116" s="392"/>
      <c r="G116" s="389"/>
      <c r="H116" s="389"/>
      <c r="I116" s="389"/>
      <c r="J116" s="389"/>
      <c r="K116" s="389"/>
      <c r="L116" s="389"/>
      <c r="M116" s="389"/>
      <c r="N116" s="389"/>
      <c r="O116" s="389"/>
      <c r="P116" s="389"/>
      <c r="Q116" s="389"/>
      <c r="R116" s="389"/>
      <c r="S116" s="389"/>
      <c r="T116" s="389"/>
      <c r="U116" s="389"/>
      <c r="V116" s="389"/>
      <c r="W116" s="389"/>
      <c r="X116" s="389"/>
      <c r="Y116" s="389"/>
      <c r="Z116" s="389"/>
      <c r="AA116" s="389"/>
      <c r="AB116" s="389"/>
      <c r="AC116" s="389"/>
      <c r="AD116" s="389"/>
      <c r="AE116" s="389"/>
      <c r="AF116" s="389"/>
      <c r="AG116" s="389"/>
    </row>
    <row r="117">
      <c r="A117" s="389"/>
      <c r="B117" s="389"/>
      <c r="C117" s="389"/>
      <c r="D117" s="390"/>
      <c r="E117" s="389"/>
      <c r="F117" s="392"/>
      <c r="G117" s="389"/>
      <c r="H117" s="389"/>
      <c r="I117" s="389"/>
      <c r="J117" s="389"/>
      <c r="K117" s="389"/>
      <c r="L117" s="389"/>
      <c r="M117" s="389"/>
      <c r="N117" s="389"/>
      <c r="O117" s="389"/>
      <c r="P117" s="389"/>
      <c r="Q117" s="389"/>
      <c r="R117" s="389"/>
      <c r="S117" s="389"/>
      <c r="T117" s="389"/>
      <c r="U117" s="389"/>
      <c r="V117" s="389"/>
      <c r="W117" s="389"/>
      <c r="X117" s="389"/>
      <c r="Y117" s="389"/>
      <c r="Z117" s="389"/>
      <c r="AA117" s="389"/>
      <c r="AB117" s="389"/>
      <c r="AC117" s="389"/>
      <c r="AD117" s="389"/>
      <c r="AE117" s="389"/>
      <c r="AF117" s="389"/>
      <c r="AG117" s="389"/>
    </row>
    <row r="118">
      <c r="A118" s="389"/>
      <c r="B118" s="389"/>
      <c r="C118" s="389"/>
      <c r="D118" s="390"/>
      <c r="E118" s="389"/>
      <c r="F118" s="392"/>
      <c r="G118" s="389"/>
      <c r="H118" s="389"/>
      <c r="I118" s="389"/>
      <c r="J118" s="389"/>
      <c r="K118" s="389"/>
      <c r="L118" s="389"/>
      <c r="M118" s="389"/>
      <c r="N118" s="389"/>
      <c r="O118" s="389"/>
      <c r="P118" s="389"/>
      <c r="Q118" s="389"/>
      <c r="R118" s="389"/>
      <c r="S118" s="389"/>
      <c r="T118" s="389"/>
      <c r="U118" s="389"/>
      <c r="V118" s="389"/>
      <c r="W118" s="389"/>
      <c r="X118" s="389"/>
      <c r="Y118" s="389"/>
      <c r="Z118" s="389"/>
      <c r="AA118" s="389"/>
      <c r="AB118" s="389"/>
      <c r="AC118" s="389"/>
      <c r="AD118" s="389"/>
      <c r="AE118" s="389"/>
      <c r="AF118" s="389"/>
      <c r="AG118" s="389"/>
    </row>
    <row r="119">
      <c r="A119" s="389"/>
      <c r="B119" s="389"/>
      <c r="C119" s="389"/>
      <c r="D119" s="390"/>
      <c r="E119" s="389"/>
      <c r="F119" s="392"/>
      <c r="G119" s="389"/>
      <c r="H119" s="389"/>
      <c r="I119" s="389"/>
      <c r="J119" s="389"/>
      <c r="K119" s="389"/>
      <c r="L119" s="389"/>
      <c r="M119" s="389"/>
      <c r="N119" s="389"/>
      <c r="O119" s="389"/>
      <c r="P119" s="389"/>
      <c r="Q119" s="389"/>
      <c r="R119" s="389"/>
      <c r="S119" s="389"/>
      <c r="T119" s="389"/>
      <c r="U119" s="389"/>
      <c r="V119" s="389"/>
      <c r="W119" s="389"/>
      <c r="X119" s="389"/>
      <c r="Y119" s="389"/>
      <c r="Z119" s="389"/>
      <c r="AA119" s="389"/>
      <c r="AB119" s="389"/>
      <c r="AC119" s="389"/>
      <c r="AD119" s="389"/>
      <c r="AE119" s="389"/>
      <c r="AF119" s="389"/>
      <c r="AG119" s="389"/>
    </row>
    <row r="120">
      <c r="A120" s="389"/>
      <c r="B120" s="389"/>
      <c r="C120" s="389"/>
      <c r="D120" s="390"/>
      <c r="E120" s="389"/>
      <c r="F120" s="392"/>
      <c r="G120" s="389"/>
      <c r="H120" s="389"/>
      <c r="I120" s="389"/>
      <c r="J120" s="389"/>
      <c r="K120" s="389"/>
      <c r="L120" s="389"/>
      <c r="M120" s="389"/>
      <c r="N120" s="389"/>
      <c r="O120" s="389"/>
      <c r="P120" s="389"/>
      <c r="Q120" s="389"/>
      <c r="R120" s="389"/>
      <c r="S120" s="389"/>
      <c r="T120" s="389"/>
      <c r="U120" s="389"/>
      <c r="V120" s="389"/>
      <c r="W120" s="389"/>
      <c r="X120" s="389"/>
      <c r="Y120" s="389"/>
      <c r="Z120" s="389"/>
      <c r="AA120" s="389"/>
      <c r="AB120" s="389"/>
      <c r="AC120" s="389"/>
      <c r="AD120" s="389"/>
      <c r="AE120" s="389"/>
      <c r="AF120" s="389"/>
      <c r="AG120" s="389"/>
    </row>
    <row r="121">
      <c r="A121" s="389"/>
      <c r="B121" s="389"/>
      <c r="C121" s="389"/>
      <c r="D121" s="390"/>
      <c r="E121" s="389"/>
      <c r="F121" s="392"/>
      <c r="G121" s="389"/>
      <c r="H121" s="389"/>
      <c r="I121" s="389"/>
      <c r="J121" s="389"/>
      <c r="K121" s="389"/>
      <c r="L121" s="389"/>
      <c r="M121" s="389"/>
      <c r="N121" s="389"/>
      <c r="O121" s="389"/>
      <c r="P121" s="389"/>
      <c r="Q121" s="389"/>
      <c r="R121" s="389"/>
      <c r="S121" s="389"/>
      <c r="T121" s="389"/>
      <c r="U121" s="389"/>
      <c r="V121" s="389"/>
      <c r="W121" s="389"/>
      <c r="X121" s="389"/>
      <c r="Y121" s="389"/>
      <c r="Z121" s="389"/>
      <c r="AA121" s="389"/>
      <c r="AB121" s="389"/>
      <c r="AC121" s="389"/>
      <c r="AD121" s="389"/>
      <c r="AE121" s="389"/>
      <c r="AF121" s="389"/>
      <c r="AG121" s="389"/>
    </row>
    <row r="122">
      <c r="A122" s="389"/>
      <c r="B122" s="389"/>
      <c r="C122" s="389"/>
      <c r="D122" s="390"/>
      <c r="E122" s="389"/>
      <c r="F122" s="392"/>
      <c r="G122" s="389"/>
      <c r="H122" s="389"/>
      <c r="I122" s="389"/>
      <c r="J122" s="389"/>
      <c r="K122" s="389"/>
      <c r="L122" s="389"/>
      <c r="M122" s="389"/>
      <c r="N122" s="389"/>
      <c r="O122" s="389"/>
      <c r="P122" s="389"/>
      <c r="Q122" s="389"/>
      <c r="R122" s="389"/>
      <c r="S122" s="389"/>
      <c r="T122" s="389"/>
      <c r="U122" s="389"/>
      <c r="V122" s="389"/>
      <c r="W122" s="389"/>
      <c r="X122" s="389"/>
      <c r="Y122" s="389"/>
      <c r="Z122" s="389"/>
      <c r="AA122" s="389"/>
      <c r="AB122" s="389"/>
      <c r="AC122" s="389"/>
      <c r="AD122" s="389"/>
      <c r="AE122" s="389"/>
      <c r="AF122" s="389"/>
      <c r="AG122" s="389"/>
    </row>
    <row r="123">
      <c r="A123" s="389"/>
      <c r="B123" s="389"/>
      <c r="C123" s="389"/>
      <c r="D123" s="390"/>
      <c r="E123" s="389"/>
      <c r="F123" s="392"/>
      <c r="G123" s="389"/>
      <c r="H123" s="389"/>
      <c r="I123" s="389"/>
      <c r="J123" s="389"/>
      <c r="K123" s="389"/>
      <c r="L123" s="389"/>
      <c r="M123" s="389"/>
      <c r="N123" s="389"/>
      <c r="O123" s="389"/>
      <c r="P123" s="389"/>
      <c r="Q123" s="389"/>
      <c r="R123" s="389"/>
      <c r="S123" s="389"/>
      <c r="T123" s="389"/>
      <c r="U123" s="389"/>
      <c r="V123" s="389"/>
      <c r="W123" s="389"/>
      <c r="X123" s="389"/>
      <c r="Y123" s="389"/>
      <c r="Z123" s="389"/>
      <c r="AA123" s="389"/>
      <c r="AB123" s="389"/>
      <c r="AC123" s="389"/>
      <c r="AD123" s="389"/>
      <c r="AE123" s="389"/>
      <c r="AF123" s="389"/>
      <c r="AG123" s="389"/>
    </row>
    <row r="124">
      <c r="A124" s="389"/>
      <c r="B124" s="389"/>
      <c r="C124" s="389"/>
      <c r="D124" s="390"/>
      <c r="E124" s="389"/>
      <c r="F124" s="392"/>
      <c r="G124" s="389"/>
      <c r="H124" s="389"/>
      <c r="I124" s="389"/>
      <c r="J124" s="389"/>
      <c r="K124" s="389"/>
      <c r="L124" s="389"/>
      <c r="M124" s="389"/>
      <c r="N124" s="389"/>
      <c r="O124" s="389"/>
      <c r="P124" s="389"/>
      <c r="Q124" s="389"/>
      <c r="R124" s="389"/>
      <c r="S124" s="389"/>
      <c r="T124" s="389"/>
      <c r="U124" s="389"/>
      <c r="V124" s="389"/>
      <c r="W124" s="389"/>
      <c r="X124" s="389"/>
      <c r="Y124" s="389"/>
      <c r="Z124" s="389"/>
      <c r="AA124" s="389"/>
      <c r="AB124" s="389"/>
      <c r="AC124" s="389"/>
      <c r="AD124" s="389"/>
      <c r="AE124" s="389"/>
      <c r="AF124" s="389"/>
      <c r="AG124" s="389"/>
    </row>
    <row r="125">
      <c r="A125" s="389"/>
      <c r="B125" s="389"/>
      <c r="C125" s="389"/>
      <c r="D125" s="390"/>
      <c r="E125" s="389"/>
      <c r="F125" s="392"/>
      <c r="G125" s="389"/>
      <c r="H125" s="389"/>
      <c r="I125" s="389"/>
      <c r="J125" s="389"/>
      <c r="K125" s="389"/>
      <c r="L125" s="389"/>
      <c r="M125" s="389"/>
      <c r="N125" s="389"/>
      <c r="O125" s="389"/>
      <c r="P125" s="389"/>
      <c r="Q125" s="389"/>
      <c r="R125" s="389"/>
      <c r="S125" s="389"/>
      <c r="T125" s="389"/>
      <c r="U125" s="389"/>
      <c r="V125" s="389"/>
      <c r="W125" s="389"/>
      <c r="X125" s="389"/>
      <c r="Y125" s="389"/>
      <c r="Z125" s="389"/>
      <c r="AA125" s="389"/>
      <c r="AB125" s="389"/>
      <c r="AC125" s="389"/>
      <c r="AD125" s="389"/>
      <c r="AE125" s="389"/>
      <c r="AF125" s="389"/>
      <c r="AG125" s="389"/>
    </row>
    <row r="126">
      <c r="A126" s="389"/>
      <c r="B126" s="389"/>
      <c r="C126" s="389"/>
      <c r="D126" s="390"/>
      <c r="E126" s="389"/>
      <c r="F126" s="392"/>
      <c r="G126" s="389"/>
      <c r="H126" s="389"/>
      <c r="I126" s="389"/>
      <c r="J126" s="389"/>
      <c r="K126" s="389"/>
      <c r="L126" s="389"/>
      <c r="M126" s="389"/>
      <c r="N126" s="389"/>
      <c r="O126" s="389"/>
      <c r="P126" s="389"/>
      <c r="Q126" s="389"/>
      <c r="R126" s="389"/>
      <c r="S126" s="389"/>
      <c r="T126" s="389"/>
      <c r="U126" s="389"/>
      <c r="V126" s="389"/>
      <c r="W126" s="389"/>
      <c r="X126" s="389"/>
      <c r="Y126" s="389"/>
      <c r="Z126" s="389"/>
      <c r="AA126" s="389"/>
      <c r="AB126" s="389"/>
      <c r="AC126" s="389"/>
      <c r="AD126" s="389"/>
      <c r="AE126" s="389"/>
      <c r="AF126" s="389"/>
      <c r="AG126" s="389"/>
    </row>
    <row r="127">
      <c r="A127" s="389"/>
      <c r="B127" s="389"/>
      <c r="C127" s="389"/>
      <c r="D127" s="390"/>
      <c r="E127" s="389"/>
      <c r="F127" s="392"/>
      <c r="G127" s="389"/>
      <c r="H127" s="389"/>
      <c r="I127" s="389"/>
      <c r="J127" s="389"/>
      <c r="K127" s="389"/>
      <c r="L127" s="389"/>
      <c r="M127" s="389"/>
      <c r="N127" s="389"/>
      <c r="O127" s="389"/>
      <c r="P127" s="389"/>
      <c r="Q127" s="389"/>
      <c r="R127" s="389"/>
      <c r="S127" s="389"/>
      <c r="T127" s="389"/>
      <c r="U127" s="389"/>
      <c r="V127" s="389"/>
      <c r="W127" s="389"/>
      <c r="X127" s="389"/>
      <c r="Y127" s="389"/>
      <c r="Z127" s="389"/>
      <c r="AA127" s="389"/>
      <c r="AB127" s="389"/>
      <c r="AC127" s="389"/>
      <c r="AD127" s="389"/>
      <c r="AE127" s="389"/>
      <c r="AF127" s="389"/>
      <c r="AG127" s="389"/>
    </row>
    <row r="128">
      <c r="A128" s="389"/>
      <c r="B128" s="389"/>
      <c r="C128" s="389"/>
      <c r="D128" s="390"/>
      <c r="E128" s="389"/>
      <c r="F128" s="392"/>
      <c r="G128" s="389"/>
      <c r="H128" s="389"/>
      <c r="I128" s="389"/>
      <c r="J128" s="389"/>
      <c r="K128" s="389"/>
      <c r="L128" s="389"/>
      <c r="M128" s="389"/>
      <c r="N128" s="389"/>
      <c r="O128" s="389"/>
      <c r="P128" s="389"/>
      <c r="Q128" s="389"/>
      <c r="R128" s="389"/>
      <c r="S128" s="389"/>
      <c r="T128" s="389"/>
      <c r="U128" s="389"/>
      <c r="V128" s="389"/>
      <c r="W128" s="389"/>
      <c r="X128" s="389"/>
      <c r="Y128" s="389"/>
      <c r="Z128" s="389"/>
      <c r="AA128" s="389"/>
      <c r="AB128" s="389"/>
      <c r="AC128" s="389"/>
      <c r="AD128" s="389"/>
      <c r="AE128" s="389"/>
      <c r="AF128" s="389"/>
      <c r="AG128" s="389"/>
    </row>
    <row r="129">
      <c r="A129" s="389"/>
      <c r="B129" s="389"/>
      <c r="C129" s="389"/>
      <c r="D129" s="390"/>
      <c r="E129" s="389"/>
      <c r="F129" s="392"/>
      <c r="G129" s="389"/>
      <c r="H129" s="389"/>
      <c r="I129" s="389"/>
      <c r="J129" s="389"/>
      <c r="K129" s="389"/>
      <c r="L129" s="389"/>
      <c r="M129" s="389"/>
      <c r="N129" s="389"/>
      <c r="O129" s="389"/>
      <c r="P129" s="389"/>
      <c r="Q129" s="389"/>
      <c r="R129" s="389"/>
      <c r="S129" s="389"/>
      <c r="T129" s="389"/>
      <c r="U129" s="389"/>
      <c r="V129" s="389"/>
      <c r="W129" s="389"/>
      <c r="X129" s="389"/>
      <c r="Y129" s="389"/>
      <c r="Z129" s="389"/>
      <c r="AA129" s="389"/>
      <c r="AB129" s="389"/>
      <c r="AC129" s="389"/>
      <c r="AD129" s="389"/>
      <c r="AE129" s="389"/>
      <c r="AF129" s="389"/>
      <c r="AG129" s="389"/>
    </row>
    <row r="130">
      <c r="A130" s="389"/>
      <c r="B130" s="389"/>
      <c r="C130" s="389"/>
      <c r="D130" s="390"/>
      <c r="E130" s="389"/>
      <c r="F130" s="392"/>
      <c r="G130" s="389"/>
      <c r="H130" s="389"/>
      <c r="I130" s="389"/>
      <c r="J130" s="389"/>
      <c r="K130" s="389"/>
      <c r="L130" s="389"/>
      <c r="M130" s="389"/>
      <c r="N130" s="389"/>
      <c r="O130" s="389"/>
      <c r="P130" s="389"/>
      <c r="Q130" s="389"/>
      <c r="R130" s="389"/>
      <c r="S130" s="389"/>
      <c r="T130" s="389"/>
      <c r="U130" s="389"/>
      <c r="V130" s="389"/>
      <c r="W130" s="389"/>
      <c r="X130" s="389"/>
      <c r="Y130" s="389"/>
      <c r="Z130" s="389"/>
      <c r="AA130" s="389"/>
      <c r="AB130" s="389"/>
      <c r="AC130" s="389"/>
      <c r="AD130" s="389"/>
      <c r="AE130" s="389"/>
      <c r="AF130" s="389"/>
      <c r="AG130" s="389"/>
    </row>
    <row r="131">
      <c r="A131" s="389"/>
      <c r="B131" s="389"/>
      <c r="C131" s="389"/>
      <c r="D131" s="390"/>
      <c r="E131" s="389"/>
      <c r="F131" s="392"/>
      <c r="G131" s="389"/>
      <c r="H131" s="389"/>
      <c r="I131" s="389"/>
      <c r="J131" s="389"/>
      <c r="K131" s="389"/>
      <c r="L131" s="389"/>
      <c r="M131" s="389"/>
      <c r="N131" s="389"/>
      <c r="O131" s="389"/>
      <c r="P131" s="389"/>
      <c r="Q131" s="389"/>
      <c r="R131" s="389"/>
      <c r="S131" s="389"/>
      <c r="T131" s="389"/>
      <c r="U131" s="389"/>
      <c r="V131" s="389"/>
      <c r="W131" s="389"/>
      <c r="X131" s="389"/>
      <c r="Y131" s="389"/>
      <c r="Z131" s="389"/>
      <c r="AA131" s="389"/>
      <c r="AB131" s="389"/>
      <c r="AC131" s="389"/>
      <c r="AD131" s="389"/>
      <c r="AE131" s="389"/>
      <c r="AF131" s="389"/>
      <c r="AG131" s="389"/>
    </row>
    <row r="132">
      <c r="A132" s="389"/>
      <c r="B132" s="389"/>
      <c r="C132" s="389"/>
      <c r="D132" s="390"/>
      <c r="E132" s="389"/>
      <c r="F132" s="392"/>
      <c r="G132" s="389"/>
      <c r="H132" s="389"/>
      <c r="I132" s="389"/>
      <c r="J132" s="389"/>
      <c r="K132" s="389"/>
      <c r="L132" s="389"/>
      <c r="M132" s="389"/>
      <c r="N132" s="389"/>
      <c r="O132" s="389"/>
      <c r="P132" s="389"/>
      <c r="Q132" s="389"/>
      <c r="R132" s="389"/>
      <c r="S132" s="389"/>
      <c r="T132" s="389"/>
      <c r="U132" s="389"/>
      <c r="V132" s="389"/>
      <c r="W132" s="389"/>
      <c r="X132" s="389"/>
      <c r="Y132" s="389"/>
      <c r="Z132" s="389"/>
      <c r="AA132" s="389"/>
      <c r="AB132" s="389"/>
      <c r="AC132" s="389"/>
      <c r="AD132" s="389"/>
      <c r="AE132" s="389"/>
      <c r="AF132" s="389"/>
      <c r="AG132" s="389"/>
    </row>
    <row r="133">
      <c r="A133" s="389"/>
      <c r="B133" s="389"/>
      <c r="C133" s="389"/>
      <c r="D133" s="390"/>
      <c r="E133" s="389"/>
      <c r="F133" s="392"/>
      <c r="G133" s="389"/>
      <c r="H133" s="389"/>
      <c r="I133" s="389"/>
      <c r="J133" s="389"/>
      <c r="K133" s="389"/>
      <c r="L133" s="389"/>
      <c r="M133" s="389"/>
      <c r="N133" s="389"/>
      <c r="O133" s="389"/>
      <c r="P133" s="389"/>
      <c r="Q133" s="389"/>
      <c r="R133" s="389"/>
      <c r="S133" s="389"/>
      <c r="T133" s="389"/>
      <c r="U133" s="389"/>
      <c r="V133" s="389"/>
      <c r="W133" s="389"/>
      <c r="X133" s="389"/>
      <c r="Y133" s="389"/>
      <c r="Z133" s="389"/>
      <c r="AA133" s="389"/>
      <c r="AB133" s="389"/>
      <c r="AC133" s="389"/>
      <c r="AD133" s="389"/>
      <c r="AE133" s="389"/>
      <c r="AF133" s="389"/>
      <c r="AG133" s="389"/>
    </row>
    <row r="134">
      <c r="A134" s="389"/>
      <c r="B134" s="389"/>
      <c r="C134" s="389"/>
      <c r="D134" s="390"/>
      <c r="E134" s="389"/>
      <c r="F134" s="392"/>
      <c r="G134" s="389"/>
      <c r="H134" s="389"/>
      <c r="I134" s="389"/>
      <c r="J134" s="389"/>
      <c r="K134" s="389"/>
      <c r="L134" s="389"/>
      <c r="M134" s="389"/>
      <c r="N134" s="389"/>
      <c r="O134" s="389"/>
      <c r="P134" s="389"/>
      <c r="Q134" s="389"/>
      <c r="R134" s="389"/>
      <c r="S134" s="389"/>
      <c r="T134" s="389"/>
      <c r="U134" s="389"/>
      <c r="V134" s="389"/>
      <c r="W134" s="389"/>
      <c r="X134" s="389"/>
      <c r="Y134" s="389"/>
      <c r="Z134" s="389"/>
      <c r="AA134" s="389"/>
      <c r="AB134" s="389"/>
      <c r="AC134" s="389"/>
      <c r="AD134" s="389"/>
      <c r="AE134" s="389"/>
      <c r="AF134" s="389"/>
      <c r="AG134" s="389"/>
    </row>
    <row r="135">
      <c r="A135" s="389"/>
      <c r="B135" s="389"/>
      <c r="C135" s="389"/>
      <c r="D135" s="390"/>
      <c r="E135" s="389"/>
      <c r="F135" s="392"/>
      <c r="G135" s="389"/>
      <c r="H135" s="389"/>
      <c r="I135" s="389"/>
      <c r="J135" s="389"/>
      <c r="K135" s="389"/>
      <c r="L135" s="389"/>
      <c r="M135" s="389"/>
      <c r="N135" s="389"/>
      <c r="O135" s="389"/>
      <c r="P135" s="389"/>
      <c r="Q135" s="389"/>
      <c r="R135" s="389"/>
      <c r="S135" s="389"/>
      <c r="T135" s="389"/>
      <c r="U135" s="389"/>
      <c r="V135" s="389"/>
      <c r="W135" s="389"/>
      <c r="X135" s="389"/>
      <c r="Y135" s="389"/>
      <c r="Z135" s="389"/>
      <c r="AA135" s="389"/>
      <c r="AB135" s="389"/>
      <c r="AC135" s="389"/>
      <c r="AD135" s="389"/>
      <c r="AE135" s="389"/>
      <c r="AF135" s="389"/>
      <c r="AG135" s="389"/>
    </row>
    <row r="136">
      <c r="A136" s="389"/>
      <c r="B136" s="389"/>
      <c r="C136" s="389"/>
      <c r="D136" s="390"/>
      <c r="E136" s="389"/>
      <c r="F136" s="392"/>
      <c r="G136" s="389"/>
      <c r="H136" s="389"/>
      <c r="I136" s="389"/>
      <c r="J136" s="389"/>
      <c r="K136" s="389"/>
      <c r="L136" s="389"/>
      <c r="M136" s="389"/>
      <c r="N136" s="389"/>
      <c r="O136" s="389"/>
      <c r="P136" s="389"/>
      <c r="Q136" s="389"/>
      <c r="R136" s="389"/>
      <c r="S136" s="389"/>
      <c r="T136" s="389"/>
      <c r="U136" s="389"/>
      <c r="V136" s="389"/>
      <c r="W136" s="389"/>
      <c r="X136" s="389"/>
      <c r="Y136" s="389"/>
      <c r="Z136" s="389"/>
      <c r="AA136" s="389"/>
      <c r="AB136" s="389"/>
      <c r="AC136" s="389"/>
      <c r="AD136" s="389"/>
      <c r="AE136" s="389"/>
      <c r="AF136" s="389"/>
      <c r="AG136" s="389"/>
    </row>
    <row r="137">
      <c r="A137" s="389"/>
      <c r="B137" s="389"/>
      <c r="C137" s="389"/>
      <c r="D137" s="390"/>
      <c r="E137" s="389"/>
      <c r="F137" s="392"/>
      <c r="G137" s="389"/>
      <c r="H137" s="389"/>
      <c r="I137" s="389"/>
      <c r="J137" s="389"/>
      <c r="K137" s="389"/>
      <c r="L137" s="389"/>
      <c r="M137" s="389"/>
      <c r="N137" s="389"/>
      <c r="O137" s="389"/>
      <c r="P137" s="389"/>
      <c r="Q137" s="389"/>
      <c r="R137" s="389"/>
      <c r="S137" s="389"/>
      <c r="T137" s="389"/>
      <c r="U137" s="389"/>
      <c r="V137" s="389"/>
      <c r="W137" s="389"/>
      <c r="X137" s="389"/>
      <c r="Y137" s="389"/>
      <c r="Z137" s="389"/>
      <c r="AA137" s="389"/>
      <c r="AB137" s="389"/>
      <c r="AC137" s="389"/>
      <c r="AD137" s="389"/>
      <c r="AE137" s="389"/>
      <c r="AF137" s="389"/>
      <c r="AG137" s="389"/>
    </row>
    <row r="138">
      <c r="A138" s="389"/>
      <c r="B138" s="389"/>
      <c r="C138" s="389"/>
      <c r="D138" s="390"/>
      <c r="E138" s="389"/>
      <c r="F138" s="392"/>
      <c r="G138" s="389"/>
      <c r="H138" s="389"/>
      <c r="I138" s="389"/>
      <c r="J138" s="389"/>
      <c r="K138" s="389"/>
      <c r="L138" s="389"/>
      <c r="M138" s="389"/>
      <c r="N138" s="389"/>
      <c r="O138" s="389"/>
      <c r="P138" s="389"/>
      <c r="Q138" s="389"/>
      <c r="R138" s="389"/>
      <c r="S138" s="389"/>
      <c r="T138" s="389"/>
      <c r="U138" s="389"/>
      <c r="V138" s="389"/>
      <c r="W138" s="389"/>
      <c r="X138" s="389"/>
      <c r="Y138" s="389"/>
      <c r="Z138" s="389"/>
      <c r="AA138" s="389"/>
      <c r="AB138" s="389"/>
      <c r="AC138" s="389"/>
      <c r="AD138" s="389"/>
      <c r="AE138" s="389"/>
      <c r="AF138" s="389"/>
      <c r="AG138" s="389"/>
    </row>
    <row r="139">
      <c r="A139" s="389"/>
      <c r="B139" s="389"/>
      <c r="C139" s="389"/>
      <c r="D139" s="390"/>
      <c r="E139" s="389"/>
      <c r="F139" s="392"/>
      <c r="G139" s="389"/>
      <c r="H139" s="389"/>
      <c r="I139" s="389"/>
      <c r="J139" s="389"/>
      <c r="K139" s="389"/>
      <c r="L139" s="389"/>
      <c r="M139" s="389"/>
      <c r="N139" s="389"/>
      <c r="O139" s="389"/>
      <c r="P139" s="389"/>
      <c r="Q139" s="389"/>
      <c r="R139" s="389"/>
      <c r="S139" s="389"/>
      <c r="T139" s="389"/>
      <c r="U139" s="389"/>
      <c r="V139" s="389"/>
      <c r="W139" s="389"/>
      <c r="X139" s="389"/>
      <c r="Y139" s="389"/>
      <c r="Z139" s="389"/>
      <c r="AA139" s="389"/>
      <c r="AB139" s="389"/>
      <c r="AC139" s="389"/>
      <c r="AD139" s="389"/>
      <c r="AE139" s="389"/>
      <c r="AF139" s="389"/>
      <c r="AG139" s="389"/>
    </row>
    <row r="140">
      <c r="A140" s="389"/>
      <c r="B140" s="389"/>
      <c r="C140" s="389"/>
      <c r="D140" s="390"/>
      <c r="E140" s="389"/>
      <c r="F140" s="392"/>
      <c r="G140" s="389"/>
      <c r="H140" s="389"/>
      <c r="I140" s="389"/>
      <c r="J140" s="389"/>
      <c r="K140" s="389"/>
      <c r="L140" s="389"/>
      <c r="M140" s="389"/>
      <c r="N140" s="389"/>
      <c r="O140" s="389"/>
      <c r="P140" s="389"/>
      <c r="Q140" s="389"/>
      <c r="R140" s="389"/>
      <c r="S140" s="389"/>
      <c r="T140" s="389"/>
      <c r="U140" s="389"/>
      <c r="V140" s="389"/>
      <c r="W140" s="389"/>
      <c r="X140" s="389"/>
      <c r="Y140" s="389"/>
      <c r="Z140" s="389"/>
      <c r="AA140" s="389"/>
      <c r="AB140" s="389"/>
      <c r="AC140" s="389"/>
      <c r="AD140" s="389"/>
      <c r="AE140" s="389"/>
      <c r="AF140" s="389"/>
      <c r="AG140" s="389"/>
    </row>
    <row r="141">
      <c r="A141" s="389"/>
      <c r="B141" s="389"/>
      <c r="C141" s="389"/>
      <c r="D141" s="390"/>
      <c r="E141" s="389"/>
      <c r="F141" s="392"/>
      <c r="G141" s="389"/>
      <c r="H141" s="389"/>
      <c r="I141" s="389"/>
      <c r="J141" s="389"/>
      <c r="K141" s="389"/>
      <c r="L141" s="389"/>
      <c r="M141" s="389"/>
      <c r="N141" s="389"/>
      <c r="O141" s="389"/>
      <c r="P141" s="389"/>
      <c r="Q141" s="389"/>
      <c r="R141" s="389"/>
      <c r="S141" s="389"/>
      <c r="T141" s="389"/>
      <c r="U141" s="389"/>
      <c r="V141" s="389"/>
      <c r="W141" s="389"/>
      <c r="X141" s="389"/>
      <c r="Y141" s="389"/>
      <c r="Z141" s="389"/>
      <c r="AA141" s="389"/>
      <c r="AB141" s="389"/>
      <c r="AC141" s="389"/>
      <c r="AD141" s="389"/>
      <c r="AE141" s="389"/>
      <c r="AF141" s="389"/>
      <c r="AG141" s="389"/>
    </row>
    <row r="142">
      <c r="A142" s="389"/>
      <c r="B142" s="389"/>
      <c r="C142" s="389"/>
      <c r="D142" s="390"/>
      <c r="E142" s="389"/>
      <c r="F142" s="392"/>
      <c r="G142" s="389"/>
      <c r="H142" s="389"/>
      <c r="I142" s="389"/>
      <c r="J142" s="389"/>
      <c r="K142" s="389"/>
      <c r="L142" s="389"/>
      <c r="M142" s="389"/>
      <c r="N142" s="389"/>
      <c r="O142" s="389"/>
      <c r="P142" s="389"/>
      <c r="Q142" s="389"/>
      <c r="R142" s="389"/>
      <c r="S142" s="389"/>
      <c r="T142" s="389"/>
      <c r="U142" s="389"/>
      <c r="V142" s="389"/>
      <c r="W142" s="389"/>
      <c r="X142" s="389"/>
      <c r="Y142" s="389"/>
      <c r="Z142" s="389"/>
      <c r="AA142" s="389"/>
      <c r="AB142" s="389"/>
      <c r="AC142" s="389"/>
      <c r="AD142" s="389"/>
      <c r="AE142" s="389"/>
      <c r="AF142" s="389"/>
      <c r="AG142" s="389"/>
    </row>
    <row r="143">
      <c r="A143" s="389"/>
      <c r="B143" s="389"/>
      <c r="C143" s="389"/>
      <c r="D143" s="390"/>
      <c r="E143" s="389"/>
      <c r="F143" s="392"/>
      <c r="G143" s="389"/>
      <c r="H143" s="389"/>
      <c r="I143" s="389"/>
      <c r="J143" s="389"/>
      <c r="K143" s="389"/>
      <c r="L143" s="389"/>
      <c r="M143" s="389"/>
      <c r="N143" s="389"/>
      <c r="O143" s="389"/>
      <c r="P143" s="389"/>
      <c r="Q143" s="389"/>
      <c r="R143" s="389"/>
      <c r="S143" s="389"/>
      <c r="T143" s="389"/>
      <c r="U143" s="389"/>
      <c r="V143" s="389"/>
      <c r="W143" s="389"/>
      <c r="X143" s="389"/>
      <c r="Y143" s="389"/>
      <c r="Z143" s="389"/>
      <c r="AA143" s="389"/>
      <c r="AB143" s="389"/>
      <c r="AC143" s="389"/>
      <c r="AD143" s="389"/>
      <c r="AE143" s="389"/>
      <c r="AF143" s="389"/>
      <c r="AG143" s="389"/>
    </row>
    <row r="144">
      <c r="A144" s="389"/>
      <c r="B144" s="389"/>
      <c r="C144" s="389"/>
      <c r="D144" s="390"/>
      <c r="E144" s="389"/>
      <c r="F144" s="392"/>
      <c r="G144" s="389"/>
      <c r="H144" s="389"/>
      <c r="I144" s="389"/>
      <c r="J144" s="389"/>
      <c r="K144" s="389"/>
      <c r="L144" s="389"/>
      <c r="M144" s="389"/>
      <c r="N144" s="389"/>
      <c r="O144" s="389"/>
      <c r="P144" s="389"/>
      <c r="Q144" s="389"/>
      <c r="R144" s="389"/>
      <c r="S144" s="389"/>
      <c r="T144" s="389"/>
      <c r="U144" s="389"/>
      <c r="V144" s="389"/>
      <c r="W144" s="389"/>
      <c r="X144" s="389"/>
      <c r="Y144" s="389"/>
      <c r="Z144" s="389"/>
      <c r="AA144" s="389"/>
      <c r="AB144" s="389"/>
      <c r="AC144" s="389"/>
      <c r="AD144" s="389"/>
      <c r="AE144" s="389"/>
      <c r="AF144" s="389"/>
      <c r="AG144" s="389"/>
    </row>
    <row r="145">
      <c r="A145" s="389"/>
      <c r="B145" s="389"/>
      <c r="C145" s="389"/>
      <c r="D145" s="390"/>
      <c r="E145" s="389"/>
      <c r="F145" s="392"/>
      <c r="G145" s="389"/>
      <c r="H145" s="389"/>
      <c r="I145" s="389"/>
      <c r="J145" s="389"/>
      <c r="K145" s="389"/>
      <c r="L145" s="389"/>
      <c r="M145" s="389"/>
      <c r="N145" s="389"/>
      <c r="O145" s="389"/>
      <c r="P145" s="389"/>
      <c r="Q145" s="389"/>
      <c r="R145" s="389"/>
      <c r="S145" s="389"/>
      <c r="T145" s="389"/>
      <c r="U145" s="389"/>
      <c r="V145" s="389"/>
      <c r="W145" s="389"/>
      <c r="X145" s="389"/>
      <c r="Y145" s="389"/>
      <c r="Z145" s="389"/>
      <c r="AA145" s="389"/>
      <c r="AB145" s="389"/>
      <c r="AC145" s="389"/>
      <c r="AD145" s="389"/>
      <c r="AE145" s="389"/>
      <c r="AF145" s="389"/>
      <c r="AG145" s="389"/>
    </row>
    <row r="146">
      <c r="A146" s="389"/>
      <c r="B146" s="389"/>
      <c r="C146" s="389"/>
      <c r="D146" s="390"/>
      <c r="E146" s="389"/>
      <c r="F146" s="392"/>
      <c r="G146" s="389"/>
      <c r="H146" s="389"/>
      <c r="I146" s="389"/>
      <c r="J146" s="389"/>
      <c r="K146" s="389"/>
      <c r="L146" s="389"/>
      <c r="M146" s="389"/>
      <c r="N146" s="389"/>
      <c r="O146" s="389"/>
      <c r="P146" s="389"/>
      <c r="Q146" s="389"/>
      <c r="R146" s="389"/>
      <c r="S146" s="389"/>
      <c r="T146" s="389"/>
      <c r="U146" s="389"/>
      <c r="V146" s="389"/>
      <c r="W146" s="389"/>
      <c r="X146" s="389"/>
      <c r="Y146" s="389"/>
      <c r="Z146" s="389"/>
      <c r="AA146" s="389"/>
      <c r="AB146" s="389"/>
      <c r="AC146" s="389"/>
      <c r="AD146" s="389"/>
      <c r="AE146" s="389"/>
      <c r="AF146" s="389"/>
      <c r="AG146" s="389"/>
    </row>
    <row r="147">
      <c r="A147" s="389"/>
      <c r="B147" s="389"/>
      <c r="C147" s="389"/>
      <c r="D147" s="390"/>
      <c r="E147" s="389"/>
      <c r="F147" s="392"/>
      <c r="G147" s="389"/>
      <c r="H147" s="389"/>
      <c r="I147" s="389"/>
      <c r="J147" s="389"/>
      <c r="K147" s="389"/>
      <c r="L147" s="389"/>
      <c r="M147" s="389"/>
      <c r="N147" s="389"/>
      <c r="O147" s="389"/>
      <c r="P147" s="389"/>
      <c r="Q147" s="389"/>
      <c r="R147" s="389"/>
      <c r="S147" s="389"/>
      <c r="T147" s="389"/>
      <c r="U147" s="389"/>
      <c r="V147" s="389"/>
      <c r="W147" s="389"/>
      <c r="X147" s="389"/>
      <c r="Y147" s="389"/>
      <c r="Z147" s="389"/>
      <c r="AA147" s="389"/>
      <c r="AB147" s="389"/>
      <c r="AC147" s="389"/>
      <c r="AD147" s="389"/>
      <c r="AE147" s="389"/>
      <c r="AF147" s="389"/>
      <c r="AG147" s="389"/>
    </row>
    <row r="148">
      <c r="A148" s="389"/>
      <c r="B148" s="389"/>
      <c r="C148" s="389"/>
      <c r="D148" s="390"/>
      <c r="E148" s="389"/>
      <c r="F148" s="392"/>
      <c r="G148" s="389"/>
      <c r="H148" s="389"/>
      <c r="I148" s="389"/>
      <c r="J148" s="389"/>
      <c r="K148" s="389"/>
      <c r="L148" s="389"/>
      <c r="M148" s="389"/>
      <c r="N148" s="389"/>
      <c r="O148" s="389"/>
      <c r="P148" s="389"/>
      <c r="Q148" s="389"/>
      <c r="R148" s="389"/>
      <c r="S148" s="389"/>
      <c r="T148" s="389"/>
      <c r="U148" s="389"/>
      <c r="V148" s="389"/>
      <c r="W148" s="389"/>
      <c r="X148" s="389"/>
      <c r="Y148" s="389"/>
      <c r="Z148" s="389"/>
      <c r="AA148" s="389"/>
      <c r="AB148" s="389"/>
      <c r="AC148" s="389"/>
      <c r="AD148" s="389"/>
      <c r="AE148" s="389"/>
      <c r="AF148" s="389"/>
      <c r="AG148" s="389"/>
    </row>
    <row r="149">
      <c r="A149" s="389"/>
      <c r="B149" s="389"/>
      <c r="C149" s="389"/>
      <c r="D149" s="390"/>
      <c r="E149" s="389"/>
      <c r="F149" s="392"/>
      <c r="G149" s="389"/>
      <c r="H149" s="389"/>
      <c r="I149" s="389"/>
      <c r="J149" s="389"/>
      <c r="K149" s="389"/>
      <c r="L149" s="389"/>
      <c r="M149" s="389"/>
      <c r="N149" s="389"/>
      <c r="O149" s="389"/>
      <c r="P149" s="389"/>
      <c r="Q149" s="389"/>
      <c r="R149" s="389"/>
      <c r="S149" s="389"/>
      <c r="T149" s="389"/>
      <c r="U149" s="389"/>
      <c r="V149" s="389"/>
      <c r="W149" s="389"/>
      <c r="X149" s="389"/>
      <c r="Y149" s="389"/>
      <c r="Z149" s="389"/>
      <c r="AA149" s="389"/>
      <c r="AB149" s="389"/>
      <c r="AC149" s="389"/>
      <c r="AD149" s="389"/>
      <c r="AE149" s="389"/>
      <c r="AF149" s="389"/>
      <c r="AG149" s="389"/>
    </row>
    <row r="150">
      <c r="A150" s="389"/>
      <c r="B150" s="389"/>
      <c r="C150" s="389"/>
      <c r="D150" s="390"/>
      <c r="E150" s="389"/>
      <c r="F150" s="392"/>
      <c r="G150" s="389"/>
      <c r="H150" s="389"/>
      <c r="I150" s="389"/>
      <c r="J150" s="389"/>
      <c r="K150" s="389"/>
      <c r="L150" s="389"/>
      <c r="M150" s="389"/>
      <c r="N150" s="389"/>
      <c r="O150" s="389"/>
      <c r="P150" s="389"/>
      <c r="Q150" s="389"/>
      <c r="R150" s="389"/>
      <c r="S150" s="389"/>
      <c r="T150" s="389"/>
      <c r="U150" s="389"/>
      <c r="V150" s="389"/>
      <c r="W150" s="389"/>
      <c r="X150" s="389"/>
      <c r="Y150" s="389"/>
      <c r="Z150" s="389"/>
      <c r="AA150" s="389"/>
      <c r="AB150" s="389"/>
      <c r="AC150" s="389"/>
      <c r="AD150" s="389"/>
      <c r="AE150" s="389"/>
      <c r="AF150" s="389"/>
      <c r="AG150" s="389"/>
    </row>
    <row r="151">
      <c r="A151" s="389"/>
      <c r="B151" s="389"/>
      <c r="C151" s="389"/>
      <c r="D151" s="390"/>
      <c r="E151" s="389"/>
      <c r="F151" s="392"/>
      <c r="G151" s="389"/>
      <c r="H151" s="389"/>
      <c r="I151" s="389"/>
      <c r="J151" s="389"/>
      <c r="K151" s="389"/>
      <c r="L151" s="389"/>
      <c r="M151" s="389"/>
      <c r="N151" s="389"/>
      <c r="O151" s="389"/>
      <c r="P151" s="389"/>
      <c r="Q151" s="389"/>
      <c r="R151" s="389"/>
      <c r="S151" s="389"/>
      <c r="T151" s="389"/>
      <c r="U151" s="389"/>
      <c r="V151" s="389"/>
      <c r="W151" s="389"/>
      <c r="X151" s="389"/>
      <c r="Y151" s="389"/>
      <c r="Z151" s="389"/>
      <c r="AA151" s="389"/>
      <c r="AB151" s="389"/>
      <c r="AC151" s="389"/>
      <c r="AD151" s="389"/>
      <c r="AE151" s="389"/>
      <c r="AF151" s="389"/>
      <c r="AG151" s="389"/>
    </row>
    <row r="152">
      <c r="A152" s="389"/>
      <c r="B152" s="389"/>
      <c r="C152" s="389"/>
      <c r="D152" s="390"/>
      <c r="E152" s="389"/>
      <c r="F152" s="392"/>
      <c r="G152" s="389"/>
      <c r="H152" s="389"/>
      <c r="I152" s="389"/>
      <c r="J152" s="389"/>
      <c r="K152" s="389"/>
      <c r="L152" s="389"/>
      <c r="M152" s="389"/>
      <c r="N152" s="389"/>
      <c r="O152" s="389"/>
      <c r="P152" s="389"/>
      <c r="Q152" s="389"/>
      <c r="R152" s="389"/>
      <c r="S152" s="389"/>
      <c r="T152" s="389"/>
      <c r="U152" s="389"/>
      <c r="V152" s="389"/>
      <c r="W152" s="389"/>
      <c r="X152" s="389"/>
      <c r="Y152" s="389"/>
      <c r="Z152" s="389"/>
      <c r="AA152" s="389"/>
      <c r="AB152" s="389"/>
      <c r="AC152" s="389"/>
      <c r="AD152" s="389"/>
      <c r="AE152" s="389"/>
      <c r="AF152" s="389"/>
      <c r="AG152" s="389"/>
    </row>
    <row r="153">
      <c r="A153" s="389"/>
      <c r="B153" s="389"/>
      <c r="C153" s="389"/>
      <c r="D153" s="390"/>
      <c r="E153" s="389"/>
      <c r="F153" s="392"/>
      <c r="G153" s="389"/>
      <c r="H153" s="389"/>
      <c r="I153" s="389"/>
      <c r="J153" s="389"/>
      <c r="K153" s="389"/>
      <c r="L153" s="389"/>
      <c r="M153" s="389"/>
      <c r="N153" s="389"/>
      <c r="O153" s="389"/>
      <c r="P153" s="389"/>
      <c r="Q153" s="389"/>
      <c r="R153" s="389"/>
      <c r="S153" s="389"/>
      <c r="T153" s="389"/>
      <c r="U153" s="389"/>
      <c r="V153" s="389"/>
      <c r="W153" s="389"/>
      <c r="X153" s="389"/>
      <c r="Y153" s="389"/>
      <c r="Z153" s="389"/>
      <c r="AA153" s="389"/>
      <c r="AB153" s="389"/>
      <c r="AC153" s="389"/>
      <c r="AD153" s="389"/>
      <c r="AE153" s="389"/>
      <c r="AF153" s="389"/>
      <c r="AG153" s="389"/>
    </row>
    <row r="154">
      <c r="A154" s="389"/>
      <c r="B154" s="389"/>
      <c r="C154" s="389"/>
      <c r="D154" s="390"/>
      <c r="E154" s="389"/>
      <c r="F154" s="392"/>
      <c r="G154" s="389"/>
      <c r="H154" s="389"/>
      <c r="I154" s="389"/>
      <c r="J154" s="389"/>
      <c r="K154" s="389"/>
      <c r="L154" s="389"/>
      <c r="M154" s="389"/>
      <c r="N154" s="389"/>
      <c r="O154" s="389"/>
      <c r="P154" s="389"/>
      <c r="Q154" s="389"/>
      <c r="R154" s="389"/>
      <c r="S154" s="389"/>
      <c r="T154" s="389"/>
      <c r="U154" s="389"/>
      <c r="V154" s="389"/>
      <c r="W154" s="389"/>
      <c r="X154" s="389"/>
      <c r="Y154" s="389"/>
      <c r="Z154" s="389"/>
      <c r="AA154" s="389"/>
      <c r="AB154" s="389"/>
      <c r="AC154" s="389"/>
      <c r="AD154" s="389"/>
      <c r="AE154" s="389"/>
      <c r="AF154" s="389"/>
      <c r="AG154" s="389"/>
    </row>
    <row r="155">
      <c r="A155" s="389"/>
      <c r="B155" s="389"/>
      <c r="C155" s="389"/>
      <c r="D155" s="390"/>
      <c r="E155" s="389"/>
      <c r="F155" s="392"/>
      <c r="G155" s="389"/>
      <c r="H155" s="389"/>
      <c r="I155" s="389"/>
      <c r="J155" s="389"/>
      <c r="K155" s="389"/>
      <c r="L155" s="389"/>
      <c r="M155" s="389"/>
      <c r="N155" s="389"/>
      <c r="O155" s="389"/>
      <c r="P155" s="389"/>
      <c r="Q155" s="389"/>
      <c r="R155" s="389"/>
      <c r="S155" s="389"/>
      <c r="T155" s="389"/>
      <c r="U155" s="389"/>
      <c r="V155" s="389"/>
      <c r="W155" s="389"/>
      <c r="X155" s="389"/>
      <c r="Y155" s="389"/>
      <c r="Z155" s="389"/>
      <c r="AA155" s="389"/>
      <c r="AB155" s="389"/>
      <c r="AC155" s="389"/>
      <c r="AD155" s="389"/>
      <c r="AE155" s="389"/>
      <c r="AF155" s="389"/>
      <c r="AG155" s="389"/>
    </row>
    <row r="156">
      <c r="A156" s="389"/>
      <c r="B156" s="389"/>
      <c r="C156" s="389"/>
      <c r="D156" s="390"/>
      <c r="E156" s="389"/>
      <c r="F156" s="392"/>
      <c r="G156" s="389"/>
      <c r="H156" s="389"/>
      <c r="I156" s="389"/>
      <c r="J156" s="389"/>
      <c r="K156" s="389"/>
      <c r="L156" s="389"/>
      <c r="M156" s="389"/>
      <c r="N156" s="389"/>
      <c r="O156" s="389"/>
      <c r="P156" s="389"/>
      <c r="Q156" s="389"/>
      <c r="R156" s="389"/>
      <c r="S156" s="389"/>
      <c r="T156" s="389"/>
      <c r="U156" s="389"/>
      <c r="V156" s="389"/>
      <c r="W156" s="389"/>
      <c r="X156" s="389"/>
      <c r="Y156" s="389"/>
      <c r="Z156" s="389"/>
      <c r="AA156" s="389"/>
      <c r="AB156" s="389"/>
      <c r="AC156" s="389"/>
      <c r="AD156" s="389"/>
      <c r="AE156" s="389"/>
      <c r="AF156" s="389"/>
      <c r="AG156" s="389"/>
    </row>
    <row r="157">
      <c r="A157" s="389"/>
      <c r="B157" s="389"/>
      <c r="C157" s="389"/>
      <c r="D157" s="390"/>
      <c r="E157" s="389"/>
      <c r="F157" s="392"/>
      <c r="G157" s="389"/>
      <c r="H157" s="389"/>
      <c r="I157" s="389"/>
      <c r="J157" s="389"/>
      <c r="K157" s="389"/>
      <c r="L157" s="389"/>
      <c r="M157" s="389"/>
      <c r="N157" s="389"/>
      <c r="O157" s="389"/>
      <c r="P157" s="389"/>
      <c r="Q157" s="389"/>
      <c r="R157" s="389"/>
      <c r="S157" s="389"/>
      <c r="T157" s="389"/>
      <c r="U157" s="389"/>
      <c r="V157" s="389"/>
      <c r="W157" s="389"/>
      <c r="X157" s="389"/>
      <c r="Y157" s="389"/>
      <c r="Z157" s="389"/>
      <c r="AA157" s="389"/>
      <c r="AB157" s="389"/>
      <c r="AC157" s="389"/>
      <c r="AD157" s="389"/>
      <c r="AE157" s="389"/>
      <c r="AF157" s="389"/>
      <c r="AG157" s="389"/>
    </row>
    <row r="158">
      <c r="A158" s="389"/>
      <c r="B158" s="389"/>
      <c r="C158" s="389"/>
      <c r="D158" s="390"/>
      <c r="E158" s="389"/>
      <c r="F158" s="392"/>
      <c r="G158" s="389"/>
      <c r="H158" s="389"/>
      <c r="I158" s="389"/>
      <c r="J158" s="389"/>
      <c r="K158" s="389"/>
      <c r="L158" s="389"/>
      <c r="M158" s="389"/>
      <c r="N158" s="389"/>
      <c r="O158" s="389"/>
      <c r="P158" s="389"/>
      <c r="Q158" s="389"/>
      <c r="R158" s="389"/>
      <c r="S158" s="389"/>
      <c r="T158" s="389"/>
      <c r="U158" s="389"/>
      <c r="V158" s="389"/>
      <c r="W158" s="389"/>
      <c r="X158" s="389"/>
      <c r="Y158" s="389"/>
      <c r="Z158" s="389"/>
      <c r="AA158" s="389"/>
      <c r="AB158" s="389"/>
      <c r="AC158" s="389"/>
      <c r="AD158" s="389"/>
      <c r="AE158" s="389"/>
      <c r="AF158" s="389"/>
      <c r="AG158" s="389"/>
    </row>
    <row r="159">
      <c r="A159" s="389"/>
      <c r="B159" s="389"/>
      <c r="C159" s="389"/>
      <c r="D159" s="390"/>
      <c r="E159" s="389"/>
      <c r="F159" s="392"/>
      <c r="G159" s="389"/>
      <c r="H159" s="389"/>
      <c r="I159" s="389"/>
      <c r="J159" s="389"/>
      <c r="K159" s="389"/>
      <c r="L159" s="389"/>
      <c r="M159" s="389"/>
      <c r="N159" s="389"/>
      <c r="O159" s="389"/>
      <c r="P159" s="389"/>
      <c r="Q159" s="389"/>
      <c r="R159" s="389"/>
      <c r="S159" s="389"/>
      <c r="T159" s="389"/>
      <c r="U159" s="389"/>
      <c r="V159" s="389"/>
      <c r="W159" s="389"/>
      <c r="X159" s="389"/>
      <c r="Y159" s="389"/>
      <c r="Z159" s="389"/>
      <c r="AA159" s="389"/>
      <c r="AB159" s="389"/>
      <c r="AC159" s="389"/>
      <c r="AD159" s="389"/>
      <c r="AE159" s="389"/>
      <c r="AF159" s="389"/>
      <c r="AG159" s="389"/>
    </row>
    <row r="160">
      <c r="A160" s="389"/>
      <c r="B160" s="389"/>
      <c r="C160" s="389"/>
      <c r="D160" s="390"/>
      <c r="E160" s="389"/>
      <c r="F160" s="392"/>
      <c r="G160" s="389"/>
      <c r="H160" s="389"/>
      <c r="I160" s="389"/>
      <c r="J160" s="389"/>
      <c r="K160" s="389"/>
      <c r="L160" s="389"/>
      <c r="M160" s="389"/>
      <c r="N160" s="389"/>
      <c r="O160" s="389"/>
      <c r="P160" s="389"/>
      <c r="Q160" s="389"/>
      <c r="R160" s="389"/>
      <c r="S160" s="389"/>
      <c r="T160" s="389"/>
      <c r="U160" s="389"/>
      <c r="V160" s="389"/>
      <c r="W160" s="389"/>
      <c r="X160" s="389"/>
      <c r="Y160" s="389"/>
      <c r="Z160" s="389"/>
      <c r="AA160" s="389"/>
      <c r="AB160" s="389"/>
      <c r="AC160" s="389"/>
      <c r="AD160" s="389"/>
      <c r="AE160" s="389"/>
      <c r="AF160" s="389"/>
      <c r="AG160" s="389"/>
    </row>
    <row r="161">
      <c r="A161" s="389"/>
      <c r="B161" s="389"/>
      <c r="C161" s="389"/>
      <c r="D161" s="390"/>
      <c r="E161" s="389"/>
      <c r="F161" s="392"/>
      <c r="G161" s="389"/>
      <c r="H161" s="389"/>
      <c r="I161" s="389"/>
      <c r="J161" s="389"/>
      <c r="K161" s="389"/>
      <c r="L161" s="389"/>
      <c r="M161" s="389"/>
      <c r="N161" s="389"/>
      <c r="O161" s="389"/>
      <c r="P161" s="389"/>
      <c r="Q161" s="389"/>
      <c r="R161" s="389"/>
      <c r="S161" s="389"/>
      <c r="T161" s="389"/>
      <c r="U161" s="389"/>
      <c r="V161" s="389"/>
      <c r="W161" s="389"/>
      <c r="X161" s="389"/>
      <c r="Y161" s="389"/>
      <c r="Z161" s="389"/>
      <c r="AA161" s="389"/>
      <c r="AB161" s="389"/>
      <c r="AC161" s="389"/>
      <c r="AD161" s="389"/>
      <c r="AE161" s="389"/>
      <c r="AF161" s="389"/>
      <c r="AG161" s="389"/>
    </row>
    <row r="162">
      <c r="A162" s="389"/>
      <c r="B162" s="389"/>
      <c r="C162" s="389"/>
      <c r="D162" s="390"/>
      <c r="E162" s="389"/>
      <c r="F162" s="392"/>
      <c r="G162" s="389"/>
      <c r="H162" s="389"/>
      <c r="I162" s="389"/>
      <c r="J162" s="389"/>
      <c r="K162" s="389"/>
      <c r="L162" s="389"/>
      <c r="M162" s="389"/>
      <c r="N162" s="389"/>
      <c r="O162" s="389"/>
      <c r="P162" s="389"/>
      <c r="Q162" s="389"/>
      <c r="R162" s="389"/>
      <c r="S162" s="389"/>
      <c r="T162" s="389"/>
      <c r="U162" s="389"/>
      <c r="V162" s="389"/>
      <c r="W162" s="389"/>
      <c r="X162" s="389"/>
      <c r="Y162" s="389"/>
      <c r="Z162" s="389"/>
      <c r="AA162" s="389"/>
      <c r="AB162" s="389"/>
      <c r="AC162" s="389"/>
      <c r="AD162" s="389"/>
      <c r="AE162" s="389"/>
      <c r="AF162" s="389"/>
      <c r="AG162" s="389"/>
    </row>
    <row r="163">
      <c r="A163" s="389"/>
      <c r="B163" s="389"/>
      <c r="C163" s="389"/>
      <c r="D163" s="390"/>
      <c r="E163" s="389"/>
      <c r="F163" s="392"/>
      <c r="G163" s="389"/>
      <c r="H163" s="389"/>
      <c r="I163" s="389"/>
      <c r="J163" s="389"/>
      <c r="K163" s="389"/>
      <c r="L163" s="389"/>
      <c r="M163" s="389"/>
      <c r="N163" s="389"/>
      <c r="O163" s="389"/>
      <c r="P163" s="389"/>
      <c r="Q163" s="389"/>
      <c r="R163" s="389"/>
      <c r="S163" s="389"/>
      <c r="T163" s="389"/>
      <c r="U163" s="389"/>
      <c r="V163" s="389"/>
      <c r="W163" s="389"/>
      <c r="X163" s="389"/>
      <c r="Y163" s="389"/>
      <c r="Z163" s="389"/>
      <c r="AA163" s="389"/>
      <c r="AB163" s="389"/>
      <c r="AC163" s="389"/>
      <c r="AD163" s="389"/>
      <c r="AE163" s="389"/>
      <c r="AF163" s="389"/>
      <c r="AG163" s="389"/>
    </row>
    <row r="164">
      <c r="A164" s="389"/>
      <c r="B164" s="389"/>
      <c r="C164" s="389"/>
      <c r="D164" s="390"/>
      <c r="E164" s="389"/>
      <c r="F164" s="392"/>
      <c r="G164" s="389"/>
      <c r="H164" s="389"/>
      <c r="I164" s="389"/>
      <c r="J164" s="389"/>
      <c r="K164" s="389"/>
      <c r="L164" s="389"/>
      <c r="M164" s="389"/>
      <c r="N164" s="389"/>
      <c r="O164" s="389"/>
      <c r="P164" s="389"/>
      <c r="Q164" s="389"/>
      <c r="R164" s="389"/>
      <c r="S164" s="389"/>
      <c r="T164" s="389"/>
      <c r="U164" s="389"/>
      <c r="V164" s="389"/>
      <c r="W164" s="389"/>
      <c r="X164" s="389"/>
      <c r="Y164" s="389"/>
      <c r="Z164" s="389"/>
      <c r="AA164" s="389"/>
      <c r="AB164" s="389"/>
      <c r="AC164" s="389"/>
      <c r="AD164" s="389"/>
      <c r="AE164" s="389"/>
      <c r="AF164" s="389"/>
      <c r="AG164" s="389"/>
    </row>
    <row r="165">
      <c r="A165" s="389"/>
      <c r="B165" s="389"/>
      <c r="C165" s="389"/>
      <c r="D165" s="390"/>
      <c r="E165" s="389"/>
      <c r="F165" s="392"/>
      <c r="G165" s="389"/>
      <c r="H165" s="389"/>
      <c r="I165" s="389"/>
      <c r="J165" s="389"/>
      <c r="K165" s="389"/>
      <c r="L165" s="389"/>
      <c r="M165" s="389"/>
      <c r="N165" s="389"/>
      <c r="O165" s="389"/>
      <c r="P165" s="389"/>
      <c r="Q165" s="389"/>
      <c r="R165" s="389"/>
      <c r="S165" s="389"/>
      <c r="T165" s="389"/>
      <c r="U165" s="389"/>
      <c r="V165" s="389"/>
      <c r="W165" s="389"/>
      <c r="X165" s="389"/>
      <c r="Y165" s="389"/>
      <c r="Z165" s="389"/>
      <c r="AA165" s="389"/>
      <c r="AB165" s="389"/>
      <c r="AC165" s="389"/>
      <c r="AD165" s="389"/>
      <c r="AE165" s="389"/>
      <c r="AF165" s="389"/>
      <c r="AG165" s="389"/>
    </row>
    <row r="166">
      <c r="A166" s="389"/>
      <c r="B166" s="389"/>
      <c r="C166" s="389"/>
      <c r="D166" s="390"/>
      <c r="E166" s="389"/>
      <c r="F166" s="392"/>
      <c r="G166" s="389"/>
      <c r="H166" s="389"/>
      <c r="I166" s="389"/>
      <c r="J166" s="389"/>
      <c r="K166" s="389"/>
      <c r="L166" s="389"/>
      <c r="M166" s="389"/>
      <c r="N166" s="389"/>
      <c r="O166" s="389"/>
      <c r="P166" s="389"/>
      <c r="Q166" s="389"/>
      <c r="R166" s="389"/>
      <c r="S166" s="389"/>
      <c r="T166" s="389"/>
      <c r="U166" s="389"/>
      <c r="V166" s="389"/>
      <c r="W166" s="389"/>
      <c r="X166" s="389"/>
      <c r="Y166" s="389"/>
      <c r="Z166" s="389"/>
      <c r="AA166" s="389"/>
      <c r="AB166" s="389"/>
      <c r="AC166" s="389"/>
      <c r="AD166" s="389"/>
      <c r="AE166" s="389"/>
      <c r="AF166" s="389"/>
      <c r="AG166" s="389"/>
    </row>
    <row r="167">
      <c r="A167" s="389"/>
      <c r="B167" s="389"/>
      <c r="C167" s="389"/>
      <c r="D167" s="390"/>
      <c r="E167" s="389"/>
      <c r="F167" s="392"/>
      <c r="G167" s="389"/>
      <c r="H167" s="389"/>
      <c r="I167" s="389"/>
      <c r="J167" s="389"/>
      <c r="K167" s="389"/>
      <c r="L167" s="389"/>
      <c r="M167" s="389"/>
      <c r="N167" s="389"/>
      <c r="O167" s="389"/>
      <c r="P167" s="389"/>
      <c r="Q167" s="389"/>
      <c r="R167" s="389"/>
      <c r="S167" s="389"/>
      <c r="T167" s="389"/>
      <c r="U167" s="389"/>
      <c r="V167" s="389"/>
      <c r="W167" s="389"/>
      <c r="X167" s="389"/>
      <c r="Y167" s="389"/>
      <c r="Z167" s="389"/>
      <c r="AA167" s="389"/>
      <c r="AB167" s="389"/>
      <c r="AC167" s="389"/>
      <c r="AD167" s="389"/>
      <c r="AE167" s="389"/>
      <c r="AF167" s="389"/>
      <c r="AG167" s="389"/>
    </row>
    <row r="168">
      <c r="A168" s="389"/>
      <c r="B168" s="389"/>
      <c r="C168" s="389"/>
      <c r="D168" s="390"/>
      <c r="E168" s="389"/>
      <c r="F168" s="392"/>
      <c r="G168" s="389"/>
      <c r="H168" s="389"/>
      <c r="I168" s="389"/>
      <c r="J168" s="389"/>
      <c r="K168" s="389"/>
      <c r="L168" s="389"/>
      <c r="M168" s="389"/>
      <c r="N168" s="389"/>
      <c r="O168" s="389"/>
      <c r="P168" s="389"/>
      <c r="Q168" s="389"/>
      <c r="R168" s="389"/>
      <c r="S168" s="389"/>
      <c r="T168" s="389"/>
      <c r="U168" s="389"/>
      <c r="V168" s="389"/>
      <c r="W168" s="389"/>
      <c r="X168" s="389"/>
      <c r="Y168" s="389"/>
      <c r="Z168" s="389"/>
      <c r="AA168" s="389"/>
      <c r="AB168" s="389"/>
      <c r="AC168" s="389"/>
      <c r="AD168" s="389"/>
      <c r="AE168" s="389"/>
      <c r="AF168" s="389"/>
      <c r="AG168" s="389"/>
    </row>
    <row r="169">
      <c r="A169" s="389"/>
      <c r="B169" s="389"/>
      <c r="C169" s="389"/>
      <c r="D169" s="390"/>
      <c r="E169" s="389"/>
      <c r="F169" s="392"/>
      <c r="G169" s="389"/>
      <c r="H169" s="389"/>
      <c r="I169" s="389"/>
      <c r="J169" s="389"/>
      <c r="K169" s="389"/>
      <c r="L169" s="389"/>
      <c r="M169" s="389"/>
      <c r="N169" s="389"/>
      <c r="O169" s="389"/>
      <c r="P169" s="389"/>
      <c r="Q169" s="389"/>
      <c r="R169" s="389"/>
      <c r="S169" s="389"/>
      <c r="T169" s="389"/>
      <c r="U169" s="389"/>
      <c r="V169" s="389"/>
      <c r="W169" s="389"/>
      <c r="X169" s="389"/>
      <c r="Y169" s="389"/>
      <c r="Z169" s="389"/>
      <c r="AA169" s="389"/>
      <c r="AB169" s="389"/>
      <c r="AC169" s="389"/>
      <c r="AD169" s="389"/>
      <c r="AE169" s="389"/>
      <c r="AF169" s="389"/>
      <c r="AG169" s="389"/>
    </row>
    <row r="170">
      <c r="A170" s="389"/>
      <c r="B170" s="389"/>
      <c r="C170" s="389"/>
      <c r="D170" s="390"/>
      <c r="E170" s="389"/>
      <c r="F170" s="392"/>
      <c r="G170" s="389"/>
      <c r="H170" s="389"/>
      <c r="I170" s="389"/>
      <c r="J170" s="389"/>
      <c r="K170" s="389"/>
      <c r="L170" s="389"/>
      <c r="M170" s="389"/>
      <c r="N170" s="389"/>
      <c r="O170" s="389"/>
      <c r="P170" s="389"/>
      <c r="Q170" s="389"/>
      <c r="R170" s="389"/>
      <c r="S170" s="389"/>
      <c r="T170" s="389"/>
      <c r="U170" s="389"/>
      <c r="V170" s="389"/>
      <c r="W170" s="389"/>
      <c r="X170" s="389"/>
      <c r="Y170" s="389"/>
      <c r="Z170" s="389"/>
      <c r="AA170" s="389"/>
      <c r="AB170" s="389"/>
      <c r="AC170" s="389"/>
      <c r="AD170" s="389"/>
      <c r="AE170" s="389"/>
      <c r="AF170" s="389"/>
      <c r="AG170" s="389"/>
    </row>
    <row r="171">
      <c r="A171" s="389"/>
      <c r="B171" s="389"/>
      <c r="C171" s="389"/>
      <c r="D171" s="390"/>
      <c r="E171" s="389"/>
      <c r="F171" s="392"/>
      <c r="G171" s="389"/>
      <c r="H171" s="389"/>
      <c r="I171" s="389"/>
      <c r="J171" s="389"/>
      <c r="K171" s="389"/>
      <c r="L171" s="389"/>
      <c r="M171" s="389"/>
      <c r="N171" s="389"/>
      <c r="O171" s="389"/>
      <c r="P171" s="389"/>
      <c r="Q171" s="389"/>
      <c r="R171" s="389"/>
      <c r="S171" s="389"/>
      <c r="T171" s="389"/>
      <c r="U171" s="389"/>
      <c r="V171" s="389"/>
      <c r="W171" s="389"/>
      <c r="X171" s="389"/>
      <c r="Y171" s="389"/>
      <c r="Z171" s="389"/>
      <c r="AA171" s="389"/>
      <c r="AB171" s="389"/>
      <c r="AC171" s="389"/>
      <c r="AD171" s="389"/>
      <c r="AE171" s="389"/>
      <c r="AF171" s="389"/>
      <c r="AG171" s="389"/>
    </row>
    <row r="172">
      <c r="A172" s="389"/>
      <c r="B172" s="389"/>
      <c r="C172" s="389"/>
      <c r="D172" s="390"/>
      <c r="E172" s="389"/>
      <c r="F172" s="392"/>
      <c r="G172" s="389"/>
      <c r="H172" s="389"/>
      <c r="I172" s="389"/>
      <c r="J172" s="389"/>
      <c r="K172" s="389"/>
      <c r="L172" s="389"/>
      <c r="M172" s="389"/>
      <c r="N172" s="389"/>
      <c r="O172" s="389"/>
      <c r="P172" s="389"/>
      <c r="Q172" s="389"/>
      <c r="R172" s="389"/>
      <c r="S172" s="389"/>
      <c r="T172" s="389"/>
      <c r="U172" s="389"/>
      <c r="V172" s="389"/>
      <c r="W172" s="389"/>
      <c r="X172" s="389"/>
      <c r="Y172" s="389"/>
      <c r="Z172" s="389"/>
      <c r="AA172" s="389"/>
      <c r="AB172" s="389"/>
      <c r="AC172" s="389"/>
      <c r="AD172" s="389"/>
      <c r="AE172" s="389"/>
      <c r="AF172" s="389"/>
      <c r="AG172" s="389"/>
    </row>
    <row r="173">
      <c r="A173" s="389"/>
      <c r="B173" s="389"/>
      <c r="C173" s="389"/>
      <c r="D173" s="390"/>
      <c r="E173" s="389"/>
      <c r="F173" s="392"/>
      <c r="G173" s="389"/>
      <c r="H173" s="389"/>
      <c r="I173" s="389"/>
      <c r="J173" s="389"/>
      <c r="K173" s="389"/>
      <c r="L173" s="389"/>
      <c r="M173" s="389"/>
      <c r="N173" s="389"/>
      <c r="O173" s="389"/>
      <c r="P173" s="389"/>
      <c r="Q173" s="389"/>
      <c r="R173" s="389"/>
      <c r="S173" s="389"/>
      <c r="T173" s="389"/>
      <c r="U173" s="389"/>
      <c r="V173" s="389"/>
      <c r="W173" s="389"/>
      <c r="X173" s="389"/>
      <c r="Y173" s="389"/>
      <c r="Z173" s="389"/>
      <c r="AA173" s="389"/>
      <c r="AB173" s="389"/>
      <c r="AC173" s="389"/>
      <c r="AD173" s="389"/>
      <c r="AE173" s="389"/>
      <c r="AF173" s="389"/>
      <c r="AG173" s="389"/>
    </row>
    <row r="174">
      <c r="A174" s="389"/>
      <c r="B174" s="389"/>
      <c r="C174" s="389"/>
      <c r="D174" s="390"/>
      <c r="E174" s="389"/>
      <c r="F174" s="392"/>
      <c r="G174" s="389"/>
      <c r="H174" s="389"/>
      <c r="I174" s="389"/>
      <c r="J174" s="389"/>
      <c r="K174" s="389"/>
      <c r="L174" s="389"/>
      <c r="M174" s="389"/>
      <c r="N174" s="389"/>
      <c r="O174" s="389"/>
      <c r="P174" s="389"/>
      <c r="Q174" s="389"/>
      <c r="R174" s="389"/>
      <c r="S174" s="389"/>
      <c r="T174" s="389"/>
      <c r="U174" s="389"/>
      <c r="V174" s="389"/>
      <c r="W174" s="389"/>
      <c r="X174" s="389"/>
      <c r="Y174" s="389"/>
      <c r="Z174" s="389"/>
      <c r="AA174" s="389"/>
      <c r="AB174" s="389"/>
      <c r="AC174" s="389"/>
      <c r="AD174" s="389"/>
      <c r="AE174" s="389"/>
      <c r="AF174" s="389"/>
      <c r="AG174" s="389"/>
    </row>
    <row r="175">
      <c r="A175" s="389"/>
      <c r="B175" s="389"/>
      <c r="C175" s="389"/>
      <c r="D175" s="390"/>
      <c r="E175" s="389"/>
      <c r="F175" s="392"/>
      <c r="G175" s="389"/>
      <c r="H175" s="389"/>
      <c r="I175" s="389"/>
      <c r="J175" s="389"/>
      <c r="K175" s="389"/>
      <c r="L175" s="389"/>
      <c r="M175" s="389"/>
      <c r="N175" s="389"/>
      <c r="O175" s="389"/>
      <c r="P175" s="389"/>
      <c r="Q175" s="389"/>
      <c r="R175" s="389"/>
      <c r="S175" s="389"/>
      <c r="T175" s="389"/>
      <c r="U175" s="389"/>
      <c r="V175" s="389"/>
      <c r="W175" s="389"/>
      <c r="X175" s="389"/>
      <c r="Y175" s="389"/>
      <c r="Z175" s="389"/>
      <c r="AA175" s="389"/>
      <c r="AB175" s="389"/>
      <c r="AC175" s="389"/>
      <c r="AD175" s="389"/>
      <c r="AE175" s="389"/>
      <c r="AF175" s="389"/>
      <c r="AG175" s="389"/>
    </row>
    <row r="176">
      <c r="A176" s="389"/>
      <c r="B176" s="389"/>
      <c r="C176" s="389"/>
      <c r="D176" s="390"/>
      <c r="E176" s="389"/>
      <c r="F176" s="392"/>
      <c r="G176" s="389"/>
      <c r="H176" s="389"/>
      <c r="I176" s="389"/>
      <c r="J176" s="389"/>
      <c r="K176" s="389"/>
      <c r="L176" s="389"/>
      <c r="M176" s="389"/>
      <c r="N176" s="389"/>
      <c r="O176" s="389"/>
      <c r="P176" s="389"/>
      <c r="Q176" s="389"/>
      <c r="R176" s="389"/>
      <c r="S176" s="389"/>
      <c r="T176" s="389"/>
      <c r="U176" s="389"/>
      <c r="V176" s="389"/>
      <c r="W176" s="389"/>
      <c r="X176" s="389"/>
      <c r="Y176" s="389"/>
      <c r="Z176" s="389"/>
      <c r="AA176" s="389"/>
      <c r="AB176" s="389"/>
      <c r="AC176" s="389"/>
      <c r="AD176" s="389"/>
      <c r="AE176" s="389"/>
      <c r="AF176" s="389"/>
      <c r="AG176" s="389"/>
    </row>
    <row r="177">
      <c r="A177" s="389"/>
      <c r="B177" s="389"/>
      <c r="C177" s="389"/>
      <c r="D177" s="390"/>
      <c r="E177" s="389"/>
      <c r="F177" s="392"/>
      <c r="G177" s="389"/>
      <c r="H177" s="389"/>
      <c r="I177" s="389"/>
      <c r="J177" s="389"/>
      <c r="K177" s="389"/>
      <c r="L177" s="389"/>
      <c r="M177" s="389"/>
      <c r="N177" s="389"/>
      <c r="O177" s="389"/>
      <c r="P177" s="389"/>
      <c r="Q177" s="389"/>
      <c r="R177" s="389"/>
      <c r="S177" s="389"/>
      <c r="T177" s="389"/>
      <c r="U177" s="389"/>
      <c r="V177" s="389"/>
      <c r="W177" s="389"/>
      <c r="X177" s="389"/>
      <c r="Y177" s="389"/>
      <c r="Z177" s="389"/>
      <c r="AA177" s="389"/>
      <c r="AB177" s="389"/>
      <c r="AC177" s="389"/>
      <c r="AD177" s="389"/>
      <c r="AE177" s="389"/>
      <c r="AF177" s="389"/>
      <c r="AG177" s="389"/>
    </row>
    <row r="178">
      <c r="A178" s="389"/>
      <c r="B178" s="389"/>
      <c r="C178" s="389"/>
      <c r="D178" s="390"/>
      <c r="E178" s="389"/>
      <c r="F178" s="392"/>
      <c r="G178" s="389"/>
      <c r="H178" s="389"/>
      <c r="I178" s="389"/>
      <c r="J178" s="389"/>
      <c r="K178" s="389"/>
      <c r="L178" s="389"/>
      <c r="M178" s="389"/>
      <c r="N178" s="389"/>
      <c r="O178" s="389"/>
      <c r="P178" s="389"/>
      <c r="Q178" s="389"/>
      <c r="R178" s="389"/>
      <c r="S178" s="389"/>
      <c r="T178" s="389"/>
      <c r="U178" s="389"/>
      <c r="V178" s="389"/>
      <c r="W178" s="389"/>
      <c r="X178" s="389"/>
      <c r="Y178" s="389"/>
      <c r="Z178" s="389"/>
      <c r="AA178" s="389"/>
      <c r="AB178" s="389"/>
      <c r="AC178" s="389"/>
      <c r="AD178" s="389"/>
      <c r="AE178" s="389"/>
      <c r="AF178" s="389"/>
      <c r="AG178" s="389"/>
    </row>
    <row r="179">
      <c r="A179" s="389"/>
      <c r="B179" s="389"/>
      <c r="C179" s="389"/>
      <c r="D179" s="390"/>
      <c r="E179" s="389"/>
      <c r="F179" s="392"/>
      <c r="G179" s="389"/>
      <c r="H179" s="389"/>
      <c r="I179" s="389"/>
      <c r="J179" s="389"/>
      <c r="K179" s="389"/>
      <c r="L179" s="389"/>
      <c r="M179" s="389"/>
      <c r="N179" s="389"/>
      <c r="O179" s="389"/>
      <c r="P179" s="389"/>
      <c r="Q179" s="389"/>
      <c r="R179" s="389"/>
      <c r="S179" s="389"/>
      <c r="T179" s="389"/>
      <c r="U179" s="389"/>
      <c r="V179" s="389"/>
      <c r="W179" s="389"/>
      <c r="X179" s="389"/>
      <c r="Y179" s="389"/>
      <c r="Z179" s="389"/>
      <c r="AA179" s="389"/>
      <c r="AB179" s="389"/>
      <c r="AC179" s="389"/>
      <c r="AD179" s="389"/>
      <c r="AE179" s="389"/>
      <c r="AF179" s="389"/>
      <c r="AG179" s="389"/>
    </row>
    <row r="180">
      <c r="A180" s="389"/>
      <c r="B180" s="389"/>
      <c r="C180" s="389"/>
      <c r="D180" s="390"/>
      <c r="E180" s="389"/>
      <c r="F180" s="392"/>
      <c r="G180" s="389"/>
      <c r="H180" s="389"/>
      <c r="I180" s="389"/>
      <c r="J180" s="389"/>
      <c r="K180" s="389"/>
      <c r="L180" s="389"/>
      <c r="M180" s="389"/>
      <c r="N180" s="389"/>
      <c r="O180" s="389"/>
      <c r="P180" s="389"/>
      <c r="Q180" s="389"/>
      <c r="R180" s="389"/>
      <c r="S180" s="389"/>
      <c r="T180" s="389"/>
      <c r="U180" s="389"/>
      <c r="V180" s="389"/>
      <c r="W180" s="389"/>
      <c r="X180" s="389"/>
      <c r="Y180" s="389"/>
      <c r="Z180" s="389"/>
      <c r="AA180" s="389"/>
      <c r="AB180" s="389"/>
      <c r="AC180" s="389"/>
      <c r="AD180" s="389"/>
      <c r="AE180" s="389"/>
      <c r="AF180" s="389"/>
      <c r="AG180" s="389"/>
    </row>
    <row r="181">
      <c r="A181" s="389"/>
      <c r="B181" s="389"/>
      <c r="C181" s="389"/>
      <c r="D181" s="390"/>
      <c r="E181" s="389"/>
      <c r="F181" s="392"/>
      <c r="G181" s="389"/>
      <c r="H181" s="389"/>
      <c r="I181" s="389"/>
      <c r="J181" s="389"/>
      <c r="K181" s="389"/>
      <c r="L181" s="389"/>
      <c r="M181" s="389"/>
      <c r="N181" s="389"/>
      <c r="O181" s="389"/>
      <c r="P181" s="389"/>
      <c r="Q181" s="389"/>
      <c r="R181" s="389"/>
      <c r="S181" s="389"/>
      <c r="T181" s="389"/>
      <c r="U181" s="389"/>
      <c r="V181" s="389"/>
      <c r="W181" s="389"/>
      <c r="X181" s="389"/>
      <c r="Y181" s="389"/>
      <c r="Z181" s="389"/>
      <c r="AA181" s="389"/>
      <c r="AB181" s="389"/>
      <c r="AC181" s="389"/>
      <c r="AD181" s="389"/>
      <c r="AE181" s="389"/>
      <c r="AF181" s="389"/>
      <c r="AG181" s="389"/>
    </row>
    <row r="182">
      <c r="A182" s="389"/>
      <c r="B182" s="389"/>
      <c r="C182" s="389"/>
      <c r="D182" s="390"/>
      <c r="E182" s="389"/>
      <c r="F182" s="392"/>
      <c r="G182" s="389"/>
      <c r="H182" s="389"/>
      <c r="I182" s="389"/>
      <c r="J182" s="389"/>
      <c r="K182" s="389"/>
      <c r="L182" s="389"/>
      <c r="M182" s="389"/>
      <c r="N182" s="389"/>
      <c r="O182" s="389"/>
      <c r="P182" s="389"/>
      <c r="Q182" s="389"/>
      <c r="R182" s="389"/>
      <c r="S182" s="389"/>
      <c r="T182" s="389"/>
      <c r="U182" s="389"/>
      <c r="V182" s="389"/>
      <c r="W182" s="389"/>
      <c r="X182" s="389"/>
      <c r="Y182" s="389"/>
      <c r="Z182" s="389"/>
      <c r="AA182" s="389"/>
      <c r="AB182" s="389"/>
      <c r="AC182" s="389"/>
      <c r="AD182" s="389"/>
      <c r="AE182" s="389"/>
      <c r="AF182" s="389"/>
      <c r="AG182" s="389"/>
    </row>
    <row r="183">
      <c r="A183" s="389"/>
      <c r="B183" s="389"/>
      <c r="C183" s="389"/>
      <c r="D183" s="390"/>
      <c r="E183" s="389"/>
      <c r="F183" s="392"/>
      <c r="G183" s="389"/>
      <c r="H183" s="389"/>
      <c r="I183" s="389"/>
      <c r="J183" s="389"/>
      <c r="K183" s="389"/>
      <c r="L183" s="389"/>
      <c r="M183" s="389"/>
      <c r="N183" s="389"/>
      <c r="O183" s="389"/>
      <c r="P183" s="389"/>
      <c r="Q183" s="389"/>
      <c r="R183" s="389"/>
      <c r="S183" s="389"/>
      <c r="T183" s="389"/>
      <c r="U183" s="389"/>
      <c r="V183" s="389"/>
      <c r="W183" s="389"/>
      <c r="X183" s="389"/>
      <c r="Y183" s="389"/>
      <c r="Z183" s="389"/>
      <c r="AA183" s="389"/>
      <c r="AB183" s="389"/>
      <c r="AC183" s="389"/>
      <c r="AD183" s="389"/>
      <c r="AE183" s="389"/>
      <c r="AF183" s="389"/>
      <c r="AG183" s="389"/>
    </row>
    <row r="184">
      <c r="A184" s="389"/>
      <c r="B184" s="389"/>
      <c r="C184" s="389"/>
      <c r="D184" s="390"/>
      <c r="E184" s="389"/>
      <c r="F184" s="392"/>
      <c r="G184" s="389"/>
      <c r="H184" s="389"/>
      <c r="I184" s="389"/>
      <c r="J184" s="389"/>
      <c r="K184" s="389"/>
      <c r="L184" s="389"/>
      <c r="M184" s="389"/>
      <c r="N184" s="389"/>
      <c r="O184" s="389"/>
      <c r="P184" s="389"/>
      <c r="Q184" s="389"/>
      <c r="R184" s="389"/>
      <c r="S184" s="389"/>
      <c r="T184" s="389"/>
      <c r="U184" s="389"/>
      <c r="V184" s="389"/>
      <c r="W184" s="389"/>
      <c r="X184" s="389"/>
      <c r="Y184" s="389"/>
      <c r="Z184" s="389"/>
      <c r="AA184" s="389"/>
      <c r="AB184" s="389"/>
      <c r="AC184" s="389"/>
      <c r="AD184" s="389"/>
      <c r="AE184" s="389"/>
      <c r="AF184" s="389"/>
      <c r="AG184" s="389"/>
    </row>
    <row r="185">
      <c r="A185" s="389"/>
      <c r="B185" s="389"/>
      <c r="C185" s="389"/>
      <c r="D185" s="390"/>
      <c r="E185" s="389"/>
      <c r="F185" s="392"/>
      <c r="G185" s="389"/>
      <c r="H185" s="389"/>
      <c r="I185" s="389"/>
      <c r="J185" s="389"/>
      <c r="K185" s="389"/>
      <c r="L185" s="389"/>
      <c r="M185" s="389"/>
      <c r="N185" s="389"/>
      <c r="O185" s="389"/>
      <c r="P185" s="389"/>
      <c r="Q185" s="389"/>
      <c r="R185" s="389"/>
      <c r="S185" s="389"/>
      <c r="T185" s="389"/>
      <c r="U185" s="389"/>
      <c r="V185" s="389"/>
      <c r="W185" s="389"/>
      <c r="X185" s="389"/>
      <c r="Y185" s="389"/>
      <c r="Z185" s="389"/>
      <c r="AA185" s="389"/>
      <c r="AB185" s="389"/>
      <c r="AC185" s="389"/>
      <c r="AD185" s="389"/>
      <c r="AE185" s="389"/>
      <c r="AF185" s="389"/>
      <c r="AG185" s="389"/>
    </row>
    <row r="186">
      <c r="A186" s="389"/>
      <c r="B186" s="389"/>
      <c r="C186" s="389"/>
      <c r="D186" s="390"/>
      <c r="E186" s="389"/>
      <c r="F186" s="392"/>
      <c r="G186" s="389"/>
      <c r="H186" s="389"/>
      <c r="I186" s="389"/>
      <c r="J186" s="389"/>
      <c r="K186" s="389"/>
      <c r="L186" s="389"/>
      <c r="M186" s="389"/>
      <c r="N186" s="389"/>
      <c r="O186" s="389"/>
      <c r="P186" s="389"/>
      <c r="Q186" s="389"/>
      <c r="R186" s="389"/>
      <c r="S186" s="389"/>
      <c r="T186" s="389"/>
      <c r="U186" s="389"/>
      <c r="V186" s="389"/>
      <c r="W186" s="389"/>
      <c r="X186" s="389"/>
      <c r="Y186" s="389"/>
      <c r="Z186" s="389"/>
      <c r="AA186" s="389"/>
      <c r="AB186" s="389"/>
      <c r="AC186" s="389"/>
      <c r="AD186" s="389"/>
      <c r="AE186" s="389"/>
      <c r="AF186" s="389"/>
      <c r="AG186" s="389"/>
    </row>
    <row r="187">
      <c r="A187" s="389"/>
      <c r="B187" s="389"/>
      <c r="C187" s="389"/>
      <c r="D187" s="390"/>
      <c r="E187" s="389"/>
      <c r="F187" s="392"/>
      <c r="G187" s="389"/>
      <c r="H187" s="389"/>
      <c r="I187" s="389"/>
      <c r="J187" s="389"/>
      <c r="K187" s="389"/>
      <c r="L187" s="389"/>
      <c r="M187" s="389"/>
      <c r="N187" s="389"/>
      <c r="O187" s="389"/>
      <c r="P187" s="389"/>
      <c r="Q187" s="389"/>
      <c r="R187" s="389"/>
      <c r="S187" s="389"/>
      <c r="T187" s="389"/>
      <c r="U187" s="389"/>
      <c r="V187" s="389"/>
      <c r="W187" s="389"/>
      <c r="X187" s="389"/>
      <c r="Y187" s="389"/>
      <c r="Z187" s="389"/>
      <c r="AA187" s="389"/>
      <c r="AB187" s="389"/>
      <c r="AC187" s="389"/>
      <c r="AD187" s="389"/>
      <c r="AE187" s="389"/>
      <c r="AF187" s="389"/>
      <c r="AG187" s="389"/>
    </row>
    <row r="188">
      <c r="A188" s="389"/>
      <c r="B188" s="389"/>
      <c r="C188" s="389"/>
      <c r="D188" s="390"/>
      <c r="E188" s="389"/>
      <c r="F188" s="392"/>
      <c r="G188" s="389"/>
      <c r="H188" s="389"/>
      <c r="I188" s="389"/>
      <c r="J188" s="389"/>
      <c r="K188" s="389"/>
      <c r="L188" s="389"/>
      <c r="M188" s="389"/>
      <c r="N188" s="389"/>
      <c r="O188" s="389"/>
      <c r="P188" s="389"/>
      <c r="Q188" s="389"/>
      <c r="R188" s="389"/>
      <c r="S188" s="389"/>
      <c r="T188" s="389"/>
      <c r="U188" s="389"/>
      <c r="V188" s="389"/>
      <c r="W188" s="389"/>
      <c r="X188" s="389"/>
      <c r="Y188" s="389"/>
      <c r="Z188" s="389"/>
      <c r="AA188" s="389"/>
      <c r="AB188" s="389"/>
      <c r="AC188" s="389"/>
      <c r="AD188" s="389"/>
      <c r="AE188" s="389"/>
      <c r="AF188" s="389"/>
      <c r="AG188" s="389"/>
    </row>
    <row r="189">
      <c r="A189" s="389"/>
      <c r="B189" s="389"/>
      <c r="C189" s="389"/>
      <c r="D189" s="390"/>
      <c r="E189" s="389"/>
      <c r="F189" s="392"/>
      <c r="G189" s="389"/>
      <c r="H189" s="389"/>
      <c r="I189" s="389"/>
      <c r="J189" s="389"/>
      <c r="K189" s="389"/>
      <c r="L189" s="389"/>
      <c r="M189" s="389"/>
      <c r="N189" s="389"/>
      <c r="O189" s="389"/>
      <c r="P189" s="389"/>
      <c r="Q189" s="389"/>
      <c r="R189" s="389"/>
      <c r="S189" s="389"/>
      <c r="T189" s="389"/>
      <c r="U189" s="389"/>
      <c r="V189" s="389"/>
      <c r="W189" s="389"/>
      <c r="X189" s="389"/>
      <c r="Y189" s="389"/>
      <c r="Z189" s="389"/>
      <c r="AA189" s="389"/>
      <c r="AB189" s="389"/>
      <c r="AC189" s="389"/>
      <c r="AD189" s="389"/>
      <c r="AE189" s="389"/>
      <c r="AF189" s="389"/>
      <c r="AG189" s="389"/>
    </row>
    <row r="190">
      <c r="A190" s="389"/>
      <c r="B190" s="389"/>
      <c r="C190" s="389"/>
      <c r="D190" s="390"/>
      <c r="E190" s="389"/>
      <c r="F190" s="392"/>
      <c r="G190" s="389"/>
      <c r="H190" s="389"/>
      <c r="I190" s="389"/>
      <c r="J190" s="389"/>
      <c r="K190" s="389"/>
      <c r="L190" s="389"/>
      <c r="M190" s="389"/>
      <c r="N190" s="389"/>
      <c r="O190" s="389"/>
      <c r="P190" s="389"/>
      <c r="Q190" s="389"/>
      <c r="R190" s="389"/>
      <c r="S190" s="389"/>
      <c r="T190" s="389"/>
      <c r="U190" s="389"/>
      <c r="V190" s="389"/>
      <c r="W190" s="389"/>
      <c r="X190" s="389"/>
      <c r="Y190" s="389"/>
      <c r="Z190" s="389"/>
      <c r="AA190" s="389"/>
      <c r="AB190" s="389"/>
      <c r="AC190" s="389"/>
      <c r="AD190" s="389"/>
      <c r="AE190" s="389"/>
      <c r="AF190" s="389"/>
      <c r="AG190" s="389"/>
    </row>
    <row r="191">
      <c r="A191" s="389"/>
      <c r="B191" s="389"/>
      <c r="C191" s="389"/>
      <c r="D191" s="390"/>
      <c r="E191" s="389"/>
      <c r="F191" s="392"/>
      <c r="G191" s="389"/>
      <c r="H191" s="389"/>
      <c r="I191" s="389"/>
      <c r="J191" s="389"/>
      <c r="K191" s="389"/>
      <c r="L191" s="389"/>
      <c r="M191" s="389"/>
      <c r="N191" s="389"/>
      <c r="O191" s="389"/>
      <c r="P191" s="389"/>
      <c r="Q191" s="389"/>
      <c r="R191" s="389"/>
      <c r="S191" s="389"/>
      <c r="T191" s="389"/>
      <c r="U191" s="389"/>
      <c r="V191" s="389"/>
      <c r="W191" s="389"/>
      <c r="X191" s="389"/>
      <c r="Y191" s="389"/>
      <c r="Z191" s="389"/>
      <c r="AA191" s="389"/>
      <c r="AB191" s="389"/>
      <c r="AC191" s="389"/>
      <c r="AD191" s="389"/>
      <c r="AE191" s="389"/>
      <c r="AF191" s="389"/>
      <c r="AG191" s="389"/>
    </row>
    <row r="192">
      <c r="A192" s="389"/>
      <c r="B192" s="389"/>
      <c r="C192" s="389"/>
      <c r="D192" s="390"/>
      <c r="E192" s="389"/>
      <c r="F192" s="392"/>
      <c r="G192" s="389"/>
      <c r="H192" s="389"/>
      <c r="I192" s="389"/>
      <c r="J192" s="389"/>
      <c r="K192" s="389"/>
      <c r="L192" s="389"/>
      <c r="M192" s="389"/>
      <c r="N192" s="389"/>
      <c r="O192" s="389"/>
      <c r="P192" s="389"/>
      <c r="Q192" s="389"/>
      <c r="R192" s="389"/>
      <c r="S192" s="389"/>
      <c r="T192" s="389"/>
      <c r="U192" s="389"/>
      <c r="V192" s="389"/>
      <c r="W192" s="389"/>
      <c r="X192" s="389"/>
      <c r="Y192" s="389"/>
      <c r="Z192" s="389"/>
      <c r="AA192" s="389"/>
      <c r="AB192" s="389"/>
      <c r="AC192" s="389"/>
      <c r="AD192" s="389"/>
      <c r="AE192" s="389"/>
      <c r="AF192" s="389"/>
      <c r="AG192" s="389"/>
    </row>
    <row r="193">
      <c r="A193" s="389"/>
      <c r="B193" s="389"/>
      <c r="C193" s="389"/>
      <c r="D193" s="390"/>
      <c r="E193" s="389"/>
      <c r="F193" s="392"/>
      <c r="G193" s="389"/>
      <c r="H193" s="389"/>
      <c r="I193" s="389"/>
      <c r="J193" s="389"/>
      <c r="K193" s="389"/>
      <c r="L193" s="389"/>
      <c r="M193" s="389"/>
      <c r="N193" s="389"/>
      <c r="O193" s="389"/>
      <c r="P193" s="389"/>
      <c r="Q193" s="389"/>
      <c r="R193" s="389"/>
      <c r="S193" s="389"/>
      <c r="T193" s="389"/>
      <c r="U193" s="389"/>
      <c r="V193" s="389"/>
      <c r="W193" s="389"/>
      <c r="X193" s="389"/>
      <c r="Y193" s="389"/>
      <c r="Z193" s="389"/>
      <c r="AA193" s="389"/>
      <c r="AB193" s="389"/>
      <c r="AC193" s="389"/>
      <c r="AD193" s="389"/>
      <c r="AE193" s="389"/>
      <c r="AF193" s="389"/>
      <c r="AG193" s="389"/>
    </row>
    <row r="194">
      <c r="A194" s="389"/>
      <c r="B194" s="389"/>
      <c r="C194" s="389"/>
      <c r="D194" s="390"/>
      <c r="E194" s="389"/>
      <c r="F194" s="392"/>
      <c r="G194" s="389"/>
      <c r="H194" s="389"/>
      <c r="I194" s="389"/>
      <c r="J194" s="389"/>
      <c r="K194" s="389"/>
      <c r="L194" s="389"/>
      <c r="M194" s="389"/>
      <c r="N194" s="389"/>
      <c r="O194" s="389"/>
      <c r="P194" s="389"/>
      <c r="Q194" s="389"/>
      <c r="R194" s="389"/>
      <c r="S194" s="389"/>
      <c r="T194" s="389"/>
      <c r="U194" s="389"/>
      <c r="V194" s="389"/>
      <c r="W194" s="389"/>
      <c r="X194" s="389"/>
      <c r="Y194" s="389"/>
      <c r="Z194" s="389"/>
      <c r="AA194" s="389"/>
      <c r="AB194" s="389"/>
      <c r="AC194" s="389"/>
      <c r="AD194" s="389"/>
      <c r="AE194" s="389"/>
      <c r="AF194" s="389"/>
      <c r="AG194" s="389"/>
    </row>
    <row r="195">
      <c r="A195" s="389"/>
      <c r="B195" s="389"/>
      <c r="C195" s="389"/>
      <c r="D195" s="390"/>
      <c r="E195" s="389"/>
      <c r="F195" s="392"/>
      <c r="G195" s="389"/>
      <c r="H195" s="389"/>
      <c r="I195" s="389"/>
      <c r="J195" s="389"/>
      <c r="K195" s="389"/>
      <c r="L195" s="389"/>
      <c r="M195" s="389"/>
      <c r="N195" s="389"/>
      <c r="O195" s="389"/>
      <c r="P195" s="389"/>
      <c r="Q195" s="389"/>
      <c r="R195" s="389"/>
      <c r="S195" s="389"/>
      <c r="T195" s="389"/>
      <c r="U195" s="389"/>
      <c r="V195" s="389"/>
      <c r="W195" s="389"/>
      <c r="X195" s="389"/>
      <c r="Y195" s="389"/>
      <c r="Z195" s="389"/>
      <c r="AA195" s="389"/>
      <c r="AB195" s="389"/>
      <c r="AC195" s="389"/>
      <c r="AD195" s="389"/>
      <c r="AE195" s="389"/>
      <c r="AF195" s="389"/>
      <c r="AG195" s="389"/>
    </row>
    <row r="196">
      <c r="A196" s="389"/>
      <c r="B196" s="389"/>
      <c r="C196" s="389"/>
      <c r="D196" s="390"/>
      <c r="E196" s="389"/>
      <c r="F196" s="392"/>
      <c r="G196" s="389"/>
      <c r="H196" s="389"/>
      <c r="I196" s="389"/>
      <c r="J196" s="389"/>
      <c r="K196" s="389"/>
      <c r="L196" s="389"/>
      <c r="M196" s="389"/>
      <c r="N196" s="389"/>
      <c r="O196" s="389"/>
      <c r="P196" s="389"/>
      <c r="Q196" s="389"/>
      <c r="R196" s="389"/>
      <c r="S196" s="389"/>
      <c r="T196" s="389"/>
      <c r="U196" s="389"/>
      <c r="V196" s="389"/>
      <c r="W196" s="389"/>
      <c r="X196" s="389"/>
      <c r="Y196" s="389"/>
      <c r="Z196" s="389"/>
      <c r="AA196" s="389"/>
      <c r="AB196" s="389"/>
      <c r="AC196" s="389"/>
      <c r="AD196" s="389"/>
      <c r="AE196" s="389"/>
      <c r="AF196" s="389"/>
      <c r="AG196" s="389"/>
    </row>
    <row r="197">
      <c r="A197" s="389"/>
      <c r="B197" s="389"/>
      <c r="C197" s="389"/>
      <c r="D197" s="390"/>
      <c r="E197" s="389"/>
      <c r="F197" s="392"/>
      <c r="G197" s="389"/>
      <c r="H197" s="389"/>
      <c r="I197" s="389"/>
      <c r="J197" s="389"/>
      <c r="K197" s="389"/>
      <c r="L197" s="389"/>
      <c r="M197" s="389"/>
      <c r="N197" s="389"/>
      <c r="O197" s="389"/>
      <c r="P197" s="389"/>
      <c r="Q197" s="389"/>
      <c r="R197" s="389"/>
      <c r="S197" s="389"/>
      <c r="T197" s="389"/>
      <c r="U197" s="389"/>
      <c r="V197" s="389"/>
      <c r="W197" s="389"/>
      <c r="X197" s="389"/>
      <c r="Y197" s="389"/>
      <c r="Z197" s="389"/>
      <c r="AA197" s="389"/>
      <c r="AB197" s="389"/>
      <c r="AC197" s="389"/>
      <c r="AD197" s="389"/>
      <c r="AE197" s="389"/>
      <c r="AF197" s="389"/>
      <c r="AG197" s="389"/>
    </row>
    <row r="198">
      <c r="A198" s="389"/>
      <c r="B198" s="389"/>
      <c r="C198" s="389"/>
      <c r="D198" s="390"/>
      <c r="E198" s="389"/>
      <c r="F198" s="392"/>
      <c r="G198" s="389"/>
      <c r="H198" s="389"/>
      <c r="I198" s="389"/>
      <c r="J198" s="389"/>
      <c r="K198" s="389"/>
      <c r="L198" s="389"/>
      <c r="M198" s="389"/>
      <c r="N198" s="389"/>
      <c r="O198" s="389"/>
      <c r="P198" s="389"/>
      <c r="Q198" s="389"/>
      <c r="R198" s="389"/>
      <c r="S198" s="389"/>
      <c r="T198" s="389"/>
      <c r="U198" s="389"/>
      <c r="V198" s="389"/>
      <c r="W198" s="389"/>
      <c r="X198" s="389"/>
      <c r="Y198" s="389"/>
      <c r="Z198" s="389"/>
      <c r="AA198" s="389"/>
      <c r="AB198" s="389"/>
      <c r="AC198" s="389"/>
      <c r="AD198" s="389"/>
      <c r="AE198" s="389"/>
      <c r="AF198" s="389"/>
      <c r="AG198" s="389"/>
    </row>
    <row r="199">
      <c r="A199" s="389"/>
      <c r="B199" s="389"/>
      <c r="C199" s="389"/>
      <c r="D199" s="390"/>
      <c r="E199" s="389"/>
      <c r="F199" s="392"/>
      <c r="G199" s="389"/>
      <c r="H199" s="389"/>
      <c r="I199" s="389"/>
      <c r="J199" s="389"/>
      <c r="K199" s="389"/>
      <c r="L199" s="389"/>
      <c r="M199" s="389"/>
      <c r="N199" s="389"/>
      <c r="O199" s="389"/>
      <c r="P199" s="389"/>
      <c r="Q199" s="389"/>
      <c r="R199" s="389"/>
      <c r="S199" s="389"/>
      <c r="T199" s="389"/>
      <c r="U199" s="389"/>
      <c r="V199" s="389"/>
      <c r="W199" s="389"/>
      <c r="X199" s="389"/>
      <c r="Y199" s="389"/>
      <c r="Z199" s="389"/>
      <c r="AA199" s="389"/>
      <c r="AB199" s="389"/>
      <c r="AC199" s="389"/>
      <c r="AD199" s="389"/>
      <c r="AE199" s="389"/>
      <c r="AF199" s="389"/>
      <c r="AG199" s="389"/>
    </row>
    <row r="200">
      <c r="A200" s="389"/>
      <c r="B200" s="389"/>
      <c r="C200" s="389"/>
      <c r="D200" s="390"/>
      <c r="E200" s="389"/>
      <c r="F200" s="392"/>
      <c r="G200" s="389"/>
      <c r="H200" s="389"/>
      <c r="I200" s="389"/>
      <c r="J200" s="389"/>
      <c r="K200" s="389"/>
      <c r="L200" s="389"/>
      <c r="M200" s="389"/>
      <c r="N200" s="389"/>
      <c r="O200" s="389"/>
      <c r="P200" s="389"/>
      <c r="Q200" s="389"/>
      <c r="R200" s="389"/>
      <c r="S200" s="389"/>
      <c r="T200" s="389"/>
      <c r="U200" s="389"/>
      <c r="V200" s="389"/>
      <c r="W200" s="389"/>
      <c r="X200" s="389"/>
      <c r="Y200" s="389"/>
      <c r="Z200" s="389"/>
      <c r="AA200" s="389"/>
      <c r="AB200" s="389"/>
      <c r="AC200" s="389"/>
      <c r="AD200" s="389"/>
      <c r="AE200" s="389"/>
      <c r="AF200" s="389"/>
      <c r="AG200" s="389"/>
    </row>
    <row r="201">
      <c r="A201" s="389"/>
      <c r="B201" s="389"/>
      <c r="C201" s="389"/>
      <c r="D201" s="390"/>
      <c r="E201" s="389"/>
      <c r="F201" s="392"/>
      <c r="G201" s="389"/>
      <c r="H201" s="389"/>
      <c r="I201" s="389"/>
      <c r="J201" s="389"/>
      <c r="K201" s="389"/>
      <c r="L201" s="389"/>
      <c r="M201" s="389"/>
      <c r="N201" s="389"/>
      <c r="O201" s="389"/>
      <c r="P201" s="389"/>
      <c r="Q201" s="389"/>
      <c r="R201" s="389"/>
      <c r="S201" s="389"/>
      <c r="T201" s="389"/>
      <c r="U201" s="389"/>
      <c r="V201" s="389"/>
      <c r="W201" s="389"/>
      <c r="X201" s="389"/>
      <c r="Y201" s="389"/>
      <c r="Z201" s="389"/>
      <c r="AA201" s="389"/>
      <c r="AB201" s="389"/>
      <c r="AC201" s="389"/>
      <c r="AD201" s="389"/>
      <c r="AE201" s="389"/>
      <c r="AF201" s="389"/>
      <c r="AG201" s="389"/>
    </row>
    <row r="202">
      <c r="A202" s="389"/>
      <c r="B202" s="389"/>
      <c r="C202" s="389"/>
      <c r="D202" s="390"/>
      <c r="E202" s="389"/>
      <c r="F202" s="392"/>
      <c r="G202" s="389"/>
      <c r="H202" s="389"/>
      <c r="I202" s="389"/>
      <c r="J202" s="389"/>
      <c r="K202" s="389"/>
      <c r="L202" s="389"/>
      <c r="M202" s="389"/>
      <c r="N202" s="389"/>
      <c r="O202" s="389"/>
      <c r="P202" s="389"/>
      <c r="Q202" s="389"/>
      <c r="R202" s="389"/>
      <c r="S202" s="389"/>
      <c r="T202" s="389"/>
      <c r="U202" s="389"/>
      <c r="V202" s="389"/>
      <c r="W202" s="389"/>
      <c r="X202" s="389"/>
      <c r="Y202" s="389"/>
      <c r="Z202" s="389"/>
      <c r="AA202" s="389"/>
      <c r="AB202" s="389"/>
      <c r="AC202" s="389"/>
      <c r="AD202" s="389"/>
      <c r="AE202" s="389"/>
      <c r="AF202" s="389"/>
      <c r="AG202" s="389"/>
    </row>
    <row r="203">
      <c r="A203" s="389"/>
      <c r="B203" s="389"/>
      <c r="C203" s="389"/>
      <c r="D203" s="390"/>
      <c r="E203" s="389"/>
      <c r="F203" s="392"/>
      <c r="G203" s="389"/>
      <c r="H203" s="389"/>
      <c r="I203" s="389"/>
      <c r="J203" s="389"/>
      <c r="K203" s="389"/>
      <c r="L203" s="389"/>
      <c r="M203" s="389"/>
      <c r="N203" s="389"/>
      <c r="O203" s="389"/>
      <c r="P203" s="389"/>
      <c r="Q203" s="389"/>
      <c r="R203" s="389"/>
      <c r="S203" s="389"/>
      <c r="T203" s="389"/>
      <c r="U203" s="389"/>
      <c r="V203" s="389"/>
      <c r="W203" s="389"/>
      <c r="X203" s="389"/>
      <c r="Y203" s="389"/>
      <c r="Z203" s="389"/>
      <c r="AA203" s="389"/>
      <c r="AB203" s="389"/>
      <c r="AC203" s="389"/>
      <c r="AD203" s="389"/>
      <c r="AE203" s="389"/>
      <c r="AF203" s="389"/>
      <c r="AG203" s="389"/>
    </row>
    <row r="204">
      <c r="A204" s="389"/>
      <c r="B204" s="389"/>
      <c r="C204" s="389"/>
      <c r="D204" s="390"/>
      <c r="E204" s="389"/>
      <c r="F204" s="392"/>
      <c r="G204" s="389"/>
      <c r="H204" s="389"/>
      <c r="I204" s="389"/>
      <c r="J204" s="389"/>
      <c r="K204" s="389"/>
      <c r="L204" s="389"/>
      <c r="M204" s="389"/>
      <c r="N204" s="389"/>
      <c r="O204" s="389"/>
      <c r="P204" s="389"/>
      <c r="Q204" s="389"/>
      <c r="R204" s="389"/>
      <c r="S204" s="389"/>
      <c r="T204" s="389"/>
      <c r="U204" s="389"/>
      <c r="V204" s="389"/>
      <c r="W204" s="389"/>
      <c r="X204" s="389"/>
      <c r="Y204" s="389"/>
      <c r="Z204" s="389"/>
      <c r="AA204" s="389"/>
      <c r="AB204" s="389"/>
      <c r="AC204" s="389"/>
      <c r="AD204" s="389"/>
      <c r="AE204" s="389"/>
      <c r="AF204" s="389"/>
      <c r="AG204" s="389"/>
    </row>
    <row r="205">
      <c r="A205" s="389"/>
      <c r="B205" s="389"/>
      <c r="C205" s="389"/>
      <c r="D205" s="390"/>
      <c r="E205" s="389"/>
      <c r="F205" s="392"/>
      <c r="G205" s="389"/>
      <c r="H205" s="389"/>
      <c r="I205" s="389"/>
      <c r="J205" s="389"/>
      <c r="K205" s="389"/>
      <c r="L205" s="389"/>
      <c r="M205" s="389"/>
      <c r="N205" s="389"/>
      <c r="O205" s="389"/>
      <c r="P205" s="389"/>
      <c r="Q205" s="389"/>
      <c r="R205" s="389"/>
      <c r="S205" s="389"/>
      <c r="T205" s="389"/>
      <c r="U205" s="389"/>
      <c r="V205" s="389"/>
      <c r="W205" s="389"/>
      <c r="X205" s="389"/>
      <c r="Y205" s="389"/>
      <c r="Z205" s="389"/>
      <c r="AA205" s="389"/>
      <c r="AB205" s="389"/>
      <c r="AC205" s="389"/>
      <c r="AD205" s="389"/>
      <c r="AE205" s="389"/>
      <c r="AF205" s="389"/>
      <c r="AG205" s="389"/>
    </row>
    <row r="206">
      <c r="A206" s="389"/>
      <c r="B206" s="389"/>
      <c r="C206" s="389"/>
      <c r="D206" s="390"/>
      <c r="E206" s="389"/>
      <c r="F206" s="392"/>
      <c r="G206" s="389"/>
      <c r="H206" s="389"/>
      <c r="I206" s="389"/>
      <c r="J206" s="389"/>
      <c r="K206" s="389"/>
      <c r="L206" s="389"/>
      <c r="M206" s="389"/>
      <c r="N206" s="389"/>
      <c r="O206" s="389"/>
      <c r="P206" s="389"/>
      <c r="Q206" s="389"/>
      <c r="R206" s="389"/>
      <c r="S206" s="389"/>
      <c r="T206" s="389"/>
      <c r="U206" s="389"/>
      <c r="V206" s="389"/>
      <c r="W206" s="389"/>
      <c r="X206" s="389"/>
      <c r="Y206" s="389"/>
      <c r="Z206" s="389"/>
      <c r="AA206" s="389"/>
      <c r="AB206" s="389"/>
      <c r="AC206" s="389"/>
      <c r="AD206" s="389"/>
      <c r="AE206" s="389"/>
      <c r="AF206" s="389"/>
      <c r="AG206" s="389"/>
    </row>
    <row r="207">
      <c r="A207" s="389"/>
      <c r="B207" s="389"/>
      <c r="C207" s="389"/>
      <c r="D207" s="390"/>
      <c r="E207" s="389"/>
      <c r="F207" s="392"/>
      <c r="G207" s="389"/>
      <c r="H207" s="389"/>
      <c r="I207" s="389"/>
      <c r="J207" s="389"/>
      <c r="K207" s="389"/>
      <c r="L207" s="389"/>
      <c r="M207" s="389"/>
      <c r="N207" s="389"/>
      <c r="O207" s="389"/>
      <c r="P207" s="389"/>
      <c r="Q207" s="389"/>
      <c r="R207" s="389"/>
      <c r="S207" s="389"/>
      <c r="T207" s="389"/>
      <c r="U207" s="389"/>
      <c r="V207" s="389"/>
      <c r="W207" s="389"/>
      <c r="X207" s="389"/>
      <c r="Y207" s="389"/>
      <c r="Z207" s="389"/>
      <c r="AA207" s="389"/>
      <c r="AB207" s="389"/>
      <c r="AC207" s="389"/>
      <c r="AD207" s="389"/>
      <c r="AE207" s="389"/>
      <c r="AF207" s="389"/>
      <c r="AG207" s="389"/>
    </row>
    <row r="208">
      <c r="A208" s="389"/>
      <c r="B208" s="389"/>
      <c r="C208" s="389"/>
      <c r="D208" s="390"/>
      <c r="E208" s="389"/>
      <c r="F208" s="392"/>
      <c r="G208" s="389"/>
      <c r="H208" s="389"/>
      <c r="I208" s="389"/>
      <c r="J208" s="389"/>
      <c r="K208" s="389"/>
      <c r="L208" s="389"/>
      <c r="M208" s="389"/>
      <c r="N208" s="389"/>
      <c r="O208" s="389"/>
      <c r="P208" s="389"/>
      <c r="Q208" s="389"/>
      <c r="R208" s="389"/>
      <c r="S208" s="389"/>
      <c r="T208" s="389"/>
      <c r="U208" s="389"/>
      <c r="V208" s="389"/>
      <c r="W208" s="389"/>
      <c r="X208" s="389"/>
      <c r="Y208" s="389"/>
      <c r="Z208" s="389"/>
      <c r="AA208" s="389"/>
      <c r="AB208" s="389"/>
      <c r="AC208" s="389"/>
      <c r="AD208" s="389"/>
      <c r="AE208" s="389"/>
      <c r="AF208" s="389"/>
      <c r="AG208" s="389"/>
    </row>
    <row r="209">
      <c r="A209" s="389"/>
      <c r="B209" s="389"/>
      <c r="C209" s="389"/>
      <c r="D209" s="390"/>
      <c r="E209" s="389"/>
      <c r="F209" s="392"/>
      <c r="G209" s="389"/>
      <c r="H209" s="389"/>
      <c r="I209" s="389"/>
      <c r="J209" s="389"/>
      <c r="K209" s="389"/>
      <c r="L209" s="389"/>
      <c r="M209" s="389"/>
      <c r="N209" s="389"/>
      <c r="O209" s="389"/>
      <c r="P209" s="389"/>
      <c r="Q209" s="389"/>
      <c r="R209" s="389"/>
      <c r="S209" s="389"/>
      <c r="T209" s="389"/>
      <c r="U209" s="389"/>
      <c r="V209" s="389"/>
      <c r="W209" s="389"/>
      <c r="X209" s="389"/>
      <c r="Y209" s="389"/>
      <c r="Z209" s="389"/>
      <c r="AA209" s="389"/>
      <c r="AB209" s="389"/>
      <c r="AC209" s="389"/>
      <c r="AD209" s="389"/>
      <c r="AE209" s="389"/>
      <c r="AF209" s="389"/>
      <c r="AG209" s="389"/>
    </row>
    <row r="210">
      <c r="A210" s="389"/>
      <c r="B210" s="389"/>
      <c r="C210" s="389"/>
      <c r="D210" s="390"/>
      <c r="E210" s="389"/>
      <c r="F210" s="392"/>
      <c r="G210" s="389"/>
      <c r="H210" s="389"/>
      <c r="I210" s="389"/>
      <c r="J210" s="389"/>
      <c r="K210" s="389"/>
      <c r="L210" s="389"/>
      <c r="M210" s="389"/>
      <c r="N210" s="389"/>
      <c r="O210" s="389"/>
      <c r="P210" s="389"/>
      <c r="Q210" s="389"/>
      <c r="R210" s="389"/>
      <c r="S210" s="389"/>
      <c r="T210" s="389"/>
      <c r="U210" s="389"/>
      <c r="V210" s="389"/>
      <c r="W210" s="389"/>
      <c r="X210" s="389"/>
      <c r="Y210" s="389"/>
      <c r="Z210" s="389"/>
      <c r="AA210" s="389"/>
      <c r="AB210" s="389"/>
      <c r="AC210" s="389"/>
      <c r="AD210" s="389"/>
      <c r="AE210" s="389"/>
      <c r="AF210" s="389"/>
      <c r="AG210" s="389"/>
    </row>
    <row r="211">
      <c r="A211" s="389"/>
      <c r="B211" s="389"/>
      <c r="C211" s="389"/>
      <c r="D211" s="390"/>
      <c r="E211" s="389"/>
      <c r="F211" s="392"/>
      <c r="G211" s="389"/>
      <c r="H211" s="389"/>
      <c r="I211" s="389"/>
      <c r="J211" s="389"/>
      <c r="K211" s="389"/>
      <c r="L211" s="389"/>
      <c r="M211" s="389"/>
      <c r="N211" s="389"/>
      <c r="O211" s="389"/>
      <c r="P211" s="389"/>
      <c r="Q211" s="389"/>
      <c r="R211" s="389"/>
      <c r="S211" s="389"/>
      <c r="T211" s="389"/>
      <c r="U211" s="389"/>
      <c r="V211" s="389"/>
      <c r="W211" s="389"/>
      <c r="X211" s="389"/>
      <c r="Y211" s="389"/>
      <c r="Z211" s="389"/>
      <c r="AA211" s="389"/>
      <c r="AB211" s="389"/>
      <c r="AC211" s="389"/>
      <c r="AD211" s="389"/>
      <c r="AE211" s="389"/>
      <c r="AF211" s="389"/>
      <c r="AG211" s="389"/>
    </row>
    <row r="212">
      <c r="A212" s="389"/>
      <c r="B212" s="389"/>
      <c r="C212" s="389"/>
      <c r="D212" s="390"/>
      <c r="E212" s="389"/>
      <c r="F212" s="392"/>
      <c r="G212" s="389"/>
      <c r="H212" s="389"/>
      <c r="I212" s="389"/>
      <c r="J212" s="389"/>
      <c r="K212" s="389"/>
      <c r="L212" s="389"/>
      <c r="M212" s="389"/>
      <c r="N212" s="389"/>
      <c r="O212" s="389"/>
      <c r="P212" s="389"/>
      <c r="Q212" s="389"/>
      <c r="R212" s="389"/>
      <c r="S212" s="389"/>
      <c r="T212" s="389"/>
      <c r="U212" s="389"/>
      <c r="V212" s="389"/>
      <c r="W212" s="389"/>
      <c r="X212" s="389"/>
      <c r="Y212" s="389"/>
      <c r="Z212" s="389"/>
      <c r="AA212" s="389"/>
      <c r="AB212" s="389"/>
      <c r="AC212" s="389"/>
      <c r="AD212" s="389"/>
      <c r="AE212" s="389"/>
      <c r="AF212" s="389"/>
      <c r="AG212" s="389"/>
    </row>
    <row r="213">
      <c r="A213" s="389"/>
      <c r="B213" s="389"/>
      <c r="C213" s="389"/>
      <c r="D213" s="390"/>
      <c r="E213" s="389"/>
      <c r="F213" s="392"/>
      <c r="G213" s="389"/>
      <c r="H213" s="389"/>
      <c r="I213" s="389"/>
      <c r="J213" s="389"/>
      <c r="K213" s="389"/>
      <c r="L213" s="389"/>
      <c r="M213" s="389"/>
      <c r="N213" s="389"/>
      <c r="O213" s="389"/>
      <c r="P213" s="389"/>
      <c r="Q213" s="389"/>
      <c r="R213" s="389"/>
      <c r="S213" s="389"/>
      <c r="T213" s="389"/>
      <c r="U213" s="389"/>
      <c r="V213" s="389"/>
      <c r="W213" s="389"/>
      <c r="X213" s="389"/>
      <c r="Y213" s="389"/>
      <c r="Z213" s="389"/>
      <c r="AA213" s="389"/>
      <c r="AB213" s="389"/>
      <c r="AC213" s="389"/>
      <c r="AD213" s="389"/>
      <c r="AE213" s="389"/>
      <c r="AF213" s="389"/>
      <c r="AG213" s="389"/>
    </row>
    <row r="214">
      <c r="A214" s="389"/>
      <c r="B214" s="389"/>
      <c r="C214" s="389"/>
      <c r="D214" s="390"/>
      <c r="E214" s="389"/>
      <c r="F214" s="392"/>
      <c r="G214" s="389"/>
      <c r="H214" s="389"/>
      <c r="I214" s="389"/>
      <c r="J214" s="389"/>
      <c r="K214" s="389"/>
      <c r="L214" s="389"/>
      <c r="M214" s="389"/>
      <c r="N214" s="389"/>
      <c r="O214" s="389"/>
      <c r="P214" s="389"/>
      <c r="Q214" s="389"/>
      <c r="R214" s="389"/>
      <c r="S214" s="389"/>
      <c r="T214" s="389"/>
      <c r="U214" s="389"/>
      <c r="V214" s="389"/>
      <c r="W214" s="389"/>
      <c r="X214" s="389"/>
      <c r="Y214" s="389"/>
      <c r="Z214" s="389"/>
      <c r="AA214" s="389"/>
      <c r="AB214" s="389"/>
      <c r="AC214" s="389"/>
      <c r="AD214" s="389"/>
      <c r="AE214" s="389"/>
      <c r="AF214" s="389"/>
      <c r="AG214" s="389"/>
    </row>
    <row r="215">
      <c r="A215" s="389"/>
      <c r="B215" s="389"/>
      <c r="C215" s="389"/>
      <c r="D215" s="390"/>
      <c r="E215" s="389"/>
      <c r="F215" s="392"/>
      <c r="G215" s="389"/>
      <c r="H215" s="389"/>
      <c r="I215" s="389"/>
      <c r="J215" s="389"/>
      <c r="K215" s="389"/>
      <c r="L215" s="389"/>
      <c r="M215" s="389"/>
      <c r="N215" s="389"/>
      <c r="O215" s="389"/>
      <c r="P215" s="389"/>
      <c r="Q215" s="389"/>
      <c r="R215" s="389"/>
      <c r="S215" s="389"/>
      <c r="T215" s="389"/>
      <c r="U215" s="389"/>
      <c r="V215" s="389"/>
      <c r="W215" s="389"/>
      <c r="X215" s="389"/>
      <c r="Y215" s="389"/>
      <c r="Z215" s="389"/>
      <c r="AA215" s="389"/>
      <c r="AB215" s="389"/>
      <c r="AC215" s="389"/>
      <c r="AD215" s="389"/>
      <c r="AE215" s="389"/>
      <c r="AF215" s="389"/>
      <c r="AG215" s="389"/>
    </row>
    <row r="216">
      <c r="A216" s="389"/>
      <c r="B216" s="389"/>
      <c r="C216" s="389"/>
      <c r="D216" s="390"/>
      <c r="E216" s="389"/>
      <c r="F216" s="392"/>
      <c r="G216" s="389"/>
      <c r="H216" s="389"/>
      <c r="I216" s="389"/>
      <c r="J216" s="389"/>
      <c r="K216" s="389"/>
      <c r="L216" s="389"/>
      <c r="M216" s="389"/>
      <c r="N216" s="389"/>
      <c r="O216" s="389"/>
      <c r="P216" s="389"/>
      <c r="Q216" s="389"/>
      <c r="R216" s="389"/>
      <c r="S216" s="389"/>
      <c r="T216" s="389"/>
      <c r="U216" s="389"/>
      <c r="V216" s="389"/>
      <c r="W216" s="389"/>
      <c r="X216" s="389"/>
      <c r="Y216" s="389"/>
      <c r="Z216" s="389"/>
      <c r="AA216" s="389"/>
      <c r="AB216" s="389"/>
      <c r="AC216" s="389"/>
      <c r="AD216" s="389"/>
      <c r="AE216" s="389"/>
      <c r="AF216" s="389"/>
      <c r="AG216" s="389"/>
    </row>
    <row r="217">
      <c r="A217" s="389"/>
      <c r="B217" s="389"/>
      <c r="C217" s="389"/>
      <c r="D217" s="390"/>
      <c r="E217" s="389"/>
      <c r="F217" s="392"/>
      <c r="G217" s="389"/>
      <c r="H217" s="389"/>
      <c r="I217" s="389"/>
      <c r="J217" s="389"/>
      <c r="K217" s="389"/>
      <c r="L217" s="389"/>
      <c r="M217" s="389"/>
      <c r="N217" s="389"/>
      <c r="O217" s="389"/>
      <c r="P217" s="389"/>
      <c r="Q217" s="389"/>
      <c r="R217" s="389"/>
      <c r="S217" s="389"/>
      <c r="T217" s="389"/>
      <c r="U217" s="389"/>
      <c r="V217" s="389"/>
      <c r="W217" s="389"/>
      <c r="X217" s="389"/>
      <c r="Y217" s="389"/>
      <c r="Z217" s="389"/>
      <c r="AA217" s="389"/>
      <c r="AB217" s="389"/>
      <c r="AC217" s="389"/>
      <c r="AD217" s="389"/>
      <c r="AE217" s="389"/>
      <c r="AF217" s="389"/>
      <c r="AG217" s="389"/>
    </row>
    <row r="218">
      <c r="A218" s="389"/>
      <c r="B218" s="389"/>
      <c r="C218" s="389"/>
      <c r="D218" s="390"/>
      <c r="E218" s="389"/>
      <c r="F218" s="392"/>
      <c r="G218" s="389"/>
      <c r="H218" s="389"/>
      <c r="I218" s="389"/>
      <c r="J218" s="389"/>
      <c r="K218" s="389"/>
      <c r="L218" s="389"/>
      <c r="M218" s="389"/>
      <c r="N218" s="389"/>
      <c r="O218" s="389"/>
      <c r="P218" s="389"/>
      <c r="Q218" s="389"/>
      <c r="R218" s="389"/>
      <c r="S218" s="389"/>
      <c r="T218" s="389"/>
      <c r="U218" s="389"/>
      <c r="V218" s="389"/>
      <c r="W218" s="389"/>
      <c r="X218" s="389"/>
      <c r="Y218" s="389"/>
      <c r="Z218" s="389"/>
      <c r="AA218" s="389"/>
      <c r="AB218" s="389"/>
      <c r="AC218" s="389"/>
      <c r="AD218" s="389"/>
      <c r="AE218" s="389"/>
      <c r="AF218" s="389"/>
      <c r="AG218" s="389"/>
    </row>
    <row r="219">
      <c r="A219" s="389"/>
      <c r="B219" s="389"/>
      <c r="C219" s="389"/>
      <c r="D219" s="390"/>
      <c r="E219" s="389"/>
      <c r="F219" s="392"/>
      <c r="G219" s="389"/>
      <c r="H219" s="389"/>
      <c r="I219" s="389"/>
      <c r="J219" s="389"/>
      <c r="K219" s="389"/>
      <c r="L219" s="389"/>
      <c r="M219" s="389"/>
      <c r="N219" s="389"/>
      <c r="O219" s="389"/>
      <c r="P219" s="389"/>
      <c r="Q219" s="389"/>
      <c r="R219" s="389"/>
      <c r="S219" s="389"/>
      <c r="T219" s="389"/>
      <c r="U219" s="389"/>
      <c r="V219" s="389"/>
      <c r="W219" s="389"/>
      <c r="X219" s="389"/>
      <c r="Y219" s="389"/>
      <c r="Z219" s="389"/>
      <c r="AA219" s="389"/>
      <c r="AB219" s="389"/>
      <c r="AC219" s="389"/>
      <c r="AD219" s="389"/>
      <c r="AE219" s="389"/>
      <c r="AF219" s="389"/>
      <c r="AG219" s="389"/>
    </row>
    <row r="220">
      <c r="A220" s="389"/>
      <c r="B220" s="389"/>
      <c r="C220" s="389"/>
      <c r="D220" s="390"/>
      <c r="E220" s="389"/>
      <c r="F220" s="392"/>
      <c r="G220" s="389"/>
      <c r="H220" s="389"/>
      <c r="I220" s="389"/>
      <c r="J220" s="389"/>
      <c r="K220" s="389"/>
      <c r="L220" s="389"/>
      <c r="M220" s="389"/>
      <c r="N220" s="389"/>
      <c r="O220" s="389"/>
      <c r="P220" s="389"/>
      <c r="Q220" s="389"/>
      <c r="R220" s="389"/>
      <c r="S220" s="389"/>
      <c r="T220" s="389"/>
      <c r="U220" s="389"/>
      <c r="V220" s="389"/>
      <c r="W220" s="389"/>
      <c r="X220" s="389"/>
      <c r="Y220" s="389"/>
      <c r="Z220" s="389"/>
      <c r="AA220" s="389"/>
      <c r="AB220" s="389"/>
      <c r="AC220" s="389"/>
      <c r="AD220" s="389"/>
      <c r="AE220" s="389"/>
      <c r="AF220" s="389"/>
      <c r="AG220" s="389"/>
    </row>
    <row r="221">
      <c r="A221" s="389"/>
      <c r="B221" s="389"/>
      <c r="C221" s="389"/>
      <c r="D221" s="390"/>
      <c r="E221" s="389"/>
      <c r="F221" s="392"/>
      <c r="G221" s="389"/>
      <c r="H221" s="389"/>
      <c r="I221" s="389"/>
      <c r="J221" s="389"/>
      <c r="K221" s="389"/>
      <c r="L221" s="389"/>
      <c r="M221" s="389"/>
      <c r="N221" s="389"/>
      <c r="O221" s="389"/>
      <c r="P221" s="389"/>
      <c r="Q221" s="389"/>
      <c r="R221" s="389"/>
      <c r="S221" s="389"/>
      <c r="T221" s="389"/>
      <c r="U221" s="389"/>
      <c r="V221" s="389"/>
      <c r="W221" s="389"/>
      <c r="X221" s="389"/>
      <c r="Y221" s="389"/>
      <c r="Z221" s="389"/>
      <c r="AA221" s="389"/>
      <c r="AB221" s="389"/>
      <c r="AC221" s="389"/>
      <c r="AD221" s="389"/>
      <c r="AE221" s="389"/>
      <c r="AF221" s="389"/>
      <c r="AG221" s="389"/>
    </row>
    <row r="222">
      <c r="A222" s="389"/>
      <c r="B222" s="389"/>
      <c r="C222" s="389"/>
      <c r="D222" s="390"/>
      <c r="E222" s="389"/>
      <c r="F222" s="392"/>
      <c r="G222" s="389"/>
      <c r="H222" s="389"/>
      <c r="I222" s="389"/>
      <c r="J222" s="389"/>
      <c r="K222" s="389"/>
      <c r="L222" s="389"/>
      <c r="M222" s="389"/>
      <c r="N222" s="389"/>
      <c r="O222" s="389"/>
      <c r="P222" s="389"/>
      <c r="Q222" s="389"/>
      <c r="R222" s="389"/>
      <c r="S222" s="389"/>
      <c r="T222" s="389"/>
      <c r="U222" s="389"/>
      <c r="V222" s="389"/>
      <c r="W222" s="389"/>
      <c r="X222" s="389"/>
      <c r="Y222" s="389"/>
      <c r="Z222" s="389"/>
      <c r="AA222" s="389"/>
      <c r="AB222" s="389"/>
      <c r="AC222" s="389"/>
      <c r="AD222" s="389"/>
      <c r="AE222" s="389"/>
      <c r="AF222" s="389"/>
      <c r="AG222" s="389"/>
    </row>
    <row r="223">
      <c r="A223" s="389"/>
      <c r="B223" s="389"/>
      <c r="C223" s="389"/>
      <c r="D223" s="390"/>
      <c r="E223" s="389"/>
      <c r="F223" s="392"/>
      <c r="G223" s="389"/>
      <c r="H223" s="389"/>
      <c r="I223" s="389"/>
      <c r="J223" s="389"/>
      <c r="K223" s="389"/>
      <c r="L223" s="389"/>
      <c r="M223" s="389"/>
      <c r="N223" s="389"/>
      <c r="O223" s="389"/>
      <c r="P223" s="389"/>
      <c r="Q223" s="389"/>
      <c r="R223" s="389"/>
      <c r="S223" s="389"/>
      <c r="T223" s="389"/>
      <c r="U223" s="389"/>
      <c r="V223" s="389"/>
      <c r="W223" s="389"/>
      <c r="X223" s="389"/>
      <c r="Y223" s="389"/>
      <c r="Z223" s="389"/>
      <c r="AA223" s="389"/>
      <c r="AB223" s="389"/>
      <c r="AC223" s="389"/>
      <c r="AD223" s="389"/>
      <c r="AE223" s="389"/>
      <c r="AF223" s="389"/>
      <c r="AG223" s="389"/>
    </row>
    <row r="224">
      <c r="A224" s="389"/>
      <c r="B224" s="389"/>
      <c r="C224" s="389"/>
      <c r="D224" s="390"/>
      <c r="E224" s="389"/>
      <c r="F224" s="392"/>
      <c r="G224" s="389"/>
      <c r="H224" s="389"/>
      <c r="I224" s="389"/>
      <c r="J224" s="389"/>
      <c r="K224" s="389"/>
      <c r="L224" s="389"/>
      <c r="M224" s="389"/>
      <c r="N224" s="389"/>
      <c r="O224" s="389"/>
      <c r="P224" s="389"/>
      <c r="Q224" s="389"/>
      <c r="R224" s="389"/>
      <c r="S224" s="389"/>
      <c r="T224" s="389"/>
      <c r="U224" s="389"/>
      <c r="V224" s="389"/>
      <c r="W224" s="389"/>
      <c r="X224" s="389"/>
      <c r="Y224" s="389"/>
      <c r="Z224" s="389"/>
      <c r="AA224" s="389"/>
      <c r="AB224" s="389"/>
      <c r="AC224" s="389"/>
      <c r="AD224" s="389"/>
      <c r="AE224" s="389"/>
      <c r="AF224" s="389"/>
      <c r="AG224" s="389"/>
    </row>
    <row r="225">
      <c r="A225" s="389"/>
      <c r="B225" s="389"/>
      <c r="C225" s="389"/>
      <c r="D225" s="390"/>
      <c r="E225" s="389"/>
      <c r="F225" s="392"/>
      <c r="G225" s="389"/>
      <c r="H225" s="389"/>
      <c r="I225" s="389"/>
      <c r="J225" s="389"/>
      <c r="K225" s="389"/>
      <c r="L225" s="389"/>
      <c r="M225" s="389"/>
      <c r="N225" s="389"/>
      <c r="O225" s="389"/>
      <c r="P225" s="389"/>
      <c r="Q225" s="389"/>
      <c r="R225" s="389"/>
      <c r="S225" s="389"/>
      <c r="T225" s="389"/>
      <c r="U225" s="389"/>
      <c r="V225" s="389"/>
      <c r="W225" s="389"/>
      <c r="X225" s="389"/>
      <c r="Y225" s="389"/>
      <c r="Z225" s="389"/>
      <c r="AA225" s="389"/>
      <c r="AB225" s="389"/>
      <c r="AC225" s="389"/>
      <c r="AD225" s="389"/>
      <c r="AE225" s="389"/>
      <c r="AF225" s="389"/>
      <c r="AG225" s="389"/>
    </row>
    <row r="226">
      <c r="A226" s="389"/>
      <c r="B226" s="389"/>
      <c r="C226" s="389"/>
      <c r="D226" s="390"/>
      <c r="E226" s="389"/>
      <c r="F226" s="392"/>
      <c r="G226" s="389"/>
      <c r="H226" s="389"/>
      <c r="I226" s="389"/>
      <c r="J226" s="389"/>
      <c r="K226" s="389"/>
      <c r="L226" s="389"/>
      <c r="M226" s="389"/>
      <c r="N226" s="389"/>
      <c r="O226" s="389"/>
      <c r="P226" s="389"/>
      <c r="Q226" s="389"/>
      <c r="R226" s="389"/>
      <c r="S226" s="389"/>
      <c r="T226" s="389"/>
      <c r="U226" s="389"/>
      <c r="V226" s="389"/>
      <c r="W226" s="389"/>
      <c r="X226" s="389"/>
      <c r="Y226" s="389"/>
      <c r="Z226" s="389"/>
      <c r="AA226" s="389"/>
      <c r="AB226" s="389"/>
      <c r="AC226" s="389"/>
      <c r="AD226" s="389"/>
      <c r="AE226" s="389"/>
      <c r="AF226" s="389"/>
      <c r="AG226" s="389"/>
    </row>
    <row r="227">
      <c r="A227" s="389"/>
      <c r="B227" s="389"/>
      <c r="C227" s="389"/>
      <c r="D227" s="390"/>
      <c r="E227" s="389"/>
      <c r="F227" s="392"/>
      <c r="G227" s="389"/>
      <c r="H227" s="389"/>
      <c r="I227" s="389"/>
      <c r="J227" s="389"/>
      <c r="K227" s="389"/>
      <c r="L227" s="389"/>
      <c r="M227" s="389"/>
      <c r="N227" s="389"/>
      <c r="O227" s="389"/>
      <c r="P227" s="389"/>
      <c r="Q227" s="389"/>
      <c r="R227" s="389"/>
      <c r="S227" s="389"/>
      <c r="T227" s="389"/>
      <c r="U227" s="389"/>
      <c r="V227" s="389"/>
      <c r="W227" s="389"/>
      <c r="X227" s="389"/>
      <c r="Y227" s="389"/>
      <c r="Z227" s="389"/>
      <c r="AA227" s="389"/>
      <c r="AB227" s="389"/>
      <c r="AC227" s="389"/>
      <c r="AD227" s="389"/>
      <c r="AE227" s="389"/>
      <c r="AF227" s="389"/>
      <c r="AG227" s="389"/>
    </row>
    <row r="228">
      <c r="A228" s="389"/>
      <c r="B228" s="389"/>
      <c r="C228" s="389"/>
      <c r="D228" s="390"/>
      <c r="E228" s="389"/>
      <c r="F228" s="392"/>
      <c r="G228" s="389"/>
      <c r="H228" s="389"/>
      <c r="I228" s="389"/>
      <c r="J228" s="389"/>
      <c r="K228" s="389"/>
      <c r="L228" s="389"/>
      <c r="M228" s="389"/>
      <c r="N228" s="389"/>
      <c r="O228" s="389"/>
      <c r="P228" s="389"/>
      <c r="Q228" s="389"/>
      <c r="R228" s="389"/>
      <c r="S228" s="389"/>
      <c r="T228" s="389"/>
      <c r="U228" s="389"/>
      <c r="V228" s="389"/>
      <c r="W228" s="389"/>
      <c r="X228" s="389"/>
      <c r="Y228" s="389"/>
      <c r="Z228" s="389"/>
      <c r="AA228" s="389"/>
      <c r="AB228" s="389"/>
      <c r="AC228" s="389"/>
      <c r="AD228" s="389"/>
      <c r="AE228" s="389"/>
      <c r="AF228" s="389"/>
      <c r="AG228" s="389"/>
    </row>
    <row r="229">
      <c r="A229" s="389"/>
      <c r="B229" s="389"/>
      <c r="C229" s="389"/>
      <c r="D229" s="390"/>
      <c r="E229" s="389"/>
      <c r="F229" s="392"/>
      <c r="G229" s="389"/>
      <c r="H229" s="389"/>
      <c r="I229" s="389"/>
      <c r="J229" s="389"/>
      <c r="K229" s="389"/>
      <c r="L229" s="389"/>
      <c r="M229" s="389"/>
      <c r="N229" s="389"/>
      <c r="O229" s="389"/>
      <c r="P229" s="389"/>
      <c r="Q229" s="389"/>
      <c r="R229" s="389"/>
      <c r="S229" s="389"/>
      <c r="T229" s="389"/>
      <c r="U229" s="389"/>
      <c r="V229" s="389"/>
      <c r="W229" s="389"/>
      <c r="X229" s="389"/>
      <c r="Y229" s="389"/>
      <c r="Z229" s="389"/>
      <c r="AA229" s="389"/>
      <c r="AB229" s="389"/>
      <c r="AC229" s="389"/>
      <c r="AD229" s="389"/>
      <c r="AE229" s="389"/>
      <c r="AF229" s="389"/>
      <c r="AG229" s="389"/>
    </row>
    <row r="230">
      <c r="A230" s="389"/>
      <c r="B230" s="389"/>
      <c r="C230" s="389"/>
      <c r="D230" s="390"/>
      <c r="E230" s="389"/>
      <c r="F230" s="392"/>
      <c r="G230" s="389"/>
      <c r="H230" s="389"/>
      <c r="I230" s="389"/>
      <c r="J230" s="389"/>
      <c r="K230" s="389"/>
      <c r="L230" s="389"/>
      <c r="M230" s="389"/>
      <c r="N230" s="389"/>
      <c r="O230" s="389"/>
      <c r="P230" s="389"/>
      <c r="Q230" s="389"/>
      <c r="R230" s="389"/>
      <c r="S230" s="389"/>
      <c r="T230" s="389"/>
      <c r="U230" s="389"/>
      <c r="V230" s="389"/>
      <c r="W230" s="389"/>
      <c r="X230" s="389"/>
      <c r="Y230" s="389"/>
      <c r="Z230" s="389"/>
      <c r="AA230" s="389"/>
      <c r="AB230" s="389"/>
      <c r="AC230" s="389"/>
      <c r="AD230" s="389"/>
      <c r="AE230" s="389"/>
      <c r="AF230" s="389"/>
      <c r="AG230" s="389"/>
    </row>
    <row r="231">
      <c r="A231" s="389"/>
      <c r="B231" s="389"/>
      <c r="C231" s="389"/>
      <c r="D231" s="390"/>
      <c r="E231" s="389"/>
      <c r="F231" s="392"/>
      <c r="G231" s="389"/>
      <c r="H231" s="389"/>
      <c r="I231" s="389"/>
      <c r="J231" s="389"/>
      <c r="K231" s="389"/>
      <c r="L231" s="389"/>
      <c r="M231" s="389"/>
      <c r="N231" s="389"/>
      <c r="O231" s="389"/>
      <c r="P231" s="389"/>
      <c r="Q231" s="389"/>
      <c r="R231" s="389"/>
      <c r="S231" s="389"/>
      <c r="T231" s="389"/>
      <c r="U231" s="389"/>
      <c r="V231" s="389"/>
      <c r="W231" s="389"/>
      <c r="X231" s="389"/>
      <c r="Y231" s="389"/>
      <c r="Z231" s="389"/>
      <c r="AA231" s="389"/>
      <c r="AB231" s="389"/>
      <c r="AC231" s="389"/>
      <c r="AD231" s="389"/>
      <c r="AE231" s="389"/>
      <c r="AF231" s="389"/>
      <c r="AG231" s="389"/>
    </row>
    <row r="232">
      <c r="A232" s="389"/>
      <c r="B232" s="389"/>
      <c r="C232" s="389"/>
      <c r="D232" s="390"/>
      <c r="E232" s="389"/>
      <c r="F232" s="392"/>
      <c r="G232" s="389"/>
      <c r="H232" s="389"/>
      <c r="I232" s="389"/>
      <c r="J232" s="389"/>
      <c r="K232" s="389"/>
      <c r="L232" s="389"/>
      <c r="M232" s="389"/>
      <c r="N232" s="389"/>
      <c r="O232" s="389"/>
      <c r="P232" s="389"/>
      <c r="Q232" s="389"/>
      <c r="R232" s="389"/>
      <c r="S232" s="389"/>
      <c r="T232" s="389"/>
      <c r="U232" s="389"/>
      <c r="V232" s="389"/>
      <c r="W232" s="389"/>
      <c r="X232" s="389"/>
      <c r="Y232" s="389"/>
      <c r="Z232" s="389"/>
      <c r="AA232" s="389"/>
      <c r="AB232" s="389"/>
      <c r="AC232" s="389"/>
      <c r="AD232" s="389"/>
      <c r="AE232" s="389"/>
      <c r="AF232" s="389"/>
      <c r="AG232" s="389"/>
    </row>
    <row r="233">
      <c r="A233" s="389"/>
      <c r="B233" s="389"/>
      <c r="C233" s="389"/>
      <c r="D233" s="390"/>
      <c r="E233" s="389"/>
      <c r="F233" s="392"/>
      <c r="G233" s="389"/>
      <c r="H233" s="389"/>
      <c r="I233" s="389"/>
      <c r="J233" s="389"/>
      <c r="K233" s="389"/>
      <c r="L233" s="389"/>
      <c r="M233" s="389"/>
      <c r="N233" s="389"/>
      <c r="O233" s="389"/>
      <c r="P233" s="389"/>
      <c r="Q233" s="389"/>
      <c r="R233" s="389"/>
      <c r="S233" s="389"/>
      <c r="T233" s="389"/>
      <c r="U233" s="389"/>
      <c r="V233" s="389"/>
      <c r="W233" s="389"/>
      <c r="X233" s="389"/>
      <c r="Y233" s="389"/>
      <c r="Z233" s="389"/>
      <c r="AA233" s="389"/>
      <c r="AB233" s="389"/>
      <c r="AC233" s="389"/>
      <c r="AD233" s="389"/>
      <c r="AE233" s="389"/>
      <c r="AF233" s="389"/>
      <c r="AG233" s="389"/>
    </row>
    <row r="234">
      <c r="A234" s="389"/>
      <c r="B234" s="389"/>
      <c r="C234" s="389"/>
      <c r="D234" s="390"/>
      <c r="E234" s="389"/>
      <c r="F234" s="392"/>
      <c r="G234" s="389"/>
      <c r="H234" s="389"/>
      <c r="I234" s="389"/>
      <c r="J234" s="389"/>
      <c r="K234" s="389"/>
      <c r="L234" s="389"/>
      <c r="M234" s="389"/>
      <c r="N234" s="389"/>
      <c r="O234" s="389"/>
      <c r="P234" s="389"/>
      <c r="Q234" s="389"/>
      <c r="R234" s="389"/>
      <c r="S234" s="389"/>
      <c r="T234" s="389"/>
      <c r="U234" s="389"/>
      <c r="V234" s="389"/>
      <c r="W234" s="389"/>
      <c r="X234" s="389"/>
      <c r="Y234" s="389"/>
      <c r="Z234" s="389"/>
      <c r="AA234" s="389"/>
      <c r="AB234" s="389"/>
      <c r="AC234" s="389"/>
      <c r="AD234" s="389"/>
      <c r="AE234" s="389"/>
      <c r="AF234" s="389"/>
      <c r="AG234" s="389"/>
    </row>
    <row r="235">
      <c r="A235" s="389"/>
      <c r="B235" s="389"/>
      <c r="C235" s="389"/>
      <c r="D235" s="390"/>
      <c r="E235" s="389"/>
      <c r="F235" s="392"/>
      <c r="G235" s="389"/>
      <c r="H235" s="389"/>
      <c r="I235" s="389"/>
      <c r="J235" s="389"/>
      <c r="K235" s="389"/>
      <c r="L235" s="389"/>
      <c r="M235" s="389"/>
      <c r="N235" s="389"/>
      <c r="O235" s="389"/>
      <c r="P235" s="389"/>
      <c r="Q235" s="389"/>
      <c r="R235" s="389"/>
      <c r="S235" s="389"/>
      <c r="T235" s="389"/>
      <c r="U235" s="389"/>
      <c r="V235" s="389"/>
      <c r="W235" s="389"/>
      <c r="X235" s="389"/>
      <c r="Y235" s="389"/>
      <c r="Z235" s="389"/>
      <c r="AA235" s="389"/>
      <c r="AB235" s="389"/>
      <c r="AC235" s="389"/>
      <c r="AD235" s="389"/>
      <c r="AE235" s="389"/>
      <c r="AF235" s="389"/>
      <c r="AG235" s="389"/>
    </row>
    <row r="236">
      <c r="A236" s="389"/>
      <c r="B236" s="389"/>
      <c r="C236" s="389"/>
      <c r="D236" s="390"/>
      <c r="E236" s="389"/>
      <c r="F236" s="392"/>
      <c r="G236" s="389"/>
      <c r="H236" s="389"/>
      <c r="I236" s="389"/>
      <c r="J236" s="389"/>
      <c r="K236" s="389"/>
      <c r="L236" s="389"/>
      <c r="M236" s="389"/>
      <c r="N236" s="389"/>
      <c r="O236" s="389"/>
      <c r="P236" s="389"/>
      <c r="Q236" s="389"/>
      <c r="R236" s="389"/>
      <c r="S236" s="389"/>
      <c r="T236" s="389"/>
      <c r="U236" s="389"/>
      <c r="V236" s="389"/>
      <c r="W236" s="389"/>
      <c r="X236" s="389"/>
      <c r="Y236" s="389"/>
      <c r="Z236" s="389"/>
      <c r="AA236" s="389"/>
      <c r="AB236" s="389"/>
      <c r="AC236" s="389"/>
      <c r="AD236" s="389"/>
      <c r="AE236" s="389"/>
      <c r="AF236" s="389"/>
      <c r="AG236" s="389"/>
    </row>
    <row r="237">
      <c r="A237" s="389"/>
      <c r="B237" s="389"/>
      <c r="C237" s="389"/>
      <c r="D237" s="390"/>
      <c r="E237" s="389"/>
      <c r="F237" s="392"/>
      <c r="G237" s="389"/>
      <c r="H237" s="389"/>
      <c r="I237" s="389"/>
      <c r="J237" s="389"/>
      <c r="K237" s="389"/>
      <c r="L237" s="389"/>
      <c r="M237" s="389"/>
      <c r="N237" s="389"/>
      <c r="O237" s="389"/>
      <c r="P237" s="389"/>
      <c r="Q237" s="389"/>
      <c r="R237" s="389"/>
      <c r="S237" s="389"/>
      <c r="T237" s="389"/>
      <c r="U237" s="389"/>
      <c r="V237" s="389"/>
      <c r="W237" s="389"/>
      <c r="X237" s="389"/>
      <c r="Y237" s="389"/>
      <c r="Z237" s="389"/>
      <c r="AA237" s="389"/>
      <c r="AB237" s="389"/>
      <c r="AC237" s="389"/>
      <c r="AD237" s="389"/>
      <c r="AE237" s="389"/>
      <c r="AF237" s="389"/>
      <c r="AG237" s="389"/>
    </row>
    <row r="238">
      <c r="A238" s="389"/>
      <c r="B238" s="389"/>
      <c r="C238" s="389"/>
      <c r="D238" s="390"/>
      <c r="E238" s="389"/>
      <c r="F238" s="392"/>
      <c r="G238" s="389"/>
      <c r="H238" s="389"/>
      <c r="I238" s="389"/>
      <c r="J238" s="389"/>
      <c r="K238" s="389"/>
      <c r="L238" s="389"/>
      <c r="M238" s="389"/>
      <c r="N238" s="389"/>
      <c r="O238" s="389"/>
      <c r="P238" s="389"/>
      <c r="Q238" s="389"/>
      <c r="R238" s="389"/>
      <c r="S238" s="389"/>
      <c r="T238" s="389"/>
      <c r="U238" s="389"/>
      <c r="V238" s="389"/>
      <c r="W238" s="389"/>
      <c r="X238" s="389"/>
      <c r="Y238" s="389"/>
      <c r="Z238" s="389"/>
      <c r="AA238" s="389"/>
      <c r="AB238" s="389"/>
      <c r="AC238" s="389"/>
      <c r="AD238" s="389"/>
      <c r="AE238" s="389"/>
      <c r="AF238" s="389"/>
      <c r="AG238" s="389"/>
    </row>
    <row r="239">
      <c r="A239" s="389"/>
      <c r="B239" s="389"/>
      <c r="C239" s="389"/>
      <c r="D239" s="390"/>
      <c r="E239" s="389"/>
      <c r="F239" s="392"/>
      <c r="G239" s="389"/>
      <c r="H239" s="389"/>
      <c r="I239" s="389"/>
      <c r="J239" s="389"/>
      <c r="K239" s="389"/>
      <c r="L239" s="389"/>
      <c r="M239" s="389"/>
      <c r="N239" s="389"/>
      <c r="O239" s="389"/>
      <c r="P239" s="389"/>
      <c r="Q239" s="389"/>
      <c r="R239" s="389"/>
      <c r="S239" s="389"/>
      <c r="T239" s="389"/>
      <c r="U239" s="389"/>
      <c r="V239" s="389"/>
      <c r="W239" s="389"/>
      <c r="X239" s="389"/>
      <c r="Y239" s="389"/>
      <c r="Z239" s="389"/>
      <c r="AA239" s="389"/>
      <c r="AB239" s="389"/>
      <c r="AC239" s="389"/>
      <c r="AD239" s="389"/>
      <c r="AE239" s="389"/>
      <c r="AF239" s="389"/>
      <c r="AG239" s="389"/>
    </row>
    <row r="240">
      <c r="A240" s="389"/>
      <c r="B240" s="389"/>
      <c r="C240" s="389"/>
      <c r="D240" s="390"/>
      <c r="E240" s="389"/>
      <c r="F240" s="392"/>
      <c r="G240" s="389"/>
      <c r="H240" s="389"/>
      <c r="I240" s="389"/>
      <c r="J240" s="389"/>
      <c r="K240" s="389"/>
      <c r="L240" s="389"/>
      <c r="M240" s="389"/>
      <c r="N240" s="389"/>
      <c r="O240" s="389"/>
      <c r="P240" s="389"/>
      <c r="Q240" s="389"/>
      <c r="R240" s="389"/>
      <c r="S240" s="389"/>
      <c r="T240" s="389"/>
      <c r="U240" s="389"/>
      <c r="V240" s="389"/>
      <c r="W240" s="389"/>
      <c r="X240" s="389"/>
      <c r="Y240" s="389"/>
      <c r="Z240" s="389"/>
      <c r="AA240" s="389"/>
      <c r="AB240" s="389"/>
      <c r="AC240" s="389"/>
      <c r="AD240" s="389"/>
      <c r="AE240" s="389"/>
      <c r="AF240" s="389"/>
      <c r="AG240" s="389"/>
    </row>
    <row r="241">
      <c r="A241" s="389"/>
      <c r="B241" s="389"/>
      <c r="C241" s="389"/>
      <c r="D241" s="390"/>
      <c r="E241" s="389"/>
      <c r="F241" s="392"/>
      <c r="G241" s="389"/>
      <c r="H241" s="389"/>
      <c r="I241" s="389"/>
      <c r="J241" s="389"/>
      <c r="K241" s="389"/>
      <c r="L241" s="389"/>
      <c r="M241" s="389"/>
      <c r="N241" s="389"/>
      <c r="O241" s="389"/>
      <c r="P241" s="389"/>
      <c r="Q241" s="389"/>
      <c r="R241" s="389"/>
      <c r="S241" s="389"/>
      <c r="T241" s="389"/>
      <c r="U241" s="389"/>
      <c r="V241" s="389"/>
      <c r="W241" s="389"/>
      <c r="X241" s="389"/>
      <c r="Y241" s="389"/>
      <c r="Z241" s="389"/>
      <c r="AA241" s="389"/>
      <c r="AB241" s="389"/>
      <c r="AC241" s="389"/>
      <c r="AD241" s="389"/>
      <c r="AE241" s="389"/>
      <c r="AF241" s="389"/>
      <c r="AG241" s="389"/>
    </row>
    <row r="242">
      <c r="A242" s="389"/>
      <c r="B242" s="389"/>
      <c r="C242" s="389"/>
      <c r="D242" s="390"/>
      <c r="E242" s="389"/>
      <c r="F242" s="392"/>
      <c r="G242" s="389"/>
      <c r="H242" s="389"/>
      <c r="I242" s="389"/>
      <c r="J242" s="389"/>
      <c r="K242" s="389"/>
      <c r="L242" s="389"/>
      <c r="M242" s="389"/>
      <c r="N242" s="389"/>
      <c r="O242" s="389"/>
      <c r="P242" s="389"/>
      <c r="Q242" s="389"/>
      <c r="R242" s="389"/>
      <c r="S242" s="389"/>
      <c r="T242" s="389"/>
      <c r="U242" s="389"/>
      <c r="V242" s="389"/>
      <c r="W242" s="389"/>
      <c r="X242" s="389"/>
      <c r="Y242" s="389"/>
      <c r="Z242" s="389"/>
      <c r="AA242" s="389"/>
      <c r="AB242" s="389"/>
      <c r="AC242" s="389"/>
      <c r="AD242" s="389"/>
      <c r="AE242" s="389"/>
      <c r="AF242" s="389"/>
      <c r="AG242" s="389"/>
    </row>
    <row r="243">
      <c r="A243" s="389"/>
      <c r="B243" s="389"/>
      <c r="C243" s="389"/>
      <c r="D243" s="390"/>
      <c r="E243" s="389"/>
      <c r="F243" s="392"/>
      <c r="G243" s="389"/>
      <c r="H243" s="389"/>
      <c r="I243" s="389"/>
      <c r="J243" s="389"/>
      <c r="K243" s="389"/>
      <c r="L243" s="389"/>
      <c r="M243" s="389"/>
      <c r="N243" s="389"/>
      <c r="O243" s="389"/>
      <c r="P243" s="389"/>
      <c r="Q243" s="389"/>
      <c r="R243" s="389"/>
      <c r="S243" s="389"/>
      <c r="T243" s="389"/>
      <c r="U243" s="389"/>
      <c r="V243" s="389"/>
      <c r="W243" s="389"/>
      <c r="X243" s="389"/>
      <c r="Y243" s="389"/>
      <c r="Z243" s="389"/>
      <c r="AA243" s="389"/>
      <c r="AB243" s="389"/>
      <c r="AC243" s="389"/>
      <c r="AD243" s="389"/>
      <c r="AE243" s="389"/>
      <c r="AF243" s="389"/>
      <c r="AG243" s="389"/>
    </row>
    <row r="244">
      <c r="A244" s="389"/>
      <c r="B244" s="389"/>
      <c r="C244" s="389"/>
      <c r="D244" s="390"/>
      <c r="E244" s="389"/>
      <c r="F244" s="392"/>
      <c r="G244" s="389"/>
      <c r="H244" s="389"/>
      <c r="I244" s="389"/>
      <c r="J244" s="389"/>
      <c r="K244" s="389"/>
      <c r="L244" s="389"/>
      <c r="M244" s="389"/>
      <c r="N244" s="389"/>
      <c r="O244" s="389"/>
      <c r="P244" s="389"/>
      <c r="Q244" s="389"/>
      <c r="R244" s="389"/>
      <c r="S244" s="389"/>
      <c r="T244" s="389"/>
      <c r="U244" s="389"/>
      <c r="V244" s="389"/>
      <c r="W244" s="389"/>
      <c r="X244" s="389"/>
      <c r="Y244" s="389"/>
      <c r="Z244" s="389"/>
      <c r="AA244" s="389"/>
      <c r="AB244" s="389"/>
      <c r="AC244" s="389"/>
      <c r="AD244" s="389"/>
      <c r="AE244" s="389"/>
      <c r="AF244" s="389"/>
      <c r="AG244" s="389"/>
    </row>
    <row r="245">
      <c r="A245" s="389"/>
      <c r="B245" s="389"/>
      <c r="C245" s="389"/>
      <c r="D245" s="390"/>
      <c r="E245" s="389"/>
      <c r="F245" s="392"/>
      <c r="G245" s="389"/>
      <c r="H245" s="389"/>
      <c r="I245" s="389"/>
      <c r="J245" s="389"/>
      <c r="K245" s="389"/>
      <c r="L245" s="389"/>
      <c r="M245" s="389"/>
      <c r="N245" s="389"/>
      <c r="O245" s="389"/>
      <c r="P245" s="389"/>
      <c r="Q245" s="389"/>
      <c r="R245" s="389"/>
      <c r="S245" s="389"/>
      <c r="T245" s="389"/>
      <c r="U245" s="389"/>
      <c r="V245" s="389"/>
      <c r="W245" s="389"/>
      <c r="X245" s="389"/>
      <c r="Y245" s="389"/>
      <c r="Z245" s="389"/>
      <c r="AA245" s="389"/>
      <c r="AB245" s="389"/>
      <c r="AC245" s="389"/>
      <c r="AD245" s="389"/>
      <c r="AE245" s="389"/>
      <c r="AF245" s="389"/>
      <c r="AG245" s="389"/>
    </row>
    <row r="246">
      <c r="A246" s="389"/>
      <c r="B246" s="389"/>
      <c r="C246" s="389"/>
      <c r="D246" s="390"/>
      <c r="E246" s="389"/>
      <c r="F246" s="392"/>
      <c r="G246" s="389"/>
      <c r="H246" s="389"/>
      <c r="I246" s="389"/>
      <c r="J246" s="389"/>
      <c r="K246" s="389"/>
      <c r="L246" s="389"/>
      <c r="M246" s="389"/>
      <c r="N246" s="389"/>
      <c r="O246" s="389"/>
      <c r="P246" s="389"/>
      <c r="Q246" s="389"/>
      <c r="R246" s="389"/>
      <c r="S246" s="389"/>
      <c r="T246" s="389"/>
      <c r="U246" s="389"/>
      <c r="V246" s="389"/>
      <c r="W246" s="389"/>
      <c r="X246" s="389"/>
      <c r="Y246" s="389"/>
      <c r="Z246" s="389"/>
      <c r="AA246" s="389"/>
      <c r="AB246" s="389"/>
      <c r="AC246" s="389"/>
      <c r="AD246" s="389"/>
      <c r="AE246" s="389"/>
      <c r="AF246" s="389"/>
      <c r="AG246" s="389"/>
    </row>
    <row r="247">
      <c r="A247" s="389"/>
      <c r="B247" s="389"/>
      <c r="C247" s="389"/>
      <c r="D247" s="390"/>
      <c r="E247" s="389"/>
      <c r="F247" s="392"/>
      <c r="G247" s="389"/>
      <c r="H247" s="389"/>
      <c r="I247" s="389"/>
      <c r="J247" s="389"/>
      <c r="K247" s="389"/>
      <c r="L247" s="389"/>
      <c r="M247" s="389"/>
      <c r="N247" s="389"/>
      <c r="O247" s="389"/>
      <c r="P247" s="389"/>
      <c r="Q247" s="389"/>
      <c r="R247" s="389"/>
      <c r="S247" s="389"/>
      <c r="T247" s="389"/>
      <c r="U247" s="389"/>
      <c r="V247" s="389"/>
      <c r="W247" s="389"/>
      <c r="X247" s="389"/>
      <c r="Y247" s="389"/>
      <c r="Z247" s="389"/>
      <c r="AA247" s="389"/>
      <c r="AB247" s="389"/>
      <c r="AC247" s="389"/>
      <c r="AD247" s="389"/>
      <c r="AE247" s="389"/>
      <c r="AF247" s="389"/>
      <c r="AG247" s="389"/>
    </row>
    <row r="248">
      <c r="A248" s="389"/>
      <c r="B248" s="389"/>
      <c r="C248" s="389"/>
      <c r="D248" s="390"/>
      <c r="E248" s="389"/>
      <c r="F248" s="392"/>
      <c r="G248" s="389"/>
      <c r="H248" s="389"/>
      <c r="I248" s="389"/>
      <c r="J248" s="389"/>
      <c r="K248" s="389"/>
      <c r="L248" s="389"/>
      <c r="M248" s="389"/>
      <c r="N248" s="389"/>
      <c r="O248" s="389"/>
      <c r="P248" s="389"/>
      <c r="Q248" s="389"/>
      <c r="R248" s="389"/>
      <c r="S248" s="389"/>
      <c r="T248" s="389"/>
      <c r="U248" s="389"/>
      <c r="V248" s="389"/>
      <c r="W248" s="389"/>
      <c r="X248" s="389"/>
      <c r="Y248" s="389"/>
      <c r="Z248" s="389"/>
      <c r="AA248" s="389"/>
      <c r="AB248" s="389"/>
      <c r="AC248" s="389"/>
      <c r="AD248" s="389"/>
      <c r="AE248" s="389"/>
      <c r="AF248" s="389"/>
      <c r="AG248" s="389"/>
    </row>
    <row r="249">
      <c r="A249" s="389"/>
      <c r="B249" s="389"/>
      <c r="C249" s="389"/>
      <c r="D249" s="390"/>
      <c r="E249" s="389"/>
      <c r="F249" s="392"/>
      <c r="G249" s="389"/>
      <c r="H249" s="389"/>
      <c r="I249" s="389"/>
      <c r="J249" s="389"/>
      <c r="K249" s="389"/>
      <c r="L249" s="389"/>
      <c r="M249" s="389"/>
      <c r="N249" s="389"/>
      <c r="O249" s="389"/>
      <c r="P249" s="389"/>
      <c r="Q249" s="389"/>
      <c r="R249" s="389"/>
      <c r="S249" s="389"/>
      <c r="T249" s="389"/>
      <c r="U249" s="389"/>
      <c r="V249" s="389"/>
      <c r="W249" s="389"/>
      <c r="X249" s="389"/>
      <c r="Y249" s="389"/>
      <c r="Z249" s="389"/>
      <c r="AA249" s="389"/>
      <c r="AB249" s="389"/>
      <c r="AC249" s="389"/>
      <c r="AD249" s="389"/>
      <c r="AE249" s="389"/>
      <c r="AF249" s="389"/>
      <c r="AG249" s="389"/>
    </row>
    <row r="250">
      <c r="A250" s="389"/>
      <c r="B250" s="389"/>
      <c r="C250" s="389"/>
      <c r="D250" s="390"/>
      <c r="E250" s="389"/>
      <c r="F250" s="392"/>
      <c r="G250" s="389"/>
      <c r="H250" s="389"/>
      <c r="I250" s="389"/>
      <c r="J250" s="389"/>
      <c r="K250" s="389"/>
      <c r="L250" s="389"/>
      <c r="M250" s="389"/>
      <c r="N250" s="389"/>
      <c r="O250" s="389"/>
      <c r="P250" s="389"/>
      <c r="Q250" s="389"/>
      <c r="R250" s="389"/>
      <c r="S250" s="389"/>
      <c r="T250" s="389"/>
      <c r="U250" s="389"/>
      <c r="V250" s="389"/>
      <c r="W250" s="389"/>
      <c r="X250" s="389"/>
      <c r="Y250" s="389"/>
      <c r="Z250" s="389"/>
      <c r="AA250" s="389"/>
      <c r="AB250" s="389"/>
      <c r="AC250" s="389"/>
      <c r="AD250" s="389"/>
      <c r="AE250" s="389"/>
      <c r="AF250" s="389"/>
      <c r="AG250" s="389"/>
    </row>
    <row r="251">
      <c r="A251" s="389"/>
      <c r="B251" s="389"/>
      <c r="C251" s="389"/>
      <c r="D251" s="390"/>
      <c r="E251" s="389"/>
      <c r="F251" s="392"/>
      <c r="G251" s="389"/>
      <c r="H251" s="389"/>
      <c r="I251" s="389"/>
      <c r="J251" s="389"/>
      <c r="K251" s="389"/>
      <c r="L251" s="389"/>
      <c r="M251" s="389"/>
      <c r="N251" s="389"/>
      <c r="O251" s="389"/>
      <c r="P251" s="389"/>
      <c r="Q251" s="389"/>
      <c r="R251" s="389"/>
      <c r="S251" s="389"/>
      <c r="T251" s="389"/>
      <c r="U251" s="389"/>
      <c r="V251" s="389"/>
      <c r="W251" s="389"/>
      <c r="X251" s="389"/>
      <c r="Y251" s="389"/>
      <c r="Z251" s="389"/>
      <c r="AA251" s="389"/>
      <c r="AB251" s="389"/>
      <c r="AC251" s="389"/>
      <c r="AD251" s="389"/>
      <c r="AE251" s="389"/>
      <c r="AF251" s="389"/>
      <c r="AG251" s="389"/>
    </row>
    <row r="252">
      <c r="A252" s="389"/>
      <c r="B252" s="389"/>
      <c r="C252" s="389"/>
      <c r="D252" s="390"/>
      <c r="E252" s="389"/>
      <c r="F252" s="392"/>
      <c r="G252" s="389"/>
      <c r="H252" s="389"/>
      <c r="I252" s="389"/>
      <c r="J252" s="389"/>
      <c r="K252" s="389"/>
      <c r="L252" s="389"/>
      <c r="M252" s="389"/>
      <c r="N252" s="389"/>
      <c r="O252" s="389"/>
      <c r="P252" s="389"/>
      <c r="Q252" s="389"/>
      <c r="R252" s="389"/>
      <c r="S252" s="389"/>
      <c r="T252" s="389"/>
      <c r="U252" s="389"/>
      <c r="V252" s="389"/>
      <c r="W252" s="389"/>
      <c r="X252" s="389"/>
      <c r="Y252" s="389"/>
      <c r="Z252" s="389"/>
      <c r="AA252" s="389"/>
      <c r="AB252" s="389"/>
      <c r="AC252" s="389"/>
      <c r="AD252" s="389"/>
      <c r="AE252" s="389"/>
      <c r="AF252" s="389"/>
      <c r="AG252" s="389"/>
    </row>
    <row r="253">
      <c r="A253" s="389"/>
      <c r="B253" s="389"/>
      <c r="C253" s="389"/>
      <c r="D253" s="390"/>
      <c r="E253" s="389"/>
      <c r="F253" s="392"/>
      <c r="G253" s="389"/>
      <c r="H253" s="389"/>
      <c r="I253" s="389"/>
      <c r="J253" s="389"/>
      <c r="K253" s="389"/>
      <c r="L253" s="389"/>
      <c r="M253" s="389"/>
      <c r="N253" s="389"/>
      <c r="O253" s="389"/>
      <c r="P253" s="389"/>
      <c r="Q253" s="389"/>
      <c r="R253" s="389"/>
      <c r="S253" s="389"/>
      <c r="T253" s="389"/>
      <c r="U253" s="389"/>
      <c r="V253" s="389"/>
      <c r="W253" s="389"/>
      <c r="X253" s="389"/>
      <c r="Y253" s="389"/>
      <c r="Z253" s="389"/>
      <c r="AA253" s="389"/>
      <c r="AB253" s="389"/>
      <c r="AC253" s="389"/>
      <c r="AD253" s="389"/>
      <c r="AE253" s="389"/>
      <c r="AF253" s="389"/>
      <c r="AG253" s="389"/>
    </row>
    <row r="254">
      <c r="A254" s="389"/>
      <c r="B254" s="389"/>
      <c r="C254" s="389"/>
      <c r="D254" s="390"/>
      <c r="E254" s="389"/>
      <c r="F254" s="392"/>
      <c r="G254" s="389"/>
      <c r="H254" s="389"/>
      <c r="I254" s="389"/>
      <c r="J254" s="389"/>
      <c r="K254" s="389"/>
      <c r="L254" s="389"/>
      <c r="M254" s="389"/>
      <c r="N254" s="389"/>
      <c r="O254" s="389"/>
      <c r="P254" s="389"/>
      <c r="Q254" s="389"/>
      <c r="R254" s="389"/>
      <c r="S254" s="389"/>
      <c r="T254" s="389"/>
      <c r="U254" s="389"/>
      <c r="V254" s="389"/>
      <c r="W254" s="389"/>
      <c r="X254" s="389"/>
      <c r="Y254" s="389"/>
      <c r="Z254" s="389"/>
      <c r="AA254" s="389"/>
      <c r="AB254" s="389"/>
      <c r="AC254" s="389"/>
      <c r="AD254" s="389"/>
      <c r="AE254" s="389"/>
      <c r="AF254" s="389"/>
      <c r="AG254" s="389"/>
    </row>
    <row r="255">
      <c r="A255" s="389"/>
      <c r="B255" s="389"/>
      <c r="C255" s="389"/>
      <c r="D255" s="390"/>
      <c r="E255" s="389"/>
      <c r="F255" s="392"/>
      <c r="G255" s="389"/>
      <c r="H255" s="389"/>
      <c r="I255" s="389"/>
      <c r="J255" s="389"/>
      <c r="K255" s="389"/>
      <c r="L255" s="389"/>
      <c r="M255" s="389"/>
      <c r="N255" s="389"/>
      <c r="O255" s="389"/>
      <c r="P255" s="389"/>
      <c r="Q255" s="389"/>
      <c r="R255" s="389"/>
      <c r="S255" s="389"/>
      <c r="T255" s="389"/>
      <c r="U255" s="389"/>
      <c r="V255" s="389"/>
      <c r="W255" s="389"/>
      <c r="X255" s="389"/>
      <c r="Y255" s="389"/>
      <c r="Z255" s="389"/>
      <c r="AA255" s="389"/>
      <c r="AB255" s="389"/>
      <c r="AC255" s="389"/>
      <c r="AD255" s="389"/>
      <c r="AE255" s="389"/>
      <c r="AF255" s="389"/>
      <c r="AG255" s="389"/>
    </row>
    <row r="256">
      <c r="A256" s="389"/>
      <c r="B256" s="389"/>
      <c r="C256" s="389"/>
      <c r="D256" s="390"/>
      <c r="E256" s="389"/>
      <c r="F256" s="392"/>
      <c r="G256" s="389"/>
      <c r="H256" s="389"/>
      <c r="I256" s="389"/>
      <c r="J256" s="389"/>
      <c r="K256" s="389"/>
      <c r="L256" s="389"/>
      <c r="M256" s="389"/>
      <c r="N256" s="389"/>
      <c r="O256" s="389"/>
      <c r="P256" s="389"/>
      <c r="Q256" s="389"/>
      <c r="R256" s="389"/>
      <c r="S256" s="389"/>
      <c r="T256" s="389"/>
      <c r="U256" s="389"/>
      <c r="V256" s="389"/>
      <c r="W256" s="389"/>
      <c r="X256" s="389"/>
      <c r="Y256" s="389"/>
      <c r="Z256" s="389"/>
      <c r="AA256" s="389"/>
      <c r="AB256" s="389"/>
      <c r="AC256" s="389"/>
      <c r="AD256" s="389"/>
      <c r="AE256" s="389"/>
      <c r="AF256" s="389"/>
      <c r="AG256" s="389"/>
    </row>
    <row r="257">
      <c r="A257" s="389"/>
      <c r="B257" s="389"/>
      <c r="C257" s="389"/>
      <c r="D257" s="390"/>
      <c r="E257" s="389"/>
      <c r="F257" s="392"/>
      <c r="G257" s="389"/>
      <c r="H257" s="389"/>
      <c r="I257" s="389"/>
      <c r="J257" s="389"/>
      <c r="K257" s="389"/>
      <c r="L257" s="389"/>
      <c r="M257" s="389"/>
      <c r="N257" s="389"/>
      <c r="O257" s="389"/>
      <c r="P257" s="389"/>
      <c r="Q257" s="389"/>
      <c r="R257" s="389"/>
      <c r="S257" s="389"/>
      <c r="T257" s="389"/>
      <c r="U257" s="389"/>
      <c r="V257" s="389"/>
      <c r="W257" s="389"/>
      <c r="X257" s="389"/>
      <c r="Y257" s="389"/>
      <c r="Z257" s="389"/>
      <c r="AA257" s="389"/>
      <c r="AB257" s="389"/>
      <c r="AC257" s="389"/>
      <c r="AD257" s="389"/>
      <c r="AE257" s="389"/>
      <c r="AF257" s="389"/>
      <c r="AG257" s="389"/>
    </row>
    <row r="258">
      <c r="A258" s="389"/>
      <c r="B258" s="389"/>
      <c r="C258" s="389"/>
      <c r="D258" s="390"/>
      <c r="E258" s="389"/>
      <c r="F258" s="392"/>
      <c r="G258" s="389"/>
      <c r="H258" s="389"/>
      <c r="I258" s="389"/>
      <c r="J258" s="389"/>
      <c r="K258" s="389"/>
      <c r="L258" s="389"/>
      <c r="M258" s="389"/>
      <c r="N258" s="389"/>
      <c r="O258" s="389"/>
      <c r="P258" s="389"/>
      <c r="Q258" s="389"/>
      <c r="R258" s="389"/>
      <c r="S258" s="389"/>
      <c r="T258" s="389"/>
      <c r="U258" s="389"/>
      <c r="V258" s="389"/>
      <c r="W258" s="389"/>
      <c r="X258" s="389"/>
      <c r="Y258" s="389"/>
      <c r="Z258" s="389"/>
      <c r="AA258" s="389"/>
      <c r="AB258" s="389"/>
      <c r="AC258" s="389"/>
      <c r="AD258" s="389"/>
      <c r="AE258" s="389"/>
      <c r="AF258" s="389"/>
      <c r="AG258" s="389"/>
    </row>
    <row r="259">
      <c r="A259" s="389"/>
      <c r="B259" s="389"/>
      <c r="C259" s="389"/>
      <c r="D259" s="390"/>
      <c r="E259" s="389"/>
      <c r="F259" s="392"/>
      <c r="G259" s="389"/>
      <c r="H259" s="389"/>
      <c r="I259" s="389"/>
      <c r="J259" s="389"/>
      <c r="K259" s="389"/>
      <c r="L259" s="389"/>
      <c r="M259" s="389"/>
      <c r="N259" s="389"/>
      <c r="O259" s="389"/>
      <c r="P259" s="389"/>
      <c r="Q259" s="389"/>
      <c r="R259" s="389"/>
      <c r="S259" s="389"/>
      <c r="T259" s="389"/>
      <c r="U259" s="389"/>
      <c r="V259" s="389"/>
      <c r="W259" s="389"/>
      <c r="X259" s="389"/>
      <c r="Y259" s="389"/>
      <c r="Z259" s="389"/>
      <c r="AA259" s="389"/>
      <c r="AB259" s="389"/>
      <c r="AC259" s="389"/>
      <c r="AD259" s="389"/>
      <c r="AE259" s="389"/>
      <c r="AF259" s="389"/>
      <c r="AG259" s="389"/>
    </row>
    <row r="260">
      <c r="A260" s="389"/>
      <c r="B260" s="389"/>
      <c r="C260" s="389"/>
      <c r="D260" s="390"/>
      <c r="E260" s="389"/>
      <c r="F260" s="392"/>
      <c r="G260" s="389"/>
      <c r="H260" s="389"/>
      <c r="I260" s="389"/>
      <c r="J260" s="389"/>
      <c r="K260" s="389"/>
      <c r="L260" s="389"/>
      <c r="M260" s="389"/>
      <c r="N260" s="389"/>
      <c r="O260" s="389"/>
      <c r="P260" s="389"/>
      <c r="Q260" s="389"/>
      <c r="R260" s="389"/>
      <c r="S260" s="389"/>
      <c r="T260" s="389"/>
      <c r="U260" s="389"/>
      <c r="V260" s="389"/>
      <c r="W260" s="389"/>
      <c r="X260" s="389"/>
      <c r="Y260" s="389"/>
      <c r="Z260" s="389"/>
      <c r="AA260" s="389"/>
      <c r="AB260" s="389"/>
      <c r="AC260" s="389"/>
      <c r="AD260" s="389"/>
      <c r="AE260" s="389"/>
      <c r="AF260" s="389"/>
      <c r="AG260" s="389"/>
    </row>
    <row r="261">
      <c r="A261" s="389"/>
      <c r="B261" s="389"/>
      <c r="C261" s="389"/>
      <c r="D261" s="390"/>
      <c r="E261" s="389"/>
      <c r="F261" s="392"/>
      <c r="G261" s="389"/>
      <c r="H261" s="389"/>
      <c r="I261" s="389"/>
      <c r="J261" s="389"/>
      <c r="K261" s="389"/>
      <c r="L261" s="389"/>
      <c r="M261" s="389"/>
      <c r="N261" s="389"/>
      <c r="O261" s="389"/>
      <c r="P261" s="389"/>
      <c r="Q261" s="389"/>
      <c r="R261" s="389"/>
      <c r="S261" s="389"/>
      <c r="T261" s="389"/>
      <c r="U261" s="389"/>
      <c r="V261" s="389"/>
      <c r="W261" s="389"/>
      <c r="X261" s="389"/>
      <c r="Y261" s="389"/>
      <c r="Z261" s="389"/>
      <c r="AA261" s="389"/>
      <c r="AB261" s="389"/>
      <c r="AC261" s="389"/>
      <c r="AD261" s="389"/>
      <c r="AE261" s="389"/>
      <c r="AF261" s="389"/>
      <c r="AG261" s="389"/>
    </row>
    <row r="262">
      <c r="A262" s="389"/>
      <c r="B262" s="389"/>
      <c r="C262" s="389"/>
      <c r="D262" s="390"/>
      <c r="E262" s="389"/>
      <c r="F262" s="392"/>
      <c r="G262" s="389"/>
      <c r="H262" s="389"/>
      <c r="I262" s="389"/>
      <c r="J262" s="389"/>
      <c r="K262" s="389"/>
      <c r="L262" s="389"/>
      <c r="M262" s="389"/>
      <c r="N262" s="389"/>
      <c r="O262" s="389"/>
      <c r="P262" s="389"/>
      <c r="Q262" s="389"/>
      <c r="R262" s="389"/>
      <c r="S262" s="389"/>
      <c r="T262" s="389"/>
      <c r="U262" s="389"/>
      <c r="V262" s="389"/>
      <c r="W262" s="389"/>
      <c r="X262" s="389"/>
      <c r="Y262" s="389"/>
      <c r="Z262" s="389"/>
      <c r="AA262" s="389"/>
      <c r="AB262" s="389"/>
      <c r="AC262" s="389"/>
      <c r="AD262" s="389"/>
      <c r="AE262" s="389"/>
      <c r="AF262" s="389"/>
      <c r="AG262" s="389"/>
    </row>
    <row r="263">
      <c r="A263" s="389"/>
      <c r="B263" s="389"/>
      <c r="C263" s="389"/>
      <c r="D263" s="390"/>
      <c r="E263" s="389"/>
      <c r="F263" s="392"/>
      <c r="G263" s="389"/>
      <c r="H263" s="389"/>
      <c r="I263" s="389"/>
      <c r="J263" s="389"/>
      <c r="K263" s="389"/>
      <c r="L263" s="389"/>
      <c r="M263" s="389"/>
      <c r="N263" s="389"/>
      <c r="O263" s="389"/>
      <c r="P263" s="389"/>
      <c r="Q263" s="389"/>
      <c r="R263" s="389"/>
      <c r="S263" s="389"/>
      <c r="T263" s="389"/>
      <c r="U263" s="389"/>
      <c r="V263" s="389"/>
      <c r="W263" s="389"/>
      <c r="X263" s="389"/>
      <c r="Y263" s="389"/>
      <c r="Z263" s="389"/>
      <c r="AA263" s="389"/>
      <c r="AB263" s="389"/>
      <c r="AC263" s="389"/>
      <c r="AD263" s="389"/>
      <c r="AE263" s="389"/>
      <c r="AF263" s="389"/>
      <c r="AG263" s="389"/>
    </row>
    <row r="264">
      <c r="A264" s="389"/>
      <c r="B264" s="389"/>
      <c r="C264" s="389"/>
      <c r="D264" s="390"/>
      <c r="E264" s="389"/>
      <c r="F264" s="392"/>
      <c r="G264" s="389"/>
      <c r="H264" s="389"/>
      <c r="I264" s="389"/>
      <c r="J264" s="389"/>
      <c r="K264" s="389"/>
      <c r="L264" s="389"/>
      <c r="M264" s="389"/>
      <c r="N264" s="389"/>
      <c r="O264" s="389"/>
      <c r="P264" s="389"/>
      <c r="Q264" s="389"/>
      <c r="R264" s="389"/>
      <c r="S264" s="389"/>
      <c r="T264" s="389"/>
      <c r="U264" s="389"/>
      <c r="V264" s="389"/>
      <c r="W264" s="389"/>
      <c r="X264" s="389"/>
      <c r="Y264" s="389"/>
      <c r="Z264" s="389"/>
      <c r="AA264" s="389"/>
      <c r="AB264" s="389"/>
      <c r="AC264" s="389"/>
      <c r="AD264" s="389"/>
      <c r="AE264" s="389"/>
      <c r="AF264" s="389"/>
      <c r="AG264" s="389"/>
    </row>
    <row r="265">
      <c r="A265" s="389"/>
      <c r="B265" s="389"/>
      <c r="C265" s="389"/>
      <c r="D265" s="390"/>
      <c r="E265" s="389"/>
      <c r="F265" s="392"/>
      <c r="G265" s="389"/>
      <c r="H265" s="389"/>
      <c r="I265" s="389"/>
      <c r="J265" s="389"/>
      <c r="K265" s="389"/>
      <c r="L265" s="389"/>
      <c r="M265" s="389"/>
      <c r="N265" s="389"/>
      <c r="O265" s="389"/>
      <c r="P265" s="389"/>
      <c r="Q265" s="389"/>
      <c r="R265" s="389"/>
      <c r="S265" s="389"/>
      <c r="T265" s="389"/>
      <c r="U265" s="389"/>
      <c r="V265" s="389"/>
      <c r="W265" s="389"/>
      <c r="X265" s="389"/>
      <c r="Y265" s="389"/>
      <c r="Z265" s="389"/>
      <c r="AA265" s="389"/>
      <c r="AB265" s="389"/>
      <c r="AC265" s="389"/>
      <c r="AD265" s="389"/>
      <c r="AE265" s="389"/>
      <c r="AF265" s="389"/>
      <c r="AG265" s="389"/>
    </row>
    <row r="266">
      <c r="A266" s="389"/>
      <c r="B266" s="389"/>
      <c r="C266" s="389"/>
      <c r="D266" s="390"/>
      <c r="E266" s="389"/>
      <c r="F266" s="392"/>
      <c r="G266" s="389"/>
      <c r="H266" s="389"/>
      <c r="I266" s="389"/>
      <c r="J266" s="389"/>
      <c r="K266" s="389"/>
      <c r="L266" s="389"/>
      <c r="M266" s="389"/>
      <c r="N266" s="389"/>
      <c r="O266" s="389"/>
      <c r="P266" s="389"/>
      <c r="Q266" s="389"/>
      <c r="R266" s="389"/>
      <c r="S266" s="389"/>
      <c r="T266" s="389"/>
      <c r="U266" s="389"/>
      <c r="V266" s="389"/>
      <c r="W266" s="389"/>
      <c r="X266" s="389"/>
      <c r="Y266" s="389"/>
      <c r="Z266" s="389"/>
      <c r="AA266" s="389"/>
      <c r="AB266" s="389"/>
      <c r="AC266" s="389"/>
      <c r="AD266" s="389"/>
      <c r="AE266" s="389"/>
      <c r="AF266" s="389"/>
      <c r="AG266" s="389"/>
    </row>
    <row r="267">
      <c r="A267" s="389"/>
      <c r="B267" s="389"/>
      <c r="C267" s="389"/>
      <c r="D267" s="390"/>
      <c r="E267" s="389"/>
      <c r="F267" s="392"/>
      <c r="G267" s="389"/>
      <c r="H267" s="389"/>
      <c r="I267" s="389"/>
      <c r="J267" s="389"/>
      <c r="K267" s="389"/>
      <c r="L267" s="389"/>
      <c r="M267" s="389"/>
      <c r="N267" s="389"/>
      <c r="O267" s="389"/>
      <c r="P267" s="389"/>
      <c r="Q267" s="389"/>
      <c r="R267" s="389"/>
      <c r="S267" s="389"/>
      <c r="T267" s="389"/>
      <c r="U267" s="389"/>
      <c r="V267" s="389"/>
      <c r="W267" s="389"/>
      <c r="X267" s="389"/>
      <c r="Y267" s="389"/>
      <c r="Z267" s="389"/>
      <c r="AA267" s="389"/>
      <c r="AB267" s="389"/>
      <c r="AC267" s="389"/>
      <c r="AD267" s="389"/>
      <c r="AE267" s="389"/>
      <c r="AF267" s="389"/>
      <c r="AG267" s="389"/>
    </row>
    <row r="268">
      <c r="A268" s="389"/>
      <c r="B268" s="389"/>
      <c r="C268" s="389"/>
      <c r="D268" s="390"/>
      <c r="E268" s="389"/>
      <c r="F268" s="392"/>
      <c r="G268" s="389"/>
      <c r="H268" s="389"/>
      <c r="I268" s="389"/>
      <c r="J268" s="389"/>
      <c r="K268" s="389"/>
      <c r="L268" s="389"/>
      <c r="M268" s="389"/>
      <c r="N268" s="389"/>
      <c r="O268" s="389"/>
      <c r="P268" s="389"/>
      <c r="Q268" s="389"/>
      <c r="R268" s="389"/>
      <c r="S268" s="389"/>
      <c r="T268" s="389"/>
      <c r="U268" s="389"/>
      <c r="V268" s="389"/>
      <c r="W268" s="389"/>
      <c r="X268" s="389"/>
      <c r="Y268" s="389"/>
      <c r="Z268" s="389"/>
      <c r="AA268" s="389"/>
      <c r="AB268" s="389"/>
      <c r="AC268" s="389"/>
      <c r="AD268" s="389"/>
      <c r="AE268" s="389"/>
      <c r="AF268" s="389"/>
      <c r="AG268" s="389"/>
    </row>
    <row r="269">
      <c r="A269" s="389"/>
      <c r="B269" s="389"/>
      <c r="C269" s="389"/>
      <c r="D269" s="390"/>
      <c r="E269" s="389"/>
      <c r="F269" s="392"/>
      <c r="G269" s="389"/>
      <c r="H269" s="389"/>
      <c r="I269" s="389"/>
      <c r="J269" s="389"/>
      <c r="K269" s="389"/>
      <c r="L269" s="389"/>
      <c r="M269" s="389"/>
      <c r="N269" s="389"/>
      <c r="O269" s="389"/>
      <c r="P269" s="389"/>
      <c r="Q269" s="389"/>
      <c r="R269" s="389"/>
      <c r="S269" s="389"/>
      <c r="T269" s="389"/>
      <c r="U269" s="389"/>
      <c r="V269" s="389"/>
      <c r="W269" s="389"/>
      <c r="X269" s="389"/>
      <c r="Y269" s="389"/>
      <c r="Z269" s="389"/>
      <c r="AA269" s="389"/>
      <c r="AB269" s="389"/>
      <c r="AC269" s="389"/>
      <c r="AD269" s="389"/>
      <c r="AE269" s="389"/>
      <c r="AF269" s="389"/>
      <c r="AG269" s="389"/>
    </row>
    <row r="270">
      <c r="A270" s="389"/>
      <c r="B270" s="389"/>
      <c r="C270" s="389"/>
      <c r="D270" s="390"/>
      <c r="E270" s="389"/>
      <c r="F270" s="392"/>
      <c r="G270" s="389"/>
      <c r="H270" s="389"/>
      <c r="I270" s="389"/>
      <c r="J270" s="389"/>
      <c r="K270" s="389"/>
      <c r="L270" s="389"/>
      <c r="M270" s="389"/>
      <c r="N270" s="389"/>
      <c r="O270" s="389"/>
      <c r="P270" s="389"/>
      <c r="Q270" s="389"/>
      <c r="R270" s="389"/>
      <c r="S270" s="389"/>
      <c r="T270" s="389"/>
      <c r="U270" s="389"/>
      <c r="V270" s="389"/>
      <c r="W270" s="389"/>
      <c r="X270" s="389"/>
      <c r="Y270" s="389"/>
      <c r="Z270" s="389"/>
      <c r="AA270" s="389"/>
      <c r="AB270" s="389"/>
      <c r="AC270" s="389"/>
      <c r="AD270" s="389"/>
      <c r="AE270" s="389"/>
      <c r="AF270" s="389"/>
      <c r="AG270" s="389"/>
    </row>
    <row r="271">
      <c r="A271" s="389"/>
      <c r="B271" s="389"/>
      <c r="C271" s="389"/>
      <c r="D271" s="390"/>
      <c r="E271" s="389"/>
      <c r="F271" s="392"/>
      <c r="G271" s="389"/>
      <c r="H271" s="389"/>
      <c r="I271" s="389"/>
      <c r="J271" s="389"/>
      <c r="K271" s="389"/>
      <c r="L271" s="389"/>
      <c r="M271" s="389"/>
      <c r="N271" s="389"/>
      <c r="O271" s="389"/>
      <c r="P271" s="389"/>
      <c r="Q271" s="389"/>
      <c r="R271" s="389"/>
      <c r="S271" s="389"/>
      <c r="T271" s="389"/>
      <c r="U271" s="389"/>
      <c r="V271" s="389"/>
      <c r="W271" s="389"/>
      <c r="X271" s="389"/>
      <c r="Y271" s="389"/>
      <c r="Z271" s="389"/>
      <c r="AA271" s="389"/>
      <c r="AB271" s="389"/>
      <c r="AC271" s="389"/>
      <c r="AD271" s="389"/>
      <c r="AE271" s="389"/>
      <c r="AF271" s="389"/>
      <c r="AG271" s="389"/>
    </row>
    <row r="272">
      <c r="A272" s="389"/>
      <c r="B272" s="389"/>
      <c r="C272" s="389"/>
      <c r="D272" s="390"/>
      <c r="E272" s="389"/>
      <c r="F272" s="392"/>
      <c r="G272" s="389"/>
      <c r="H272" s="389"/>
      <c r="I272" s="389"/>
      <c r="J272" s="389"/>
      <c r="K272" s="389"/>
      <c r="L272" s="389"/>
      <c r="M272" s="389"/>
      <c r="N272" s="389"/>
      <c r="O272" s="389"/>
      <c r="P272" s="389"/>
      <c r="Q272" s="389"/>
      <c r="R272" s="389"/>
      <c r="S272" s="389"/>
      <c r="T272" s="389"/>
      <c r="U272" s="389"/>
      <c r="V272" s="389"/>
      <c r="W272" s="389"/>
      <c r="X272" s="389"/>
      <c r="Y272" s="389"/>
      <c r="Z272" s="389"/>
      <c r="AA272" s="389"/>
      <c r="AB272" s="389"/>
      <c r="AC272" s="389"/>
      <c r="AD272" s="389"/>
      <c r="AE272" s="389"/>
      <c r="AF272" s="389"/>
      <c r="AG272" s="389"/>
    </row>
    <row r="273">
      <c r="A273" s="389"/>
      <c r="B273" s="389"/>
      <c r="C273" s="389"/>
      <c r="D273" s="390"/>
      <c r="E273" s="389"/>
      <c r="F273" s="392"/>
      <c r="G273" s="389"/>
      <c r="H273" s="389"/>
      <c r="I273" s="389"/>
      <c r="J273" s="389"/>
      <c r="K273" s="389"/>
      <c r="L273" s="389"/>
      <c r="M273" s="389"/>
      <c r="N273" s="389"/>
      <c r="O273" s="389"/>
      <c r="P273" s="389"/>
      <c r="Q273" s="389"/>
      <c r="R273" s="389"/>
      <c r="S273" s="389"/>
      <c r="T273" s="389"/>
      <c r="U273" s="389"/>
      <c r="V273" s="389"/>
      <c r="W273" s="389"/>
      <c r="X273" s="389"/>
      <c r="Y273" s="389"/>
      <c r="Z273" s="389"/>
      <c r="AA273" s="389"/>
      <c r="AB273" s="389"/>
      <c r="AC273" s="389"/>
      <c r="AD273" s="389"/>
      <c r="AE273" s="389"/>
      <c r="AF273" s="389"/>
      <c r="AG273" s="389"/>
    </row>
    <row r="274">
      <c r="A274" s="389"/>
      <c r="B274" s="389"/>
      <c r="C274" s="389"/>
      <c r="D274" s="390"/>
      <c r="E274" s="389"/>
      <c r="F274" s="392"/>
      <c r="G274" s="389"/>
      <c r="H274" s="389"/>
      <c r="I274" s="389"/>
      <c r="J274" s="389"/>
      <c r="K274" s="389"/>
      <c r="L274" s="389"/>
      <c r="M274" s="389"/>
      <c r="N274" s="389"/>
      <c r="O274" s="389"/>
      <c r="P274" s="389"/>
      <c r="Q274" s="389"/>
      <c r="R274" s="389"/>
      <c r="S274" s="389"/>
      <c r="T274" s="389"/>
      <c r="U274" s="389"/>
      <c r="V274" s="389"/>
      <c r="W274" s="389"/>
      <c r="X274" s="389"/>
      <c r="Y274" s="389"/>
      <c r="Z274" s="389"/>
      <c r="AA274" s="389"/>
      <c r="AB274" s="389"/>
      <c r="AC274" s="389"/>
      <c r="AD274" s="389"/>
      <c r="AE274" s="389"/>
      <c r="AF274" s="389"/>
      <c r="AG274" s="389"/>
    </row>
    <row r="275">
      <c r="A275" s="389"/>
      <c r="B275" s="389"/>
      <c r="C275" s="389"/>
      <c r="D275" s="390"/>
      <c r="E275" s="389"/>
      <c r="F275" s="392"/>
      <c r="G275" s="389"/>
      <c r="H275" s="389"/>
      <c r="I275" s="389"/>
      <c r="J275" s="389"/>
      <c r="K275" s="389"/>
      <c r="L275" s="389"/>
      <c r="M275" s="389"/>
      <c r="N275" s="389"/>
      <c r="O275" s="389"/>
      <c r="P275" s="389"/>
      <c r="Q275" s="389"/>
      <c r="R275" s="389"/>
      <c r="S275" s="389"/>
      <c r="T275" s="389"/>
      <c r="U275" s="389"/>
      <c r="V275" s="389"/>
      <c r="W275" s="389"/>
      <c r="X275" s="389"/>
      <c r="Y275" s="389"/>
      <c r="Z275" s="389"/>
      <c r="AA275" s="389"/>
      <c r="AB275" s="389"/>
      <c r="AC275" s="389"/>
      <c r="AD275" s="389"/>
      <c r="AE275" s="389"/>
      <c r="AF275" s="389"/>
      <c r="AG275" s="389"/>
    </row>
    <row r="276">
      <c r="A276" s="389"/>
      <c r="B276" s="389"/>
      <c r="C276" s="389"/>
      <c r="D276" s="390"/>
      <c r="E276" s="389"/>
      <c r="F276" s="392"/>
      <c r="G276" s="389"/>
      <c r="H276" s="389"/>
      <c r="I276" s="389"/>
      <c r="J276" s="389"/>
      <c r="K276" s="389"/>
      <c r="L276" s="389"/>
      <c r="M276" s="389"/>
      <c r="N276" s="389"/>
      <c r="O276" s="389"/>
      <c r="P276" s="389"/>
      <c r="Q276" s="389"/>
      <c r="R276" s="389"/>
      <c r="S276" s="389"/>
      <c r="T276" s="389"/>
      <c r="U276" s="389"/>
      <c r="V276" s="389"/>
      <c r="W276" s="389"/>
      <c r="X276" s="389"/>
      <c r="Y276" s="389"/>
      <c r="Z276" s="389"/>
      <c r="AA276" s="389"/>
      <c r="AB276" s="389"/>
      <c r="AC276" s="389"/>
      <c r="AD276" s="389"/>
      <c r="AE276" s="389"/>
      <c r="AF276" s="389"/>
      <c r="AG276" s="389"/>
    </row>
    <row r="277">
      <c r="A277" s="389"/>
      <c r="B277" s="389"/>
      <c r="C277" s="389"/>
      <c r="D277" s="390"/>
      <c r="E277" s="389"/>
      <c r="F277" s="392"/>
      <c r="G277" s="389"/>
      <c r="H277" s="389"/>
      <c r="I277" s="389"/>
      <c r="J277" s="389"/>
      <c r="K277" s="389"/>
      <c r="L277" s="389"/>
      <c r="M277" s="389"/>
      <c r="N277" s="389"/>
      <c r="O277" s="389"/>
      <c r="P277" s="389"/>
      <c r="Q277" s="389"/>
      <c r="R277" s="389"/>
      <c r="S277" s="389"/>
      <c r="T277" s="389"/>
      <c r="U277" s="389"/>
      <c r="V277" s="389"/>
      <c r="W277" s="389"/>
      <c r="X277" s="389"/>
      <c r="Y277" s="389"/>
      <c r="Z277" s="389"/>
      <c r="AA277" s="389"/>
      <c r="AB277" s="389"/>
      <c r="AC277" s="389"/>
      <c r="AD277" s="389"/>
      <c r="AE277" s="389"/>
      <c r="AF277" s="389"/>
      <c r="AG277" s="389"/>
    </row>
    <row r="278">
      <c r="A278" s="389"/>
      <c r="B278" s="389"/>
      <c r="C278" s="389"/>
      <c r="D278" s="390"/>
      <c r="E278" s="389"/>
      <c r="F278" s="392"/>
      <c r="G278" s="389"/>
      <c r="H278" s="389"/>
      <c r="I278" s="389"/>
      <c r="J278" s="389"/>
      <c r="K278" s="389"/>
      <c r="L278" s="389"/>
      <c r="M278" s="389"/>
      <c r="N278" s="389"/>
      <c r="O278" s="389"/>
      <c r="P278" s="389"/>
      <c r="Q278" s="389"/>
      <c r="R278" s="389"/>
      <c r="S278" s="389"/>
      <c r="T278" s="389"/>
      <c r="U278" s="389"/>
      <c r="V278" s="389"/>
      <c r="W278" s="389"/>
      <c r="X278" s="389"/>
      <c r="Y278" s="389"/>
      <c r="Z278" s="389"/>
      <c r="AA278" s="389"/>
      <c r="AB278" s="389"/>
      <c r="AC278" s="389"/>
      <c r="AD278" s="389"/>
      <c r="AE278" s="389"/>
      <c r="AF278" s="389"/>
      <c r="AG278" s="389"/>
    </row>
    <row r="279">
      <c r="A279" s="389"/>
      <c r="B279" s="389"/>
      <c r="C279" s="389"/>
      <c r="D279" s="390"/>
      <c r="E279" s="389"/>
      <c r="F279" s="392"/>
      <c r="G279" s="389"/>
      <c r="H279" s="389"/>
      <c r="I279" s="389"/>
      <c r="J279" s="389"/>
      <c r="K279" s="389"/>
      <c r="L279" s="389"/>
      <c r="M279" s="389"/>
      <c r="N279" s="389"/>
      <c r="O279" s="389"/>
      <c r="P279" s="389"/>
      <c r="Q279" s="389"/>
      <c r="R279" s="389"/>
      <c r="S279" s="389"/>
      <c r="T279" s="389"/>
      <c r="U279" s="389"/>
      <c r="V279" s="389"/>
      <c r="W279" s="389"/>
      <c r="X279" s="389"/>
      <c r="Y279" s="389"/>
      <c r="Z279" s="389"/>
      <c r="AA279" s="389"/>
      <c r="AB279" s="389"/>
      <c r="AC279" s="389"/>
      <c r="AD279" s="389"/>
      <c r="AE279" s="389"/>
      <c r="AF279" s="389"/>
      <c r="AG279" s="389"/>
    </row>
    <row r="280">
      <c r="A280" s="389"/>
      <c r="B280" s="389"/>
      <c r="C280" s="389"/>
      <c r="D280" s="390"/>
      <c r="E280" s="389"/>
      <c r="F280" s="392"/>
      <c r="G280" s="389"/>
      <c r="H280" s="389"/>
      <c r="I280" s="389"/>
      <c r="J280" s="389"/>
      <c r="K280" s="389"/>
      <c r="L280" s="389"/>
      <c r="M280" s="389"/>
      <c r="N280" s="389"/>
      <c r="O280" s="389"/>
      <c r="P280" s="389"/>
      <c r="Q280" s="389"/>
      <c r="R280" s="389"/>
      <c r="S280" s="389"/>
      <c r="T280" s="389"/>
      <c r="U280" s="389"/>
      <c r="V280" s="389"/>
      <c r="W280" s="389"/>
      <c r="X280" s="389"/>
      <c r="Y280" s="389"/>
      <c r="Z280" s="389"/>
      <c r="AA280" s="389"/>
      <c r="AB280" s="389"/>
      <c r="AC280" s="389"/>
      <c r="AD280" s="389"/>
      <c r="AE280" s="389"/>
      <c r="AF280" s="389"/>
      <c r="AG280" s="389"/>
    </row>
    <row r="281">
      <c r="A281" s="389"/>
      <c r="B281" s="389"/>
      <c r="C281" s="389"/>
      <c r="D281" s="390"/>
      <c r="E281" s="389"/>
      <c r="F281" s="392"/>
      <c r="G281" s="389"/>
      <c r="H281" s="389"/>
      <c r="I281" s="389"/>
      <c r="J281" s="389"/>
      <c r="K281" s="389"/>
      <c r="L281" s="389"/>
      <c r="M281" s="389"/>
      <c r="N281" s="389"/>
      <c r="O281" s="389"/>
      <c r="P281" s="389"/>
      <c r="Q281" s="389"/>
      <c r="R281" s="389"/>
      <c r="S281" s="389"/>
      <c r="T281" s="389"/>
      <c r="U281" s="389"/>
      <c r="V281" s="389"/>
      <c r="W281" s="389"/>
      <c r="X281" s="389"/>
      <c r="Y281" s="389"/>
      <c r="Z281" s="389"/>
      <c r="AA281" s="389"/>
      <c r="AB281" s="389"/>
      <c r="AC281" s="389"/>
      <c r="AD281" s="389"/>
      <c r="AE281" s="389"/>
      <c r="AF281" s="389"/>
      <c r="AG281" s="389"/>
    </row>
    <row r="282">
      <c r="A282" s="389"/>
      <c r="B282" s="389"/>
      <c r="C282" s="389"/>
      <c r="D282" s="390"/>
      <c r="E282" s="389"/>
      <c r="F282" s="392"/>
      <c r="G282" s="389"/>
      <c r="H282" s="389"/>
      <c r="I282" s="389"/>
      <c r="J282" s="389"/>
      <c r="K282" s="389"/>
      <c r="L282" s="389"/>
      <c r="M282" s="389"/>
      <c r="N282" s="389"/>
      <c r="O282" s="389"/>
      <c r="P282" s="389"/>
      <c r="Q282" s="389"/>
      <c r="R282" s="389"/>
      <c r="S282" s="389"/>
      <c r="T282" s="389"/>
      <c r="U282" s="389"/>
      <c r="V282" s="389"/>
      <c r="W282" s="389"/>
      <c r="X282" s="389"/>
      <c r="Y282" s="389"/>
      <c r="Z282" s="389"/>
      <c r="AA282" s="389"/>
      <c r="AB282" s="389"/>
      <c r="AC282" s="389"/>
      <c r="AD282" s="389"/>
      <c r="AE282" s="389"/>
      <c r="AF282" s="389"/>
      <c r="AG282" s="389"/>
    </row>
    <row r="283">
      <c r="A283" s="389"/>
      <c r="B283" s="389"/>
      <c r="C283" s="389"/>
      <c r="D283" s="390"/>
      <c r="E283" s="389"/>
      <c r="F283" s="392"/>
      <c r="G283" s="389"/>
      <c r="H283" s="389"/>
      <c r="I283" s="389"/>
      <c r="J283" s="389"/>
      <c r="K283" s="389"/>
      <c r="L283" s="389"/>
      <c r="M283" s="389"/>
      <c r="N283" s="389"/>
      <c r="O283" s="389"/>
      <c r="P283" s="389"/>
      <c r="Q283" s="389"/>
      <c r="R283" s="389"/>
      <c r="S283" s="389"/>
      <c r="T283" s="389"/>
      <c r="U283" s="389"/>
      <c r="V283" s="389"/>
      <c r="W283" s="389"/>
      <c r="X283" s="389"/>
      <c r="Y283" s="389"/>
      <c r="Z283" s="389"/>
      <c r="AA283" s="389"/>
      <c r="AB283" s="389"/>
      <c r="AC283" s="389"/>
      <c r="AD283" s="389"/>
      <c r="AE283" s="389"/>
      <c r="AF283" s="389"/>
      <c r="AG283" s="389"/>
    </row>
    <row r="284">
      <c r="A284" s="389"/>
      <c r="B284" s="389"/>
      <c r="C284" s="389"/>
      <c r="D284" s="390"/>
      <c r="E284" s="389"/>
      <c r="F284" s="392"/>
      <c r="G284" s="389"/>
      <c r="H284" s="389"/>
      <c r="I284" s="389"/>
      <c r="J284" s="389"/>
      <c r="K284" s="389"/>
      <c r="L284" s="389"/>
      <c r="M284" s="389"/>
      <c r="N284" s="389"/>
      <c r="O284" s="389"/>
      <c r="P284" s="389"/>
      <c r="Q284" s="389"/>
      <c r="R284" s="389"/>
      <c r="S284" s="389"/>
      <c r="T284" s="389"/>
      <c r="U284" s="389"/>
      <c r="V284" s="389"/>
      <c r="W284" s="389"/>
      <c r="X284" s="389"/>
      <c r="Y284" s="389"/>
      <c r="Z284" s="389"/>
      <c r="AA284" s="389"/>
      <c r="AB284" s="389"/>
      <c r="AC284" s="389"/>
      <c r="AD284" s="389"/>
      <c r="AE284" s="389"/>
      <c r="AF284" s="389"/>
      <c r="AG284" s="389"/>
    </row>
    <row r="285">
      <c r="A285" s="389"/>
      <c r="B285" s="389"/>
      <c r="C285" s="389"/>
      <c r="D285" s="390"/>
      <c r="E285" s="389"/>
      <c r="F285" s="392"/>
      <c r="G285" s="389"/>
      <c r="H285" s="389"/>
      <c r="I285" s="389"/>
      <c r="J285" s="389"/>
      <c r="K285" s="389"/>
      <c r="L285" s="389"/>
      <c r="M285" s="389"/>
      <c r="N285" s="389"/>
      <c r="O285" s="389"/>
      <c r="P285" s="389"/>
      <c r="Q285" s="389"/>
      <c r="R285" s="389"/>
      <c r="S285" s="389"/>
      <c r="T285" s="389"/>
      <c r="U285" s="389"/>
      <c r="V285" s="389"/>
      <c r="W285" s="389"/>
      <c r="X285" s="389"/>
      <c r="Y285" s="389"/>
      <c r="Z285" s="389"/>
      <c r="AA285" s="389"/>
      <c r="AB285" s="389"/>
      <c r="AC285" s="389"/>
      <c r="AD285" s="389"/>
      <c r="AE285" s="389"/>
      <c r="AF285" s="389"/>
      <c r="AG285" s="389"/>
    </row>
    <row r="286">
      <c r="A286" s="389"/>
      <c r="B286" s="389"/>
      <c r="C286" s="389"/>
      <c r="D286" s="390"/>
      <c r="E286" s="389"/>
      <c r="F286" s="392"/>
      <c r="G286" s="389"/>
      <c r="H286" s="389"/>
      <c r="I286" s="389"/>
      <c r="J286" s="389"/>
      <c r="K286" s="389"/>
      <c r="L286" s="389"/>
      <c r="M286" s="389"/>
      <c r="N286" s="389"/>
      <c r="O286" s="389"/>
      <c r="P286" s="389"/>
      <c r="Q286" s="389"/>
      <c r="R286" s="389"/>
      <c r="S286" s="389"/>
      <c r="T286" s="389"/>
      <c r="U286" s="389"/>
      <c r="V286" s="389"/>
      <c r="W286" s="389"/>
      <c r="X286" s="389"/>
      <c r="Y286" s="389"/>
      <c r="Z286" s="389"/>
      <c r="AA286" s="389"/>
      <c r="AB286" s="389"/>
      <c r="AC286" s="389"/>
      <c r="AD286" s="389"/>
      <c r="AE286" s="389"/>
      <c r="AF286" s="389"/>
      <c r="AG286" s="389"/>
    </row>
    <row r="287">
      <c r="A287" s="389"/>
      <c r="B287" s="389"/>
      <c r="C287" s="389"/>
      <c r="D287" s="390"/>
      <c r="E287" s="389"/>
      <c r="F287" s="392"/>
      <c r="G287" s="389"/>
      <c r="H287" s="389"/>
      <c r="I287" s="389"/>
      <c r="J287" s="389"/>
      <c r="K287" s="389"/>
      <c r="L287" s="389"/>
      <c r="M287" s="389"/>
      <c r="N287" s="389"/>
      <c r="O287" s="389"/>
      <c r="P287" s="389"/>
      <c r="Q287" s="389"/>
      <c r="R287" s="389"/>
      <c r="S287" s="389"/>
      <c r="T287" s="389"/>
      <c r="U287" s="389"/>
      <c r="V287" s="389"/>
      <c r="W287" s="389"/>
      <c r="X287" s="389"/>
      <c r="Y287" s="389"/>
      <c r="Z287" s="389"/>
      <c r="AA287" s="389"/>
      <c r="AB287" s="389"/>
      <c r="AC287" s="389"/>
      <c r="AD287" s="389"/>
      <c r="AE287" s="389"/>
      <c r="AF287" s="389"/>
      <c r="AG287" s="389"/>
    </row>
    <row r="288">
      <c r="A288" s="389"/>
      <c r="B288" s="389"/>
      <c r="C288" s="389"/>
      <c r="D288" s="390"/>
      <c r="E288" s="389"/>
      <c r="F288" s="392"/>
      <c r="G288" s="389"/>
      <c r="H288" s="389"/>
      <c r="I288" s="389"/>
      <c r="J288" s="389"/>
      <c r="K288" s="389"/>
      <c r="L288" s="389"/>
      <c r="M288" s="389"/>
      <c r="N288" s="389"/>
      <c r="O288" s="389"/>
      <c r="P288" s="389"/>
      <c r="Q288" s="389"/>
      <c r="R288" s="389"/>
      <c r="S288" s="389"/>
      <c r="T288" s="389"/>
      <c r="U288" s="389"/>
      <c r="V288" s="389"/>
      <c r="W288" s="389"/>
      <c r="X288" s="389"/>
      <c r="Y288" s="389"/>
      <c r="Z288" s="389"/>
      <c r="AA288" s="389"/>
      <c r="AB288" s="389"/>
      <c r="AC288" s="389"/>
      <c r="AD288" s="389"/>
      <c r="AE288" s="389"/>
      <c r="AF288" s="389"/>
      <c r="AG288" s="389"/>
    </row>
    <row r="289">
      <c r="A289" s="389"/>
      <c r="B289" s="389"/>
      <c r="C289" s="389"/>
      <c r="D289" s="390"/>
      <c r="E289" s="389"/>
      <c r="F289" s="392"/>
      <c r="G289" s="389"/>
      <c r="H289" s="389"/>
      <c r="I289" s="389"/>
      <c r="J289" s="389"/>
      <c r="K289" s="389"/>
      <c r="L289" s="389"/>
      <c r="M289" s="389"/>
      <c r="N289" s="389"/>
      <c r="O289" s="389"/>
      <c r="P289" s="389"/>
      <c r="Q289" s="389"/>
      <c r="R289" s="389"/>
      <c r="S289" s="389"/>
      <c r="T289" s="389"/>
      <c r="U289" s="389"/>
      <c r="V289" s="389"/>
      <c r="W289" s="389"/>
      <c r="X289" s="389"/>
      <c r="Y289" s="389"/>
      <c r="Z289" s="389"/>
      <c r="AA289" s="389"/>
      <c r="AB289" s="389"/>
      <c r="AC289" s="389"/>
      <c r="AD289" s="389"/>
      <c r="AE289" s="389"/>
      <c r="AF289" s="389"/>
      <c r="AG289" s="389"/>
    </row>
    <row r="290">
      <c r="A290" s="389"/>
      <c r="B290" s="389"/>
      <c r="C290" s="389"/>
      <c r="D290" s="390"/>
      <c r="E290" s="389"/>
      <c r="F290" s="392"/>
      <c r="G290" s="389"/>
      <c r="H290" s="389"/>
      <c r="I290" s="389"/>
      <c r="J290" s="389"/>
      <c r="K290" s="389"/>
      <c r="L290" s="389"/>
      <c r="M290" s="389"/>
      <c r="N290" s="389"/>
      <c r="O290" s="389"/>
      <c r="P290" s="389"/>
      <c r="Q290" s="389"/>
      <c r="R290" s="389"/>
      <c r="S290" s="389"/>
      <c r="T290" s="389"/>
      <c r="U290" s="389"/>
      <c r="V290" s="389"/>
      <c r="W290" s="389"/>
      <c r="X290" s="389"/>
      <c r="Y290" s="389"/>
      <c r="Z290" s="389"/>
      <c r="AA290" s="389"/>
      <c r="AB290" s="389"/>
      <c r="AC290" s="389"/>
      <c r="AD290" s="389"/>
      <c r="AE290" s="389"/>
      <c r="AF290" s="389"/>
      <c r="AG290" s="389"/>
    </row>
    <row r="291">
      <c r="A291" s="389"/>
      <c r="B291" s="389"/>
      <c r="C291" s="389"/>
      <c r="D291" s="390"/>
      <c r="E291" s="389"/>
      <c r="F291" s="392"/>
      <c r="G291" s="389"/>
      <c r="H291" s="389"/>
      <c r="I291" s="389"/>
      <c r="J291" s="389"/>
      <c r="K291" s="389"/>
      <c r="L291" s="389"/>
      <c r="M291" s="389"/>
      <c r="N291" s="389"/>
      <c r="O291" s="389"/>
      <c r="P291" s="389"/>
      <c r="Q291" s="389"/>
      <c r="R291" s="389"/>
      <c r="S291" s="389"/>
      <c r="T291" s="389"/>
      <c r="U291" s="389"/>
      <c r="V291" s="389"/>
      <c r="W291" s="389"/>
      <c r="X291" s="389"/>
      <c r="Y291" s="389"/>
      <c r="Z291" s="389"/>
      <c r="AA291" s="389"/>
      <c r="AB291" s="389"/>
      <c r="AC291" s="389"/>
      <c r="AD291" s="389"/>
      <c r="AE291" s="389"/>
      <c r="AF291" s="389"/>
      <c r="AG291" s="389"/>
    </row>
    <row r="292">
      <c r="A292" s="389"/>
      <c r="B292" s="389"/>
      <c r="C292" s="389"/>
      <c r="D292" s="390"/>
      <c r="E292" s="389"/>
      <c r="F292" s="392"/>
      <c r="G292" s="389"/>
      <c r="H292" s="389"/>
      <c r="I292" s="389"/>
      <c r="J292" s="389"/>
      <c r="K292" s="389"/>
      <c r="L292" s="389"/>
      <c r="M292" s="389"/>
      <c r="N292" s="389"/>
      <c r="O292" s="389"/>
      <c r="P292" s="389"/>
      <c r="Q292" s="389"/>
      <c r="R292" s="389"/>
      <c r="S292" s="389"/>
      <c r="T292" s="389"/>
      <c r="U292" s="389"/>
      <c r="V292" s="389"/>
      <c r="W292" s="389"/>
      <c r="X292" s="389"/>
      <c r="Y292" s="389"/>
      <c r="Z292" s="389"/>
      <c r="AA292" s="389"/>
      <c r="AB292" s="389"/>
      <c r="AC292" s="389"/>
      <c r="AD292" s="389"/>
      <c r="AE292" s="389"/>
      <c r="AF292" s="389"/>
      <c r="AG292" s="389"/>
    </row>
    <row r="293">
      <c r="A293" s="389"/>
      <c r="B293" s="389"/>
      <c r="C293" s="389"/>
      <c r="D293" s="390"/>
      <c r="E293" s="389"/>
      <c r="F293" s="392"/>
      <c r="G293" s="389"/>
      <c r="H293" s="389"/>
      <c r="I293" s="389"/>
      <c r="J293" s="389"/>
      <c r="K293" s="389"/>
      <c r="L293" s="389"/>
      <c r="M293" s="389"/>
      <c r="N293" s="389"/>
      <c r="O293" s="389"/>
      <c r="P293" s="389"/>
      <c r="Q293" s="389"/>
      <c r="R293" s="389"/>
      <c r="S293" s="389"/>
      <c r="T293" s="389"/>
      <c r="U293" s="389"/>
      <c r="V293" s="389"/>
      <c r="W293" s="389"/>
      <c r="X293" s="389"/>
      <c r="Y293" s="389"/>
      <c r="Z293" s="389"/>
      <c r="AA293" s="389"/>
      <c r="AB293" s="389"/>
      <c r="AC293" s="389"/>
      <c r="AD293" s="389"/>
      <c r="AE293" s="389"/>
      <c r="AF293" s="389"/>
      <c r="AG293" s="389"/>
    </row>
    <row r="294">
      <c r="A294" s="389"/>
      <c r="B294" s="389"/>
      <c r="C294" s="389"/>
      <c r="D294" s="390"/>
      <c r="E294" s="389"/>
      <c r="F294" s="392"/>
      <c r="G294" s="389"/>
      <c r="H294" s="389"/>
      <c r="I294" s="389"/>
      <c r="J294" s="389"/>
      <c r="K294" s="389"/>
      <c r="L294" s="389"/>
      <c r="M294" s="389"/>
      <c r="N294" s="389"/>
      <c r="O294" s="389"/>
      <c r="P294" s="389"/>
      <c r="Q294" s="389"/>
      <c r="R294" s="389"/>
      <c r="S294" s="389"/>
      <c r="T294" s="389"/>
      <c r="U294" s="389"/>
      <c r="V294" s="389"/>
      <c r="W294" s="389"/>
      <c r="X294" s="389"/>
      <c r="Y294" s="389"/>
      <c r="Z294" s="389"/>
      <c r="AA294" s="389"/>
      <c r="AB294" s="389"/>
      <c r="AC294" s="389"/>
      <c r="AD294" s="389"/>
      <c r="AE294" s="389"/>
      <c r="AF294" s="389"/>
      <c r="AG294" s="389"/>
    </row>
    <row r="295">
      <c r="A295" s="389"/>
      <c r="B295" s="389"/>
      <c r="C295" s="389"/>
      <c r="D295" s="390"/>
      <c r="E295" s="389"/>
      <c r="F295" s="392"/>
      <c r="G295" s="389"/>
      <c r="H295" s="389"/>
      <c r="I295" s="389"/>
      <c r="J295" s="389"/>
      <c r="K295" s="389"/>
      <c r="L295" s="389"/>
      <c r="M295" s="389"/>
      <c r="N295" s="389"/>
      <c r="O295" s="389"/>
      <c r="P295" s="389"/>
      <c r="Q295" s="389"/>
      <c r="R295" s="389"/>
      <c r="S295" s="389"/>
      <c r="T295" s="389"/>
      <c r="U295" s="389"/>
      <c r="V295" s="389"/>
      <c r="W295" s="389"/>
      <c r="X295" s="389"/>
      <c r="Y295" s="389"/>
      <c r="Z295" s="389"/>
      <c r="AA295" s="389"/>
      <c r="AB295" s="389"/>
      <c r="AC295" s="389"/>
      <c r="AD295" s="389"/>
      <c r="AE295" s="389"/>
      <c r="AF295" s="389"/>
      <c r="AG295" s="389"/>
    </row>
    <row r="296">
      <c r="A296" s="389"/>
      <c r="B296" s="389"/>
      <c r="C296" s="389"/>
      <c r="D296" s="390"/>
      <c r="E296" s="389"/>
      <c r="F296" s="392"/>
      <c r="G296" s="389"/>
      <c r="H296" s="389"/>
      <c r="I296" s="389"/>
      <c r="J296" s="389"/>
      <c r="K296" s="389"/>
      <c r="L296" s="389"/>
      <c r="M296" s="389"/>
      <c r="N296" s="389"/>
      <c r="O296" s="389"/>
      <c r="P296" s="389"/>
      <c r="Q296" s="389"/>
      <c r="R296" s="389"/>
      <c r="S296" s="389"/>
      <c r="T296" s="389"/>
      <c r="U296" s="389"/>
      <c r="V296" s="389"/>
      <c r="W296" s="389"/>
      <c r="X296" s="389"/>
      <c r="Y296" s="389"/>
      <c r="Z296" s="389"/>
      <c r="AA296" s="389"/>
      <c r="AB296" s="389"/>
      <c r="AC296" s="389"/>
      <c r="AD296" s="389"/>
      <c r="AE296" s="389"/>
      <c r="AF296" s="389"/>
      <c r="AG296" s="389"/>
    </row>
    <row r="297">
      <c r="A297" s="389"/>
      <c r="B297" s="389"/>
      <c r="C297" s="389"/>
      <c r="D297" s="390"/>
      <c r="E297" s="389"/>
      <c r="F297" s="392"/>
      <c r="G297" s="389"/>
      <c r="H297" s="389"/>
      <c r="I297" s="389"/>
      <c r="J297" s="389"/>
      <c r="K297" s="389"/>
      <c r="L297" s="389"/>
      <c r="M297" s="389"/>
      <c r="N297" s="389"/>
      <c r="O297" s="389"/>
      <c r="P297" s="389"/>
      <c r="Q297" s="389"/>
      <c r="R297" s="389"/>
      <c r="S297" s="389"/>
      <c r="T297" s="389"/>
      <c r="U297" s="389"/>
      <c r="V297" s="389"/>
      <c r="W297" s="389"/>
      <c r="X297" s="389"/>
      <c r="Y297" s="389"/>
      <c r="Z297" s="389"/>
      <c r="AA297" s="389"/>
      <c r="AB297" s="389"/>
      <c r="AC297" s="389"/>
      <c r="AD297" s="389"/>
      <c r="AE297" s="389"/>
      <c r="AF297" s="389"/>
      <c r="AG297" s="389"/>
    </row>
    <row r="298">
      <c r="A298" s="389"/>
      <c r="B298" s="389"/>
      <c r="C298" s="389"/>
      <c r="D298" s="390"/>
      <c r="E298" s="389"/>
      <c r="F298" s="392"/>
      <c r="G298" s="389"/>
      <c r="H298" s="389"/>
      <c r="I298" s="389"/>
      <c r="J298" s="389"/>
      <c r="K298" s="389"/>
      <c r="L298" s="389"/>
      <c r="M298" s="389"/>
      <c r="N298" s="389"/>
      <c r="O298" s="389"/>
      <c r="P298" s="389"/>
      <c r="Q298" s="389"/>
      <c r="R298" s="389"/>
      <c r="S298" s="389"/>
      <c r="T298" s="389"/>
      <c r="U298" s="389"/>
      <c r="V298" s="389"/>
      <c r="W298" s="389"/>
      <c r="X298" s="389"/>
      <c r="Y298" s="389"/>
      <c r="Z298" s="389"/>
      <c r="AA298" s="389"/>
      <c r="AB298" s="389"/>
      <c r="AC298" s="389"/>
      <c r="AD298" s="389"/>
      <c r="AE298" s="389"/>
      <c r="AF298" s="389"/>
      <c r="AG298" s="389"/>
    </row>
    <row r="299">
      <c r="A299" s="389"/>
      <c r="B299" s="389"/>
      <c r="C299" s="389"/>
      <c r="D299" s="390"/>
      <c r="E299" s="389"/>
      <c r="F299" s="392"/>
      <c r="G299" s="389"/>
      <c r="H299" s="389"/>
      <c r="I299" s="389"/>
      <c r="J299" s="389"/>
      <c r="K299" s="389"/>
      <c r="L299" s="389"/>
      <c r="M299" s="389"/>
      <c r="N299" s="389"/>
      <c r="O299" s="389"/>
      <c r="P299" s="389"/>
      <c r="Q299" s="389"/>
      <c r="R299" s="389"/>
      <c r="S299" s="389"/>
      <c r="T299" s="389"/>
      <c r="U299" s="389"/>
      <c r="V299" s="389"/>
      <c r="W299" s="389"/>
      <c r="X299" s="389"/>
      <c r="Y299" s="389"/>
      <c r="Z299" s="389"/>
      <c r="AA299" s="389"/>
      <c r="AB299" s="389"/>
      <c r="AC299" s="389"/>
      <c r="AD299" s="389"/>
      <c r="AE299" s="389"/>
      <c r="AF299" s="389"/>
      <c r="AG299" s="389"/>
    </row>
    <row r="300">
      <c r="A300" s="389"/>
      <c r="B300" s="389"/>
      <c r="C300" s="389"/>
      <c r="D300" s="390"/>
      <c r="E300" s="389"/>
      <c r="F300" s="392"/>
      <c r="G300" s="389"/>
      <c r="H300" s="389"/>
      <c r="I300" s="389"/>
      <c r="J300" s="389"/>
      <c r="K300" s="389"/>
      <c r="L300" s="389"/>
      <c r="M300" s="389"/>
      <c r="N300" s="389"/>
      <c r="O300" s="389"/>
      <c r="P300" s="389"/>
      <c r="Q300" s="389"/>
      <c r="R300" s="389"/>
      <c r="S300" s="389"/>
      <c r="T300" s="389"/>
      <c r="U300" s="389"/>
      <c r="V300" s="389"/>
      <c r="W300" s="389"/>
      <c r="X300" s="389"/>
      <c r="Y300" s="389"/>
      <c r="Z300" s="389"/>
      <c r="AA300" s="389"/>
      <c r="AB300" s="389"/>
      <c r="AC300" s="389"/>
      <c r="AD300" s="389"/>
      <c r="AE300" s="389"/>
      <c r="AF300" s="389"/>
      <c r="AG300" s="389"/>
    </row>
    <row r="301">
      <c r="A301" s="389"/>
      <c r="B301" s="389"/>
      <c r="C301" s="389"/>
      <c r="D301" s="390"/>
      <c r="E301" s="389"/>
      <c r="F301" s="392"/>
      <c r="G301" s="389"/>
      <c r="H301" s="389"/>
      <c r="I301" s="389"/>
      <c r="J301" s="389"/>
      <c r="K301" s="389"/>
      <c r="L301" s="389"/>
      <c r="M301" s="389"/>
      <c r="N301" s="389"/>
      <c r="O301" s="389"/>
      <c r="P301" s="389"/>
      <c r="Q301" s="389"/>
      <c r="R301" s="389"/>
      <c r="S301" s="389"/>
      <c r="T301" s="389"/>
      <c r="U301" s="389"/>
      <c r="V301" s="389"/>
      <c r="W301" s="389"/>
      <c r="X301" s="389"/>
      <c r="Y301" s="389"/>
      <c r="Z301" s="389"/>
      <c r="AA301" s="389"/>
      <c r="AB301" s="389"/>
      <c r="AC301" s="389"/>
      <c r="AD301" s="389"/>
      <c r="AE301" s="389"/>
      <c r="AF301" s="389"/>
      <c r="AG301" s="389"/>
    </row>
    <row r="302">
      <c r="A302" s="389"/>
      <c r="B302" s="389"/>
      <c r="C302" s="389"/>
      <c r="D302" s="390"/>
      <c r="E302" s="389"/>
      <c r="F302" s="392"/>
      <c r="G302" s="389"/>
      <c r="H302" s="389"/>
      <c r="I302" s="389"/>
      <c r="J302" s="389"/>
      <c r="K302" s="389"/>
      <c r="L302" s="389"/>
      <c r="M302" s="389"/>
      <c r="N302" s="389"/>
      <c r="O302" s="389"/>
      <c r="P302" s="389"/>
      <c r="Q302" s="389"/>
      <c r="R302" s="389"/>
      <c r="S302" s="389"/>
      <c r="T302" s="389"/>
      <c r="U302" s="389"/>
      <c r="V302" s="389"/>
      <c r="W302" s="389"/>
      <c r="X302" s="389"/>
      <c r="Y302" s="389"/>
      <c r="Z302" s="389"/>
      <c r="AA302" s="389"/>
      <c r="AB302" s="389"/>
      <c r="AC302" s="389"/>
      <c r="AD302" s="389"/>
      <c r="AE302" s="389"/>
      <c r="AF302" s="389"/>
      <c r="AG302" s="389"/>
    </row>
    <row r="303">
      <c r="A303" s="389"/>
      <c r="B303" s="389"/>
      <c r="C303" s="389"/>
      <c r="D303" s="390"/>
      <c r="E303" s="389"/>
      <c r="F303" s="392"/>
      <c r="G303" s="389"/>
      <c r="H303" s="389"/>
      <c r="I303" s="389"/>
      <c r="J303" s="389"/>
      <c r="K303" s="389"/>
      <c r="L303" s="389"/>
      <c r="M303" s="389"/>
      <c r="N303" s="389"/>
      <c r="O303" s="389"/>
      <c r="P303" s="389"/>
      <c r="Q303" s="389"/>
      <c r="R303" s="389"/>
      <c r="S303" s="389"/>
      <c r="T303" s="389"/>
      <c r="U303" s="389"/>
      <c r="V303" s="389"/>
      <c r="W303" s="389"/>
      <c r="X303" s="389"/>
      <c r="Y303" s="389"/>
      <c r="Z303" s="389"/>
      <c r="AA303" s="389"/>
      <c r="AB303" s="389"/>
      <c r="AC303" s="389"/>
      <c r="AD303" s="389"/>
      <c r="AE303" s="389"/>
      <c r="AF303" s="389"/>
      <c r="AG303" s="389"/>
    </row>
    <row r="304">
      <c r="A304" s="389"/>
      <c r="B304" s="389"/>
      <c r="C304" s="389"/>
      <c r="D304" s="390"/>
      <c r="E304" s="389"/>
      <c r="F304" s="392"/>
      <c r="G304" s="389"/>
      <c r="H304" s="389"/>
      <c r="I304" s="389"/>
      <c r="J304" s="389"/>
      <c r="K304" s="389"/>
      <c r="L304" s="389"/>
      <c r="M304" s="389"/>
      <c r="N304" s="389"/>
      <c r="O304" s="389"/>
      <c r="P304" s="389"/>
      <c r="Q304" s="389"/>
      <c r="R304" s="389"/>
      <c r="S304" s="389"/>
      <c r="T304" s="389"/>
      <c r="U304" s="389"/>
      <c r="V304" s="389"/>
      <c r="W304" s="389"/>
      <c r="X304" s="389"/>
      <c r="Y304" s="389"/>
      <c r="Z304" s="389"/>
      <c r="AA304" s="389"/>
      <c r="AB304" s="389"/>
      <c r="AC304" s="389"/>
      <c r="AD304" s="389"/>
      <c r="AE304" s="389"/>
      <c r="AF304" s="389"/>
      <c r="AG304" s="389"/>
    </row>
    <row r="305">
      <c r="A305" s="389"/>
      <c r="B305" s="389"/>
      <c r="C305" s="389"/>
      <c r="D305" s="390"/>
      <c r="E305" s="389"/>
      <c r="F305" s="392"/>
      <c r="G305" s="389"/>
      <c r="H305" s="389"/>
      <c r="I305" s="389"/>
      <c r="J305" s="389"/>
      <c r="K305" s="389"/>
      <c r="L305" s="389"/>
      <c r="M305" s="389"/>
      <c r="N305" s="389"/>
      <c r="O305" s="389"/>
      <c r="P305" s="389"/>
      <c r="Q305" s="389"/>
      <c r="R305" s="389"/>
      <c r="S305" s="389"/>
      <c r="T305" s="389"/>
      <c r="U305" s="389"/>
      <c r="V305" s="389"/>
      <c r="W305" s="389"/>
      <c r="X305" s="389"/>
      <c r="Y305" s="389"/>
      <c r="Z305" s="389"/>
      <c r="AA305" s="389"/>
      <c r="AB305" s="389"/>
      <c r="AC305" s="389"/>
      <c r="AD305" s="389"/>
      <c r="AE305" s="389"/>
      <c r="AF305" s="389"/>
      <c r="AG305" s="389"/>
    </row>
    <row r="306">
      <c r="A306" s="389"/>
      <c r="B306" s="389"/>
      <c r="C306" s="389"/>
      <c r="D306" s="390"/>
      <c r="E306" s="389"/>
      <c r="F306" s="392"/>
      <c r="G306" s="389"/>
      <c r="H306" s="389"/>
      <c r="I306" s="389"/>
      <c r="J306" s="389"/>
      <c r="K306" s="389"/>
      <c r="L306" s="389"/>
      <c r="M306" s="389"/>
      <c r="N306" s="389"/>
      <c r="O306" s="389"/>
      <c r="P306" s="389"/>
      <c r="Q306" s="389"/>
      <c r="R306" s="389"/>
      <c r="S306" s="389"/>
      <c r="T306" s="389"/>
      <c r="U306" s="389"/>
      <c r="V306" s="389"/>
      <c r="W306" s="389"/>
      <c r="X306" s="389"/>
      <c r="Y306" s="389"/>
      <c r="Z306" s="389"/>
      <c r="AA306" s="389"/>
      <c r="AB306" s="389"/>
      <c r="AC306" s="389"/>
      <c r="AD306" s="389"/>
      <c r="AE306" s="389"/>
      <c r="AF306" s="389"/>
      <c r="AG306" s="389"/>
    </row>
    <row r="307">
      <c r="A307" s="389"/>
      <c r="B307" s="389"/>
      <c r="C307" s="389"/>
      <c r="D307" s="390"/>
      <c r="E307" s="389"/>
      <c r="F307" s="392"/>
      <c r="G307" s="389"/>
      <c r="H307" s="389"/>
      <c r="I307" s="389"/>
      <c r="J307" s="389"/>
      <c r="K307" s="389"/>
      <c r="L307" s="389"/>
      <c r="M307" s="389"/>
      <c r="N307" s="389"/>
      <c r="O307" s="389"/>
      <c r="P307" s="389"/>
      <c r="Q307" s="389"/>
      <c r="R307" s="389"/>
      <c r="S307" s="389"/>
      <c r="T307" s="389"/>
      <c r="U307" s="389"/>
      <c r="V307" s="389"/>
      <c r="W307" s="389"/>
      <c r="X307" s="389"/>
      <c r="Y307" s="389"/>
      <c r="Z307" s="389"/>
      <c r="AA307" s="389"/>
      <c r="AB307" s="389"/>
      <c r="AC307" s="389"/>
      <c r="AD307" s="389"/>
      <c r="AE307" s="389"/>
      <c r="AF307" s="389"/>
      <c r="AG307" s="389"/>
    </row>
    <row r="308">
      <c r="A308" s="389"/>
      <c r="B308" s="389"/>
      <c r="C308" s="389"/>
      <c r="D308" s="390"/>
      <c r="E308" s="389"/>
      <c r="F308" s="392"/>
      <c r="G308" s="389"/>
      <c r="H308" s="389"/>
      <c r="I308" s="389"/>
      <c r="J308" s="389"/>
      <c r="K308" s="389"/>
      <c r="L308" s="389"/>
      <c r="M308" s="389"/>
      <c r="N308" s="389"/>
      <c r="O308" s="389"/>
      <c r="P308" s="389"/>
      <c r="Q308" s="389"/>
      <c r="R308" s="389"/>
      <c r="S308" s="389"/>
      <c r="T308" s="389"/>
      <c r="U308" s="389"/>
      <c r="V308" s="389"/>
      <c r="W308" s="389"/>
      <c r="X308" s="389"/>
      <c r="Y308" s="389"/>
      <c r="Z308" s="389"/>
      <c r="AA308" s="389"/>
      <c r="AB308" s="389"/>
      <c r="AC308" s="389"/>
      <c r="AD308" s="389"/>
      <c r="AE308" s="389"/>
      <c r="AF308" s="389"/>
      <c r="AG308" s="389"/>
    </row>
    <row r="309">
      <c r="A309" s="389"/>
      <c r="B309" s="389"/>
      <c r="C309" s="389"/>
      <c r="D309" s="390"/>
      <c r="E309" s="389"/>
      <c r="F309" s="392"/>
      <c r="G309" s="389"/>
      <c r="H309" s="389"/>
      <c r="I309" s="389"/>
      <c r="J309" s="389"/>
      <c r="K309" s="389"/>
      <c r="L309" s="389"/>
      <c r="M309" s="389"/>
      <c r="N309" s="389"/>
      <c r="O309" s="389"/>
      <c r="P309" s="389"/>
      <c r="Q309" s="389"/>
      <c r="R309" s="389"/>
      <c r="S309" s="389"/>
      <c r="T309" s="389"/>
      <c r="U309" s="389"/>
      <c r="V309" s="389"/>
      <c r="W309" s="389"/>
      <c r="X309" s="389"/>
      <c r="Y309" s="389"/>
      <c r="Z309" s="389"/>
      <c r="AA309" s="389"/>
      <c r="AB309" s="389"/>
      <c r="AC309" s="389"/>
      <c r="AD309" s="389"/>
      <c r="AE309" s="389"/>
      <c r="AF309" s="389"/>
      <c r="AG309" s="389"/>
    </row>
    <row r="310">
      <c r="A310" s="389"/>
      <c r="B310" s="389"/>
      <c r="C310" s="389"/>
      <c r="D310" s="390"/>
      <c r="E310" s="389"/>
      <c r="F310" s="392"/>
      <c r="G310" s="389"/>
      <c r="H310" s="389"/>
      <c r="I310" s="389"/>
      <c r="J310" s="389"/>
      <c r="K310" s="389"/>
      <c r="L310" s="389"/>
      <c r="M310" s="389"/>
      <c r="N310" s="389"/>
      <c r="O310" s="389"/>
      <c r="P310" s="389"/>
      <c r="Q310" s="389"/>
      <c r="R310" s="389"/>
      <c r="S310" s="389"/>
      <c r="T310" s="389"/>
      <c r="U310" s="389"/>
      <c r="V310" s="389"/>
      <c r="W310" s="389"/>
      <c r="X310" s="389"/>
      <c r="Y310" s="389"/>
      <c r="Z310" s="389"/>
      <c r="AA310" s="389"/>
      <c r="AB310" s="389"/>
      <c r="AC310" s="389"/>
      <c r="AD310" s="389"/>
      <c r="AE310" s="389"/>
      <c r="AF310" s="389"/>
      <c r="AG310" s="389"/>
    </row>
    <row r="311">
      <c r="A311" s="389"/>
      <c r="B311" s="389"/>
      <c r="C311" s="389"/>
      <c r="D311" s="390"/>
      <c r="E311" s="389"/>
      <c r="F311" s="392"/>
      <c r="G311" s="389"/>
      <c r="H311" s="389"/>
      <c r="I311" s="389"/>
      <c r="J311" s="389"/>
      <c r="K311" s="389"/>
      <c r="L311" s="389"/>
      <c r="M311" s="389"/>
      <c r="N311" s="389"/>
      <c r="O311" s="389"/>
      <c r="P311" s="389"/>
      <c r="Q311" s="389"/>
      <c r="R311" s="389"/>
      <c r="S311" s="389"/>
      <c r="T311" s="389"/>
      <c r="U311" s="389"/>
      <c r="V311" s="389"/>
      <c r="W311" s="389"/>
      <c r="X311" s="389"/>
      <c r="Y311" s="389"/>
      <c r="Z311" s="389"/>
      <c r="AA311" s="389"/>
      <c r="AB311" s="389"/>
      <c r="AC311" s="389"/>
      <c r="AD311" s="389"/>
      <c r="AE311" s="389"/>
      <c r="AF311" s="389"/>
      <c r="AG311" s="389"/>
    </row>
    <row r="312">
      <c r="A312" s="389"/>
      <c r="B312" s="389"/>
      <c r="C312" s="389"/>
      <c r="D312" s="390"/>
      <c r="E312" s="389"/>
      <c r="F312" s="392"/>
      <c r="G312" s="389"/>
      <c r="H312" s="389"/>
      <c r="I312" s="389"/>
      <c r="J312" s="389"/>
      <c r="K312" s="389"/>
      <c r="L312" s="389"/>
      <c r="M312" s="389"/>
      <c r="N312" s="389"/>
      <c r="O312" s="389"/>
      <c r="P312" s="389"/>
      <c r="Q312" s="389"/>
      <c r="R312" s="389"/>
      <c r="S312" s="389"/>
      <c r="T312" s="389"/>
      <c r="U312" s="389"/>
      <c r="V312" s="389"/>
      <c r="W312" s="389"/>
      <c r="X312" s="389"/>
      <c r="Y312" s="389"/>
      <c r="Z312" s="389"/>
      <c r="AA312" s="389"/>
      <c r="AB312" s="389"/>
      <c r="AC312" s="389"/>
      <c r="AD312" s="389"/>
      <c r="AE312" s="389"/>
      <c r="AF312" s="389"/>
      <c r="AG312" s="389"/>
    </row>
    <row r="313">
      <c r="A313" s="389"/>
      <c r="B313" s="389"/>
      <c r="C313" s="389"/>
      <c r="D313" s="390"/>
      <c r="E313" s="389"/>
      <c r="F313" s="392"/>
      <c r="G313" s="389"/>
      <c r="H313" s="389"/>
      <c r="I313" s="389"/>
      <c r="J313" s="389"/>
      <c r="K313" s="389"/>
      <c r="L313" s="389"/>
      <c r="M313" s="389"/>
      <c r="N313" s="389"/>
      <c r="O313" s="389"/>
      <c r="P313" s="389"/>
      <c r="Q313" s="389"/>
      <c r="R313" s="389"/>
      <c r="S313" s="389"/>
      <c r="T313" s="389"/>
      <c r="U313" s="389"/>
      <c r="V313" s="389"/>
      <c r="W313" s="389"/>
      <c r="X313" s="389"/>
      <c r="Y313" s="389"/>
      <c r="Z313" s="389"/>
      <c r="AA313" s="389"/>
      <c r="AB313" s="389"/>
      <c r="AC313" s="389"/>
      <c r="AD313" s="389"/>
      <c r="AE313" s="389"/>
      <c r="AF313" s="389"/>
      <c r="AG313" s="389"/>
    </row>
    <row r="314">
      <c r="A314" s="389"/>
      <c r="B314" s="389"/>
      <c r="C314" s="389"/>
      <c r="D314" s="390"/>
      <c r="E314" s="389"/>
      <c r="F314" s="392"/>
      <c r="G314" s="389"/>
      <c r="H314" s="389"/>
      <c r="I314" s="389"/>
      <c r="J314" s="389"/>
      <c r="K314" s="389"/>
      <c r="L314" s="389"/>
      <c r="M314" s="389"/>
      <c r="N314" s="389"/>
      <c r="O314" s="389"/>
      <c r="P314" s="389"/>
      <c r="Q314" s="389"/>
      <c r="R314" s="389"/>
      <c r="S314" s="389"/>
      <c r="T314" s="389"/>
      <c r="U314" s="389"/>
      <c r="V314" s="389"/>
      <c r="W314" s="389"/>
      <c r="X314" s="389"/>
      <c r="Y314" s="389"/>
      <c r="Z314" s="389"/>
      <c r="AA314" s="389"/>
      <c r="AB314" s="389"/>
      <c r="AC314" s="389"/>
      <c r="AD314" s="389"/>
      <c r="AE314" s="389"/>
      <c r="AF314" s="389"/>
      <c r="AG314" s="389"/>
    </row>
    <row r="315">
      <c r="A315" s="389"/>
      <c r="B315" s="389"/>
      <c r="C315" s="389"/>
      <c r="D315" s="390"/>
      <c r="E315" s="389"/>
      <c r="F315" s="392"/>
      <c r="G315" s="389"/>
      <c r="H315" s="389"/>
      <c r="I315" s="389"/>
      <c r="J315" s="389"/>
      <c r="K315" s="389"/>
      <c r="L315" s="389"/>
      <c r="M315" s="389"/>
      <c r="N315" s="389"/>
      <c r="O315" s="389"/>
      <c r="P315" s="389"/>
      <c r="Q315" s="389"/>
      <c r="R315" s="389"/>
      <c r="S315" s="389"/>
      <c r="T315" s="389"/>
      <c r="U315" s="389"/>
      <c r="V315" s="389"/>
      <c r="W315" s="389"/>
      <c r="X315" s="389"/>
      <c r="Y315" s="389"/>
      <c r="Z315" s="389"/>
      <c r="AA315" s="389"/>
      <c r="AB315" s="389"/>
      <c r="AC315" s="389"/>
      <c r="AD315" s="389"/>
      <c r="AE315" s="389"/>
      <c r="AF315" s="389"/>
      <c r="AG315" s="389"/>
    </row>
    <row r="316">
      <c r="A316" s="389"/>
      <c r="B316" s="389"/>
      <c r="C316" s="389"/>
      <c r="D316" s="390"/>
      <c r="E316" s="389"/>
      <c r="F316" s="392"/>
      <c r="G316" s="389"/>
      <c r="H316" s="389"/>
      <c r="I316" s="389"/>
      <c r="J316" s="389"/>
      <c r="K316" s="389"/>
      <c r="L316" s="389"/>
      <c r="M316" s="389"/>
      <c r="N316" s="389"/>
      <c r="O316" s="389"/>
      <c r="P316" s="389"/>
      <c r="Q316" s="389"/>
      <c r="R316" s="389"/>
      <c r="S316" s="389"/>
      <c r="T316" s="389"/>
      <c r="U316" s="389"/>
      <c r="V316" s="389"/>
      <c r="W316" s="389"/>
      <c r="X316" s="389"/>
      <c r="Y316" s="389"/>
      <c r="Z316" s="389"/>
      <c r="AA316" s="389"/>
      <c r="AB316" s="389"/>
      <c r="AC316" s="389"/>
      <c r="AD316" s="389"/>
      <c r="AE316" s="389"/>
      <c r="AF316" s="389"/>
      <c r="AG316" s="389"/>
    </row>
    <row r="317">
      <c r="A317" s="389"/>
      <c r="B317" s="389"/>
      <c r="C317" s="389"/>
      <c r="D317" s="390"/>
      <c r="E317" s="389"/>
      <c r="F317" s="392"/>
      <c r="G317" s="389"/>
      <c r="H317" s="389"/>
      <c r="I317" s="389"/>
      <c r="J317" s="389"/>
      <c r="K317" s="389"/>
      <c r="L317" s="389"/>
      <c r="M317" s="389"/>
      <c r="N317" s="389"/>
      <c r="O317" s="389"/>
      <c r="P317" s="389"/>
      <c r="Q317" s="389"/>
      <c r="R317" s="389"/>
      <c r="S317" s="389"/>
      <c r="T317" s="389"/>
      <c r="U317" s="389"/>
      <c r="V317" s="389"/>
      <c r="W317" s="389"/>
      <c r="X317" s="389"/>
      <c r="Y317" s="389"/>
      <c r="Z317" s="389"/>
      <c r="AA317" s="389"/>
      <c r="AB317" s="389"/>
      <c r="AC317" s="389"/>
      <c r="AD317" s="389"/>
      <c r="AE317" s="389"/>
      <c r="AF317" s="389"/>
      <c r="AG317" s="389"/>
    </row>
    <row r="318">
      <c r="A318" s="389"/>
      <c r="B318" s="389"/>
      <c r="C318" s="389"/>
      <c r="D318" s="390"/>
      <c r="E318" s="389"/>
      <c r="F318" s="392"/>
      <c r="G318" s="389"/>
      <c r="H318" s="389"/>
      <c r="I318" s="389"/>
      <c r="J318" s="389"/>
      <c r="K318" s="389"/>
      <c r="L318" s="389"/>
      <c r="M318" s="389"/>
      <c r="N318" s="389"/>
      <c r="O318" s="389"/>
      <c r="P318" s="389"/>
      <c r="Q318" s="389"/>
      <c r="R318" s="389"/>
      <c r="S318" s="389"/>
      <c r="T318" s="389"/>
      <c r="U318" s="389"/>
      <c r="V318" s="389"/>
      <c r="W318" s="389"/>
      <c r="X318" s="389"/>
      <c r="Y318" s="389"/>
      <c r="Z318" s="389"/>
      <c r="AA318" s="389"/>
      <c r="AB318" s="389"/>
      <c r="AC318" s="389"/>
      <c r="AD318" s="389"/>
      <c r="AE318" s="389"/>
      <c r="AF318" s="389"/>
      <c r="AG318" s="389"/>
    </row>
    <row r="319">
      <c r="A319" s="389"/>
      <c r="B319" s="389"/>
      <c r="C319" s="389"/>
      <c r="D319" s="390"/>
      <c r="E319" s="389"/>
      <c r="F319" s="392"/>
      <c r="G319" s="389"/>
      <c r="H319" s="389"/>
      <c r="I319" s="389"/>
      <c r="J319" s="389"/>
      <c r="K319" s="389"/>
      <c r="L319" s="389"/>
      <c r="M319" s="389"/>
      <c r="N319" s="389"/>
      <c r="O319" s="389"/>
      <c r="P319" s="389"/>
      <c r="Q319" s="389"/>
      <c r="R319" s="389"/>
      <c r="S319" s="389"/>
      <c r="T319" s="389"/>
      <c r="U319" s="389"/>
      <c r="V319" s="389"/>
      <c r="W319" s="389"/>
      <c r="X319" s="389"/>
      <c r="Y319" s="389"/>
      <c r="Z319" s="389"/>
      <c r="AA319" s="389"/>
      <c r="AB319" s="389"/>
      <c r="AC319" s="389"/>
      <c r="AD319" s="389"/>
      <c r="AE319" s="389"/>
      <c r="AF319" s="389"/>
      <c r="AG319" s="389"/>
    </row>
    <row r="320">
      <c r="A320" s="389"/>
      <c r="B320" s="389"/>
      <c r="C320" s="389"/>
      <c r="D320" s="390"/>
      <c r="E320" s="389"/>
      <c r="F320" s="392"/>
      <c r="G320" s="389"/>
      <c r="H320" s="389"/>
      <c r="I320" s="389"/>
      <c r="J320" s="389"/>
      <c r="K320" s="389"/>
      <c r="L320" s="389"/>
      <c r="M320" s="389"/>
      <c r="N320" s="389"/>
      <c r="O320" s="389"/>
      <c r="P320" s="389"/>
      <c r="Q320" s="389"/>
      <c r="R320" s="389"/>
      <c r="S320" s="389"/>
      <c r="T320" s="389"/>
      <c r="U320" s="389"/>
      <c r="V320" s="389"/>
      <c r="W320" s="389"/>
      <c r="X320" s="389"/>
      <c r="Y320" s="389"/>
      <c r="Z320" s="389"/>
      <c r="AA320" s="389"/>
      <c r="AB320" s="389"/>
      <c r="AC320" s="389"/>
      <c r="AD320" s="389"/>
      <c r="AE320" s="389"/>
      <c r="AF320" s="389"/>
      <c r="AG320" s="389"/>
    </row>
    <row r="321">
      <c r="A321" s="389"/>
      <c r="B321" s="389"/>
      <c r="C321" s="389"/>
      <c r="D321" s="390"/>
      <c r="E321" s="389"/>
      <c r="F321" s="392"/>
      <c r="G321" s="389"/>
      <c r="H321" s="389"/>
      <c r="I321" s="389"/>
      <c r="J321" s="389"/>
      <c r="K321" s="389"/>
      <c r="L321" s="389"/>
      <c r="M321" s="389"/>
      <c r="N321" s="389"/>
      <c r="O321" s="389"/>
      <c r="P321" s="389"/>
      <c r="Q321" s="389"/>
      <c r="R321" s="389"/>
      <c r="S321" s="389"/>
      <c r="T321" s="389"/>
      <c r="U321" s="389"/>
      <c r="V321" s="389"/>
      <c r="W321" s="389"/>
      <c r="X321" s="389"/>
      <c r="Y321" s="389"/>
      <c r="Z321" s="389"/>
      <c r="AA321" s="389"/>
      <c r="AB321" s="389"/>
      <c r="AC321" s="389"/>
      <c r="AD321" s="389"/>
      <c r="AE321" s="389"/>
      <c r="AF321" s="389"/>
      <c r="AG321" s="389"/>
    </row>
    <row r="322">
      <c r="A322" s="389"/>
      <c r="B322" s="389"/>
      <c r="C322" s="389"/>
      <c r="D322" s="390"/>
      <c r="E322" s="389"/>
      <c r="F322" s="392"/>
      <c r="G322" s="389"/>
      <c r="H322" s="389"/>
      <c r="I322" s="389"/>
      <c r="J322" s="389"/>
      <c r="K322" s="389"/>
      <c r="L322" s="389"/>
      <c r="M322" s="389"/>
      <c r="N322" s="389"/>
      <c r="O322" s="389"/>
      <c r="P322" s="389"/>
      <c r="Q322" s="389"/>
      <c r="R322" s="389"/>
      <c r="S322" s="389"/>
      <c r="T322" s="389"/>
      <c r="U322" s="389"/>
      <c r="V322" s="389"/>
      <c r="W322" s="389"/>
      <c r="X322" s="389"/>
      <c r="Y322" s="389"/>
      <c r="Z322" s="389"/>
      <c r="AA322" s="389"/>
      <c r="AB322" s="389"/>
      <c r="AC322" s="389"/>
      <c r="AD322" s="389"/>
      <c r="AE322" s="389"/>
      <c r="AF322" s="389"/>
      <c r="AG322" s="389"/>
    </row>
    <row r="323">
      <c r="A323" s="389"/>
      <c r="B323" s="389"/>
      <c r="C323" s="389"/>
      <c r="D323" s="390"/>
      <c r="E323" s="389"/>
      <c r="F323" s="392"/>
      <c r="G323" s="389"/>
      <c r="H323" s="389"/>
      <c r="I323" s="389"/>
      <c r="J323" s="389"/>
      <c r="K323" s="389"/>
      <c r="L323" s="389"/>
      <c r="M323" s="389"/>
      <c r="N323" s="389"/>
      <c r="O323" s="389"/>
      <c r="P323" s="389"/>
      <c r="Q323" s="389"/>
      <c r="R323" s="389"/>
      <c r="S323" s="389"/>
      <c r="T323" s="389"/>
      <c r="U323" s="389"/>
      <c r="V323" s="389"/>
      <c r="W323" s="389"/>
      <c r="X323" s="389"/>
      <c r="Y323" s="389"/>
      <c r="Z323" s="389"/>
      <c r="AA323" s="389"/>
      <c r="AB323" s="389"/>
      <c r="AC323" s="389"/>
      <c r="AD323" s="389"/>
      <c r="AE323" s="389"/>
      <c r="AF323" s="389"/>
      <c r="AG323" s="389"/>
    </row>
    <row r="324">
      <c r="A324" s="389"/>
      <c r="B324" s="389"/>
      <c r="C324" s="389"/>
      <c r="D324" s="390"/>
      <c r="E324" s="389"/>
      <c r="F324" s="392"/>
      <c r="G324" s="389"/>
      <c r="H324" s="389"/>
      <c r="I324" s="389"/>
      <c r="J324" s="389"/>
      <c r="K324" s="389"/>
      <c r="L324" s="389"/>
      <c r="M324" s="389"/>
      <c r="N324" s="389"/>
      <c r="O324" s="389"/>
      <c r="P324" s="389"/>
      <c r="Q324" s="389"/>
      <c r="R324" s="389"/>
      <c r="S324" s="389"/>
      <c r="T324" s="389"/>
      <c r="U324" s="389"/>
      <c r="V324" s="389"/>
      <c r="W324" s="389"/>
      <c r="X324" s="389"/>
      <c r="Y324" s="389"/>
      <c r="Z324" s="389"/>
      <c r="AA324" s="389"/>
      <c r="AB324" s="389"/>
      <c r="AC324" s="389"/>
      <c r="AD324" s="389"/>
      <c r="AE324" s="389"/>
      <c r="AF324" s="389"/>
      <c r="AG324" s="389"/>
    </row>
    <row r="325">
      <c r="A325" s="389"/>
      <c r="B325" s="389"/>
      <c r="C325" s="389"/>
      <c r="D325" s="390"/>
      <c r="E325" s="389"/>
      <c r="F325" s="392"/>
      <c r="G325" s="389"/>
      <c r="H325" s="389"/>
      <c r="I325" s="389"/>
      <c r="J325" s="389"/>
      <c r="K325" s="389"/>
      <c r="L325" s="389"/>
      <c r="M325" s="389"/>
      <c r="N325" s="389"/>
      <c r="O325" s="389"/>
      <c r="P325" s="389"/>
      <c r="Q325" s="389"/>
      <c r="R325" s="389"/>
      <c r="S325" s="389"/>
      <c r="T325" s="389"/>
      <c r="U325" s="389"/>
      <c r="V325" s="389"/>
      <c r="W325" s="389"/>
      <c r="X325" s="389"/>
      <c r="Y325" s="389"/>
      <c r="Z325" s="389"/>
      <c r="AA325" s="389"/>
      <c r="AB325" s="389"/>
      <c r="AC325" s="389"/>
      <c r="AD325" s="389"/>
      <c r="AE325" s="389"/>
      <c r="AF325" s="389"/>
      <c r="AG325" s="389"/>
    </row>
    <row r="326">
      <c r="A326" s="389"/>
      <c r="B326" s="389"/>
      <c r="C326" s="389"/>
      <c r="D326" s="390"/>
      <c r="E326" s="389"/>
      <c r="F326" s="392"/>
      <c r="G326" s="389"/>
      <c r="H326" s="389"/>
      <c r="I326" s="389"/>
      <c r="J326" s="389"/>
      <c r="K326" s="389"/>
      <c r="L326" s="389"/>
      <c r="M326" s="389"/>
      <c r="N326" s="389"/>
      <c r="O326" s="389"/>
      <c r="P326" s="389"/>
      <c r="Q326" s="389"/>
      <c r="R326" s="389"/>
      <c r="S326" s="389"/>
      <c r="T326" s="389"/>
      <c r="U326" s="389"/>
      <c r="V326" s="389"/>
      <c r="W326" s="389"/>
      <c r="X326" s="389"/>
      <c r="Y326" s="389"/>
      <c r="Z326" s="389"/>
      <c r="AA326" s="389"/>
      <c r="AB326" s="389"/>
      <c r="AC326" s="389"/>
      <c r="AD326" s="389"/>
      <c r="AE326" s="389"/>
      <c r="AF326" s="389"/>
      <c r="AG326" s="389"/>
    </row>
    <row r="327">
      <c r="A327" s="389"/>
      <c r="B327" s="389"/>
      <c r="C327" s="389"/>
      <c r="D327" s="390"/>
      <c r="E327" s="389"/>
      <c r="F327" s="392"/>
      <c r="G327" s="389"/>
      <c r="H327" s="389"/>
      <c r="I327" s="389"/>
      <c r="J327" s="389"/>
      <c r="K327" s="389"/>
      <c r="L327" s="389"/>
      <c r="M327" s="389"/>
      <c r="N327" s="389"/>
      <c r="O327" s="389"/>
      <c r="P327" s="389"/>
      <c r="Q327" s="389"/>
      <c r="R327" s="389"/>
      <c r="S327" s="389"/>
      <c r="T327" s="389"/>
      <c r="U327" s="389"/>
      <c r="V327" s="389"/>
      <c r="W327" s="389"/>
      <c r="X327" s="389"/>
      <c r="Y327" s="389"/>
      <c r="Z327" s="389"/>
      <c r="AA327" s="389"/>
      <c r="AB327" s="389"/>
      <c r="AC327" s="389"/>
      <c r="AD327" s="389"/>
      <c r="AE327" s="389"/>
      <c r="AF327" s="389"/>
      <c r="AG327" s="389"/>
    </row>
    <row r="328">
      <c r="A328" s="389"/>
      <c r="B328" s="389"/>
      <c r="C328" s="389"/>
      <c r="D328" s="390"/>
      <c r="E328" s="389"/>
      <c r="F328" s="392"/>
      <c r="G328" s="389"/>
      <c r="H328" s="389"/>
      <c r="I328" s="389"/>
      <c r="J328" s="389"/>
      <c r="K328" s="389"/>
      <c r="L328" s="389"/>
      <c r="M328" s="389"/>
      <c r="N328" s="389"/>
      <c r="O328" s="389"/>
      <c r="P328" s="389"/>
      <c r="Q328" s="389"/>
      <c r="R328" s="389"/>
      <c r="S328" s="389"/>
      <c r="T328" s="389"/>
      <c r="U328" s="389"/>
      <c r="V328" s="389"/>
      <c r="W328" s="389"/>
      <c r="X328" s="389"/>
      <c r="Y328" s="389"/>
      <c r="Z328" s="389"/>
      <c r="AA328" s="389"/>
      <c r="AB328" s="389"/>
      <c r="AC328" s="389"/>
      <c r="AD328" s="389"/>
      <c r="AE328" s="389"/>
      <c r="AF328" s="389"/>
      <c r="AG328" s="389"/>
    </row>
    <row r="329">
      <c r="A329" s="389"/>
      <c r="B329" s="389"/>
      <c r="C329" s="389"/>
      <c r="D329" s="390"/>
      <c r="E329" s="389"/>
      <c r="F329" s="392"/>
      <c r="G329" s="389"/>
      <c r="H329" s="389"/>
      <c r="I329" s="389"/>
      <c r="J329" s="389"/>
      <c r="K329" s="389"/>
      <c r="L329" s="389"/>
      <c r="M329" s="389"/>
      <c r="N329" s="389"/>
      <c r="O329" s="389"/>
      <c r="P329" s="389"/>
      <c r="Q329" s="389"/>
      <c r="R329" s="389"/>
      <c r="S329" s="389"/>
      <c r="T329" s="389"/>
      <c r="U329" s="389"/>
      <c r="V329" s="389"/>
      <c r="W329" s="389"/>
      <c r="X329" s="389"/>
      <c r="Y329" s="389"/>
      <c r="Z329" s="389"/>
      <c r="AA329" s="389"/>
      <c r="AB329" s="389"/>
      <c r="AC329" s="389"/>
      <c r="AD329" s="389"/>
      <c r="AE329" s="389"/>
      <c r="AF329" s="389"/>
      <c r="AG329" s="389"/>
    </row>
    <row r="330">
      <c r="A330" s="389"/>
      <c r="B330" s="389"/>
      <c r="C330" s="389"/>
      <c r="D330" s="390"/>
      <c r="E330" s="389"/>
      <c r="F330" s="392"/>
      <c r="G330" s="389"/>
      <c r="H330" s="389"/>
      <c r="I330" s="389"/>
      <c r="J330" s="389"/>
      <c r="K330" s="389"/>
      <c r="L330" s="389"/>
      <c r="M330" s="389"/>
      <c r="N330" s="389"/>
      <c r="O330" s="389"/>
      <c r="P330" s="389"/>
      <c r="Q330" s="389"/>
      <c r="R330" s="389"/>
      <c r="S330" s="389"/>
      <c r="T330" s="389"/>
      <c r="U330" s="389"/>
      <c r="V330" s="389"/>
      <c r="W330" s="389"/>
      <c r="X330" s="389"/>
      <c r="Y330" s="389"/>
      <c r="Z330" s="389"/>
      <c r="AA330" s="389"/>
      <c r="AB330" s="389"/>
      <c r="AC330" s="389"/>
      <c r="AD330" s="389"/>
      <c r="AE330" s="389"/>
      <c r="AF330" s="389"/>
      <c r="AG330" s="389"/>
    </row>
    <row r="331">
      <c r="A331" s="389"/>
      <c r="B331" s="389"/>
      <c r="C331" s="389"/>
      <c r="D331" s="390"/>
      <c r="E331" s="389"/>
      <c r="F331" s="392"/>
      <c r="G331" s="389"/>
      <c r="H331" s="389"/>
      <c r="I331" s="389"/>
      <c r="J331" s="389"/>
      <c r="K331" s="389"/>
      <c r="L331" s="389"/>
      <c r="M331" s="389"/>
      <c r="N331" s="389"/>
      <c r="O331" s="389"/>
      <c r="P331" s="389"/>
      <c r="Q331" s="389"/>
      <c r="R331" s="389"/>
      <c r="S331" s="389"/>
      <c r="T331" s="389"/>
      <c r="U331" s="389"/>
      <c r="V331" s="389"/>
      <c r="W331" s="389"/>
      <c r="X331" s="389"/>
      <c r="Y331" s="389"/>
      <c r="Z331" s="389"/>
      <c r="AA331" s="389"/>
      <c r="AB331" s="389"/>
      <c r="AC331" s="389"/>
      <c r="AD331" s="389"/>
      <c r="AE331" s="389"/>
      <c r="AF331" s="389"/>
      <c r="AG331" s="389"/>
    </row>
    <row r="332">
      <c r="A332" s="389"/>
      <c r="B332" s="389"/>
      <c r="C332" s="389"/>
      <c r="D332" s="390"/>
      <c r="E332" s="389"/>
      <c r="F332" s="392"/>
      <c r="G332" s="389"/>
      <c r="H332" s="389"/>
      <c r="I332" s="389"/>
      <c r="J332" s="389"/>
      <c r="K332" s="389"/>
      <c r="L332" s="389"/>
      <c r="M332" s="389"/>
      <c r="N332" s="389"/>
      <c r="O332" s="389"/>
      <c r="P332" s="389"/>
      <c r="Q332" s="389"/>
      <c r="R332" s="389"/>
      <c r="S332" s="389"/>
      <c r="T332" s="389"/>
      <c r="U332" s="389"/>
      <c r="V332" s="389"/>
      <c r="W332" s="389"/>
      <c r="X332" s="389"/>
      <c r="Y332" s="389"/>
      <c r="Z332" s="389"/>
      <c r="AA332" s="389"/>
      <c r="AB332" s="389"/>
      <c r="AC332" s="389"/>
      <c r="AD332" s="389"/>
      <c r="AE332" s="389"/>
      <c r="AF332" s="389"/>
      <c r="AG332" s="389"/>
    </row>
    <row r="333">
      <c r="A333" s="389"/>
      <c r="B333" s="389"/>
      <c r="C333" s="389"/>
      <c r="D333" s="390"/>
      <c r="E333" s="389"/>
      <c r="F333" s="392"/>
      <c r="G333" s="389"/>
      <c r="H333" s="389"/>
      <c r="I333" s="389"/>
      <c r="J333" s="389"/>
      <c r="K333" s="389"/>
      <c r="L333" s="389"/>
      <c r="M333" s="389"/>
      <c r="N333" s="389"/>
      <c r="O333" s="389"/>
      <c r="P333" s="389"/>
      <c r="Q333" s="389"/>
      <c r="R333" s="389"/>
      <c r="S333" s="389"/>
      <c r="T333" s="389"/>
      <c r="U333" s="389"/>
      <c r="V333" s="389"/>
      <c r="W333" s="389"/>
      <c r="X333" s="389"/>
      <c r="Y333" s="389"/>
      <c r="Z333" s="389"/>
      <c r="AA333" s="389"/>
      <c r="AB333" s="389"/>
      <c r="AC333" s="389"/>
      <c r="AD333" s="389"/>
      <c r="AE333" s="389"/>
      <c r="AF333" s="389"/>
      <c r="AG333" s="389"/>
    </row>
    <row r="334">
      <c r="A334" s="389"/>
      <c r="B334" s="389"/>
      <c r="C334" s="389"/>
      <c r="D334" s="390"/>
      <c r="E334" s="389"/>
      <c r="F334" s="392"/>
      <c r="G334" s="389"/>
      <c r="H334" s="389"/>
      <c r="I334" s="389"/>
      <c r="J334" s="389"/>
      <c r="K334" s="389"/>
      <c r="L334" s="389"/>
      <c r="M334" s="389"/>
      <c r="N334" s="389"/>
      <c r="O334" s="389"/>
      <c r="P334" s="389"/>
      <c r="Q334" s="389"/>
      <c r="R334" s="389"/>
      <c r="S334" s="389"/>
      <c r="T334" s="389"/>
      <c r="U334" s="389"/>
      <c r="V334" s="389"/>
      <c r="W334" s="389"/>
      <c r="X334" s="389"/>
      <c r="Y334" s="389"/>
      <c r="Z334" s="389"/>
      <c r="AA334" s="389"/>
      <c r="AB334" s="389"/>
      <c r="AC334" s="389"/>
      <c r="AD334" s="389"/>
      <c r="AE334" s="389"/>
      <c r="AF334" s="389"/>
      <c r="AG334" s="389"/>
    </row>
    <row r="335">
      <c r="A335" s="389"/>
      <c r="B335" s="389"/>
      <c r="C335" s="389"/>
      <c r="D335" s="390"/>
      <c r="E335" s="389"/>
      <c r="F335" s="392"/>
      <c r="G335" s="389"/>
      <c r="H335" s="389"/>
      <c r="I335" s="389"/>
      <c r="J335" s="389"/>
      <c r="K335" s="389"/>
      <c r="L335" s="389"/>
      <c r="M335" s="389"/>
      <c r="N335" s="389"/>
      <c r="O335" s="389"/>
      <c r="P335" s="389"/>
      <c r="Q335" s="389"/>
      <c r="R335" s="389"/>
      <c r="S335" s="389"/>
      <c r="T335" s="389"/>
      <c r="U335" s="389"/>
      <c r="V335" s="389"/>
      <c r="W335" s="389"/>
      <c r="X335" s="389"/>
      <c r="Y335" s="389"/>
      <c r="Z335" s="389"/>
      <c r="AA335" s="389"/>
      <c r="AB335" s="389"/>
      <c r="AC335" s="389"/>
      <c r="AD335" s="389"/>
      <c r="AE335" s="389"/>
      <c r="AF335" s="389"/>
      <c r="AG335" s="389"/>
    </row>
    <row r="336">
      <c r="A336" s="389"/>
      <c r="B336" s="389"/>
      <c r="C336" s="389"/>
      <c r="D336" s="390"/>
      <c r="E336" s="389"/>
      <c r="F336" s="392"/>
      <c r="G336" s="389"/>
      <c r="H336" s="389"/>
      <c r="I336" s="389"/>
      <c r="J336" s="389"/>
      <c r="K336" s="389"/>
      <c r="L336" s="389"/>
      <c r="M336" s="389"/>
      <c r="N336" s="389"/>
      <c r="O336" s="389"/>
      <c r="P336" s="389"/>
      <c r="Q336" s="389"/>
      <c r="R336" s="389"/>
      <c r="S336" s="389"/>
      <c r="T336" s="389"/>
      <c r="U336" s="389"/>
      <c r="V336" s="389"/>
      <c r="W336" s="389"/>
      <c r="X336" s="389"/>
      <c r="Y336" s="389"/>
      <c r="Z336" s="389"/>
      <c r="AA336" s="389"/>
      <c r="AB336" s="389"/>
      <c r="AC336" s="389"/>
      <c r="AD336" s="389"/>
      <c r="AE336" s="389"/>
      <c r="AF336" s="389"/>
      <c r="AG336" s="389"/>
    </row>
    <row r="337">
      <c r="A337" s="389"/>
      <c r="B337" s="389"/>
      <c r="C337" s="389"/>
      <c r="D337" s="390"/>
      <c r="E337" s="389"/>
      <c r="F337" s="392"/>
      <c r="G337" s="389"/>
      <c r="H337" s="389"/>
      <c r="I337" s="389"/>
      <c r="J337" s="389"/>
      <c r="K337" s="389"/>
      <c r="L337" s="389"/>
      <c r="M337" s="389"/>
      <c r="N337" s="389"/>
      <c r="O337" s="389"/>
      <c r="P337" s="389"/>
      <c r="Q337" s="389"/>
      <c r="R337" s="389"/>
      <c r="S337" s="389"/>
      <c r="T337" s="389"/>
      <c r="U337" s="389"/>
      <c r="V337" s="389"/>
      <c r="W337" s="389"/>
      <c r="X337" s="389"/>
      <c r="Y337" s="389"/>
      <c r="Z337" s="389"/>
      <c r="AA337" s="389"/>
      <c r="AB337" s="389"/>
      <c r="AC337" s="389"/>
      <c r="AD337" s="389"/>
      <c r="AE337" s="389"/>
      <c r="AF337" s="389"/>
      <c r="AG337" s="389"/>
    </row>
    <row r="338">
      <c r="A338" s="389"/>
      <c r="B338" s="389"/>
      <c r="C338" s="389"/>
      <c r="D338" s="390"/>
      <c r="E338" s="389"/>
      <c r="F338" s="392"/>
      <c r="G338" s="389"/>
      <c r="H338" s="389"/>
      <c r="I338" s="389"/>
      <c r="J338" s="389"/>
      <c r="K338" s="389"/>
      <c r="L338" s="389"/>
      <c r="M338" s="389"/>
      <c r="N338" s="389"/>
      <c r="O338" s="389"/>
      <c r="P338" s="389"/>
      <c r="Q338" s="389"/>
      <c r="R338" s="389"/>
      <c r="S338" s="389"/>
      <c r="T338" s="389"/>
      <c r="U338" s="389"/>
      <c r="V338" s="389"/>
      <c r="W338" s="389"/>
      <c r="X338" s="389"/>
      <c r="Y338" s="389"/>
      <c r="Z338" s="389"/>
      <c r="AA338" s="389"/>
      <c r="AB338" s="389"/>
      <c r="AC338" s="389"/>
      <c r="AD338" s="389"/>
      <c r="AE338" s="389"/>
      <c r="AF338" s="389"/>
      <c r="AG338" s="389"/>
    </row>
    <row r="339">
      <c r="A339" s="389"/>
      <c r="B339" s="389"/>
      <c r="C339" s="389"/>
      <c r="D339" s="390"/>
      <c r="E339" s="389"/>
      <c r="F339" s="392"/>
      <c r="G339" s="389"/>
      <c r="H339" s="389"/>
      <c r="I339" s="389"/>
      <c r="J339" s="389"/>
      <c r="K339" s="389"/>
      <c r="L339" s="389"/>
      <c r="M339" s="389"/>
      <c r="N339" s="389"/>
      <c r="O339" s="389"/>
      <c r="P339" s="389"/>
      <c r="Q339" s="389"/>
      <c r="R339" s="389"/>
      <c r="S339" s="389"/>
      <c r="T339" s="389"/>
      <c r="U339" s="389"/>
      <c r="V339" s="389"/>
      <c r="W339" s="389"/>
      <c r="X339" s="389"/>
      <c r="Y339" s="389"/>
      <c r="Z339" s="389"/>
      <c r="AA339" s="389"/>
      <c r="AB339" s="389"/>
      <c r="AC339" s="389"/>
      <c r="AD339" s="389"/>
      <c r="AE339" s="389"/>
      <c r="AF339" s="389"/>
      <c r="AG339" s="389"/>
    </row>
    <row r="340">
      <c r="A340" s="389"/>
      <c r="B340" s="389"/>
      <c r="C340" s="389"/>
      <c r="D340" s="390"/>
      <c r="E340" s="389"/>
      <c r="F340" s="392"/>
      <c r="G340" s="389"/>
      <c r="H340" s="389"/>
      <c r="I340" s="389"/>
      <c r="J340" s="389"/>
      <c r="K340" s="389"/>
      <c r="L340" s="389"/>
      <c r="M340" s="389"/>
      <c r="N340" s="389"/>
      <c r="O340" s="389"/>
      <c r="P340" s="389"/>
      <c r="Q340" s="389"/>
      <c r="R340" s="389"/>
      <c r="S340" s="389"/>
      <c r="T340" s="389"/>
      <c r="U340" s="389"/>
      <c r="V340" s="389"/>
      <c r="W340" s="389"/>
      <c r="X340" s="389"/>
      <c r="Y340" s="389"/>
      <c r="Z340" s="389"/>
      <c r="AA340" s="389"/>
      <c r="AB340" s="389"/>
      <c r="AC340" s="389"/>
      <c r="AD340" s="389"/>
      <c r="AE340" s="389"/>
      <c r="AF340" s="389"/>
      <c r="AG340" s="389"/>
    </row>
    <row r="341">
      <c r="A341" s="389"/>
      <c r="B341" s="389"/>
      <c r="C341" s="389"/>
      <c r="D341" s="390"/>
      <c r="E341" s="389"/>
      <c r="F341" s="392"/>
      <c r="G341" s="389"/>
      <c r="H341" s="389"/>
      <c r="I341" s="389"/>
      <c r="J341" s="389"/>
      <c r="K341" s="389"/>
      <c r="L341" s="389"/>
      <c r="M341" s="389"/>
      <c r="N341" s="389"/>
      <c r="O341" s="389"/>
      <c r="P341" s="389"/>
      <c r="Q341" s="389"/>
      <c r="R341" s="389"/>
      <c r="S341" s="389"/>
      <c r="T341" s="389"/>
      <c r="U341" s="389"/>
      <c r="V341" s="389"/>
      <c r="W341" s="389"/>
      <c r="X341" s="389"/>
      <c r="Y341" s="389"/>
      <c r="Z341" s="389"/>
      <c r="AA341" s="389"/>
      <c r="AB341" s="389"/>
      <c r="AC341" s="389"/>
      <c r="AD341" s="389"/>
      <c r="AE341" s="389"/>
      <c r="AF341" s="389"/>
      <c r="AG341" s="389"/>
    </row>
    <row r="342">
      <c r="A342" s="389"/>
      <c r="B342" s="389"/>
      <c r="C342" s="389"/>
      <c r="D342" s="390"/>
      <c r="E342" s="389"/>
      <c r="F342" s="392"/>
      <c r="G342" s="389"/>
      <c r="H342" s="389"/>
      <c r="I342" s="389"/>
      <c r="J342" s="389"/>
      <c r="K342" s="389"/>
      <c r="L342" s="389"/>
      <c r="M342" s="389"/>
      <c r="N342" s="389"/>
      <c r="O342" s="389"/>
      <c r="P342" s="389"/>
      <c r="Q342" s="389"/>
      <c r="R342" s="389"/>
      <c r="S342" s="389"/>
      <c r="T342" s="389"/>
      <c r="U342" s="389"/>
      <c r="V342" s="389"/>
      <c r="W342" s="389"/>
      <c r="X342" s="389"/>
      <c r="Y342" s="389"/>
      <c r="Z342" s="389"/>
      <c r="AA342" s="389"/>
      <c r="AB342" s="389"/>
      <c r="AC342" s="389"/>
      <c r="AD342" s="389"/>
      <c r="AE342" s="389"/>
      <c r="AF342" s="389"/>
      <c r="AG342" s="389"/>
    </row>
    <row r="343">
      <c r="A343" s="389"/>
      <c r="B343" s="389"/>
      <c r="C343" s="389"/>
      <c r="D343" s="390"/>
      <c r="E343" s="389"/>
      <c r="F343" s="392"/>
      <c r="G343" s="389"/>
      <c r="H343" s="389"/>
      <c r="I343" s="389"/>
      <c r="J343" s="389"/>
      <c r="K343" s="389"/>
      <c r="L343" s="389"/>
      <c r="M343" s="389"/>
      <c r="N343" s="389"/>
      <c r="O343" s="389"/>
      <c r="P343" s="389"/>
      <c r="Q343" s="389"/>
      <c r="R343" s="389"/>
      <c r="S343" s="389"/>
      <c r="T343" s="389"/>
      <c r="U343" s="389"/>
      <c r="V343" s="389"/>
      <c r="W343" s="389"/>
      <c r="X343" s="389"/>
      <c r="Y343" s="389"/>
      <c r="Z343" s="389"/>
      <c r="AA343" s="389"/>
      <c r="AB343" s="389"/>
      <c r="AC343" s="389"/>
      <c r="AD343" s="389"/>
      <c r="AE343" s="389"/>
      <c r="AF343" s="389"/>
      <c r="AG343" s="389"/>
    </row>
    <row r="344">
      <c r="A344" s="389"/>
      <c r="B344" s="389"/>
      <c r="C344" s="389"/>
      <c r="D344" s="390"/>
      <c r="E344" s="389"/>
      <c r="F344" s="392"/>
      <c r="G344" s="389"/>
      <c r="H344" s="389"/>
      <c r="I344" s="389"/>
      <c r="J344" s="389"/>
      <c r="K344" s="389"/>
      <c r="L344" s="389"/>
      <c r="M344" s="389"/>
      <c r="N344" s="389"/>
      <c r="O344" s="389"/>
      <c r="P344" s="389"/>
      <c r="Q344" s="389"/>
      <c r="R344" s="389"/>
      <c r="S344" s="389"/>
      <c r="T344" s="389"/>
      <c r="U344" s="389"/>
      <c r="V344" s="389"/>
      <c r="W344" s="389"/>
      <c r="X344" s="389"/>
      <c r="Y344" s="389"/>
      <c r="Z344" s="389"/>
      <c r="AA344" s="389"/>
      <c r="AB344" s="389"/>
      <c r="AC344" s="389"/>
      <c r="AD344" s="389"/>
      <c r="AE344" s="389"/>
      <c r="AF344" s="389"/>
      <c r="AG344" s="389"/>
    </row>
    <row r="345">
      <c r="A345" s="389"/>
      <c r="B345" s="389"/>
      <c r="C345" s="389"/>
      <c r="D345" s="390"/>
      <c r="E345" s="389"/>
      <c r="F345" s="392"/>
      <c r="G345" s="389"/>
      <c r="H345" s="389"/>
      <c r="I345" s="389"/>
      <c r="J345" s="389"/>
      <c r="K345" s="389"/>
      <c r="L345" s="389"/>
      <c r="M345" s="389"/>
      <c r="N345" s="389"/>
      <c r="O345" s="389"/>
      <c r="P345" s="389"/>
      <c r="Q345" s="389"/>
      <c r="R345" s="389"/>
      <c r="S345" s="389"/>
      <c r="T345" s="389"/>
      <c r="U345" s="389"/>
      <c r="V345" s="389"/>
      <c r="W345" s="389"/>
      <c r="X345" s="389"/>
      <c r="Y345" s="389"/>
      <c r="Z345" s="389"/>
      <c r="AA345" s="389"/>
      <c r="AB345" s="389"/>
      <c r="AC345" s="389"/>
      <c r="AD345" s="389"/>
      <c r="AE345" s="389"/>
      <c r="AF345" s="389"/>
      <c r="AG345" s="389"/>
    </row>
    <row r="346">
      <c r="A346" s="389"/>
      <c r="B346" s="389"/>
      <c r="C346" s="389"/>
      <c r="D346" s="390"/>
      <c r="E346" s="389"/>
      <c r="F346" s="392"/>
      <c r="G346" s="389"/>
      <c r="H346" s="389"/>
      <c r="I346" s="389"/>
      <c r="J346" s="389"/>
      <c r="K346" s="389"/>
      <c r="L346" s="389"/>
      <c r="M346" s="389"/>
      <c r="N346" s="389"/>
      <c r="O346" s="389"/>
      <c r="P346" s="389"/>
      <c r="Q346" s="389"/>
      <c r="R346" s="389"/>
      <c r="S346" s="389"/>
      <c r="T346" s="389"/>
      <c r="U346" s="389"/>
      <c r="V346" s="389"/>
      <c r="W346" s="389"/>
      <c r="X346" s="389"/>
      <c r="Y346" s="389"/>
      <c r="Z346" s="389"/>
      <c r="AA346" s="389"/>
      <c r="AB346" s="389"/>
      <c r="AC346" s="389"/>
      <c r="AD346" s="389"/>
      <c r="AE346" s="389"/>
      <c r="AF346" s="389"/>
      <c r="AG346" s="389"/>
    </row>
    <row r="347">
      <c r="A347" s="389"/>
      <c r="B347" s="389"/>
      <c r="C347" s="389"/>
      <c r="D347" s="390"/>
      <c r="E347" s="389"/>
      <c r="F347" s="392"/>
      <c r="G347" s="389"/>
      <c r="H347" s="389"/>
      <c r="I347" s="389"/>
      <c r="J347" s="389"/>
      <c r="K347" s="389"/>
      <c r="L347" s="389"/>
      <c r="M347" s="389"/>
      <c r="N347" s="389"/>
      <c r="O347" s="389"/>
      <c r="P347" s="389"/>
      <c r="Q347" s="389"/>
      <c r="R347" s="389"/>
      <c r="S347" s="389"/>
      <c r="T347" s="389"/>
      <c r="U347" s="389"/>
      <c r="V347" s="389"/>
      <c r="W347" s="389"/>
      <c r="X347" s="389"/>
      <c r="Y347" s="389"/>
      <c r="Z347" s="389"/>
      <c r="AA347" s="389"/>
      <c r="AB347" s="389"/>
      <c r="AC347" s="389"/>
      <c r="AD347" s="389"/>
      <c r="AE347" s="389"/>
      <c r="AF347" s="389"/>
      <c r="AG347" s="389"/>
    </row>
    <row r="348">
      <c r="A348" s="389"/>
      <c r="B348" s="389"/>
      <c r="C348" s="389"/>
      <c r="D348" s="390"/>
      <c r="E348" s="389"/>
      <c r="F348" s="392"/>
      <c r="G348" s="389"/>
      <c r="H348" s="389"/>
      <c r="I348" s="389"/>
      <c r="J348" s="389"/>
      <c r="K348" s="389"/>
      <c r="L348" s="389"/>
      <c r="M348" s="389"/>
      <c r="N348" s="389"/>
      <c r="O348" s="389"/>
      <c r="P348" s="389"/>
      <c r="Q348" s="389"/>
      <c r="R348" s="389"/>
      <c r="S348" s="389"/>
      <c r="T348" s="389"/>
      <c r="U348" s="389"/>
      <c r="V348" s="389"/>
      <c r="W348" s="389"/>
      <c r="X348" s="389"/>
      <c r="Y348" s="389"/>
      <c r="Z348" s="389"/>
      <c r="AA348" s="389"/>
      <c r="AB348" s="389"/>
      <c r="AC348" s="389"/>
      <c r="AD348" s="389"/>
      <c r="AE348" s="389"/>
      <c r="AF348" s="389"/>
      <c r="AG348" s="389"/>
    </row>
    <row r="349">
      <c r="A349" s="389"/>
      <c r="B349" s="389"/>
      <c r="C349" s="389"/>
      <c r="D349" s="390"/>
      <c r="E349" s="389"/>
      <c r="F349" s="392"/>
      <c r="G349" s="389"/>
      <c r="H349" s="389"/>
      <c r="I349" s="389"/>
      <c r="J349" s="389"/>
      <c r="K349" s="389"/>
      <c r="L349" s="389"/>
      <c r="M349" s="389"/>
      <c r="N349" s="389"/>
      <c r="O349" s="389"/>
      <c r="P349" s="389"/>
      <c r="Q349" s="389"/>
      <c r="R349" s="389"/>
      <c r="S349" s="389"/>
      <c r="T349" s="389"/>
      <c r="U349" s="389"/>
      <c r="V349" s="389"/>
      <c r="W349" s="389"/>
      <c r="X349" s="389"/>
      <c r="Y349" s="389"/>
      <c r="Z349" s="389"/>
      <c r="AA349" s="389"/>
      <c r="AB349" s="389"/>
      <c r="AC349" s="389"/>
      <c r="AD349" s="389"/>
      <c r="AE349" s="389"/>
      <c r="AF349" s="389"/>
      <c r="AG349" s="389"/>
    </row>
    <row r="350">
      <c r="A350" s="389"/>
      <c r="B350" s="389"/>
      <c r="C350" s="389"/>
      <c r="D350" s="390"/>
      <c r="E350" s="389"/>
      <c r="F350" s="392"/>
      <c r="G350" s="389"/>
      <c r="H350" s="389"/>
      <c r="I350" s="389"/>
      <c r="J350" s="389"/>
      <c r="K350" s="389"/>
      <c r="L350" s="389"/>
      <c r="M350" s="389"/>
      <c r="N350" s="389"/>
      <c r="O350" s="389"/>
      <c r="P350" s="389"/>
      <c r="Q350" s="389"/>
      <c r="R350" s="389"/>
      <c r="S350" s="389"/>
      <c r="T350" s="389"/>
      <c r="U350" s="389"/>
      <c r="V350" s="389"/>
      <c r="W350" s="389"/>
      <c r="X350" s="389"/>
      <c r="Y350" s="389"/>
      <c r="Z350" s="389"/>
      <c r="AA350" s="389"/>
      <c r="AB350" s="389"/>
      <c r="AC350" s="389"/>
      <c r="AD350" s="389"/>
      <c r="AE350" s="389"/>
      <c r="AF350" s="389"/>
      <c r="AG350" s="389"/>
    </row>
    <row r="351">
      <c r="A351" s="389"/>
      <c r="B351" s="389"/>
      <c r="C351" s="389"/>
      <c r="D351" s="390"/>
      <c r="E351" s="389"/>
      <c r="F351" s="392"/>
      <c r="G351" s="389"/>
      <c r="H351" s="389"/>
      <c r="I351" s="389"/>
      <c r="J351" s="389"/>
      <c r="K351" s="389"/>
      <c r="L351" s="389"/>
      <c r="M351" s="389"/>
      <c r="N351" s="389"/>
      <c r="O351" s="389"/>
      <c r="P351" s="389"/>
      <c r="Q351" s="389"/>
      <c r="R351" s="389"/>
      <c r="S351" s="389"/>
      <c r="T351" s="389"/>
      <c r="U351" s="389"/>
      <c r="V351" s="389"/>
      <c r="W351" s="389"/>
      <c r="X351" s="389"/>
      <c r="Y351" s="389"/>
      <c r="Z351" s="389"/>
      <c r="AA351" s="389"/>
      <c r="AB351" s="389"/>
      <c r="AC351" s="389"/>
      <c r="AD351" s="389"/>
      <c r="AE351" s="389"/>
      <c r="AF351" s="389"/>
      <c r="AG351" s="389"/>
    </row>
    <row r="352">
      <c r="A352" s="389"/>
      <c r="B352" s="389"/>
      <c r="C352" s="389"/>
      <c r="D352" s="390"/>
      <c r="E352" s="389"/>
      <c r="F352" s="392"/>
      <c r="G352" s="389"/>
      <c r="H352" s="389"/>
      <c r="I352" s="389"/>
      <c r="J352" s="389"/>
      <c r="K352" s="389"/>
      <c r="L352" s="389"/>
      <c r="M352" s="389"/>
      <c r="N352" s="389"/>
      <c r="O352" s="389"/>
      <c r="P352" s="389"/>
      <c r="Q352" s="389"/>
      <c r="R352" s="389"/>
      <c r="S352" s="389"/>
      <c r="T352" s="389"/>
      <c r="U352" s="389"/>
      <c r="V352" s="389"/>
      <c r="W352" s="389"/>
      <c r="X352" s="389"/>
      <c r="Y352" s="389"/>
      <c r="Z352" s="389"/>
      <c r="AA352" s="389"/>
      <c r="AB352" s="389"/>
      <c r="AC352" s="389"/>
      <c r="AD352" s="389"/>
      <c r="AE352" s="389"/>
      <c r="AF352" s="389"/>
      <c r="AG352" s="389"/>
    </row>
    <row r="353">
      <c r="A353" s="389"/>
      <c r="B353" s="389"/>
      <c r="C353" s="389"/>
      <c r="D353" s="390"/>
      <c r="E353" s="389"/>
      <c r="F353" s="392"/>
      <c r="G353" s="389"/>
      <c r="H353" s="389"/>
      <c r="I353" s="389"/>
      <c r="J353" s="389"/>
      <c r="K353" s="389"/>
      <c r="L353" s="389"/>
      <c r="M353" s="389"/>
      <c r="N353" s="389"/>
      <c r="O353" s="389"/>
      <c r="P353" s="389"/>
      <c r="Q353" s="389"/>
      <c r="R353" s="389"/>
      <c r="S353" s="389"/>
      <c r="T353" s="389"/>
      <c r="U353" s="389"/>
      <c r="V353" s="389"/>
      <c r="W353" s="389"/>
      <c r="X353" s="389"/>
      <c r="Y353" s="389"/>
      <c r="Z353" s="389"/>
      <c r="AA353" s="389"/>
      <c r="AB353" s="389"/>
      <c r="AC353" s="389"/>
      <c r="AD353" s="389"/>
      <c r="AE353" s="389"/>
      <c r="AF353" s="389"/>
      <c r="AG353" s="389"/>
    </row>
    <row r="354">
      <c r="A354" s="389"/>
      <c r="B354" s="389"/>
      <c r="C354" s="389"/>
      <c r="D354" s="390"/>
      <c r="E354" s="389"/>
      <c r="F354" s="392"/>
      <c r="G354" s="389"/>
      <c r="H354" s="389"/>
      <c r="I354" s="389"/>
      <c r="J354" s="389"/>
      <c r="K354" s="389"/>
      <c r="L354" s="389"/>
      <c r="M354" s="389"/>
      <c r="N354" s="389"/>
      <c r="O354" s="389"/>
      <c r="P354" s="389"/>
      <c r="Q354" s="389"/>
      <c r="R354" s="389"/>
      <c r="S354" s="389"/>
      <c r="T354" s="389"/>
      <c r="U354" s="389"/>
      <c r="V354" s="389"/>
      <c r="W354" s="389"/>
      <c r="X354" s="389"/>
      <c r="Y354" s="389"/>
      <c r="Z354" s="389"/>
      <c r="AA354" s="389"/>
      <c r="AB354" s="389"/>
      <c r="AC354" s="389"/>
      <c r="AD354" s="389"/>
      <c r="AE354" s="389"/>
      <c r="AF354" s="389"/>
      <c r="AG354" s="389"/>
    </row>
    <row r="355">
      <c r="A355" s="389"/>
      <c r="B355" s="389"/>
      <c r="C355" s="389"/>
      <c r="D355" s="390"/>
      <c r="E355" s="389"/>
      <c r="F355" s="392"/>
      <c r="G355" s="389"/>
      <c r="H355" s="389"/>
      <c r="I355" s="389"/>
      <c r="J355" s="389"/>
      <c r="K355" s="389"/>
      <c r="L355" s="389"/>
      <c r="M355" s="389"/>
      <c r="N355" s="389"/>
      <c r="O355" s="389"/>
      <c r="P355" s="389"/>
      <c r="Q355" s="389"/>
      <c r="R355" s="389"/>
      <c r="S355" s="389"/>
      <c r="T355" s="389"/>
      <c r="U355" s="389"/>
      <c r="V355" s="389"/>
      <c r="W355" s="389"/>
      <c r="X355" s="389"/>
      <c r="Y355" s="389"/>
      <c r="Z355" s="389"/>
      <c r="AA355" s="389"/>
      <c r="AB355" s="389"/>
      <c r="AC355" s="389"/>
      <c r="AD355" s="389"/>
      <c r="AE355" s="389"/>
      <c r="AF355" s="389"/>
      <c r="AG355" s="389"/>
    </row>
    <row r="356">
      <c r="A356" s="389"/>
      <c r="B356" s="389"/>
      <c r="C356" s="389"/>
      <c r="D356" s="390"/>
      <c r="E356" s="389"/>
      <c r="F356" s="392"/>
      <c r="G356" s="389"/>
      <c r="H356" s="389"/>
      <c r="I356" s="389"/>
      <c r="J356" s="389"/>
      <c r="K356" s="389"/>
      <c r="L356" s="389"/>
      <c r="M356" s="389"/>
      <c r="N356" s="389"/>
      <c r="O356" s="389"/>
      <c r="P356" s="389"/>
      <c r="Q356" s="389"/>
      <c r="R356" s="389"/>
      <c r="S356" s="389"/>
      <c r="T356" s="389"/>
      <c r="U356" s="389"/>
      <c r="V356" s="389"/>
      <c r="W356" s="389"/>
      <c r="X356" s="389"/>
      <c r="Y356" s="389"/>
      <c r="Z356" s="389"/>
      <c r="AA356" s="389"/>
      <c r="AB356" s="389"/>
      <c r="AC356" s="389"/>
      <c r="AD356" s="389"/>
      <c r="AE356" s="389"/>
      <c r="AF356" s="389"/>
      <c r="AG356" s="389"/>
    </row>
    <row r="357">
      <c r="A357" s="389"/>
      <c r="B357" s="389"/>
      <c r="C357" s="389"/>
      <c r="D357" s="390"/>
      <c r="E357" s="389"/>
      <c r="F357" s="392"/>
      <c r="G357" s="389"/>
      <c r="H357" s="389"/>
      <c r="I357" s="389"/>
      <c r="J357" s="389"/>
      <c r="K357" s="389"/>
      <c r="L357" s="389"/>
      <c r="M357" s="389"/>
      <c r="N357" s="389"/>
      <c r="O357" s="389"/>
      <c r="P357" s="389"/>
      <c r="Q357" s="389"/>
      <c r="R357" s="389"/>
      <c r="S357" s="389"/>
      <c r="T357" s="389"/>
      <c r="U357" s="389"/>
      <c r="V357" s="389"/>
      <c r="W357" s="389"/>
      <c r="X357" s="389"/>
      <c r="Y357" s="389"/>
      <c r="Z357" s="389"/>
      <c r="AA357" s="389"/>
      <c r="AB357" s="389"/>
      <c r="AC357" s="389"/>
      <c r="AD357" s="389"/>
      <c r="AE357" s="389"/>
      <c r="AF357" s="389"/>
      <c r="AG357" s="389"/>
    </row>
    <row r="358">
      <c r="A358" s="389"/>
      <c r="B358" s="389"/>
      <c r="C358" s="389"/>
      <c r="D358" s="390"/>
      <c r="E358" s="389"/>
      <c r="F358" s="392"/>
      <c r="G358" s="389"/>
      <c r="H358" s="389"/>
      <c r="I358" s="389"/>
      <c r="J358" s="389"/>
      <c r="K358" s="389"/>
      <c r="L358" s="389"/>
      <c r="M358" s="389"/>
      <c r="N358" s="389"/>
      <c r="O358" s="389"/>
      <c r="P358" s="389"/>
      <c r="Q358" s="389"/>
      <c r="R358" s="389"/>
      <c r="S358" s="389"/>
      <c r="T358" s="389"/>
      <c r="U358" s="389"/>
      <c r="V358" s="389"/>
      <c r="W358" s="389"/>
      <c r="X358" s="389"/>
      <c r="Y358" s="389"/>
      <c r="Z358" s="389"/>
      <c r="AA358" s="389"/>
      <c r="AB358" s="389"/>
      <c r="AC358" s="389"/>
      <c r="AD358" s="389"/>
      <c r="AE358" s="389"/>
      <c r="AF358" s="389"/>
      <c r="AG358" s="389"/>
    </row>
    <row r="359">
      <c r="A359" s="389"/>
      <c r="B359" s="389"/>
      <c r="C359" s="389"/>
      <c r="D359" s="390"/>
      <c r="E359" s="389"/>
      <c r="F359" s="392"/>
      <c r="G359" s="389"/>
      <c r="H359" s="389"/>
      <c r="I359" s="389"/>
      <c r="J359" s="389"/>
      <c r="K359" s="389"/>
      <c r="L359" s="389"/>
      <c r="M359" s="389"/>
      <c r="N359" s="389"/>
      <c r="O359" s="389"/>
      <c r="P359" s="389"/>
      <c r="Q359" s="389"/>
      <c r="R359" s="389"/>
      <c r="S359" s="389"/>
      <c r="T359" s="389"/>
      <c r="U359" s="389"/>
      <c r="V359" s="389"/>
      <c r="W359" s="389"/>
      <c r="X359" s="389"/>
      <c r="Y359" s="389"/>
      <c r="Z359" s="389"/>
      <c r="AA359" s="389"/>
      <c r="AB359" s="389"/>
      <c r="AC359" s="389"/>
      <c r="AD359" s="389"/>
      <c r="AE359" s="389"/>
      <c r="AF359" s="389"/>
      <c r="AG359" s="389"/>
    </row>
    <row r="360">
      <c r="A360" s="389"/>
      <c r="B360" s="389"/>
      <c r="C360" s="389"/>
      <c r="D360" s="390"/>
      <c r="E360" s="389"/>
      <c r="F360" s="392"/>
      <c r="G360" s="389"/>
      <c r="H360" s="389"/>
      <c r="I360" s="389"/>
      <c r="J360" s="389"/>
      <c r="K360" s="389"/>
      <c r="L360" s="389"/>
      <c r="M360" s="389"/>
      <c r="N360" s="389"/>
      <c r="O360" s="389"/>
      <c r="P360" s="389"/>
      <c r="Q360" s="389"/>
      <c r="R360" s="389"/>
      <c r="S360" s="389"/>
      <c r="T360" s="389"/>
      <c r="U360" s="389"/>
      <c r="V360" s="389"/>
      <c r="W360" s="389"/>
      <c r="X360" s="389"/>
      <c r="Y360" s="389"/>
      <c r="Z360" s="389"/>
      <c r="AA360" s="389"/>
      <c r="AB360" s="389"/>
      <c r="AC360" s="389"/>
      <c r="AD360" s="389"/>
      <c r="AE360" s="389"/>
      <c r="AF360" s="389"/>
      <c r="AG360" s="389"/>
    </row>
    <row r="361">
      <c r="A361" s="389"/>
      <c r="B361" s="389"/>
      <c r="C361" s="389"/>
      <c r="D361" s="390"/>
      <c r="E361" s="389"/>
      <c r="F361" s="392"/>
      <c r="G361" s="389"/>
      <c r="H361" s="389"/>
      <c r="I361" s="389"/>
      <c r="J361" s="389"/>
      <c r="K361" s="389"/>
      <c r="L361" s="389"/>
      <c r="M361" s="389"/>
      <c r="N361" s="389"/>
      <c r="O361" s="389"/>
      <c r="P361" s="389"/>
      <c r="Q361" s="389"/>
      <c r="R361" s="389"/>
      <c r="S361" s="389"/>
      <c r="T361" s="389"/>
      <c r="U361" s="389"/>
      <c r="V361" s="389"/>
      <c r="W361" s="389"/>
      <c r="X361" s="389"/>
      <c r="Y361" s="389"/>
      <c r="Z361" s="389"/>
      <c r="AA361" s="389"/>
      <c r="AB361" s="389"/>
      <c r="AC361" s="389"/>
      <c r="AD361" s="389"/>
      <c r="AE361" s="389"/>
      <c r="AF361" s="389"/>
      <c r="AG361" s="389"/>
    </row>
    <row r="362">
      <c r="A362" s="389"/>
      <c r="B362" s="389"/>
      <c r="C362" s="389"/>
      <c r="D362" s="390"/>
      <c r="E362" s="389"/>
      <c r="F362" s="392"/>
      <c r="G362" s="389"/>
      <c r="H362" s="389"/>
      <c r="I362" s="389"/>
      <c r="J362" s="389"/>
      <c r="K362" s="389"/>
      <c r="L362" s="389"/>
      <c r="M362" s="389"/>
      <c r="N362" s="389"/>
      <c r="O362" s="389"/>
      <c r="P362" s="389"/>
      <c r="Q362" s="389"/>
      <c r="R362" s="389"/>
      <c r="S362" s="389"/>
      <c r="T362" s="389"/>
      <c r="U362" s="389"/>
      <c r="V362" s="389"/>
      <c r="W362" s="389"/>
      <c r="X362" s="389"/>
      <c r="Y362" s="389"/>
      <c r="Z362" s="389"/>
      <c r="AA362" s="389"/>
      <c r="AB362" s="389"/>
      <c r="AC362" s="389"/>
      <c r="AD362" s="389"/>
      <c r="AE362" s="389"/>
      <c r="AF362" s="389"/>
      <c r="AG362" s="389"/>
    </row>
    <row r="363">
      <c r="A363" s="389"/>
      <c r="B363" s="389"/>
      <c r="C363" s="389"/>
      <c r="D363" s="390"/>
      <c r="E363" s="389"/>
      <c r="F363" s="392"/>
      <c r="G363" s="389"/>
      <c r="H363" s="389"/>
      <c r="I363" s="389"/>
      <c r="J363" s="389"/>
      <c r="K363" s="389"/>
      <c r="L363" s="389"/>
      <c r="M363" s="389"/>
      <c r="N363" s="389"/>
      <c r="O363" s="389"/>
      <c r="P363" s="389"/>
      <c r="Q363" s="389"/>
      <c r="R363" s="389"/>
      <c r="S363" s="389"/>
      <c r="T363" s="389"/>
      <c r="U363" s="389"/>
      <c r="V363" s="389"/>
      <c r="W363" s="389"/>
      <c r="X363" s="389"/>
      <c r="Y363" s="389"/>
      <c r="Z363" s="389"/>
      <c r="AA363" s="389"/>
      <c r="AB363" s="389"/>
      <c r="AC363" s="389"/>
      <c r="AD363" s="389"/>
      <c r="AE363" s="389"/>
      <c r="AF363" s="389"/>
      <c r="AG363" s="389"/>
    </row>
    <row r="364">
      <c r="A364" s="389"/>
      <c r="B364" s="389"/>
      <c r="C364" s="389"/>
      <c r="D364" s="390"/>
      <c r="E364" s="389"/>
      <c r="F364" s="392"/>
      <c r="G364" s="389"/>
      <c r="H364" s="389"/>
      <c r="I364" s="389"/>
      <c r="J364" s="389"/>
      <c r="K364" s="389"/>
      <c r="L364" s="389"/>
      <c r="M364" s="389"/>
      <c r="N364" s="389"/>
      <c r="O364" s="389"/>
      <c r="P364" s="389"/>
      <c r="Q364" s="389"/>
      <c r="R364" s="389"/>
      <c r="S364" s="389"/>
      <c r="T364" s="389"/>
      <c r="U364" s="389"/>
      <c r="V364" s="389"/>
      <c r="W364" s="389"/>
      <c r="X364" s="389"/>
      <c r="Y364" s="389"/>
      <c r="Z364" s="389"/>
      <c r="AA364" s="389"/>
      <c r="AB364" s="389"/>
      <c r="AC364" s="389"/>
      <c r="AD364" s="389"/>
      <c r="AE364" s="389"/>
      <c r="AF364" s="389"/>
      <c r="AG364" s="389"/>
    </row>
    <row r="365">
      <c r="A365" s="389"/>
      <c r="B365" s="389"/>
      <c r="C365" s="389"/>
      <c r="D365" s="390"/>
      <c r="E365" s="389"/>
      <c r="F365" s="392"/>
      <c r="G365" s="389"/>
      <c r="H365" s="389"/>
      <c r="I365" s="389"/>
      <c r="J365" s="389"/>
      <c r="K365" s="389"/>
      <c r="L365" s="389"/>
      <c r="M365" s="389"/>
      <c r="N365" s="389"/>
      <c r="O365" s="389"/>
      <c r="P365" s="389"/>
      <c r="Q365" s="389"/>
      <c r="R365" s="389"/>
      <c r="S365" s="389"/>
      <c r="T365" s="389"/>
      <c r="U365" s="389"/>
      <c r="V365" s="389"/>
      <c r="W365" s="389"/>
      <c r="X365" s="389"/>
      <c r="Y365" s="389"/>
      <c r="Z365" s="389"/>
      <c r="AA365" s="389"/>
      <c r="AB365" s="389"/>
      <c r="AC365" s="389"/>
      <c r="AD365" s="389"/>
      <c r="AE365" s="389"/>
      <c r="AF365" s="389"/>
      <c r="AG365" s="389"/>
    </row>
    <row r="366">
      <c r="A366" s="389"/>
      <c r="B366" s="389"/>
      <c r="C366" s="389"/>
      <c r="D366" s="390"/>
      <c r="E366" s="389"/>
      <c r="F366" s="392"/>
      <c r="G366" s="389"/>
      <c r="H366" s="389"/>
      <c r="I366" s="389"/>
      <c r="J366" s="389"/>
      <c r="K366" s="389"/>
      <c r="L366" s="389"/>
      <c r="M366" s="389"/>
      <c r="N366" s="389"/>
      <c r="O366" s="389"/>
      <c r="P366" s="389"/>
      <c r="Q366" s="389"/>
      <c r="R366" s="389"/>
      <c r="S366" s="389"/>
      <c r="T366" s="389"/>
      <c r="U366" s="389"/>
      <c r="V366" s="389"/>
      <c r="W366" s="389"/>
      <c r="X366" s="389"/>
      <c r="Y366" s="389"/>
      <c r="Z366" s="389"/>
      <c r="AA366" s="389"/>
      <c r="AB366" s="389"/>
      <c r="AC366" s="389"/>
      <c r="AD366" s="389"/>
      <c r="AE366" s="389"/>
      <c r="AF366" s="389"/>
      <c r="AG366" s="389"/>
    </row>
    <row r="367">
      <c r="A367" s="389"/>
      <c r="B367" s="389"/>
      <c r="C367" s="389"/>
      <c r="D367" s="390"/>
      <c r="E367" s="389"/>
      <c r="F367" s="392"/>
      <c r="G367" s="389"/>
      <c r="H367" s="389"/>
      <c r="I367" s="389"/>
      <c r="J367" s="389"/>
      <c r="K367" s="389"/>
      <c r="L367" s="389"/>
      <c r="M367" s="389"/>
      <c r="N367" s="389"/>
      <c r="O367" s="389"/>
      <c r="P367" s="389"/>
      <c r="Q367" s="389"/>
      <c r="R367" s="389"/>
      <c r="S367" s="389"/>
      <c r="T367" s="389"/>
      <c r="U367" s="389"/>
      <c r="V367" s="389"/>
      <c r="W367" s="389"/>
      <c r="X367" s="389"/>
      <c r="Y367" s="389"/>
      <c r="Z367" s="389"/>
      <c r="AA367" s="389"/>
      <c r="AB367" s="389"/>
      <c r="AC367" s="389"/>
      <c r="AD367" s="389"/>
      <c r="AE367" s="389"/>
      <c r="AF367" s="389"/>
      <c r="AG367" s="389"/>
    </row>
    <row r="368">
      <c r="A368" s="389"/>
      <c r="B368" s="389"/>
      <c r="C368" s="389"/>
      <c r="D368" s="390"/>
      <c r="E368" s="389"/>
      <c r="F368" s="392"/>
      <c r="G368" s="389"/>
      <c r="H368" s="389"/>
      <c r="I368" s="389"/>
      <c r="J368" s="389"/>
      <c r="K368" s="389"/>
      <c r="L368" s="389"/>
      <c r="M368" s="389"/>
      <c r="N368" s="389"/>
      <c r="O368" s="389"/>
      <c r="P368" s="389"/>
      <c r="Q368" s="389"/>
      <c r="R368" s="389"/>
      <c r="S368" s="389"/>
      <c r="T368" s="389"/>
      <c r="U368" s="389"/>
      <c r="V368" s="389"/>
      <c r="W368" s="389"/>
      <c r="X368" s="389"/>
      <c r="Y368" s="389"/>
      <c r="Z368" s="389"/>
      <c r="AA368" s="389"/>
      <c r="AB368" s="389"/>
      <c r="AC368" s="389"/>
      <c r="AD368" s="389"/>
      <c r="AE368" s="389"/>
      <c r="AF368" s="389"/>
      <c r="AG368" s="389"/>
    </row>
    <row r="369">
      <c r="A369" s="389"/>
      <c r="B369" s="389"/>
      <c r="C369" s="389"/>
      <c r="D369" s="390"/>
      <c r="E369" s="389"/>
      <c r="F369" s="392"/>
      <c r="G369" s="389"/>
      <c r="H369" s="389"/>
      <c r="I369" s="389"/>
      <c r="J369" s="389"/>
      <c r="K369" s="389"/>
      <c r="L369" s="389"/>
      <c r="M369" s="389"/>
      <c r="N369" s="389"/>
      <c r="O369" s="389"/>
      <c r="P369" s="389"/>
      <c r="Q369" s="389"/>
      <c r="R369" s="389"/>
      <c r="S369" s="389"/>
      <c r="T369" s="389"/>
      <c r="U369" s="389"/>
      <c r="V369" s="389"/>
      <c r="W369" s="389"/>
      <c r="X369" s="389"/>
      <c r="Y369" s="389"/>
      <c r="Z369" s="389"/>
      <c r="AA369" s="389"/>
      <c r="AB369" s="389"/>
      <c r="AC369" s="389"/>
      <c r="AD369" s="389"/>
      <c r="AE369" s="389"/>
      <c r="AF369" s="389"/>
      <c r="AG369" s="389"/>
    </row>
    <row r="370">
      <c r="A370" s="389"/>
      <c r="B370" s="389"/>
      <c r="C370" s="389"/>
      <c r="D370" s="390"/>
      <c r="E370" s="389"/>
      <c r="F370" s="392"/>
      <c r="G370" s="389"/>
      <c r="H370" s="389"/>
      <c r="I370" s="389"/>
      <c r="J370" s="389"/>
      <c r="K370" s="389"/>
      <c r="L370" s="389"/>
      <c r="M370" s="389"/>
      <c r="N370" s="389"/>
      <c r="O370" s="389"/>
      <c r="P370" s="389"/>
      <c r="Q370" s="389"/>
      <c r="R370" s="389"/>
      <c r="S370" s="389"/>
      <c r="T370" s="389"/>
      <c r="U370" s="389"/>
      <c r="V370" s="389"/>
      <c r="W370" s="389"/>
      <c r="X370" s="389"/>
      <c r="Y370" s="389"/>
      <c r="Z370" s="389"/>
      <c r="AA370" s="389"/>
      <c r="AB370" s="389"/>
      <c r="AC370" s="389"/>
      <c r="AD370" s="389"/>
      <c r="AE370" s="389"/>
      <c r="AF370" s="389"/>
      <c r="AG370" s="389"/>
    </row>
    <row r="371">
      <c r="A371" s="389"/>
      <c r="B371" s="389"/>
      <c r="C371" s="389"/>
      <c r="D371" s="390"/>
      <c r="E371" s="389"/>
      <c r="F371" s="392"/>
      <c r="G371" s="389"/>
      <c r="H371" s="389"/>
      <c r="I371" s="389"/>
      <c r="J371" s="389"/>
      <c r="K371" s="389"/>
      <c r="L371" s="389"/>
      <c r="M371" s="389"/>
      <c r="N371" s="389"/>
      <c r="O371" s="389"/>
      <c r="P371" s="389"/>
      <c r="Q371" s="389"/>
      <c r="R371" s="389"/>
      <c r="S371" s="389"/>
      <c r="T371" s="389"/>
      <c r="U371" s="389"/>
      <c r="V371" s="389"/>
      <c r="W371" s="389"/>
      <c r="X371" s="389"/>
      <c r="Y371" s="389"/>
      <c r="Z371" s="389"/>
      <c r="AA371" s="389"/>
      <c r="AB371" s="389"/>
      <c r="AC371" s="389"/>
      <c r="AD371" s="389"/>
      <c r="AE371" s="389"/>
      <c r="AF371" s="389"/>
      <c r="AG371" s="389"/>
    </row>
    <row r="372">
      <c r="A372" s="389"/>
      <c r="B372" s="389"/>
      <c r="C372" s="389"/>
      <c r="D372" s="390"/>
      <c r="E372" s="389"/>
      <c r="F372" s="392"/>
      <c r="G372" s="389"/>
      <c r="H372" s="389"/>
      <c r="I372" s="389"/>
      <c r="J372" s="389"/>
      <c r="K372" s="389"/>
      <c r="L372" s="389"/>
      <c r="M372" s="389"/>
      <c r="N372" s="389"/>
      <c r="O372" s="389"/>
      <c r="P372" s="389"/>
      <c r="Q372" s="389"/>
      <c r="R372" s="389"/>
      <c r="S372" s="389"/>
      <c r="T372" s="389"/>
      <c r="U372" s="389"/>
      <c r="V372" s="389"/>
      <c r="W372" s="389"/>
      <c r="X372" s="389"/>
      <c r="Y372" s="389"/>
      <c r="Z372" s="389"/>
      <c r="AA372" s="389"/>
      <c r="AB372" s="389"/>
      <c r="AC372" s="389"/>
      <c r="AD372" s="389"/>
      <c r="AE372" s="389"/>
      <c r="AF372" s="389"/>
      <c r="AG372" s="389"/>
    </row>
    <row r="373">
      <c r="A373" s="389"/>
      <c r="B373" s="389"/>
      <c r="C373" s="389"/>
      <c r="D373" s="390"/>
      <c r="E373" s="389"/>
      <c r="F373" s="392"/>
      <c r="G373" s="389"/>
      <c r="H373" s="389"/>
      <c r="I373" s="389"/>
      <c r="J373" s="389"/>
      <c r="K373" s="389"/>
      <c r="L373" s="389"/>
      <c r="M373" s="389"/>
      <c r="N373" s="389"/>
      <c r="O373" s="389"/>
      <c r="P373" s="389"/>
      <c r="Q373" s="389"/>
      <c r="R373" s="389"/>
      <c r="S373" s="389"/>
      <c r="T373" s="389"/>
      <c r="U373" s="389"/>
      <c r="V373" s="389"/>
      <c r="W373" s="389"/>
      <c r="X373" s="389"/>
      <c r="Y373" s="389"/>
      <c r="Z373" s="389"/>
      <c r="AA373" s="389"/>
      <c r="AB373" s="389"/>
      <c r="AC373" s="389"/>
      <c r="AD373" s="389"/>
      <c r="AE373" s="389"/>
      <c r="AF373" s="389"/>
      <c r="AG373" s="389"/>
    </row>
    <row r="374">
      <c r="A374" s="389"/>
      <c r="B374" s="389"/>
      <c r="C374" s="389"/>
      <c r="D374" s="390"/>
      <c r="E374" s="389"/>
      <c r="F374" s="392"/>
      <c r="G374" s="389"/>
      <c r="H374" s="389"/>
      <c r="I374" s="389"/>
      <c r="J374" s="389"/>
      <c r="K374" s="389"/>
      <c r="L374" s="389"/>
      <c r="M374" s="389"/>
      <c r="N374" s="389"/>
      <c r="O374" s="389"/>
      <c r="P374" s="389"/>
      <c r="Q374" s="389"/>
      <c r="R374" s="389"/>
      <c r="S374" s="389"/>
      <c r="T374" s="389"/>
      <c r="U374" s="389"/>
      <c r="V374" s="389"/>
      <c r="W374" s="389"/>
      <c r="X374" s="389"/>
      <c r="Y374" s="389"/>
      <c r="Z374" s="389"/>
      <c r="AA374" s="389"/>
      <c r="AB374" s="389"/>
      <c r="AC374" s="389"/>
      <c r="AD374" s="389"/>
      <c r="AE374" s="389"/>
      <c r="AF374" s="389"/>
      <c r="AG374" s="389"/>
    </row>
    <row r="375">
      <c r="A375" s="389"/>
      <c r="B375" s="389"/>
      <c r="C375" s="389"/>
      <c r="D375" s="390"/>
      <c r="E375" s="389"/>
      <c r="F375" s="392"/>
      <c r="G375" s="389"/>
      <c r="H375" s="389"/>
      <c r="I375" s="389"/>
      <c r="J375" s="389"/>
      <c r="K375" s="389"/>
      <c r="L375" s="389"/>
      <c r="M375" s="389"/>
      <c r="N375" s="389"/>
      <c r="O375" s="389"/>
      <c r="P375" s="389"/>
      <c r="Q375" s="389"/>
      <c r="R375" s="389"/>
      <c r="S375" s="389"/>
      <c r="T375" s="389"/>
      <c r="U375" s="389"/>
      <c r="V375" s="389"/>
      <c r="W375" s="389"/>
      <c r="X375" s="389"/>
      <c r="Y375" s="389"/>
      <c r="Z375" s="389"/>
      <c r="AA375" s="389"/>
      <c r="AB375" s="389"/>
      <c r="AC375" s="389"/>
      <c r="AD375" s="389"/>
      <c r="AE375" s="389"/>
      <c r="AF375" s="389"/>
      <c r="AG375" s="389"/>
    </row>
    <row r="376">
      <c r="A376" s="389"/>
      <c r="B376" s="389"/>
      <c r="C376" s="389"/>
      <c r="D376" s="390"/>
      <c r="E376" s="389"/>
      <c r="F376" s="392"/>
      <c r="G376" s="389"/>
      <c r="H376" s="389"/>
      <c r="I376" s="389"/>
      <c r="J376" s="389"/>
      <c r="K376" s="389"/>
      <c r="L376" s="389"/>
      <c r="M376" s="389"/>
      <c r="N376" s="389"/>
      <c r="O376" s="389"/>
      <c r="P376" s="389"/>
      <c r="Q376" s="389"/>
      <c r="R376" s="389"/>
      <c r="S376" s="389"/>
      <c r="T376" s="389"/>
      <c r="U376" s="389"/>
      <c r="V376" s="389"/>
      <c r="W376" s="389"/>
      <c r="X376" s="389"/>
      <c r="Y376" s="389"/>
      <c r="Z376" s="389"/>
      <c r="AA376" s="389"/>
      <c r="AB376" s="389"/>
      <c r="AC376" s="389"/>
      <c r="AD376" s="389"/>
      <c r="AE376" s="389"/>
      <c r="AF376" s="389"/>
      <c r="AG376" s="389"/>
    </row>
    <row r="377">
      <c r="A377" s="389"/>
      <c r="B377" s="389"/>
      <c r="C377" s="389"/>
      <c r="D377" s="390"/>
      <c r="E377" s="389"/>
      <c r="F377" s="392"/>
      <c r="G377" s="389"/>
      <c r="H377" s="389"/>
      <c r="I377" s="389"/>
      <c r="J377" s="389"/>
      <c r="K377" s="389"/>
      <c r="L377" s="389"/>
      <c r="M377" s="389"/>
      <c r="N377" s="389"/>
      <c r="O377" s="389"/>
      <c r="P377" s="389"/>
      <c r="Q377" s="389"/>
      <c r="R377" s="389"/>
      <c r="S377" s="389"/>
      <c r="T377" s="389"/>
      <c r="U377" s="389"/>
      <c r="V377" s="389"/>
      <c r="W377" s="389"/>
      <c r="X377" s="389"/>
      <c r="Y377" s="389"/>
      <c r="Z377" s="389"/>
      <c r="AA377" s="389"/>
      <c r="AB377" s="389"/>
      <c r="AC377" s="389"/>
      <c r="AD377" s="389"/>
      <c r="AE377" s="389"/>
      <c r="AF377" s="389"/>
      <c r="AG377" s="389"/>
    </row>
    <row r="378">
      <c r="A378" s="389"/>
      <c r="B378" s="389"/>
      <c r="C378" s="389"/>
      <c r="D378" s="390"/>
      <c r="E378" s="389"/>
      <c r="F378" s="392"/>
      <c r="G378" s="389"/>
      <c r="H378" s="389"/>
      <c r="I378" s="389"/>
      <c r="J378" s="389"/>
      <c r="K378" s="389"/>
      <c r="L378" s="389"/>
      <c r="M378" s="389"/>
      <c r="N378" s="389"/>
      <c r="O378" s="389"/>
      <c r="P378" s="389"/>
      <c r="Q378" s="389"/>
      <c r="R378" s="389"/>
      <c r="S378" s="389"/>
      <c r="T378" s="389"/>
      <c r="U378" s="389"/>
      <c r="V378" s="389"/>
      <c r="W378" s="389"/>
      <c r="X378" s="389"/>
      <c r="Y378" s="389"/>
      <c r="Z378" s="389"/>
      <c r="AA378" s="389"/>
      <c r="AB378" s="389"/>
      <c r="AC378" s="389"/>
      <c r="AD378" s="389"/>
      <c r="AE378" s="389"/>
      <c r="AF378" s="389"/>
      <c r="AG378" s="389"/>
    </row>
    <row r="379">
      <c r="A379" s="389"/>
      <c r="B379" s="389"/>
      <c r="C379" s="389"/>
      <c r="D379" s="390"/>
      <c r="E379" s="389"/>
      <c r="F379" s="392"/>
      <c r="G379" s="389"/>
      <c r="H379" s="389"/>
      <c r="I379" s="389"/>
      <c r="J379" s="389"/>
      <c r="K379" s="389"/>
      <c r="L379" s="389"/>
      <c r="M379" s="389"/>
      <c r="N379" s="389"/>
      <c r="O379" s="389"/>
      <c r="P379" s="389"/>
      <c r="Q379" s="389"/>
      <c r="R379" s="389"/>
      <c r="S379" s="389"/>
      <c r="T379" s="389"/>
      <c r="U379" s="389"/>
      <c r="V379" s="389"/>
      <c r="W379" s="389"/>
      <c r="X379" s="389"/>
      <c r="Y379" s="389"/>
      <c r="Z379" s="389"/>
      <c r="AA379" s="389"/>
      <c r="AB379" s="389"/>
      <c r="AC379" s="389"/>
      <c r="AD379" s="389"/>
      <c r="AE379" s="389"/>
      <c r="AF379" s="389"/>
      <c r="AG379" s="389"/>
    </row>
    <row r="380">
      <c r="A380" s="389"/>
      <c r="B380" s="389"/>
      <c r="C380" s="389"/>
      <c r="D380" s="390"/>
      <c r="E380" s="389"/>
      <c r="F380" s="392"/>
      <c r="G380" s="389"/>
      <c r="H380" s="389"/>
      <c r="I380" s="389"/>
      <c r="J380" s="389"/>
      <c r="K380" s="389"/>
      <c r="L380" s="389"/>
      <c r="M380" s="389"/>
      <c r="N380" s="389"/>
      <c r="O380" s="389"/>
      <c r="P380" s="389"/>
      <c r="Q380" s="389"/>
      <c r="R380" s="389"/>
      <c r="S380" s="389"/>
      <c r="T380" s="389"/>
      <c r="U380" s="389"/>
      <c r="V380" s="389"/>
      <c r="W380" s="389"/>
      <c r="X380" s="389"/>
      <c r="Y380" s="389"/>
      <c r="Z380" s="389"/>
      <c r="AA380" s="389"/>
      <c r="AB380" s="389"/>
      <c r="AC380" s="389"/>
      <c r="AD380" s="389"/>
      <c r="AE380" s="389"/>
      <c r="AF380" s="389"/>
      <c r="AG380" s="389"/>
    </row>
    <row r="381">
      <c r="A381" s="389"/>
      <c r="B381" s="389"/>
      <c r="C381" s="389"/>
      <c r="D381" s="390"/>
      <c r="E381" s="389"/>
      <c r="F381" s="392"/>
      <c r="G381" s="389"/>
      <c r="H381" s="389"/>
      <c r="I381" s="389"/>
      <c r="J381" s="389"/>
      <c r="K381" s="389"/>
      <c r="L381" s="389"/>
      <c r="M381" s="389"/>
      <c r="N381" s="389"/>
      <c r="O381" s="389"/>
      <c r="P381" s="389"/>
      <c r="Q381" s="389"/>
      <c r="R381" s="389"/>
      <c r="S381" s="389"/>
      <c r="T381" s="389"/>
      <c r="U381" s="389"/>
      <c r="V381" s="389"/>
      <c r="W381" s="389"/>
      <c r="X381" s="389"/>
      <c r="Y381" s="389"/>
      <c r="Z381" s="389"/>
      <c r="AA381" s="389"/>
      <c r="AB381" s="389"/>
      <c r="AC381" s="389"/>
      <c r="AD381" s="389"/>
      <c r="AE381" s="389"/>
      <c r="AF381" s="389"/>
      <c r="AG381" s="389"/>
    </row>
    <row r="382">
      <c r="A382" s="389"/>
      <c r="B382" s="389"/>
      <c r="C382" s="389"/>
      <c r="D382" s="390"/>
      <c r="E382" s="389"/>
      <c r="F382" s="392"/>
      <c r="G382" s="389"/>
      <c r="H382" s="389"/>
      <c r="I382" s="389"/>
      <c r="J382" s="389"/>
      <c r="K382" s="389"/>
      <c r="L382" s="389"/>
      <c r="M382" s="389"/>
      <c r="N382" s="389"/>
      <c r="O382" s="389"/>
      <c r="P382" s="389"/>
      <c r="Q382" s="389"/>
      <c r="R382" s="389"/>
      <c r="S382" s="389"/>
      <c r="T382" s="389"/>
      <c r="U382" s="389"/>
      <c r="V382" s="389"/>
      <c r="W382" s="389"/>
      <c r="X382" s="389"/>
      <c r="Y382" s="389"/>
      <c r="Z382" s="389"/>
      <c r="AA382" s="389"/>
      <c r="AB382" s="389"/>
      <c r="AC382" s="389"/>
      <c r="AD382" s="389"/>
      <c r="AE382" s="389"/>
      <c r="AF382" s="389"/>
      <c r="AG382" s="389"/>
    </row>
    <row r="383">
      <c r="A383" s="389"/>
      <c r="B383" s="389"/>
      <c r="C383" s="389"/>
      <c r="D383" s="390"/>
      <c r="E383" s="389"/>
      <c r="F383" s="392"/>
      <c r="G383" s="389"/>
      <c r="H383" s="389"/>
      <c r="I383" s="389"/>
      <c r="J383" s="389"/>
      <c r="K383" s="389"/>
      <c r="L383" s="389"/>
      <c r="M383" s="389"/>
      <c r="N383" s="389"/>
      <c r="O383" s="389"/>
      <c r="P383" s="389"/>
      <c r="Q383" s="389"/>
      <c r="R383" s="389"/>
      <c r="S383" s="389"/>
      <c r="T383" s="389"/>
      <c r="U383" s="389"/>
      <c r="V383" s="389"/>
      <c r="W383" s="389"/>
      <c r="X383" s="389"/>
      <c r="Y383" s="389"/>
      <c r="Z383" s="389"/>
      <c r="AA383" s="389"/>
      <c r="AB383" s="389"/>
      <c r="AC383" s="389"/>
      <c r="AD383" s="389"/>
      <c r="AE383" s="389"/>
      <c r="AF383" s="389"/>
      <c r="AG383" s="389"/>
    </row>
    <row r="384">
      <c r="A384" s="389"/>
      <c r="B384" s="389"/>
      <c r="C384" s="389"/>
      <c r="D384" s="390"/>
      <c r="E384" s="389"/>
      <c r="F384" s="392"/>
      <c r="G384" s="389"/>
      <c r="H384" s="389"/>
      <c r="I384" s="389"/>
      <c r="J384" s="389"/>
      <c r="K384" s="389"/>
      <c r="L384" s="389"/>
      <c r="M384" s="389"/>
      <c r="N384" s="389"/>
      <c r="O384" s="389"/>
      <c r="P384" s="389"/>
      <c r="Q384" s="389"/>
      <c r="R384" s="389"/>
      <c r="S384" s="389"/>
      <c r="T384" s="389"/>
      <c r="U384" s="389"/>
      <c r="V384" s="389"/>
      <c r="W384" s="389"/>
      <c r="X384" s="389"/>
      <c r="Y384" s="389"/>
      <c r="Z384" s="389"/>
      <c r="AA384" s="389"/>
      <c r="AB384" s="389"/>
      <c r="AC384" s="389"/>
      <c r="AD384" s="389"/>
      <c r="AE384" s="389"/>
      <c r="AF384" s="389"/>
      <c r="AG384" s="389"/>
    </row>
    <row r="385">
      <c r="A385" s="389"/>
      <c r="B385" s="389"/>
      <c r="C385" s="389"/>
      <c r="D385" s="390"/>
      <c r="E385" s="389"/>
      <c r="F385" s="392"/>
      <c r="G385" s="389"/>
      <c r="H385" s="389"/>
      <c r="I385" s="389"/>
      <c r="J385" s="389"/>
      <c r="K385" s="389"/>
      <c r="L385" s="389"/>
      <c r="M385" s="389"/>
      <c r="N385" s="389"/>
      <c r="O385" s="389"/>
      <c r="P385" s="389"/>
      <c r="Q385" s="389"/>
      <c r="R385" s="389"/>
      <c r="S385" s="389"/>
      <c r="T385" s="389"/>
      <c r="U385" s="389"/>
      <c r="V385" s="389"/>
      <c r="W385" s="389"/>
      <c r="X385" s="389"/>
      <c r="Y385" s="389"/>
      <c r="Z385" s="389"/>
      <c r="AA385" s="389"/>
      <c r="AB385" s="389"/>
      <c r="AC385" s="389"/>
      <c r="AD385" s="389"/>
      <c r="AE385" s="389"/>
      <c r="AF385" s="389"/>
      <c r="AG385" s="389"/>
    </row>
    <row r="386">
      <c r="A386" s="389"/>
      <c r="B386" s="389"/>
      <c r="C386" s="389"/>
      <c r="D386" s="390"/>
      <c r="E386" s="389"/>
      <c r="F386" s="392"/>
      <c r="G386" s="389"/>
      <c r="H386" s="389"/>
      <c r="I386" s="389"/>
      <c r="J386" s="389"/>
      <c r="K386" s="389"/>
      <c r="L386" s="389"/>
      <c r="M386" s="389"/>
      <c r="N386" s="389"/>
      <c r="O386" s="389"/>
      <c r="P386" s="389"/>
      <c r="Q386" s="389"/>
      <c r="R386" s="389"/>
      <c r="S386" s="389"/>
      <c r="T386" s="389"/>
      <c r="U386" s="389"/>
      <c r="V386" s="389"/>
      <c r="W386" s="389"/>
      <c r="X386" s="389"/>
      <c r="Y386" s="389"/>
      <c r="Z386" s="389"/>
      <c r="AA386" s="389"/>
      <c r="AB386" s="389"/>
      <c r="AC386" s="389"/>
      <c r="AD386" s="389"/>
      <c r="AE386" s="389"/>
      <c r="AF386" s="389"/>
      <c r="AG386" s="389"/>
    </row>
    <row r="387">
      <c r="A387" s="389"/>
      <c r="B387" s="389"/>
      <c r="C387" s="389"/>
      <c r="D387" s="390"/>
      <c r="E387" s="389"/>
      <c r="F387" s="392"/>
      <c r="G387" s="389"/>
      <c r="H387" s="389"/>
      <c r="I387" s="389"/>
      <c r="J387" s="389"/>
      <c r="K387" s="389"/>
      <c r="L387" s="389"/>
      <c r="M387" s="389"/>
      <c r="N387" s="389"/>
      <c r="O387" s="389"/>
      <c r="P387" s="389"/>
      <c r="Q387" s="389"/>
      <c r="R387" s="389"/>
      <c r="S387" s="389"/>
      <c r="T387" s="389"/>
      <c r="U387" s="389"/>
      <c r="V387" s="389"/>
      <c r="W387" s="389"/>
      <c r="X387" s="389"/>
      <c r="Y387" s="389"/>
      <c r="Z387" s="389"/>
      <c r="AA387" s="389"/>
      <c r="AB387" s="389"/>
      <c r="AC387" s="389"/>
      <c r="AD387" s="389"/>
      <c r="AE387" s="389"/>
      <c r="AF387" s="389"/>
      <c r="AG387" s="389"/>
    </row>
    <row r="388">
      <c r="A388" s="389"/>
      <c r="B388" s="389"/>
      <c r="C388" s="389"/>
      <c r="D388" s="390"/>
      <c r="E388" s="389"/>
      <c r="F388" s="392"/>
      <c r="G388" s="389"/>
      <c r="H388" s="389"/>
      <c r="I388" s="389"/>
      <c r="J388" s="389"/>
      <c r="K388" s="389"/>
      <c r="L388" s="389"/>
      <c r="M388" s="389"/>
      <c r="N388" s="389"/>
      <c r="O388" s="389"/>
      <c r="P388" s="389"/>
      <c r="Q388" s="389"/>
      <c r="R388" s="389"/>
      <c r="S388" s="389"/>
      <c r="T388" s="389"/>
      <c r="U388" s="389"/>
      <c r="V388" s="389"/>
      <c r="W388" s="389"/>
      <c r="X388" s="389"/>
      <c r="Y388" s="389"/>
      <c r="Z388" s="389"/>
      <c r="AA388" s="389"/>
      <c r="AB388" s="389"/>
      <c r="AC388" s="389"/>
      <c r="AD388" s="389"/>
      <c r="AE388" s="389"/>
      <c r="AF388" s="389"/>
      <c r="AG388" s="389"/>
    </row>
    <row r="389">
      <c r="A389" s="389"/>
      <c r="B389" s="389"/>
      <c r="C389" s="389"/>
      <c r="D389" s="390"/>
      <c r="E389" s="389"/>
      <c r="F389" s="392"/>
      <c r="G389" s="389"/>
      <c r="H389" s="389"/>
      <c r="I389" s="389"/>
      <c r="J389" s="389"/>
      <c r="K389" s="389"/>
      <c r="L389" s="389"/>
      <c r="M389" s="389"/>
      <c r="N389" s="389"/>
      <c r="O389" s="389"/>
      <c r="P389" s="389"/>
      <c r="Q389" s="389"/>
      <c r="R389" s="389"/>
      <c r="S389" s="389"/>
      <c r="T389" s="389"/>
      <c r="U389" s="389"/>
      <c r="V389" s="389"/>
      <c r="W389" s="389"/>
      <c r="X389" s="389"/>
      <c r="Y389" s="389"/>
      <c r="Z389" s="389"/>
      <c r="AA389" s="389"/>
      <c r="AB389" s="389"/>
      <c r="AC389" s="389"/>
      <c r="AD389" s="389"/>
      <c r="AE389" s="389"/>
      <c r="AF389" s="389"/>
      <c r="AG389" s="389"/>
    </row>
    <row r="390">
      <c r="A390" s="389"/>
      <c r="B390" s="389"/>
      <c r="C390" s="389"/>
      <c r="D390" s="390"/>
      <c r="E390" s="389"/>
      <c r="F390" s="392"/>
      <c r="G390" s="389"/>
      <c r="H390" s="389"/>
      <c r="I390" s="389"/>
      <c r="J390" s="389"/>
      <c r="K390" s="389"/>
      <c r="L390" s="389"/>
      <c r="M390" s="389"/>
      <c r="N390" s="389"/>
      <c r="O390" s="389"/>
      <c r="P390" s="389"/>
      <c r="Q390" s="389"/>
      <c r="R390" s="389"/>
      <c r="S390" s="389"/>
      <c r="T390" s="389"/>
      <c r="U390" s="389"/>
      <c r="V390" s="389"/>
      <c r="W390" s="389"/>
      <c r="X390" s="389"/>
      <c r="Y390" s="389"/>
      <c r="Z390" s="389"/>
      <c r="AA390" s="389"/>
      <c r="AB390" s="389"/>
      <c r="AC390" s="389"/>
      <c r="AD390" s="389"/>
      <c r="AE390" s="389"/>
      <c r="AF390" s="389"/>
      <c r="AG390" s="389"/>
    </row>
    <row r="391">
      <c r="A391" s="389"/>
      <c r="B391" s="389"/>
      <c r="C391" s="389"/>
      <c r="D391" s="390"/>
      <c r="E391" s="389"/>
      <c r="F391" s="392"/>
      <c r="G391" s="389"/>
      <c r="H391" s="389"/>
      <c r="I391" s="389"/>
      <c r="J391" s="389"/>
      <c r="K391" s="389"/>
      <c r="L391" s="389"/>
      <c r="M391" s="389"/>
      <c r="N391" s="389"/>
      <c r="O391" s="389"/>
      <c r="P391" s="389"/>
      <c r="Q391" s="389"/>
      <c r="R391" s="389"/>
      <c r="S391" s="389"/>
      <c r="T391" s="389"/>
      <c r="U391" s="389"/>
      <c r="V391" s="389"/>
      <c r="W391" s="389"/>
      <c r="X391" s="389"/>
      <c r="Y391" s="389"/>
      <c r="Z391" s="389"/>
      <c r="AA391" s="389"/>
      <c r="AB391" s="389"/>
      <c r="AC391" s="389"/>
      <c r="AD391" s="389"/>
      <c r="AE391" s="389"/>
      <c r="AF391" s="389"/>
      <c r="AG391" s="389"/>
    </row>
    <row r="392">
      <c r="A392" s="389"/>
      <c r="B392" s="389"/>
      <c r="C392" s="389"/>
      <c r="D392" s="390"/>
      <c r="E392" s="389"/>
      <c r="F392" s="392"/>
      <c r="G392" s="389"/>
      <c r="H392" s="389"/>
      <c r="I392" s="389"/>
      <c r="J392" s="389"/>
      <c r="K392" s="389"/>
      <c r="L392" s="389"/>
      <c r="M392" s="389"/>
      <c r="N392" s="389"/>
      <c r="O392" s="389"/>
      <c r="P392" s="389"/>
      <c r="Q392" s="389"/>
      <c r="R392" s="389"/>
      <c r="S392" s="389"/>
      <c r="T392" s="389"/>
      <c r="U392" s="389"/>
      <c r="V392" s="389"/>
      <c r="W392" s="389"/>
      <c r="X392" s="389"/>
      <c r="Y392" s="389"/>
      <c r="Z392" s="389"/>
      <c r="AA392" s="389"/>
      <c r="AB392" s="389"/>
      <c r="AC392" s="389"/>
      <c r="AD392" s="389"/>
      <c r="AE392" s="389"/>
      <c r="AF392" s="389"/>
      <c r="AG392" s="389"/>
    </row>
    <row r="393">
      <c r="A393" s="389"/>
      <c r="B393" s="389"/>
      <c r="C393" s="389"/>
      <c r="D393" s="390"/>
      <c r="E393" s="389"/>
      <c r="F393" s="392"/>
      <c r="G393" s="389"/>
      <c r="H393" s="389"/>
      <c r="I393" s="389"/>
      <c r="J393" s="389"/>
      <c r="K393" s="389"/>
      <c r="L393" s="389"/>
      <c r="M393" s="389"/>
      <c r="N393" s="389"/>
      <c r="O393" s="389"/>
      <c r="P393" s="389"/>
      <c r="Q393" s="389"/>
      <c r="R393" s="389"/>
      <c r="S393" s="389"/>
      <c r="T393" s="389"/>
      <c r="U393" s="389"/>
      <c r="V393" s="389"/>
      <c r="W393" s="389"/>
      <c r="X393" s="389"/>
      <c r="Y393" s="389"/>
      <c r="Z393" s="389"/>
      <c r="AA393" s="389"/>
      <c r="AB393" s="389"/>
      <c r="AC393" s="389"/>
      <c r="AD393" s="389"/>
      <c r="AE393" s="389"/>
      <c r="AF393" s="389"/>
      <c r="AG393" s="389"/>
    </row>
    <row r="394">
      <c r="A394" s="389"/>
      <c r="B394" s="389"/>
      <c r="C394" s="389"/>
      <c r="D394" s="390"/>
      <c r="E394" s="389"/>
      <c r="F394" s="392"/>
      <c r="G394" s="389"/>
      <c r="H394" s="389"/>
      <c r="I394" s="389"/>
      <c r="J394" s="389"/>
      <c r="K394" s="389"/>
      <c r="L394" s="389"/>
      <c r="M394" s="389"/>
      <c r="N394" s="389"/>
      <c r="O394" s="389"/>
      <c r="P394" s="389"/>
      <c r="Q394" s="389"/>
      <c r="R394" s="389"/>
      <c r="S394" s="389"/>
      <c r="T394" s="389"/>
      <c r="U394" s="389"/>
      <c r="V394" s="389"/>
      <c r="W394" s="389"/>
      <c r="X394" s="389"/>
      <c r="Y394" s="389"/>
      <c r="Z394" s="389"/>
      <c r="AA394" s="389"/>
      <c r="AB394" s="389"/>
      <c r="AC394" s="389"/>
      <c r="AD394" s="389"/>
      <c r="AE394" s="389"/>
      <c r="AF394" s="389"/>
      <c r="AG394" s="389"/>
    </row>
    <row r="395">
      <c r="A395" s="389"/>
      <c r="B395" s="389"/>
      <c r="C395" s="389"/>
      <c r="D395" s="390"/>
      <c r="E395" s="389"/>
      <c r="F395" s="392"/>
      <c r="G395" s="389"/>
      <c r="H395" s="389"/>
      <c r="I395" s="389"/>
      <c r="J395" s="389"/>
      <c r="K395" s="389"/>
      <c r="L395" s="389"/>
      <c r="M395" s="389"/>
      <c r="N395" s="389"/>
      <c r="O395" s="389"/>
      <c r="P395" s="389"/>
      <c r="Q395" s="389"/>
      <c r="R395" s="389"/>
      <c r="S395" s="389"/>
      <c r="T395" s="389"/>
      <c r="U395" s="389"/>
      <c r="V395" s="389"/>
      <c r="W395" s="389"/>
      <c r="X395" s="389"/>
      <c r="Y395" s="389"/>
      <c r="Z395" s="389"/>
      <c r="AA395" s="389"/>
      <c r="AB395" s="389"/>
      <c r="AC395" s="389"/>
      <c r="AD395" s="389"/>
      <c r="AE395" s="389"/>
      <c r="AF395" s="389"/>
      <c r="AG395" s="389"/>
    </row>
    <row r="396">
      <c r="A396" s="389"/>
      <c r="B396" s="389"/>
      <c r="C396" s="389"/>
      <c r="D396" s="390"/>
      <c r="E396" s="389"/>
      <c r="F396" s="392"/>
      <c r="G396" s="389"/>
      <c r="H396" s="389"/>
      <c r="I396" s="389"/>
      <c r="J396" s="389"/>
      <c r="K396" s="389"/>
      <c r="L396" s="389"/>
      <c r="M396" s="389"/>
      <c r="N396" s="389"/>
      <c r="O396" s="389"/>
      <c r="P396" s="389"/>
      <c r="Q396" s="389"/>
      <c r="R396" s="389"/>
      <c r="S396" s="389"/>
      <c r="T396" s="389"/>
      <c r="U396" s="389"/>
      <c r="V396" s="389"/>
      <c r="W396" s="389"/>
      <c r="X396" s="389"/>
      <c r="Y396" s="389"/>
      <c r="Z396" s="389"/>
      <c r="AA396" s="389"/>
      <c r="AB396" s="389"/>
      <c r="AC396" s="389"/>
      <c r="AD396" s="389"/>
      <c r="AE396" s="389"/>
      <c r="AF396" s="389"/>
      <c r="AG396" s="389"/>
    </row>
    <row r="397">
      <c r="A397" s="389"/>
      <c r="B397" s="389"/>
      <c r="C397" s="389"/>
      <c r="D397" s="390"/>
      <c r="E397" s="389"/>
      <c r="F397" s="392"/>
      <c r="G397" s="389"/>
      <c r="H397" s="389"/>
      <c r="I397" s="389"/>
      <c r="J397" s="389"/>
      <c r="K397" s="389"/>
      <c r="L397" s="389"/>
      <c r="M397" s="389"/>
      <c r="N397" s="389"/>
      <c r="O397" s="389"/>
      <c r="P397" s="389"/>
      <c r="Q397" s="389"/>
      <c r="R397" s="389"/>
      <c r="S397" s="389"/>
      <c r="T397" s="389"/>
      <c r="U397" s="389"/>
      <c r="V397" s="389"/>
      <c r="W397" s="389"/>
      <c r="X397" s="389"/>
      <c r="Y397" s="389"/>
      <c r="Z397" s="389"/>
      <c r="AA397" s="389"/>
      <c r="AB397" s="389"/>
      <c r="AC397" s="389"/>
      <c r="AD397" s="389"/>
      <c r="AE397" s="389"/>
      <c r="AF397" s="389"/>
      <c r="AG397" s="389"/>
    </row>
    <row r="398">
      <c r="A398" s="389"/>
      <c r="B398" s="389"/>
      <c r="C398" s="389"/>
      <c r="D398" s="390"/>
      <c r="E398" s="389"/>
      <c r="F398" s="392"/>
      <c r="G398" s="389"/>
      <c r="H398" s="389"/>
      <c r="I398" s="389"/>
      <c r="J398" s="389"/>
      <c r="K398" s="389"/>
      <c r="L398" s="389"/>
      <c r="M398" s="389"/>
      <c r="N398" s="389"/>
      <c r="O398" s="389"/>
      <c r="P398" s="389"/>
      <c r="Q398" s="389"/>
      <c r="R398" s="389"/>
      <c r="S398" s="389"/>
      <c r="T398" s="389"/>
      <c r="U398" s="389"/>
      <c r="V398" s="389"/>
      <c r="W398" s="389"/>
      <c r="X398" s="389"/>
      <c r="Y398" s="389"/>
      <c r="Z398" s="389"/>
      <c r="AA398" s="389"/>
      <c r="AB398" s="389"/>
      <c r="AC398" s="389"/>
      <c r="AD398" s="389"/>
      <c r="AE398" s="389"/>
      <c r="AF398" s="389"/>
      <c r="AG398" s="389"/>
    </row>
    <row r="399">
      <c r="A399" s="389"/>
      <c r="B399" s="389"/>
      <c r="C399" s="389"/>
      <c r="D399" s="390"/>
      <c r="E399" s="389"/>
      <c r="F399" s="392"/>
      <c r="G399" s="389"/>
      <c r="H399" s="389"/>
      <c r="I399" s="389"/>
      <c r="J399" s="389"/>
      <c r="K399" s="389"/>
      <c r="L399" s="389"/>
      <c r="M399" s="389"/>
      <c r="N399" s="389"/>
      <c r="O399" s="389"/>
      <c r="P399" s="389"/>
      <c r="Q399" s="389"/>
      <c r="R399" s="389"/>
      <c r="S399" s="389"/>
      <c r="T399" s="389"/>
      <c r="U399" s="389"/>
      <c r="V399" s="389"/>
      <c r="W399" s="389"/>
      <c r="X399" s="389"/>
      <c r="Y399" s="389"/>
      <c r="Z399" s="389"/>
      <c r="AA399" s="389"/>
      <c r="AB399" s="389"/>
      <c r="AC399" s="389"/>
      <c r="AD399" s="389"/>
      <c r="AE399" s="389"/>
      <c r="AF399" s="389"/>
      <c r="AG399" s="389"/>
    </row>
    <row r="400">
      <c r="A400" s="389"/>
      <c r="B400" s="389"/>
      <c r="C400" s="389"/>
      <c r="D400" s="390"/>
      <c r="E400" s="389"/>
      <c r="F400" s="392"/>
      <c r="G400" s="389"/>
      <c r="H400" s="389"/>
      <c r="I400" s="389"/>
      <c r="J400" s="389"/>
      <c r="K400" s="389"/>
      <c r="L400" s="389"/>
      <c r="M400" s="389"/>
      <c r="N400" s="389"/>
      <c r="O400" s="389"/>
      <c r="P400" s="389"/>
      <c r="Q400" s="389"/>
      <c r="R400" s="389"/>
      <c r="S400" s="389"/>
      <c r="T400" s="389"/>
      <c r="U400" s="389"/>
      <c r="V400" s="389"/>
      <c r="W400" s="389"/>
      <c r="X400" s="389"/>
      <c r="Y400" s="389"/>
      <c r="Z400" s="389"/>
      <c r="AA400" s="389"/>
      <c r="AB400" s="389"/>
      <c r="AC400" s="389"/>
      <c r="AD400" s="389"/>
      <c r="AE400" s="389"/>
      <c r="AF400" s="389"/>
      <c r="AG400" s="389"/>
    </row>
    <row r="401">
      <c r="A401" s="389"/>
      <c r="B401" s="389"/>
      <c r="C401" s="389"/>
      <c r="D401" s="390"/>
      <c r="E401" s="389"/>
      <c r="F401" s="392"/>
      <c r="G401" s="389"/>
      <c r="H401" s="389"/>
      <c r="I401" s="389"/>
      <c r="J401" s="389"/>
      <c r="K401" s="389"/>
      <c r="L401" s="389"/>
      <c r="M401" s="389"/>
      <c r="N401" s="389"/>
      <c r="O401" s="389"/>
      <c r="P401" s="389"/>
      <c r="Q401" s="389"/>
      <c r="R401" s="389"/>
      <c r="S401" s="389"/>
      <c r="T401" s="389"/>
      <c r="U401" s="389"/>
      <c r="V401" s="389"/>
      <c r="W401" s="389"/>
      <c r="X401" s="389"/>
      <c r="Y401" s="389"/>
      <c r="Z401" s="389"/>
      <c r="AA401" s="389"/>
      <c r="AB401" s="389"/>
      <c r="AC401" s="389"/>
      <c r="AD401" s="389"/>
      <c r="AE401" s="389"/>
      <c r="AF401" s="389"/>
      <c r="AG401" s="389"/>
    </row>
    <row r="402">
      <c r="A402" s="389"/>
      <c r="B402" s="389"/>
      <c r="C402" s="389"/>
      <c r="D402" s="390"/>
      <c r="E402" s="389"/>
      <c r="F402" s="392"/>
      <c r="G402" s="389"/>
      <c r="H402" s="389"/>
      <c r="I402" s="389"/>
      <c r="J402" s="389"/>
      <c r="K402" s="389"/>
      <c r="L402" s="389"/>
      <c r="M402" s="389"/>
      <c r="N402" s="389"/>
      <c r="O402" s="389"/>
      <c r="P402" s="389"/>
      <c r="Q402" s="389"/>
      <c r="R402" s="389"/>
      <c r="S402" s="389"/>
      <c r="T402" s="389"/>
      <c r="U402" s="389"/>
      <c r="V402" s="389"/>
      <c r="W402" s="389"/>
      <c r="X402" s="389"/>
      <c r="Y402" s="389"/>
      <c r="Z402" s="389"/>
      <c r="AA402" s="389"/>
      <c r="AB402" s="389"/>
      <c r="AC402" s="389"/>
      <c r="AD402" s="389"/>
      <c r="AE402" s="389"/>
      <c r="AF402" s="389"/>
      <c r="AG402" s="389"/>
    </row>
    <row r="403">
      <c r="A403" s="389"/>
      <c r="B403" s="389"/>
      <c r="C403" s="389"/>
      <c r="D403" s="390"/>
      <c r="E403" s="389"/>
      <c r="F403" s="392"/>
      <c r="G403" s="389"/>
      <c r="H403" s="389"/>
      <c r="I403" s="389"/>
      <c r="J403" s="389"/>
      <c r="K403" s="389"/>
      <c r="L403" s="389"/>
      <c r="M403" s="389"/>
      <c r="N403" s="389"/>
      <c r="O403" s="389"/>
      <c r="P403" s="389"/>
      <c r="Q403" s="389"/>
      <c r="R403" s="389"/>
      <c r="S403" s="389"/>
      <c r="T403" s="389"/>
      <c r="U403" s="389"/>
      <c r="V403" s="389"/>
      <c r="W403" s="389"/>
      <c r="X403" s="389"/>
      <c r="Y403" s="389"/>
      <c r="Z403" s="389"/>
      <c r="AA403" s="389"/>
      <c r="AB403" s="389"/>
      <c r="AC403" s="389"/>
      <c r="AD403" s="389"/>
      <c r="AE403" s="389"/>
      <c r="AF403" s="389"/>
      <c r="AG403" s="389"/>
    </row>
    <row r="404">
      <c r="A404" s="389"/>
      <c r="B404" s="389"/>
      <c r="C404" s="389"/>
      <c r="D404" s="390"/>
      <c r="E404" s="389"/>
      <c r="F404" s="392"/>
      <c r="G404" s="389"/>
      <c r="H404" s="389"/>
      <c r="I404" s="389"/>
      <c r="J404" s="389"/>
      <c r="K404" s="389"/>
      <c r="L404" s="389"/>
      <c r="M404" s="389"/>
      <c r="N404" s="389"/>
      <c r="O404" s="389"/>
      <c r="P404" s="389"/>
      <c r="Q404" s="389"/>
      <c r="R404" s="389"/>
      <c r="S404" s="389"/>
      <c r="T404" s="389"/>
      <c r="U404" s="389"/>
      <c r="V404" s="389"/>
      <c r="W404" s="389"/>
      <c r="X404" s="389"/>
      <c r="Y404" s="389"/>
      <c r="Z404" s="389"/>
      <c r="AA404" s="389"/>
      <c r="AB404" s="389"/>
      <c r="AC404" s="389"/>
      <c r="AD404" s="389"/>
      <c r="AE404" s="389"/>
      <c r="AF404" s="389"/>
      <c r="AG404" s="389"/>
    </row>
    <row r="405">
      <c r="A405" s="389"/>
      <c r="B405" s="389"/>
      <c r="C405" s="389"/>
      <c r="D405" s="390"/>
      <c r="E405" s="389"/>
      <c r="F405" s="392"/>
      <c r="G405" s="389"/>
      <c r="H405" s="389"/>
      <c r="I405" s="389"/>
      <c r="J405" s="389"/>
      <c r="K405" s="389"/>
      <c r="L405" s="389"/>
      <c r="M405" s="389"/>
      <c r="N405" s="389"/>
      <c r="O405" s="389"/>
      <c r="P405" s="389"/>
      <c r="Q405" s="389"/>
      <c r="R405" s="389"/>
      <c r="S405" s="389"/>
      <c r="T405" s="389"/>
      <c r="U405" s="389"/>
      <c r="V405" s="389"/>
      <c r="W405" s="389"/>
      <c r="X405" s="389"/>
      <c r="Y405" s="389"/>
      <c r="Z405" s="389"/>
      <c r="AA405" s="389"/>
      <c r="AB405" s="389"/>
      <c r="AC405" s="389"/>
      <c r="AD405" s="389"/>
      <c r="AE405" s="389"/>
      <c r="AF405" s="389"/>
      <c r="AG405" s="389"/>
    </row>
    <row r="406">
      <c r="A406" s="389"/>
      <c r="B406" s="389"/>
      <c r="C406" s="389"/>
      <c r="D406" s="390"/>
      <c r="E406" s="389"/>
      <c r="F406" s="392"/>
      <c r="G406" s="389"/>
      <c r="H406" s="389"/>
      <c r="I406" s="389"/>
      <c r="J406" s="389"/>
      <c r="K406" s="389"/>
      <c r="L406" s="389"/>
      <c r="M406" s="389"/>
      <c r="N406" s="389"/>
      <c r="O406" s="389"/>
      <c r="P406" s="389"/>
      <c r="Q406" s="389"/>
      <c r="R406" s="389"/>
      <c r="S406" s="389"/>
      <c r="T406" s="389"/>
      <c r="U406" s="389"/>
      <c r="V406" s="389"/>
      <c r="W406" s="389"/>
      <c r="X406" s="389"/>
      <c r="Y406" s="389"/>
      <c r="Z406" s="389"/>
      <c r="AA406" s="389"/>
      <c r="AB406" s="389"/>
      <c r="AC406" s="389"/>
      <c r="AD406" s="389"/>
      <c r="AE406" s="389"/>
      <c r="AF406" s="389"/>
      <c r="AG406" s="389"/>
    </row>
    <row r="407">
      <c r="A407" s="389"/>
      <c r="B407" s="389"/>
      <c r="C407" s="389"/>
      <c r="D407" s="390"/>
      <c r="E407" s="389"/>
      <c r="F407" s="392"/>
      <c r="G407" s="389"/>
      <c r="H407" s="389"/>
      <c r="I407" s="389"/>
      <c r="J407" s="389"/>
      <c r="K407" s="389"/>
      <c r="L407" s="389"/>
      <c r="M407" s="389"/>
      <c r="N407" s="389"/>
      <c r="O407" s="389"/>
      <c r="P407" s="389"/>
      <c r="Q407" s="389"/>
      <c r="R407" s="389"/>
      <c r="S407" s="389"/>
      <c r="T407" s="389"/>
      <c r="U407" s="389"/>
      <c r="V407" s="389"/>
      <c r="W407" s="389"/>
      <c r="X407" s="389"/>
      <c r="Y407" s="389"/>
      <c r="Z407" s="389"/>
      <c r="AA407" s="389"/>
      <c r="AB407" s="389"/>
      <c r="AC407" s="389"/>
      <c r="AD407" s="389"/>
      <c r="AE407" s="389"/>
      <c r="AF407" s="389"/>
      <c r="AG407" s="389"/>
    </row>
    <row r="408">
      <c r="A408" s="389"/>
      <c r="B408" s="389"/>
      <c r="C408" s="389"/>
      <c r="D408" s="390"/>
      <c r="E408" s="389"/>
      <c r="F408" s="392"/>
      <c r="G408" s="389"/>
      <c r="H408" s="389"/>
      <c r="I408" s="389"/>
      <c r="J408" s="389"/>
      <c r="K408" s="389"/>
      <c r="L408" s="389"/>
      <c r="M408" s="389"/>
      <c r="N408" s="389"/>
      <c r="O408" s="389"/>
      <c r="P408" s="389"/>
      <c r="Q408" s="389"/>
      <c r="R408" s="389"/>
      <c r="S408" s="389"/>
      <c r="T408" s="389"/>
      <c r="U408" s="389"/>
      <c r="V408" s="389"/>
      <c r="W408" s="389"/>
      <c r="X408" s="389"/>
      <c r="Y408" s="389"/>
      <c r="Z408" s="389"/>
      <c r="AA408" s="389"/>
      <c r="AB408" s="389"/>
      <c r="AC408" s="389"/>
      <c r="AD408" s="389"/>
      <c r="AE408" s="389"/>
      <c r="AF408" s="389"/>
      <c r="AG408" s="389"/>
    </row>
    <row r="409">
      <c r="A409" s="389"/>
      <c r="B409" s="389"/>
      <c r="C409" s="389"/>
      <c r="D409" s="390"/>
      <c r="E409" s="389"/>
      <c r="F409" s="392"/>
      <c r="G409" s="389"/>
      <c r="H409" s="389"/>
      <c r="I409" s="389"/>
      <c r="J409" s="389"/>
      <c r="K409" s="389"/>
      <c r="L409" s="389"/>
      <c r="M409" s="389"/>
      <c r="N409" s="389"/>
      <c r="O409" s="389"/>
      <c r="P409" s="389"/>
      <c r="Q409" s="389"/>
      <c r="R409" s="389"/>
      <c r="S409" s="389"/>
      <c r="T409" s="389"/>
      <c r="U409" s="389"/>
      <c r="V409" s="389"/>
      <c r="W409" s="389"/>
      <c r="X409" s="389"/>
      <c r="Y409" s="389"/>
      <c r="Z409" s="389"/>
      <c r="AA409" s="389"/>
      <c r="AB409" s="389"/>
      <c r="AC409" s="389"/>
      <c r="AD409" s="389"/>
      <c r="AE409" s="389"/>
      <c r="AF409" s="389"/>
      <c r="AG409" s="389"/>
    </row>
    <row r="410">
      <c r="A410" s="389"/>
      <c r="B410" s="389"/>
      <c r="C410" s="389"/>
      <c r="D410" s="390"/>
      <c r="E410" s="389"/>
      <c r="F410" s="392"/>
      <c r="G410" s="389"/>
      <c r="H410" s="389"/>
      <c r="I410" s="389"/>
      <c r="J410" s="389"/>
      <c r="K410" s="389"/>
      <c r="L410" s="389"/>
      <c r="M410" s="389"/>
      <c r="N410" s="389"/>
      <c r="O410" s="389"/>
      <c r="P410" s="389"/>
      <c r="Q410" s="389"/>
      <c r="R410" s="389"/>
      <c r="S410" s="389"/>
      <c r="T410" s="389"/>
      <c r="U410" s="389"/>
      <c r="V410" s="389"/>
      <c r="W410" s="389"/>
      <c r="X410" s="389"/>
      <c r="Y410" s="389"/>
      <c r="Z410" s="389"/>
      <c r="AA410" s="389"/>
      <c r="AB410" s="389"/>
      <c r="AC410" s="389"/>
      <c r="AD410" s="389"/>
      <c r="AE410" s="389"/>
      <c r="AF410" s="389"/>
      <c r="AG410" s="389"/>
    </row>
    <row r="411">
      <c r="A411" s="389"/>
      <c r="B411" s="389"/>
      <c r="C411" s="389"/>
      <c r="D411" s="390"/>
      <c r="E411" s="389"/>
      <c r="F411" s="392"/>
      <c r="G411" s="389"/>
      <c r="H411" s="389"/>
      <c r="I411" s="389"/>
      <c r="J411" s="389"/>
      <c r="K411" s="389"/>
      <c r="L411" s="389"/>
      <c r="M411" s="389"/>
      <c r="N411" s="389"/>
      <c r="O411" s="389"/>
      <c r="P411" s="389"/>
      <c r="Q411" s="389"/>
      <c r="R411" s="389"/>
      <c r="S411" s="389"/>
      <c r="T411" s="389"/>
      <c r="U411" s="389"/>
      <c r="V411" s="389"/>
      <c r="W411" s="389"/>
      <c r="X411" s="389"/>
      <c r="Y411" s="389"/>
      <c r="Z411" s="389"/>
      <c r="AA411" s="389"/>
      <c r="AB411" s="389"/>
      <c r="AC411" s="389"/>
      <c r="AD411" s="389"/>
      <c r="AE411" s="389"/>
      <c r="AF411" s="389"/>
      <c r="AG411" s="389"/>
    </row>
    <row r="412">
      <c r="A412" s="389"/>
      <c r="B412" s="389"/>
      <c r="C412" s="389"/>
      <c r="D412" s="390"/>
      <c r="E412" s="389"/>
      <c r="F412" s="392"/>
      <c r="G412" s="389"/>
      <c r="H412" s="389"/>
      <c r="I412" s="389"/>
      <c r="J412" s="389"/>
      <c r="K412" s="389"/>
      <c r="L412" s="389"/>
      <c r="M412" s="389"/>
      <c r="N412" s="389"/>
      <c r="O412" s="389"/>
      <c r="P412" s="389"/>
      <c r="Q412" s="389"/>
      <c r="R412" s="389"/>
      <c r="S412" s="389"/>
      <c r="T412" s="389"/>
      <c r="U412" s="389"/>
      <c r="V412" s="389"/>
      <c r="W412" s="389"/>
      <c r="X412" s="389"/>
      <c r="Y412" s="389"/>
      <c r="Z412" s="389"/>
      <c r="AA412" s="389"/>
      <c r="AB412" s="389"/>
      <c r="AC412" s="389"/>
      <c r="AD412" s="389"/>
      <c r="AE412" s="389"/>
      <c r="AF412" s="389"/>
      <c r="AG412" s="389"/>
    </row>
    <row r="413">
      <c r="A413" s="389"/>
      <c r="B413" s="389"/>
      <c r="C413" s="389"/>
      <c r="D413" s="390"/>
      <c r="E413" s="389"/>
      <c r="F413" s="392"/>
      <c r="G413" s="389"/>
      <c r="H413" s="389"/>
      <c r="I413" s="389"/>
      <c r="J413" s="389"/>
      <c r="K413" s="389"/>
      <c r="L413" s="389"/>
      <c r="M413" s="389"/>
      <c r="N413" s="389"/>
      <c r="O413" s="389"/>
      <c r="P413" s="389"/>
      <c r="Q413" s="389"/>
      <c r="R413" s="389"/>
      <c r="S413" s="389"/>
      <c r="T413" s="389"/>
      <c r="U413" s="389"/>
      <c r="V413" s="389"/>
      <c r="W413" s="389"/>
      <c r="X413" s="389"/>
      <c r="Y413" s="389"/>
      <c r="Z413" s="389"/>
      <c r="AA413" s="389"/>
      <c r="AB413" s="389"/>
      <c r="AC413" s="389"/>
      <c r="AD413" s="389"/>
      <c r="AE413" s="389"/>
      <c r="AF413" s="389"/>
      <c r="AG413" s="389"/>
    </row>
    <row r="414">
      <c r="A414" s="389"/>
      <c r="B414" s="389"/>
      <c r="C414" s="389"/>
      <c r="D414" s="390"/>
      <c r="E414" s="389"/>
      <c r="F414" s="392"/>
      <c r="G414" s="389"/>
      <c r="H414" s="389"/>
      <c r="I414" s="389"/>
      <c r="J414" s="389"/>
      <c r="K414" s="389"/>
      <c r="L414" s="389"/>
      <c r="M414" s="389"/>
      <c r="N414" s="389"/>
      <c r="O414" s="389"/>
      <c r="P414" s="389"/>
      <c r="Q414" s="389"/>
      <c r="R414" s="389"/>
      <c r="S414" s="389"/>
      <c r="T414" s="389"/>
      <c r="U414" s="389"/>
      <c r="V414" s="389"/>
      <c r="W414" s="389"/>
      <c r="X414" s="389"/>
      <c r="Y414" s="389"/>
      <c r="Z414" s="389"/>
      <c r="AA414" s="389"/>
      <c r="AB414" s="389"/>
      <c r="AC414" s="389"/>
      <c r="AD414" s="389"/>
      <c r="AE414" s="389"/>
      <c r="AF414" s="389"/>
      <c r="AG414" s="389"/>
    </row>
    <row r="415">
      <c r="A415" s="389"/>
      <c r="B415" s="389"/>
      <c r="C415" s="389"/>
      <c r="D415" s="390"/>
      <c r="E415" s="389"/>
      <c r="F415" s="392"/>
      <c r="G415" s="389"/>
      <c r="H415" s="389"/>
      <c r="I415" s="389"/>
      <c r="J415" s="389"/>
      <c r="K415" s="389"/>
      <c r="L415" s="389"/>
      <c r="M415" s="389"/>
      <c r="N415" s="389"/>
      <c r="O415" s="389"/>
      <c r="P415" s="389"/>
      <c r="Q415" s="389"/>
      <c r="R415" s="389"/>
      <c r="S415" s="389"/>
      <c r="T415" s="389"/>
      <c r="U415" s="389"/>
      <c r="V415" s="389"/>
      <c r="W415" s="389"/>
      <c r="X415" s="389"/>
      <c r="Y415" s="389"/>
      <c r="Z415" s="389"/>
      <c r="AA415" s="389"/>
      <c r="AB415" s="389"/>
      <c r="AC415" s="389"/>
      <c r="AD415" s="389"/>
      <c r="AE415" s="389"/>
      <c r="AF415" s="389"/>
      <c r="AG415" s="389"/>
    </row>
    <row r="416">
      <c r="A416" s="389"/>
      <c r="B416" s="389"/>
      <c r="C416" s="389"/>
      <c r="D416" s="390"/>
      <c r="E416" s="389"/>
      <c r="F416" s="392"/>
      <c r="G416" s="389"/>
      <c r="H416" s="389"/>
      <c r="I416" s="389"/>
      <c r="J416" s="389"/>
      <c r="K416" s="389"/>
      <c r="L416" s="389"/>
      <c r="M416" s="389"/>
      <c r="N416" s="389"/>
      <c r="O416" s="389"/>
      <c r="P416" s="389"/>
      <c r="Q416" s="389"/>
      <c r="R416" s="389"/>
      <c r="S416" s="389"/>
      <c r="T416" s="389"/>
      <c r="U416" s="389"/>
      <c r="V416" s="389"/>
      <c r="W416" s="389"/>
      <c r="X416" s="389"/>
      <c r="Y416" s="389"/>
      <c r="Z416" s="389"/>
      <c r="AA416" s="389"/>
      <c r="AB416" s="389"/>
      <c r="AC416" s="389"/>
      <c r="AD416" s="389"/>
      <c r="AE416" s="389"/>
      <c r="AF416" s="389"/>
      <c r="AG416" s="389"/>
    </row>
    <row r="417">
      <c r="A417" s="389"/>
      <c r="B417" s="389"/>
      <c r="C417" s="389"/>
      <c r="D417" s="390"/>
      <c r="E417" s="389"/>
      <c r="F417" s="392"/>
      <c r="G417" s="389"/>
      <c r="H417" s="389"/>
      <c r="I417" s="389"/>
      <c r="J417" s="389"/>
      <c r="K417" s="389"/>
      <c r="L417" s="389"/>
      <c r="M417" s="389"/>
      <c r="N417" s="389"/>
      <c r="O417" s="389"/>
      <c r="P417" s="389"/>
      <c r="Q417" s="389"/>
      <c r="R417" s="389"/>
      <c r="S417" s="389"/>
      <c r="T417" s="389"/>
      <c r="U417" s="389"/>
      <c r="V417" s="389"/>
      <c r="W417" s="389"/>
      <c r="X417" s="389"/>
      <c r="Y417" s="389"/>
      <c r="Z417" s="389"/>
      <c r="AA417" s="389"/>
      <c r="AB417" s="389"/>
      <c r="AC417" s="389"/>
      <c r="AD417" s="389"/>
      <c r="AE417" s="389"/>
      <c r="AF417" s="389"/>
      <c r="AG417" s="389"/>
    </row>
    <row r="418">
      <c r="A418" s="389"/>
      <c r="B418" s="389"/>
      <c r="C418" s="389"/>
      <c r="D418" s="390"/>
      <c r="E418" s="389"/>
      <c r="F418" s="392"/>
      <c r="G418" s="389"/>
      <c r="H418" s="389"/>
      <c r="I418" s="389"/>
      <c r="J418" s="389"/>
      <c r="K418" s="389"/>
      <c r="L418" s="389"/>
      <c r="M418" s="389"/>
      <c r="N418" s="389"/>
      <c r="O418" s="389"/>
      <c r="P418" s="389"/>
      <c r="Q418" s="389"/>
      <c r="R418" s="389"/>
      <c r="S418" s="389"/>
      <c r="T418" s="389"/>
      <c r="U418" s="389"/>
      <c r="V418" s="389"/>
      <c r="W418" s="389"/>
      <c r="X418" s="389"/>
      <c r="Y418" s="389"/>
      <c r="Z418" s="389"/>
      <c r="AA418" s="389"/>
      <c r="AB418" s="389"/>
      <c r="AC418" s="389"/>
      <c r="AD418" s="389"/>
      <c r="AE418" s="389"/>
      <c r="AF418" s="389"/>
      <c r="AG418" s="389"/>
    </row>
    <row r="419">
      <c r="A419" s="389"/>
      <c r="B419" s="389"/>
      <c r="C419" s="389"/>
      <c r="D419" s="390"/>
      <c r="E419" s="389"/>
      <c r="F419" s="392"/>
      <c r="G419" s="389"/>
      <c r="H419" s="389"/>
      <c r="I419" s="389"/>
      <c r="J419" s="389"/>
      <c r="K419" s="389"/>
      <c r="L419" s="389"/>
      <c r="M419" s="389"/>
      <c r="N419" s="389"/>
      <c r="O419" s="389"/>
      <c r="P419" s="389"/>
      <c r="Q419" s="389"/>
      <c r="R419" s="389"/>
      <c r="S419" s="389"/>
      <c r="T419" s="389"/>
      <c r="U419" s="389"/>
      <c r="V419" s="389"/>
      <c r="W419" s="389"/>
      <c r="X419" s="389"/>
      <c r="Y419" s="389"/>
      <c r="Z419" s="389"/>
      <c r="AA419" s="389"/>
      <c r="AB419" s="389"/>
      <c r="AC419" s="389"/>
      <c r="AD419" s="389"/>
      <c r="AE419" s="389"/>
      <c r="AF419" s="389"/>
      <c r="AG419" s="389"/>
    </row>
    <row r="420">
      <c r="A420" s="389"/>
      <c r="B420" s="389"/>
      <c r="C420" s="389"/>
      <c r="D420" s="390"/>
      <c r="E420" s="389"/>
      <c r="F420" s="392"/>
      <c r="G420" s="389"/>
      <c r="H420" s="389"/>
      <c r="I420" s="389"/>
      <c r="J420" s="389"/>
      <c r="K420" s="389"/>
      <c r="L420" s="389"/>
      <c r="M420" s="389"/>
      <c r="N420" s="389"/>
      <c r="O420" s="389"/>
      <c r="P420" s="389"/>
      <c r="Q420" s="389"/>
      <c r="R420" s="389"/>
      <c r="S420" s="389"/>
      <c r="T420" s="389"/>
      <c r="U420" s="389"/>
      <c r="V420" s="389"/>
      <c r="W420" s="389"/>
      <c r="X420" s="389"/>
      <c r="Y420" s="389"/>
      <c r="Z420" s="389"/>
      <c r="AA420" s="389"/>
      <c r="AB420" s="389"/>
      <c r="AC420" s="389"/>
      <c r="AD420" s="389"/>
      <c r="AE420" s="389"/>
      <c r="AF420" s="389"/>
      <c r="AG420" s="389"/>
    </row>
    <row r="421">
      <c r="A421" s="389"/>
      <c r="B421" s="389"/>
      <c r="C421" s="389"/>
      <c r="D421" s="390"/>
      <c r="E421" s="389"/>
      <c r="F421" s="392"/>
      <c r="G421" s="389"/>
      <c r="H421" s="389"/>
      <c r="I421" s="389"/>
      <c r="J421" s="389"/>
      <c r="K421" s="389"/>
      <c r="L421" s="389"/>
      <c r="M421" s="389"/>
      <c r="N421" s="389"/>
      <c r="O421" s="389"/>
      <c r="P421" s="389"/>
      <c r="Q421" s="389"/>
      <c r="R421" s="389"/>
      <c r="S421" s="389"/>
      <c r="T421" s="389"/>
      <c r="U421" s="389"/>
      <c r="V421" s="389"/>
      <c r="W421" s="389"/>
      <c r="X421" s="389"/>
      <c r="Y421" s="389"/>
      <c r="Z421" s="389"/>
      <c r="AA421" s="389"/>
      <c r="AB421" s="389"/>
      <c r="AC421" s="389"/>
      <c r="AD421" s="389"/>
      <c r="AE421" s="389"/>
      <c r="AF421" s="389"/>
      <c r="AG421" s="389"/>
    </row>
    <row r="422">
      <c r="A422" s="389"/>
      <c r="B422" s="389"/>
      <c r="C422" s="389"/>
      <c r="D422" s="390"/>
      <c r="E422" s="389"/>
      <c r="F422" s="392"/>
      <c r="G422" s="389"/>
      <c r="H422" s="389"/>
      <c r="I422" s="389"/>
      <c r="J422" s="389"/>
      <c r="K422" s="389"/>
      <c r="L422" s="389"/>
      <c r="M422" s="389"/>
      <c r="N422" s="389"/>
      <c r="O422" s="389"/>
      <c r="P422" s="389"/>
      <c r="Q422" s="389"/>
      <c r="R422" s="389"/>
      <c r="S422" s="389"/>
      <c r="T422" s="389"/>
      <c r="U422" s="389"/>
      <c r="V422" s="389"/>
      <c r="W422" s="389"/>
      <c r="X422" s="389"/>
      <c r="Y422" s="389"/>
      <c r="Z422" s="389"/>
      <c r="AA422" s="389"/>
      <c r="AB422" s="389"/>
      <c r="AC422" s="389"/>
      <c r="AD422" s="389"/>
      <c r="AE422" s="389"/>
      <c r="AF422" s="389"/>
      <c r="AG422" s="389"/>
    </row>
    <row r="423">
      <c r="A423" s="389"/>
      <c r="B423" s="389"/>
      <c r="C423" s="389"/>
      <c r="D423" s="390"/>
      <c r="E423" s="389"/>
      <c r="F423" s="392"/>
      <c r="G423" s="389"/>
      <c r="H423" s="389"/>
      <c r="I423" s="389"/>
      <c r="J423" s="389"/>
      <c r="K423" s="389"/>
      <c r="L423" s="389"/>
      <c r="M423" s="389"/>
      <c r="N423" s="389"/>
      <c r="O423" s="389"/>
      <c r="P423" s="389"/>
      <c r="Q423" s="389"/>
      <c r="R423" s="389"/>
      <c r="S423" s="389"/>
      <c r="T423" s="389"/>
      <c r="U423" s="389"/>
      <c r="V423" s="389"/>
      <c r="W423" s="389"/>
      <c r="X423" s="389"/>
      <c r="Y423" s="389"/>
      <c r="Z423" s="389"/>
      <c r="AA423" s="389"/>
      <c r="AB423" s="389"/>
      <c r="AC423" s="389"/>
      <c r="AD423" s="389"/>
      <c r="AE423" s="389"/>
      <c r="AF423" s="389"/>
      <c r="AG423" s="389"/>
    </row>
    <row r="424">
      <c r="A424" s="389"/>
      <c r="B424" s="389"/>
      <c r="C424" s="389"/>
      <c r="D424" s="390"/>
      <c r="E424" s="389"/>
      <c r="F424" s="392"/>
      <c r="G424" s="389"/>
      <c r="H424" s="389"/>
      <c r="I424" s="389"/>
      <c r="J424" s="389"/>
      <c r="K424" s="389"/>
      <c r="L424" s="389"/>
      <c r="M424" s="389"/>
      <c r="N424" s="389"/>
      <c r="O424" s="389"/>
      <c r="P424" s="389"/>
      <c r="Q424" s="389"/>
      <c r="R424" s="389"/>
      <c r="S424" s="389"/>
      <c r="T424" s="389"/>
      <c r="U424" s="389"/>
      <c r="V424" s="389"/>
      <c r="W424" s="389"/>
      <c r="X424" s="389"/>
      <c r="Y424" s="389"/>
      <c r="Z424" s="389"/>
      <c r="AA424" s="389"/>
      <c r="AB424" s="389"/>
      <c r="AC424" s="389"/>
      <c r="AD424" s="389"/>
      <c r="AE424" s="389"/>
      <c r="AF424" s="389"/>
      <c r="AG424" s="389"/>
    </row>
    <row r="425">
      <c r="A425" s="389"/>
      <c r="B425" s="389"/>
      <c r="C425" s="389"/>
      <c r="D425" s="390"/>
      <c r="E425" s="389"/>
      <c r="F425" s="392"/>
      <c r="G425" s="389"/>
      <c r="H425" s="389"/>
      <c r="I425" s="389"/>
      <c r="J425" s="389"/>
      <c r="K425" s="389"/>
      <c r="L425" s="389"/>
      <c r="M425" s="389"/>
      <c r="N425" s="389"/>
      <c r="O425" s="389"/>
      <c r="P425" s="389"/>
      <c r="Q425" s="389"/>
      <c r="R425" s="389"/>
      <c r="S425" s="389"/>
      <c r="T425" s="389"/>
      <c r="U425" s="389"/>
      <c r="V425" s="389"/>
      <c r="W425" s="389"/>
      <c r="X425" s="389"/>
      <c r="Y425" s="389"/>
      <c r="Z425" s="389"/>
      <c r="AA425" s="389"/>
      <c r="AB425" s="389"/>
      <c r="AC425" s="389"/>
      <c r="AD425" s="389"/>
      <c r="AE425" s="389"/>
      <c r="AF425" s="389"/>
      <c r="AG425" s="389"/>
    </row>
    <row r="426">
      <c r="A426" s="389"/>
      <c r="B426" s="389"/>
      <c r="C426" s="389"/>
      <c r="D426" s="390"/>
      <c r="E426" s="389"/>
      <c r="F426" s="392"/>
      <c r="G426" s="389"/>
      <c r="H426" s="389"/>
      <c r="I426" s="389"/>
      <c r="J426" s="389"/>
      <c r="K426" s="389"/>
      <c r="L426" s="389"/>
      <c r="M426" s="389"/>
      <c r="N426" s="389"/>
      <c r="O426" s="389"/>
      <c r="P426" s="389"/>
      <c r="Q426" s="389"/>
      <c r="R426" s="389"/>
      <c r="S426" s="389"/>
      <c r="T426" s="389"/>
      <c r="U426" s="389"/>
      <c r="V426" s="389"/>
      <c r="W426" s="389"/>
      <c r="X426" s="389"/>
      <c r="Y426" s="389"/>
      <c r="Z426" s="389"/>
      <c r="AA426" s="389"/>
      <c r="AB426" s="389"/>
      <c r="AC426" s="389"/>
      <c r="AD426" s="389"/>
      <c r="AE426" s="389"/>
      <c r="AF426" s="389"/>
      <c r="AG426" s="389"/>
    </row>
    <row r="427">
      <c r="A427" s="389"/>
      <c r="B427" s="389"/>
      <c r="C427" s="389"/>
      <c r="D427" s="390"/>
      <c r="E427" s="389"/>
      <c r="F427" s="392"/>
      <c r="G427" s="389"/>
      <c r="H427" s="389"/>
      <c r="I427" s="389"/>
      <c r="J427" s="389"/>
      <c r="K427" s="389"/>
      <c r="L427" s="389"/>
      <c r="M427" s="389"/>
      <c r="N427" s="389"/>
      <c r="O427" s="389"/>
      <c r="P427" s="389"/>
      <c r="Q427" s="389"/>
      <c r="R427" s="389"/>
      <c r="S427" s="389"/>
      <c r="T427" s="389"/>
      <c r="U427" s="389"/>
      <c r="V427" s="389"/>
      <c r="W427" s="389"/>
      <c r="X427" s="389"/>
      <c r="Y427" s="389"/>
      <c r="Z427" s="389"/>
      <c r="AA427" s="389"/>
      <c r="AB427" s="389"/>
      <c r="AC427" s="389"/>
      <c r="AD427" s="389"/>
      <c r="AE427" s="389"/>
      <c r="AF427" s="389"/>
      <c r="AG427" s="389"/>
    </row>
    <row r="428">
      <c r="A428" s="389"/>
      <c r="B428" s="389"/>
      <c r="C428" s="389"/>
      <c r="D428" s="390"/>
      <c r="E428" s="389"/>
      <c r="F428" s="392"/>
      <c r="G428" s="389"/>
      <c r="H428" s="389"/>
      <c r="I428" s="389"/>
      <c r="J428" s="389"/>
      <c r="K428" s="389"/>
      <c r="L428" s="389"/>
      <c r="M428" s="389"/>
      <c r="N428" s="389"/>
      <c r="O428" s="389"/>
      <c r="P428" s="389"/>
      <c r="Q428" s="389"/>
      <c r="R428" s="389"/>
      <c r="S428" s="389"/>
      <c r="T428" s="389"/>
      <c r="U428" s="389"/>
      <c r="V428" s="389"/>
      <c r="W428" s="389"/>
      <c r="X428" s="389"/>
      <c r="Y428" s="389"/>
      <c r="Z428" s="389"/>
      <c r="AA428" s="389"/>
      <c r="AB428" s="389"/>
      <c r="AC428" s="389"/>
      <c r="AD428" s="389"/>
      <c r="AE428" s="389"/>
      <c r="AF428" s="389"/>
      <c r="AG428" s="389"/>
    </row>
    <row r="429">
      <c r="A429" s="389"/>
      <c r="B429" s="389"/>
      <c r="C429" s="389"/>
      <c r="D429" s="390"/>
      <c r="E429" s="389"/>
      <c r="F429" s="392"/>
      <c r="G429" s="389"/>
      <c r="H429" s="389"/>
      <c r="I429" s="389"/>
      <c r="J429" s="389"/>
      <c r="K429" s="389"/>
      <c r="L429" s="389"/>
      <c r="M429" s="389"/>
      <c r="N429" s="389"/>
      <c r="O429" s="389"/>
      <c r="P429" s="389"/>
      <c r="Q429" s="389"/>
      <c r="R429" s="389"/>
      <c r="S429" s="389"/>
      <c r="T429" s="389"/>
      <c r="U429" s="389"/>
      <c r="V429" s="389"/>
      <c r="W429" s="389"/>
      <c r="X429" s="389"/>
      <c r="Y429" s="389"/>
      <c r="Z429" s="389"/>
      <c r="AA429" s="389"/>
      <c r="AB429" s="389"/>
      <c r="AC429" s="389"/>
      <c r="AD429" s="389"/>
      <c r="AE429" s="389"/>
      <c r="AF429" s="389"/>
      <c r="AG429" s="389"/>
    </row>
    <row r="430">
      <c r="A430" s="389"/>
      <c r="B430" s="389"/>
      <c r="C430" s="389"/>
      <c r="D430" s="390"/>
      <c r="E430" s="389"/>
      <c r="F430" s="392"/>
      <c r="G430" s="389"/>
      <c r="H430" s="389"/>
      <c r="I430" s="389"/>
      <c r="J430" s="389"/>
      <c r="K430" s="389"/>
      <c r="L430" s="389"/>
      <c r="M430" s="389"/>
      <c r="N430" s="389"/>
      <c r="O430" s="389"/>
      <c r="P430" s="389"/>
      <c r="Q430" s="389"/>
      <c r="R430" s="389"/>
      <c r="S430" s="389"/>
      <c r="T430" s="389"/>
      <c r="U430" s="389"/>
      <c r="V430" s="389"/>
      <c r="W430" s="389"/>
      <c r="X430" s="389"/>
      <c r="Y430" s="389"/>
      <c r="Z430" s="389"/>
      <c r="AA430" s="389"/>
      <c r="AB430" s="389"/>
      <c r="AC430" s="389"/>
      <c r="AD430" s="389"/>
      <c r="AE430" s="389"/>
      <c r="AF430" s="389"/>
      <c r="AG430" s="389"/>
    </row>
    <row r="431">
      <c r="A431" s="389"/>
      <c r="B431" s="389"/>
      <c r="C431" s="389"/>
      <c r="D431" s="390"/>
      <c r="E431" s="389"/>
      <c r="F431" s="392"/>
      <c r="G431" s="389"/>
      <c r="H431" s="389"/>
      <c r="I431" s="389"/>
      <c r="J431" s="389"/>
      <c r="K431" s="389"/>
      <c r="L431" s="389"/>
      <c r="M431" s="389"/>
      <c r="N431" s="389"/>
      <c r="O431" s="389"/>
      <c r="P431" s="389"/>
      <c r="Q431" s="389"/>
      <c r="R431" s="389"/>
      <c r="S431" s="389"/>
      <c r="T431" s="389"/>
      <c r="U431" s="389"/>
      <c r="V431" s="389"/>
      <c r="W431" s="389"/>
      <c r="X431" s="389"/>
      <c r="Y431" s="389"/>
      <c r="Z431" s="389"/>
      <c r="AA431" s="389"/>
      <c r="AB431" s="389"/>
      <c r="AC431" s="389"/>
      <c r="AD431" s="389"/>
      <c r="AE431" s="389"/>
      <c r="AF431" s="389"/>
      <c r="AG431" s="389"/>
    </row>
    <row r="432">
      <c r="A432" s="389"/>
      <c r="B432" s="389"/>
      <c r="C432" s="389"/>
      <c r="D432" s="390"/>
      <c r="E432" s="389"/>
      <c r="F432" s="392"/>
      <c r="G432" s="389"/>
      <c r="H432" s="389"/>
      <c r="I432" s="389"/>
      <c r="J432" s="389"/>
      <c r="K432" s="389"/>
      <c r="L432" s="389"/>
      <c r="M432" s="389"/>
      <c r="N432" s="389"/>
      <c r="O432" s="389"/>
      <c r="P432" s="389"/>
      <c r="Q432" s="389"/>
      <c r="R432" s="389"/>
      <c r="S432" s="389"/>
      <c r="T432" s="389"/>
      <c r="U432" s="389"/>
      <c r="V432" s="389"/>
      <c r="W432" s="389"/>
      <c r="X432" s="389"/>
      <c r="Y432" s="389"/>
      <c r="Z432" s="389"/>
      <c r="AA432" s="389"/>
      <c r="AB432" s="389"/>
      <c r="AC432" s="389"/>
      <c r="AD432" s="389"/>
      <c r="AE432" s="389"/>
      <c r="AF432" s="389"/>
      <c r="AG432" s="389"/>
    </row>
    <row r="433">
      <c r="A433" s="389"/>
      <c r="B433" s="389"/>
      <c r="C433" s="389"/>
      <c r="D433" s="390"/>
      <c r="E433" s="389"/>
      <c r="F433" s="392"/>
      <c r="G433" s="389"/>
      <c r="H433" s="389"/>
      <c r="I433" s="389"/>
      <c r="J433" s="389"/>
      <c r="K433" s="389"/>
      <c r="L433" s="389"/>
      <c r="M433" s="389"/>
      <c r="N433" s="389"/>
      <c r="O433" s="389"/>
      <c r="P433" s="389"/>
      <c r="Q433" s="389"/>
      <c r="R433" s="389"/>
      <c r="S433" s="389"/>
      <c r="T433" s="389"/>
      <c r="U433" s="389"/>
      <c r="V433" s="389"/>
      <c r="W433" s="389"/>
      <c r="X433" s="389"/>
      <c r="Y433" s="389"/>
      <c r="Z433" s="389"/>
      <c r="AA433" s="389"/>
      <c r="AB433" s="389"/>
      <c r="AC433" s="389"/>
      <c r="AD433" s="389"/>
      <c r="AE433" s="389"/>
      <c r="AF433" s="389"/>
      <c r="AG433" s="389"/>
    </row>
    <row r="434">
      <c r="A434" s="389"/>
      <c r="B434" s="389"/>
      <c r="C434" s="389"/>
      <c r="D434" s="390"/>
      <c r="E434" s="389"/>
      <c r="F434" s="392"/>
      <c r="G434" s="389"/>
      <c r="H434" s="389"/>
      <c r="I434" s="389"/>
      <c r="J434" s="389"/>
      <c r="K434" s="389"/>
      <c r="L434" s="389"/>
      <c r="M434" s="389"/>
      <c r="N434" s="389"/>
      <c r="O434" s="389"/>
      <c r="P434" s="389"/>
      <c r="Q434" s="389"/>
      <c r="R434" s="389"/>
      <c r="S434" s="389"/>
      <c r="T434" s="389"/>
      <c r="U434" s="389"/>
      <c r="V434" s="389"/>
      <c r="W434" s="389"/>
      <c r="X434" s="389"/>
      <c r="Y434" s="389"/>
      <c r="Z434" s="389"/>
      <c r="AA434" s="389"/>
      <c r="AB434" s="389"/>
      <c r="AC434" s="389"/>
      <c r="AD434" s="389"/>
      <c r="AE434" s="389"/>
      <c r="AF434" s="389"/>
      <c r="AG434" s="389"/>
    </row>
    <row r="435">
      <c r="A435" s="389"/>
      <c r="B435" s="389"/>
      <c r="C435" s="389"/>
      <c r="D435" s="390"/>
      <c r="E435" s="389"/>
      <c r="F435" s="392"/>
      <c r="G435" s="389"/>
      <c r="H435" s="389"/>
      <c r="I435" s="389"/>
      <c r="J435" s="389"/>
      <c r="K435" s="389"/>
      <c r="L435" s="389"/>
      <c r="M435" s="389"/>
      <c r="N435" s="389"/>
      <c r="O435" s="389"/>
      <c r="P435" s="389"/>
      <c r="Q435" s="389"/>
      <c r="R435" s="389"/>
      <c r="S435" s="389"/>
      <c r="T435" s="389"/>
      <c r="U435" s="389"/>
      <c r="V435" s="389"/>
      <c r="W435" s="389"/>
      <c r="X435" s="389"/>
      <c r="Y435" s="389"/>
      <c r="Z435" s="389"/>
      <c r="AA435" s="389"/>
      <c r="AB435" s="389"/>
      <c r="AC435" s="389"/>
      <c r="AD435" s="389"/>
      <c r="AE435" s="389"/>
      <c r="AF435" s="389"/>
      <c r="AG435" s="389"/>
    </row>
    <row r="436">
      <c r="A436" s="389"/>
      <c r="B436" s="389"/>
      <c r="C436" s="389"/>
      <c r="D436" s="390"/>
      <c r="E436" s="389"/>
      <c r="F436" s="392"/>
      <c r="G436" s="389"/>
      <c r="H436" s="389"/>
      <c r="I436" s="389"/>
      <c r="J436" s="389"/>
      <c r="K436" s="389"/>
      <c r="L436" s="389"/>
      <c r="M436" s="389"/>
      <c r="N436" s="389"/>
      <c r="O436" s="389"/>
      <c r="P436" s="389"/>
      <c r="Q436" s="389"/>
      <c r="R436" s="389"/>
      <c r="S436" s="389"/>
      <c r="T436" s="389"/>
      <c r="U436" s="389"/>
      <c r="V436" s="389"/>
      <c r="W436" s="389"/>
      <c r="X436" s="389"/>
      <c r="Y436" s="389"/>
      <c r="Z436" s="389"/>
      <c r="AA436" s="389"/>
      <c r="AB436" s="389"/>
      <c r="AC436" s="389"/>
      <c r="AD436" s="389"/>
      <c r="AE436" s="389"/>
      <c r="AF436" s="389"/>
      <c r="AG436" s="389"/>
    </row>
    <row r="437">
      <c r="A437" s="389"/>
      <c r="B437" s="389"/>
      <c r="C437" s="389"/>
      <c r="D437" s="390"/>
      <c r="E437" s="389"/>
      <c r="F437" s="392"/>
      <c r="G437" s="389"/>
      <c r="H437" s="389"/>
      <c r="I437" s="389"/>
      <c r="J437" s="389"/>
      <c r="K437" s="389"/>
      <c r="L437" s="389"/>
      <c r="M437" s="389"/>
      <c r="N437" s="389"/>
      <c r="O437" s="389"/>
      <c r="P437" s="389"/>
      <c r="Q437" s="389"/>
      <c r="R437" s="389"/>
      <c r="S437" s="389"/>
      <c r="T437" s="389"/>
      <c r="U437" s="389"/>
      <c r="V437" s="389"/>
      <c r="W437" s="389"/>
      <c r="X437" s="389"/>
      <c r="Y437" s="389"/>
      <c r="Z437" s="389"/>
      <c r="AA437" s="389"/>
      <c r="AB437" s="389"/>
      <c r="AC437" s="389"/>
      <c r="AD437" s="389"/>
      <c r="AE437" s="389"/>
      <c r="AF437" s="389"/>
      <c r="AG437" s="389"/>
    </row>
    <row r="438">
      <c r="A438" s="389"/>
      <c r="B438" s="389"/>
      <c r="C438" s="389"/>
      <c r="D438" s="390"/>
      <c r="E438" s="389"/>
      <c r="F438" s="392"/>
      <c r="G438" s="389"/>
      <c r="H438" s="389"/>
      <c r="I438" s="389"/>
      <c r="J438" s="389"/>
      <c r="K438" s="389"/>
      <c r="L438" s="389"/>
      <c r="M438" s="389"/>
      <c r="N438" s="389"/>
      <c r="O438" s="389"/>
      <c r="P438" s="389"/>
      <c r="Q438" s="389"/>
      <c r="R438" s="389"/>
      <c r="S438" s="389"/>
      <c r="T438" s="389"/>
      <c r="U438" s="389"/>
      <c r="V438" s="389"/>
      <c r="W438" s="389"/>
      <c r="X438" s="389"/>
      <c r="Y438" s="389"/>
      <c r="Z438" s="389"/>
      <c r="AA438" s="389"/>
      <c r="AB438" s="389"/>
      <c r="AC438" s="389"/>
      <c r="AD438" s="389"/>
      <c r="AE438" s="389"/>
      <c r="AF438" s="389"/>
      <c r="AG438" s="389"/>
    </row>
    <row r="439">
      <c r="A439" s="389"/>
      <c r="B439" s="389"/>
      <c r="C439" s="389"/>
      <c r="D439" s="390"/>
      <c r="E439" s="389"/>
      <c r="F439" s="392"/>
      <c r="G439" s="389"/>
      <c r="H439" s="389"/>
      <c r="I439" s="389"/>
      <c r="J439" s="389"/>
      <c r="K439" s="389"/>
      <c r="L439" s="389"/>
      <c r="M439" s="389"/>
      <c r="N439" s="389"/>
      <c r="O439" s="389"/>
      <c r="P439" s="389"/>
      <c r="Q439" s="389"/>
      <c r="R439" s="389"/>
      <c r="S439" s="389"/>
      <c r="T439" s="389"/>
      <c r="U439" s="389"/>
      <c r="V439" s="389"/>
      <c r="W439" s="389"/>
      <c r="X439" s="389"/>
      <c r="Y439" s="389"/>
      <c r="Z439" s="389"/>
      <c r="AA439" s="389"/>
      <c r="AB439" s="389"/>
      <c r="AC439" s="389"/>
      <c r="AD439" s="389"/>
      <c r="AE439" s="389"/>
      <c r="AF439" s="389"/>
      <c r="AG439" s="389"/>
    </row>
    <row r="440">
      <c r="A440" s="389"/>
      <c r="B440" s="389"/>
      <c r="C440" s="389"/>
      <c r="D440" s="390"/>
      <c r="E440" s="389"/>
      <c r="F440" s="392"/>
      <c r="G440" s="389"/>
      <c r="H440" s="389"/>
      <c r="I440" s="389"/>
      <c r="J440" s="389"/>
      <c r="K440" s="389"/>
      <c r="L440" s="389"/>
      <c r="M440" s="389"/>
      <c r="N440" s="389"/>
      <c r="O440" s="389"/>
      <c r="P440" s="389"/>
      <c r="Q440" s="389"/>
      <c r="R440" s="389"/>
      <c r="S440" s="389"/>
      <c r="T440" s="389"/>
      <c r="U440" s="389"/>
      <c r="V440" s="389"/>
      <c r="W440" s="389"/>
      <c r="X440" s="389"/>
      <c r="Y440" s="389"/>
      <c r="Z440" s="389"/>
      <c r="AA440" s="389"/>
      <c r="AB440" s="389"/>
      <c r="AC440" s="389"/>
      <c r="AD440" s="389"/>
      <c r="AE440" s="389"/>
      <c r="AF440" s="389"/>
      <c r="AG440" s="389"/>
    </row>
    <row r="441">
      <c r="A441" s="389"/>
      <c r="B441" s="389"/>
      <c r="C441" s="389"/>
      <c r="D441" s="390"/>
      <c r="E441" s="389"/>
      <c r="F441" s="392"/>
      <c r="G441" s="389"/>
      <c r="H441" s="389"/>
      <c r="I441" s="389"/>
      <c r="J441" s="389"/>
      <c r="K441" s="389"/>
      <c r="L441" s="389"/>
      <c r="M441" s="389"/>
      <c r="N441" s="389"/>
      <c r="O441" s="389"/>
      <c r="P441" s="389"/>
      <c r="Q441" s="389"/>
      <c r="R441" s="389"/>
      <c r="S441" s="389"/>
      <c r="T441" s="389"/>
      <c r="U441" s="389"/>
      <c r="V441" s="389"/>
      <c r="W441" s="389"/>
      <c r="X441" s="389"/>
      <c r="Y441" s="389"/>
      <c r="Z441" s="389"/>
      <c r="AA441" s="389"/>
      <c r="AB441" s="389"/>
      <c r="AC441" s="389"/>
      <c r="AD441" s="389"/>
      <c r="AE441" s="389"/>
      <c r="AF441" s="389"/>
      <c r="AG441" s="389"/>
    </row>
    <row r="442">
      <c r="A442" s="389"/>
      <c r="B442" s="389"/>
      <c r="C442" s="389"/>
      <c r="D442" s="390"/>
      <c r="E442" s="389"/>
      <c r="F442" s="392"/>
      <c r="G442" s="389"/>
      <c r="H442" s="389"/>
      <c r="I442" s="389"/>
      <c r="J442" s="389"/>
      <c r="K442" s="389"/>
      <c r="L442" s="389"/>
      <c r="M442" s="389"/>
      <c r="N442" s="389"/>
      <c r="O442" s="389"/>
      <c r="P442" s="389"/>
      <c r="Q442" s="389"/>
      <c r="R442" s="389"/>
      <c r="S442" s="389"/>
      <c r="T442" s="389"/>
      <c r="U442" s="389"/>
      <c r="V442" s="389"/>
      <c r="W442" s="389"/>
      <c r="X442" s="389"/>
      <c r="Y442" s="389"/>
      <c r="Z442" s="389"/>
      <c r="AA442" s="389"/>
      <c r="AB442" s="389"/>
      <c r="AC442" s="389"/>
      <c r="AD442" s="389"/>
      <c r="AE442" s="389"/>
      <c r="AF442" s="389"/>
      <c r="AG442" s="389"/>
    </row>
    <row r="443">
      <c r="A443" s="389"/>
      <c r="B443" s="389"/>
      <c r="C443" s="389"/>
      <c r="D443" s="390"/>
      <c r="E443" s="389"/>
      <c r="F443" s="392"/>
      <c r="G443" s="389"/>
      <c r="H443" s="389"/>
      <c r="I443" s="389"/>
      <c r="J443" s="389"/>
      <c r="K443" s="389"/>
      <c r="L443" s="389"/>
      <c r="M443" s="389"/>
      <c r="N443" s="389"/>
      <c r="O443" s="389"/>
      <c r="P443" s="389"/>
      <c r="Q443" s="389"/>
      <c r="R443" s="389"/>
      <c r="S443" s="389"/>
      <c r="T443" s="389"/>
      <c r="U443" s="389"/>
      <c r="V443" s="389"/>
      <c r="W443" s="389"/>
      <c r="X443" s="389"/>
      <c r="Y443" s="389"/>
      <c r="Z443" s="389"/>
      <c r="AA443" s="389"/>
      <c r="AB443" s="389"/>
      <c r="AC443" s="389"/>
      <c r="AD443" s="389"/>
      <c r="AE443" s="389"/>
      <c r="AF443" s="389"/>
      <c r="AG443" s="389"/>
    </row>
    <row r="444">
      <c r="A444" s="389"/>
      <c r="B444" s="389"/>
      <c r="C444" s="389"/>
      <c r="D444" s="390"/>
      <c r="E444" s="389"/>
      <c r="F444" s="392"/>
      <c r="G444" s="389"/>
      <c r="H444" s="389"/>
      <c r="I444" s="389"/>
      <c r="J444" s="389"/>
      <c r="K444" s="389"/>
      <c r="L444" s="389"/>
      <c r="M444" s="389"/>
      <c r="N444" s="389"/>
      <c r="O444" s="389"/>
      <c r="P444" s="389"/>
      <c r="Q444" s="389"/>
      <c r="R444" s="389"/>
      <c r="S444" s="389"/>
      <c r="T444" s="389"/>
      <c r="U444" s="389"/>
      <c r="V444" s="389"/>
      <c r="W444" s="389"/>
      <c r="X444" s="389"/>
      <c r="Y444" s="389"/>
      <c r="Z444" s="389"/>
      <c r="AA444" s="389"/>
      <c r="AB444" s="389"/>
      <c r="AC444" s="389"/>
      <c r="AD444" s="389"/>
      <c r="AE444" s="389"/>
      <c r="AF444" s="389"/>
      <c r="AG444" s="389"/>
    </row>
    <row r="445">
      <c r="A445" s="389"/>
      <c r="B445" s="389"/>
      <c r="C445" s="389"/>
      <c r="D445" s="390"/>
      <c r="E445" s="389"/>
      <c r="F445" s="392"/>
      <c r="G445" s="389"/>
      <c r="H445" s="389"/>
      <c r="I445" s="389"/>
      <c r="J445" s="389"/>
      <c r="K445" s="389"/>
      <c r="L445" s="389"/>
      <c r="M445" s="389"/>
      <c r="N445" s="389"/>
      <c r="O445" s="389"/>
      <c r="P445" s="389"/>
      <c r="Q445" s="389"/>
      <c r="R445" s="389"/>
      <c r="S445" s="389"/>
      <c r="T445" s="389"/>
      <c r="U445" s="389"/>
      <c r="V445" s="389"/>
      <c r="W445" s="389"/>
      <c r="X445" s="389"/>
      <c r="Y445" s="389"/>
      <c r="Z445" s="389"/>
      <c r="AA445" s="389"/>
      <c r="AB445" s="389"/>
      <c r="AC445" s="389"/>
      <c r="AD445" s="389"/>
      <c r="AE445" s="389"/>
      <c r="AF445" s="389"/>
      <c r="AG445" s="389"/>
    </row>
    <row r="446">
      <c r="A446" s="389"/>
      <c r="B446" s="389"/>
      <c r="C446" s="389"/>
      <c r="D446" s="390"/>
      <c r="E446" s="389"/>
      <c r="F446" s="392"/>
      <c r="G446" s="389"/>
      <c r="H446" s="389"/>
      <c r="I446" s="389"/>
      <c r="J446" s="389"/>
      <c r="K446" s="389"/>
      <c r="L446" s="389"/>
      <c r="M446" s="389"/>
      <c r="N446" s="389"/>
      <c r="O446" s="389"/>
      <c r="P446" s="389"/>
      <c r="Q446" s="389"/>
      <c r="R446" s="389"/>
      <c r="S446" s="389"/>
      <c r="T446" s="389"/>
      <c r="U446" s="389"/>
      <c r="V446" s="389"/>
      <c r="W446" s="389"/>
      <c r="X446" s="389"/>
      <c r="Y446" s="389"/>
      <c r="Z446" s="389"/>
      <c r="AA446" s="389"/>
      <c r="AB446" s="389"/>
      <c r="AC446" s="389"/>
      <c r="AD446" s="389"/>
      <c r="AE446" s="389"/>
      <c r="AF446" s="389"/>
      <c r="AG446" s="389"/>
    </row>
    <row r="447">
      <c r="A447" s="389"/>
      <c r="B447" s="389"/>
      <c r="C447" s="389"/>
      <c r="D447" s="390"/>
      <c r="E447" s="389"/>
      <c r="F447" s="392"/>
      <c r="G447" s="389"/>
      <c r="H447" s="389"/>
      <c r="I447" s="389"/>
      <c r="J447" s="389"/>
      <c r="K447" s="389"/>
      <c r="L447" s="389"/>
      <c r="M447" s="389"/>
      <c r="N447" s="389"/>
      <c r="O447" s="389"/>
      <c r="P447" s="389"/>
      <c r="Q447" s="389"/>
      <c r="R447" s="389"/>
      <c r="S447" s="389"/>
      <c r="T447" s="389"/>
      <c r="U447" s="389"/>
      <c r="V447" s="389"/>
      <c r="W447" s="389"/>
      <c r="X447" s="389"/>
      <c r="Y447" s="389"/>
      <c r="Z447" s="389"/>
      <c r="AA447" s="389"/>
      <c r="AB447" s="389"/>
      <c r="AC447" s="389"/>
      <c r="AD447" s="389"/>
      <c r="AE447" s="389"/>
      <c r="AF447" s="389"/>
      <c r="AG447" s="389"/>
    </row>
    <row r="448">
      <c r="A448" s="389"/>
      <c r="B448" s="389"/>
      <c r="C448" s="389"/>
      <c r="D448" s="390"/>
      <c r="E448" s="389"/>
      <c r="F448" s="392"/>
      <c r="G448" s="389"/>
      <c r="H448" s="389"/>
      <c r="I448" s="389"/>
      <c r="J448" s="389"/>
      <c r="K448" s="389"/>
      <c r="L448" s="389"/>
      <c r="M448" s="389"/>
      <c r="N448" s="389"/>
      <c r="O448" s="389"/>
      <c r="P448" s="389"/>
      <c r="Q448" s="389"/>
      <c r="R448" s="389"/>
      <c r="S448" s="389"/>
      <c r="T448" s="389"/>
      <c r="U448" s="389"/>
      <c r="V448" s="389"/>
      <c r="W448" s="389"/>
      <c r="X448" s="389"/>
      <c r="Y448" s="389"/>
      <c r="Z448" s="389"/>
      <c r="AA448" s="389"/>
      <c r="AB448" s="389"/>
      <c r="AC448" s="389"/>
      <c r="AD448" s="389"/>
      <c r="AE448" s="389"/>
      <c r="AF448" s="389"/>
      <c r="AG448" s="389"/>
    </row>
    <row r="449">
      <c r="A449" s="389"/>
      <c r="B449" s="389"/>
      <c r="C449" s="389"/>
      <c r="D449" s="390"/>
      <c r="E449" s="389"/>
      <c r="F449" s="392"/>
      <c r="G449" s="389"/>
      <c r="H449" s="389"/>
      <c r="I449" s="389"/>
      <c r="J449" s="389"/>
      <c r="K449" s="389"/>
      <c r="L449" s="389"/>
      <c r="M449" s="389"/>
      <c r="N449" s="389"/>
      <c r="O449" s="389"/>
      <c r="P449" s="389"/>
      <c r="Q449" s="389"/>
      <c r="R449" s="389"/>
      <c r="S449" s="389"/>
      <c r="T449" s="389"/>
      <c r="U449" s="389"/>
      <c r="V449" s="389"/>
      <c r="W449" s="389"/>
      <c r="X449" s="389"/>
      <c r="Y449" s="389"/>
      <c r="Z449" s="389"/>
      <c r="AA449" s="389"/>
      <c r="AB449" s="389"/>
      <c r="AC449" s="389"/>
      <c r="AD449" s="389"/>
      <c r="AE449" s="389"/>
      <c r="AF449" s="389"/>
      <c r="AG449" s="389"/>
    </row>
    <row r="450">
      <c r="A450" s="389"/>
      <c r="B450" s="389"/>
      <c r="C450" s="389"/>
      <c r="D450" s="390"/>
      <c r="E450" s="389"/>
      <c r="F450" s="392"/>
      <c r="G450" s="389"/>
      <c r="H450" s="389"/>
      <c r="I450" s="389"/>
      <c r="J450" s="389"/>
      <c r="K450" s="389"/>
      <c r="L450" s="389"/>
      <c r="M450" s="389"/>
      <c r="N450" s="389"/>
      <c r="O450" s="389"/>
      <c r="P450" s="389"/>
      <c r="Q450" s="389"/>
      <c r="R450" s="389"/>
      <c r="S450" s="389"/>
      <c r="T450" s="389"/>
      <c r="U450" s="389"/>
      <c r="V450" s="389"/>
      <c r="W450" s="389"/>
      <c r="X450" s="389"/>
      <c r="Y450" s="389"/>
      <c r="Z450" s="389"/>
      <c r="AA450" s="389"/>
      <c r="AB450" s="389"/>
      <c r="AC450" s="389"/>
      <c r="AD450" s="389"/>
      <c r="AE450" s="389"/>
      <c r="AF450" s="389"/>
      <c r="AG450" s="389"/>
    </row>
    <row r="451">
      <c r="A451" s="389"/>
      <c r="B451" s="389"/>
      <c r="C451" s="389"/>
      <c r="D451" s="390"/>
      <c r="E451" s="389"/>
      <c r="F451" s="392"/>
      <c r="G451" s="389"/>
      <c r="H451" s="389"/>
      <c r="I451" s="389"/>
      <c r="J451" s="389"/>
      <c r="K451" s="389"/>
      <c r="L451" s="389"/>
      <c r="M451" s="389"/>
      <c r="N451" s="389"/>
      <c r="O451" s="389"/>
      <c r="P451" s="389"/>
      <c r="Q451" s="389"/>
      <c r="R451" s="389"/>
      <c r="S451" s="389"/>
      <c r="T451" s="389"/>
      <c r="U451" s="389"/>
      <c r="V451" s="389"/>
      <c r="W451" s="389"/>
      <c r="X451" s="389"/>
      <c r="Y451" s="389"/>
      <c r="Z451" s="389"/>
      <c r="AA451" s="389"/>
      <c r="AB451" s="389"/>
      <c r="AC451" s="389"/>
      <c r="AD451" s="389"/>
      <c r="AE451" s="389"/>
      <c r="AF451" s="389"/>
      <c r="AG451" s="389"/>
    </row>
    <row r="452">
      <c r="A452" s="389"/>
      <c r="B452" s="389"/>
      <c r="C452" s="389"/>
      <c r="D452" s="390"/>
      <c r="E452" s="389"/>
      <c r="F452" s="392"/>
      <c r="G452" s="389"/>
      <c r="H452" s="389"/>
      <c r="I452" s="389"/>
      <c r="J452" s="389"/>
      <c r="K452" s="389"/>
      <c r="L452" s="389"/>
      <c r="M452" s="389"/>
      <c r="N452" s="389"/>
      <c r="O452" s="389"/>
      <c r="P452" s="389"/>
      <c r="Q452" s="389"/>
      <c r="R452" s="389"/>
      <c r="S452" s="389"/>
      <c r="T452" s="389"/>
      <c r="U452" s="389"/>
      <c r="V452" s="389"/>
      <c r="W452" s="389"/>
      <c r="X452" s="389"/>
      <c r="Y452" s="389"/>
      <c r="Z452" s="389"/>
      <c r="AA452" s="389"/>
      <c r="AB452" s="389"/>
      <c r="AC452" s="389"/>
      <c r="AD452" s="389"/>
      <c r="AE452" s="389"/>
      <c r="AF452" s="389"/>
      <c r="AG452" s="389"/>
    </row>
    <row r="453">
      <c r="A453" s="389"/>
      <c r="B453" s="389"/>
      <c r="C453" s="389"/>
      <c r="D453" s="390"/>
      <c r="E453" s="389"/>
      <c r="F453" s="392"/>
      <c r="G453" s="389"/>
      <c r="H453" s="389"/>
      <c r="I453" s="389"/>
      <c r="J453" s="389"/>
      <c r="K453" s="389"/>
      <c r="L453" s="389"/>
      <c r="M453" s="389"/>
      <c r="N453" s="389"/>
      <c r="O453" s="389"/>
      <c r="P453" s="389"/>
      <c r="Q453" s="389"/>
      <c r="R453" s="389"/>
      <c r="S453" s="389"/>
      <c r="T453" s="389"/>
      <c r="U453" s="389"/>
      <c r="V453" s="389"/>
      <c r="W453" s="389"/>
      <c r="X453" s="389"/>
      <c r="Y453" s="389"/>
      <c r="Z453" s="389"/>
      <c r="AA453" s="389"/>
      <c r="AB453" s="389"/>
      <c r="AC453" s="389"/>
      <c r="AD453" s="389"/>
      <c r="AE453" s="389"/>
      <c r="AF453" s="389"/>
      <c r="AG453" s="389"/>
    </row>
    <row r="454">
      <c r="A454" s="389"/>
      <c r="B454" s="389"/>
      <c r="C454" s="389"/>
      <c r="D454" s="390"/>
      <c r="E454" s="389"/>
      <c r="F454" s="392"/>
      <c r="G454" s="389"/>
      <c r="H454" s="389"/>
      <c r="I454" s="389"/>
      <c r="J454" s="389"/>
      <c r="K454" s="389"/>
      <c r="L454" s="389"/>
      <c r="M454" s="389"/>
      <c r="N454" s="389"/>
      <c r="O454" s="389"/>
      <c r="P454" s="389"/>
      <c r="Q454" s="389"/>
      <c r="R454" s="389"/>
      <c r="S454" s="389"/>
      <c r="T454" s="389"/>
      <c r="U454" s="389"/>
      <c r="V454" s="389"/>
      <c r="W454" s="389"/>
      <c r="X454" s="389"/>
      <c r="Y454" s="389"/>
      <c r="Z454" s="389"/>
      <c r="AA454" s="389"/>
      <c r="AB454" s="389"/>
      <c r="AC454" s="389"/>
      <c r="AD454" s="389"/>
      <c r="AE454" s="389"/>
      <c r="AF454" s="389"/>
      <c r="AG454" s="389"/>
    </row>
    <row r="455">
      <c r="A455" s="389"/>
      <c r="B455" s="389"/>
      <c r="C455" s="389"/>
      <c r="D455" s="390"/>
      <c r="E455" s="389"/>
      <c r="F455" s="392"/>
      <c r="G455" s="389"/>
      <c r="H455" s="389"/>
      <c r="I455" s="389"/>
      <c r="J455" s="389"/>
      <c r="K455" s="389"/>
      <c r="L455" s="389"/>
      <c r="M455" s="389"/>
      <c r="N455" s="389"/>
      <c r="O455" s="389"/>
      <c r="P455" s="389"/>
      <c r="Q455" s="389"/>
      <c r="R455" s="389"/>
      <c r="S455" s="389"/>
      <c r="T455" s="389"/>
      <c r="U455" s="389"/>
      <c r="V455" s="389"/>
      <c r="W455" s="389"/>
      <c r="X455" s="389"/>
      <c r="Y455" s="389"/>
      <c r="Z455" s="389"/>
      <c r="AA455" s="389"/>
      <c r="AB455" s="389"/>
      <c r="AC455" s="389"/>
      <c r="AD455" s="389"/>
      <c r="AE455" s="389"/>
      <c r="AF455" s="389"/>
      <c r="AG455" s="389"/>
    </row>
    <row r="456">
      <c r="A456" s="389"/>
      <c r="B456" s="389"/>
      <c r="C456" s="389"/>
      <c r="D456" s="390"/>
      <c r="E456" s="389"/>
      <c r="F456" s="392"/>
      <c r="G456" s="389"/>
      <c r="H456" s="389"/>
      <c r="I456" s="389"/>
      <c r="J456" s="389"/>
      <c r="K456" s="389"/>
      <c r="L456" s="389"/>
      <c r="M456" s="389"/>
      <c r="N456" s="389"/>
      <c r="O456" s="389"/>
      <c r="P456" s="389"/>
      <c r="Q456" s="389"/>
      <c r="R456" s="389"/>
      <c r="S456" s="389"/>
      <c r="T456" s="389"/>
      <c r="U456" s="389"/>
      <c r="V456" s="389"/>
      <c r="W456" s="389"/>
      <c r="X456" s="389"/>
      <c r="Y456" s="389"/>
      <c r="Z456" s="389"/>
      <c r="AA456" s="389"/>
      <c r="AB456" s="389"/>
      <c r="AC456" s="389"/>
      <c r="AD456" s="389"/>
      <c r="AE456" s="389"/>
      <c r="AF456" s="389"/>
      <c r="AG456" s="389"/>
    </row>
    <row r="457">
      <c r="A457" s="389"/>
      <c r="B457" s="389"/>
      <c r="C457" s="389"/>
      <c r="D457" s="390"/>
      <c r="E457" s="389"/>
      <c r="F457" s="392"/>
      <c r="G457" s="389"/>
      <c r="H457" s="389"/>
      <c r="I457" s="389"/>
      <c r="J457" s="389"/>
      <c r="K457" s="389"/>
      <c r="L457" s="389"/>
      <c r="M457" s="389"/>
      <c r="N457" s="389"/>
      <c r="O457" s="389"/>
      <c r="P457" s="389"/>
      <c r="Q457" s="389"/>
      <c r="R457" s="389"/>
      <c r="S457" s="389"/>
      <c r="T457" s="389"/>
      <c r="U457" s="389"/>
      <c r="V457" s="389"/>
      <c r="W457" s="389"/>
      <c r="X457" s="389"/>
      <c r="Y457" s="389"/>
      <c r="Z457" s="389"/>
      <c r="AA457" s="389"/>
      <c r="AB457" s="389"/>
      <c r="AC457" s="389"/>
      <c r="AD457" s="389"/>
      <c r="AE457" s="389"/>
      <c r="AF457" s="389"/>
      <c r="AG457" s="389"/>
    </row>
    <row r="458">
      <c r="A458" s="389"/>
      <c r="B458" s="389"/>
      <c r="C458" s="389"/>
      <c r="D458" s="390"/>
      <c r="E458" s="389"/>
      <c r="F458" s="392"/>
      <c r="G458" s="389"/>
      <c r="H458" s="389"/>
      <c r="I458" s="389"/>
      <c r="J458" s="389"/>
      <c r="K458" s="389"/>
      <c r="L458" s="389"/>
      <c r="M458" s="389"/>
      <c r="N458" s="389"/>
      <c r="O458" s="389"/>
      <c r="P458" s="389"/>
      <c r="Q458" s="389"/>
      <c r="R458" s="389"/>
      <c r="S458" s="389"/>
      <c r="T458" s="389"/>
      <c r="U458" s="389"/>
      <c r="V458" s="389"/>
      <c r="W458" s="389"/>
      <c r="X458" s="389"/>
      <c r="Y458" s="389"/>
      <c r="Z458" s="389"/>
      <c r="AA458" s="389"/>
      <c r="AB458" s="389"/>
      <c r="AC458" s="389"/>
      <c r="AD458" s="389"/>
      <c r="AE458" s="389"/>
      <c r="AF458" s="389"/>
      <c r="AG458" s="389"/>
    </row>
    <row r="459">
      <c r="A459" s="389"/>
      <c r="B459" s="389"/>
      <c r="C459" s="389"/>
      <c r="D459" s="390"/>
      <c r="E459" s="389"/>
      <c r="F459" s="392"/>
      <c r="G459" s="389"/>
      <c r="H459" s="389"/>
      <c r="I459" s="389"/>
      <c r="J459" s="389"/>
      <c r="K459" s="389"/>
      <c r="L459" s="389"/>
      <c r="M459" s="389"/>
      <c r="N459" s="389"/>
      <c r="O459" s="389"/>
      <c r="P459" s="389"/>
      <c r="Q459" s="389"/>
      <c r="R459" s="389"/>
      <c r="S459" s="389"/>
      <c r="T459" s="389"/>
      <c r="U459" s="389"/>
      <c r="V459" s="389"/>
      <c r="W459" s="389"/>
      <c r="X459" s="389"/>
      <c r="Y459" s="389"/>
      <c r="Z459" s="389"/>
      <c r="AA459" s="389"/>
      <c r="AB459" s="389"/>
      <c r="AC459" s="389"/>
      <c r="AD459" s="389"/>
      <c r="AE459" s="389"/>
      <c r="AF459" s="389"/>
      <c r="AG459" s="389"/>
    </row>
    <row r="460">
      <c r="A460" s="389"/>
      <c r="B460" s="389"/>
      <c r="C460" s="389"/>
      <c r="D460" s="390"/>
      <c r="E460" s="389"/>
      <c r="F460" s="392"/>
      <c r="G460" s="389"/>
      <c r="H460" s="389"/>
      <c r="I460" s="389"/>
      <c r="J460" s="389"/>
      <c r="K460" s="389"/>
      <c r="L460" s="389"/>
      <c r="M460" s="389"/>
      <c r="N460" s="389"/>
      <c r="O460" s="389"/>
      <c r="P460" s="389"/>
      <c r="Q460" s="389"/>
      <c r="R460" s="389"/>
      <c r="S460" s="389"/>
      <c r="T460" s="389"/>
      <c r="U460" s="389"/>
      <c r="V460" s="389"/>
      <c r="W460" s="389"/>
      <c r="X460" s="389"/>
      <c r="Y460" s="389"/>
      <c r="Z460" s="389"/>
      <c r="AA460" s="389"/>
      <c r="AB460" s="389"/>
      <c r="AC460" s="389"/>
      <c r="AD460" s="389"/>
      <c r="AE460" s="389"/>
      <c r="AF460" s="389"/>
      <c r="AG460" s="389"/>
    </row>
    <row r="461">
      <c r="A461" s="389"/>
      <c r="B461" s="389"/>
      <c r="C461" s="389"/>
      <c r="D461" s="390"/>
      <c r="E461" s="389"/>
      <c r="F461" s="392"/>
      <c r="G461" s="389"/>
      <c r="H461" s="389"/>
      <c r="I461" s="389"/>
      <c r="J461" s="389"/>
      <c r="K461" s="389"/>
      <c r="L461" s="389"/>
      <c r="M461" s="389"/>
      <c r="N461" s="389"/>
      <c r="O461" s="389"/>
      <c r="P461" s="389"/>
      <c r="Q461" s="389"/>
      <c r="R461" s="389"/>
      <c r="S461" s="389"/>
      <c r="T461" s="389"/>
      <c r="U461" s="389"/>
      <c r="V461" s="389"/>
      <c r="W461" s="389"/>
      <c r="X461" s="389"/>
      <c r="Y461" s="389"/>
      <c r="Z461" s="389"/>
      <c r="AA461" s="389"/>
      <c r="AB461" s="389"/>
      <c r="AC461" s="389"/>
      <c r="AD461" s="389"/>
      <c r="AE461" s="389"/>
      <c r="AF461" s="389"/>
      <c r="AG461" s="389"/>
    </row>
    <row r="462">
      <c r="A462" s="389"/>
      <c r="B462" s="389"/>
      <c r="C462" s="389"/>
      <c r="D462" s="390"/>
      <c r="E462" s="389"/>
      <c r="F462" s="392"/>
      <c r="G462" s="389"/>
      <c r="H462" s="389"/>
      <c r="I462" s="389"/>
      <c r="J462" s="389"/>
      <c r="K462" s="389"/>
      <c r="L462" s="389"/>
      <c r="M462" s="389"/>
      <c r="N462" s="389"/>
      <c r="O462" s="389"/>
      <c r="P462" s="389"/>
      <c r="Q462" s="389"/>
      <c r="R462" s="389"/>
      <c r="S462" s="389"/>
      <c r="T462" s="389"/>
      <c r="U462" s="389"/>
      <c r="V462" s="389"/>
      <c r="W462" s="389"/>
      <c r="X462" s="389"/>
      <c r="Y462" s="389"/>
      <c r="Z462" s="389"/>
      <c r="AA462" s="389"/>
      <c r="AB462" s="389"/>
      <c r="AC462" s="389"/>
      <c r="AD462" s="389"/>
      <c r="AE462" s="389"/>
      <c r="AF462" s="389"/>
      <c r="AG462" s="389"/>
    </row>
    <row r="463">
      <c r="A463" s="389"/>
      <c r="B463" s="389"/>
      <c r="C463" s="389"/>
      <c r="D463" s="390"/>
      <c r="E463" s="389"/>
      <c r="F463" s="392"/>
      <c r="G463" s="389"/>
      <c r="H463" s="389"/>
      <c r="I463" s="389"/>
      <c r="J463" s="389"/>
      <c r="K463" s="389"/>
      <c r="L463" s="389"/>
      <c r="M463" s="389"/>
      <c r="N463" s="389"/>
      <c r="O463" s="389"/>
      <c r="P463" s="389"/>
      <c r="Q463" s="389"/>
      <c r="R463" s="389"/>
      <c r="S463" s="389"/>
      <c r="T463" s="389"/>
      <c r="U463" s="389"/>
      <c r="V463" s="389"/>
      <c r="W463" s="389"/>
      <c r="X463" s="389"/>
      <c r="Y463" s="389"/>
      <c r="Z463" s="389"/>
      <c r="AA463" s="389"/>
      <c r="AB463" s="389"/>
      <c r="AC463" s="389"/>
      <c r="AD463" s="389"/>
      <c r="AE463" s="389"/>
      <c r="AF463" s="389"/>
      <c r="AG463" s="389"/>
    </row>
    <row r="464">
      <c r="A464" s="389"/>
      <c r="B464" s="389"/>
      <c r="C464" s="389"/>
      <c r="D464" s="390"/>
      <c r="E464" s="389"/>
      <c r="F464" s="392"/>
      <c r="G464" s="389"/>
      <c r="H464" s="389"/>
      <c r="I464" s="389"/>
      <c r="J464" s="389"/>
      <c r="K464" s="389"/>
      <c r="L464" s="389"/>
      <c r="M464" s="389"/>
      <c r="N464" s="389"/>
      <c r="O464" s="389"/>
      <c r="P464" s="389"/>
      <c r="Q464" s="389"/>
      <c r="R464" s="389"/>
      <c r="S464" s="389"/>
      <c r="T464" s="389"/>
      <c r="U464" s="389"/>
      <c r="V464" s="389"/>
      <c r="W464" s="389"/>
      <c r="X464" s="389"/>
      <c r="Y464" s="389"/>
      <c r="Z464" s="389"/>
      <c r="AA464" s="389"/>
      <c r="AB464" s="389"/>
      <c r="AC464" s="389"/>
      <c r="AD464" s="389"/>
      <c r="AE464" s="389"/>
      <c r="AF464" s="389"/>
      <c r="AG464" s="389"/>
    </row>
    <row r="465">
      <c r="A465" s="389"/>
      <c r="B465" s="389"/>
      <c r="C465" s="389"/>
      <c r="D465" s="390"/>
      <c r="E465" s="389"/>
      <c r="F465" s="392"/>
      <c r="G465" s="389"/>
      <c r="H465" s="389"/>
      <c r="I465" s="389"/>
      <c r="J465" s="389"/>
      <c r="K465" s="389"/>
      <c r="L465" s="389"/>
      <c r="M465" s="389"/>
      <c r="N465" s="389"/>
      <c r="O465" s="389"/>
      <c r="P465" s="389"/>
      <c r="Q465" s="389"/>
      <c r="R465" s="389"/>
      <c r="S465" s="389"/>
      <c r="T465" s="389"/>
      <c r="U465" s="389"/>
      <c r="V465" s="389"/>
      <c r="W465" s="389"/>
      <c r="X465" s="389"/>
      <c r="Y465" s="389"/>
      <c r="Z465" s="389"/>
      <c r="AA465" s="389"/>
      <c r="AB465" s="389"/>
      <c r="AC465" s="389"/>
      <c r="AD465" s="389"/>
      <c r="AE465" s="389"/>
      <c r="AF465" s="389"/>
      <c r="AG465" s="389"/>
    </row>
    <row r="466">
      <c r="A466" s="389"/>
      <c r="B466" s="389"/>
      <c r="C466" s="389"/>
      <c r="D466" s="390"/>
      <c r="E466" s="389"/>
      <c r="F466" s="392"/>
      <c r="G466" s="389"/>
      <c r="H466" s="389"/>
      <c r="I466" s="389"/>
      <c r="J466" s="389"/>
      <c r="K466" s="389"/>
      <c r="L466" s="389"/>
      <c r="M466" s="389"/>
      <c r="N466" s="389"/>
      <c r="O466" s="389"/>
      <c r="P466" s="389"/>
      <c r="Q466" s="389"/>
      <c r="R466" s="389"/>
      <c r="S466" s="389"/>
      <c r="T466" s="389"/>
      <c r="U466" s="389"/>
      <c r="V466" s="389"/>
      <c r="W466" s="389"/>
      <c r="X466" s="389"/>
      <c r="Y466" s="389"/>
      <c r="Z466" s="389"/>
      <c r="AA466" s="389"/>
      <c r="AB466" s="389"/>
      <c r="AC466" s="389"/>
      <c r="AD466" s="389"/>
      <c r="AE466" s="389"/>
      <c r="AF466" s="389"/>
      <c r="AG466" s="389"/>
    </row>
    <row r="467">
      <c r="A467" s="389"/>
      <c r="B467" s="389"/>
      <c r="C467" s="389"/>
      <c r="D467" s="390"/>
      <c r="E467" s="389"/>
      <c r="F467" s="392"/>
      <c r="G467" s="389"/>
      <c r="H467" s="389"/>
      <c r="I467" s="389"/>
      <c r="J467" s="389"/>
      <c r="K467" s="389"/>
      <c r="L467" s="389"/>
      <c r="M467" s="389"/>
      <c r="N467" s="389"/>
      <c r="O467" s="389"/>
      <c r="P467" s="389"/>
      <c r="Q467" s="389"/>
      <c r="R467" s="389"/>
      <c r="S467" s="389"/>
      <c r="T467" s="389"/>
      <c r="U467" s="389"/>
      <c r="V467" s="389"/>
      <c r="W467" s="389"/>
      <c r="X467" s="389"/>
      <c r="Y467" s="389"/>
      <c r="Z467" s="389"/>
      <c r="AA467" s="389"/>
      <c r="AB467" s="389"/>
      <c r="AC467" s="389"/>
      <c r="AD467" s="389"/>
      <c r="AE467" s="389"/>
      <c r="AF467" s="389"/>
      <c r="AG467" s="389"/>
    </row>
    <row r="468">
      <c r="A468" s="389"/>
      <c r="B468" s="389"/>
      <c r="C468" s="389"/>
      <c r="D468" s="390"/>
      <c r="E468" s="389"/>
      <c r="F468" s="392"/>
      <c r="G468" s="389"/>
      <c r="H468" s="389"/>
      <c r="I468" s="389"/>
      <c r="J468" s="389"/>
      <c r="K468" s="389"/>
      <c r="L468" s="389"/>
      <c r="M468" s="389"/>
      <c r="N468" s="389"/>
      <c r="O468" s="389"/>
      <c r="P468" s="389"/>
      <c r="Q468" s="389"/>
      <c r="R468" s="389"/>
      <c r="S468" s="389"/>
      <c r="T468" s="389"/>
      <c r="U468" s="389"/>
      <c r="V468" s="389"/>
      <c r="W468" s="389"/>
      <c r="X468" s="389"/>
      <c r="Y468" s="389"/>
      <c r="Z468" s="389"/>
      <c r="AA468" s="389"/>
      <c r="AB468" s="389"/>
      <c r="AC468" s="389"/>
      <c r="AD468" s="389"/>
      <c r="AE468" s="389"/>
      <c r="AF468" s="389"/>
      <c r="AG468" s="389"/>
    </row>
    <row r="469">
      <c r="A469" s="389"/>
      <c r="B469" s="389"/>
      <c r="C469" s="389"/>
      <c r="D469" s="390"/>
      <c r="E469" s="389"/>
      <c r="F469" s="392"/>
      <c r="G469" s="389"/>
      <c r="H469" s="389"/>
      <c r="I469" s="389"/>
      <c r="J469" s="389"/>
      <c r="K469" s="389"/>
      <c r="L469" s="389"/>
      <c r="M469" s="389"/>
      <c r="N469" s="389"/>
      <c r="O469" s="389"/>
      <c r="P469" s="389"/>
      <c r="Q469" s="389"/>
      <c r="R469" s="389"/>
      <c r="S469" s="389"/>
      <c r="T469" s="389"/>
      <c r="U469" s="389"/>
      <c r="V469" s="389"/>
      <c r="W469" s="389"/>
      <c r="X469" s="389"/>
      <c r="Y469" s="389"/>
      <c r="Z469" s="389"/>
      <c r="AA469" s="389"/>
      <c r="AB469" s="389"/>
      <c r="AC469" s="389"/>
      <c r="AD469" s="389"/>
      <c r="AE469" s="389"/>
      <c r="AF469" s="389"/>
      <c r="AG469" s="389"/>
    </row>
    <row r="470">
      <c r="A470" s="389"/>
      <c r="B470" s="389"/>
      <c r="C470" s="389"/>
      <c r="D470" s="390"/>
      <c r="E470" s="389"/>
      <c r="F470" s="392"/>
      <c r="G470" s="389"/>
      <c r="H470" s="389"/>
      <c r="I470" s="389"/>
      <c r="J470" s="389"/>
      <c r="K470" s="389"/>
      <c r="L470" s="389"/>
      <c r="M470" s="389"/>
      <c r="N470" s="389"/>
      <c r="O470" s="389"/>
      <c r="P470" s="389"/>
      <c r="Q470" s="389"/>
      <c r="R470" s="389"/>
      <c r="S470" s="389"/>
      <c r="T470" s="389"/>
      <c r="U470" s="389"/>
      <c r="V470" s="389"/>
      <c r="W470" s="389"/>
      <c r="X470" s="389"/>
      <c r="Y470" s="389"/>
      <c r="Z470" s="389"/>
      <c r="AA470" s="389"/>
      <c r="AB470" s="389"/>
      <c r="AC470" s="389"/>
      <c r="AD470" s="389"/>
      <c r="AE470" s="389"/>
      <c r="AF470" s="389"/>
      <c r="AG470" s="389"/>
    </row>
    <row r="471">
      <c r="A471" s="389"/>
      <c r="B471" s="389"/>
      <c r="C471" s="389"/>
      <c r="D471" s="390"/>
      <c r="E471" s="389"/>
      <c r="F471" s="392"/>
      <c r="G471" s="389"/>
      <c r="H471" s="389"/>
      <c r="I471" s="389"/>
      <c r="J471" s="389"/>
      <c r="K471" s="389"/>
      <c r="L471" s="389"/>
      <c r="M471" s="389"/>
      <c r="N471" s="389"/>
      <c r="O471" s="389"/>
      <c r="P471" s="389"/>
      <c r="Q471" s="389"/>
      <c r="R471" s="389"/>
      <c r="S471" s="389"/>
      <c r="T471" s="389"/>
      <c r="U471" s="389"/>
      <c r="V471" s="389"/>
      <c r="W471" s="389"/>
      <c r="X471" s="389"/>
      <c r="Y471" s="389"/>
      <c r="Z471" s="389"/>
      <c r="AA471" s="389"/>
      <c r="AB471" s="389"/>
      <c r="AC471" s="389"/>
      <c r="AD471" s="389"/>
      <c r="AE471" s="389"/>
      <c r="AF471" s="389"/>
      <c r="AG471" s="389"/>
    </row>
    <row r="472">
      <c r="A472" s="389"/>
      <c r="B472" s="389"/>
      <c r="C472" s="389"/>
      <c r="D472" s="390"/>
      <c r="E472" s="389"/>
      <c r="F472" s="392"/>
      <c r="G472" s="389"/>
      <c r="H472" s="389"/>
      <c r="I472" s="389"/>
      <c r="J472" s="389"/>
      <c r="K472" s="389"/>
      <c r="L472" s="389"/>
      <c r="M472" s="389"/>
      <c r="N472" s="389"/>
      <c r="O472" s="389"/>
      <c r="P472" s="389"/>
      <c r="Q472" s="389"/>
      <c r="R472" s="389"/>
      <c r="S472" s="389"/>
      <c r="T472" s="389"/>
      <c r="U472" s="389"/>
      <c r="V472" s="389"/>
      <c r="W472" s="389"/>
      <c r="X472" s="389"/>
      <c r="Y472" s="389"/>
      <c r="Z472" s="389"/>
      <c r="AA472" s="389"/>
      <c r="AB472" s="389"/>
      <c r="AC472" s="389"/>
      <c r="AD472" s="389"/>
      <c r="AE472" s="389"/>
      <c r="AF472" s="389"/>
      <c r="AG472" s="389"/>
    </row>
    <row r="473">
      <c r="A473" s="389"/>
      <c r="B473" s="389"/>
      <c r="C473" s="389"/>
      <c r="D473" s="390"/>
      <c r="E473" s="389"/>
      <c r="F473" s="392"/>
      <c r="G473" s="389"/>
      <c r="H473" s="389"/>
      <c r="I473" s="389"/>
      <c r="J473" s="389"/>
      <c r="K473" s="389"/>
      <c r="L473" s="389"/>
      <c r="M473" s="389"/>
      <c r="N473" s="389"/>
      <c r="O473" s="389"/>
      <c r="P473" s="389"/>
      <c r="Q473" s="389"/>
      <c r="R473" s="389"/>
      <c r="S473" s="389"/>
      <c r="T473" s="389"/>
      <c r="U473" s="389"/>
      <c r="V473" s="389"/>
      <c r="W473" s="389"/>
      <c r="X473" s="389"/>
      <c r="Y473" s="389"/>
      <c r="Z473" s="389"/>
      <c r="AA473" s="389"/>
      <c r="AB473" s="389"/>
      <c r="AC473" s="389"/>
      <c r="AD473" s="389"/>
      <c r="AE473" s="389"/>
      <c r="AF473" s="389"/>
      <c r="AG473" s="389"/>
    </row>
    <row r="474">
      <c r="A474" s="389"/>
      <c r="B474" s="389"/>
      <c r="C474" s="389"/>
      <c r="D474" s="390"/>
      <c r="E474" s="389"/>
      <c r="F474" s="392"/>
      <c r="G474" s="389"/>
      <c r="H474" s="389"/>
      <c r="I474" s="389"/>
      <c r="J474" s="389"/>
      <c r="K474" s="389"/>
      <c r="L474" s="389"/>
      <c r="M474" s="389"/>
      <c r="N474" s="389"/>
      <c r="O474" s="389"/>
      <c r="P474" s="389"/>
      <c r="Q474" s="389"/>
      <c r="R474" s="389"/>
      <c r="S474" s="389"/>
      <c r="T474" s="389"/>
      <c r="U474" s="389"/>
      <c r="V474" s="389"/>
      <c r="W474" s="389"/>
      <c r="X474" s="389"/>
      <c r="Y474" s="389"/>
      <c r="Z474" s="389"/>
      <c r="AA474" s="389"/>
      <c r="AB474" s="389"/>
      <c r="AC474" s="389"/>
      <c r="AD474" s="389"/>
      <c r="AE474" s="389"/>
      <c r="AF474" s="389"/>
      <c r="AG474" s="389"/>
    </row>
    <row r="475">
      <c r="A475" s="389"/>
      <c r="B475" s="389"/>
      <c r="C475" s="389"/>
      <c r="D475" s="390"/>
      <c r="E475" s="389"/>
      <c r="F475" s="392"/>
      <c r="G475" s="389"/>
      <c r="H475" s="389"/>
      <c r="I475" s="389"/>
      <c r="J475" s="389"/>
      <c r="K475" s="389"/>
      <c r="L475" s="389"/>
      <c r="M475" s="389"/>
      <c r="N475" s="389"/>
      <c r="O475" s="389"/>
      <c r="P475" s="389"/>
      <c r="Q475" s="389"/>
      <c r="R475" s="389"/>
      <c r="S475" s="389"/>
      <c r="T475" s="389"/>
      <c r="U475" s="389"/>
      <c r="V475" s="389"/>
      <c r="W475" s="389"/>
      <c r="X475" s="389"/>
      <c r="Y475" s="389"/>
      <c r="Z475" s="389"/>
      <c r="AA475" s="389"/>
      <c r="AB475" s="389"/>
      <c r="AC475" s="389"/>
      <c r="AD475" s="389"/>
      <c r="AE475" s="389"/>
      <c r="AF475" s="389"/>
      <c r="AG475" s="389"/>
    </row>
    <row r="476">
      <c r="A476" s="389"/>
      <c r="B476" s="389"/>
      <c r="C476" s="389"/>
      <c r="D476" s="390"/>
      <c r="E476" s="389"/>
      <c r="F476" s="392"/>
      <c r="G476" s="389"/>
      <c r="H476" s="389"/>
      <c r="I476" s="389"/>
      <c r="J476" s="389"/>
      <c r="K476" s="389"/>
      <c r="L476" s="389"/>
      <c r="M476" s="389"/>
      <c r="N476" s="389"/>
      <c r="O476" s="389"/>
      <c r="P476" s="389"/>
      <c r="Q476" s="389"/>
      <c r="R476" s="389"/>
      <c r="S476" s="389"/>
      <c r="T476" s="389"/>
      <c r="U476" s="389"/>
      <c r="V476" s="389"/>
      <c r="W476" s="389"/>
      <c r="X476" s="389"/>
      <c r="Y476" s="389"/>
      <c r="Z476" s="389"/>
      <c r="AA476" s="389"/>
      <c r="AB476" s="389"/>
      <c r="AC476" s="389"/>
      <c r="AD476" s="389"/>
      <c r="AE476" s="389"/>
      <c r="AF476" s="389"/>
      <c r="AG476" s="389"/>
    </row>
    <row r="477">
      <c r="A477" s="389"/>
      <c r="B477" s="389"/>
      <c r="C477" s="389"/>
      <c r="D477" s="390"/>
      <c r="E477" s="389"/>
      <c r="F477" s="392"/>
      <c r="G477" s="389"/>
      <c r="H477" s="389"/>
      <c r="I477" s="389"/>
      <c r="J477" s="389"/>
      <c r="K477" s="389"/>
      <c r="L477" s="389"/>
      <c r="M477" s="389"/>
      <c r="N477" s="389"/>
      <c r="O477" s="389"/>
      <c r="P477" s="389"/>
      <c r="Q477" s="389"/>
      <c r="R477" s="389"/>
      <c r="S477" s="389"/>
      <c r="T477" s="389"/>
      <c r="U477" s="389"/>
      <c r="V477" s="389"/>
      <c r="W477" s="389"/>
      <c r="X477" s="389"/>
      <c r="Y477" s="389"/>
      <c r="Z477" s="389"/>
      <c r="AA477" s="389"/>
      <c r="AB477" s="389"/>
      <c r="AC477" s="389"/>
      <c r="AD477" s="389"/>
      <c r="AE477" s="389"/>
      <c r="AF477" s="389"/>
      <c r="AG477" s="389"/>
    </row>
    <row r="478">
      <c r="A478" s="389"/>
      <c r="B478" s="389"/>
      <c r="C478" s="389"/>
      <c r="D478" s="390"/>
      <c r="E478" s="389"/>
      <c r="F478" s="392"/>
      <c r="G478" s="389"/>
      <c r="H478" s="389"/>
      <c r="I478" s="389"/>
      <c r="J478" s="389"/>
      <c r="K478" s="389"/>
      <c r="L478" s="389"/>
      <c r="M478" s="389"/>
      <c r="N478" s="389"/>
      <c r="O478" s="389"/>
      <c r="P478" s="389"/>
      <c r="Q478" s="389"/>
      <c r="R478" s="389"/>
      <c r="S478" s="389"/>
      <c r="T478" s="389"/>
      <c r="U478" s="389"/>
      <c r="V478" s="389"/>
      <c r="W478" s="389"/>
      <c r="X478" s="389"/>
      <c r="Y478" s="389"/>
      <c r="Z478" s="389"/>
      <c r="AA478" s="389"/>
      <c r="AB478" s="389"/>
      <c r="AC478" s="389"/>
      <c r="AD478" s="389"/>
      <c r="AE478" s="389"/>
      <c r="AF478" s="389"/>
      <c r="AG478" s="389"/>
    </row>
    <row r="479">
      <c r="A479" s="389"/>
      <c r="B479" s="389"/>
      <c r="C479" s="389"/>
      <c r="D479" s="390"/>
      <c r="E479" s="389"/>
      <c r="F479" s="392"/>
      <c r="G479" s="389"/>
      <c r="H479" s="389"/>
      <c r="I479" s="389"/>
      <c r="J479" s="389"/>
      <c r="K479" s="389"/>
      <c r="L479" s="389"/>
      <c r="M479" s="389"/>
      <c r="N479" s="389"/>
      <c r="O479" s="389"/>
      <c r="P479" s="389"/>
      <c r="Q479" s="389"/>
      <c r="R479" s="389"/>
      <c r="S479" s="389"/>
      <c r="T479" s="389"/>
      <c r="U479" s="389"/>
      <c r="V479" s="389"/>
      <c r="W479" s="389"/>
      <c r="X479" s="389"/>
      <c r="Y479" s="389"/>
      <c r="Z479" s="389"/>
      <c r="AA479" s="389"/>
      <c r="AB479" s="389"/>
      <c r="AC479" s="389"/>
      <c r="AD479" s="389"/>
      <c r="AE479" s="389"/>
      <c r="AF479" s="389"/>
      <c r="AG479" s="389"/>
    </row>
    <row r="480">
      <c r="A480" s="389"/>
      <c r="B480" s="389"/>
      <c r="C480" s="389"/>
      <c r="D480" s="390"/>
      <c r="E480" s="389"/>
      <c r="F480" s="392"/>
      <c r="G480" s="389"/>
      <c r="H480" s="389"/>
      <c r="I480" s="389"/>
      <c r="J480" s="389"/>
      <c r="K480" s="389"/>
      <c r="L480" s="389"/>
      <c r="M480" s="389"/>
      <c r="N480" s="389"/>
      <c r="O480" s="389"/>
      <c r="P480" s="389"/>
      <c r="Q480" s="389"/>
      <c r="R480" s="389"/>
      <c r="S480" s="389"/>
      <c r="T480" s="389"/>
      <c r="U480" s="389"/>
      <c r="V480" s="389"/>
      <c r="W480" s="389"/>
      <c r="X480" s="389"/>
      <c r="Y480" s="389"/>
      <c r="Z480" s="389"/>
      <c r="AA480" s="389"/>
      <c r="AB480" s="389"/>
      <c r="AC480" s="389"/>
      <c r="AD480" s="389"/>
      <c r="AE480" s="389"/>
      <c r="AF480" s="389"/>
      <c r="AG480" s="389"/>
    </row>
    <row r="481">
      <c r="A481" s="389"/>
      <c r="B481" s="389"/>
      <c r="C481" s="389"/>
      <c r="D481" s="390"/>
      <c r="E481" s="389"/>
      <c r="F481" s="392"/>
      <c r="G481" s="389"/>
      <c r="H481" s="389"/>
      <c r="I481" s="389"/>
      <c r="J481" s="389"/>
      <c r="K481" s="389"/>
      <c r="L481" s="389"/>
      <c r="M481" s="389"/>
      <c r="N481" s="389"/>
      <c r="O481" s="389"/>
      <c r="P481" s="389"/>
      <c r="Q481" s="389"/>
      <c r="R481" s="389"/>
      <c r="S481" s="389"/>
      <c r="T481" s="389"/>
      <c r="U481" s="389"/>
      <c r="V481" s="389"/>
      <c r="W481" s="389"/>
      <c r="X481" s="389"/>
      <c r="Y481" s="389"/>
      <c r="Z481" s="389"/>
      <c r="AA481" s="389"/>
      <c r="AB481" s="389"/>
      <c r="AC481" s="389"/>
      <c r="AD481" s="389"/>
      <c r="AE481" s="389"/>
      <c r="AF481" s="389"/>
      <c r="AG481" s="389"/>
    </row>
    <row r="482">
      <c r="A482" s="389"/>
      <c r="B482" s="389"/>
      <c r="C482" s="389"/>
      <c r="D482" s="390"/>
      <c r="E482" s="389"/>
      <c r="F482" s="392"/>
      <c r="G482" s="389"/>
      <c r="H482" s="389"/>
      <c r="I482" s="389"/>
      <c r="J482" s="389"/>
      <c r="K482" s="389"/>
      <c r="L482" s="389"/>
      <c r="M482" s="389"/>
      <c r="N482" s="389"/>
      <c r="O482" s="389"/>
      <c r="P482" s="389"/>
      <c r="Q482" s="389"/>
      <c r="R482" s="389"/>
      <c r="S482" s="389"/>
      <c r="T482" s="389"/>
      <c r="U482" s="389"/>
      <c r="V482" s="389"/>
      <c r="W482" s="389"/>
      <c r="X482" s="389"/>
      <c r="Y482" s="389"/>
      <c r="Z482" s="389"/>
      <c r="AA482" s="389"/>
      <c r="AB482" s="389"/>
      <c r="AC482" s="389"/>
      <c r="AD482" s="389"/>
      <c r="AE482" s="389"/>
      <c r="AF482" s="389"/>
      <c r="AG482" s="389"/>
    </row>
    <row r="483">
      <c r="A483" s="389"/>
      <c r="B483" s="389"/>
      <c r="C483" s="389"/>
      <c r="D483" s="390"/>
      <c r="E483" s="389"/>
      <c r="F483" s="392"/>
      <c r="G483" s="389"/>
      <c r="H483" s="389"/>
      <c r="I483" s="389"/>
      <c r="J483" s="389"/>
      <c r="K483" s="389"/>
      <c r="L483" s="389"/>
      <c r="M483" s="389"/>
      <c r="N483" s="389"/>
      <c r="O483" s="389"/>
      <c r="P483" s="389"/>
      <c r="Q483" s="389"/>
      <c r="R483" s="389"/>
      <c r="S483" s="389"/>
      <c r="T483" s="389"/>
      <c r="U483" s="389"/>
      <c r="V483" s="389"/>
      <c r="W483" s="389"/>
      <c r="X483" s="389"/>
      <c r="Y483" s="389"/>
      <c r="Z483" s="389"/>
      <c r="AA483" s="389"/>
      <c r="AB483" s="389"/>
      <c r="AC483" s="389"/>
      <c r="AD483" s="389"/>
      <c r="AE483" s="389"/>
      <c r="AF483" s="389"/>
      <c r="AG483" s="389"/>
    </row>
    <row r="484">
      <c r="A484" s="389"/>
      <c r="B484" s="389"/>
      <c r="C484" s="389"/>
      <c r="D484" s="390"/>
      <c r="E484" s="389"/>
      <c r="F484" s="392"/>
      <c r="G484" s="389"/>
      <c r="H484" s="389"/>
      <c r="I484" s="389"/>
      <c r="J484" s="389"/>
      <c r="K484" s="389"/>
      <c r="L484" s="389"/>
      <c r="M484" s="389"/>
      <c r="N484" s="389"/>
      <c r="O484" s="389"/>
      <c r="P484" s="389"/>
      <c r="Q484" s="389"/>
      <c r="R484" s="389"/>
      <c r="S484" s="389"/>
      <c r="T484" s="389"/>
      <c r="U484" s="389"/>
      <c r="V484" s="389"/>
      <c r="W484" s="389"/>
      <c r="X484" s="389"/>
      <c r="Y484" s="389"/>
      <c r="Z484" s="389"/>
      <c r="AA484" s="389"/>
      <c r="AB484" s="389"/>
      <c r="AC484" s="389"/>
      <c r="AD484" s="389"/>
      <c r="AE484" s="389"/>
      <c r="AF484" s="389"/>
      <c r="AG484" s="389"/>
    </row>
    <row r="485">
      <c r="A485" s="389"/>
      <c r="B485" s="389"/>
      <c r="C485" s="389"/>
      <c r="D485" s="390"/>
      <c r="E485" s="389"/>
      <c r="F485" s="392"/>
      <c r="G485" s="389"/>
      <c r="H485" s="389"/>
      <c r="I485" s="389"/>
      <c r="J485" s="389"/>
      <c r="K485" s="389"/>
      <c r="L485" s="389"/>
      <c r="M485" s="389"/>
      <c r="N485" s="389"/>
      <c r="O485" s="389"/>
      <c r="P485" s="389"/>
      <c r="Q485" s="389"/>
      <c r="R485" s="389"/>
      <c r="S485" s="389"/>
      <c r="T485" s="389"/>
      <c r="U485" s="389"/>
      <c r="V485" s="389"/>
      <c r="W485" s="389"/>
      <c r="X485" s="389"/>
      <c r="Y485" s="389"/>
      <c r="Z485" s="389"/>
      <c r="AA485" s="389"/>
      <c r="AB485" s="389"/>
      <c r="AC485" s="389"/>
      <c r="AD485" s="389"/>
      <c r="AE485" s="389"/>
      <c r="AF485" s="389"/>
      <c r="AG485" s="389"/>
    </row>
    <row r="486">
      <c r="A486" s="389"/>
      <c r="B486" s="389"/>
      <c r="C486" s="389"/>
      <c r="D486" s="390"/>
      <c r="E486" s="389"/>
      <c r="F486" s="392"/>
      <c r="G486" s="389"/>
      <c r="H486" s="389"/>
      <c r="I486" s="389"/>
      <c r="J486" s="389"/>
      <c r="K486" s="389"/>
      <c r="L486" s="389"/>
      <c r="M486" s="389"/>
      <c r="N486" s="389"/>
      <c r="O486" s="389"/>
      <c r="P486" s="389"/>
      <c r="Q486" s="389"/>
      <c r="R486" s="389"/>
      <c r="S486" s="389"/>
      <c r="T486" s="389"/>
      <c r="U486" s="389"/>
      <c r="V486" s="389"/>
      <c r="W486" s="389"/>
      <c r="X486" s="389"/>
      <c r="Y486" s="389"/>
      <c r="Z486" s="389"/>
      <c r="AA486" s="389"/>
      <c r="AB486" s="389"/>
      <c r="AC486" s="389"/>
      <c r="AD486" s="389"/>
      <c r="AE486" s="389"/>
      <c r="AF486" s="389"/>
      <c r="AG486" s="389"/>
    </row>
    <row r="487">
      <c r="A487" s="389"/>
      <c r="B487" s="389"/>
      <c r="C487" s="389"/>
      <c r="D487" s="390"/>
      <c r="E487" s="389"/>
      <c r="F487" s="392"/>
      <c r="G487" s="389"/>
      <c r="H487" s="389"/>
      <c r="I487" s="389"/>
      <c r="J487" s="389"/>
      <c r="K487" s="389"/>
      <c r="L487" s="389"/>
      <c r="M487" s="389"/>
      <c r="N487" s="389"/>
      <c r="O487" s="389"/>
      <c r="P487" s="389"/>
      <c r="Q487" s="389"/>
      <c r="R487" s="389"/>
      <c r="S487" s="389"/>
      <c r="T487" s="389"/>
      <c r="U487" s="389"/>
      <c r="V487" s="389"/>
      <c r="W487" s="389"/>
      <c r="X487" s="389"/>
      <c r="Y487" s="389"/>
      <c r="Z487" s="389"/>
      <c r="AA487" s="389"/>
      <c r="AB487" s="389"/>
      <c r="AC487" s="389"/>
      <c r="AD487" s="389"/>
      <c r="AE487" s="389"/>
      <c r="AF487" s="389"/>
      <c r="AG487" s="389"/>
    </row>
    <row r="488">
      <c r="A488" s="389"/>
      <c r="B488" s="389"/>
      <c r="C488" s="389"/>
      <c r="D488" s="390"/>
      <c r="E488" s="389"/>
      <c r="F488" s="392"/>
      <c r="G488" s="389"/>
      <c r="H488" s="389"/>
      <c r="I488" s="389"/>
      <c r="J488" s="389"/>
      <c r="K488" s="389"/>
      <c r="L488" s="389"/>
      <c r="M488" s="389"/>
      <c r="N488" s="389"/>
      <c r="O488" s="389"/>
      <c r="P488" s="389"/>
      <c r="Q488" s="389"/>
      <c r="R488" s="389"/>
      <c r="S488" s="389"/>
      <c r="T488" s="389"/>
      <c r="U488" s="389"/>
      <c r="V488" s="389"/>
      <c r="W488" s="389"/>
      <c r="X488" s="389"/>
      <c r="Y488" s="389"/>
      <c r="Z488" s="389"/>
      <c r="AA488" s="389"/>
      <c r="AB488" s="389"/>
      <c r="AC488" s="389"/>
      <c r="AD488" s="389"/>
      <c r="AE488" s="389"/>
      <c r="AF488" s="389"/>
      <c r="AG488" s="389"/>
    </row>
    <row r="489">
      <c r="A489" s="389"/>
      <c r="B489" s="389"/>
      <c r="C489" s="389"/>
      <c r="D489" s="390"/>
      <c r="E489" s="389"/>
      <c r="F489" s="392"/>
      <c r="G489" s="389"/>
      <c r="H489" s="389"/>
      <c r="I489" s="389"/>
      <c r="J489" s="389"/>
      <c r="K489" s="389"/>
      <c r="L489" s="389"/>
      <c r="M489" s="389"/>
      <c r="N489" s="389"/>
      <c r="O489" s="389"/>
      <c r="P489" s="389"/>
      <c r="Q489" s="389"/>
      <c r="R489" s="389"/>
      <c r="S489" s="389"/>
      <c r="T489" s="389"/>
      <c r="U489" s="389"/>
      <c r="V489" s="389"/>
      <c r="W489" s="389"/>
      <c r="X489" s="389"/>
      <c r="Y489" s="389"/>
      <c r="Z489" s="389"/>
      <c r="AA489" s="389"/>
      <c r="AB489" s="389"/>
      <c r="AC489" s="389"/>
      <c r="AD489" s="389"/>
      <c r="AE489" s="389"/>
      <c r="AF489" s="389"/>
      <c r="AG489" s="389"/>
    </row>
    <row r="490">
      <c r="A490" s="389"/>
      <c r="B490" s="389"/>
      <c r="C490" s="389"/>
      <c r="D490" s="390"/>
      <c r="E490" s="389"/>
      <c r="F490" s="392"/>
      <c r="G490" s="389"/>
      <c r="H490" s="389"/>
      <c r="I490" s="389"/>
      <c r="J490" s="389"/>
      <c r="K490" s="389"/>
      <c r="L490" s="389"/>
      <c r="M490" s="389"/>
      <c r="N490" s="389"/>
      <c r="O490" s="389"/>
      <c r="P490" s="389"/>
      <c r="Q490" s="389"/>
      <c r="R490" s="389"/>
      <c r="S490" s="389"/>
      <c r="T490" s="389"/>
      <c r="U490" s="389"/>
      <c r="V490" s="389"/>
      <c r="W490" s="389"/>
      <c r="X490" s="389"/>
      <c r="Y490" s="389"/>
      <c r="Z490" s="389"/>
      <c r="AA490" s="389"/>
      <c r="AB490" s="389"/>
      <c r="AC490" s="389"/>
      <c r="AD490" s="389"/>
      <c r="AE490" s="389"/>
      <c r="AF490" s="389"/>
      <c r="AG490" s="389"/>
    </row>
    <row r="491">
      <c r="A491" s="389"/>
      <c r="B491" s="389"/>
      <c r="C491" s="389"/>
      <c r="D491" s="390"/>
      <c r="E491" s="389"/>
      <c r="F491" s="392"/>
      <c r="G491" s="389"/>
      <c r="H491" s="389"/>
      <c r="I491" s="389"/>
      <c r="J491" s="389"/>
      <c r="K491" s="389"/>
      <c r="L491" s="389"/>
      <c r="M491" s="389"/>
      <c r="N491" s="389"/>
      <c r="O491" s="389"/>
      <c r="P491" s="389"/>
      <c r="Q491" s="389"/>
      <c r="R491" s="389"/>
      <c r="S491" s="389"/>
      <c r="T491" s="389"/>
      <c r="U491" s="389"/>
      <c r="V491" s="389"/>
      <c r="W491" s="389"/>
      <c r="X491" s="389"/>
      <c r="Y491" s="389"/>
      <c r="Z491" s="389"/>
      <c r="AA491" s="389"/>
      <c r="AB491" s="389"/>
      <c r="AC491" s="389"/>
      <c r="AD491" s="389"/>
      <c r="AE491" s="389"/>
      <c r="AF491" s="389"/>
      <c r="AG491" s="389"/>
    </row>
    <row r="492">
      <c r="A492" s="389"/>
      <c r="B492" s="389"/>
      <c r="C492" s="389"/>
      <c r="D492" s="390"/>
      <c r="E492" s="389"/>
      <c r="F492" s="392"/>
      <c r="G492" s="389"/>
      <c r="H492" s="389"/>
      <c r="I492" s="389"/>
      <c r="J492" s="389"/>
      <c r="K492" s="389"/>
      <c r="L492" s="389"/>
      <c r="M492" s="389"/>
      <c r="N492" s="389"/>
      <c r="O492" s="389"/>
      <c r="P492" s="389"/>
      <c r="Q492" s="389"/>
      <c r="R492" s="389"/>
      <c r="S492" s="389"/>
      <c r="T492" s="389"/>
      <c r="U492" s="389"/>
      <c r="V492" s="389"/>
      <c r="W492" s="389"/>
      <c r="X492" s="389"/>
      <c r="Y492" s="389"/>
      <c r="Z492" s="389"/>
      <c r="AA492" s="389"/>
      <c r="AB492" s="389"/>
      <c r="AC492" s="389"/>
      <c r="AD492" s="389"/>
      <c r="AE492" s="389"/>
      <c r="AF492" s="389"/>
      <c r="AG492" s="389"/>
    </row>
    <row r="493">
      <c r="A493" s="389"/>
      <c r="B493" s="389"/>
      <c r="C493" s="389"/>
      <c r="D493" s="390"/>
      <c r="E493" s="389"/>
      <c r="F493" s="392"/>
      <c r="G493" s="389"/>
      <c r="H493" s="389"/>
      <c r="I493" s="389"/>
      <c r="J493" s="389"/>
      <c r="K493" s="389"/>
      <c r="L493" s="389"/>
      <c r="M493" s="389"/>
      <c r="N493" s="389"/>
      <c r="O493" s="389"/>
      <c r="P493" s="389"/>
      <c r="Q493" s="389"/>
      <c r="R493" s="389"/>
      <c r="S493" s="389"/>
      <c r="T493" s="389"/>
      <c r="U493" s="389"/>
      <c r="V493" s="389"/>
      <c r="W493" s="389"/>
      <c r="X493" s="389"/>
      <c r="Y493" s="389"/>
      <c r="Z493" s="389"/>
      <c r="AA493" s="389"/>
      <c r="AB493" s="389"/>
      <c r="AC493" s="389"/>
      <c r="AD493" s="389"/>
      <c r="AE493" s="389"/>
      <c r="AF493" s="389"/>
      <c r="AG493" s="389"/>
    </row>
    <row r="494">
      <c r="A494" s="389"/>
      <c r="B494" s="389"/>
      <c r="C494" s="389"/>
      <c r="D494" s="390"/>
      <c r="E494" s="389"/>
      <c r="F494" s="392"/>
      <c r="G494" s="389"/>
      <c r="H494" s="389"/>
      <c r="I494" s="389"/>
      <c r="J494" s="389"/>
      <c r="K494" s="389"/>
      <c r="L494" s="389"/>
      <c r="M494" s="389"/>
      <c r="N494" s="389"/>
      <c r="O494" s="389"/>
      <c r="P494" s="389"/>
      <c r="Q494" s="389"/>
      <c r="R494" s="389"/>
      <c r="S494" s="389"/>
      <c r="T494" s="389"/>
      <c r="U494" s="389"/>
      <c r="V494" s="389"/>
      <c r="W494" s="389"/>
      <c r="X494" s="389"/>
      <c r="Y494" s="389"/>
      <c r="Z494" s="389"/>
      <c r="AA494" s="389"/>
      <c r="AB494" s="389"/>
      <c r="AC494" s="389"/>
      <c r="AD494" s="389"/>
      <c r="AE494" s="389"/>
      <c r="AF494" s="389"/>
      <c r="AG494" s="389"/>
    </row>
    <row r="495">
      <c r="A495" s="389"/>
      <c r="B495" s="389"/>
      <c r="C495" s="389"/>
      <c r="D495" s="390"/>
      <c r="E495" s="389"/>
      <c r="F495" s="392"/>
      <c r="G495" s="389"/>
      <c r="H495" s="389"/>
      <c r="I495" s="389"/>
      <c r="J495" s="389"/>
      <c r="K495" s="389"/>
      <c r="L495" s="389"/>
      <c r="M495" s="389"/>
      <c r="N495" s="389"/>
      <c r="O495" s="389"/>
      <c r="P495" s="389"/>
      <c r="Q495" s="389"/>
      <c r="R495" s="389"/>
      <c r="S495" s="389"/>
      <c r="T495" s="389"/>
      <c r="U495" s="389"/>
      <c r="V495" s="389"/>
      <c r="W495" s="389"/>
      <c r="X495" s="389"/>
      <c r="Y495" s="389"/>
      <c r="Z495" s="389"/>
      <c r="AA495" s="389"/>
      <c r="AB495" s="389"/>
      <c r="AC495" s="389"/>
      <c r="AD495" s="389"/>
      <c r="AE495" s="389"/>
      <c r="AF495" s="389"/>
      <c r="AG495" s="389"/>
    </row>
    <row r="496">
      <c r="A496" s="389"/>
      <c r="B496" s="389"/>
      <c r="C496" s="389"/>
      <c r="D496" s="390"/>
      <c r="E496" s="389"/>
      <c r="F496" s="392"/>
      <c r="G496" s="389"/>
      <c r="H496" s="389"/>
      <c r="I496" s="389"/>
      <c r="J496" s="389"/>
      <c r="K496" s="389"/>
      <c r="L496" s="389"/>
      <c r="M496" s="389"/>
      <c r="N496" s="389"/>
      <c r="O496" s="389"/>
      <c r="P496" s="389"/>
      <c r="Q496" s="389"/>
      <c r="R496" s="389"/>
      <c r="S496" s="389"/>
      <c r="T496" s="389"/>
      <c r="U496" s="389"/>
      <c r="V496" s="389"/>
      <c r="W496" s="389"/>
      <c r="X496" s="389"/>
      <c r="Y496" s="389"/>
      <c r="Z496" s="389"/>
      <c r="AA496" s="389"/>
      <c r="AB496" s="389"/>
      <c r="AC496" s="389"/>
      <c r="AD496" s="389"/>
      <c r="AE496" s="389"/>
      <c r="AF496" s="389"/>
      <c r="AG496" s="389"/>
    </row>
    <row r="497">
      <c r="A497" s="389"/>
      <c r="B497" s="389"/>
      <c r="C497" s="389"/>
      <c r="D497" s="390"/>
      <c r="E497" s="389"/>
      <c r="F497" s="392"/>
      <c r="G497" s="389"/>
      <c r="H497" s="389"/>
      <c r="I497" s="389"/>
      <c r="J497" s="389"/>
      <c r="K497" s="389"/>
      <c r="L497" s="389"/>
      <c r="M497" s="389"/>
      <c r="N497" s="389"/>
      <c r="O497" s="389"/>
      <c r="P497" s="389"/>
      <c r="Q497" s="389"/>
      <c r="R497" s="389"/>
      <c r="S497" s="389"/>
      <c r="T497" s="389"/>
      <c r="U497" s="389"/>
      <c r="V497" s="389"/>
      <c r="W497" s="389"/>
      <c r="X497" s="389"/>
      <c r="Y497" s="389"/>
      <c r="Z497" s="389"/>
      <c r="AA497" s="389"/>
      <c r="AB497" s="389"/>
      <c r="AC497" s="389"/>
      <c r="AD497" s="389"/>
      <c r="AE497" s="389"/>
      <c r="AF497" s="389"/>
      <c r="AG497" s="389"/>
    </row>
    <row r="498">
      <c r="A498" s="389"/>
      <c r="B498" s="389"/>
      <c r="C498" s="389"/>
      <c r="D498" s="390"/>
      <c r="E498" s="389"/>
      <c r="F498" s="392"/>
      <c r="G498" s="389"/>
      <c r="H498" s="389"/>
      <c r="I498" s="389"/>
      <c r="J498" s="389"/>
      <c r="K498" s="389"/>
      <c r="L498" s="389"/>
      <c r="M498" s="389"/>
      <c r="N498" s="389"/>
      <c r="O498" s="389"/>
      <c r="P498" s="389"/>
      <c r="Q498" s="389"/>
      <c r="R498" s="389"/>
      <c r="S498" s="389"/>
      <c r="T498" s="389"/>
      <c r="U498" s="389"/>
      <c r="V498" s="389"/>
      <c r="W498" s="389"/>
      <c r="X498" s="389"/>
      <c r="Y498" s="389"/>
      <c r="Z498" s="389"/>
      <c r="AA498" s="389"/>
      <c r="AB498" s="389"/>
      <c r="AC498" s="389"/>
      <c r="AD498" s="389"/>
      <c r="AE498" s="389"/>
      <c r="AF498" s="389"/>
      <c r="AG498" s="389"/>
    </row>
    <row r="499">
      <c r="A499" s="389"/>
      <c r="B499" s="389"/>
      <c r="C499" s="389"/>
      <c r="D499" s="390"/>
      <c r="E499" s="389"/>
      <c r="F499" s="392"/>
      <c r="G499" s="389"/>
      <c r="H499" s="389"/>
      <c r="I499" s="389"/>
      <c r="J499" s="389"/>
      <c r="K499" s="389"/>
      <c r="L499" s="389"/>
      <c r="M499" s="389"/>
      <c r="N499" s="389"/>
      <c r="O499" s="389"/>
      <c r="P499" s="389"/>
      <c r="Q499" s="389"/>
      <c r="R499" s="389"/>
      <c r="S499" s="389"/>
      <c r="T499" s="389"/>
      <c r="U499" s="389"/>
      <c r="V499" s="389"/>
      <c r="W499" s="389"/>
      <c r="X499" s="389"/>
      <c r="Y499" s="389"/>
      <c r="Z499" s="389"/>
      <c r="AA499" s="389"/>
      <c r="AB499" s="389"/>
      <c r="AC499" s="389"/>
      <c r="AD499" s="389"/>
      <c r="AE499" s="389"/>
      <c r="AF499" s="389"/>
      <c r="AG499" s="389"/>
    </row>
    <row r="500">
      <c r="A500" s="389"/>
      <c r="B500" s="389"/>
      <c r="C500" s="389"/>
      <c r="D500" s="390"/>
      <c r="E500" s="389"/>
      <c r="F500" s="392"/>
      <c r="G500" s="389"/>
      <c r="H500" s="389"/>
      <c r="I500" s="389"/>
      <c r="J500" s="389"/>
      <c r="K500" s="389"/>
      <c r="L500" s="389"/>
      <c r="M500" s="389"/>
      <c r="N500" s="389"/>
      <c r="O500" s="389"/>
      <c r="P500" s="389"/>
      <c r="Q500" s="389"/>
      <c r="R500" s="389"/>
      <c r="S500" s="389"/>
      <c r="T500" s="389"/>
      <c r="U500" s="389"/>
      <c r="V500" s="389"/>
      <c r="W500" s="389"/>
      <c r="X500" s="389"/>
      <c r="Y500" s="389"/>
      <c r="Z500" s="389"/>
      <c r="AA500" s="389"/>
      <c r="AB500" s="389"/>
      <c r="AC500" s="389"/>
      <c r="AD500" s="389"/>
      <c r="AE500" s="389"/>
      <c r="AF500" s="389"/>
      <c r="AG500" s="389"/>
    </row>
    <row r="501">
      <c r="A501" s="389"/>
      <c r="B501" s="389"/>
      <c r="C501" s="389"/>
      <c r="D501" s="390"/>
      <c r="E501" s="389"/>
      <c r="F501" s="392"/>
      <c r="G501" s="389"/>
      <c r="H501" s="389"/>
      <c r="I501" s="389"/>
      <c r="J501" s="389"/>
      <c r="K501" s="389"/>
      <c r="L501" s="389"/>
      <c r="M501" s="389"/>
      <c r="N501" s="389"/>
      <c r="O501" s="389"/>
      <c r="P501" s="389"/>
      <c r="Q501" s="389"/>
      <c r="R501" s="389"/>
      <c r="S501" s="389"/>
      <c r="T501" s="389"/>
      <c r="U501" s="389"/>
      <c r="V501" s="389"/>
      <c r="W501" s="389"/>
      <c r="X501" s="389"/>
      <c r="Y501" s="389"/>
      <c r="Z501" s="389"/>
      <c r="AA501" s="389"/>
      <c r="AB501" s="389"/>
      <c r="AC501" s="389"/>
      <c r="AD501" s="389"/>
      <c r="AE501" s="389"/>
      <c r="AF501" s="389"/>
      <c r="AG501" s="389"/>
    </row>
    <row r="502">
      <c r="A502" s="389"/>
      <c r="B502" s="389"/>
      <c r="C502" s="389"/>
      <c r="D502" s="390"/>
      <c r="E502" s="389"/>
      <c r="F502" s="392"/>
      <c r="G502" s="389"/>
      <c r="H502" s="389"/>
      <c r="I502" s="389"/>
      <c r="J502" s="389"/>
      <c r="K502" s="389"/>
      <c r="L502" s="389"/>
      <c r="M502" s="389"/>
      <c r="N502" s="389"/>
      <c r="O502" s="389"/>
      <c r="P502" s="389"/>
      <c r="Q502" s="389"/>
      <c r="R502" s="389"/>
      <c r="S502" s="389"/>
      <c r="T502" s="389"/>
      <c r="U502" s="389"/>
      <c r="V502" s="389"/>
      <c r="W502" s="389"/>
      <c r="X502" s="389"/>
      <c r="Y502" s="389"/>
      <c r="Z502" s="389"/>
      <c r="AA502" s="389"/>
      <c r="AB502" s="389"/>
      <c r="AC502" s="389"/>
      <c r="AD502" s="389"/>
      <c r="AE502" s="389"/>
      <c r="AF502" s="389"/>
      <c r="AG502" s="389"/>
    </row>
    <row r="503">
      <c r="A503" s="389"/>
      <c r="B503" s="389"/>
      <c r="C503" s="389"/>
      <c r="D503" s="390"/>
      <c r="E503" s="389"/>
      <c r="F503" s="392"/>
      <c r="G503" s="389"/>
      <c r="H503" s="389"/>
      <c r="I503" s="389"/>
      <c r="J503" s="389"/>
      <c r="K503" s="389"/>
      <c r="L503" s="389"/>
      <c r="M503" s="389"/>
      <c r="N503" s="389"/>
      <c r="O503" s="389"/>
      <c r="P503" s="389"/>
      <c r="Q503" s="389"/>
      <c r="R503" s="389"/>
      <c r="S503" s="389"/>
      <c r="T503" s="389"/>
      <c r="U503" s="389"/>
      <c r="V503" s="389"/>
      <c r="W503" s="389"/>
      <c r="X503" s="389"/>
      <c r="Y503" s="389"/>
      <c r="Z503" s="389"/>
      <c r="AA503" s="389"/>
      <c r="AB503" s="389"/>
      <c r="AC503" s="389"/>
      <c r="AD503" s="389"/>
      <c r="AE503" s="389"/>
      <c r="AF503" s="389"/>
      <c r="AG503" s="389"/>
    </row>
    <row r="504">
      <c r="A504" s="389"/>
      <c r="B504" s="389"/>
      <c r="C504" s="389"/>
      <c r="D504" s="390"/>
      <c r="E504" s="389"/>
      <c r="F504" s="392"/>
      <c r="G504" s="389"/>
      <c r="H504" s="389"/>
      <c r="I504" s="389"/>
      <c r="J504" s="389"/>
      <c r="K504" s="389"/>
      <c r="L504" s="389"/>
      <c r="M504" s="389"/>
      <c r="N504" s="389"/>
      <c r="O504" s="389"/>
      <c r="P504" s="389"/>
      <c r="Q504" s="389"/>
      <c r="R504" s="389"/>
      <c r="S504" s="389"/>
      <c r="T504" s="389"/>
      <c r="U504" s="389"/>
      <c r="V504" s="389"/>
      <c r="W504" s="389"/>
      <c r="X504" s="389"/>
      <c r="Y504" s="389"/>
      <c r="Z504" s="389"/>
      <c r="AA504" s="389"/>
      <c r="AB504" s="389"/>
      <c r="AC504" s="389"/>
      <c r="AD504" s="389"/>
      <c r="AE504" s="389"/>
      <c r="AF504" s="389"/>
      <c r="AG504" s="389"/>
    </row>
    <row r="505">
      <c r="A505" s="389"/>
      <c r="B505" s="389"/>
      <c r="C505" s="389"/>
      <c r="D505" s="390"/>
      <c r="E505" s="389"/>
      <c r="F505" s="392"/>
      <c r="G505" s="389"/>
      <c r="H505" s="389"/>
      <c r="I505" s="389"/>
      <c r="J505" s="389"/>
      <c r="K505" s="389"/>
      <c r="L505" s="389"/>
      <c r="M505" s="389"/>
      <c r="N505" s="389"/>
      <c r="O505" s="389"/>
      <c r="P505" s="389"/>
      <c r="Q505" s="389"/>
      <c r="R505" s="389"/>
      <c r="S505" s="389"/>
      <c r="T505" s="389"/>
      <c r="U505" s="389"/>
      <c r="V505" s="389"/>
      <c r="W505" s="389"/>
      <c r="X505" s="389"/>
      <c r="Y505" s="389"/>
      <c r="Z505" s="389"/>
      <c r="AA505" s="389"/>
      <c r="AB505" s="389"/>
      <c r="AC505" s="389"/>
      <c r="AD505" s="389"/>
      <c r="AE505" s="389"/>
      <c r="AF505" s="389"/>
      <c r="AG505" s="389"/>
    </row>
    <row r="506">
      <c r="A506" s="389"/>
      <c r="B506" s="389"/>
      <c r="C506" s="389"/>
      <c r="D506" s="390"/>
      <c r="E506" s="389"/>
      <c r="F506" s="392"/>
      <c r="G506" s="389"/>
      <c r="H506" s="389"/>
      <c r="I506" s="389"/>
      <c r="J506" s="389"/>
      <c r="K506" s="389"/>
      <c r="L506" s="389"/>
      <c r="M506" s="389"/>
      <c r="N506" s="389"/>
      <c r="O506" s="389"/>
      <c r="P506" s="389"/>
      <c r="Q506" s="389"/>
      <c r="R506" s="389"/>
      <c r="S506" s="389"/>
      <c r="T506" s="389"/>
      <c r="U506" s="389"/>
      <c r="V506" s="389"/>
      <c r="W506" s="389"/>
      <c r="X506" s="389"/>
      <c r="Y506" s="389"/>
      <c r="Z506" s="389"/>
      <c r="AA506" s="389"/>
      <c r="AB506" s="389"/>
      <c r="AC506" s="389"/>
      <c r="AD506" s="389"/>
      <c r="AE506" s="389"/>
      <c r="AF506" s="389"/>
      <c r="AG506" s="389"/>
    </row>
    <row r="507">
      <c r="A507" s="389"/>
      <c r="B507" s="389"/>
      <c r="C507" s="389"/>
      <c r="D507" s="390"/>
      <c r="E507" s="389"/>
      <c r="F507" s="392"/>
      <c r="G507" s="389"/>
      <c r="H507" s="389"/>
      <c r="I507" s="389"/>
      <c r="J507" s="389"/>
      <c r="K507" s="389"/>
      <c r="L507" s="389"/>
      <c r="M507" s="389"/>
      <c r="N507" s="389"/>
      <c r="O507" s="389"/>
      <c r="P507" s="389"/>
      <c r="Q507" s="389"/>
      <c r="R507" s="389"/>
      <c r="S507" s="389"/>
      <c r="T507" s="389"/>
      <c r="U507" s="389"/>
      <c r="V507" s="389"/>
      <c r="W507" s="389"/>
      <c r="X507" s="389"/>
      <c r="Y507" s="389"/>
      <c r="Z507" s="389"/>
      <c r="AA507" s="389"/>
      <c r="AB507" s="389"/>
      <c r="AC507" s="389"/>
      <c r="AD507" s="389"/>
      <c r="AE507" s="389"/>
      <c r="AF507" s="389"/>
      <c r="AG507" s="389"/>
    </row>
    <row r="508">
      <c r="A508" s="389"/>
      <c r="B508" s="389"/>
      <c r="C508" s="389"/>
      <c r="D508" s="390"/>
      <c r="E508" s="389"/>
      <c r="F508" s="392"/>
      <c r="G508" s="389"/>
      <c r="H508" s="389"/>
      <c r="I508" s="389"/>
      <c r="J508" s="389"/>
      <c r="K508" s="389"/>
      <c r="L508" s="389"/>
      <c r="M508" s="389"/>
      <c r="N508" s="389"/>
      <c r="O508" s="389"/>
      <c r="P508" s="389"/>
      <c r="Q508" s="389"/>
      <c r="R508" s="389"/>
      <c r="S508" s="389"/>
      <c r="T508" s="389"/>
      <c r="U508" s="389"/>
      <c r="V508" s="389"/>
      <c r="W508" s="389"/>
      <c r="X508" s="389"/>
      <c r="Y508" s="389"/>
      <c r="Z508" s="389"/>
      <c r="AA508" s="389"/>
      <c r="AB508" s="389"/>
      <c r="AC508" s="389"/>
      <c r="AD508" s="389"/>
      <c r="AE508" s="389"/>
      <c r="AF508" s="389"/>
      <c r="AG508" s="389"/>
    </row>
    <row r="509">
      <c r="A509" s="389"/>
      <c r="B509" s="389"/>
      <c r="C509" s="389"/>
      <c r="D509" s="390"/>
      <c r="E509" s="389"/>
      <c r="F509" s="392"/>
      <c r="G509" s="389"/>
      <c r="H509" s="389"/>
      <c r="I509" s="389"/>
      <c r="J509" s="389"/>
      <c r="K509" s="389"/>
      <c r="L509" s="389"/>
      <c r="M509" s="389"/>
      <c r="N509" s="389"/>
      <c r="O509" s="389"/>
      <c r="P509" s="389"/>
      <c r="Q509" s="389"/>
      <c r="R509" s="389"/>
      <c r="S509" s="389"/>
      <c r="T509" s="389"/>
      <c r="U509" s="389"/>
      <c r="V509" s="389"/>
      <c r="W509" s="389"/>
      <c r="X509" s="389"/>
      <c r="Y509" s="389"/>
      <c r="Z509" s="389"/>
      <c r="AA509" s="389"/>
      <c r="AB509" s="389"/>
      <c r="AC509" s="389"/>
      <c r="AD509" s="389"/>
      <c r="AE509" s="389"/>
      <c r="AF509" s="389"/>
      <c r="AG509" s="389"/>
    </row>
    <row r="510">
      <c r="A510" s="389"/>
      <c r="B510" s="389"/>
      <c r="C510" s="389"/>
      <c r="D510" s="390"/>
      <c r="E510" s="389"/>
      <c r="F510" s="392"/>
      <c r="G510" s="389"/>
      <c r="H510" s="389"/>
      <c r="I510" s="389"/>
      <c r="J510" s="389"/>
      <c r="K510" s="389"/>
      <c r="L510" s="389"/>
      <c r="M510" s="389"/>
      <c r="N510" s="389"/>
      <c r="O510" s="389"/>
      <c r="P510" s="389"/>
      <c r="Q510" s="389"/>
      <c r="R510" s="389"/>
      <c r="S510" s="389"/>
      <c r="T510" s="389"/>
      <c r="U510" s="389"/>
      <c r="V510" s="389"/>
      <c r="W510" s="389"/>
      <c r="X510" s="389"/>
      <c r="Y510" s="389"/>
      <c r="Z510" s="389"/>
      <c r="AA510" s="389"/>
      <c r="AB510" s="389"/>
      <c r="AC510" s="389"/>
      <c r="AD510" s="389"/>
      <c r="AE510" s="389"/>
      <c r="AF510" s="389"/>
      <c r="AG510" s="389"/>
    </row>
    <row r="511">
      <c r="A511" s="389"/>
      <c r="B511" s="389"/>
      <c r="C511" s="389"/>
      <c r="D511" s="390"/>
      <c r="E511" s="389"/>
      <c r="F511" s="392"/>
      <c r="G511" s="389"/>
      <c r="H511" s="389"/>
      <c r="I511" s="389"/>
      <c r="J511" s="389"/>
      <c r="K511" s="389"/>
      <c r="L511" s="389"/>
      <c r="M511" s="389"/>
      <c r="N511" s="389"/>
      <c r="O511" s="389"/>
      <c r="P511" s="389"/>
      <c r="Q511" s="389"/>
      <c r="R511" s="389"/>
      <c r="S511" s="389"/>
      <c r="T511" s="389"/>
      <c r="U511" s="389"/>
      <c r="V511" s="389"/>
      <c r="W511" s="389"/>
      <c r="X511" s="389"/>
      <c r="Y511" s="389"/>
      <c r="Z511" s="389"/>
      <c r="AA511" s="389"/>
      <c r="AB511" s="389"/>
      <c r="AC511" s="389"/>
      <c r="AD511" s="389"/>
      <c r="AE511" s="389"/>
      <c r="AF511" s="389"/>
      <c r="AG511" s="389"/>
    </row>
    <row r="512">
      <c r="A512" s="389"/>
      <c r="B512" s="389"/>
      <c r="C512" s="389"/>
      <c r="D512" s="390"/>
      <c r="E512" s="389"/>
      <c r="F512" s="392"/>
      <c r="G512" s="389"/>
      <c r="H512" s="389"/>
      <c r="I512" s="389"/>
      <c r="J512" s="389"/>
      <c r="K512" s="389"/>
      <c r="L512" s="389"/>
      <c r="M512" s="389"/>
      <c r="N512" s="389"/>
      <c r="O512" s="389"/>
      <c r="P512" s="389"/>
      <c r="Q512" s="389"/>
      <c r="R512" s="389"/>
      <c r="S512" s="389"/>
      <c r="T512" s="389"/>
      <c r="U512" s="389"/>
      <c r="V512" s="389"/>
      <c r="W512" s="389"/>
      <c r="X512" s="389"/>
      <c r="Y512" s="389"/>
      <c r="Z512" s="389"/>
      <c r="AA512" s="389"/>
      <c r="AB512" s="389"/>
      <c r="AC512" s="389"/>
      <c r="AD512" s="389"/>
      <c r="AE512" s="389"/>
      <c r="AF512" s="389"/>
      <c r="AG512" s="389"/>
    </row>
    <row r="513">
      <c r="A513" s="389"/>
      <c r="B513" s="389"/>
      <c r="C513" s="389"/>
      <c r="D513" s="390"/>
      <c r="E513" s="389"/>
      <c r="F513" s="392"/>
      <c r="G513" s="389"/>
      <c r="H513" s="389"/>
      <c r="I513" s="389"/>
      <c r="J513" s="389"/>
      <c r="K513" s="389"/>
      <c r="L513" s="389"/>
      <c r="M513" s="389"/>
      <c r="N513" s="389"/>
      <c r="O513" s="389"/>
      <c r="P513" s="389"/>
      <c r="Q513" s="389"/>
      <c r="R513" s="389"/>
      <c r="S513" s="389"/>
      <c r="T513" s="389"/>
      <c r="U513" s="389"/>
      <c r="V513" s="389"/>
      <c r="W513" s="389"/>
      <c r="X513" s="389"/>
      <c r="Y513" s="389"/>
      <c r="Z513" s="389"/>
      <c r="AA513" s="389"/>
      <c r="AB513" s="389"/>
      <c r="AC513" s="389"/>
      <c r="AD513" s="389"/>
      <c r="AE513" s="389"/>
      <c r="AF513" s="389"/>
      <c r="AG513" s="389"/>
    </row>
    <row r="514">
      <c r="A514" s="389"/>
      <c r="B514" s="389"/>
      <c r="C514" s="389"/>
      <c r="D514" s="390"/>
      <c r="E514" s="389"/>
      <c r="F514" s="392"/>
      <c r="G514" s="389"/>
      <c r="H514" s="389"/>
      <c r="I514" s="389"/>
      <c r="J514" s="389"/>
      <c r="K514" s="389"/>
      <c r="L514" s="389"/>
      <c r="M514" s="389"/>
      <c r="N514" s="389"/>
      <c r="O514" s="389"/>
      <c r="P514" s="389"/>
      <c r="Q514" s="389"/>
      <c r="R514" s="389"/>
      <c r="S514" s="389"/>
      <c r="T514" s="389"/>
      <c r="U514" s="389"/>
      <c r="V514" s="389"/>
      <c r="W514" s="389"/>
      <c r="X514" s="389"/>
      <c r="Y514" s="389"/>
      <c r="Z514" s="389"/>
      <c r="AA514" s="389"/>
      <c r="AB514" s="389"/>
      <c r="AC514" s="389"/>
      <c r="AD514" s="389"/>
      <c r="AE514" s="389"/>
      <c r="AF514" s="389"/>
      <c r="AG514" s="389"/>
    </row>
    <row r="515">
      <c r="A515" s="389"/>
      <c r="B515" s="389"/>
      <c r="C515" s="389"/>
      <c r="D515" s="390"/>
      <c r="E515" s="389"/>
      <c r="F515" s="392"/>
      <c r="G515" s="389"/>
      <c r="H515" s="389"/>
      <c r="I515" s="389"/>
      <c r="J515" s="389"/>
      <c r="K515" s="389"/>
      <c r="L515" s="389"/>
      <c r="M515" s="389"/>
      <c r="N515" s="389"/>
      <c r="O515" s="389"/>
      <c r="P515" s="389"/>
      <c r="Q515" s="389"/>
      <c r="R515" s="389"/>
      <c r="S515" s="389"/>
      <c r="T515" s="389"/>
      <c r="U515" s="389"/>
      <c r="V515" s="389"/>
      <c r="W515" s="389"/>
      <c r="X515" s="389"/>
      <c r="Y515" s="389"/>
      <c r="Z515" s="389"/>
      <c r="AA515" s="389"/>
      <c r="AB515" s="389"/>
      <c r="AC515" s="389"/>
      <c r="AD515" s="389"/>
      <c r="AE515" s="389"/>
      <c r="AF515" s="389"/>
      <c r="AG515" s="389"/>
    </row>
    <row r="516">
      <c r="A516" s="389"/>
      <c r="B516" s="389"/>
      <c r="C516" s="389"/>
      <c r="D516" s="390"/>
      <c r="E516" s="389"/>
      <c r="F516" s="392"/>
      <c r="G516" s="389"/>
      <c r="H516" s="389"/>
      <c r="I516" s="389"/>
      <c r="J516" s="389"/>
      <c r="K516" s="389"/>
      <c r="L516" s="389"/>
      <c r="M516" s="389"/>
      <c r="N516" s="389"/>
      <c r="O516" s="389"/>
      <c r="P516" s="389"/>
      <c r="Q516" s="389"/>
      <c r="R516" s="389"/>
      <c r="S516" s="389"/>
      <c r="T516" s="389"/>
      <c r="U516" s="389"/>
      <c r="V516" s="389"/>
      <c r="W516" s="389"/>
      <c r="X516" s="389"/>
      <c r="Y516" s="389"/>
      <c r="Z516" s="389"/>
      <c r="AA516" s="389"/>
      <c r="AB516" s="389"/>
      <c r="AC516" s="389"/>
      <c r="AD516" s="389"/>
      <c r="AE516" s="389"/>
      <c r="AF516" s="389"/>
      <c r="AG516" s="389"/>
    </row>
    <row r="517">
      <c r="A517" s="389"/>
      <c r="B517" s="389"/>
      <c r="C517" s="389"/>
      <c r="D517" s="390"/>
      <c r="E517" s="389"/>
      <c r="F517" s="392"/>
      <c r="G517" s="389"/>
      <c r="H517" s="389"/>
      <c r="I517" s="389"/>
      <c r="J517" s="389"/>
      <c r="K517" s="389"/>
      <c r="L517" s="389"/>
      <c r="M517" s="389"/>
      <c r="N517" s="389"/>
      <c r="O517" s="389"/>
      <c r="P517" s="389"/>
      <c r="Q517" s="389"/>
      <c r="R517" s="389"/>
      <c r="S517" s="389"/>
      <c r="T517" s="389"/>
      <c r="U517" s="389"/>
      <c r="V517" s="389"/>
      <c r="W517" s="389"/>
      <c r="X517" s="389"/>
      <c r="Y517" s="389"/>
      <c r="Z517" s="389"/>
      <c r="AA517" s="389"/>
      <c r="AB517" s="389"/>
      <c r="AC517" s="389"/>
      <c r="AD517" s="389"/>
      <c r="AE517" s="389"/>
      <c r="AF517" s="389"/>
      <c r="AG517" s="389"/>
    </row>
    <row r="518">
      <c r="A518" s="389"/>
      <c r="B518" s="389"/>
      <c r="C518" s="389"/>
      <c r="D518" s="390"/>
      <c r="E518" s="389"/>
      <c r="F518" s="392"/>
      <c r="G518" s="389"/>
      <c r="H518" s="389"/>
      <c r="I518" s="389"/>
      <c r="J518" s="389"/>
      <c r="K518" s="389"/>
      <c r="L518" s="389"/>
      <c r="M518" s="389"/>
      <c r="N518" s="389"/>
      <c r="O518" s="389"/>
      <c r="P518" s="389"/>
      <c r="Q518" s="389"/>
      <c r="R518" s="389"/>
      <c r="S518" s="389"/>
      <c r="T518" s="389"/>
      <c r="U518" s="389"/>
      <c r="V518" s="389"/>
      <c r="W518" s="389"/>
      <c r="X518" s="389"/>
      <c r="Y518" s="389"/>
      <c r="Z518" s="389"/>
      <c r="AA518" s="389"/>
      <c r="AB518" s="389"/>
      <c r="AC518" s="389"/>
      <c r="AD518" s="389"/>
      <c r="AE518" s="389"/>
      <c r="AF518" s="389"/>
      <c r="AG518" s="389"/>
    </row>
    <row r="519">
      <c r="A519" s="389"/>
      <c r="B519" s="389"/>
      <c r="C519" s="389"/>
      <c r="D519" s="390"/>
      <c r="E519" s="389"/>
      <c r="F519" s="392"/>
      <c r="G519" s="389"/>
      <c r="H519" s="389"/>
      <c r="I519" s="389"/>
      <c r="J519" s="389"/>
      <c r="K519" s="389"/>
      <c r="L519" s="389"/>
      <c r="M519" s="389"/>
      <c r="N519" s="389"/>
      <c r="O519" s="389"/>
      <c r="P519" s="389"/>
      <c r="Q519" s="389"/>
      <c r="R519" s="389"/>
      <c r="S519" s="389"/>
      <c r="T519" s="389"/>
      <c r="U519" s="389"/>
      <c r="V519" s="389"/>
      <c r="W519" s="389"/>
      <c r="X519" s="389"/>
      <c r="Y519" s="389"/>
      <c r="Z519" s="389"/>
      <c r="AA519" s="389"/>
      <c r="AB519" s="389"/>
      <c r="AC519" s="389"/>
      <c r="AD519" s="389"/>
      <c r="AE519" s="389"/>
      <c r="AF519" s="389"/>
      <c r="AG519" s="389"/>
    </row>
    <row r="520">
      <c r="A520" s="389"/>
      <c r="B520" s="389"/>
      <c r="C520" s="389"/>
      <c r="D520" s="390"/>
      <c r="E520" s="389"/>
      <c r="F520" s="392"/>
      <c r="G520" s="389"/>
      <c r="H520" s="389"/>
      <c r="I520" s="389"/>
      <c r="J520" s="389"/>
      <c r="K520" s="389"/>
      <c r="L520" s="389"/>
      <c r="M520" s="389"/>
      <c r="N520" s="389"/>
      <c r="O520" s="389"/>
      <c r="P520" s="389"/>
      <c r="Q520" s="389"/>
      <c r="R520" s="389"/>
      <c r="S520" s="389"/>
      <c r="T520" s="389"/>
      <c r="U520" s="389"/>
      <c r="V520" s="389"/>
      <c r="W520" s="389"/>
      <c r="X520" s="389"/>
      <c r="Y520" s="389"/>
      <c r="Z520" s="389"/>
      <c r="AA520" s="389"/>
      <c r="AB520" s="389"/>
      <c r="AC520" s="389"/>
      <c r="AD520" s="389"/>
      <c r="AE520" s="389"/>
      <c r="AF520" s="389"/>
      <c r="AG520" s="389"/>
    </row>
    <row r="521">
      <c r="A521" s="389"/>
      <c r="B521" s="389"/>
      <c r="C521" s="389"/>
      <c r="D521" s="390"/>
      <c r="E521" s="389"/>
      <c r="F521" s="392"/>
      <c r="G521" s="389"/>
      <c r="H521" s="389"/>
      <c r="I521" s="389"/>
      <c r="J521" s="389"/>
      <c r="K521" s="389"/>
      <c r="L521" s="389"/>
      <c r="M521" s="389"/>
      <c r="N521" s="389"/>
      <c r="O521" s="389"/>
      <c r="P521" s="389"/>
      <c r="Q521" s="389"/>
      <c r="R521" s="389"/>
      <c r="S521" s="389"/>
      <c r="T521" s="389"/>
      <c r="U521" s="389"/>
      <c r="V521" s="389"/>
      <c r="W521" s="389"/>
      <c r="X521" s="389"/>
      <c r="Y521" s="389"/>
      <c r="Z521" s="389"/>
      <c r="AA521" s="389"/>
      <c r="AB521" s="389"/>
      <c r="AC521" s="389"/>
      <c r="AD521" s="389"/>
      <c r="AE521" s="389"/>
      <c r="AF521" s="389"/>
      <c r="AG521" s="389"/>
    </row>
    <row r="522">
      <c r="A522" s="389"/>
      <c r="B522" s="389"/>
      <c r="C522" s="389"/>
      <c r="D522" s="390"/>
      <c r="E522" s="389"/>
      <c r="F522" s="392"/>
      <c r="G522" s="389"/>
      <c r="H522" s="389"/>
      <c r="I522" s="389"/>
      <c r="J522" s="389"/>
      <c r="K522" s="389"/>
      <c r="L522" s="389"/>
      <c r="M522" s="389"/>
      <c r="N522" s="389"/>
      <c r="O522" s="389"/>
      <c r="P522" s="389"/>
      <c r="Q522" s="389"/>
      <c r="R522" s="389"/>
      <c r="S522" s="389"/>
      <c r="T522" s="389"/>
      <c r="U522" s="389"/>
      <c r="V522" s="389"/>
      <c r="W522" s="389"/>
      <c r="X522" s="389"/>
      <c r="Y522" s="389"/>
      <c r="Z522" s="389"/>
      <c r="AA522" s="389"/>
      <c r="AB522" s="389"/>
      <c r="AC522" s="389"/>
      <c r="AD522" s="389"/>
      <c r="AE522" s="389"/>
      <c r="AF522" s="389"/>
      <c r="AG522" s="389"/>
    </row>
    <row r="523">
      <c r="A523" s="389"/>
      <c r="B523" s="389"/>
      <c r="C523" s="389"/>
      <c r="D523" s="390"/>
      <c r="E523" s="389"/>
      <c r="F523" s="392"/>
      <c r="G523" s="389"/>
      <c r="H523" s="389"/>
      <c r="I523" s="389"/>
      <c r="J523" s="389"/>
      <c r="K523" s="389"/>
      <c r="L523" s="389"/>
      <c r="M523" s="389"/>
      <c r="N523" s="389"/>
      <c r="O523" s="389"/>
      <c r="P523" s="389"/>
      <c r="Q523" s="389"/>
      <c r="R523" s="389"/>
      <c r="S523" s="389"/>
      <c r="T523" s="389"/>
      <c r="U523" s="389"/>
      <c r="V523" s="389"/>
      <c r="W523" s="389"/>
      <c r="X523" s="389"/>
      <c r="Y523" s="389"/>
      <c r="Z523" s="389"/>
      <c r="AA523" s="389"/>
      <c r="AB523" s="389"/>
      <c r="AC523" s="389"/>
      <c r="AD523" s="389"/>
      <c r="AE523" s="389"/>
      <c r="AF523" s="389"/>
      <c r="AG523" s="389"/>
    </row>
    <row r="524">
      <c r="A524" s="389"/>
      <c r="B524" s="389"/>
      <c r="C524" s="389"/>
      <c r="D524" s="390"/>
      <c r="E524" s="389"/>
      <c r="F524" s="392"/>
      <c r="G524" s="389"/>
      <c r="H524" s="389"/>
      <c r="I524" s="389"/>
      <c r="J524" s="389"/>
      <c r="K524" s="389"/>
      <c r="L524" s="389"/>
      <c r="M524" s="389"/>
      <c r="N524" s="389"/>
      <c r="O524" s="389"/>
      <c r="P524" s="389"/>
      <c r="Q524" s="389"/>
      <c r="R524" s="389"/>
      <c r="S524" s="389"/>
      <c r="T524" s="389"/>
      <c r="U524" s="389"/>
      <c r="V524" s="389"/>
      <c r="W524" s="389"/>
      <c r="X524" s="389"/>
      <c r="Y524" s="389"/>
      <c r="Z524" s="389"/>
      <c r="AA524" s="389"/>
      <c r="AB524" s="389"/>
      <c r="AC524" s="389"/>
      <c r="AD524" s="389"/>
      <c r="AE524" s="389"/>
      <c r="AF524" s="389"/>
      <c r="AG524" s="389"/>
    </row>
    <row r="525">
      <c r="A525" s="389"/>
      <c r="B525" s="389"/>
      <c r="C525" s="389"/>
      <c r="D525" s="390"/>
      <c r="E525" s="389"/>
      <c r="F525" s="392"/>
      <c r="G525" s="389"/>
      <c r="H525" s="389"/>
      <c r="I525" s="389"/>
      <c r="J525" s="389"/>
      <c r="K525" s="389"/>
      <c r="L525" s="389"/>
      <c r="M525" s="389"/>
      <c r="N525" s="389"/>
      <c r="O525" s="389"/>
      <c r="P525" s="389"/>
      <c r="Q525" s="389"/>
      <c r="R525" s="389"/>
      <c r="S525" s="389"/>
      <c r="T525" s="389"/>
      <c r="U525" s="389"/>
      <c r="V525" s="389"/>
      <c r="W525" s="389"/>
      <c r="X525" s="389"/>
      <c r="Y525" s="389"/>
      <c r="Z525" s="389"/>
      <c r="AA525" s="389"/>
      <c r="AB525" s="389"/>
      <c r="AC525" s="389"/>
      <c r="AD525" s="389"/>
      <c r="AE525" s="389"/>
      <c r="AF525" s="389"/>
      <c r="AG525" s="389"/>
    </row>
    <row r="526">
      <c r="A526" s="389"/>
      <c r="B526" s="389"/>
      <c r="C526" s="389"/>
      <c r="D526" s="390"/>
      <c r="E526" s="389"/>
      <c r="F526" s="392"/>
      <c r="G526" s="389"/>
      <c r="H526" s="389"/>
      <c r="I526" s="389"/>
      <c r="J526" s="389"/>
      <c r="K526" s="389"/>
      <c r="L526" s="389"/>
      <c r="M526" s="389"/>
      <c r="N526" s="389"/>
      <c r="O526" s="389"/>
      <c r="P526" s="389"/>
      <c r="Q526" s="389"/>
      <c r="R526" s="389"/>
      <c r="S526" s="389"/>
      <c r="T526" s="389"/>
      <c r="U526" s="389"/>
      <c r="V526" s="389"/>
      <c r="W526" s="389"/>
      <c r="X526" s="389"/>
      <c r="Y526" s="389"/>
      <c r="Z526" s="389"/>
      <c r="AA526" s="389"/>
      <c r="AB526" s="389"/>
      <c r="AC526" s="389"/>
      <c r="AD526" s="389"/>
      <c r="AE526" s="389"/>
      <c r="AF526" s="389"/>
      <c r="AG526" s="389"/>
    </row>
    <row r="527">
      <c r="A527" s="389"/>
      <c r="B527" s="389"/>
      <c r="C527" s="389"/>
      <c r="D527" s="390"/>
      <c r="E527" s="389"/>
      <c r="F527" s="392"/>
      <c r="G527" s="389"/>
      <c r="H527" s="389"/>
      <c r="I527" s="389"/>
      <c r="J527" s="389"/>
      <c r="K527" s="389"/>
      <c r="L527" s="389"/>
      <c r="M527" s="389"/>
      <c r="N527" s="389"/>
      <c r="O527" s="389"/>
      <c r="P527" s="389"/>
      <c r="Q527" s="389"/>
      <c r="R527" s="389"/>
      <c r="S527" s="389"/>
      <c r="T527" s="389"/>
      <c r="U527" s="389"/>
      <c r="V527" s="389"/>
      <c r="W527" s="389"/>
      <c r="X527" s="389"/>
      <c r="Y527" s="389"/>
      <c r="Z527" s="389"/>
      <c r="AA527" s="389"/>
      <c r="AB527" s="389"/>
      <c r="AC527" s="389"/>
      <c r="AD527" s="389"/>
      <c r="AE527" s="389"/>
      <c r="AF527" s="389"/>
      <c r="AG527" s="389"/>
    </row>
    <row r="528">
      <c r="A528" s="389"/>
      <c r="B528" s="389"/>
      <c r="C528" s="389"/>
      <c r="D528" s="390"/>
      <c r="E528" s="389"/>
      <c r="F528" s="392"/>
      <c r="G528" s="389"/>
      <c r="H528" s="389"/>
      <c r="I528" s="389"/>
      <c r="J528" s="389"/>
      <c r="K528" s="389"/>
      <c r="L528" s="389"/>
      <c r="M528" s="389"/>
      <c r="N528" s="389"/>
      <c r="O528" s="389"/>
      <c r="P528" s="389"/>
      <c r="Q528" s="389"/>
      <c r="R528" s="389"/>
      <c r="S528" s="389"/>
      <c r="T528" s="389"/>
      <c r="U528" s="389"/>
      <c r="V528" s="389"/>
      <c r="W528" s="389"/>
      <c r="X528" s="389"/>
      <c r="Y528" s="389"/>
      <c r="Z528" s="389"/>
      <c r="AA528" s="389"/>
      <c r="AB528" s="389"/>
      <c r="AC528" s="389"/>
      <c r="AD528" s="389"/>
      <c r="AE528" s="389"/>
      <c r="AF528" s="389"/>
      <c r="AG528" s="389"/>
    </row>
    <row r="529">
      <c r="A529" s="389"/>
      <c r="B529" s="389"/>
      <c r="C529" s="389"/>
      <c r="D529" s="390"/>
      <c r="E529" s="389"/>
      <c r="F529" s="392"/>
      <c r="G529" s="389"/>
      <c r="H529" s="389"/>
      <c r="I529" s="389"/>
      <c r="J529" s="389"/>
      <c r="K529" s="389"/>
      <c r="L529" s="389"/>
      <c r="M529" s="389"/>
      <c r="N529" s="389"/>
      <c r="O529" s="389"/>
      <c r="P529" s="389"/>
      <c r="Q529" s="389"/>
      <c r="R529" s="389"/>
      <c r="S529" s="389"/>
      <c r="T529" s="389"/>
      <c r="U529" s="389"/>
      <c r="V529" s="389"/>
      <c r="W529" s="389"/>
      <c r="X529" s="389"/>
      <c r="Y529" s="389"/>
      <c r="Z529" s="389"/>
      <c r="AA529" s="389"/>
      <c r="AB529" s="389"/>
      <c r="AC529" s="389"/>
      <c r="AD529" s="389"/>
      <c r="AE529" s="389"/>
      <c r="AF529" s="389"/>
      <c r="AG529" s="389"/>
    </row>
    <row r="530">
      <c r="A530" s="389"/>
      <c r="B530" s="389"/>
      <c r="C530" s="389"/>
      <c r="D530" s="390"/>
      <c r="E530" s="389"/>
      <c r="F530" s="392"/>
      <c r="G530" s="389"/>
      <c r="H530" s="389"/>
      <c r="I530" s="389"/>
      <c r="J530" s="389"/>
      <c r="K530" s="389"/>
      <c r="L530" s="389"/>
      <c r="M530" s="389"/>
      <c r="N530" s="389"/>
      <c r="O530" s="389"/>
      <c r="P530" s="389"/>
      <c r="Q530" s="389"/>
      <c r="R530" s="389"/>
      <c r="S530" s="389"/>
      <c r="T530" s="389"/>
      <c r="U530" s="389"/>
      <c r="V530" s="389"/>
      <c r="W530" s="389"/>
      <c r="X530" s="389"/>
      <c r="Y530" s="389"/>
      <c r="Z530" s="389"/>
      <c r="AA530" s="389"/>
      <c r="AB530" s="389"/>
      <c r="AC530" s="389"/>
      <c r="AD530" s="389"/>
      <c r="AE530" s="389"/>
      <c r="AF530" s="389"/>
      <c r="AG530" s="389"/>
    </row>
    <row r="531">
      <c r="A531" s="389"/>
      <c r="B531" s="389"/>
      <c r="C531" s="389"/>
      <c r="D531" s="390"/>
      <c r="E531" s="389"/>
      <c r="F531" s="392"/>
      <c r="G531" s="389"/>
      <c r="H531" s="389"/>
      <c r="I531" s="389"/>
      <c r="J531" s="389"/>
      <c r="K531" s="389"/>
      <c r="L531" s="389"/>
      <c r="M531" s="389"/>
      <c r="N531" s="389"/>
      <c r="O531" s="389"/>
      <c r="P531" s="389"/>
      <c r="Q531" s="389"/>
      <c r="R531" s="389"/>
      <c r="S531" s="389"/>
      <c r="T531" s="389"/>
      <c r="U531" s="389"/>
      <c r="V531" s="389"/>
      <c r="W531" s="389"/>
      <c r="X531" s="389"/>
      <c r="Y531" s="389"/>
      <c r="Z531" s="389"/>
      <c r="AA531" s="389"/>
      <c r="AB531" s="389"/>
      <c r="AC531" s="389"/>
      <c r="AD531" s="389"/>
      <c r="AE531" s="389"/>
      <c r="AF531" s="389"/>
      <c r="AG531" s="389"/>
    </row>
    <row r="532">
      <c r="A532" s="389"/>
      <c r="B532" s="389"/>
      <c r="C532" s="389"/>
      <c r="D532" s="390"/>
      <c r="E532" s="389"/>
      <c r="F532" s="392"/>
      <c r="G532" s="389"/>
      <c r="H532" s="389"/>
      <c r="I532" s="389"/>
      <c r="J532" s="389"/>
      <c r="K532" s="389"/>
      <c r="L532" s="389"/>
      <c r="M532" s="389"/>
      <c r="N532" s="389"/>
      <c r="O532" s="389"/>
      <c r="P532" s="389"/>
      <c r="Q532" s="389"/>
      <c r="R532" s="389"/>
      <c r="S532" s="389"/>
      <c r="T532" s="389"/>
      <c r="U532" s="389"/>
      <c r="V532" s="389"/>
      <c r="W532" s="389"/>
      <c r="X532" s="389"/>
      <c r="Y532" s="389"/>
      <c r="Z532" s="389"/>
      <c r="AA532" s="389"/>
      <c r="AB532" s="389"/>
      <c r="AC532" s="389"/>
      <c r="AD532" s="389"/>
      <c r="AE532" s="389"/>
      <c r="AF532" s="389"/>
      <c r="AG532" s="389"/>
    </row>
    <row r="533">
      <c r="A533" s="389"/>
      <c r="B533" s="389"/>
      <c r="C533" s="389"/>
      <c r="D533" s="390"/>
      <c r="E533" s="389"/>
      <c r="F533" s="392"/>
      <c r="G533" s="389"/>
      <c r="H533" s="389"/>
      <c r="I533" s="389"/>
      <c r="J533" s="389"/>
      <c r="K533" s="389"/>
      <c r="L533" s="389"/>
      <c r="M533" s="389"/>
      <c r="N533" s="389"/>
      <c r="O533" s="389"/>
      <c r="P533" s="389"/>
      <c r="Q533" s="389"/>
      <c r="R533" s="389"/>
      <c r="S533" s="389"/>
      <c r="T533" s="389"/>
      <c r="U533" s="389"/>
      <c r="V533" s="389"/>
      <c r="W533" s="389"/>
      <c r="X533" s="389"/>
      <c r="Y533" s="389"/>
      <c r="Z533" s="389"/>
      <c r="AA533" s="389"/>
      <c r="AB533" s="389"/>
      <c r="AC533" s="389"/>
      <c r="AD533" s="389"/>
      <c r="AE533" s="389"/>
      <c r="AF533" s="389"/>
      <c r="AG533" s="389"/>
    </row>
    <row r="534">
      <c r="A534" s="389"/>
      <c r="B534" s="389"/>
      <c r="C534" s="389"/>
      <c r="D534" s="390"/>
      <c r="E534" s="389"/>
      <c r="F534" s="392"/>
      <c r="G534" s="389"/>
      <c r="H534" s="389"/>
      <c r="I534" s="389"/>
      <c r="J534" s="389"/>
      <c r="K534" s="389"/>
      <c r="L534" s="389"/>
      <c r="M534" s="389"/>
      <c r="N534" s="389"/>
      <c r="O534" s="389"/>
      <c r="P534" s="389"/>
      <c r="Q534" s="389"/>
      <c r="R534" s="389"/>
      <c r="S534" s="389"/>
      <c r="T534" s="389"/>
      <c r="U534" s="389"/>
      <c r="V534" s="389"/>
      <c r="W534" s="389"/>
      <c r="X534" s="389"/>
      <c r="Y534" s="389"/>
      <c r="Z534" s="389"/>
      <c r="AA534" s="389"/>
      <c r="AB534" s="389"/>
      <c r="AC534" s="389"/>
      <c r="AD534" s="389"/>
      <c r="AE534" s="389"/>
      <c r="AF534" s="389"/>
      <c r="AG534" s="389"/>
    </row>
    <row r="535">
      <c r="A535" s="389"/>
      <c r="B535" s="389"/>
      <c r="C535" s="389"/>
      <c r="D535" s="390"/>
      <c r="E535" s="389"/>
      <c r="F535" s="392"/>
      <c r="G535" s="389"/>
      <c r="H535" s="389"/>
      <c r="I535" s="389"/>
      <c r="J535" s="389"/>
      <c r="K535" s="389"/>
      <c r="L535" s="389"/>
      <c r="M535" s="389"/>
      <c r="N535" s="389"/>
      <c r="O535" s="389"/>
      <c r="P535" s="389"/>
      <c r="Q535" s="389"/>
      <c r="R535" s="389"/>
      <c r="S535" s="389"/>
      <c r="T535" s="389"/>
      <c r="U535" s="389"/>
      <c r="V535" s="389"/>
      <c r="W535" s="389"/>
      <c r="X535" s="389"/>
      <c r="Y535" s="389"/>
      <c r="Z535" s="389"/>
      <c r="AA535" s="389"/>
      <c r="AB535" s="389"/>
      <c r="AC535" s="389"/>
      <c r="AD535" s="389"/>
      <c r="AE535" s="389"/>
      <c r="AF535" s="389"/>
      <c r="AG535" s="389"/>
    </row>
    <row r="536">
      <c r="A536" s="389"/>
      <c r="B536" s="389"/>
      <c r="C536" s="389"/>
      <c r="D536" s="390"/>
      <c r="E536" s="389"/>
      <c r="F536" s="392"/>
      <c r="G536" s="389"/>
      <c r="H536" s="389"/>
      <c r="I536" s="389"/>
      <c r="J536" s="389"/>
      <c r="K536" s="389"/>
      <c r="L536" s="389"/>
      <c r="M536" s="389"/>
      <c r="N536" s="389"/>
      <c r="O536" s="389"/>
      <c r="P536" s="389"/>
      <c r="Q536" s="389"/>
      <c r="R536" s="389"/>
      <c r="S536" s="389"/>
      <c r="T536" s="389"/>
      <c r="U536" s="389"/>
      <c r="V536" s="389"/>
      <c r="W536" s="389"/>
      <c r="X536" s="389"/>
      <c r="Y536" s="389"/>
      <c r="Z536" s="389"/>
      <c r="AA536" s="389"/>
      <c r="AB536" s="389"/>
      <c r="AC536" s="389"/>
      <c r="AD536" s="389"/>
      <c r="AE536" s="389"/>
      <c r="AF536" s="389"/>
      <c r="AG536" s="389"/>
    </row>
    <row r="537">
      <c r="A537" s="389"/>
      <c r="B537" s="389"/>
      <c r="C537" s="389"/>
      <c r="D537" s="390"/>
      <c r="E537" s="389"/>
      <c r="F537" s="392"/>
      <c r="G537" s="389"/>
      <c r="H537" s="389"/>
      <c r="I537" s="389"/>
      <c r="J537" s="389"/>
      <c r="K537" s="389"/>
      <c r="L537" s="389"/>
      <c r="M537" s="389"/>
      <c r="N537" s="389"/>
      <c r="O537" s="389"/>
      <c r="P537" s="389"/>
      <c r="Q537" s="389"/>
      <c r="R537" s="389"/>
      <c r="S537" s="389"/>
      <c r="T537" s="389"/>
      <c r="U537" s="389"/>
      <c r="V537" s="389"/>
      <c r="W537" s="389"/>
      <c r="X537" s="389"/>
      <c r="Y537" s="389"/>
      <c r="Z537" s="389"/>
      <c r="AA537" s="389"/>
      <c r="AB537" s="389"/>
      <c r="AC537" s="389"/>
      <c r="AD537" s="389"/>
      <c r="AE537" s="389"/>
      <c r="AF537" s="389"/>
      <c r="AG537" s="389"/>
    </row>
    <row r="538">
      <c r="A538" s="389"/>
      <c r="B538" s="389"/>
      <c r="C538" s="389"/>
      <c r="D538" s="390"/>
      <c r="E538" s="389"/>
      <c r="F538" s="392"/>
      <c r="G538" s="389"/>
      <c r="H538" s="389"/>
      <c r="I538" s="389"/>
      <c r="J538" s="389"/>
      <c r="K538" s="389"/>
      <c r="L538" s="389"/>
      <c r="M538" s="389"/>
      <c r="N538" s="389"/>
      <c r="O538" s="389"/>
      <c r="P538" s="389"/>
      <c r="Q538" s="389"/>
      <c r="R538" s="389"/>
      <c r="S538" s="389"/>
      <c r="T538" s="389"/>
      <c r="U538" s="389"/>
      <c r="V538" s="389"/>
      <c r="W538" s="389"/>
      <c r="X538" s="389"/>
      <c r="Y538" s="389"/>
      <c r="Z538" s="389"/>
      <c r="AA538" s="389"/>
      <c r="AB538" s="389"/>
      <c r="AC538" s="389"/>
      <c r="AD538" s="389"/>
      <c r="AE538" s="389"/>
      <c r="AF538" s="389"/>
      <c r="AG538" s="389"/>
    </row>
    <row r="539">
      <c r="A539" s="389"/>
      <c r="B539" s="389"/>
      <c r="C539" s="389"/>
      <c r="D539" s="390"/>
      <c r="E539" s="389"/>
      <c r="F539" s="392"/>
      <c r="G539" s="389"/>
      <c r="H539" s="389"/>
      <c r="I539" s="389"/>
      <c r="J539" s="389"/>
      <c r="K539" s="389"/>
      <c r="L539" s="389"/>
      <c r="M539" s="389"/>
      <c r="N539" s="389"/>
      <c r="O539" s="389"/>
      <c r="P539" s="389"/>
      <c r="Q539" s="389"/>
      <c r="R539" s="389"/>
      <c r="S539" s="389"/>
      <c r="T539" s="389"/>
      <c r="U539" s="389"/>
      <c r="V539" s="389"/>
      <c r="W539" s="389"/>
      <c r="X539" s="389"/>
      <c r="Y539" s="389"/>
      <c r="Z539" s="389"/>
      <c r="AA539" s="389"/>
      <c r="AB539" s="389"/>
      <c r="AC539" s="389"/>
      <c r="AD539" s="389"/>
      <c r="AE539" s="389"/>
      <c r="AF539" s="389"/>
      <c r="AG539" s="389"/>
    </row>
    <row r="540">
      <c r="A540" s="389"/>
      <c r="B540" s="389"/>
      <c r="C540" s="389"/>
      <c r="D540" s="390"/>
      <c r="E540" s="389"/>
      <c r="F540" s="392"/>
      <c r="G540" s="389"/>
      <c r="H540" s="389"/>
      <c r="I540" s="389"/>
      <c r="J540" s="389"/>
      <c r="K540" s="389"/>
      <c r="L540" s="389"/>
      <c r="M540" s="389"/>
      <c r="N540" s="389"/>
      <c r="O540" s="389"/>
      <c r="P540" s="389"/>
      <c r="Q540" s="389"/>
      <c r="R540" s="389"/>
      <c r="S540" s="389"/>
      <c r="T540" s="389"/>
      <c r="U540" s="389"/>
      <c r="V540" s="389"/>
      <c r="W540" s="389"/>
      <c r="X540" s="389"/>
      <c r="Y540" s="389"/>
      <c r="Z540" s="389"/>
      <c r="AA540" s="389"/>
      <c r="AB540" s="389"/>
      <c r="AC540" s="389"/>
      <c r="AD540" s="389"/>
      <c r="AE540" s="389"/>
      <c r="AF540" s="389"/>
      <c r="AG540" s="389"/>
    </row>
    <row r="541">
      <c r="A541" s="389"/>
      <c r="B541" s="389"/>
      <c r="C541" s="389"/>
      <c r="D541" s="390"/>
      <c r="E541" s="389"/>
      <c r="F541" s="392"/>
      <c r="G541" s="389"/>
      <c r="H541" s="389"/>
      <c r="I541" s="389"/>
      <c r="J541" s="389"/>
      <c r="K541" s="389"/>
      <c r="L541" s="389"/>
      <c r="M541" s="389"/>
      <c r="N541" s="389"/>
      <c r="O541" s="389"/>
      <c r="P541" s="389"/>
      <c r="Q541" s="389"/>
      <c r="R541" s="389"/>
      <c r="S541" s="389"/>
      <c r="T541" s="389"/>
      <c r="U541" s="389"/>
      <c r="V541" s="389"/>
      <c r="W541" s="389"/>
      <c r="X541" s="389"/>
      <c r="Y541" s="389"/>
      <c r="Z541" s="389"/>
      <c r="AA541" s="389"/>
      <c r="AB541" s="389"/>
      <c r="AC541" s="389"/>
      <c r="AD541" s="389"/>
      <c r="AE541" s="389"/>
      <c r="AF541" s="389"/>
      <c r="AG541" s="389"/>
    </row>
    <row r="542">
      <c r="A542" s="389"/>
      <c r="B542" s="389"/>
      <c r="C542" s="389"/>
      <c r="D542" s="390"/>
      <c r="E542" s="389"/>
      <c r="F542" s="392"/>
      <c r="G542" s="389"/>
      <c r="H542" s="389"/>
      <c r="I542" s="389"/>
      <c r="J542" s="389"/>
      <c r="K542" s="389"/>
      <c r="L542" s="389"/>
      <c r="M542" s="389"/>
      <c r="N542" s="389"/>
      <c r="O542" s="389"/>
      <c r="P542" s="389"/>
      <c r="Q542" s="389"/>
      <c r="R542" s="389"/>
      <c r="S542" s="389"/>
      <c r="T542" s="389"/>
      <c r="U542" s="389"/>
      <c r="V542" s="389"/>
      <c r="W542" s="389"/>
      <c r="X542" s="389"/>
      <c r="Y542" s="389"/>
      <c r="Z542" s="389"/>
      <c r="AA542" s="389"/>
      <c r="AB542" s="389"/>
      <c r="AC542" s="389"/>
      <c r="AD542" s="389"/>
      <c r="AE542" s="389"/>
      <c r="AF542" s="389"/>
      <c r="AG542" s="389"/>
    </row>
    <row r="543">
      <c r="A543" s="389"/>
      <c r="B543" s="389"/>
      <c r="C543" s="389"/>
      <c r="D543" s="390"/>
      <c r="E543" s="389"/>
      <c r="F543" s="392"/>
      <c r="G543" s="389"/>
      <c r="H543" s="389"/>
      <c r="I543" s="389"/>
      <c r="J543" s="389"/>
      <c r="K543" s="389"/>
      <c r="L543" s="389"/>
      <c r="M543" s="389"/>
      <c r="N543" s="389"/>
      <c r="O543" s="389"/>
      <c r="P543" s="389"/>
      <c r="Q543" s="389"/>
      <c r="R543" s="389"/>
      <c r="S543" s="389"/>
      <c r="T543" s="389"/>
      <c r="U543" s="389"/>
      <c r="V543" s="389"/>
      <c r="W543" s="389"/>
      <c r="X543" s="389"/>
      <c r="Y543" s="389"/>
      <c r="Z543" s="389"/>
      <c r="AA543" s="389"/>
      <c r="AB543" s="389"/>
      <c r="AC543" s="389"/>
      <c r="AD543" s="389"/>
      <c r="AE543" s="389"/>
      <c r="AF543" s="389"/>
      <c r="AG543" s="389"/>
    </row>
    <row r="544">
      <c r="A544" s="389"/>
      <c r="B544" s="389"/>
      <c r="C544" s="389"/>
      <c r="D544" s="390"/>
      <c r="E544" s="389"/>
      <c r="F544" s="392"/>
      <c r="G544" s="389"/>
      <c r="H544" s="389"/>
      <c r="I544" s="389"/>
      <c r="J544" s="389"/>
      <c r="K544" s="389"/>
      <c r="L544" s="389"/>
      <c r="M544" s="389"/>
      <c r="N544" s="389"/>
      <c r="O544" s="389"/>
      <c r="P544" s="389"/>
      <c r="Q544" s="389"/>
      <c r="R544" s="389"/>
      <c r="S544" s="389"/>
      <c r="T544" s="389"/>
      <c r="U544" s="389"/>
      <c r="V544" s="389"/>
      <c r="W544" s="389"/>
      <c r="X544" s="389"/>
      <c r="Y544" s="389"/>
      <c r="Z544" s="389"/>
      <c r="AA544" s="389"/>
      <c r="AB544" s="389"/>
      <c r="AC544" s="389"/>
      <c r="AD544" s="389"/>
      <c r="AE544" s="389"/>
      <c r="AF544" s="389"/>
      <c r="AG544" s="389"/>
    </row>
    <row r="545">
      <c r="A545" s="389"/>
      <c r="B545" s="389"/>
      <c r="C545" s="389"/>
      <c r="D545" s="390"/>
      <c r="E545" s="389"/>
      <c r="F545" s="392"/>
      <c r="G545" s="389"/>
      <c r="H545" s="389"/>
      <c r="I545" s="389"/>
      <c r="J545" s="389"/>
      <c r="K545" s="389"/>
      <c r="L545" s="389"/>
      <c r="M545" s="389"/>
      <c r="N545" s="389"/>
      <c r="O545" s="389"/>
      <c r="P545" s="389"/>
      <c r="Q545" s="389"/>
      <c r="R545" s="389"/>
      <c r="S545" s="389"/>
      <c r="T545" s="389"/>
      <c r="U545" s="389"/>
      <c r="V545" s="389"/>
      <c r="W545" s="389"/>
      <c r="X545" s="389"/>
      <c r="Y545" s="389"/>
      <c r="Z545" s="389"/>
      <c r="AA545" s="389"/>
      <c r="AB545" s="389"/>
      <c r="AC545" s="389"/>
      <c r="AD545" s="389"/>
      <c r="AE545" s="389"/>
      <c r="AF545" s="389"/>
      <c r="AG545" s="389"/>
    </row>
    <row r="546">
      <c r="A546" s="389"/>
      <c r="B546" s="389"/>
      <c r="C546" s="389"/>
      <c r="D546" s="390"/>
      <c r="E546" s="389"/>
      <c r="F546" s="392"/>
      <c r="G546" s="389"/>
      <c r="H546" s="389"/>
      <c r="I546" s="389"/>
      <c r="J546" s="389"/>
      <c r="K546" s="389"/>
      <c r="L546" s="389"/>
      <c r="M546" s="389"/>
      <c r="N546" s="389"/>
      <c r="O546" s="389"/>
      <c r="P546" s="389"/>
      <c r="Q546" s="389"/>
      <c r="R546" s="389"/>
      <c r="S546" s="389"/>
      <c r="T546" s="389"/>
      <c r="U546" s="389"/>
      <c r="V546" s="389"/>
      <c r="W546" s="389"/>
      <c r="X546" s="389"/>
      <c r="Y546" s="389"/>
      <c r="Z546" s="389"/>
      <c r="AA546" s="389"/>
      <c r="AB546" s="389"/>
      <c r="AC546" s="389"/>
      <c r="AD546" s="389"/>
      <c r="AE546" s="389"/>
      <c r="AF546" s="389"/>
      <c r="AG546" s="389"/>
    </row>
    <row r="547">
      <c r="A547" s="389"/>
      <c r="B547" s="389"/>
      <c r="C547" s="389"/>
      <c r="D547" s="390"/>
      <c r="E547" s="389"/>
      <c r="F547" s="392"/>
      <c r="G547" s="389"/>
      <c r="H547" s="389"/>
      <c r="I547" s="389"/>
      <c r="J547" s="389"/>
      <c r="K547" s="389"/>
      <c r="L547" s="389"/>
      <c r="M547" s="389"/>
      <c r="N547" s="389"/>
      <c r="O547" s="389"/>
      <c r="P547" s="389"/>
      <c r="Q547" s="389"/>
      <c r="R547" s="389"/>
      <c r="S547" s="389"/>
      <c r="T547" s="389"/>
      <c r="U547" s="389"/>
      <c r="V547" s="389"/>
      <c r="W547" s="389"/>
      <c r="X547" s="389"/>
      <c r="Y547" s="389"/>
      <c r="Z547" s="389"/>
      <c r="AA547" s="389"/>
      <c r="AB547" s="389"/>
      <c r="AC547" s="389"/>
      <c r="AD547" s="389"/>
      <c r="AE547" s="389"/>
      <c r="AF547" s="389"/>
      <c r="AG547" s="389"/>
    </row>
    <row r="548">
      <c r="A548" s="389"/>
      <c r="B548" s="389"/>
      <c r="C548" s="389"/>
      <c r="D548" s="390"/>
      <c r="E548" s="389"/>
      <c r="F548" s="392"/>
      <c r="G548" s="389"/>
      <c r="H548" s="389"/>
      <c r="I548" s="389"/>
      <c r="J548" s="389"/>
      <c r="K548" s="389"/>
      <c r="L548" s="389"/>
      <c r="M548" s="389"/>
      <c r="N548" s="389"/>
      <c r="O548" s="389"/>
      <c r="P548" s="389"/>
      <c r="Q548" s="389"/>
      <c r="R548" s="389"/>
      <c r="S548" s="389"/>
      <c r="T548" s="389"/>
      <c r="U548" s="389"/>
      <c r="V548" s="389"/>
      <c r="W548" s="389"/>
      <c r="X548" s="389"/>
      <c r="Y548" s="389"/>
      <c r="Z548" s="389"/>
      <c r="AA548" s="389"/>
      <c r="AB548" s="389"/>
      <c r="AC548" s="389"/>
      <c r="AD548" s="389"/>
      <c r="AE548" s="389"/>
      <c r="AF548" s="389"/>
      <c r="AG548" s="389"/>
    </row>
    <row r="549">
      <c r="A549" s="389"/>
      <c r="B549" s="389"/>
      <c r="C549" s="389"/>
      <c r="D549" s="390"/>
      <c r="E549" s="389"/>
      <c r="F549" s="392"/>
      <c r="G549" s="389"/>
      <c r="H549" s="389"/>
      <c r="I549" s="389"/>
      <c r="J549" s="389"/>
      <c r="K549" s="389"/>
      <c r="L549" s="389"/>
      <c r="M549" s="389"/>
      <c r="N549" s="389"/>
      <c r="O549" s="389"/>
      <c r="P549" s="389"/>
      <c r="Q549" s="389"/>
      <c r="R549" s="389"/>
      <c r="S549" s="389"/>
      <c r="T549" s="389"/>
      <c r="U549" s="389"/>
      <c r="V549" s="389"/>
      <c r="W549" s="389"/>
      <c r="X549" s="389"/>
      <c r="Y549" s="389"/>
      <c r="Z549" s="389"/>
      <c r="AA549" s="389"/>
      <c r="AB549" s="389"/>
      <c r="AC549" s="389"/>
      <c r="AD549" s="389"/>
      <c r="AE549" s="389"/>
      <c r="AF549" s="389"/>
      <c r="AG549" s="389"/>
    </row>
    <row r="550">
      <c r="A550" s="389"/>
      <c r="B550" s="389"/>
      <c r="C550" s="389"/>
      <c r="D550" s="390"/>
      <c r="E550" s="389"/>
      <c r="F550" s="392"/>
      <c r="G550" s="389"/>
      <c r="H550" s="389"/>
      <c r="I550" s="389"/>
      <c r="J550" s="389"/>
      <c r="K550" s="389"/>
      <c r="L550" s="389"/>
      <c r="M550" s="389"/>
      <c r="N550" s="389"/>
      <c r="O550" s="389"/>
      <c r="P550" s="389"/>
      <c r="Q550" s="389"/>
      <c r="R550" s="389"/>
      <c r="S550" s="389"/>
      <c r="T550" s="389"/>
      <c r="U550" s="389"/>
      <c r="V550" s="389"/>
      <c r="W550" s="389"/>
      <c r="X550" s="389"/>
      <c r="Y550" s="389"/>
      <c r="Z550" s="389"/>
      <c r="AA550" s="389"/>
      <c r="AB550" s="389"/>
      <c r="AC550" s="389"/>
      <c r="AD550" s="389"/>
      <c r="AE550" s="389"/>
      <c r="AF550" s="389"/>
      <c r="AG550" s="389"/>
    </row>
    <row r="551">
      <c r="A551" s="389"/>
      <c r="B551" s="389"/>
      <c r="C551" s="389"/>
      <c r="D551" s="390"/>
      <c r="E551" s="389"/>
      <c r="F551" s="392"/>
      <c r="G551" s="389"/>
      <c r="H551" s="389"/>
      <c r="I551" s="389"/>
      <c r="J551" s="389"/>
      <c r="K551" s="389"/>
      <c r="L551" s="389"/>
      <c r="M551" s="389"/>
      <c r="N551" s="389"/>
      <c r="O551" s="389"/>
      <c r="P551" s="389"/>
      <c r="Q551" s="389"/>
      <c r="R551" s="389"/>
      <c r="S551" s="389"/>
      <c r="T551" s="389"/>
      <c r="U551" s="389"/>
      <c r="V551" s="389"/>
      <c r="W551" s="389"/>
      <c r="X551" s="389"/>
      <c r="Y551" s="389"/>
      <c r="Z551" s="389"/>
      <c r="AA551" s="389"/>
      <c r="AB551" s="389"/>
      <c r="AC551" s="389"/>
      <c r="AD551" s="389"/>
      <c r="AE551" s="389"/>
      <c r="AF551" s="389"/>
      <c r="AG551" s="389"/>
    </row>
    <row r="552">
      <c r="A552" s="389"/>
      <c r="B552" s="389"/>
      <c r="C552" s="389"/>
      <c r="D552" s="390"/>
      <c r="E552" s="389"/>
      <c r="F552" s="392"/>
      <c r="G552" s="389"/>
      <c r="H552" s="389"/>
      <c r="I552" s="389"/>
      <c r="J552" s="389"/>
      <c r="K552" s="389"/>
      <c r="L552" s="389"/>
      <c r="M552" s="389"/>
      <c r="N552" s="389"/>
      <c r="O552" s="389"/>
      <c r="P552" s="389"/>
      <c r="Q552" s="389"/>
      <c r="R552" s="389"/>
      <c r="S552" s="389"/>
      <c r="T552" s="389"/>
      <c r="U552" s="389"/>
      <c r="V552" s="389"/>
      <c r="W552" s="389"/>
      <c r="X552" s="389"/>
      <c r="Y552" s="389"/>
      <c r="Z552" s="389"/>
      <c r="AA552" s="389"/>
      <c r="AB552" s="389"/>
      <c r="AC552" s="389"/>
      <c r="AD552" s="389"/>
      <c r="AE552" s="389"/>
      <c r="AF552" s="389"/>
      <c r="AG552" s="389"/>
    </row>
    <row r="553">
      <c r="A553" s="389"/>
      <c r="B553" s="389"/>
      <c r="C553" s="389"/>
      <c r="D553" s="390"/>
      <c r="E553" s="389"/>
      <c r="F553" s="392"/>
      <c r="G553" s="389"/>
      <c r="H553" s="389"/>
      <c r="I553" s="389"/>
      <c r="J553" s="389"/>
      <c r="K553" s="389"/>
      <c r="L553" s="389"/>
      <c r="M553" s="389"/>
      <c r="N553" s="389"/>
      <c r="O553" s="389"/>
      <c r="P553" s="389"/>
      <c r="Q553" s="389"/>
      <c r="R553" s="389"/>
      <c r="S553" s="389"/>
      <c r="T553" s="389"/>
      <c r="U553" s="389"/>
      <c r="V553" s="389"/>
      <c r="W553" s="389"/>
      <c r="X553" s="389"/>
      <c r="Y553" s="389"/>
      <c r="Z553" s="389"/>
      <c r="AA553" s="389"/>
      <c r="AB553" s="389"/>
      <c r="AC553" s="389"/>
      <c r="AD553" s="389"/>
      <c r="AE553" s="389"/>
      <c r="AF553" s="389"/>
      <c r="AG553" s="389"/>
    </row>
    <row r="554">
      <c r="A554" s="389"/>
      <c r="B554" s="389"/>
      <c r="C554" s="389"/>
      <c r="D554" s="390"/>
      <c r="E554" s="389"/>
      <c r="F554" s="392"/>
      <c r="G554" s="389"/>
      <c r="H554" s="389"/>
      <c r="I554" s="389"/>
      <c r="J554" s="389"/>
      <c r="K554" s="389"/>
      <c r="L554" s="389"/>
      <c r="M554" s="389"/>
      <c r="N554" s="389"/>
      <c r="O554" s="389"/>
      <c r="P554" s="389"/>
      <c r="Q554" s="389"/>
      <c r="R554" s="389"/>
      <c r="S554" s="389"/>
      <c r="T554" s="389"/>
      <c r="U554" s="389"/>
      <c r="V554" s="389"/>
      <c r="W554" s="389"/>
      <c r="X554" s="389"/>
      <c r="Y554" s="389"/>
      <c r="Z554" s="389"/>
      <c r="AA554" s="389"/>
      <c r="AB554" s="389"/>
      <c r="AC554" s="389"/>
      <c r="AD554" s="389"/>
      <c r="AE554" s="389"/>
      <c r="AF554" s="389"/>
      <c r="AG554" s="389"/>
    </row>
    <row r="555">
      <c r="A555" s="389"/>
      <c r="B555" s="389"/>
      <c r="C555" s="389"/>
      <c r="D555" s="390"/>
      <c r="E555" s="389"/>
      <c r="F555" s="392"/>
      <c r="G555" s="389"/>
      <c r="H555" s="389"/>
      <c r="I555" s="389"/>
      <c r="J555" s="389"/>
      <c r="K555" s="389"/>
      <c r="L555" s="389"/>
      <c r="M555" s="389"/>
      <c r="N555" s="389"/>
      <c r="O555" s="389"/>
      <c r="P555" s="389"/>
      <c r="Q555" s="389"/>
      <c r="R555" s="389"/>
      <c r="S555" s="389"/>
      <c r="T555" s="389"/>
      <c r="U555" s="389"/>
      <c r="V555" s="389"/>
      <c r="W555" s="389"/>
      <c r="X555" s="389"/>
      <c r="Y555" s="389"/>
      <c r="Z555" s="389"/>
      <c r="AA555" s="389"/>
      <c r="AB555" s="389"/>
      <c r="AC555" s="389"/>
      <c r="AD555" s="389"/>
      <c r="AE555" s="389"/>
      <c r="AF555" s="389"/>
      <c r="AG555" s="389"/>
    </row>
    <row r="556">
      <c r="A556" s="389"/>
      <c r="B556" s="389"/>
      <c r="C556" s="389"/>
      <c r="D556" s="390"/>
      <c r="E556" s="389"/>
      <c r="F556" s="392"/>
      <c r="G556" s="389"/>
      <c r="H556" s="389"/>
      <c r="I556" s="389"/>
      <c r="J556" s="389"/>
      <c r="K556" s="389"/>
      <c r="L556" s="389"/>
      <c r="M556" s="389"/>
      <c r="N556" s="389"/>
      <c r="O556" s="389"/>
      <c r="P556" s="389"/>
      <c r="Q556" s="389"/>
      <c r="R556" s="389"/>
      <c r="S556" s="389"/>
      <c r="T556" s="389"/>
      <c r="U556" s="389"/>
      <c r="V556" s="389"/>
      <c r="W556" s="389"/>
      <c r="X556" s="389"/>
      <c r="Y556" s="389"/>
      <c r="Z556" s="389"/>
      <c r="AA556" s="389"/>
      <c r="AB556" s="389"/>
      <c r="AC556" s="389"/>
      <c r="AD556" s="389"/>
      <c r="AE556" s="389"/>
      <c r="AF556" s="389"/>
      <c r="AG556" s="389"/>
    </row>
    <row r="557">
      <c r="A557" s="389"/>
      <c r="B557" s="389"/>
      <c r="C557" s="389"/>
      <c r="D557" s="390"/>
      <c r="E557" s="389"/>
      <c r="F557" s="392"/>
      <c r="G557" s="389"/>
      <c r="H557" s="389"/>
      <c r="I557" s="389"/>
      <c r="J557" s="389"/>
      <c r="K557" s="389"/>
      <c r="L557" s="389"/>
      <c r="M557" s="389"/>
      <c r="N557" s="389"/>
      <c r="O557" s="389"/>
      <c r="P557" s="389"/>
      <c r="Q557" s="389"/>
      <c r="R557" s="389"/>
      <c r="S557" s="389"/>
      <c r="T557" s="389"/>
      <c r="U557" s="389"/>
      <c r="V557" s="389"/>
      <c r="W557" s="389"/>
      <c r="X557" s="389"/>
      <c r="Y557" s="389"/>
      <c r="Z557" s="389"/>
      <c r="AA557" s="389"/>
      <c r="AB557" s="389"/>
      <c r="AC557" s="389"/>
      <c r="AD557" s="389"/>
      <c r="AE557" s="389"/>
      <c r="AF557" s="389"/>
      <c r="AG557" s="389"/>
    </row>
    <row r="558">
      <c r="A558" s="389"/>
      <c r="B558" s="389"/>
      <c r="C558" s="389"/>
      <c r="D558" s="390"/>
      <c r="E558" s="389"/>
      <c r="F558" s="392"/>
      <c r="G558" s="389"/>
      <c r="H558" s="389"/>
      <c r="I558" s="389"/>
      <c r="J558" s="389"/>
      <c r="K558" s="389"/>
      <c r="L558" s="389"/>
      <c r="M558" s="389"/>
      <c r="N558" s="389"/>
      <c r="O558" s="389"/>
      <c r="P558" s="389"/>
      <c r="Q558" s="389"/>
      <c r="R558" s="389"/>
      <c r="S558" s="389"/>
      <c r="T558" s="389"/>
      <c r="U558" s="389"/>
      <c r="V558" s="389"/>
      <c r="W558" s="389"/>
      <c r="X558" s="389"/>
      <c r="Y558" s="389"/>
      <c r="Z558" s="389"/>
      <c r="AA558" s="389"/>
      <c r="AB558" s="389"/>
      <c r="AC558" s="389"/>
      <c r="AD558" s="389"/>
      <c r="AE558" s="389"/>
      <c r="AF558" s="389"/>
      <c r="AG558" s="389"/>
    </row>
    <row r="559">
      <c r="A559" s="389"/>
      <c r="B559" s="389"/>
      <c r="C559" s="389"/>
      <c r="D559" s="390"/>
      <c r="E559" s="389"/>
      <c r="F559" s="392"/>
      <c r="G559" s="389"/>
      <c r="H559" s="389"/>
      <c r="I559" s="389"/>
      <c r="J559" s="389"/>
      <c r="K559" s="389"/>
      <c r="L559" s="389"/>
      <c r="M559" s="389"/>
      <c r="N559" s="389"/>
      <c r="O559" s="389"/>
      <c r="P559" s="389"/>
      <c r="Q559" s="389"/>
      <c r="R559" s="389"/>
      <c r="S559" s="389"/>
      <c r="T559" s="389"/>
      <c r="U559" s="389"/>
      <c r="V559" s="389"/>
      <c r="W559" s="389"/>
      <c r="X559" s="389"/>
      <c r="Y559" s="389"/>
      <c r="Z559" s="389"/>
      <c r="AA559" s="389"/>
      <c r="AB559" s="389"/>
      <c r="AC559" s="389"/>
      <c r="AD559" s="389"/>
      <c r="AE559" s="389"/>
      <c r="AF559" s="389"/>
      <c r="AG559" s="389"/>
    </row>
    <row r="560">
      <c r="A560" s="389"/>
      <c r="B560" s="389"/>
      <c r="C560" s="389"/>
      <c r="D560" s="390"/>
      <c r="E560" s="389"/>
      <c r="F560" s="392"/>
      <c r="G560" s="389"/>
      <c r="H560" s="389"/>
      <c r="I560" s="389"/>
      <c r="J560" s="389"/>
      <c r="K560" s="389"/>
      <c r="L560" s="389"/>
      <c r="M560" s="389"/>
      <c r="N560" s="389"/>
      <c r="O560" s="389"/>
      <c r="P560" s="389"/>
      <c r="Q560" s="389"/>
      <c r="R560" s="389"/>
      <c r="S560" s="389"/>
      <c r="T560" s="389"/>
      <c r="U560" s="389"/>
      <c r="V560" s="389"/>
      <c r="W560" s="389"/>
      <c r="X560" s="389"/>
      <c r="Y560" s="389"/>
      <c r="Z560" s="389"/>
      <c r="AA560" s="389"/>
      <c r="AB560" s="389"/>
      <c r="AC560" s="389"/>
      <c r="AD560" s="389"/>
      <c r="AE560" s="389"/>
      <c r="AF560" s="389"/>
      <c r="AG560" s="389"/>
    </row>
    <row r="561">
      <c r="A561" s="389"/>
      <c r="B561" s="389"/>
      <c r="C561" s="389"/>
      <c r="D561" s="390"/>
      <c r="E561" s="389"/>
      <c r="F561" s="392"/>
      <c r="G561" s="389"/>
      <c r="H561" s="389"/>
      <c r="I561" s="389"/>
      <c r="J561" s="389"/>
      <c r="K561" s="389"/>
      <c r="L561" s="389"/>
      <c r="M561" s="389"/>
      <c r="N561" s="389"/>
      <c r="O561" s="389"/>
      <c r="P561" s="389"/>
      <c r="Q561" s="389"/>
      <c r="R561" s="389"/>
      <c r="S561" s="389"/>
      <c r="T561" s="389"/>
      <c r="U561" s="389"/>
      <c r="V561" s="389"/>
      <c r="W561" s="389"/>
      <c r="X561" s="389"/>
      <c r="Y561" s="389"/>
      <c r="Z561" s="389"/>
      <c r="AA561" s="389"/>
      <c r="AB561" s="389"/>
      <c r="AC561" s="389"/>
      <c r="AD561" s="389"/>
      <c r="AE561" s="389"/>
      <c r="AF561" s="389"/>
      <c r="AG561" s="389"/>
    </row>
    <row r="562">
      <c r="A562" s="389"/>
      <c r="B562" s="389"/>
      <c r="C562" s="389"/>
      <c r="D562" s="390"/>
      <c r="E562" s="389"/>
      <c r="F562" s="392"/>
      <c r="G562" s="389"/>
      <c r="H562" s="389"/>
      <c r="I562" s="389"/>
      <c r="J562" s="389"/>
      <c r="K562" s="389"/>
      <c r="L562" s="389"/>
      <c r="M562" s="389"/>
      <c r="N562" s="389"/>
      <c r="O562" s="389"/>
      <c r="P562" s="389"/>
      <c r="Q562" s="389"/>
      <c r="R562" s="389"/>
      <c r="S562" s="389"/>
      <c r="T562" s="389"/>
      <c r="U562" s="389"/>
      <c r="V562" s="389"/>
      <c r="W562" s="389"/>
      <c r="X562" s="389"/>
      <c r="Y562" s="389"/>
      <c r="Z562" s="389"/>
      <c r="AA562" s="389"/>
      <c r="AB562" s="389"/>
      <c r="AC562" s="389"/>
      <c r="AD562" s="389"/>
      <c r="AE562" s="389"/>
      <c r="AF562" s="389"/>
      <c r="AG562" s="389"/>
    </row>
    <row r="563">
      <c r="A563" s="389"/>
      <c r="B563" s="389"/>
      <c r="C563" s="389"/>
      <c r="D563" s="390"/>
      <c r="E563" s="389"/>
      <c r="F563" s="392"/>
      <c r="G563" s="389"/>
      <c r="H563" s="389"/>
      <c r="I563" s="389"/>
      <c r="J563" s="389"/>
      <c r="K563" s="389"/>
      <c r="L563" s="389"/>
      <c r="M563" s="389"/>
      <c r="N563" s="389"/>
      <c r="O563" s="389"/>
      <c r="P563" s="389"/>
      <c r="Q563" s="389"/>
      <c r="R563" s="389"/>
      <c r="S563" s="389"/>
      <c r="T563" s="389"/>
      <c r="U563" s="389"/>
      <c r="V563" s="389"/>
      <c r="W563" s="389"/>
      <c r="X563" s="389"/>
      <c r="Y563" s="389"/>
      <c r="Z563" s="389"/>
      <c r="AA563" s="389"/>
      <c r="AB563" s="389"/>
      <c r="AC563" s="389"/>
      <c r="AD563" s="389"/>
      <c r="AE563" s="389"/>
      <c r="AF563" s="389"/>
      <c r="AG563" s="389"/>
    </row>
    <row r="564">
      <c r="A564" s="389"/>
      <c r="B564" s="389"/>
      <c r="C564" s="389"/>
      <c r="D564" s="390"/>
      <c r="E564" s="389"/>
      <c r="F564" s="392"/>
      <c r="G564" s="389"/>
      <c r="H564" s="389"/>
      <c r="I564" s="389"/>
      <c r="J564" s="389"/>
      <c r="K564" s="389"/>
      <c r="L564" s="389"/>
      <c r="M564" s="389"/>
      <c r="N564" s="389"/>
      <c r="O564" s="389"/>
      <c r="P564" s="389"/>
      <c r="Q564" s="389"/>
      <c r="R564" s="389"/>
      <c r="S564" s="389"/>
      <c r="T564" s="389"/>
      <c r="U564" s="389"/>
      <c r="V564" s="389"/>
      <c r="W564" s="389"/>
      <c r="X564" s="389"/>
      <c r="Y564" s="389"/>
      <c r="Z564" s="389"/>
      <c r="AA564" s="389"/>
      <c r="AB564" s="389"/>
      <c r="AC564" s="389"/>
      <c r="AD564" s="389"/>
      <c r="AE564" s="389"/>
      <c r="AF564" s="389"/>
      <c r="AG564" s="389"/>
    </row>
    <row r="565">
      <c r="A565" s="389"/>
      <c r="B565" s="389"/>
      <c r="C565" s="389"/>
      <c r="D565" s="390"/>
      <c r="E565" s="389"/>
      <c r="F565" s="392"/>
      <c r="G565" s="389"/>
      <c r="H565" s="389"/>
      <c r="I565" s="389"/>
      <c r="J565" s="389"/>
      <c r="K565" s="389"/>
      <c r="L565" s="389"/>
      <c r="M565" s="389"/>
      <c r="N565" s="389"/>
      <c r="O565" s="389"/>
      <c r="P565" s="389"/>
      <c r="Q565" s="389"/>
      <c r="R565" s="389"/>
      <c r="S565" s="389"/>
      <c r="T565" s="389"/>
      <c r="U565" s="389"/>
      <c r="V565" s="389"/>
      <c r="W565" s="389"/>
      <c r="X565" s="389"/>
      <c r="Y565" s="389"/>
      <c r="Z565" s="389"/>
      <c r="AA565" s="389"/>
      <c r="AB565" s="389"/>
      <c r="AC565" s="389"/>
      <c r="AD565" s="389"/>
      <c r="AE565" s="389"/>
      <c r="AF565" s="389"/>
      <c r="AG565" s="389"/>
    </row>
    <row r="566">
      <c r="A566" s="389"/>
      <c r="B566" s="389"/>
      <c r="C566" s="389"/>
      <c r="D566" s="390"/>
      <c r="E566" s="389"/>
      <c r="F566" s="392"/>
      <c r="G566" s="389"/>
      <c r="H566" s="389"/>
      <c r="I566" s="389"/>
      <c r="J566" s="389"/>
      <c r="K566" s="389"/>
      <c r="L566" s="389"/>
      <c r="M566" s="389"/>
      <c r="N566" s="389"/>
      <c r="O566" s="389"/>
      <c r="P566" s="389"/>
      <c r="Q566" s="389"/>
      <c r="R566" s="389"/>
      <c r="S566" s="389"/>
      <c r="T566" s="389"/>
      <c r="U566" s="389"/>
      <c r="V566" s="389"/>
      <c r="W566" s="389"/>
      <c r="X566" s="389"/>
      <c r="Y566" s="389"/>
      <c r="Z566" s="389"/>
      <c r="AA566" s="389"/>
      <c r="AB566" s="389"/>
      <c r="AC566" s="389"/>
      <c r="AD566" s="389"/>
      <c r="AE566" s="389"/>
      <c r="AF566" s="389"/>
      <c r="AG566" s="389"/>
    </row>
    <row r="567">
      <c r="A567" s="389"/>
      <c r="B567" s="389"/>
      <c r="C567" s="389"/>
      <c r="D567" s="390"/>
      <c r="E567" s="389"/>
      <c r="F567" s="392"/>
      <c r="G567" s="389"/>
      <c r="H567" s="389"/>
      <c r="I567" s="389"/>
      <c r="J567" s="389"/>
      <c r="K567" s="389"/>
      <c r="L567" s="389"/>
      <c r="M567" s="389"/>
      <c r="N567" s="389"/>
      <c r="O567" s="389"/>
      <c r="P567" s="389"/>
      <c r="Q567" s="389"/>
      <c r="R567" s="389"/>
      <c r="S567" s="389"/>
      <c r="T567" s="389"/>
      <c r="U567" s="389"/>
      <c r="V567" s="389"/>
      <c r="W567" s="389"/>
      <c r="X567" s="389"/>
      <c r="Y567" s="389"/>
      <c r="Z567" s="389"/>
      <c r="AA567" s="389"/>
      <c r="AB567" s="389"/>
      <c r="AC567" s="389"/>
      <c r="AD567" s="389"/>
      <c r="AE567" s="389"/>
      <c r="AF567" s="389"/>
      <c r="AG567" s="389"/>
    </row>
    <row r="568">
      <c r="A568" s="389"/>
      <c r="B568" s="389"/>
      <c r="C568" s="389"/>
      <c r="D568" s="390"/>
      <c r="E568" s="389"/>
      <c r="F568" s="392"/>
      <c r="G568" s="389"/>
      <c r="H568" s="389"/>
      <c r="I568" s="389"/>
      <c r="J568" s="389"/>
      <c r="K568" s="389"/>
      <c r="L568" s="389"/>
      <c r="M568" s="389"/>
      <c r="N568" s="389"/>
      <c r="O568" s="389"/>
      <c r="P568" s="389"/>
      <c r="Q568" s="389"/>
      <c r="R568" s="389"/>
      <c r="S568" s="389"/>
      <c r="T568" s="389"/>
      <c r="U568" s="389"/>
      <c r="V568" s="389"/>
      <c r="W568" s="389"/>
      <c r="X568" s="389"/>
      <c r="Y568" s="389"/>
      <c r="Z568" s="389"/>
      <c r="AA568" s="389"/>
      <c r="AB568" s="389"/>
      <c r="AC568" s="389"/>
      <c r="AD568" s="389"/>
      <c r="AE568" s="389"/>
      <c r="AF568" s="389"/>
      <c r="AG568" s="389"/>
    </row>
    <row r="569">
      <c r="A569" s="389"/>
      <c r="B569" s="389"/>
      <c r="C569" s="389"/>
      <c r="D569" s="390"/>
      <c r="E569" s="389"/>
      <c r="F569" s="392"/>
      <c r="G569" s="389"/>
      <c r="H569" s="389"/>
      <c r="I569" s="389"/>
      <c r="J569" s="389"/>
      <c r="K569" s="389"/>
      <c r="L569" s="389"/>
      <c r="M569" s="389"/>
      <c r="N569" s="389"/>
      <c r="O569" s="389"/>
      <c r="P569" s="389"/>
      <c r="Q569" s="389"/>
      <c r="R569" s="389"/>
      <c r="S569" s="389"/>
      <c r="T569" s="389"/>
      <c r="U569" s="389"/>
      <c r="V569" s="389"/>
      <c r="W569" s="389"/>
      <c r="X569" s="389"/>
      <c r="Y569" s="389"/>
      <c r="Z569" s="389"/>
      <c r="AA569" s="389"/>
      <c r="AB569" s="389"/>
      <c r="AC569" s="389"/>
      <c r="AD569" s="389"/>
      <c r="AE569" s="389"/>
      <c r="AF569" s="389"/>
      <c r="AG569" s="389"/>
    </row>
    <row r="570">
      <c r="A570" s="389"/>
      <c r="B570" s="389"/>
      <c r="C570" s="389"/>
      <c r="D570" s="390"/>
      <c r="E570" s="389"/>
      <c r="F570" s="392"/>
      <c r="G570" s="389"/>
      <c r="H570" s="389"/>
      <c r="I570" s="389"/>
      <c r="J570" s="389"/>
      <c r="K570" s="389"/>
      <c r="L570" s="389"/>
      <c r="M570" s="389"/>
      <c r="N570" s="389"/>
      <c r="O570" s="389"/>
      <c r="P570" s="389"/>
      <c r="Q570" s="389"/>
      <c r="R570" s="389"/>
      <c r="S570" s="389"/>
      <c r="T570" s="389"/>
      <c r="U570" s="389"/>
      <c r="V570" s="389"/>
      <c r="W570" s="389"/>
      <c r="X570" s="389"/>
      <c r="Y570" s="389"/>
      <c r="Z570" s="389"/>
      <c r="AA570" s="389"/>
      <c r="AB570" s="389"/>
      <c r="AC570" s="389"/>
      <c r="AD570" s="389"/>
      <c r="AE570" s="389"/>
      <c r="AF570" s="389"/>
      <c r="AG570" s="389"/>
    </row>
    <row r="571">
      <c r="A571" s="389"/>
      <c r="B571" s="389"/>
      <c r="C571" s="389"/>
      <c r="D571" s="390"/>
      <c r="E571" s="389"/>
      <c r="F571" s="392"/>
      <c r="G571" s="389"/>
      <c r="H571" s="389"/>
      <c r="I571" s="389"/>
      <c r="J571" s="389"/>
      <c r="K571" s="389"/>
      <c r="L571" s="389"/>
      <c r="M571" s="389"/>
      <c r="N571" s="389"/>
      <c r="O571" s="389"/>
      <c r="P571" s="389"/>
      <c r="Q571" s="389"/>
      <c r="R571" s="389"/>
      <c r="S571" s="389"/>
      <c r="T571" s="389"/>
      <c r="U571" s="389"/>
      <c r="V571" s="389"/>
      <c r="W571" s="389"/>
      <c r="X571" s="389"/>
      <c r="Y571" s="389"/>
      <c r="Z571" s="389"/>
      <c r="AA571" s="389"/>
      <c r="AB571" s="389"/>
      <c r="AC571" s="389"/>
      <c r="AD571" s="389"/>
      <c r="AE571" s="389"/>
      <c r="AF571" s="389"/>
      <c r="AG571" s="389"/>
    </row>
    <row r="572">
      <c r="A572" s="389"/>
      <c r="B572" s="389"/>
      <c r="C572" s="389"/>
      <c r="D572" s="390"/>
      <c r="E572" s="389"/>
      <c r="F572" s="392"/>
      <c r="G572" s="389"/>
      <c r="H572" s="389"/>
      <c r="I572" s="389"/>
      <c r="J572" s="389"/>
      <c r="K572" s="389"/>
      <c r="L572" s="389"/>
      <c r="M572" s="389"/>
      <c r="N572" s="389"/>
      <c r="O572" s="389"/>
      <c r="P572" s="389"/>
      <c r="Q572" s="389"/>
      <c r="R572" s="389"/>
      <c r="S572" s="389"/>
      <c r="T572" s="389"/>
      <c r="U572" s="389"/>
      <c r="V572" s="389"/>
      <c r="W572" s="389"/>
      <c r="X572" s="389"/>
      <c r="Y572" s="389"/>
      <c r="Z572" s="389"/>
      <c r="AA572" s="389"/>
      <c r="AB572" s="389"/>
      <c r="AC572" s="389"/>
      <c r="AD572" s="389"/>
      <c r="AE572" s="389"/>
      <c r="AF572" s="389"/>
      <c r="AG572" s="389"/>
    </row>
    <row r="573">
      <c r="A573" s="389"/>
      <c r="B573" s="389"/>
      <c r="C573" s="389"/>
      <c r="D573" s="390"/>
      <c r="E573" s="389"/>
      <c r="F573" s="392"/>
      <c r="G573" s="389"/>
      <c r="H573" s="389"/>
      <c r="I573" s="389"/>
      <c r="J573" s="389"/>
      <c r="K573" s="389"/>
      <c r="L573" s="389"/>
      <c r="M573" s="389"/>
      <c r="N573" s="389"/>
      <c r="O573" s="389"/>
      <c r="P573" s="389"/>
      <c r="Q573" s="389"/>
      <c r="R573" s="389"/>
      <c r="S573" s="389"/>
      <c r="T573" s="389"/>
      <c r="U573" s="389"/>
      <c r="V573" s="389"/>
      <c r="W573" s="389"/>
      <c r="X573" s="389"/>
      <c r="Y573" s="389"/>
      <c r="Z573" s="389"/>
      <c r="AA573" s="389"/>
      <c r="AB573" s="389"/>
      <c r="AC573" s="389"/>
      <c r="AD573" s="389"/>
      <c r="AE573" s="389"/>
      <c r="AF573" s="389"/>
      <c r="AG573" s="389"/>
    </row>
    <row r="574">
      <c r="A574" s="389"/>
      <c r="B574" s="389"/>
      <c r="C574" s="389"/>
      <c r="D574" s="390"/>
      <c r="E574" s="389"/>
      <c r="F574" s="392"/>
      <c r="G574" s="389"/>
      <c r="H574" s="389"/>
      <c r="I574" s="389"/>
      <c r="J574" s="389"/>
      <c r="K574" s="389"/>
      <c r="L574" s="389"/>
      <c r="M574" s="389"/>
      <c r="N574" s="389"/>
      <c r="O574" s="389"/>
      <c r="P574" s="389"/>
      <c r="Q574" s="389"/>
      <c r="R574" s="389"/>
      <c r="S574" s="389"/>
      <c r="T574" s="389"/>
      <c r="U574" s="389"/>
      <c r="V574" s="389"/>
      <c r="W574" s="389"/>
      <c r="X574" s="389"/>
      <c r="Y574" s="389"/>
      <c r="Z574" s="389"/>
      <c r="AA574" s="389"/>
      <c r="AB574" s="389"/>
      <c r="AC574" s="389"/>
      <c r="AD574" s="389"/>
      <c r="AE574" s="389"/>
      <c r="AF574" s="389"/>
      <c r="AG574" s="389"/>
    </row>
    <row r="575">
      <c r="A575" s="389"/>
      <c r="B575" s="389"/>
      <c r="C575" s="389"/>
      <c r="D575" s="390"/>
      <c r="E575" s="389"/>
      <c r="F575" s="392"/>
      <c r="G575" s="389"/>
      <c r="H575" s="389"/>
      <c r="I575" s="389"/>
      <c r="J575" s="389"/>
      <c r="K575" s="389"/>
      <c r="L575" s="389"/>
      <c r="M575" s="389"/>
      <c r="N575" s="389"/>
      <c r="O575" s="389"/>
      <c r="P575" s="389"/>
      <c r="Q575" s="389"/>
      <c r="R575" s="389"/>
      <c r="S575" s="389"/>
      <c r="T575" s="389"/>
      <c r="U575" s="389"/>
      <c r="V575" s="389"/>
      <c r="W575" s="389"/>
      <c r="X575" s="389"/>
      <c r="Y575" s="389"/>
      <c r="Z575" s="389"/>
      <c r="AA575" s="389"/>
      <c r="AB575" s="389"/>
      <c r="AC575" s="389"/>
      <c r="AD575" s="389"/>
      <c r="AE575" s="389"/>
      <c r="AF575" s="389"/>
      <c r="AG575" s="389"/>
    </row>
    <row r="576">
      <c r="A576" s="389"/>
      <c r="B576" s="389"/>
      <c r="C576" s="389"/>
      <c r="D576" s="390"/>
      <c r="E576" s="389"/>
      <c r="F576" s="392"/>
      <c r="G576" s="389"/>
      <c r="H576" s="389"/>
      <c r="I576" s="389"/>
      <c r="J576" s="389"/>
      <c r="K576" s="389"/>
      <c r="L576" s="389"/>
      <c r="M576" s="389"/>
      <c r="N576" s="389"/>
      <c r="O576" s="389"/>
      <c r="P576" s="389"/>
      <c r="Q576" s="389"/>
      <c r="R576" s="389"/>
      <c r="S576" s="389"/>
      <c r="T576" s="389"/>
      <c r="U576" s="389"/>
      <c r="V576" s="389"/>
      <c r="W576" s="389"/>
      <c r="X576" s="389"/>
      <c r="Y576" s="389"/>
      <c r="Z576" s="389"/>
      <c r="AA576" s="389"/>
      <c r="AB576" s="389"/>
      <c r="AC576" s="389"/>
      <c r="AD576" s="389"/>
      <c r="AE576" s="389"/>
      <c r="AF576" s="389"/>
      <c r="AG576" s="389"/>
    </row>
    <row r="577">
      <c r="A577" s="389"/>
      <c r="B577" s="389"/>
      <c r="C577" s="389"/>
      <c r="D577" s="390"/>
      <c r="E577" s="389"/>
      <c r="F577" s="392"/>
      <c r="G577" s="389"/>
      <c r="H577" s="389"/>
      <c r="I577" s="389"/>
      <c r="J577" s="389"/>
      <c r="K577" s="389"/>
      <c r="L577" s="389"/>
      <c r="M577" s="389"/>
      <c r="N577" s="389"/>
      <c r="O577" s="389"/>
      <c r="P577" s="389"/>
      <c r="Q577" s="389"/>
      <c r="R577" s="389"/>
      <c r="S577" s="389"/>
      <c r="T577" s="389"/>
      <c r="U577" s="389"/>
      <c r="V577" s="389"/>
      <c r="W577" s="389"/>
      <c r="X577" s="389"/>
      <c r="Y577" s="389"/>
      <c r="Z577" s="389"/>
      <c r="AA577" s="389"/>
      <c r="AB577" s="389"/>
      <c r="AC577" s="389"/>
      <c r="AD577" s="389"/>
      <c r="AE577" s="389"/>
      <c r="AF577" s="389"/>
      <c r="AG577" s="389"/>
    </row>
    <row r="578">
      <c r="A578" s="389"/>
      <c r="B578" s="389"/>
      <c r="C578" s="389"/>
      <c r="D578" s="390"/>
      <c r="E578" s="389"/>
      <c r="F578" s="392"/>
      <c r="G578" s="389"/>
      <c r="H578" s="389"/>
      <c r="I578" s="389"/>
      <c r="J578" s="389"/>
      <c r="K578" s="389"/>
      <c r="L578" s="389"/>
      <c r="M578" s="389"/>
      <c r="N578" s="389"/>
      <c r="O578" s="389"/>
      <c r="P578" s="389"/>
      <c r="Q578" s="389"/>
      <c r="R578" s="389"/>
      <c r="S578" s="389"/>
      <c r="T578" s="389"/>
      <c r="U578" s="389"/>
      <c r="V578" s="389"/>
      <c r="W578" s="389"/>
      <c r="X578" s="389"/>
      <c r="Y578" s="389"/>
      <c r="Z578" s="389"/>
      <c r="AA578" s="389"/>
      <c r="AB578" s="389"/>
      <c r="AC578" s="389"/>
      <c r="AD578" s="389"/>
      <c r="AE578" s="389"/>
      <c r="AF578" s="389"/>
      <c r="AG578" s="389"/>
    </row>
    <row r="579">
      <c r="A579" s="389"/>
      <c r="B579" s="389"/>
      <c r="C579" s="389"/>
      <c r="D579" s="390"/>
      <c r="E579" s="389"/>
      <c r="F579" s="392"/>
      <c r="G579" s="389"/>
      <c r="H579" s="389"/>
      <c r="I579" s="389"/>
      <c r="J579" s="389"/>
      <c r="K579" s="389"/>
      <c r="L579" s="389"/>
      <c r="M579" s="389"/>
      <c r="N579" s="389"/>
      <c r="O579" s="389"/>
      <c r="P579" s="389"/>
      <c r="Q579" s="389"/>
      <c r="R579" s="389"/>
      <c r="S579" s="389"/>
      <c r="T579" s="389"/>
      <c r="U579" s="389"/>
      <c r="V579" s="389"/>
      <c r="W579" s="389"/>
      <c r="X579" s="389"/>
      <c r="Y579" s="389"/>
      <c r="Z579" s="389"/>
      <c r="AA579" s="389"/>
      <c r="AB579" s="389"/>
      <c r="AC579" s="389"/>
      <c r="AD579" s="389"/>
      <c r="AE579" s="389"/>
      <c r="AF579" s="389"/>
      <c r="AG579" s="389"/>
    </row>
    <row r="580">
      <c r="A580" s="389"/>
      <c r="B580" s="389"/>
      <c r="C580" s="389"/>
      <c r="D580" s="390"/>
      <c r="E580" s="389"/>
      <c r="F580" s="392"/>
      <c r="G580" s="389"/>
      <c r="H580" s="389"/>
      <c r="I580" s="389"/>
      <c r="J580" s="389"/>
      <c r="K580" s="389"/>
      <c r="L580" s="389"/>
      <c r="M580" s="389"/>
      <c r="N580" s="389"/>
      <c r="O580" s="389"/>
      <c r="P580" s="389"/>
      <c r="Q580" s="389"/>
      <c r="R580" s="389"/>
      <c r="S580" s="389"/>
      <c r="T580" s="389"/>
      <c r="U580" s="389"/>
      <c r="V580" s="389"/>
      <c r="W580" s="389"/>
      <c r="X580" s="389"/>
      <c r="Y580" s="389"/>
      <c r="Z580" s="389"/>
      <c r="AA580" s="389"/>
      <c r="AB580" s="389"/>
      <c r="AC580" s="389"/>
      <c r="AD580" s="389"/>
      <c r="AE580" s="389"/>
      <c r="AF580" s="389"/>
      <c r="AG580" s="389"/>
    </row>
    <row r="581">
      <c r="A581" s="389"/>
      <c r="B581" s="389"/>
      <c r="C581" s="389"/>
      <c r="D581" s="390"/>
      <c r="E581" s="389"/>
      <c r="F581" s="392"/>
      <c r="G581" s="389"/>
      <c r="H581" s="389"/>
      <c r="I581" s="389"/>
      <c r="J581" s="389"/>
      <c r="K581" s="389"/>
      <c r="L581" s="389"/>
      <c r="M581" s="389"/>
      <c r="N581" s="389"/>
      <c r="O581" s="389"/>
      <c r="P581" s="389"/>
      <c r="Q581" s="389"/>
      <c r="R581" s="389"/>
      <c r="S581" s="389"/>
      <c r="T581" s="389"/>
      <c r="U581" s="389"/>
      <c r="V581" s="389"/>
      <c r="W581" s="389"/>
      <c r="X581" s="389"/>
      <c r="Y581" s="389"/>
      <c r="Z581" s="389"/>
      <c r="AA581" s="389"/>
      <c r="AB581" s="389"/>
      <c r="AC581" s="389"/>
      <c r="AD581" s="389"/>
      <c r="AE581" s="389"/>
      <c r="AF581" s="389"/>
      <c r="AG581" s="389"/>
    </row>
    <row r="582">
      <c r="A582" s="389"/>
      <c r="B582" s="389"/>
      <c r="C582" s="389"/>
      <c r="D582" s="390"/>
      <c r="E582" s="389"/>
      <c r="F582" s="392"/>
      <c r="G582" s="389"/>
      <c r="H582" s="389"/>
      <c r="I582" s="389"/>
      <c r="J582" s="389"/>
      <c r="K582" s="389"/>
      <c r="L582" s="389"/>
      <c r="M582" s="389"/>
      <c r="N582" s="389"/>
      <c r="O582" s="389"/>
      <c r="P582" s="389"/>
      <c r="Q582" s="389"/>
      <c r="R582" s="389"/>
      <c r="S582" s="389"/>
      <c r="T582" s="389"/>
      <c r="U582" s="389"/>
      <c r="V582" s="389"/>
      <c r="W582" s="389"/>
      <c r="X582" s="389"/>
      <c r="Y582" s="389"/>
      <c r="Z582" s="389"/>
      <c r="AA582" s="389"/>
      <c r="AB582" s="389"/>
      <c r="AC582" s="389"/>
      <c r="AD582" s="389"/>
      <c r="AE582" s="389"/>
      <c r="AF582" s="389"/>
      <c r="AG582" s="389"/>
    </row>
    <row r="583">
      <c r="A583" s="389"/>
      <c r="B583" s="389"/>
      <c r="C583" s="389"/>
      <c r="D583" s="390"/>
      <c r="E583" s="389"/>
      <c r="F583" s="392"/>
      <c r="G583" s="389"/>
      <c r="H583" s="389"/>
      <c r="I583" s="389"/>
      <c r="J583" s="389"/>
      <c r="K583" s="389"/>
      <c r="L583" s="389"/>
      <c r="M583" s="389"/>
      <c r="N583" s="389"/>
      <c r="O583" s="389"/>
      <c r="P583" s="389"/>
      <c r="Q583" s="389"/>
      <c r="R583" s="389"/>
      <c r="S583" s="389"/>
      <c r="T583" s="389"/>
      <c r="U583" s="389"/>
      <c r="V583" s="389"/>
      <c r="W583" s="389"/>
      <c r="X583" s="389"/>
      <c r="Y583" s="389"/>
      <c r="Z583" s="389"/>
      <c r="AA583" s="389"/>
      <c r="AB583" s="389"/>
      <c r="AC583" s="389"/>
      <c r="AD583" s="389"/>
      <c r="AE583" s="389"/>
      <c r="AF583" s="389"/>
      <c r="AG583" s="389"/>
    </row>
    <row r="584">
      <c r="A584" s="389"/>
      <c r="B584" s="389"/>
      <c r="C584" s="389"/>
      <c r="D584" s="390"/>
      <c r="E584" s="389"/>
      <c r="F584" s="392"/>
      <c r="G584" s="389"/>
      <c r="H584" s="389"/>
      <c r="I584" s="389"/>
      <c r="J584" s="389"/>
      <c r="K584" s="389"/>
      <c r="L584" s="389"/>
      <c r="M584" s="389"/>
      <c r="N584" s="389"/>
      <c r="O584" s="389"/>
      <c r="P584" s="389"/>
      <c r="Q584" s="389"/>
      <c r="R584" s="389"/>
      <c r="S584" s="389"/>
      <c r="T584" s="389"/>
      <c r="U584" s="389"/>
      <c r="V584" s="389"/>
      <c r="W584" s="389"/>
      <c r="X584" s="389"/>
      <c r="Y584" s="389"/>
      <c r="Z584" s="389"/>
      <c r="AA584" s="389"/>
      <c r="AB584" s="389"/>
      <c r="AC584" s="389"/>
      <c r="AD584" s="389"/>
      <c r="AE584" s="389"/>
      <c r="AF584" s="389"/>
      <c r="AG584" s="389"/>
    </row>
    <row r="585">
      <c r="A585" s="389"/>
      <c r="B585" s="389"/>
      <c r="C585" s="389"/>
      <c r="D585" s="390"/>
      <c r="E585" s="389"/>
      <c r="F585" s="392"/>
      <c r="G585" s="389"/>
      <c r="H585" s="389"/>
      <c r="I585" s="389"/>
      <c r="J585" s="389"/>
      <c r="K585" s="389"/>
      <c r="L585" s="389"/>
      <c r="M585" s="389"/>
      <c r="N585" s="389"/>
      <c r="O585" s="389"/>
      <c r="P585" s="389"/>
      <c r="Q585" s="389"/>
      <c r="R585" s="389"/>
      <c r="S585" s="389"/>
      <c r="T585" s="389"/>
      <c r="U585" s="389"/>
      <c r="V585" s="389"/>
      <c r="W585" s="389"/>
      <c r="X585" s="389"/>
      <c r="Y585" s="389"/>
      <c r="Z585" s="389"/>
      <c r="AA585" s="389"/>
      <c r="AB585" s="389"/>
      <c r="AC585" s="389"/>
      <c r="AD585" s="389"/>
      <c r="AE585" s="389"/>
      <c r="AF585" s="389"/>
      <c r="AG585" s="389"/>
    </row>
    <row r="586">
      <c r="A586" s="389"/>
      <c r="B586" s="389"/>
      <c r="C586" s="389"/>
      <c r="D586" s="390"/>
      <c r="E586" s="389"/>
      <c r="F586" s="392"/>
      <c r="G586" s="389"/>
      <c r="H586" s="389"/>
      <c r="I586" s="389"/>
      <c r="J586" s="389"/>
      <c r="K586" s="389"/>
      <c r="L586" s="389"/>
      <c r="M586" s="389"/>
      <c r="N586" s="389"/>
      <c r="O586" s="389"/>
      <c r="P586" s="389"/>
      <c r="Q586" s="389"/>
      <c r="R586" s="389"/>
      <c r="S586" s="389"/>
      <c r="T586" s="389"/>
      <c r="U586" s="389"/>
      <c r="V586" s="389"/>
      <c r="W586" s="389"/>
      <c r="X586" s="389"/>
      <c r="Y586" s="389"/>
      <c r="Z586" s="389"/>
      <c r="AA586" s="389"/>
      <c r="AB586" s="389"/>
      <c r="AC586" s="389"/>
      <c r="AD586" s="389"/>
      <c r="AE586" s="389"/>
      <c r="AF586" s="389"/>
      <c r="AG586" s="389"/>
    </row>
    <row r="587">
      <c r="A587" s="389"/>
      <c r="B587" s="389"/>
      <c r="C587" s="389"/>
      <c r="D587" s="390"/>
      <c r="E587" s="389"/>
      <c r="F587" s="392"/>
      <c r="G587" s="389"/>
      <c r="H587" s="389"/>
      <c r="I587" s="389"/>
      <c r="J587" s="389"/>
      <c r="K587" s="389"/>
      <c r="L587" s="389"/>
      <c r="M587" s="389"/>
      <c r="N587" s="389"/>
      <c r="O587" s="389"/>
      <c r="P587" s="389"/>
      <c r="Q587" s="389"/>
      <c r="R587" s="389"/>
      <c r="S587" s="389"/>
      <c r="T587" s="389"/>
      <c r="U587" s="389"/>
      <c r="V587" s="389"/>
      <c r="W587" s="389"/>
      <c r="X587" s="389"/>
      <c r="Y587" s="389"/>
      <c r="Z587" s="389"/>
      <c r="AA587" s="389"/>
      <c r="AB587" s="389"/>
      <c r="AC587" s="389"/>
      <c r="AD587" s="389"/>
      <c r="AE587" s="389"/>
      <c r="AF587" s="389"/>
      <c r="AG587" s="389"/>
    </row>
    <row r="588">
      <c r="A588" s="389"/>
      <c r="B588" s="389"/>
      <c r="C588" s="389"/>
      <c r="D588" s="390"/>
      <c r="E588" s="389"/>
      <c r="F588" s="392"/>
      <c r="G588" s="389"/>
      <c r="H588" s="389"/>
      <c r="I588" s="389"/>
      <c r="J588" s="389"/>
      <c r="K588" s="389"/>
      <c r="L588" s="389"/>
      <c r="M588" s="389"/>
      <c r="N588" s="389"/>
      <c r="O588" s="389"/>
      <c r="P588" s="389"/>
      <c r="Q588" s="389"/>
      <c r="R588" s="389"/>
      <c r="S588" s="389"/>
      <c r="T588" s="389"/>
      <c r="U588" s="389"/>
      <c r="V588" s="389"/>
      <c r="W588" s="389"/>
      <c r="X588" s="389"/>
      <c r="Y588" s="389"/>
      <c r="Z588" s="389"/>
      <c r="AA588" s="389"/>
      <c r="AB588" s="389"/>
      <c r="AC588" s="389"/>
      <c r="AD588" s="389"/>
      <c r="AE588" s="389"/>
      <c r="AF588" s="389"/>
      <c r="AG588" s="389"/>
    </row>
    <row r="589">
      <c r="A589" s="389"/>
      <c r="B589" s="389"/>
      <c r="C589" s="389"/>
      <c r="D589" s="390"/>
      <c r="E589" s="389"/>
      <c r="F589" s="392"/>
      <c r="G589" s="389"/>
      <c r="H589" s="389"/>
      <c r="I589" s="389"/>
      <c r="J589" s="389"/>
      <c r="K589" s="389"/>
      <c r="L589" s="389"/>
      <c r="M589" s="389"/>
      <c r="N589" s="389"/>
      <c r="O589" s="389"/>
      <c r="P589" s="389"/>
      <c r="Q589" s="389"/>
      <c r="R589" s="389"/>
      <c r="S589" s="389"/>
      <c r="T589" s="389"/>
      <c r="U589" s="389"/>
      <c r="V589" s="389"/>
      <c r="W589" s="389"/>
      <c r="X589" s="389"/>
      <c r="Y589" s="389"/>
      <c r="Z589" s="389"/>
      <c r="AA589" s="389"/>
      <c r="AB589" s="389"/>
      <c r="AC589" s="389"/>
      <c r="AD589" s="389"/>
      <c r="AE589" s="389"/>
      <c r="AF589" s="389"/>
      <c r="AG589" s="389"/>
    </row>
    <row r="590">
      <c r="A590" s="389"/>
      <c r="B590" s="389"/>
      <c r="C590" s="389"/>
      <c r="D590" s="390"/>
      <c r="E590" s="389"/>
      <c r="F590" s="392"/>
      <c r="G590" s="389"/>
      <c r="H590" s="389"/>
      <c r="I590" s="389"/>
      <c r="J590" s="389"/>
      <c r="K590" s="389"/>
      <c r="L590" s="389"/>
      <c r="M590" s="389"/>
      <c r="N590" s="389"/>
      <c r="O590" s="389"/>
      <c r="P590" s="389"/>
      <c r="Q590" s="389"/>
      <c r="R590" s="389"/>
      <c r="S590" s="389"/>
      <c r="T590" s="389"/>
      <c r="U590" s="389"/>
      <c r="V590" s="389"/>
      <c r="W590" s="389"/>
      <c r="X590" s="389"/>
      <c r="Y590" s="389"/>
      <c r="Z590" s="389"/>
      <c r="AA590" s="389"/>
      <c r="AB590" s="389"/>
      <c r="AC590" s="389"/>
      <c r="AD590" s="389"/>
      <c r="AE590" s="389"/>
      <c r="AF590" s="389"/>
      <c r="AG590" s="389"/>
    </row>
    <row r="591">
      <c r="A591" s="389"/>
      <c r="B591" s="389"/>
      <c r="C591" s="389"/>
      <c r="D591" s="390"/>
      <c r="E591" s="389"/>
      <c r="F591" s="392"/>
      <c r="G591" s="389"/>
      <c r="H591" s="389"/>
      <c r="I591" s="389"/>
      <c r="J591" s="389"/>
      <c r="K591" s="389"/>
      <c r="L591" s="389"/>
      <c r="M591" s="389"/>
      <c r="N591" s="389"/>
      <c r="O591" s="389"/>
      <c r="P591" s="389"/>
      <c r="Q591" s="389"/>
      <c r="R591" s="389"/>
      <c r="S591" s="389"/>
      <c r="T591" s="389"/>
      <c r="U591" s="389"/>
      <c r="V591" s="389"/>
      <c r="W591" s="389"/>
      <c r="X591" s="389"/>
      <c r="Y591" s="389"/>
      <c r="Z591" s="389"/>
      <c r="AA591" s="389"/>
      <c r="AB591" s="389"/>
      <c r="AC591" s="389"/>
      <c r="AD591" s="389"/>
      <c r="AE591" s="389"/>
      <c r="AF591" s="389"/>
      <c r="AG591" s="389"/>
    </row>
    <row r="592">
      <c r="A592" s="389"/>
      <c r="B592" s="389"/>
      <c r="C592" s="389"/>
      <c r="D592" s="390"/>
      <c r="E592" s="389"/>
      <c r="F592" s="392"/>
      <c r="G592" s="389"/>
      <c r="H592" s="389"/>
      <c r="I592" s="389"/>
      <c r="J592" s="389"/>
      <c r="K592" s="389"/>
      <c r="L592" s="389"/>
      <c r="M592" s="389"/>
      <c r="N592" s="389"/>
      <c r="O592" s="389"/>
      <c r="P592" s="389"/>
      <c r="Q592" s="389"/>
      <c r="R592" s="389"/>
      <c r="S592" s="389"/>
      <c r="T592" s="389"/>
      <c r="U592" s="389"/>
      <c r="V592" s="389"/>
      <c r="W592" s="389"/>
      <c r="X592" s="389"/>
      <c r="Y592" s="389"/>
      <c r="Z592" s="389"/>
      <c r="AA592" s="389"/>
      <c r="AB592" s="389"/>
      <c r="AC592" s="389"/>
      <c r="AD592" s="389"/>
      <c r="AE592" s="389"/>
      <c r="AF592" s="389"/>
      <c r="AG592" s="389"/>
    </row>
    <row r="593">
      <c r="A593" s="389"/>
      <c r="B593" s="389"/>
      <c r="C593" s="389"/>
      <c r="D593" s="390"/>
      <c r="E593" s="389"/>
      <c r="F593" s="392"/>
      <c r="G593" s="389"/>
      <c r="H593" s="389"/>
      <c r="I593" s="389"/>
      <c r="J593" s="389"/>
      <c r="K593" s="389"/>
      <c r="L593" s="389"/>
      <c r="M593" s="389"/>
      <c r="N593" s="389"/>
      <c r="O593" s="389"/>
      <c r="P593" s="389"/>
      <c r="Q593" s="389"/>
      <c r="R593" s="389"/>
      <c r="S593" s="389"/>
      <c r="T593" s="389"/>
      <c r="U593" s="389"/>
      <c r="V593" s="389"/>
      <c r="W593" s="389"/>
      <c r="X593" s="389"/>
      <c r="Y593" s="389"/>
      <c r="Z593" s="389"/>
      <c r="AA593" s="389"/>
      <c r="AB593" s="389"/>
      <c r="AC593" s="389"/>
      <c r="AD593" s="389"/>
      <c r="AE593" s="389"/>
      <c r="AF593" s="389"/>
      <c r="AG593" s="389"/>
    </row>
    <row r="594">
      <c r="A594" s="389"/>
      <c r="B594" s="389"/>
      <c r="C594" s="389"/>
      <c r="D594" s="390"/>
      <c r="E594" s="389"/>
      <c r="F594" s="392"/>
      <c r="G594" s="389"/>
      <c r="H594" s="389"/>
      <c r="I594" s="389"/>
      <c r="J594" s="389"/>
      <c r="K594" s="389"/>
      <c r="L594" s="389"/>
      <c r="M594" s="389"/>
      <c r="N594" s="389"/>
      <c r="O594" s="389"/>
      <c r="P594" s="389"/>
      <c r="Q594" s="389"/>
      <c r="R594" s="389"/>
      <c r="S594" s="389"/>
      <c r="T594" s="389"/>
      <c r="U594" s="389"/>
      <c r="V594" s="389"/>
      <c r="W594" s="389"/>
      <c r="X594" s="389"/>
      <c r="Y594" s="389"/>
      <c r="Z594" s="389"/>
      <c r="AA594" s="389"/>
      <c r="AB594" s="389"/>
      <c r="AC594" s="389"/>
      <c r="AD594" s="389"/>
      <c r="AE594" s="389"/>
      <c r="AF594" s="389"/>
      <c r="AG594" s="389"/>
    </row>
    <row r="595">
      <c r="A595" s="389"/>
      <c r="B595" s="389"/>
      <c r="C595" s="389"/>
      <c r="D595" s="390"/>
      <c r="E595" s="389"/>
      <c r="F595" s="392"/>
      <c r="G595" s="389"/>
      <c r="H595" s="389"/>
      <c r="I595" s="389"/>
      <c r="J595" s="389"/>
      <c r="K595" s="389"/>
      <c r="L595" s="389"/>
      <c r="M595" s="389"/>
      <c r="N595" s="389"/>
      <c r="O595" s="389"/>
      <c r="P595" s="389"/>
      <c r="Q595" s="389"/>
      <c r="R595" s="389"/>
      <c r="S595" s="389"/>
      <c r="T595" s="389"/>
      <c r="U595" s="389"/>
      <c r="V595" s="389"/>
      <c r="W595" s="389"/>
      <c r="X595" s="389"/>
      <c r="Y595" s="389"/>
      <c r="Z595" s="389"/>
      <c r="AA595" s="389"/>
      <c r="AB595" s="389"/>
      <c r="AC595" s="389"/>
      <c r="AD595" s="389"/>
      <c r="AE595" s="389"/>
      <c r="AF595" s="389"/>
      <c r="AG595" s="389"/>
    </row>
    <row r="596">
      <c r="A596" s="389"/>
      <c r="B596" s="389"/>
      <c r="C596" s="389"/>
      <c r="D596" s="390"/>
      <c r="E596" s="389"/>
      <c r="F596" s="392"/>
      <c r="G596" s="389"/>
      <c r="H596" s="389"/>
      <c r="I596" s="389"/>
      <c r="J596" s="389"/>
      <c r="K596" s="389"/>
      <c r="L596" s="389"/>
      <c r="M596" s="389"/>
      <c r="N596" s="389"/>
      <c r="O596" s="389"/>
      <c r="P596" s="389"/>
      <c r="Q596" s="389"/>
      <c r="R596" s="389"/>
      <c r="S596" s="389"/>
      <c r="T596" s="389"/>
      <c r="U596" s="389"/>
      <c r="V596" s="389"/>
      <c r="W596" s="389"/>
      <c r="X596" s="389"/>
      <c r="Y596" s="389"/>
      <c r="Z596" s="389"/>
      <c r="AA596" s="389"/>
      <c r="AB596" s="389"/>
      <c r="AC596" s="389"/>
      <c r="AD596" s="389"/>
      <c r="AE596" s="389"/>
      <c r="AF596" s="389"/>
      <c r="AG596" s="389"/>
    </row>
    <row r="597">
      <c r="A597" s="389"/>
      <c r="B597" s="389"/>
      <c r="C597" s="389"/>
      <c r="D597" s="390"/>
      <c r="E597" s="389"/>
      <c r="F597" s="392"/>
      <c r="G597" s="389"/>
      <c r="H597" s="389"/>
      <c r="I597" s="389"/>
      <c r="J597" s="389"/>
      <c r="K597" s="389"/>
      <c r="L597" s="389"/>
      <c r="M597" s="389"/>
      <c r="N597" s="389"/>
      <c r="O597" s="389"/>
      <c r="P597" s="389"/>
      <c r="Q597" s="389"/>
      <c r="R597" s="389"/>
      <c r="S597" s="389"/>
      <c r="T597" s="389"/>
      <c r="U597" s="389"/>
      <c r="V597" s="389"/>
      <c r="W597" s="389"/>
      <c r="X597" s="389"/>
      <c r="Y597" s="389"/>
      <c r="Z597" s="389"/>
      <c r="AA597" s="389"/>
      <c r="AB597" s="389"/>
      <c r="AC597" s="389"/>
      <c r="AD597" s="389"/>
      <c r="AE597" s="389"/>
      <c r="AF597" s="389"/>
      <c r="AG597" s="389"/>
    </row>
    <row r="598">
      <c r="A598" s="389"/>
      <c r="B598" s="389"/>
      <c r="C598" s="389"/>
      <c r="D598" s="390"/>
      <c r="E598" s="389"/>
      <c r="F598" s="392"/>
      <c r="G598" s="389"/>
      <c r="H598" s="389"/>
      <c r="I598" s="389"/>
      <c r="J598" s="389"/>
      <c r="K598" s="389"/>
      <c r="L598" s="389"/>
      <c r="M598" s="389"/>
      <c r="N598" s="389"/>
      <c r="O598" s="389"/>
      <c r="P598" s="389"/>
      <c r="Q598" s="389"/>
      <c r="R598" s="389"/>
      <c r="S598" s="389"/>
      <c r="T598" s="389"/>
      <c r="U598" s="389"/>
      <c r="V598" s="389"/>
      <c r="W598" s="389"/>
      <c r="X598" s="389"/>
      <c r="Y598" s="389"/>
      <c r="Z598" s="389"/>
      <c r="AA598" s="389"/>
      <c r="AB598" s="389"/>
      <c r="AC598" s="389"/>
      <c r="AD598" s="389"/>
      <c r="AE598" s="389"/>
      <c r="AF598" s="389"/>
      <c r="AG598" s="389"/>
    </row>
    <row r="599">
      <c r="A599" s="389"/>
      <c r="B599" s="389"/>
      <c r="C599" s="389"/>
      <c r="D599" s="390"/>
      <c r="E599" s="389"/>
      <c r="F599" s="392"/>
      <c r="G599" s="389"/>
      <c r="H599" s="389"/>
      <c r="I599" s="389"/>
      <c r="J599" s="389"/>
      <c r="K599" s="389"/>
      <c r="L599" s="389"/>
      <c r="M599" s="389"/>
      <c r="N599" s="389"/>
      <c r="O599" s="389"/>
      <c r="P599" s="389"/>
      <c r="Q599" s="389"/>
      <c r="R599" s="389"/>
      <c r="S599" s="389"/>
      <c r="T599" s="389"/>
      <c r="U599" s="389"/>
      <c r="V599" s="389"/>
      <c r="W599" s="389"/>
      <c r="X599" s="389"/>
      <c r="Y599" s="389"/>
      <c r="Z599" s="389"/>
      <c r="AA599" s="389"/>
      <c r="AB599" s="389"/>
      <c r="AC599" s="389"/>
      <c r="AD599" s="389"/>
      <c r="AE599" s="389"/>
      <c r="AF599" s="389"/>
      <c r="AG599" s="389"/>
    </row>
    <row r="600">
      <c r="A600" s="389"/>
      <c r="B600" s="389"/>
      <c r="C600" s="389"/>
      <c r="D600" s="390"/>
      <c r="E600" s="389"/>
      <c r="F600" s="392"/>
      <c r="G600" s="389"/>
      <c r="H600" s="389"/>
      <c r="I600" s="389"/>
      <c r="J600" s="389"/>
      <c r="K600" s="389"/>
      <c r="L600" s="389"/>
      <c r="M600" s="389"/>
      <c r="N600" s="389"/>
      <c r="O600" s="389"/>
      <c r="P600" s="389"/>
      <c r="Q600" s="389"/>
      <c r="R600" s="389"/>
      <c r="S600" s="389"/>
      <c r="T600" s="389"/>
      <c r="U600" s="389"/>
      <c r="V600" s="389"/>
      <c r="W600" s="389"/>
      <c r="X600" s="389"/>
      <c r="Y600" s="389"/>
      <c r="Z600" s="389"/>
      <c r="AA600" s="389"/>
      <c r="AB600" s="389"/>
      <c r="AC600" s="389"/>
      <c r="AD600" s="389"/>
      <c r="AE600" s="389"/>
      <c r="AF600" s="389"/>
      <c r="AG600" s="389"/>
    </row>
    <row r="601">
      <c r="A601" s="389"/>
      <c r="B601" s="389"/>
      <c r="C601" s="389"/>
      <c r="D601" s="390"/>
      <c r="E601" s="389"/>
      <c r="F601" s="392"/>
      <c r="G601" s="389"/>
      <c r="H601" s="389"/>
      <c r="I601" s="389"/>
      <c r="J601" s="389"/>
      <c r="K601" s="389"/>
      <c r="L601" s="389"/>
      <c r="M601" s="389"/>
      <c r="N601" s="389"/>
      <c r="O601" s="389"/>
      <c r="P601" s="389"/>
      <c r="Q601" s="389"/>
      <c r="R601" s="389"/>
      <c r="S601" s="389"/>
      <c r="T601" s="389"/>
      <c r="U601" s="389"/>
      <c r="V601" s="389"/>
      <c r="W601" s="389"/>
      <c r="X601" s="389"/>
      <c r="Y601" s="389"/>
      <c r="Z601" s="389"/>
      <c r="AA601" s="389"/>
      <c r="AB601" s="389"/>
      <c r="AC601" s="389"/>
      <c r="AD601" s="389"/>
      <c r="AE601" s="389"/>
      <c r="AF601" s="389"/>
      <c r="AG601" s="389"/>
    </row>
    <row r="602">
      <c r="A602" s="389"/>
      <c r="B602" s="389"/>
      <c r="C602" s="389"/>
      <c r="D602" s="390"/>
      <c r="E602" s="389"/>
      <c r="F602" s="392"/>
      <c r="G602" s="389"/>
      <c r="H602" s="389"/>
      <c r="I602" s="389"/>
      <c r="J602" s="389"/>
      <c r="K602" s="389"/>
      <c r="L602" s="389"/>
      <c r="M602" s="389"/>
      <c r="N602" s="389"/>
      <c r="O602" s="389"/>
      <c r="P602" s="389"/>
      <c r="Q602" s="389"/>
      <c r="R602" s="389"/>
      <c r="S602" s="389"/>
      <c r="T602" s="389"/>
      <c r="U602" s="389"/>
      <c r="V602" s="389"/>
      <c r="W602" s="389"/>
      <c r="X602" s="389"/>
      <c r="Y602" s="389"/>
      <c r="Z602" s="389"/>
      <c r="AA602" s="389"/>
      <c r="AB602" s="389"/>
      <c r="AC602" s="389"/>
      <c r="AD602" s="389"/>
      <c r="AE602" s="389"/>
      <c r="AF602" s="389"/>
      <c r="AG602" s="389"/>
    </row>
    <row r="603">
      <c r="A603" s="389"/>
      <c r="B603" s="389"/>
      <c r="C603" s="389"/>
      <c r="D603" s="390"/>
      <c r="E603" s="389"/>
      <c r="F603" s="392"/>
      <c r="G603" s="389"/>
      <c r="H603" s="389"/>
      <c r="I603" s="389"/>
      <c r="J603" s="389"/>
      <c r="K603" s="389"/>
      <c r="L603" s="389"/>
      <c r="M603" s="389"/>
      <c r="N603" s="389"/>
      <c r="O603" s="389"/>
      <c r="P603" s="389"/>
      <c r="Q603" s="389"/>
      <c r="R603" s="389"/>
      <c r="S603" s="389"/>
      <c r="T603" s="389"/>
      <c r="U603" s="389"/>
      <c r="V603" s="389"/>
      <c r="W603" s="389"/>
      <c r="X603" s="389"/>
      <c r="Y603" s="389"/>
      <c r="Z603" s="389"/>
      <c r="AA603" s="389"/>
      <c r="AB603" s="389"/>
      <c r="AC603" s="389"/>
      <c r="AD603" s="389"/>
      <c r="AE603" s="389"/>
      <c r="AF603" s="389"/>
      <c r="AG603" s="389"/>
    </row>
    <row r="604">
      <c r="A604" s="389"/>
      <c r="B604" s="389"/>
      <c r="C604" s="389"/>
      <c r="D604" s="390"/>
      <c r="E604" s="389"/>
      <c r="F604" s="392"/>
      <c r="G604" s="389"/>
      <c r="H604" s="389"/>
      <c r="I604" s="389"/>
      <c r="J604" s="389"/>
      <c r="K604" s="389"/>
      <c r="L604" s="389"/>
      <c r="M604" s="389"/>
      <c r="N604" s="389"/>
      <c r="O604" s="389"/>
      <c r="P604" s="389"/>
      <c r="Q604" s="389"/>
      <c r="R604" s="389"/>
      <c r="S604" s="389"/>
      <c r="T604" s="389"/>
      <c r="U604" s="389"/>
      <c r="V604" s="389"/>
      <c r="W604" s="389"/>
      <c r="X604" s="389"/>
      <c r="Y604" s="389"/>
      <c r="Z604" s="389"/>
      <c r="AA604" s="389"/>
      <c r="AB604" s="389"/>
      <c r="AC604" s="389"/>
      <c r="AD604" s="389"/>
      <c r="AE604" s="389"/>
      <c r="AF604" s="389"/>
      <c r="AG604" s="389"/>
    </row>
    <row r="605">
      <c r="A605" s="389"/>
      <c r="B605" s="389"/>
      <c r="C605" s="389"/>
      <c r="D605" s="390"/>
      <c r="E605" s="389"/>
      <c r="F605" s="392"/>
      <c r="G605" s="389"/>
      <c r="H605" s="389"/>
      <c r="I605" s="389"/>
      <c r="J605" s="389"/>
      <c r="K605" s="389"/>
      <c r="L605" s="389"/>
      <c r="M605" s="389"/>
      <c r="N605" s="389"/>
      <c r="O605" s="389"/>
      <c r="P605" s="389"/>
      <c r="Q605" s="389"/>
      <c r="R605" s="389"/>
      <c r="S605" s="389"/>
      <c r="T605" s="389"/>
      <c r="U605" s="389"/>
      <c r="V605" s="389"/>
      <c r="W605" s="389"/>
      <c r="X605" s="389"/>
      <c r="Y605" s="389"/>
      <c r="Z605" s="389"/>
      <c r="AA605" s="389"/>
      <c r="AB605" s="389"/>
      <c r="AC605" s="389"/>
      <c r="AD605" s="389"/>
      <c r="AE605" s="389"/>
      <c r="AF605" s="389"/>
      <c r="AG605" s="389"/>
    </row>
    <row r="606">
      <c r="A606" s="389"/>
      <c r="B606" s="389"/>
      <c r="C606" s="389"/>
      <c r="D606" s="390"/>
      <c r="E606" s="389"/>
      <c r="F606" s="392"/>
      <c r="G606" s="389"/>
      <c r="H606" s="389"/>
      <c r="I606" s="389"/>
      <c r="J606" s="389"/>
      <c r="K606" s="389"/>
      <c r="L606" s="389"/>
      <c r="M606" s="389"/>
      <c r="N606" s="389"/>
      <c r="O606" s="389"/>
      <c r="P606" s="389"/>
      <c r="Q606" s="389"/>
      <c r="R606" s="389"/>
      <c r="S606" s="389"/>
      <c r="T606" s="389"/>
      <c r="U606" s="389"/>
      <c r="V606" s="389"/>
      <c r="W606" s="389"/>
      <c r="X606" s="389"/>
      <c r="Y606" s="389"/>
      <c r="Z606" s="389"/>
      <c r="AA606" s="389"/>
      <c r="AB606" s="389"/>
      <c r="AC606" s="389"/>
      <c r="AD606" s="389"/>
      <c r="AE606" s="389"/>
      <c r="AF606" s="389"/>
      <c r="AG606" s="389"/>
    </row>
    <row r="607">
      <c r="A607" s="389"/>
      <c r="B607" s="389"/>
      <c r="C607" s="389"/>
      <c r="D607" s="390"/>
      <c r="E607" s="389"/>
      <c r="F607" s="392"/>
      <c r="G607" s="389"/>
      <c r="H607" s="389"/>
      <c r="I607" s="389"/>
      <c r="J607" s="389"/>
      <c r="K607" s="389"/>
      <c r="L607" s="389"/>
      <c r="M607" s="389"/>
      <c r="N607" s="389"/>
      <c r="O607" s="389"/>
      <c r="P607" s="389"/>
      <c r="Q607" s="389"/>
      <c r="R607" s="389"/>
      <c r="S607" s="389"/>
      <c r="T607" s="389"/>
      <c r="U607" s="389"/>
      <c r="V607" s="389"/>
      <c r="W607" s="389"/>
      <c r="X607" s="389"/>
      <c r="Y607" s="389"/>
      <c r="Z607" s="389"/>
      <c r="AA607" s="389"/>
      <c r="AB607" s="389"/>
      <c r="AC607" s="389"/>
      <c r="AD607" s="389"/>
      <c r="AE607" s="389"/>
      <c r="AF607" s="389"/>
      <c r="AG607" s="389"/>
    </row>
    <row r="608">
      <c r="A608" s="389"/>
      <c r="B608" s="389"/>
      <c r="C608" s="389"/>
      <c r="D608" s="390"/>
      <c r="E608" s="389"/>
      <c r="F608" s="392"/>
      <c r="G608" s="389"/>
      <c r="H608" s="389"/>
      <c r="I608" s="389"/>
      <c r="J608" s="389"/>
      <c r="K608" s="389"/>
      <c r="L608" s="389"/>
      <c r="M608" s="389"/>
      <c r="N608" s="389"/>
      <c r="O608" s="389"/>
      <c r="P608" s="389"/>
      <c r="Q608" s="389"/>
      <c r="R608" s="389"/>
      <c r="S608" s="389"/>
      <c r="T608" s="389"/>
      <c r="U608" s="389"/>
      <c r="V608" s="389"/>
      <c r="W608" s="389"/>
      <c r="X608" s="389"/>
      <c r="Y608" s="389"/>
      <c r="Z608" s="389"/>
      <c r="AA608" s="389"/>
      <c r="AB608" s="389"/>
      <c r="AC608" s="389"/>
      <c r="AD608" s="389"/>
      <c r="AE608" s="389"/>
      <c r="AF608" s="389"/>
      <c r="AG608" s="389"/>
    </row>
    <row r="609">
      <c r="A609" s="389"/>
      <c r="B609" s="389"/>
      <c r="C609" s="389"/>
      <c r="D609" s="390"/>
      <c r="E609" s="389"/>
      <c r="F609" s="392"/>
      <c r="G609" s="389"/>
      <c r="H609" s="389"/>
      <c r="I609" s="389"/>
      <c r="J609" s="389"/>
      <c r="K609" s="389"/>
      <c r="L609" s="389"/>
      <c r="M609" s="389"/>
      <c r="N609" s="389"/>
      <c r="O609" s="389"/>
      <c r="P609" s="389"/>
      <c r="Q609" s="389"/>
      <c r="R609" s="389"/>
      <c r="S609" s="389"/>
      <c r="T609" s="389"/>
      <c r="U609" s="389"/>
      <c r="V609" s="389"/>
      <c r="W609" s="389"/>
      <c r="X609" s="389"/>
      <c r="Y609" s="389"/>
      <c r="Z609" s="389"/>
      <c r="AA609" s="389"/>
      <c r="AB609" s="389"/>
      <c r="AC609" s="389"/>
      <c r="AD609" s="389"/>
      <c r="AE609" s="389"/>
      <c r="AF609" s="389"/>
      <c r="AG609" s="389"/>
    </row>
    <row r="610">
      <c r="A610" s="389"/>
      <c r="B610" s="389"/>
      <c r="C610" s="389"/>
      <c r="D610" s="390"/>
      <c r="E610" s="389"/>
      <c r="F610" s="392"/>
      <c r="G610" s="389"/>
      <c r="H610" s="389"/>
      <c r="I610" s="389"/>
      <c r="J610" s="389"/>
      <c r="K610" s="389"/>
      <c r="L610" s="389"/>
      <c r="M610" s="389"/>
      <c r="N610" s="389"/>
      <c r="O610" s="389"/>
      <c r="P610" s="389"/>
      <c r="Q610" s="389"/>
      <c r="R610" s="389"/>
      <c r="S610" s="389"/>
      <c r="T610" s="389"/>
      <c r="U610" s="389"/>
      <c r="V610" s="389"/>
      <c r="W610" s="389"/>
      <c r="X610" s="389"/>
      <c r="Y610" s="389"/>
      <c r="Z610" s="389"/>
      <c r="AA610" s="389"/>
      <c r="AB610" s="389"/>
      <c r="AC610" s="389"/>
      <c r="AD610" s="389"/>
      <c r="AE610" s="389"/>
      <c r="AF610" s="389"/>
      <c r="AG610" s="389"/>
    </row>
    <row r="611">
      <c r="A611" s="389"/>
      <c r="B611" s="389"/>
      <c r="C611" s="389"/>
      <c r="D611" s="390"/>
      <c r="E611" s="389"/>
      <c r="F611" s="392"/>
      <c r="G611" s="389"/>
      <c r="H611" s="389"/>
      <c r="I611" s="389"/>
      <c r="J611" s="389"/>
      <c r="K611" s="389"/>
      <c r="L611" s="389"/>
      <c r="M611" s="389"/>
      <c r="N611" s="389"/>
      <c r="O611" s="389"/>
      <c r="P611" s="389"/>
      <c r="Q611" s="389"/>
      <c r="R611" s="389"/>
      <c r="S611" s="389"/>
      <c r="T611" s="389"/>
      <c r="U611" s="389"/>
      <c r="V611" s="389"/>
      <c r="W611" s="389"/>
      <c r="X611" s="389"/>
      <c r="Y611" s="389"/>
      <c r="Z611" s="389"/>
      <c r="AA611" s="389"/>
      <c r="AB611" s="389"/>
      <c r="AC611" s="389"/>
      <c r="AD611" s="389"/>
      <c r="AE611" s="389"/>
      <c r="AF611" s="389"/>
      <c r="AG611" s="389"/>
    </row>
    <row r="612">
      <c r="A612" s="389"/>
      <c r="B612" s="389"/>
      <c r="C612" s="389"/>
      <c r="D612" s="390"/>
      <c r="E612" s="389"/>
      <c r="F612" s="392"/>
      <c r="G612" s="389"/>
      <c r="H612" s="389"/>
      <c r="I612" s="389"/>
      <c r="J612" s="389"/>
      <c r="K612" s="389"/>
      <c r="L612" s="389"/>
      <c r="M612" s="389"/>
      <c r="N612" s="389"/>
      <c r="O612" s="389"/>
      <c r="P612" s="389"/>
      <c r="Q612" s="389"/>
      <c r="R612" s="389"/>
      <c r="S612" s="389"/>
      <c r="T612" s="389"/>
      <c r="U612" s="389"/>
      <c r="V612" s="389"/>
      <c r="W612" s="389"/>
      <c r="X612" s="389"/>
      <c r="Y612" s="389"/>
      <c r="Z612" s="389"/>
      <c r="AA612" s="389"/>
      <c r="AB612" s="389"/>
      <c r="AC612" s="389"/>
      <c r="AD612" s="389"/>
      <c r="AE612" s="389"/>
      <c r="AF612" s="389"/>
      <c r="AG612" s="389"/>
    </row>
    <row r="613">
      <c r="A613" s="389"/>
      <c r="B613" s="389"/>
      <c r="C613" s="389"/>
      <c r="D613" s="390"/>
      <c r="E613" s="389"/>
      <c r="F613" s="392"/>
      <c r="G613" s="389"/>
      <c r="H613" s="389"/>
      <c r="I613" s="389"/>
      <c r="J613" s="389"/>
      <c r="K613" s="389"/>
      <c r="L613" s="389"/>
      <c r="M613" s="389"/>
      <c r="N613" s="389"/>
      <c r="O613" s="389"/>
      <c r="P613" s="389"/>
      <c r="Q613" s="389"/>
      <c r="R613" s="389"/>
      <c r="S613" s="389"/>
      <c r="T613" s="389"/>
      <c r="U613" s="389"/>
      <c r="V613" s="389"/>
      <c r="W613" s="389"/>
      <c r="X613" s="389"/>
      <c r="Y613" s="389"/>
      <c r="Z613" s="389"/>
      <c r="AA613" s="389"/>
      <c r="AB613" s="389"/>
      <c r="AC613" s="389"/>
      <c r="AD613" s="389"/>
      <c r="AE613" s="389"/>
      <c r="AF613" s="389"/>
      <c r="AG613" s="389"/>
    </row>
    <row r="614">
      <c r="A614" s="389"/>
      <c r="B614" s="389"/>
      <c r="C614" s="389"/>
      <c r="D614" s="390"/>
      <c r="E614" s="389"/>
      <c r="F614" s="392"/>
      <c r="G614" s="389"/>
      <c r="H614" s="389"/>
      <c r="I614" s="389"/>
      <c r="J614" s="389"/>
      <c r="K614" s="389"/>
      <c r="L614" s="389"/>
      <c r="M614" s="389"/>
      <c r="N614" s="389"/>
      <c r="O614" s="389"/>
      <c r="P614" s="389"/>
      <c r="Q614" s="389"/>
      <c r="R614" s="389"/>
      <c r="S614" s="389"/>
      <c r="T614" s="389"/>
      <c r="U614" s="389"/>
      <c r="V614" s="389"/>
      <c r="W614" s="389"/>
      <c r="X614" s="389"/>
      <c r="Y614" s="389"/>
      <c r="Z614" s="389"/>
      <c r="AA614" s="389"/>
      <c r="AB614" s="389"/>
      <c r="AC614" s="389"/>
      <c r="AD614" s="389"/>
      <c r="AE614" s="389"/>
      <c r="AF614" s="389"/>
      <c r="AG614" s="389"/>
    </row>
    <row r="615">
      <c r="A615" s="389"/>
      <c r="B615" s="389"/>
      <c r="C615" s="389"/>
      <c r="D615" s="390"/>
      <c r="E615" s="389"/>
      <c r="F615" s="392"/>
      <c r="G615" s="389"/>
      <c r="H615" s="389"/>
      <c r="I615" s="389"/>
      <c r="J615" s="389"/>
      <c r="K615" s="389"/>
      <c r="L615" s="389"/>
      <c r="M615" s="389"/>
      <c r="N615" s="389"/>
      <c r="O615" s="389"/>
      <c r="P615" s="389"/>
      <c r="Q615" s="389"/>
      <c r="R615" s="389"/>
      <c r="S615" s="389"/>
      <c r="T615" s="389"/>
      <c r="U615" s="389"/>
      <c r="V615" s="389"/>
      <c r="W615" s="389"/>
      <c r="X615" s="389"/>
      <c r="Y615" s="389"/>
      <c r="Z615" s="389"/>
      <c r="AA615" s="389"/>
      <c r="AB615" s="389"/>
      <c r="AC615" s="389"/>
      <c r="AD615" s="389"/>
      <c r="AE615" s="389"/>
      <c r="AF615" s="389"/>
      <c r="AG615" s="389"/>
    </row>
    <row r="616">
      <c r="A616" s="389"/>
      <c r="B616" s="389"/>
      <c r="C616" s="389"/>
      <c r="D616" s="390"/>
      <c r="E616" s="389"/>
      <c r="F616" s="392"/>
      <c r="G616" s="389"/>
      <c r="H616" s="389"/>
      <c r="I616" s="389"/>
      <c r="J616" s="389"/>
      <c r="K616" s="389"/>
      <c r="L616" s="389"/>
      <c r="M616" s="389"/>
      <c r="N616" s="389"/>
      <c r="O616" s="389"/>
      <c r="P616" s="389"/>
      <c r="Q616" s="389"/>
      <c r="R616" s="389"/>
      <c r="S616" s="389"/>
      <c r="T616" s="389"/>
      <c r="U616" s="389"/>
      <c r="V616" s="389"/>
      <c r="W616" s="389"/>
      <c r="X616" s="389"/>
      <c r="Y616" s="389"/>
      <c r="Z616" s="389"/>
      <c r="AA616" s="389"/>
      <c r="AB616" s="389"/>
      <c r="AC616" s="389"/>
      <c r="AD616" s="389"/>
      <c r="AE616" s="389"/>
      <c r="AF616" s="389"/>
      <c r="AG616" s="389"/>
    </row>
    <row r="617">
      <c r="A617" s="389"/>
      <c r="B617" s="389"/>
      <c r="C617" s="389"/>
      <c r="D617" s="390"/>
      <c r="E617" s="389"/>
      <c r="F617" s="392"/>
      <c r="G617" s="389"/>
      <c r="H617" s="389"/>
      <c r="I617" s="389"/>
      <c r="J617" s="389"/>
      <c r="K617" s="389"/>
      <c r="L617" s="389"/>
      <c r="M617" s="389"/>
      <c r="N617" s="389"/>
      <c r="O617" s="389"/>
      <c r="P617" s="389"/>
      <c r="Q617" s="389"/>
      <c r="R617" s="389"/>
      <c r="S617" s="389"/>
      <c r="T617" s="389"/>
      <c r="U617" s="389"/>
      <c r="V617" s="389"/>
      <c r="W617" s="389"/>
      <c r="X617" s="389"/>
      <c r="Y617" s="389"/>
      <c r="Z617" s="389"/>
      <c r="AA617" s="389"/>
      <c r="AB617" s="389"/>
      <c r="AC617" s="389"/>
      <c r="AD617" s="389"/>
      <c r="AE617" s="389"/>
      <c r="AF617" s="389"/>
      <c r="AG617" s="389"/>
    </row>
    <row r="618">
      <c r="A618" s="389"/>
      <c r="B618" s="389"/>
      <c r="C618" s="389"/>
      <c r="D618" s="390"/>
      <c r="E618" s="389"/>
      <c r="F618" s="392"/>
      <c r="G618" s="389"/>
      <c r="H618" s="389"/>
      <c r="I618" s="389"/>
      <c r="J618" s="389"/>
      <c r="K618" s="389"/>
      <c r="L618" s="389"/>
      <c r="M618" s="389"/>
      <c r="N618" s="389"/>
      <c r="O618" s="389"/>
      <c r="P618" s="389"/>
      <c r="Q618" s="389"/>
      <c r="R618" s="389"/>
      <c r="S618" s="389"/>
      <c r="T618" s="389"/>
      <c r="U618" s="389"/>
      <c r="V618" s="389"/>
      <c r="W618" s="389"/>
      <c r="X618" s="389"/>
      <c r="Y618" s="389"/>
      <c r="Z618" s="389"/>
      <c r="AA618" s="389"/>
      <c r="AB618" s="389"/>
      <c r="AC618" s="389"/>
      <c r="AD618" s="389"/>
      <c r="AE618" s="389"/>
      <c r="AF618" s="389"/>
      <c r="AG618" s="389"/>
    </row>
    <row r="619">
      <c r="A619" s="389"/>
      <c r="B619" s="389"/>
      <c r="C619" s="389"/>
      <c r="D619" s="390"/>
      <c r="E619" s="389"/>
      <c r="F619" s="392"/>
      <c r="G619" s="389"/>
      <c r="H619" s="389"/>
      <c r="I619" s="389"/>
      <c r="J619" s="389"/>
      <c r="K619" s="389"/>
      <c r="L619" s="389"/>
      <c r="M619" s="389"/>
      <c r="N619" s="389"/>
      <c r="O619" s="389"/>
      <c r="P619" s="389"/>
      <c r="Q619" s="389"/>
      <c r="R619" s="389"/>
      <c r="S619" s="389"/>
      <c r="T619" s="389"/>
      <c r="U619" s="389"/>
      <c r="V619" s="389"/>
      <c r="W619" s="389"/>
      <c r="X619" s="389"/>
      <c r="Y619" s="389"/>
      <c r="Z619" s="389"/>
      <c r="AA619" s="389"/>
      <c r="AB619" s="389"/>
      <c r="AC619" s="389"/>
      <c r="AD619" s="389"/>
      <c r="AE619" s="389"/>
      <c r="AF619" s="389"/>
      <c r="AG619" s="389"/>
    </row>
    <row r="620">
      <c r="A620" s="389"/>
      <c r="B620" s="389"/>
      <c r="C620" s="389"/>
      <c r="D620" s="390"/>
      <c r="E620" s="389"/>
      <c r="F620" s="392"/>
      <c r="G620" s="389"/>
      <c r="H620" s="389"/>
      <c r="I620" s="389"/>
      <c r="J620" s="389"/>
      <c r="K620" s="389"/>
      <c r="L620" s="389"/>
      <c r="M620" s="389"/>
      <c r="N620" s="389"/>
      <c r="O620" s="389"/>
      <c r="P620" s="389"/>
      <c r="Q620" s="389"/>
      <c r="R620" s="389"/>
      <c r="S620" s="389"/>
      <c r="T620" s="389"/>
      <c r="U620" s="389"/>
      <c r="V620" s="389"/>
      <c r="W620" s="389"/>
      <c r="X620" s="389"/>
      <c r="Y620" s="389"/>
      <c r="Z620" s="389"/>
      <c r="AA620" s="389"/>
      <c r="AB620" s="389"/>
      <c r="AC620" s="389"/>
      <c r="AD620" s="389"/>
      <c r="AE620" s="389"/>
      <c r="AF620" s="389"/>
      <c r="AG620" s="389"/>
    </row>
    <row r="621">
      <c r="A621" s="389"/>
      <c r="B621" s="389"/>
      <c r="C621" s="389"/>
      <c r="D621" s="390"/>
      <c r="E621" s="389"/>
      <c r="F621" s="392"/>
      <c r="G621" s="389"/>
      <c r="H621" s="389"/>
      <c r="I621" s="389"/>
      <c r="J621" s="389"/>
      <c r="K621" s="389"/>
      <c r="L621" s="389"/>
      <c r="M621" s="389"/>
      <c r="N621" s="389"/>
      <c r="O621" s="389"/>
      <c r="P621" s="389"/>
      <c r="Q621" s="389"/>
      <c r="R621" s="389"/>
      <c r="S621" s="389"/>
      <c r="T621" s="389"/>
      <c r="U621" s="389"/>
      <c r="V621" s="389"/>
      <c r="W621" s="389"/>
      <c r="X621" s="389"/>
      <c r="Y621" s="389"/>
      <c r="Z621" s="389"/>
      <c r="AA621" s="389"/>
      <c r="AB621" s="389"/>
      <c r="AC621" s="389"/>
      <c r="AD621" s="389"/>
      <c r="AE621" s="389"/>
      <c r="AF621" s="389"/>
      <c r="AG621" s="389"/>
    </row>
    <row r="622">
      <c r="A622" s="389"/>
      <c r="B622" s="389"/>
      <c r="C622" s="389"/>
      <c r="D622" s="390"/>
      <c r="E622" s="389"/>
      <c r="F622" s="392"/>
      <c r="G622" s="389"/>
      <c r="H622" s="389"/>
      <c r="I622" s="389"/>
      <c r="J622" s="389"/>
      <c r="K622" s="389"/>
      <c r="L622" s="389"/>
      <c r="M622" s="389"/>
      <c r="N622" s="389"/>
      <c r="O622" s="389"/>
      <c r="P622" s="389"/>
      <c r="Q622" s="389"/>
      <c r="R622" s="389"/>
      <c r="S622" s="389"/>
      <c r="T622" s="389"/>
      <c r="U622" s="389"/>
      <c r="V622" s="389"/>
      <c r="W622" s="389"/>
      <c r="X622" s="389"/>
      <c r="Y622" s="389"/>
      <c r="Z622" s="389"/>
      <c r="AA622" s="389"/>
      <c r="AB622" s="389"/>
      <c r="AC622" s="389"/>
      <c r="AD622" s="389"/>
      <c r="AE622" s="389"/>
      <c r="AF622" s="389"/>
      <c r="AG622" s="389"/>
    </row>
    <row r="623">
      <c r="A623" s="389"/>
      <c r="B623" s="389"/>
      <c r="C623" s="389"/>
      <c r="D623" s="390"/>
      <c r="E623" s="389"/>
      <c r="F623" s="392"/>
      <c r="G623" s="389"/>
      <c r="H623" s="389"/>
      <c r="I623" s="389"/>
      <c r="J623" s="389"/>
      <c r="K623" s="389"/>
      <c r="L623" s="389"/>
      <c r="M623" s="389"/>
      <c r="N623" s="389"/>
      <c r="O623" s="389"/>
      <c r="P623" s="389"/>
      <c r="Q623" s="389"/>
      <c r="R623" s="389"/>
      <c r="S623" s="389"/>
      <c r="T623" s="389"/>
      <c r="U623" s="389"/>
      <c r="V623" s="389"/>
      <c r="W623" s="389"/>
      <c r="X623" s="389"/>
      <c r="Y623" s="389"/>
      <c r="Z623" s="389"/>
      <c r="AA623" s="389"/>
      <c r="AB623" s="389"/>
      <c r="AC623" s="389"/>
      <c r="AD623" s="389"/>
      <c r="AE623" s="389"/>
      <c r="AF623" s="389"/>
      <c r="AG623" s="389"/>
    </row>
    <row r="624">
      <c r="A624" s="389"/>
      <c r="B624" s="389"/>
      <c r="C624" s="389"/>
      <c r="D624" s="390"/>
      <c r="E624" s="389"/>
      <c r="F624" s="392"/>
      <c r="G624" s="389"/>
      <c r="H624" s="389"/>
      <c r="I624" s="389"/>
      <c r="J624" s="389"/>
      <c r="K624" s="389"/>
      <c r="L624" s="389"/>
      <c r="M624" s="389"/>
      <c r="N624" s="389"/>
      <c r="O624" s="389"/>
      <c r="P624" s="389"/>
      <c r="Q624" s="389"/>
      <c r="R624" s="389"/>
      <c r="S624" s="389"/>
      <c r="T624" s="389"/>
      <c r="U624" s="389"/>
      <c r="V624" s="389"/>
      <c r="W624" s="389"/>
      <c r="X624" s="389"/>
      <c r="Y624" s="389"/>
      <c r="Z624" s="389"/>
      <c r="AA624" s="389"/>
      <c r="AB624" s="389"/>
      <c r="AC624" s="389"/>
      <c r="AD624" s="389"/>
      <c r="AE624" s="389"/>
      <c r="AF624" s="389"/>
      <c r="AG624" s="389"/>
    </row>
    <row r="625">
      <c r="A625" s="389"/>
      <c r="B625" s="389"/>
      <c r="C625" s="389"/>
      <c r="D625" s="390"/>
      <c r="E625" s="389"/>
      <c r="F625" s="392"/>
      <c r="G625" s="389"/>
      <c r="H625" s="389"/>
      <c r="I625" s="389"/>
      <c r="J625" s="389"/>
      <c r="K625" s="389"/>
      <c r="L625" s="389"/>
      <c r="M625" s="389"/>
      <c r="N625" s="389"/>
      <c r="O625" s="389"/>
      <c r="P625" s="389"/>
      <c r="Q625" s="389"/>
      <c r="R625" s="389"/>
      <c r="S625" s="389"/>
      <c r="T625" s="389"/>
      <c r="U625" s="389"/>
      <c r="V625" s="389"/>
      <c r="W625" s="389"/>
      <c r="X625" s="389"/>
      <c r="Y625" s="389"/>
      <c r="Z625" s="389"/>
      <c r="AA625" s="389"/>
      <c r="AB625" s="389"/>
      <c r="AC625" s="389"/>
      <c r="AD625" s="389"/>
      <c r="AE625" s="389"/>
      <c r="AF625" s="389"/>
      <c r="AG625" s="389"/>
    </row>
    <row r="626">
      <c r="A626" s="389"/>
      <c r="B626" s="389"/>
      <c r="C626" s="389"/>
      <c r="D626" s="390"/>
      <c r="E626" s="389"/>
      <c r="F626" s="392"/>
      <c r="G626" s="389"/>
      <c r="H626" s="389"/>
      <c r="I626" s="389"/>
      <c r="J626" s="389"/>
      <c r="K626" s="389"/>
      <c r="L626" s="389"/>
      <c r="M626" s="389"/>
      <c r="N626" s="389"/>
      <c r="O626" s="389"/>
      <c r="P626" s="389"/>
      <c r="Q626" s="389"/>
      <c r="R626" s="389"/>
      <c r="S626" s="389"/>
      <c r="T626" s="389"/>
      <c r="U626" s="389"/>
      <c r="V626" s="389"/>
      <c r="W626" s="389"/>
      <c r="X626" s="389"/>
      <c r="Y626" s="389"/>
      <c r="Z626" s="389"/>
      <c r="AA626" s="389"/>
      <c r="AB626" s="389"/>
      <c r="AC626" s="389"/>
      <c r="AD626" s="389"/>
      <c r="AE626" s="389"/>
      <c r="AF626" s="389"/>
      <c r="AG626" s="389"/>
    </row>
    <row r="627">
      <c r="A627" s="389"/>
      <c r="B627" s="389"/>
      <c r="C627" s="389"/>
      <c r="D627" s="390"/>
      <c r="E627" s="389"/>
      <c r="F627" s="392"/>
      <c r="G627" s="389"/>
      <c r="H627" s="389"/>
      <c r="I627" s="389"/>
      <c r="J627" s="389"/>
      <c r="K627" s="389"/>
      <c r="L627" s="389"/>
      <c r="M627" s="389"/>
      <c r="N627" s="389"/>
      <c r="O627" s="389"/>
      <c r="P627" s="389"/>
      <c r="Q627" s="389"/>
      <c r="R627" s="389"/>
      <c r="S627" s="389"/>
      <c r="T627" s="389"/>
      <c r="U627" s="389"/>
      <c r="V627" s="389"/>
      <c r="W627" s="389"/>
      <c r="X627" s="389"/>
      <c r="Y627" s="389"/>
      <c r="Z627" s="389"/>
      <c r="AA627" s="389"/>
      <c r="AB627" s="389"/>
      <c r="AC627" s="389"/>
      <c r="AD627" s="389"/>
      <c r="AE627" s="389"/>
      <c r="AF627" s="389"/>
      <c r="AG627" s="389"/>
    </row>
    <row r="628">
      <c r="A628" s="389"/>
      <c r="B628" s="389"/>
      <c r="C628" s="389"/>
      <c r="D628" s="390"/>
      <c r="E628" s="389"/>
      <c r="F628" s="392"/>
      <c r="G628" s="389"/>
      <c r="H628" s="389"/>
      <c r="I628" s="389"/>
      <c r="J628" s="389"/>
      <c r="K628" s="389"/>
      <c r="L628" s="389"/>
      <c r="M628" s="389"/>
      <c r="N628" s="389"/>
      <c r="O628" s="389"/>
      <c r="P628" s="389"/>
      <c r="Q628" s="389"/>
      <c r="R628" s="389"/>
      <c r="S628" s="389"/>
      <c r="T628" s="389"/>
      <c r="U628" s="389"/>
      <c r="V628" s="389"/>
      <c r="W628" s="389"/>
      <c r="X628" s="389"/>
      <c r="Y628" s="389"/>
      <c r="Z628" s="389"/>
      <c r="AA628" s="389"/>
      <c r="AB628" s="389"/>
      <c r="AC628" s="389"/>
      <c r="AD628" s="389"/>
      <c r="AE628" s="389"/>
      <c r="AF628" s="389"/>
      <c r="AG628" s="389"/>
    </row>
    <row r="629">
      <c r="A629" s="389"/>
      <c r="B629" s="389"/>
      <c r="C629" s="389"/>
      <c r="D629" s="390"/>
      <c r="E629" s="389"/>
      <c r="F629" s="392"/>
      <c r="G629" s="389"/>
      <c r="H629" s="389"/>
      <c r="I629" s="389"/>
      <c r="J629" s="389"/>
      <c r="K629" s="389"/>
      <c r="L629" s="389"/>
      <c r="M629" s="389"/>
      <c r="N629" s="389"/>
      <c r="O629" s="389"/>
      <c r="P629" s="389"/>
      <c r="Q629" s="389"/>
      <c r="R629" s="389"/>
      <c r="S629" s="389"/>
      <c r="T629" s="389"/>
      <c r="U629" s="389"/>
      <c r="V629" s="389"/>
      <c r="W629" s="389"/>
      <c r="X629" s="389"/>
      <c r="Y629" s="389"/>
      <c r="Z629" s="389"/>
      <c r="AA629" s="389"/>
      <c r="AB629" s="389"/>
      <c r="AC629" s="389"/>
      <c r="AD629" s="389"/>
      <c r="AE629" s="389"/>
      <c r="AF629" s="389"/>
      <c r="AG629" s="389"/>
    </row>
    <row r="630">
      <c r="A630" s="389"/>
      <c r="B630" s="389"/>
      <c r="C630" s="389"/>
      <c r="D630" s="390"/>
      <c r="E630" s="389"/>
      <c r="F630" s="392"/>
      <c r="G630" s="389"/>
      <c r="H630" s="389"/>
      <c r="I630" s="389"/>
      <c r="J630" s="389"/>
      <c r="K630" s="389"/>
      <c r="L630" s="389"/>
      <c r="M630" s="389"/>
      <c r="N630" s="389"/>
      <c r="O630" s="389"/>
      <c r="P630" s="389"/>
      <c r="Q630" s="389"/>
      <c r="R630" s="389"/>
      <c r="S630" s="389"/>
      <c r="T630" s="389"/>
      <c r="U630" s="389"/>
      <c r="V630" s="389"/>
      <c r="W630" s="389"/>
      <c r="X630" s="389"/>
      <c r="Y630" s="389"/>
      <c r="Z630" s="389"/>
      <c r="AA630" s="389"/>
      <c r="AB630" s="389"/>
      <c r="AC630" s="389"/>
      <c r="AD630" s="389"/>
      <c r="AE630" s="389"/>
      <c r="AF630" s="389"/>
      <c r="AG630" s="389"/>
    </row>
    <row r="631">
      <c r="A631" s="389"/>
      <c r="B631" s="389"/>
      <c r="C631" s="389"/>
      <c r="D631" s="390"/>
      <c r="E631" s="389"/>
      <c r="F631" s="392"/>
      <c r="G631" s="389"/>
      <c r="H631" s="389"/>
      <c r="I631" s="389"/>
      <c r="J631" s="389"/>
      <c r="K631" s="389"/>
      <c r="L631" s="389"/>
      <c r="M631" s="389"/>
      <c r="N631" s="389"/>
      <c r="O631" s="389"/>
      <c r="P631" s="389"/>
      <c r="Q631" s="389"/>
      <c r="R631" s="389"/>
      <c r="S631" s="389"/>
      <c r="T631" s="389"/>
      <c r="U631" s="389"/>
      <c r="V631" s="389"/>
      <c r="W631" s="389"/>
      <c r="X631" s="389"/>
      <c r="Y631" s="389"/>
      <c r="Z631" s="389"/>
      <c r="AA631" s="389"/>
      <c r="AB631" s="389"/>
      <c r="AC631" s="389"/>
      <c r="AD631" s="389"/>
      <c r="AE631" s="389"/>
      <c r="AF631" s="389"/>
      <c r="AG631" s="389"/>
    </row>
    <row r="632">
      <c r="A632" s="389"/>
      <c r="B632" s="389"/>
      <c r="C632" s="389"/>
      <c r="D632" s="390"/>
      <c r="E632" s="389"/>
      <c r="F632" s="392"/>
      <c r="G632" s="389"/>
      <c r="H632" s="389"/>
      <c r="I632" s="389"/>
      <c r="J632" s="389"/>
      <c r="K632" s="389"/>
      <c r="L632" s="389"/>
      <c r="M632" s="389"/>
      <c r="N632" s="389"/>
      <c r="O632" s="389"/>
      <c r="P632" s="389"/>
      <c r="Q632" s="389"/>
      <c r="R632" s="389"/>
      <c r="S632" s="389"/>
      <c r="T632" s="389"/>
      <c r="U632" s="389"/>
      <c r="V632" s="389"/>
      <c r="W632" s="389"/>
      <c r="X632" s="389"/>
      <c r="Y632" s="389"/>
      <c r="Z632" s="389"/>
      <c r="AA632" s="389"/>
      <c r="AB632" s="389"/>
      <c r="AC632" s="389"/>
      <c r="AD632" s="389"/>
      <c r="AE632" s="389"/>
      <c r="AF632" s="389"/>
      <c r="AG632" s="389"/>
    </row>
    <row r="633">
      <c r="A633" s="389"/>
      <c r="B633" s="389"/>
      <c r="C633" s="389"/>
      <c r="D633" s="390"/>
      <c r="E633" s="389"/>
      <c r="F633" s="392"/>
      <c r="G633" s="389"/>
      <c r="H633" s="389"/>
      <c r="I633" s="389"/>
      <c r="J633" s="389"/>
      <c r="K633" s="389"/>
      <c r="L633" s="389"/>
      <c r="M633" s="389"/>
      <c r="N633" s="389"/>
      <c r="O633" s="389"/>
      <c r="P633" s="389"/>
      <c r="Q633" s="389"/>
      <c r="R633" s="389"/>
      <c r="S633" s="389"/>
      <c r="T633" s="389"/>
      <c r="U633" s="389"/>
      <c r="V633" s="389"/>
      <c r="W633" s="389"/>
      <c r="X633" s="389"/>
      <c r="Y633" s="389"/>
      <c r="Z633" s="389"/>
      <c r="AA633" s="389"/>
      <c r="AB633" s="389"/>
      <c r="AC633" s="389"/>
      <c r="AD633" s="389"/>
      <c r="AE633" s="389"/>
      <c r="AF633" s="389"/>
      <c r="AG633" s="389"/>
    </row>
    <row r="634">
      <c r="A634" s="389"/>
      <c r="B634" s="389"/>
      <c r="C634" s="389"/>
      <c r="D634" s="390"/>
      <c r="E634" s="389"/>
      <c r="F634" s="392"/>
      <c r="G634" s="389"/>
      <c r="H634" s="389"/>
      <c r="I634" s="389"/>
      <c r="J634" s="389"/>
      <c r="K634" s="389"/>
      <c r="L634" s="389"/>
      <c r="M634" s="389"/>
      <c r="N634" s="389"/>
      <c r="O634" s="389"/>
      <c r="P634" s="389"/>
      <c r="Q634" s="389"/>
      <c r="R634" s="389"/>
      <c r="S634" s="389"/>
      <c r="T634" s="389"/>
      <c r="U634" s="389"/>
      <c r="V634" s="389"/>
      <c r="W634" s="389"/>
      <c r="X634" s="389"/>
      <c r="Y634" s="389"/>
      <c r="Z634" s="389"/>
      <c r="AA634" s="389"/>
      <c r="AB634" s="389"/>
      <c r="AC634" s="389"/>
      <c r="AD634" s="389"/>
      <c r="AE634" s="389"/>
      <c r="AF634" s="389"/>
      <c r="AG634" s="389"/>
    </row>
    <row r="635">
      <c r="A635" s="389"/>
      <c r="B635" s="389"/>
      <c r="C635" s="389"/>
      <c r="D635" s="390"/>
      <c r="E635" s="389"/>
      <c r="F635" s="392"/>
      <c r="G635" s="389"/>
      <c r="H635" s="389"/>
      <c r="I635" s="389"/>
      <c r="J635" s="389"/>
      <c r="K635" s="389"/>
      <c r="L635" s="389"/>
      <c r="M635" s="389"/>
      <c r="N635" s="389"/>
      <c r="O635" s="389"/>
      <c r="P635" s="389"/>
      <c r="Q635" s="389"/>
      <c r="R635" s="389"/>
      <c r="S635" s="389"/>
      <c r="T635" s="389"/>
      <c r="U635" s="389"/>
      <c r="V635" s="389"/>
      <c r="W635" s="389"/>
      <c r="X635" s="389"/>
      <c r="Y635" s="389"/>
      <c r="Z635" s="389"/>
      <c r="AA635" s="389"/>
      <c r="AB635" s="389"/>
      <c r="AC635" s="389"/>
      <c r="AD635" s="389"/>
      <c r="AE635" s="389"/>
      <c r="AF635" s="389"/>
      <c r="AG635" s="389"/>
    </row>
    <row r="636">
      <c r="A636" s="389"/>
      <c r="B636" s="389"/>
      <c r="C636" s="389"/>
      <c r="D636" s="390"/>
      <c r="E636" s="389"/>
      <c r="F636" s="392"/>
      <c r="G636" s="389"/>
      <c r="H636" s="389"/>
      <c r="I636" s="389"/>
      <c r="J636" s="389"/>
      <c r="K636" s="389"/>
      <c r="L636" s="389"/>
      <c r="M636" s="389"/>
      <c r="N636" s="389"/>
      <c r="O636" s="389"/>
      <c r="P636" s="389"/>
      <c r="Q636" s="389"/>
      <c r="R636" s="389"/>
      <c r="S636" s="389"/>
      <c r="T636" s="389"/>
      <c r="U636" s="389"/>
      <c r="V636" s="389"/>
      <c r="W636" s="389"/>
      <c r="X636" s="389"/>
      <c r="Y636" s="389"/>
      <c r="Z636" s="389"/>
      <c r="AA636" s="389"/>
      <c r="AB636" s="389"/>
      <c r="AC636" s="389"/>
      <c r="AD636" s="389"/>
      <c r="AE636" s="389"/>
      <c r="AF636" s="389"/>
      <c r="AG636" s="389"/>
    </row>
    <row r="637">
      <c r="A637" s="389"/>
      <c r="B637" s="389"/>
      <c r="C637" s="389"/>
      <c r="D637" s="390"/>
      <c r="E637" s="389"/>
      <c r="F637" s="392"/>
      <c r="G637" s="389"/>
      <c r="H637" s="389"/>
      <c r="I637" s="389"/>
      <c r="J637" s="389"/>
      <c r="K637" s="389"/>
      <c r="L637" s="389"/>
      <c r="M637" s="389"/>
      <c r="N637" s="389"/>
      <c r="O637" s="389"/>
      <c r="P637" s="389"/>
      <c r="Q637" s="389"/>
      <c r="R637" s="389"/>
      <c r="S637" s="389"/>
      <c r="T637" s="389"/>
      <c r="U637" s="389"/>
      <c r="V637" s="389"/>
      <c r="W637" s="389"/>
      <c r="X637" s="389"/>
      <c r="Y637" s="389"/>
      <c r="Z637" s="389"/>
      <c r="AA637" s="389"/>
      <c r="AB637" s="389"/>
      <c r="AC637" s="389"/>
      <c r="AD637" s="389"/>
      <c r="AE637" s="389"/>
      <c r="AF637" s="389"/>
      <c r="AG637" s="389"/>
    </row>
    <row r="638">
      <c r="A638" s="389"/>
      <c r="B638" s="389"/>
      <c r="C638" s="389"/>
      <c r="D638" s="390"/>
      <c r="E638" s="389"/>
      <c r="F638" s="392"/>
      <c r="G638" s="389"/>
      <c r="H638" s="389"/>
      <c r="I638" s="389"/>
      <c r="J638" s="389"/>
      <c r="K638" s="389"/>
      <c r="L638" s="389"/>
      <c r="M638" s="389"/>
      <c r="N638" s="389"/>
      <c r="O638" s="389"/>
      <c r="P638" s="389"/>
      <c r="Q638" s="389"/>
      <c r="R638" s="389"/>
      <c r="S638" s="389"/>
      <c r="T638" s="389"/>
      <c r="U638" s="389"/>
      <c r="V638" s="389"/>
      <c r="W638" s="389"/>
      <c r="X638" s="389"/>
      <c r="Y638" s="389"/>
      <c r="Z638" s="389"/>
      <c r="AA638" s="389"/>
      <c r="AB638" s="389"/>
      <c r="AC638" s="389"/>
      <c r="AD638" s="389"/>
      <c r="AE638" s="389"/>
      <c r="AF638" s="389"/>
      <c r="AG638" s="389"/>
    </row>
    <row r="639">
      <c r="A639" s="389"/>
      <c r="B639" s="389"/>
      <c r="C639" s="389"/>
      <c r="D639" s="390"/>
      <c r="E639" s="389"/>
      <c r="F639" s="392"/>
      <c r="G639" s="389"/>
      <c r="H639" s="389"/>
      <c r="I639" s="389"/>
      <c r="J639" s="389"/>
      <c r="K639" s="389"/>
      <c r="L639" s="389"/>
      <c r="M639" s="389"/>
      <c r="N639" s="389"/>
      <c r="O639" s="389"/>
      <c r="P639" s="389"/>
      <c r="Q639" s="389"/>
      <c r="R639" s="389"/>
      <c r="S639" s="389"/>
      <c r="T639" s="389"/>
      <c r="U639" s="389"/>
      <c r="V639" s="389"/>
      <c r="W639" s="389"/>
      <c r="X639" s="389"/>
      <c r="Y639" s="389"/>
      <c r="Z639" s="389"/>
      <c r="AA639" s="389"/>
      <c r="AB639" s="389"/>
      <c r="AC639" s="389"/>
      <c r="AD639" s="389"/>
      <c r="AE639" s="389"/>
      <c r="AF639" s="389"/>
      <c r="AG639" s="389"/>
    </row>
    <row r="640">
      <c r="A640" s="389"/>
      <c r="B640" s="389"/>
      <c r="C640" s="389"/>
      <c r="D640" s="390"/>
      <c r="E640" s="389"/>
      <c r="F640" s="392"/>
      <c r="G640" s="389"/>
      <c r="H640" s="389"/>
      <c r="I640" s="389"/>
      <c r="J640" s="389"/>
      <c r="K640" s="389"/>
      <c r="L640" s="389"/>
      <c r="M640" s="389"/>
      <c r="N640" s="389"/>
      <c r="O640" s="389"/>
      <c r="P640" s="389"/>
      <c r="Q640" s="389"/>
      <c r="R640" s="389"/>
      <c r="S640" s="389"/>
      <c r="T640" s="389"/>
      <c r="U640" s="389"/>
      <c r="V640" s="389"/>
      <c r="W640" s="389"/>
      <c r="X640" s="389"/>
      <c r="Y640" s="389"/>
      <c r="Z640" s="389"/>
      <c r="AA640" s="389"/>
      <c r="AB640" s="389"/>
      <c r="AC640" s="389"/>
      <c r="AD640" s="389"/>
      <c r="AE640" s="389"/>
      <c r="AF640" s="389"/>
      <c r="AG640" s="389"/>
    </row>
    <row r="641">
      <c r="A641" s="389"/>
      <c r="B641" s="389"/>
      <c r="C641" s="389"/>
      <c r="D641" s="390"/>
      <c r="E641" s="389"/>
      <c r="F641" s="392"/>
      <c r="G641" s="389"/>
      <c r="H641" s="389"/>
      <c r="I641" s="389"/>
      <c r="J641" s="389"/>
      <c r="K641" s="389"/>
      <c r="L641" s="389"/>
      <c r="M641" s="389"/>
      <c r="N641" s="389"/>
      <c r="O641" s="389"/>
      <c r="P641" s="389"/>
      <c r="Q641" s="389"/>
      <c r="R641" s="389"/>
      <c r="S641" s="389"/>
      <c r="T641" s="389"/>
      <c r="U641" s="389"/>
      <c r="V641" s="389"/>
      <c r="W641" s="389"/>
      <c r="X641" s="389"/>
      <c r="Y641" s="389"/>
      <c r="Z641" s="389"/>
      <c r="AA641" s="389"/>
      <c r="AB641" s="389"/>
      <c r="AC641" s="389"/>
      <c r="AD641" s="389"/>
      <c r="AE641" s="389"/>
      <c r="AF641" s="389"/>
      <c r="AG641" s="389"/>
    </row>
    <row r="642">
      <c r="A642" s="389"/>
      <c r="B642" s="389"/>
      <c r="C642" s="389"/>
      <c r="D642" s="390"/>
      <c r="E642" s="389"/>
      <c r="F642" s="392"/>
      <c r="G642" s="389"/>
      <c r="H642" s="389"/>
      <c r="I642" s="389"/>
      <c r="J642" s="389"/>
      <c r="K642" s="389"/>
      <c r="L642" s="389"/>
      <c r="M642" s="389"/>
      <c r="N642" s="389"/>
      <c r="O642" s="389"/>
      <c r="P642" s="389"/>
      <c r="Q642" s="389"/>
      <c r="R642" s="389"/>
      <c r="S642" s="389"/>
      <c r="T642" s="389"/>
      <c r="U642" s="389"/>
      <c r="V642" s="389"/>
      <c r="W642" s="389"/>
      <c r="X642" s="389"/>
      <c r="Y642" s="389"/>
      <c r="Z642" s="389"/>
      <c r="AA642" s="389"/>
      <c r="AB642" s="389"/>
      <c r="AC642" s="389"/>
      <c r="AD642" s="389"/>
      <c r="AE642" s="389"/>
      <c r="AF642" s="389"/>
      <c r="AG642" s="389"/>
    </row>
    <row r="643">
      <c r="A643" s="389"/>
      <c r="B643" s="389"/>
      <c r="C643" s="389"/>
      <c r="D643" s="390"/>
      <c r="E643" s="389"/>
      <c r="F643" s="392"/>
      <c r="G643" s="389"/>
      <c r="H643" s="389"/>
      <c r="I643" s="389"/>
      <c r="J643" s="389"/>
      <c r="K643" s="389"/>
      <c r="L643" s="389"/>
      <c r="M643" s="389"/>
      <c r="N643" s="389"/>
      <c r="O643" s="389"/>
      <c r="P643" s="389"/>
      <c r="Q643" s="389"/>
      <c r="R643" s="389"/>
      <c r="S643" s="389"/>
      <c r="T643" s="389"/>
      <c r="U643" s="389"/>
      <c r="V643" s="389"/>
      <c r="W643" s="389"/>
      <c r="X643" s="389"/>
      <c r="Y643" s="389"/>
      <c r="Z643" s="389"/>
      <c r="AA643" s="389"/>
      <c r="AB643" s="389"/>
      <c r="AC643" s="389"/>
      <c r="AD643" s="389"/>
      <c r="AE643" s="389"/>
      <c r="AF643" s="389"/>
      <c r="AG643" s="389"/>
    </row>
    <row r="644">
      <c r="A644" s="389"/>
      <c r="B644" s="389"/>
      <c r="C644" s="389"/>
      <c r="D644" s="390"/>
      <c r="E644" s="389"/>
      <c r="F644" s="392"/>
      <c r="G644" s="389"/>
      <c r="H644" s="389"/>
      <c r="I644" s="389"/>
      <c r="J644" s="389"/>
      <c r="K644" s="389"/>
      <c r="L644" s="389"/>
      <c r="M644" s="389"/>
      <c r="N644" s="389"/>
      <c r="O644" s="389"/>
      <c r="P644" s="389"/>
      <c r="Q644" s="389"/>
      <c r="R644" s="389"/>
      <c r="S644" s="389"/>
      <c r="T644" s="389"/>
      <c r="U644" s="389"/>
      <c r="V644" s="389"/>
      <c r="W644" s="389"/>
      <c r="X644" s="389"/>
      <c r="Y644" s="389"/>
      <c r="Z644" s="389"/>
      <c r="AA644" s="389"/>
      <c r="AB644" s="389"/>
      <c r="AC644" s="389"/>
      <c r="AD644" s="389"/>
      <c r="AE644" s="389"/>
      <c r="AF644" s="389"/>
      <c r="AG644" s="389"/>
    </row>
    <row r="645">
      <c r="A645" s="389"/>
      <c r="B645" s="389"/>
      <c r="C645" s="389"/>
      <c r="D645" s="390"/>
      <c r="E645" s="389"/>
      <c r="F645" s="392"/>
      <c r="G645" s="389"/>
      <c r="H645" s="389"/>
      <c r="I645" s="389"/>
      <c r="J645" s="389"/>
      <c r="K645" s="389"/>
      <c r="L645" s="389"/>
      <c r="M645" s="389"/>
      <c r="N645" s="389"/>
      <c r="O645" s="389"/>
      <c r="P645" s="389"/>
      <c r="Q645" s="389"/>
      <c r="R645" s="389"/>
      <c r="S645" s="389"/>
      <c r="T645" s="389"/>
      <c r="U645" s="389"/>
      <c r="V645" s="389"/>
      <c r="W645" s="389"/>
      <c r="X645" s="389"/>
      <c r="Y645" s="389"/>
      <c r="Z645" s="389"/>
      <c r="AA645" s="389"/>
      <c r="AB645" s="389"/>
      <c r="AC645" s="389"/>
      <c r="AD645" s="389"/>
      <c r="AE645" s="389"/>
      <c r="AF645" s="389"/>
      <c r="AG645" s="389"/>
    </row>
    <row r="646">
      <c r="A646" s="389"/>
      <c r="B646" s="389"/>
      <c r="C646" s="389"/>
      <c r="D646" s="390"/>
      <c r="E646" s="389"/>
      <c r="F646" s="392"/>
      <c r="G646" s="389"/>
      <c r="H646" s="389"/>
      <c r="I646" s="389"/>
      <c r="J646" s="389"/>
      <c r="K646" s="389"/>
      <c r="L646" s="389"/>
      <c r="M646" s="389"/>
      <c r="N646" s="389"/>
      <c r="O646" s="389"/>
      <c r="P646" s="389"/>
      <c r="Q646" s="389"/>
      <c r="R646" s="389"/>
      <c r="S646" s="389"/>
      <c r="T646" s="389"/>
      <c r="U646" s="389"/>
      <c r="V646" s="389"/>
      <c r="W646" s="389"/>
      <c r="X646" s="389"/>
      <c r="Y646" s="389"/>
      <c r="Z646" s="389"/>
      <c r="AA646" s="389"/>
      <c r="AB646" s="389"/>
      <c r="AC646" s="389"/>
      <c r="AD646" s="389"/>
      <c r="AE646" s="389"/>
      <c r="AF646" s="389"/>
      <c r="AG646" s="389"/>
    </row>
    <row r="647">
      <c r="A647" s="389"/>
      <c r="B647" s="389"/>
      <c r="C647" s="389"/>
      <c r="D647" s="390"/>
      <c r="E647" s="389"/>
      <c r="F647" s="392"/>
      <c r="G647" s="389"/>
      <c r="H647" s="389"/>
      <c r="I647" s="389"/>
      <c r="J647" s="389"/>
      <c r="K647" s="389"/>
      <c r="L647" s="389"/>
      <c r="M647" s="389"/>
      <c r="N647" s="389"/>
      <c r="O647" s="389"/>
      <c r="P647" s="389"/>
      <c r="Q647" s="389"/>
      <c r="R647" s="389"/>
      <c r="S647" s="389"/>
      <c r="T647" s="389"/>
      <c r="U647" s="389"/>
      <c r="V647" s="389"/>
      <c r="W647" s="389"/>
      <c r="X647" s="389"/>
      <c r="Y647" s="389"/>
      <c r="Z647" s="389"/>
      <c r="AA647" s="389"/>
      <c r="AB647" s="389"/>
      <c r="AC647" s="389"/>
      <c r="AD647" s="389"/>
      <c r="AE647" s="389"/>
      <c r="AF647" s="389"/>
      <c r="AG647" s="389"/>
    </row>
    <row r="648">
      <c r="A648" s="389"/>
      <c r="B648" s="389"/>
      <c r="C648" s="389"/>
      <c r="D648" s="390"/>
      <c r="E648" s="389"/>
      <c r="F648" s="392"/>
      <c r="G648" s="389"/>
      <c r="H648" s="389"/>
      <c r="I648" s="389"/>
      <c r="J648" s="389"/>
      <c r="K648" s="389"/>
      <c r="L648" s="389"/>
      <c r="M648" s="389"/>
      <c r="N648" s="389"/>
      <c r="O648" s="389"/>
      <c r="P648" s="389"/>
      <c r="Q648" s="389"/>
      <c r="R648" s="389"/>
      <c r="S648" s="389"/>
      <c r="T648" s="389"/>
      <c r="U648" s="389"/>
      <c r="V648" s="389"/>
      <c r="W648" s="389"/>
      <c r="X648" s="389"/>
      <c r="Y648" s="389"/>
      <c r="Z648" s="389"/>
      <c r="AA648" s="389"/>
      <c r="AB648" s="389"/>
      <c r="AC648" s="389"/>
      <c r="AD648" s="389"/>
      <c r="AE648" s="389"/>
      <c r="AF648" s="389"/>
      <c r="AG648" s="389"/>
    </row>
    <row r="649">
      <c r="A649" s="389"/>
      <c r="B649" s="389"/>
      <c r="C649" s="389"/>
      <c r="D649" s="390"/>
      <c r="E649" s="389"/>
      <c r="F649" s="392"/>
      <c r="G649" s="389"/>
      <c r="H649" s="389"/>
      <c r="I649" s="389"/>
      <c r="J649" s="389"/>
      <c r="K649" s="389"/>
      <c r="L649" s="389"/>
      <c r="M649" s="389"/>
      <c r="N649" s="389"/>
      <c r="O649" s="389"/>
      <c r="P649" s="389"/>
      <c r="Q649" s="389"/>
      <c r="R649" s="389"/>
      <c r="S649" s="389"/>
      <c r="T649" s="389"/>
      <c r="U649" s="389"/>
      <c r="V649" s="389"/>
      <c r="W649" s="389"/>
      <c r="X649" s="389"/>
      <c r="Y649" s="389"/>
      <c r="Z649" s="389"/>
      <c r="AA649" s="389"/>
      <c r="AB649" s="389"/>
      <c r="AC649" s="389"/>
      <c r="AD649" s="389"/>
      <c r="AE649" s="389"/>
      <c r="AF649" s="389"/>
      <c r="AG649" s="389"/>
    </row>
    <row r="650">
      <c r="A650" s="389"/>
      <c r="B650" s="389"/>
      <c r="C650" s="389"/>
      <c r="D650" s="390"/>
      <c r="E650" s="389"/>
      <c r="F650" s="392"/>
      <c r="G650" s="389"/>
      <c r="H650" s="389"/>
      <c r="I650" s="389"/>
      <c r="J650" s="389"/>
      <c r="K650" s="389"/>
      <c r="L650" s="389"/>
      <c r="M650" s="389"/>
      <c r="N650" s="389"/>
      <c r="O650" s="389"/>
      <c r="P650" s="389"/>
      <c r="Q650" s="389"/>
      <c r="R650" s="389"/>
      <c r="S650" s="389"/>
      <c r="T650" s="389"/>
      <c r="U650" s="389"/>
      <c r="V650" s="389"/>
      <c r="W650" s="389"/>
      <c r="X650" s="389"/>
      <c r="Y650" s="389"/>
      <c r="Z650" s="389"/>
      <c r="AA650" s="389"/>
      <c r="AB650" s="389"/>
      <c r="AC650" s="389"/>
      <c r="AD650" s="389"/>
      <c r="AE650" s="389"/>
      <c r="AF650" s="389"/>
      <c r="AG650" s="389"/>
    </row>
    <row r="651">
      <c r="A651" s="389"/>
      <c r="B651" s="389"/>
      <c r="C651" s="389"/>
      <c r="D651" s="390"/>
      <c r="E651" s="389"/>
      <c r="F651" s="392"/>
      <c r="G651" s="389"/>
      <c r="H651" s="389"/>
      <c r="I651" s="389"/>
      <c r="J651" s="389"/>
      <c r="K651" s="389"/>
      <c r="L651" s="389"/>
      <c r="M651" s="389"/>
      <c r="N651" s="389"/>
      <c r="O651" s="389"/>
      <c r="P651" s="389"/>
      <c r="Q651" s="389"/>
      <c r="R651" s="389"/>
      <c r="S651" s="389"/>
      <c r="T651" s="389"/>
      <c r="U651" s="389"/>
      <c r="V651" s="389"/>
      <c r="W651" s="389"/>
      <c r="X651" s="389"/>
      <c r="Y651" s="389"/>
      <c r="Z651" s="389"/>
      <c r="AA651" s="389"/>
      <c r="AB651" s="389"/>
      <c r="AC651" s="389"/>
      <c r="AD651" s="389"/>
      <c r="AE651" s="389"/>
      <c r="AF651" s="389"/>
      <c r="AG651" s="389"/>
    </row>
    <row r="652">
      <c r="A652" s="389"/>
      <c r="B652" s="389"/>
      <c r="C652" s="389"/>
      <c r="D652" s="390"/>
      <c r="E652" s="389"/>
      <c r="F652" s="392"/>
      <c r="G652" s="389"/>
      <c r="H652" s="389"/>
      <c r="I652" s="389"/>
      <c r="J652" s="389"/>
      <c r="K652" s="389"/>
      <c r="L652" s="389"/>
      <c r="M652" s="389"/>
      <c r="N652" s="389"/>
      <c r="O652" s="389"/>
      <c r="P652" s="389"/>
      <c r="Q652" s="389"/>
      <c r="R652" s="389"/>
      <c r="S652" s="389"/>
      <c r="T652" s="389"/>
      <c r="U652" s="389"/>
      <c r="V652" s="389"/>
      <c r="W652" s="389"/>
      <c r="X652" s="389"/>
      <c r="Y652" s="389"/>
      <c r="Z652" s="389"/>
      <c r="AA652" s="389"/>
      <c r="AB652" s="389"/>
      <c r="AC652" s="389"/>
      <c r="AD652" s="389"/>
      <c r="AE652" s="389"/>
      <c r="AF652" s="389"/>
      <c r="AG652" s="389"/>
    </row>
    <row r="653">
      <c r="A653" s="389"/>
      <c r="B653" s="389"/>
      <c r="C653" s="389"/>
      <c r="D653" s="390"/>
      <c r="E653" s="389"/>
      <c r="F653" s="392"/>
      <c r="G653" s="389"/>
      <c r="H653" s="389"/>
      <c r="I653" s="389"/>
      <c r="J653" s="389"/>
      <c r="K653" s="389"/>
      <c r="L653" s="389"/>
      <c r="M653" s="389"/>
      <c r="N653" s="389"/>
      <c r="O653" s="389"/>
      <c r="P653" s="389"/>
      <c r="Q653" s="389"/>
      <c r="R653" s="389"/>
      <c r="S653" s="389"/>
      <c r="T653" s="389"/>
      <c r="U653" s="389"/>
      <c r="V653" s="389"/>
      <c r="W653" s="389"/>
      <c r="X653" s="389"/>
      <c r="Y653" s="389"/>
      <c r="Z653" s="389"/>
      <c r="AA653" s="389"/>
      <c r="AB653" s="389"/>
      <c r="AC653" s="389"/>
      <c r="AD653" s="389"/>
      <c r="AE653" s="389"/>
      <c r="AF653" s="389"/>
      <c r="AG653" s="389"/>
    </row>
    <row r="654">
      <c r="A654" s="389"/>
      <c r="B654" s="389"/>
      <c r="C654" s="389"/>
      <c r="D654" s="390"/>
      <c r="E654" s="389"/>
      <c r="F654" s="392"/>
      <c r="G654" s="389"/>
      <c r="H654" s="389"/>
      <c r="I654" s="389"/>
      <c r="J654" s="389"/>
      <c r="K654" s="389"/>
      <c r="L654" s="389"/>
      <c r="M654" s="389"/>
      <c r="N654" s="389"/>
      <c r="O654" s="389"/>
      <c r="P654" s="389"/>
      <c r="Q654" s="389"/>
      <c r="R654" s="389"/>
      <c r="S654" s="389"/>
      <c r="T654" s="389"/>
      <c r="U654" s="389"/>
      <c r="V654" s="389"/>
      <c r="W654" s="389"/>
      <c r="X654" s="389"/>
      <c r="Y654" s="389"/>
      <c r="Z654" s="389"/>
      <c r="AA654" s="389"/>
      <c r="AB654" s="389"/>
      <c r="AC654" s="389"/>
      <c r="AD654" s="389"/>
      <c r="AE654" s="389"/>
      <c r="AF654" s="389"/>
      <c r="AG654" s="389"/>
    </row>
    <row r="655">
      <c r="A655" s="389"/>
      <c r="B655" s="389"/>
      <c r="C655" s="389"/>
      <c r="D655" s="390"/>
      <c r="E655" s="389"/>
      <c r="F655" s="392"/>
      <c r="G655" s="389"/>
      <c r="H655" s="389"/>
      <c r="I655" s="389"/>
      <c r="J655" s="389"/>
      <c r="K655" s="389"/>
      <c r="L655" s="389"/>
      <c r="M655" s="389"/>
      <c r="N655" s="389"/>
      <c r="O655" s="389"/>
      <c r="P655" s="389"/>
      <c r="Q655" s="389"/>
      <c r="R655" s="389"/>
      <c r="S655" s="389"/>
      <c r="T655" s="389"/>
      <c r="U655" s="389"/>
      <c r="V655" s="389"/>
      <c r="W655" s="389"/>
      <c r="X655" s="389"/>
      <c r="Y655" s="389"/>
      <c r="Z655" s="389"/>
      <c r="AA655" s="389"/>
      <c r="AB655" s="389"/>
      <c r="AC655" s="389"/>
      <c r="AD655" s="389"/>
      <c r="AE655" s="389"/>
      <c r="AF655" s="389"/>
      <c r="AG655" s="389"/>
    </row>
    <row r="656">
      <c r="A656" s="389"/>
      <c r="B656" s="389"/>
      <c r="C656" s="389"/>
      <c r="D656" s="390"/>
      <c r="E656" s="389"/>
      <c r="F656" s="392"/>
      <c r="G656" s="389"/>
      <c r="H656" s="389"/>
      <c r="I656" s="389"/>
      <c r="J656" s="389"/>
      <c r="K656" s="389"/>
      <c r="L656" s="389"/>
      <c r="M656" s="389"/>
      <c r="N656" s="389"/>
      <c r="O656" s="389"/>
      <c r="P656" s="389"/>
      <c r="Q656" s="389"/>
      <c r="R656" s="389"/>
      <c r="S656" s="389"/>
      <c r="T656" s="389"/>
      <c r="U656" s="389"/>
      <c r="V656" s="389"/>
      <c r="W656" s="389"/>
      <c r="X656" s="389"/>
      <c r="Y656" s="389"/>
      <c r="Z656" s="389"/>
      <c r="AA656" s="389"/>
      <c r="AB656" s="389"/>
      <c r="AC656" s="389"/>
      <c r="AD656" s="389"/>
      <c r="AE656" s="389"/>
      <c r="AF656" s="389"/>
      <c r="AG656" s="389"/>
    </row>
    <row r="657">
      <c r="A657" s="389"/>
      <c r="B657" s="389"/>
      <c r="C657" s="389"/>
      <c r="D657" s="390"/>
      <c r="E657" s="389"/>
      <c r="F657" s="392"/>
      <c r="G657" s="389"/>
      <c r="H657" s="389"/>
      <c r="I657" s="389"/>
      <c r="J657" s="389"/>
      <c r="K657" s="389"/>
      <c r="L657" s="389"/>
      <c r="M657" s="389"/>
      <c r="N657" s="389"/>
      <c r="O657" s="389"/>
      <c r="P657" s="389"/>
      <c r="Q657" s="389"/>
      <c r="R657" s="389"/>
      <c r="S657" s="389"/>
      <c r="T657" s="389"/>
      <c r="U657" s="389"/>
      <c r="V657" s="389"/>
      <c r="W657" s="389"/>
      <c r="X657" s="389"/>
      <c r="Y657" s="389"/>
      <c r="Z657" s="389"/>
      <c r="AA657" s="389"/>
      <c r="AB657" s="389"/>
      <c r="AC657" s="389"/>
      <c r="AD657" s="389"/>
      <c r="AE657" s="389"/>
      <c r="AF657" s="389"/>
      <c r="AG657" s="389"/>
    </row>
    <row r="658">
      <c r="A658" s="389"/>
      <c r="B658" s="389"/>
      <c r="C658" s="389"/>
      <c r="D658" s="390"/>
      <c r="E658" s="389"/>
      <c r="F658" s="392"/>
      <c r="G658" s="389"/>
      <c r="H658" s="389"/>
      <c r="I658" s="389"/>
      <c r="J658" s="389"/>
      <c r="K658" s="389"/>
      <c r="L658" s="389"/>
      <c r="M658" s="389"/>
      <c r="N658" s="389"/>
      <c r="O658" s="389"/>
      <c r="P658" s="389"/>
      <c r="Q658" s="389"/>
      <c r="R658" s="389"/>
      <c r="S658" s="389"/>
      <c r="T658" s="389"/>
      <c r="U658" s="389"/>
      <c r="V658" s="389"/>
      <c r="W658" s="389"/>
      <c r="X658" s="389"/>
      <c r="Y658" s="389"/>
      <c r="Z658" s="389"/>
      <c r="AA658" s="389"/>
      <c r="AB658" s="389"/>
      <c r="AC658" s="389"/>
      <c r="AD658" s="389"/>
      <c r="AE658" s="389"/>
      <c r="AF658" s="389"/>
      <c r="AG658" s="389"/>
    </row>
    <row r="659">
      <c r="A659" s="389"/>
      <c r="B659" s="389"/>
      <c r="C659" s="389"/>
      <c r="D659" s="390"/>
      <c r="E659" s="389"/>
      <c r="F659" s="392"/>
      <c r="G659" s="389"/>
      <c r="H659" s="389"/>
      <c r="I659" s="389"/>
      <c r="J659" s="389"/>
      <c r="K659" s="389"/>
      <c r="L659" s="389"/>
      <c r="M659" s="389"/>
      <c r="N659" s="389"/>
      <c r="O659" s="389"/>
      <c r="P659" s="389"/>
      <c r="Q659" s="389"/>
      <c r="R659" s="389"/>
      <c r="S659" s="389"/>
      <c r="T659" s="389"/>
      <c r="U659" s="389"/>
      <c r="V659" s="389"/>
      <c r="W659" s="389"/>
      <c r="X659" s="389"/>
      <c r="Y659" s="389"/>
      <c r="Z659" s="389"/>
      <c r="AA659" s="389"/>
      <c r="AB659" s="389"/>
      <c r="AC659" s="389"/>
      <c r="AD659" s="389"/>
      <c r="AE659" s="389"/>
      <c r="AF659" s="389"/>
      <c r="AG659" s="389"/>
    </row>
    <row r="660">
      <c r="A660" s="389"/>
      <c r="B660" s="389"/>
      <c r="C660" s="389"/>
      <c r="D660" s="390"/>
      <c r="E660" s="389"/>
      <c r="F660" s="392"/>
      <c r="G660" s="389"/>
      <c r="H660" s="389"/>
      <c r="I660" s="389"/>
      <c r="J660" s="389"/>
      <c r="K660" s="389"/>
      <c r="L660" s="389"/>
      <c r="M660" s="389"/>
      <c r="N660" s="389"/>
      <c r="O660" s="389"/>
      <c r="P660" s="389"/>
      <c r="Q660" s="389"/>
      <c r="R660" s="389"/>
      <c r="S660" s="389"/>
      <c r="T660" s="389"/>
      <c r="U660" s="389"/>
      <c r="V660" s="389"/>
      <c r="W660" s="389"/>
      <c r="X660" s="389"/>
      <c r="Y660" s="389"/>
      <c r="Z660" s="389"/>
      <c r="AA660" s="389"/>
      <c r="AB660" s="389"/>
      <c r="AC660" s="389"/>
      <c r="AD660" s="389"/>
      <c r="AE660" s="389"/>
      <c r="AF660" s="389"/>
      <c r="AG660" s="389"/>
    </row>
    <row r="661">
      <c r="A661" s="389"/>
      <c r="B661" s="389"/>
      <c r="C661" s="389"/>
      <c r="D661" s="390"/>
      <c r="E661" s="389"/>
      <c r="F661" s="392"/>
      <c r="G661" s="389"/>
      <c r="H661" s="389"/>
      <c r="I661" s="389"/>
      <c r="J661" s="389"/>
      <c r="K661" s="389"/>
      <c r="L661" s="389"/>
      <c r="M661" s="389"/>
      <c r="N661" s="389"/>
      <c r="O661" s="389"/>
      <c r="P661" s="389"/>
      <c r="Q661" s="389"/>
      <c r="R661" s="389"/>
      <c r="S661" s="389"/>
      <c r="T661" s="389"/>
      <c r="U661" s="389"/>
      <c r="V661" s="389"/>
      <c r="W661" s="389"/>
      <c r="X661" s="389"/>
      <c r="Y661" s="389"/>
      <c r="Z661" s="389"/>
      <c r="AA661" s="389"/>
      <c r="AB661" s="389"/>
      <c r="AC661" s="389"/>
      <c r="AD661" s="389"/>
      <c r="AE661" s="389"/>
      <c r="AF661" s="389"/>
      <c r="AG661" s="389"/>
    </row>
    <row r="662">
      <c r="A662" s="389"/>
      <c r="B662" s="389"/>
      <c r="C662" s="389"/>
      <c r="D662" s="390"/>
      <c r="E662" s="389"/>
      <c r="F662" s="392"/>
      <c r="G662" s="389"/>
      <c r="H662" s="389"/>
      <c r="I662" s="389"/>
      <c r="J662" s="389"/>
      <c r="K662" s="389"/>
      <c r="L662" s="389"/>
      <c r="M662" s="389"/>
      <c r="N662" s="389"/>
      <c r="O662" s="389"/>
      <c r="P662" s="389"/>
      <c r="Q662" s="389"/>
      <c r="R662" s="389"/>
      <c r="S662" s="389"/>
      <c r="T662" s="389"/>
      <c r="U662" s="389"/>
      <c r="V662" s="389"/>
      <c r="W662" s="389"/>
      <c r="X662" s="389"/>
      <c r="Y662" s="389"/>
      <c r="Z662" s="389"/>
      <c r="AA662" s="389"/>
      <c r="AB662" s="389"/>
      <c r="AC662" s="389"/>
      <c r="AD662" s="389"/>
      <c r="AE662" s="389"/>
      <c r="AF662" s="389"/>
      <c r="AG662" s="389"/>
    </row>
    <row r="663">
      <c r="A663" s="389"/>
      <c r="B663" s="389"/>
      <c r="C663" s="389"/>
      <c r="D663" s="390"/>
      <c r="E663" s="389"/>
      <c r="F663" s="392"/>
      <c r="G663" s="389"/>
      <c r="H663" s="389"/>
      <c r="I663" s="389"/>
      <c r="J663" s="389"/>
      <c r="K663" s="389"/>
      <c r="L663" s="389"/>
      <c r="M663" s="389"/>
      <c r="N663" s="389"/>
      <c r="O663" s="389"/>
      <c r="P663" s="389"/>
      <c r="Q663" s="389"/>
      <c r="R663" s="389"/>
      <c r="S663" s="389"/>
      <c r="T663" s="389"/>
      <c r="U663" s="389"/>
      <c r="V663" s="389"/>
      <c r="W663" s="389"/>
      <c r="X663" s="389"/>
      <c r="Y663" s="389"/>
      <c r="Z663" s="389"/>
      <c r="AA663" s="389"/>
      <c r="AB663" s="389"/>
      <c r="AC663" s="389"/>
      <c r="AD663" s="389"/>
      <c r="AE663" s="389"/>
      <c r="AF663" s="389"/>
      <c r="AG663" s="389"/>
    </row>
    <row r="664">
      <c r="A664" s="389"/>
      <c r="B664" s="389"/>
      <c r="C664" s="389"/>
      <c r="D664" s="390"/>
      <c r="E664" s="389"/>
      <c r="F664" s="392"/>
      <c r="G664" s="389"/>
      <c r="H664" s="389"/>
      <c r="I664" s="389"/>
      <c r="J664" s="389"/>
      <c r="K664" s="389"/>
      <c r="L664" s="389"/>
      <c r="M664" s="389"/>
      <c r="N664" s="389"/>
      <c r="O664" s="389"/>
      <c r="P664" s="389"/>
      <c r="Q664" s="389"/>
      <c r="R664" s="389"/>
      <c r="S664" s="389"/>
      <c r="T664" s="389"/>
      <c r="U664" s="389"/>
      <c r="V664" s="389"/>
      <c r="W664" s="389"/>
      <c r="X664" s="389"/>
      <c r="Y664" s="389"/>
      <c r="Z664" s="389"/>
      <c r="AA664" s="389"/>
      <c r="AB664" s="389"/>
      <c r="AC664" s="389"/>
      <c r="AD664" s="389"/>
      <c r="AE664" s="389"/>
      <c r="AF664" s="389"/>
      <c r="AG664" s="389"/>
    </row>
    <row r="665">
      <c r="A665" s="389"/>
      <c r="B665" s="389"/>
      <c r="C665" s="389"/>
      <c r="D665" s="390"/>
      <c r="E665" s="389"/>
      <c r="F665" s="392"/>
      <c r="G665" s="389"/>
      <c r="H665" s="389"/>
      <c r="I665" s="389"/>
      <c r="J665" s="389"/>
      <c r="K665" s="389"/>
      <c r="L665" s="389"/>
      <c r="M665" s="389"/>
      <c r="N665" s="389"/>
      <c r="O665" s="389"/>
      <c r="P665" s="389"/>
      <c r="Q665" s="389"/>
      <c r="R665" s="389"/>
      <c r="S665" s="389"/>
      <c r="T665" s="389"/>
      <c r="U665" s="389"/>
      <c r="V665" s="389"/>
      <c r="W665" s="389"/>
      <c r="X665" s="389"/>
      <c r="Y665" s="389"/>
      <c r="Z665" s="389"/>
      <c r="AA665" s="389"/>
      <c r="AB665" s="389"/>
      <c r="AC665" s="389"/>
      <c r="AD665" s="389"/>
      <c r="AE665" s="389"/>
      <c r="AF665" s="389"/>
      <c r="AG665" s="389"/>
    </row>
    <row r="666">
      <c r="A666" s="389"/>
      <c r="B666" s="389"/>
      <c r="C666" s="389"/>
      <c r="D666" s="390"/>
      <c r="E666" s="389"/>
      <c r="F666" s="392"/>
      <c r="G666" s="389"/>
      <c r="H666" s="389"/>
      <c r="I666" s="389"/>
      <c r="J666" s="389"/>
      <c r="K666" s="389"/>
      <c r="L666" s="389"/>
      <c r="M666" s="389"/>
      <c r="N666" s="389"/>
      <c r="O666" s="389"/>
      <c r="P666" s="389"/>
      <c r="Q666" s="389"/>
      <c r="R666" s="389"/>
      <c r="S666" s="389"/>
      <c r="T666" s="389"/>
      <c r="U666" s="389"/>
      <c r="V666" s="389"/>
      <c r="W666" s="389"/>
      <c r="X666" s="389"/>
      <c r="Y666" s="389"/>
      <c r="Z666" s="389"/>
      <c r="AA666" s="389"/>
      <c r="AB666" s="389"/>
      <c r="AC666" s="389"/>
      <c r="AD666" s="389"/>
      <c r="AE666" s="389"/>
      <c r="AF666" s="389"/>
      <c r="AG666" s="389"/>
    </row>
    <row r="667">
      <c r="A667" s="389"/>
      <c r="B667" s="389"/>
      <c r="C667" s="389"/>
      <c r="D667" s="390"/>
      <c r="E667" s="389"/>
      <c r="F667" s="392"/>
      <c r="G667" s="389"/>
      <c r="H667" s="389"/>
      <c r="I667" s="389"/>
      <c r="J667" s="389"/>
      <c r="K667" s="389"/>
      <c r="L667" s="389"/>
      <c r="M667" s="389"/>
      <c r="N667" s="389"/>
      <c r="O667" s="389"/>
      <c r="P667" s="389"/>
      <c r="Q667" s="389"/>
      <c r="R667" s="389"/>
      <c r="S667" s="389"/>
      <c r="T667" s="389"/>
      <c r="U667" s="389"/>
      <c r="V667" s="389"/>
      <c r="W667" s="389"/>
      <c r="X667" s="389"/>
      <c r="Y667" s="389"/>
      <c r="Z667" s="389"/>
      <c r="AA667" s="389"/>
      <c r="AB667" s="389"/>
      <c r="AC667" s="389"/>
      <c r="AD667" s="389"/>
      <c r="AE667" s="389"/>
      <c r="AF667" s="389"/>
      <c r="AG667" s="389"/>
    </row>
    <row r="668">
      <c r="A668" s="389"/>
      <c r="B668" s="389"/>
      <c r="C668" s="389"/>
      <c r="D668" s="390"/>
      <c r="E668" s="389"/>
      <c r="F668" s="392"/>
      <c r="G668" s="389"/>
      <c r="H668" s="389"/>
      <c r="I668" s="389"/>
      <c r="J668" s="389"/>
      <c r="K668" s="389"/>
      <c r="L668" s="389"/>
      <c r="M668" s="389"/>
      <c r="N668" s="389"/>
      <c r="O668" s="389"/>
      <c r="P668" s="389"/>
      <c r="Q668" s="389"/>
      <c r="R668" s="389"/>
      <c r="S668" s="389"/>
      <c r="T668" s="389"/>
      <c r="U668" s="389"/>
      <c r="V668" s="389"/>
      <c r="W668" s="389"/>
      <c r="X668" s="389"/>
      <c r="Y668" s="389"/>
      <c r="Z668" s="389"/>
      <c r="AA668" s="389"/>
      <c r="AB668" s="389"/>
      <c r="AC668" s="389"/>
      <c r="AD668" s="389"/>
      <c r="AE668" s="389"/>
      <c r="AF668" s="389"/>
      <c r="AG668" s="389"/>
    </row>
    <row r="669">
      <c r="A669" s="389"/>
      <c r="B669" s="389"/>
      <c r="C669" s="389"/>
      <c r="D669" s="390"/>
      <c r="E669" s="389"/>
      <c r="F669" s="392"/>
      <c r="G669" s="389"/>
      <c r="H669" s="389"/>
      <c r="I669" s="389"/>
      <c r="J669" s="389"/>
      <c r="K669" s="389"/>
      <c r="L669" s="389"/>
      <c r="M669" s="389"/>
      <c r="N669" s="389"/>
      <c r="O669" s="389"/>
      <c r="P669" s="389"/>
      <c r="Q669" s="389"/>
      <c r="R669" s="389"/>
      <c r="S669" s="389"/>
      <c r="T669" s="389"/>
      <c r="U669" s="389"/>
      <c r="V669" s="389"/>
      <c r="W669" s="389"/>
      <c r="X669" s="389"/>
      <c r="Y669" s="389"/>
      <c r="Z669" s="389"/>
      <c r="AA669" s="389"/>
      <c r="AB669" s="389"/>
      <c r="AC669" s="389"/>
      <c r="AD669" s="389"/>
      <c r="AE669" s="389"/>
      <c r="AF669" s="389"/>
      <c r="AG669" s="389"/>
    </row>
    <row r="670">
      <c r="A670" s="389"/>
      <c r="B670" s="389"/>
      <c r="C670" s="389"/>
      <c r="D670" s="390"/>
      <c r="E670" s="389"/>
      <c r="F670" s="392"/>
      <c r="G670" s="389"/>
      <c r="H670" s="389"/>
      <c r="I670" s="389"/>
      <c r="J670" s="389"/>
      <c r="K670" s="389"/>
      <c r="L670" s="389"/>
      <c r="M670" s="389"/>
      <c r="N670" s="389"/>
      <c r="O670" s="389"/>
      <c r="P670" s="389"/>
      <c r="Q670" s="389"/>
      <c r="R670" s="389"/>
      <c r="S670" s="389"/>
      <c r="T670" s="389"/>
      <c r="U670" s="389"/>
      <c r="V670" s="389"/>
      <c r="W670" s="389"/>
      <c r="X670" s="389"/>
      <c r="Y670" s="389"/>
      <c r="Z670" s="389"/>
      <c r="AA670" s="389"/>
      <c r="AB670" s="389"/>
      <c r="AC670" s="389"/>
      <c r="AD670" s="389"/>
      <c r="AE670" s="389"/>
      <c r="AF670" s="389"/>
      <c r="AG670" s="389"/>
    </row>
    <row r="671">
      <c r="A671" s="389"/>
      <c r="B671" s="389"/>
      <c r="C671" s="389"/>
      <c r="D671" s="390"/>
      <c r="E671" s="389"/>
      <c r="F671" s="392"/>
      <c r="G671" s="389"/>
      <c r="H671" s="389"/>
      <c r="I671" s="389"/>
      <c r="J671" s="389"/>
      <c r="K671" s="389"/>
      <c r="L671" s="389"/>
      <c r="M671" s="389"/>
      <c r="N671" s="389"/>
      <c r="O671" s="389"/>
      <c r="P671" s="389"/>
      <c r="Q671" s="389"/>
      <c r="R671" s="389"/>
      <c r="S671" s="389"/>
      <c r="T671" s="389"/>
      <c r="U671" s="389"/>
      <c r="V671" s="389"/>
      <c r="W671" s="389"/>
      <c r="X671" s="389"/>
      <c r="Y671" s="389"/>
      <c r="Z671" s="389"/>
      <c r="AA671" s="389"/>
      <c r="AB671" s="389"/>
      <c r="AC671" s="389"/>
      <c r="AD671" s="389"/>
      <c r="AE671" s="389"/>
      <c r="AF671" s="389"/>
      <c r="AG671" s="389"/>
    </row>
    <row r="672">
      <c r="A672" s="389"/>
      <c r="B672" s="389"/>
      <c r="C672" s="389"/>
      <c r="D672" s="390"/>
      <c r="E672" s="389"/>
      <c r="F672" s="392"/>
      <c r="G672" s="389"/>
      <c r="H672" s="389"/>
      <c r="I672" s="389"/>
      <c r="J672" s="389"/>
      <c r="K672" s="389"/>
      <c r="L672" s="389"/>
      <c r="M672" s="389"/>
      <c r="N672" s="389"/>
      <c r="O672" s="389"/>
      <c r="P672" s="389"/>
      <c r="Q672" s="389"/>
      <c r="R672" s="389"/>
      <c r="S672" s="389"/>
      <c r="T672" s="389"/>
      <c r="U672" s="389"/>
      <c r="V672" s="389"/>
      <c r="W672" s="389"/>
      <c r="X672" s="389"/>
      <c r="Y672" s="389"/>
      <c r="Z672" s="389"/>
      <c r="AA672" s="389"/>
      <c r="AB672" s="389"/>
      <c r="AC672" s="389"/>
      <c r="AD672" s="389"/>
      <c r="AE672" s="389"/>
      <c r="AF672" s="389"/>
      <c r="AG672" s="389"/>
    </row>
    <row r="673">
      <c r="A673" s="389"/>
      <c r="B673" s="389"/>
      <c r="C673" s="389"/>
      <c r="D673" s="390"/>
      <c r="E673" s="389"/>
      <c r="F673" s="392"/>
      <c r="G673" s="389"/>
      <c r="H673" s="389"/>
      <c r="I673" s="389"/>
      <c r="J673" s="389"/>
      <c r="K673" s="389"/>
      <c r="L673" s="389"/>
      <c r="M673" s="389"/>
      <c r="N673" s="389"/>
      <c r="O673" s="389"/>
      <c r="P673" s="389"/>
      <c r="Q673" s="389"/>
      <c r="R673" s="389"/>
      <c r="S673" s="389"/>
      <c r="T673" s="389"/>
      <c r="U673" s="389"/>
      <c r="V673" s="389"/>
      <c r="W673" s="389"/>
      <c r="X673" s="389"/>
      <c r="Y673" s="389"/>
      <c r="Z673" s="389"/>
      <c r="AA673" s="389"/>
      <c r="AB673" s="389"/>
      <c r="AC673" s="389"/>
      <c r="AD673" s="389"/>
      <c r="AE673" s="389"/>
      <c r="AF673" s="389"/>
      <c r="AG673" s="389"/>
    </row>
    <row r="674">
      <c r="A674" s="389"/>
      <c r="B674" s="389"/>
      <c r="C674" s="389"/>
      <c r="D674" s="390"/>
      <c r="E674" s="389"/>
      <c r="F674" s="392"/>
      <c r="G674" s="389"/>
      <c r="H674" s="389"/>
      <c r="I674" s="389"/>
      <c r="J674" s="389"/>
      <c r="K674" s="389"/>
      <c r="L674" s="389"/>
      <c r="M674" s="389"/>
      <c r="N674" s="389"/>
      <c r="O674" s="389"/>
      <c r="P674" s="389"/>
      <c r="Q674" s="389"/>
      <c r="R674" s="389"/>
      <c r="S674" s="389"/>
      <c r="T674" s="389"/>
      <c r="U674" s="389"/>
      <c r="V674" s="389"/>
      <c r="W674" s="389"/>
      <c r="X674" s="389"/>
      <c r="Y674" s="389"/>
      <c r="Z674" s="389"/>
      <c r="AA674" s="389"/>
      <c r="AB674" s="389"/>
      <c r="AC674" s="389"/>
      <c r="AD674" s="389"/>
      <c r="AE674" s="389"/>
      <c r="AF674" s="389"/>
      <c r="AG674" s="389"/>
    </row>
    <row r="675">
      <c r="A675" s="389"/>
      <c r="B675" s="389"/>
      <c r="C675" s="389"/>
      <c r="D675" s="390"/>
      <c r="E675" s="389"/>
      <c r="F675" s="392"/>
      <c r="G675" s="389"/>
      <c r="H675" s="389"/>
      <c r="I675" s="389"/>
      <c r="J675" s="389"/>
      <c r="K675" s="389"/>
      <c r="L675" s="389"/>
      <c r="M675" s="389"/>
      <c r="N675" s="389"/>
      <c r="O675" s="389"/>
      <c r="P675" s="389"/>
      <c r="Q675" s="389"/>
      <c r="R675" s="389"/>
      <c r="S675" s="389"/>
      <c r="T675" s="389"/>
      <c r="U675" s="389"/>
      <c r="V675" s="389"/>
      <c r="W675" s="389"/>
      <c r="X675" s="389"/>
      <c r="Y675" s="389"/>
      <c r="Z675" s="389"/>
      <c r="AA675" s="389"/>
      <c r="AB675" s="389"/>
      <c r="AC675" s="389"/>
      <c r="AD675" s="389"/>
      <c r="AE675" s="389"/>
      <c r="AF675" s="389"/>
      <c r="AG675" s="389"/>
    </row>
    <row r="676">
      <c r="A676" s="389"/>
      <c r="B676" s="389"/>
      <c r="C676" s="389"/>
      <c r="D676" s="390"/>
      <c r="E676" s="389"/>
      <c r="F676" s="392"/>
      <c r="G676" s="389"/>
      <c r="H676" s="389"/>
      <c r="I676" s="389"/>
      <c r="J676" s="389"/>
      <c r="K676" s="389"/>
      <c r="L676" s="389"/>
      <c r="M676" s="389"/>
      <c r="N676" s="389"/>
      <c r="O676" s="389"/>
      <c r="P676" s="389"/>
      <c r="Q676" s="389"/>
      <c r="R676" s="389"/>
      <c r="S676" s="389"/>
      <c r="T676" s="389"/>
      <c r="U676" s="389"/>
      <c r="V676" s="389"/>
      <c r="W676" s="389"/>
      <c r="X676" s="389"/>
      <c r="Y676" s="389"/>
      <c r="Z676" s="389"/>
      <c r="AA676" s="389"/>
      <c r="AB676" s="389"/>
      <c r="AC676" s="389"/>
      <c r="AD676" s="389"/>
      <c r="AE676" s="389"/>
      <c r="AF676" s="389"/>
      <c r="AG676" s="389"/>
    </row>
    <row r="677">
      <c r="A677" s="389"/>
      <c r="B677" s="389"/>
      <c r="C677" s="389"/>
      <c r="D677" s="390"/>
      <c r="E677" s="389"/>
      <c r="F677" s="392"/>
      <c r="G677" s="389"/>
      <c r="H677" s="389"/>
      <c r="I677" s="389"/>
      <c r="J677" s="389"/>
      <c r="K677" s="389"/>
      <c r="L677" s="389"/>
      <c r="M677" s="389"/>
      <c r="N677" s="389"/>
      <c r="O677" s="389"/>
      <c r="P677" s="389"/>
      <c r="Q677" s="389"/>
      <c r="R677" s="389"/>
      <c r="S677" s="389"/>
      <c r="T677" s="389"/>
      <c r="U677" s="389"/>
      <c r="V677" s="389"/>
      <c r="W677" s="389"/>
      <c r="X677" s="389"/>
      <c r="Y677" s="389"/>
      <c r="Z677" s="389"/>
      <c r="AA677" s="389"/>
      <c r="AB677" s="389"/>
      <c r="AC677" s="389"/>
      <c r="AD677" s="389"/>
      <c r="AE677" s="389"/>
      <c r="AF677" s="389"/>
      <c r="AG677" s="389"/>
    </row>
    <row r="678">
      <c r="A678" s="389"/>
      <c r="B678" s="389"/>
      <c r="C678" s="389"/>
      <c r="D678" s="390"/>
      <c r="E678" s="389"/>
      <c r="F678" s="392"/>
      <c r="G678" s="389"/>
      <c r="H678" s="389"/>
      <c r="I678" s="389"/>
      <c r="J678" s="389"/>
      <c r="K678" s="389"/>
      <c r="L678" s="389"/>
      <c r="M678" s="389"/>
      <c r="N678" s="389"/>
      <c r="O678" s="389"/>
      <c r="P678" s="389"/>
      <c r="Q678" s="389"/>
      <c r="R678" s="389"/>
      <c r="S678" s="389"/>
      <c r="T678" s="389"/>
      <c r="U678" s="389"/>
      <c r="V678" s="389"/>
      <c r="W678" s="389"/>
      <c r="X678" s="389"/>
      <c r="Y678" s="389"/>
      <c r="Z678" s="389"/>
      <c r="AA678" s="389"/>
      <c r="AB678" s="389"/>
      <c r="AC678" s="389"/>
      <c r="AD678" s="389"/>
      <c r="AE678" s="389"/>
      <c r="AF678" s="389"/>
      <c r="AG678" s="389"/>
    </row>
    <row r="679">
      <c r="A679" s="389"/>
      <c r="B679" s="389"/>
      <c r="C679" s="389"/>
      <c r="D679" s="390"/>
      <c r="E679" s="389"/>
      <c r="F679" s="392"/>
      <c r="G679" s="389"/>
      <c r="H679" s="389"/>
      <c r="I679" s="389"/>
      <c r="J679" s="389"/>
      <c r="K679" s="389"/>
      <c r="L679" s="389"/>
      <c r="M679" s="389"/>
      <c r="N679" s="389"/>
      <c r="O679" s="389"/>
      <c r="P679" s="389"/>
      <c r="Q679" s="389"/>
      <c r="R679" s="389"/>
      <c r="S679" s="389"/>
      <c r="T679" s="389"/>
      <c r="U679" s="389"/>
      <c r="V679" s="389"/>
      <c r="W679" s="389"/>
      <c r="X679" s="389"/>
      <c r="Y679" s="389"/>
      <c r="Z679" s="389"/>
      <c r="AA679" s="389"/>
      <c r="AB679" s="389"/>
      <c r="AC679" s="389"/>
      <c r="AD679" s="389"/>
      <c r="AE679" s="389"/>
      <c r="AF679" s="389"/>
      <c r="AG679" s="389"/>
    </row>
    <row r="680">
      <c r="A680" s="389"/>
      <c r="B680" s="389"/>
      <c r="C680" s="389"/>
      <c r="D680" s="390"/>
      <c r="E680" s="389"/>
      <c r="F680" s="392"/>
      <c r="G680" s="389"/>
      <c r="H680" s="389"/>
      <c r="I680" s="389"/>
      <c r="J680" s="389"/>
      <c r="K680" s="389"/>
      <c r="L680" s="389"/>
      <c r="M680" s="389"/>
      <c r="N680" s="389"/>
      <c r="O680" s="389"/>
      <c r="P680" s="389"/>
      <c r="Q680" s="389"/>
      <c r="R680" s="389"/>
      <c r="S680" s="389"/>
      <c r="T680" s="389"/>
      <c r="U680" s="389"/>
      <c r="V680" s="389"/>
      <c r="W680" s="389"/>
      <c r="X680" s="389"/>
      <c r="Y680" s="389"/>
      <c r="Z680" s="389"/>
      <c r="AA680" s="389"/>
      <c r="AB680" s="389"/>
      <c r="AC680" s="389"/>
      <c r="AD680" s="389"/>
      <c r="AE680" s="389"/>
      <c r="AF680" s="389"/>
      <c r="AG680" s="389"/>
    </row>
    <row r="681">
      <c r="A681" s="389"/>
      <c r="B681" s="389"/>
      <c r="C681" s="389"/>
      <c r="D681" s="390"/>
      <c r="E681" s="389"/>
      <c r="F681" s="392"/>
      <c r="G681" s="389"/>
      <c r="H681" s="389"/>
      <c r="I681" s="389"/>
      <c r="J681" s="389"/>
      <c r="K681" s="389"/>
      <c r="L681" s="389"/>
      <c r="M681" s="389"/>
      <c r="N681" s="389"/>
      <c r="O681" s="389"/>
      <c r="P681" s="389"/>
      <c r="Q681" s="389"/>
      <c r="R681" s="389"/>
      <c r="S681" s="389"/>
      <c r="T681" s="389"/>
      <c r="U681" s="389"/>
      <c r="V681" s="389"/>
      <c r="W681" s="389"/>
      <c r="X681" s="389"/>
      <c r="Y681" s="389"/>
      <c r="Z681" s="389"/>
      <c r="AA681" s="389"/>
      <c r="AB681" s="389"/>
      <c r="AC681" s="389"/>
      <c r="AD681" s="389"/>
      <c r="AE681" s="389"/>
      <c r="AF681" s="389"/>
      <c r="AG681" s="389"/>
    </row>
    <row r="682">
      <c r="A682" s="389"/>
      <c r="B682" s="389"/>
      <c r="C682" s="389"/>
      <c r="D682" s="390"/>
      <c r="E682" s="389"/>
      <c r="F682" s="392"/>
      <c r="G682" s="389"/>
      <c r="H682" s="389"/>
      <c r="I682" s="389"/>
      <c r="J682" s="389"/>
      <c r="K682" s="389"/>
      <c r="L682" s="389"/>
      <c r="M682" s="389"/>
      <c r="N682" s="389"/>
      <c r="O682" s="389"/>
      <c r="P682" s="389"/>
      <c r="Q682" s="389"/>
      <c r="R682" s="389"/>
      <c r="S682" s="389"/>
      <c r="T682" s="389"/>
      <c r="U682" s="389"/>
      <c r="V682" s="389"/>
      <c r="W682" s="389"/>
      <c r="X682" s="389"/>
      <c r="Y682" s="389"/>
      <c r="Z682" s="389"/>
      <c r="AA682" s="389"/>
      <c r="AB682" s="389"/>
      <c r="AC682" s="389"/>
      <c r="AD682" s="389"/>
      <c r="AE682" s="389"/>
      <c r="AF682" s="389"/>
      <c r="AG682" s="389"/>
    </row>
    <row r="683">
      <c r="A683" s="389"/>
      <c r="B683" s="389"/>
      <c r="C683" s="389"/>
      <c r="D683" s="390"/>
      <c r="E683" s="389"/>
      <c r="F683" s="392"/>
      <c r="G683" s="389"/>
      <c r="H683" s="389"/>
      <c r="I683" s="389"/>
      <c r="J683" s="389"/>
      <c r="K683" s="389"/>
      <c r="L683" s="389"/>
      <c r="M683" s="389"/>
      <c r="N683" s="389"/>
      <c r="O683" s="389"/>
      <c r="P683" s="389"/>
      <c r="Q683" s="389"/>
      <c r="R683" s="389"/>
      <c r="S683" s="389"/>
      <c r="T683" s="389"/>
      <c r="U683" s="389"/>
      <c r="V683" s="389"/>
      <c r="W683" s="389"/>
      <c r="X683" s="389"/>
      <c r="Y683" s="389"/>
      <c r="Z683" s="389"/>
      <c r="AA683" s="389"/>
      <c r="AB683" s="389"/>
      <c r="AC683" s="389"/>
      <c r="AD683" s="389"/>
      <c r="AE683" s="389"/>
      <c r="AF683" s="389"/>
      <c r="AG683" s="389"/>
    </row>
    <row r="684">
      <c r="A684" s="389"/>
      <c r="B684" s="389"/>
      <c r="C684" s="389"/>
      <c r="D684" s="390"/>
      <c r="E684" s="389"/>
      <c r="F684" s="392"/>
      <c r="G684" s="389"/>
      <c r="H684" s="389"/>
      <c r="I684" s="389"/>
      <c r="J684" s="389"/>
      <c r="K684" s="389"/>
      <c r="L684" s="389"/>
      <c r="M684" s="389"/>
      <c r="N684" s="389"/>
      <c r="O684" s="389"/>
      <c r="P684" s="389"/>
      <c r="Q684" s="389"/>
      <c r="R684" s="389"/>
      <c r="S684" s="389"/>
      <c r="T684" s="389"/>
      <c r="U684" s="389"/>
      <c r="V684" s="389"/>
      <c r="W684" s="389"/>
      <c r="X684" s="389"/>
      <c r="Y684" s="389"/>
      <c r="Z684" s="389"/>
      <c r="AA684" s="389"/>
      <c r="AB684" s="389"/>
      <c r="AC684" s="389"/>
      <c r="AD684" s="389"/>
      <c r="AE684" s="389"/>
      <c r="AF684" s="389"/>
      <c r="AG684" s="389"/>
    </row>
    <row r="685">
      <c r="A685" s="389"/>
      <c r="B685" s="389"/>
      <c r="C685" s="389"/>
      <c r="D685" s="390"/>
      <c r="E685" s="389"/>
      <c r="F685" s="392"/>
      <c r="G685" s="389"/>
      <c r="H685" s="389"/>
      <c r="I685" s="389"/>
      <c r="J685" s="389"/>
      <c r="K685" s="389"/>
      <c r="L685" s="389"/>
      <c r="M685" s="389"/>
      <c r="N685" s="389"/>
      <c r="O685" s="389"/>
      <c r="P685" s="389"/>
      <c r="Q685" s="389"/>
      <c r="R685" s="389"/>
      <c r="S685" s="389"/>
      <c r="T685" s="389"/>
      <c r="U685" s="389"/>
      <c r="V685" s="389"/>
      <c r="W685" s="389"/>
      <c r="X685" s="389"/>
      <c r="Y685" s="389"/>
      <c r="Z685" s="389"/>
      <c r="AA685" s="389"/>
      <c r="AB685" s="389"/>
      <c r="AC685" s="389"/>
      <c r="AD685" s="389"/>
      <c r="AE685" s="389"/>
      <c r="AF685" s="389"/>
      <c r="AG685" s="389"/>
    </row>
    <row r="686">
      <c r="A686" s="389"/>
      <c r="B686" s="389"/>
      <c r="C686" s="389"/>
      <c r="D686" s="390"/>
      <c r="E686" s="389"/>
      <c r="F686" s="392"/>
      <c r="G686" s="389"/>
      <c r="H686" s="389"/>
      <c r="I686" s="389"/>
      <c r="J686" s="389"/>
      <c r="K686" s="389"/>
      <c r="L686" s="389"/>
      <c r="M686" s="389"/>
      <c r="N686" s="389"/>
      <c r="O686" s="389"/>
      <c r="P686" s="389"/>
      <c r="Q686" s="389"/>
      <c r="R686" s="389"/>
      <c r="S686" s="389"/>
      <c r="T686" s="389"/>
      <c r="U686" s="389"/>
      <c r="V686" s="389"/>
      <c r="W686" s="389"/>
      <c r="X686" s="389"/>
      <c r="Y686" s="389"/>
      <c r="Z686" s="389"/>
      <c r="AA686" s="389"/>
      <c r="AB686" s="389"/>
      <c r="AC686" s="389"/>
      <c r="AD686" s="389"/>
      <c r="AE686" s="389"/>
      <c r="AF686" s="389"/>
      <c r="AG686" s="389"/>
    </row>
    <row r="687">
      <c r="A687" s="389"/>
      <c r="B687" s="389"/>
      <c r="C687" s="389"/>
      <c r="D687" s="390"/>
      <c r="E687" s="389"/>
      <c r="F687" s="392"/>
      <c r="G687" s="389"/>
      <c r="H687" s="389"/>
      <c r="I687" s="389"/>
      <c r="J687" s="389"/>
      <c r="K687" s="389"/>
      <c r="L687" s="389"/>
      <c r="M687" s="389"/>
      <c r="N687" s="389"/>
      <c r="O687" s="389"/>
      <c r="P687" s="389"/>
      <c r="Q687" s="389"/>
      <c r="R687" s="389"/>
      <c r="S687" s="389"/>
      <c r="T687" s="389"/>
      <c r="U687" s="389"/>
      <c r="V687" s="389"/>
      <c r="W687" s="389"/>
      <c r="X687" s="389"/>
      <c r="Y687" s="389"/>
      <c r="Z687" s="389"/>
      <c r="AA687" s="389"/>
      <c r="AB687" s="389"/>
      <c r="AC687" s="389"/>
      <c r="AD687" s="389"/>
      <c r="AE687" s="389"/>
      <c r="AF687" s="389"/>
      <c r="AG687" s="389"/>
    </row>
    <row r="688">
      <c r="A688" s="389"/>
      <c r="B688" s="389"/>
      <c r="C688" s="389"/>
      <c r="D688" s="390"/>
      <c r="E688" s="389"/>
      <c r="F688" s="392"/>
      <c r="G688" s="389"/>
      <c r="H688" s="389"/>
      <c r="I688" s="389"/>
      <c r="J688" s="389"/>
      <c r="K688" s="389"/>
      <c r="L688" s="389"/>
      <c r="M688" s="389"/>
      <c r="N688" s="389"/>
      <c r="O688" s="389"/>
      <c r="P688" s="389"/>
      <c r="Q688" s="389"/>
      <c r="R688" s="389"/>
      <c r="S688" s="389"/>
      <c r="T688" s="389"/>
      <c r="U688" s="389"/>
      <c r="V688" s="389"/>
      <c r="W688" s="389"/>
      <c r="X688" s="389"/>
      <c r="Y688" s="389"/>
      <c r="Z688" s="389"/>
      <c r="AA688" s="389"/>
      <c r="AB688" s="389"/>
      <c r="AC688" s="389"/>
      <c r="AD688" s="389"/>
      <c r="AE688" s="389"/>
      <c r="AF688" s="389"/>
      <c r="AG688" s="389"/>
    </row>
    <row r="689">
      <c r="A689" s="389"/>
      <c r="B689" s="389"/>
      <c r="C689" s="389"/>
      <c r="D689" s="390"/>
      <c r="E689" s="389"/>
      <c r="F689" s="392"/>
      <c r="G689" s="389"/>
      <c r="H689" s="389"/>
      <c r="I689" s="389"/>
      <c r="J689" s="389"/>
      <c r="K689" s="389"/>
      <c r="L689" s="389"/>
      <c r="M689" s="389"/>
      <c r="N689" s="389"/>
      <c r="O689" s="389"/>
      <c r="P689" s="389"/>
      <c r="Q689" s="389"/>
      <c r="R689" s="389"/>
      <c r="S689" s="389"/>
      <c r="T689" s="389"/>
      <c r="U689" s="389"/>
      <c r="V689" s="389"/>
      <c r="W689" s="389"/>
      <c r="X689" s="389"/>
      <c r="Y689" s="389"/>
      <c r="Z689" s="389"/>
      <c r="AA689" s="389"/>
      <c r="AB689" s="389"/>
      <c r="AC689" s="389"/>
      <c r="AD689" s="389"/>
      <c r="AE689" s="389"/>
      <c r="AF689" s="389"/>
      <c r="AG689" s="389"/>
    </row>
    <row r="690">
      <c r="A690" s="389"/>
      <c r="B690" s="389"/>
      <c r="C690" s="389"/>
      <c r="D690" s="390"/>
      <c r="E690" s="389"/>
      <c r="F690" s="392"/>
      <c r="G690" s="389"/>
      <c r="H690" s="389"/>
      <c r="I690" s="389"/>
      <c r="J690" s="389"/>
      <c r="K690" s="389"/>
      <c r="L690" s="389"/>
      <c r="M690" s="389"/>
      <c r="N690" s="389"/>
      <c r="O690" s="389"/>
      <c r="P690" s="389"/>
      <c r="Q690" s="389"/>
      <c r="R690" s="389"/>
      <c r="S690" s="389"/>
      <c r="T690" s="389"/>
      <c r="U690" s="389"/>
      <c r="V690" s="389"/>
      <c r="W690" s="389"/>
      <c r="X690" s="389"/>
      <c r="Y690" s="389"/>
      <c r="Z690" s="389"/>
      <c r="AA690" s="389"/>
      <c r="AB690" s="389"/>
      <c r="AC690" s="389"/>
      <c r="AD690" s="389"/>
      <c r="AE690" s="389"/>
      <c r="AF690" s="389"/>
      <c r="AG690" s="389"/>
    </row>
    <row r="691">
      <c r="A691" s="389"/>
      <c r="B691" s="389"/>
      <c r="C691" s="389"/>
      <c r="D691" s="390"/>
      <c r="E691" s="389"/>
      <c r="F691" s="392"/>
      <c r="G691" s="389"/>
      <c r="H691" s="389"/>
      <c r="I691" s="389"/>
      <c r="J691" s="389"/>
      <c r="K691" s="389"/>
      <c r="L691" s="389"/>
      <c r="M691" s="389"/>
      <c r="N691" s="389"/>
      <c r="O691" s="389"/>
      <c r="P691" s="389"/>
      <c r="Q691" s="389"/>
      <c r="R691" s="389"/>
      <c r="S691" s="389"/>
      <c r="T691" s="389"/>
      <c r="U691" s="389"/>
      <c r="V691" s="389"/>
      <c r="W691" s="389"/>
      <c r="X691" s="389"/>
      <c r="Y691" s="389"/>
      <c r="Z691" s="389"/>
      <c r="AA691" s="389"/>
      <c r="AB691" s="389"/>
      <c r="AC691" s="389"/>
      <c r="AD691" s="389"/>
      <c r="AE691" s="389"/>
      <c r="AF691" s="389"/>
      <c r="AG691" s="389"/>
    </row>
    <row r="692">
      <c r="A692" s="389"/>
      <c r="B692" s="389"/>
      <c r="C692" s="389"/>
      <c r="D692" s="390"/>
      <c r="E692" s="389"/>
      <c r="F692" s="392"/>
      <c r="G692" s="389"/>
      <c r="H692" s="389"/>
      <c r="I692" s="389"/>
      <c r="J692" s="389"/>
      <c r="K692" s="389"/>
      <c r="L692" s="389"/>
      <c r="M692" s="389"/>
      <c r="N692" s="389"/>
      <c r="O692" s="389"/>
      <c r="P692" s="389"/>
      <c r="Q692" s="389"/>
      <c r="R692" s="389"/>
      <c r="S692" s="389"/>
      <c r="T692" s="389"/>
      <c r="U692" s="389"/>
      <c r="V692" s="389"/>
      <c r="W692" s="389"/>
      <c r="X692" s="389"/>
      <c r="Y692" s="389"/>
      <c r="Z692" s="389"/>
      <c r="AA692" s="389"/>
      <c r="AB692" s="389"/>
      <c r="AC692" s="389"/>
      <c r="AD692" s="389"/>
      <c r="AE692" s="389"/>
      <c r="AF692" s="389"/>
      <c r="AG692" s="389"/>
    </row>
    <row r="693">
      <c r="A693" s="389"/>
      <c r="B693" s="389"/>
      <c r="C693" s="389"/>
      <c r="D693" s="390"/>
      <c r="E693" s="389"/>
      <c r="F693" s="392"/>
      <c r="G693" s="389"/>
      <c r="H693" s="389"/>
      <c r="I693" s="389"/>
      <c r="J693" s="389"/>
      <c r="K693" s="389"/>
      <c r="L693" s="389"/>
      <c r="M693" s="389"/>
      <c r="N693" s="389"/>
      <c r="O693" s="389"/>
      <c r="P693" s="389"/>
      <c r="Q693" s="389"/>
      <c r="R693" s="389"/>
      <c r="S693" s="389"/>
      <c r="T693" s="389"/>
      <c r="U693" s="389"/>
      <c r="V693" s="389"/>
      <c r="W693" s="389"/>
      <c r="X693" s="389"/>
      <c r="Y693" s="389"/>
      <c r="Z693" s="389"/>
      <c r="AA693" s="389"/>
      <c r="AB693" s="389"/>
      <c r="AC693" s="389"/>
      <c r="AD693" s="389"/>
      <c r="AE693" s="389"/>
      <c r="AF693" s="389"/>
      <c r="AG693" s="389"/>
    </row>
    <row r="694">
      <c r="A694" s="389"/>
      <c r="B694" s="389"/>
      <c r="C694" s="389"/>
      <c r="D694" s="390"/>
      <c r="E694" s="389"/>
      <c r="F694" s="392"/>
      <c r="G694" s="389"/>
      <c r="H694" s="389"/>
      <c r="I694" s="389"/>
      <c r="J694" s="389"/>
      <c r="K694" s="389"/>
      <c r="L694" s="389"/>
      <c r="M694" s="389"/>
      <c r="N694" s="389"/>
      <c r="O694" s="389"/>
      <c r="P694" s="389"/>
      <c r="Q694" s="389"/>
      <c r="R694" s="389"/>
      <c r="S694" s="389"/>
      <c r="T694" s="389"/>
      <c r="U694" s="389"/>
      <c r="V694" s="389"/>
      <c r="W694" s="389"/>
      <c r="X694" s="389"/>
      <c r="Y694" s="389"/>
      <c r="Z694" s="389"/>
      <c r="AA694" s="389"/>
      <c r="AB694" s="389"/>
      <c r="AC694" s="389"/>
      <c r="AD694" s="389"/>
      <c r="AE694" s="389"/>
      <c r="AF694" s="389"/>
      <c r="AG694" s="389"/>
    </row>
    <row r="695">
      <c r="A695" s="389"/>
      <c r="B695" s="389"/>
      <c r="C695" s="389"/>
      <c r="D695" s="390"/>
      <c r="E695" s="389"/>
      <c r="F695" s="392"/>
      <c r="G695" s="389"/>
      <c r="H695" s="389"/>
      <c r="I695" s="389"/>
      <c r="J695" s="389"/>
      <c r="K695" s="389"/>
      <c r="L695" s="389"/>
      <c r="M695" s="389"/>
      <c r="N695" s="389"/>
      <c r="O695" s="389"/>
      <c r="P695" s="389"/>
      <c r="Q695" s="389"/>
      <c r="R695" s="389"/>
      <c r="S695" s="389"/>
      <c r="T695" s="389"/>
      <c r="U695" s="389"/>
      <c r="V695" s="389"/>
      <c r="W695" s="389"/>
      <c r="X695" s="389"/>
      <c r="Y695" s="389"/>
      <c r="Z695" s="389"/>
      <c r="AA695" s="389"/>
      <c r="AB695" s="389"/>
      <c r="AC695" s="389"/>
      <c r="AD695" s="389"/>
      <c r="AE695" s="389"/>
      <c r="AF695" s="389"/>
      <c r="AG695" s="389"/>
    </row>
    <row r="696">
      <c r="A696" s="389"/>
      <c r="B696" s="389"/>
      <c r="C696" s="389"/>
      <c r="D696" s="390"/>
      <c r="E696" s="389"/>
      <c r="F696" s="392"/>
      <c r="G696" s="389"/>
      <c r="H696" s="389"/>
      <c r="I696" s="389"/>
      <c r="J696" s="389"/>
      <c r="K696" s="389"/>
      <c r="L696" s="389"/>
      <c r="M696" s="389"/>
      <c r="N696" s="389"/>
      <c r="O696" s="389"/>
      <c r="P696" s="389"/>
      <c r="Q696" s="389"/>
      <c r="R696" s="389"/>
      <c r="S696" s="389"/>
      <c r="T696" s="389"/>
      <c r="U696" s="389"/>
      <c r="V696" s="389"/>
      <c r="W696" s="389"/>
      <c r="X696" s="389"/>
      <c r="Y696" s="389"/>
      <c r="Z696" s="389"/>
      <c r="AA696" s="389"/>
      <c r="AB696" s="389"/>
      <c r="AC696" s="389"/>
      <c r="AD696" s="389"/>
      <c r="AE696" s="389"/>
      <c r="AF696" s="389"/>
      <c r="AG696" s="389"/>
    </row>
    <row r="697">
      <c r="A697" s="389"/>
      <c r="B697" s="389"/>
      <c r="C697" s="389"/>
      <c r="D697" s="390"/>
      <c r="E697" s="389"/>
      <c r="F697" s="392"/>
      <c r="G697" s="389"/>
      <c r="H697" s="389"/>
      <c r="I697" s="389"/>
      <c r="J697" s="389"/>
      <c r="K697" s="389"/>
      <c r="L697" s="389"/>
      <c r="M697" s="389"/>
      <c r="N697" s="389"/>
      <c r="O697" s="389"/>
      <c r="P697" s="389"/>
      <c r="Q697" s="389"/>
      <c r="R697" s="389"/>
      <c r="S697" s="389"/>
      <c r="T697" s="389"/>
      <c r="U697" s="389"/>
      <c r="V697" s="389"/>
      <c r="W697" s="389"/>
      <c r="X697" s="389"/>
      <c r="Y697" s="389"/>
      <c r="Z697" s="389"/>
      <c r="AA697" s="389"/>
      <c r="AB697" s="389"/>
      <c r="AC697" s="389"/>
      <c r="AD697" s="389"/>
      <c r="AE697" s="389"/>
      <c r="AF697" s="389"/>
      <c r="AG697" s="389"/>
    </row>
    <row r="698">
      <c r="A698" s="389"/>
      <c r="B698" s="389"/>
      <c r="C698" s="389"/>
      <c r="D698" s="390"/>
      <c r="E698" s="389"/>
      <c r="F698" s="392"/>
      <c r="G698" s="389"/>
      <c r="H698" s="389"/>
      <c r="I698" s="389"/>
      <c r="J698" s="389"/>
      <c r="K698" s="389"/>
      <c r="L698" s="389"/>
      <c r="M698" s="389"/>
      <c r="N698" s="389"/>
      <c r="O698" s="389"/>
      <c r="P698" s="389"/>
      <c r="Q698" s="389"/>
      <c r="R698" s="389"/>
      <c r="S698" s="389"/>
      <c r="T698" s="389"/>
      <c r="U698" s="389"/>
      <c r="V698" s="389"/>
      <c r="W698" s="389"/>
      <c r="X698" s="389"/>
      <c r="Y698" s="389"/>
      <c r="Z698" s="389"/>
      <c r="AA698" s="389"/>
      <c r="AB698" s="389"/>
      <c r="AC698" s="389"/>
      <c r="AD698" s="389"/>
      <c r="AE698" s="389"/>
      <c r="AF698" s="389"/>
      <c r="AG698" s="389"/>
    </row>
    <row r="699">
      <c r="A699" s="389"/>
      <c r="B699" s="389"/>
      <c r="C699" s="389"/>
      <c r="D699" s="390"/>
      <c r="E699" s="389"/>
      <c r="F699" s="392"/>
      <c r="G699" s="389"/>
      <c r="H699" s="389"/>
      <c r="I699" s="389"/>
      <c r="J699" s="389"/>
      <c r="K699" s="389"/>
      <c r="L699" s="389"/>
      <c r="M699" s="389"/>
      <c r="N699" s="389"/>
      <c r="O699" s="389"/>
      <c r="P699" s="389"/>
      <c r="Q699" s="389"/>
      <c r="R699" s="389"/>
      <c r="S699" s="389"/>
      <c r="T699" s="389"/>
      <c r="U699" s="389"/>
      <c r="V699" s="389"/>
      <c r="W699" s="389"/>
      <c r="X699" s="389"/>
      <c r="Y699" s="389"/>
      <c r="Z699" s="389"/>
      <c r="AA699" s="389"/>
      <c r="AB699" s="389"/>
      <c r="AC699" s="389"/>
      <c r="AD699" s="389"/>
      <c r="AE699" s="389"/>
      <c r="AF699" s="389"/>
      <c r="AG699" s="389"/>
    </row>
    <row r="700">
      <c r="A700" s="389"/>
      <c r="B700" s="389"/>
      <c r="C700" s="389"/>
      <c r="D700" s="390"/>
      <c r="E700" s="389"/>
      <c r="F700" s="392"/>
      <c r="G700" s="389"/>
      <c r="H700" s="389"/>
      <c r="I700" s="389"/>
      <c r="J700" s="389"/>
      <c r="K700" s="389"/>
      <c r="L700" s="389"/>
      <c r="M700" s="389"/>
      <c r="N700" s="389"/>
      <c r="O700" s="389"/>
      <c r="P700" s="389"/>
      <c r="Q700" s="389"/>
      <c r="R700" s="389"/>
      <c r="S700" s="389"/>
      <c r="T700" s="389"/>
      <c r="U700" s="389"/>
      <c r="V700" s="389"/>
      <c r="W700" s="389"/>
      <c r="X700" s="389"/>
      <c r="Y700" s="389"/>
      <c r="Z700" s="389"/>
      <c r="AA700" s="389"/>
      <c r="AB700" s="389"/>
      <c r="AC700" s="389"/>
      <c r="AD700" s="389"/>
      <c r="AE700" s="389"/>
      <c r="AF700" s="389"/>
      <c r="AG700" s="389"/>
    </row>
    <row r="701">
      <c r="A701" s="389"/>
      <c r="B701" s="389"/>
      <c r="C701" s="389"/>
      <c r="D701" s="390"/>
      <c r="E701" s="389"/>
      <c r="F701" s="392"/>
      <c r="G701" s="389"/>
      <c r="H701" s="389"/>
      <c r="I701" s="389"/>
      <c r="J701" s="389"/>
      <c r="K701" s="389"/>
      <c r="L701" s="389"/>
      <c r="M701" s="389"/>
      <c r="N701" s="389"/>
      <c r="O701" s="389"/>
      <c r="P701" s="389"/>
      <c r="Q701" s="389"/>
      <c r="R701" s="389"/>
      <c r="S701" s="389"/>
      <c r="T701" s="389"/>
      <c r="U701" s="389"/>
      <c r="V701" s="389"/>
      <c r="W701" s="389"/>
      <c r="X701" s="389"/>
      <c r="Y701" s="389"/>
      <c r="Z701" s="389"/>
      <c r="AA701" s="389"/>
      <c r="AB701" s="389"/>
      <c r="AC701" s="389"/>
      <c r="AD701" s="389"/>
      <c r="AE701" s="389"/>
      <c r="AF701" s="389"/>
      <c r="AG701" s="389"/>
    </row>
    <row r="702">
      <c r="A702" s="389"/>
      <c r="B702" s="389"/>
      <c r="C702" s="389"/>
      <c r="D702" s="390"/>
      <c r="E702" s="389"/>
      <c r="F702" s="392"/>
      <c r="G702" s="389"/>
      <c r="H702" s="389"/>
      <c r="I702" s="389"/>
      <c r="J702" s="389"/>
      <c r="K702" s="389"/>
      <c r="L702" s="389"/>
      <c r="M702" s="389"/>
      <c r="N702" s="389"/>
      <c r="O702" s="389"/>
      <c r="P702" s="389"/>
      <c r="Q702" s="389"/>
      <c r="R702" s="389"/>
      <c r="S702" s="389"/>
      <c r="T702" s="389"/>
      <c r="U702" s="389"/>
      <c r="V702" s="389"/>
      <c r="W702" s="389"/>
      <c r="X702" s="389"/>
      <c r="Y702" s="389"/>
      <c r="Z702" s="389"/>
      <c r="AA702" s="389"/>
      <c r="AB702" s="389"/>
      <c r="AC702" s="389"/>
      <c r="AD702" s="389"/>
      <c r="AE702" s="389"/>
      <c r="AF702" s="389"/>
      <c r="AG702" s="389"/>
    </row>
    <row r="703">
      <c r="A703" s="389"/>
      <c r="B703" s="389"/>
      <c r="C703" s="389"/>
      <c r="D703" s="390"/>
      <c r="E703" s="389"/>
      <c r="F703" s="392"/>
      <c r="G703" s="389"/>
      <c r="H703" s="389"/>
      <c r="I703" s="389"/>
      <c r="J703" s="389"/>
      <c r="K703" s="389"/>
      <c r="L703" s="389"/>
      <c r="M703" s="389"/>
      <c r="N703" s="389"/>
      <c r="O703" s="389"/>
      <c r="P703" s="389"/>
      <c r="Q703" s="389"/>
      <c r="R703" s="389"/>
      <c r="S703" s="389"/>
      <c r="T703" s="389"/>
      <c r="U703" s="389"/>
      <c r="V703" s="389"/>
      <c r="W703" s="389"/>
      <c r="X703" s="389"/>
      <c r="Y703" s="389"/>
      <c r="Z703" s="389"/>
      <c r="AA703" s="389"/>
      <c r="AB703" s="389"/>
      <c r="AC703" s="389"/>
      <c r="AD703" s="389"/>
      <c r="AE703" s="389"/>
      <c r="AF703" s="389"/>
      <c r="AG703" s="389"/>
    </row>
    <row r="704">
      <c r="A704" s="389"/>
      <c r="B704" s="389"/>
      <c r="C704" s="389"/>
      <c r="D704" s="390"/>
      <c r="E704" s="389"/>
      <c r="F704" s="392"/>
      <c r="G704" s="389"/>
      <c r="H704" s="389"/>
      <c r="I704" s="389"/>
      <c r="J704" s="389"/>
      <c r="K704" s="389"/>
      <c r="L704" s="389"/>
      <c r="M704" s="389"/>
      <c r="N704" s="389"/>
      <c r="O704" s="389"/>
      <c r="P704" s="389"/>
      <c r="Q704" s="389"/>
      <c r="R704" s="389"/>
      <c r="S704" s="389"/>
      <c r="T704" s="389"/>
      <c r="U704" s="389"/>
      <c r="V704" s="389"/>
      <c r="W704" s="389"/>
      <c r="X704" s="389"/>
      <c r="Y704" s="389"/>
      <c r="Z704" s="389"/>
      <c r="AA704" s="389"/>
      <c r="AB704" s="389"/>
      <c r="AC704" s="389"/>
      <c r="AD704" s="389"/>
      <c r="AE704" s="389"/>
      <c r="AF704" s="389"/>
      <c r="AG704" s="389"/>
    </row>
    <row r="705">
      <c r="A705" s="389"/>
      <c r="B705" s="389"/>
      <c r="C705" s="389"/>
      <c r="D705" s="390"/>
      <c r="E705" s="389"/>
      <c r="F705" s="392"/>
      <c r="G705" s="389"/>
      <c r="H705" s="389"/>
      <c r="I705" s="389"/>
      <c r="J705" s="389"/>
      <c r="K705" s="389"/>
      <c r="L705" s="389"/>
      <c r="M705" s="389"/>
      <c r="N705" s="389"/>
      <c r="O705" s="389"/>
      <c r="P705" s="389"/>
      <c r="Q705" s="389"/>
      <c r="R705" s="389"/>
      <c r="S705" s="389"/>
      <c r="T705" s="389"/>
      <c r="U705" s="389"/>
      <c r="V705" s="389"/>
      <c r="W705" s="389"/>
      <c r="X705" s="389"/>
      <c r="Y705" s="389"/>
      <c r="Z705" s="389"/>
      <c r="AA705" s="389"/>
      <c r="AB705" s="389"/>
      <c r="AC705" s="389"/>
      <c r="AD705" s="389"/>
      <c r="AE705" s="389"/>
      <c r="AF705" s="389"/>
      <c r="AG705" s="389"/>
    </row>
    <row r="706">
      <c r="A706" s="389"/>
      <c r="B706" s="389"/>
      <c r="C706" s="389"/>
      <c r="D706" s="390"/>
      <c r="E706" s="389"/>
      <c r="F706" s="392"/>
      <c r="G706" s="389"/>
      <c r="H706" s="389"/>
      <c r="I706" s="389"/>
      <c r="J706" s="389"/>
      <c r="K706" s="389"/>
      <c r="L706" s="389"/>
      <c r="M706" s="389"/>
      <c r="N706" s="389"/>
      <c r="O706" s="389"/>
      <c r="P706" s="389"/>
      <c r="Q706" s="389"/>
      <c r="R706" s="389"/>
      <c r="S706" s="389"/>
      <c r="T706" s="389"/>
      <c r="U706" s="389"/>
      <c r="V706" s="389"/>
      <c r="W706" s="389"/>
      <c r="X706" s="389"/>
      <c r="Y706" s="389"/>
      <c r="Z706" s="389"/>
      <c r="AA706" s="389"/>
      <c r="AB706" s="389"/>
      <c r="AC706" s="389"/>
      <c r="AD706" s="389"/>
      <c r="AE706" s="389"/>
      <c r="AF706" s="389"/>
      <c r="AG706" s="389"/>
    </row>
    <row r="707">
      <c r="A707" s="389"/>
      <c r="B707" s="389"/>
      <c r="C707" s="389"/>
      <c r="D707" s="390"/>
      <c r="E707" s="389"/>
      <c r="F707" s="392"/>
      <c r="G707" s="389"/>
      <c r="H707" s="389"/>
      <c r="I707" s="389"/>
      <c r="J707" s="389"/>
      <c r="K707" s="389"/>
      <c r="L707" s="389"/>
      <c r="M707" s="389"/>
      <c r="N707" s="389"/>
      <c r="O707" s="389"/>
      <c r="P707" s="389"/>
      <c r="Q707" s="389"/>
      <c r="R707" s="389"/>
      <c r="S707" s="389"/>
      <c r="T707" s="389"/>
      <c r="U707" s="389"/>
      <c r="V707" s="389"/>
      <c r="W707" s="389"/>
      <c r="X707" s="389"/>
      <c r="Y707" s="389"/>
      <c r="Z707" s="389"/>
      <c r="AA707" s="389"/>
      <c r="AB707" s="389"/>
      <c r="AC707" s="389"/>
      <c r="AD707" s="389"/>
      <c r="AE707" s="389"/>
      <c r="AF707" s="389"/>
      <c r="AG707" s="389"/>
    </row>
    <row r="708">
      <c r="A708" s="389"/>
      <c r="B708" s="389"/>
      <c r="C708" s="389"/>
      <c r="D708" s="390"/>
      <c r="E708" s="389"/>
      <c r="F708" s="392"/>
      <c r="G708" s="389"/>
      <c r="H708" s="389"/>
      <c r="I708" s="389"/>
      <c r="J708" s="389"/>
      <c r="K708" s="389"/>
      <c r="L708" s="389"/>
      <c r="M708" s="389"/>
      <c r="N708" s="389"/>
      <c r="O708" s="389"/>
      <c r="P708" s="389"/>
      <c r="Q708" s="389"/>
      <c r="R708" s="389"/>
      <c r="S708" s="389"/>
      <c r="T708" s="389"/>
      <c r="U708" s="389"/>
      <c r="V708" s="389"/>
      <c r="W708" s="389"/>
      <c r="X708" s="389"/>
      <c r="Y708" s="389"/>
      <c r="Z708" s="389"/>
      <c r="AA708" s="389"/>
      <c r="AB708" s="389"/>
      <c r="AC708" s="389"/>
      <c r="AD708" s="389"/>
      <c r="AE708" s="389"/>
      <c r="AF708" s="389"/>
      <c r="AG708" s="389"/>
    </row>
    <row r="709">
      <c r="A709" s="389"/>
      <c r="B709" s="389"/>
      <c r="C709" s="389"/>
      <c r="D709" s="390"/>
      <c r="E709" s="389"/>
      <c r="F709" s="392"/>
      <c r="G709" s="389"/>
      <c r="H709" s="389"/>
      <c r="I709" s="389"/>
      <c r="J709" s="389"/>
      <c r="K709" s="389"/>
      <c r="L709" s="389"/>
      <c r="M709" s="389"/>
      <c r="N709" s="389"/>
      <c r="O709" s="389"/>
      <c r="P709" s="389"/>
      <c r="Q709" s="389"/>
      <c r="R709" s="389"/>
      <c r="S709" s="389"/>
      <c r="T709" s="389"/>
      <c r="U709" s="389"/>
      <c r="V709" s="389"/>
      <c r="W709" s="389"/>
      <c r="X709" s="389"/>
      <c r="Y709" s="389"/>
      <c r="Z709" s="389"/>
      <c r="AA709" s="389"/>
      <c r="AB709" s="389"/>
      <c r="AC709" s="389"/>
      <c r="AD709" s="389"/>
      <c r="AE709" s="389"/>
      <c r="AF709" s="389"/>
      <c r="AG709" s="389"/>
    </row>
    <row r="710">
      <c r="A710" s="389"/>
      <c r="B710" s="389"/>
      <c r="C710" s="389"/>
      <c r="D710" s="390"/>
      <c r="E710" s="389"/>
      <c r="F710" s="392"/>
      <c r="G710" s="389"/>
      <c r="H710" s="389"/>
      <c r="I710" s="389"/>
      <c r="J710" s="389"/>
      <c r="K710" s="389"/>
      <c r="L710" s="389"/>
      <c r="M710" s="389"/>
      <c r="N710" s="389"/>
      <c r="O710" s="389"/>
      <c r="P710" s="389"/>
      <c r="Q710" s="389"/>
      <c r="R710" s="389"/>
      <c r="S710" s="389"/>
      <c r="T710" s="389"/>
      <c r="U710" s="389"/>
      <c r="V710" s="389"/>
      <c r="W710" s="389"/>
      <c r="X710" s="389"/>
      <c r="Y710" s="389"/>
      <c r="Z710" s="389"/>
      <c r="AA710" s="389"/>
      <c r="AB710" s="389"/>
      <c r="AC710" s="389"/>
      <c r="AD710" s="389"/>
      <c r="AE710" s="389"/>
      <c r="AF710" s="389"/>
      <c r="AG710" s="389"/>
    </row>
    <row r="711">
      <c r="A711" s="389"/>
      <c r="B711" s="389"/>
      <c r="C711" s="389"/>
      <c r="D711" s="390"/>
      <c r="E711" s="389"/>
      <c r="F711" s="392"/>
      <c r="G711" s="389"/>
      <c r="H711" s="389"/>
      <c r="I711" s="389"/>
      <c r="J711" s="389"/>
      <c r="K711" s="389"/>
      <c r="L711" s="389"/>
      <c r="M711" s="389"/>
      <c r="N711" s="389"/>
      <c r="O711" s="389"/>
      <c r="P711" s="389"/>
      <c r="Q711" s="389"/>
      <c r="R711" s="389"/>
      <c r="S711" s="389"/>
      <c r="T711" s="389"/>
      <c r="U711" s="389"/>
      <c r="V711" s="389"/>
      <c r="W711" s="389"/>
      <c r="X711" s="389"/>
      <c r="Y711" s="389"/>
      <c r="Z711" s="389"/>
      <c r="AA711" s="389"/>
      <c r="AB711" s="389"/>
      <c r="AC711" s="389"/>
      <c r="AD711" s="389"/>
      <c r="AE711" s="389"/>
      <c r="AF711" s="389"/>
      <c r="AG711" s="389"/>
    </row>
    <row r="712">
      <c r="A712" s="389"/>
      <c r="B712" s="389"/>
      <c r="C712" s="389"/>
      <c r="D712" s="390"/>
      <c r="E712" s="389"/>
      <c r="F712" s="392"/>
      <c r="G712" s="389"/>
      <c r="H712" s="389"/>
      <c r="I712" s="389"/>
      <c r="J712" s="389"/>
      <c r="K712" s="389"/>
      <c r="L712" s="389"/>
      <c r="M712" s="389"/>
      <c r="N712" s="389"/>
      <c r="O712" s="389"/>
      <c r="P712" s="389"/>
      <c r="Q712" s="389"/>
      <c r="R712" s="389"/>
      <c r="S712" s="389"/>
      <c r="T712" s="389"/>
      <c r="U712" s="389"/>
      <c r="V712" s="389"/>
      <c r="W712" s="389"/>
      <c r="X712" s="389"/>
      <c r="Y712" s="389"/>
      <c r="Z712" s="389"/>
      <c r="AA712" s="389"/>
      <c r="AB712" s="389"/>
      <c r="AC712" s="389"/>
      <c r="AD712" s="389"/>
      <c r="AE712" s="389"/>
      <c r="AF712" s="389"/>
      <c r="AG712" s="389"/>
    </row>
    <row r="713">
      <c r="A713" s="389"/>
      <c r="B713" s="389"/>
      <c r="C713" s="389"/>
      <c r="D713" s="390"/>
      <c r="E713" s="389"/>
      <c r="F713" s="392"/>
      <c r="G713" s="389"/>
      <c r="H713" s="389"/>
      <c r="I713" s="389"/>
      <c r="J713" s="389"/>
      <c r="K713" s="389"/>
      <c r="L713" s="389"/>
      <c r="M713" s="389"/>
      <c r="N713" s="389"/>
      <c r="O713" s="389"/>
      <c r="P713" s="389"/>
      <c r="Q713" s="389"/>
      <c r="R713" s="389"/>
      <c r="S713" s="389"/>
      <c r="T713" s="389"/>
      <c r="U713" s="389"/>
      <c r="V713" s="389"/>
      <c r="W713" s="389"/>
      <c r="X713" s="389"/>
      <c r="Y713" s="389"/>
      <c r="Z713" s="389"/>
      <c r="AA713" s="389"/>
      <c r="AB713" s="389"/>
      <c r="AC713" s="389"/>
      <c r="AD713" s="389"/>
      <c r="AE713" s="389"/>
      <c r="AF713" s="389"/>
      <c r="AG713" s="389"/>
    </row>
    <row r="714">
      <c r="A714" s="389"/>
      <c r="B714" s="389"/>
      <c r="C714" s="389"/>
      <c r="D714" s="390"/>
      <c r="E714" s="389"/>
      <c r="F714" s="392"/>
      <c r="G714" s="389"/>
      <c r="H714" s="389"/>
      <c r="I714" s="389"/>
      <c r="J714" s="389"/>
      <c r="K714" s="389"/>
      <c r="L714" s="389"/>
      <c r="M714" s="389"/>
      <c r="N714" s="389"/>
      <c r="O714" s="389"/>
      <c r="P714" s="389"/>
      <c r="Q714" s="389"/>
      <c r="R714" s="389"/>
      <c r="S714" s="389"/>
      <c r="T714" s="389"/>
      <c r="U714" s="389"/>
      <c r="V714" s="389"/>
      <c r="W714" s="389"/>
      <c r="X714" s="389"/>
      <c r="Y714" s="389"/>
      <c r="Z714" s="389"/>
      <c r="AA714" s="389"/>
      <c r="AB714" s="389"/>
      <c r="AC714" s="389"/>
      <c r="AD714" s="389"/>
      <c r="AE714" s="389"/>
      <c r="AF714" s="389"/>
      <c r="AG714" s="389"/>
    </row>
    <row r="715">
      <c r="A715" s="389"/>
      <c r="B715" s="389"/>
      <c r="C715" s="389"/>
      <c r="D715" s="390"/>
      <c r="E715" s="389"/>
      <c r="F715" s="392"/>
      <c r="G715" s="389"/>
      <c r="H715" s="389"/>
      <c r="I715" s="389"/>
      <c r="J715" s="389"/>
      <c r="K715" s="389"/>
      <c r="L715" s="389"/>
      <c r="M715" s="389"/>
      <c r="N715" s="389"/>
      <c r="O715" s="389"/>
      <c r="P715" s="389"/>
      <c r="Q715" s="389"/>
      <c r="R715" s="389"/>
      <c r="S715" s="389"/>
      <c r="T715" s="389"/>
      <c r="U715" s="389"/>
      <c r="V715" s="389"/>
      <c r="W715" s="389"/>
      <c r="X715" s="389"/>
      <c r="Y715" s="389"/>
      <c r="Z715" s="389"/>
      <c r="AA715" s="389"/>
      <c r="AB715" s="389"/>
      <c r="AC715" s="389"/>
      <c r="AD715" s="389"/>
      <c r="AE715" s="389"/>
      <c r="AF715" s="389"/>
      <c r="AG715" s="389"/>
    </row>
    <row r="716">
      <c r="A716" s="389"/>
      <c r="B716" s="389"/>
      <c r="C716" s="389"/>
      <c r="D716" s="390"/>
      <c r="E716" s="389"/>
      <c r="F716" s="392"/>
      <c r="G716" s="389"/>
      <c r="H716" s="389"/>
      <c r="I716" s="389"/>
      <c r="J716" s="389"/>
      <c r="K716" s="389"/>
      <c r="L716" s="389"/>
      <c r="M716" s="389"/>
      <c r="N716" s="389"/>
      <c r="O716" s="389"/>
      <c r="P716" s="389"/>
      <c r="Q716" s="389"/>
      <c r="R716" s="389"/>
      <c r="S716" s="389"/>
      <c r="T716" s="389"/>
      <c r="U716" s="389"/>
      <c r="V716" s="389"/>
      <c r="W716" s="389"/>
      <c r="X716" s="389"/>
      <c r="Y716" s="389"/>
      <c r="Z716" s="389"/>
      <c r="AA716" s="389"/>
      <c r="AB716" s="389"/>
      <c r="AC716" s="389"/>
      <c r="AD716" s="389"/>
      <c r="AE716" s="389"/>
      <c r="AF716" s="389"/>
      <c r="AG716" s="389"/>
    </row>
    <row r="717">
      <c r="A717" s="389"/>
      <c r="B717" s="389"/>
      <c r="C717" s="389"/>
      <c r="D717" s="390"/>
      <c r="E717" s="389"/>
      <c r="F717" s="392"/>
      <c r="G717" s="389"/>
      <c r="H717" s="389"/>
      <c r="I717" s="389"/>
      <c r="J717" s="389"/>
      <c r="K717" s="389"/>
      <c r="L717" s="389"/>
      <c r="M717" s="389"/>
      <c r="N717" s="389"/>
      <c r="O717" s="389"/>
      <c r="P717" s="389"/>
      <c r="Q717" s="389"/>
      <c r="R717" s="389"/>
      <c r="S717" s="389"/>
      <c r="T717" s="389"/>
      <c r="U717" s="389"/>
      <c r="V717" s="389"/>
      <c r="W717" s="389"/>
      <c r="X717" s="389"/>
      <c r="Y717" s="389"/>
      <c r="Z717" s="389"/>
      <c r="AA717" s="389"/>
      <c r="AB717" s="389"/>
      <c r="AC717" s="389"/>
      <c r="AD717" s="389"/>
      <c r="AE717" s="389"/>
      <c r="AF717" s="389"/>
      <c r="AG717" s="389"/>
    </row>
    <row r="718">
      <c r="A718" s="389"/>
      <c r="B718" s="389"/>
      <c r="C718" s="389"/>
      <c r="D718" s="390"/>
      <c r="E718" s="389"/>
      <c r="F718" s="392"/>
      <c r="G718" s="389"/>
      <c r="H718" s="389"/>
      <c r="I718" s="389"/>
      <c r="J718" s="389"/>
      <c r="K718" s="389"/>
      <c r="L718" s="389"/>
      <c r="M718" s="389"/>
      <c r="N718" s="389"/>
      <c r="O718" s="389"/>
      <c r="P718" s="389"/>
      <c r="Q718" s="389"/>
      <c r="R718" s="389"/>
      <c r="S718" s="389"/>
      <c r="T718" s="389"/>
      <c r="U718" s="389"/>
      <c r="V718" s="389"/>
      <c r="W718" s="389"/>
      <c r="X718" s="389"/>
      <c r="Y718" s="389"/>
      <c r="Z718" s="389"/>
      <c r="AA718" s="389"/>
      <c r="AB718" s="389"/>
      <c r="AC718" s="389"/>
      <c r="AD718" s="389"/>
      <c r="AE718" s="389"/>
      <c r="AF718" s="389"/>
      <c r="AG718" s="389"/>
    </row>
    <row r="719">
      <c r="A719" s="389"/>
      <c r="B719" s="389"/>
      <c r="C719" s="389"/>
      <c r="D719" s="390"/>
      <c r="E719" s="389"/>
      <c r="F719" s="392"/>
      <c r="G719" s="389"/>
      <c r="H719" s="389"/>
      <c r="I719" s="389"/>
      <c r="J719" s="389"/>
      <c r="K719" s="389"/>
      <c r="L719" s="389"/>
      <c r="M719" s="389"/>
      <c r="N719" s="389"/>
      <c r="O719" s="389"/>
      <c r="P719" s="389"/>
      <c r="Q719" s="389"/>
      <c r="R719" s="389"/>
      <c r="S719" s="389"/>
      <c r="T719" s="389"/>
      <c r="U719" s="389"/>
      <c r="V719" s="389"/>
      <c r="W719" s="389"/>
      <c r="X719" s="389"/>
      <c r="Y719" s="389"/>
      <c r="Z719" s="389"/>
      <c r="AA719" s="389"/>
      <c r="AB719" s="389"/>
      <c r="AC719" s="389"/>
      <c r="AD719" s="389"/>
      <c r="AE719" s="389"/>
      <c r="AF719" s="389"/>
      <c r="AG719" s="389"/>
    </row>
    <row r="720">
      <c r="A720" s="389"/>
      <c r="B720" s="389"/>
      <c r="C720" s="389"/>
      <c r="D720" s="390"/>
      <c r="E720" s="389"/>
      <c r="F720" s="392"/>
      <c r="G720" s="389"/>
      <c r="H720" s="389"/>
      <c r="I720" s="389"/>
      <c r="J720" s="389"/>
      <c r="K720" s="389"/>
      <c r="L720" s="389"/>
      <c r="M720" s="389"/>
      <c r="N720" s="389"/>
      <c r="O720" s="389"/>
      <c r="P720" s="389"/>
      <c r="Q720" s="389"/>
      <c r="R720" s="389"/>
      <c r="S720" s="389"/>
      <c r="T720" s="389"/>
      <c r="U720" s="389"/>
      <c r="V720" s="389"/>
      <c r="W720" s="389"/>
      <c r="X720" s="389"/>
      <c r="Y720" s="389"/>
      <c r="Z720" s="389"/>
      <c r="AA720" s="389"/>
      <c r="AB720" s="389"/>
      <c r="AC720" s="389"/>
      <c r="AD720" s="389"/>
      <c r="AE720" s="389"/>
      <c r="AF720" s="389"/>
      <c r="AG720" s="389"/>
    </row>
    <row r="721">
      <c r="A721" s="389"/>
      <c r="B721" s="389"/>
      <c r="C721" s="389"/>
      <c r="D721" s="390"/>
      <c r="E721" s="389"/>
      <c r="F721" s="392"/>
      <c r="G721" s="389"/>
      <c r="H721" s="389"/>
      <c r="I721" s="389"/>
      <c r="J721" s="389"/>
      <c r="K721" s="389"/>
      <c r="L721" s="389"/>
      <c r="M721" s="389"/>
      <c r="N721" s="389"/>
      <c r="O721" s="389"/>
      <c r="P721" s="389"/>
      <c r="Q721" s="389"/>
      <c r="R721" s="389"/>
      <c r="S721" s="389"/>
      <c r="T721" s="389"/>
      <c r="U721" s="389"/>
      <c r="V721" s="389"/>
      <c r="W721" s="389"/>
      <c r="X721" s="389"/>
      <c r="Y721" s="389"/>
      <c r="Z721" s="389"/>
      <c r="AA721" s="389"/>
      <c r="AB721" s="389"/>
      <c r="AC721" s="389"/>
      <c r="AD721" s="389"/>
      <c r="AE721" s="389"/>
      <c r="AF721" s="389"/>
      <c r="AG721" s="389"/>
    </row>
    <row r="722">
      <c r="A722" s="389"/>
      <c r="B722" s="389"/>
      <c r="C722" s="389"/>
      <c r="D722" s="390"/>
      <c r="E722" s="389"/>
      <c r="F722" s="392"/>
      <c r="G722" s="389"/>
      <c r="H722" s="389"/>
      <c r="I722" s="389"/>
      <c r="J722" s="389"/>
      <c r="K722" s="389"/>
      <c r="L722" s="389"/>
      <c r="M722" s="389"/>
      <c r="N722" s="389"/>
      <c r="O722" s="389"/>
      <c r="P722" s="389"/>
      <c r="Q722" s="389"/>
      <c r="R722" s="389"/>
      <c r="S722" s="389"/>
      <c r="T722" s="389"/>
      <c r="U722" s="389"/>
      <c r="V722" s="389"/>
      <c r="W722" s="389"/>
      <c r="X722" s="389"/>
      <c r="Y722" s="389"/>
      <c r="Z722" s="389"/>
      <c r="AA722" s="389"/>
      <c r="AB722" s="389"/>
      <c r="AC722" s="389"/>
      <c r="AD722" s="389"/>
      <c r="AE722" s="389"/>
      <c r="AF722" s="389"/>
      <c r="AG722" s="389"/>
    </row>
    <row r="723">
      <c r="A723" s="389"/>
      <c r="B723" s="389"/>
      <c r="C723" s="389"/>
      <c r="D723" s="390"/>
      <c r="E723" s="389"/>
      <c r="F723" s="392"/>
      <c r="G723" s="389"/>
      <c r="H723" s="389"/>
      <c r="I723" s="389"/>
      <c r="J723" s="389"/>
      <c r="K723" s="389"/>
      <c r="L723" s="389"/>
      <c r="M723" s="389"/>
      <c r="N723" s="389"/>
      <c r="O723" s="389"/>
      <c r="P723" s="389"/>
      <c r="Q723" s="389"/>
      <c r="R723" s="389"/>
      <c r="S723" s="389"/>
      <c r="T723" s="389"/>
      <c r="U723" s="389"/>
      <c r="V723" s="389"/>
      <c r="W723" s="389"/>
      <c r="X723" s="389"/>
      <c r="Y723" s="389"/>
      <c r="Z723" s="389"/>
      <c r="AA723" s="389"/>
      <c r="AB723" s="389"/>
      <c r="AC723" s="389"/>
      <c r="AD723" s="389"/>
      <c r="AE723" s="389"/>
      <c r="AF723" s="389"/>
      <c r="AG723" s="389"/>
    </row>
    <row r="724">
      <c r="A724" s="389"/>
      <c r="B724" s="389"/>
      <c r="C724" s="389"/>
      <c r="D724" s="390"/>
      <c r="E724" s="389"/>
      <c r="F724" s="392"/>
      <c r="G724" s="389"/>
      <c r="H724" s="389"/>
      <c r="I724" s="389"/>
      <c r="J724" s="389"/>
      <c r="K724" s="389"/>
      <c r="L724" s="389"/>
      <c r="M724" s="389"/>
      <c r="N724" s="389"/>
      <c r="O724" s="389"/>
      <c r="P724" s="389"/>
      <c r="Q724" s="389"/>
      <c r="R724" s="389"/>
      <c r="S724" s="389"/>
      <c r="T724" s="389"/>
      <c r="U724" s="389"/>
      <c r="V724" s="389"/>
      <c r="W724" s="389"/>
      <c r="X724" s="389"/>
      <c r="Y724" s="389"/>
      <c r="Z724" s="389"/>
      <c r="AA724" s="389"/>
      <c r="AB724" s="389"/>
      <c r="AC724" s="389"/>
      <c r="AD724" s="389"/>
      <c r="AE724" s="389"/>
      <c r="AF724" s="389"/>
      <c r="AG724" s="389"/>
    </row>
    <row r="725">
      <c r="A725" s="389"/>
      <c r="B725" s="389"/>
      <c r="C725" s="389"/>
      <c r="D725" s="390"/>
      <c r="E725" s="389"/>
      <c r="F725" s="392"/>
      <c r="G725" s="389"/>
      <c r="H725" s="389"/>
      <c r="I725" s="389"/>
      <c r="J725" s="389"/>
      <c r="K725" s="389"/>
      <c r="L725" s="389"/>
      <c r="M725" s="389"/>
      <c r="N725" s="389"/>
      <c r="O725" s="389"/>
      <c r="P725" s="389"/>
      <c r="Q725" s="389"/>
      <c r="R725" s="389"/>
      <c r="S725" s="389"/>
      <c r="T725" s="389"/>
      <c r="U725" s="389"/>
      <c r="V725" s="389"/>
      <c r="W725" s="389"/>
      <c r="X725" s="389"/>
      <c r="Y725" s="389"/>
      <c r="Z725" s="389"/>
      <c r="AA725" s="389"/>
      <c r="AB725" s="389"/>
      <c r="AC725" s="389"/>
      <c r="AD725" s="389"/>
      <c r="AE725" s="389"/>
      <c r="AF725" s="389"/>
      <c r="AG725" s="389"/>
    </row>
    <row r="726">
      <c r="A726" s="389"/>
      <c r="B726" s="389"/>
      <c r="C726" s="389"/>
      <c r="D726" s="390"/>
      <c r="E726" s="389"/>
      <c r="F726" s="392"/>
      <c r="G726" s="389"/>
      <c r="H726" s="389"/>
      <c r="I726" s="389"/>
      <c r="J726" s="389"/>
      <c r="K726" s="389"/>
      <c r="L726" s="389"/>
      <c r="M726" s="389"/>
      <c r="N726" s="389"/>
      <c r="O726" s="389"/>
      <c r="P726" s="389"/>
      <c r="Q726" s="389"/>
      <c r="R726" s="389"/>
      <c r="S726" s="389"/>
      <c r="T726" s="389"/>
      <c r="U726" s="389"/>
      <c r="V726" s="389"/>
      <c r="W726" s="389"/>
      <c r="X726" s="389"/>
      <c r="Y726" s="389"/>
      <c r="Z726" s="389"/>
      <c r="AA726" s="389"/>
      <c r="AB726" s="389"/>
      <c r="AC726" s="389"/>
      <c r="AD726" s="389"/>
      <c r="AE726" s="389"/>
      <c r="AF726" s="389"/>
      <c r="AG726" s="389"/>
    </row>
    <row r="727">
      <c r="A727" s="389"/>
      <c r="B727" s="389"/>
      <c r="C727" s="389"/>
      <c r="D727" s="390"/>
      <c r="E727" s="389"/>
      <c r="F727" s="392"/>
      <c r="G727" s="389"/>
      <c r="H727" s="389"/>
      <c r="I727" s="389"/>
      <c r="J727" s="389"/>
      <c r="K727" s="389"/>
      <c r="L727" s="389"/>
      <c r="M727" s="389"/>
      <c r="N727" s="389"/>
      <c r="O727" s="389"/>
      <c r="P727" s="389"/>
      <c r="Q727" s="389"/>
      <c r="R727" s="389"/>
      <c r="S727" s="389"/>
      <c r="T727" s="389"/>
      <c r="U727" s="389"/>
      <c r="V727" s="389"/>
      <c r="W727" s="389"/>
      <c r="X727" s="389"/>
      <c r="Y727" s="389"/>
      <c r="Z727" s="389"/>
      <c r="AA727" s="389"/>
      <c r="AB727" s="389"/>
      <c r="AC727" s="389"/>
      <c r="AD727" s="389"/>
      <c r="AE727" s="389"/>
      <c r="AF727" s="389"/>
      <c r="AG727" s="389"/>
    </row>
    <row r="728">
      <c r="A728" s="389"/>
      <c r="B728" s="389"/>
      <c r="C728" s="389"/>
      <c r="D728" s="390"/>
      <c r="E728" s="389"/>
      <c r="F728" s="392"/>
      <c r="G728" s="389"/>
      <c r="H728" s="389"/>
      <c r="I728" s="389"/>
      <c r="J728" s="389"/>
      <c r="K728" s="389"/>
      <c r="L728" s="389"/>
      <c r="M728" s="389"/>
      <c r="N728" s="389"/>
      <c r="O728" s="389"/>
      <c r="P728" s="389"/>
      <c r="Q728" s="389"/>
      <c r="R728" s="389"/>
      <c r="S728" s="389"/>
      <c r="T728" s="389"/>
      <c r="U728" s="389"/>
      <c r="V728" s="389"/>
      <c r="W728" s="389"/>
      <c r="X728" s="389"/>
      <c r="Y728" s="389"/>
      <c r="Z728" s="389"/>
      <c r="AA728" s="389"/>
      <c r="AB728" s="389"/>
      <c r="AC728" s="389"/>
      <c r="AD728" s="389"/>
      <c r="AE728" s="389"/>
      <c r="AF728" s="389"/>
      <c r="AG728" s="389"/>
    </row>
    <row r="729">
      <c r="A729" s="389"/>
      <c r="B729" s="389"/>
      <c r="C729" s="389"/>
      <c r="D729" s="390"/>
      <c r="E729" s="389"/>
      <c r="F729" s="392"/>
      <c r="G729" s="389"/>
      <c r="H729" s="389"/>
      <c r="I729" s="389"/>
      <c r="J729" s="389"/>
      <c r="K729" s="389"/>
      <c r="L729" s="389"/>
      <c r="M729" s="389"/>
      <c r="N729" s="389"/>
      <c r="O729" s="389"/>
      <c r="P729" s="389"/>
      <c r="Q729" s="389"/>
      <c r="R729" s="389"/>
      <c r="S729" s="389"/>
      <c r="T729" s="389"/>
      <c r="U729" s="389"/>
      <c r="V729" s="389"/>
      <c r="W729" s="389"/>
      <c r="X729" s="389"/>
      <c r="Y729" s="389"/>
      <c r="Z729" s="389"/>
      <c r="AA729" s="389"/>
      <c r="AB729" s="389"/>
      <c r="AC729" s="389"/>
      <c r="AD729" s="389"/>
      <c r="AE729" s="389"/>
      <c r="AF729" s="389"/>
      <c r="AG729" s="389"/>
    </row>
    <row r="730">
      <c r="A730" s="389"/>
      <c r="B730" s="389"/>
      <c r="C730" s="389"/>
      <c r="D730" s="390"/>
      <c r="E730" s="389"/>
      <c r="F730" s="392"/>
      <c r="G730" s="389"/>
      <c r="H730" s="389"/>
      <c r="I730" s="389"/>
      <c r="J730" s="389"/>
      <c r="K730" s="389"/>
      <c r="L730" s="389"/>
      <c r="M730" s="389"/>
      <c r="N730" s="389"/>
      <c r="O730" s="389"/>
      <c r="P730" s="389"/>
      <c r="Q730" s="389"/>
      <c r="R730" s="389"/>
      <c r="S730" s="389"/>
      <c r="T730" s="389"/>
      <c r="U730" s="389"/>
      <c r="V730" s="389"/>
      <c r="W730" s="389"/>
      <c r="X730" s="389"/>
      <c r="Y730" s="389"/>
      <c r="Z730" s="389"/>
      <c r="AA730" s="389"/>
      <c r="AB730" s="389"/>
      <c r="AC730" s="389"/>
      <c r="AD730" s="389"/>
      <c r="AE730" s="389"/>
      <c r="AF730" s="389"/>
      <c r="AG730" s="389"/>
    </row>
    <row r="731">
      <c r="A731" s="389"/>
      <c r="B731" s="389"/>
      <c r="C731" s="389"/>
      <c r="D731" s="390"/>
      <c r="E731" s="389"/>
      <c r="F731" s="392"/>
      <c r="G731" s="389"/>
      <c r="H731" s="389"/>
      <c r="I731" s="389"/>
      <c r="J731" s="389"/>
      <c r="K731" s="389"/>
      <c r="L731" s="389"/>
      <c r="M731" s="389"/>
      <c r="N731" s="389"/>
      <c r="O731" s="389"/>
      <c r="P731" s="389"/>
      <c r="Q731" s="389"/>
      <c r="R731" s="389"/>
      <c r="S731" s="389"/>
      <c r="T731" s="389"/>
      <c r="U731" s="389"/>
      <c r="V731" s="389"/>
      <c r="W731" s="389"/>
      <c r="X731" s="389"/>
      <c r="Y731" s="389"/>
      <c r="Z731" s="389"/>
      <c r="AA731" s="389"/>
      <c r="AB731" s="389"/>
      <c r="AC731" s="389"/>
      <c r="AD731" s="389"/>
      <c r="AE731" s="389"/>
      <c r="AF731" s="389"/>
      <c r="AG731" s="389"/>
    </row>
    <row r="732">
      <c r="A732" s="389"/>
      <c r="B732" s="389"/>
      <c r="C732" s="389"/>
      <c r="D732" s="390"/>
      <c r="E732" s="389"/>
      <c r="F732" s="392"/>
      <c r="G732" s="389"/>
      <c r="H732" s="389"/>
      <c r="I732" s="389"/>
      <c r="J732" s="389"/>
      <c r="K732" s="389"/>
      <c r="L732" s="389"/>
      <c r="M732" s="389"/>
      <c r="N732" s="389"/>
      <c r="O732" s="389"/>
      <c r="P732" s="389"/>
      <c r="Q732" s="389"/>
      <c r="R732" s="389"/>
      <c r="S732" s="389"/>
      <c r="T732" s="389"/>
      <c r="U732" s="389"/>
      <c r="V732" s="389"/>
      <c r="W732" s="389"/>
      <c r="X732" s="389"/>
      <c r="Y732" s="389"/>
      <c r="Z732" s="389"/>
      <c r="AA732" s="389"/>
      <c r="AB732" s="389"/>
      <c r="AC732" s="389"/>
      <c r="AD732" s="389"/>
      <c r="AE732" s="389"/>
      <c r="AF732" s="389"/>
      <c r="AG732" s="389"/>
    </row>
    <row r="733">
      <c r="A733" s="389"/>
      <c r="B733" s="389"/>
      <c r="C733" s="389"/>
      <c r="D733" s="390"/>
      <c r="E733" s="389"/>
      <c r="F733" s="392"/>
      <c r="G733" s="389"/>
      <c r="H733" s="389"/>
      <c r="I733" s="389"/>
      <c r="J733" s="389"/>
      <c r="K733" s="389"/>
      <c r="L733" s="389"/>
      <c r="M733" s="389"/>
      <c r="N733" s="389"/>
      <c r="O733" s="389"/>
      <c r="P733" s="389"/>
      <c r="Q733" s="389"/>
      <c r="R733" s="389"/>
      <c r="S733" s="389"/>
      <c r="T733" s="389"/>
      <c r="U733" s="389"/>
      <c r="V733" s="389"/>
      <c r="W733" s="389"/>
      <c r="X733" s="389"/>
      <c r="Y733" s="389"/>
      <c r="Z733" s="389"/>
      <c r="AA733" s="389"/>
      <c r="AB733" s="389"/>
      <c r="AC733" s="389"/>
      <c r="AD733" s="389"/>
      <c r="AE733" s="389"/>
      <c r="AF733" s="389"/>
      <c r="AG733" s="389"/>
    </row>
    <row r="734">
      <c r="A734" s="389"/>
      <c r="B734" s="389"/>
      <c r="C734" s="389"/>
      <c r="D734" s="390"/>
      <c r="E734" s="389"/>
      <c r="F734" s="392"/>
      <c r="G734" s="389"/>
      <c r="H734" s="389"/>
      <c r="I734" s="389"/>
      <c r="J734" s="389"/>
      <c r="K734" s="389"/>
      <c r="L734" s="389"/>
      <c r="M734" s="389"/>
      <c r="N734" s="389"/>
      <c r="O734" s="389"/>
      <c r="P734" s="389"/>
      <c r="Q734" s="389"/>
      <c r="R734" s="389"/>
      <c r="S734" s="389"/>
      <c r="T734" s="389"/>
      <c r="U734" s="389"/>
      <c r="V734" s="389"/>
      <c r="W734" s="389"/>
      <c r="X734" s="389"/>
      <c r="Y734" s="389"/>
      <c r="Z734" s="389"/>
      <c r="AA734" s="389"/>
      <c r="AB734" s="389"/>
      <c r="AC734" s="389"/>
      <c r="AD734" s="389"/>
      <c r="AE734" s="389"/>
      <c r="AF734" s="389"/>
      <c r="AG734" s="389"/>
    </row>
    <row r="735">
      <c r="A735" s="389"/>
      <c r="B735" s="389"/>
      <c r="C735" s="389"/>
      <c r="D735" s="390"/>
      <c r="E735" s="389"/>
      <c r="F735" s="392"/>
      <c r="G735" s="389"/>
      <c r="H735" s="389"/>
      <c r="I735" s="389"/>
      <c r="J735" s="389"/>
      <c r="K735" s="389"/>
      <c r="L735" s="389"/>
      <c r="M735" s="389"/>
      <c r="N735" s="389"/>
      <c r="O735" s="389"/>
      <c r="P735" s="389"/>
      <c r="Q735" s="389"/>
      <c r="R735" s="389"/>
      <c r="S735" s="389"/>
      <c r="T735" s="389"/>
      <c r="U735" s="389"/>
      <c r="V735" s="389"/>
      <c r="W735" s="389"/>
      <c r="X735" s="389"/>
      <c r="Y735" s="389"/>
      <c r="Z735" s="389"/>
      <c r="AA735" s="389"/>
      <c r="AB735" s="389"/>
      <c r="AC735" s="389"/>
      <c r="AD735" s="389"/>
      <c r="AE735" s="389"/>
      <c r="AF735" s="389"/>
      <c r="AG735" s="389"/>
    </row>
    <row r="736">
      <c r="A736" s="389"/>
      <c r="B736" s="389"/>
      <c r="C736" s="389"/>
      <c r="D736" s="390"/>
      <c r="E736" s="389"/>
      <c r="F736" s="392"/>
      <c r="G736" s="389"/>
      <c r="H736" s="389"/>
      <c r="I736" s="389"/>
      <c r="J736" s="389"/>
      <c r="K736" s="389"/>
      <c r="L736" s="389"/>
      <c r="M736" s="389"/>
      <c r="N736" s="389"/>
      <c r="O736" s="389"/>
      <c r="P736" s="389"/>
      <c r="Q736" s="389"/>
      <c r="R736" s="389"/>
      <c r="S736" s="389"/>
      <c r="T736" s="389"/>
      <c r="U736" s="389"/>
      <c r="V736" s="389"/>
      <c r="W736" s="389"/>
      <c r="X736" s="389"/>
      <c r="Y736" s="389"/>
      <c r="Z736" s="389"/>
      <c r="AA736" s="389"/>
      <c r="AB736" s="389"/>
      <c r="AC736" s="389"/>
      <c r="AD736" s="389"/>
      <c r="AE736" s="389"/>
      <c r="AF736" s="389"/>
      <c r="AG736" s="389"/>
    </row>
    <row r="737">
      <c r="A737" s="389"/>
      <c r="B737" s="389"/>
      <c r="C737" s="389"/>
      <c r="D737" s="390"/>
      <c r="E737" s="389"/>
      <c r="F737" s="392"/>
      <c r="G737" s="389"/>
      <c r="H737" s="389"/>
      <c r="I737" s="389"/>
      <c r="J737" s="389"/>
      <c r="K737" s="389"/>
      <c r="L737" s="389"/>
      <c r="M737" s="389"/>
      <c r="N737" s="389"/>
      <c r="O737" s="389"/>
      <c r="P737" s="389"/>
      <c r="Q737" s="389"/>
      <c r="R737" s="389"/>
      <c r="S737" s="389"/>
      <c r="T737" s="389"/>
      <c r="U737" s="389"/>
      <c r="V737" s="389"/>
      <c r="W737" s="389"/>
      <c r="X737" s="389"/>
      <c r="Y737" s="389"/>
      <c r="Z737" s="389"/>
      <c r="AA737" s="389"/>
      <c r="AB737" s="389"/>
      <c r="AC737" s="389"/>
      <c r="AD737" s="389"/>
      <c r="AE737" s="389"/>
      <c r="AF737" s="389"/>
      <c r="AG737" s="389"/>
    </row>
    <row r="738">
      <c r="A738" s="389"/>
      <c r="B738" s="389"/>
      <c r="C738" s="389"/>
      <c r="D738" s="390"/>
      <c r="E738" s="389"/>
      <c r="F738" s="392"/>
      <c r="G738" s="389"/>
      <c r="H738" s="389"/>
      <c r="I738" s="389"/>
      <c r="J738" s="389"/>
      <c r="K738" s="389"/>
      <c r="L738" s="389"/>
      <c r="M738" s="389"/>
      <c r="N738" s="389"/>
      <c r="O738" s="389"/>
      <c r="P738" s="389"/>
      <c r="Q738" s="389"/>
      <c r="R738" s="389"/>
      <c r="S738" s="389"/>
      <c r="T738" s="389"/>
      <c r="U738" s="389"/>
      <c r="V738" s="389"/>
      <c r="W738" s="389"/>
      <c r="X738" s="389"/>
      <c r="Y738" s="389"/>
      <c r="Z738" s="389"/>
      <c r="AA738" s="389"/>
      <c r="AB738" s="389"/>
      <c r="AC738" s="389"/>
      <c r="AD738" s="389"/>
      <c r="AE738" s="389"/>
      <c r="AF738" s="389"/>
      <c r="AG738" s="389"/>
    </row>
    <row r="739">
      <c r="A739" s="389"/>
      <c r="B739" s="389"/>
      <c r="C739" s="389"/>
      <c r="D739" s="390"/>
      <c r="E739" s="389"/>
      <c r="F739" s="392"/>
      <c r="G739" s="389"/>
      <c r="H739" s="389"/>
      <c r="I739" s="389"/>
      <c r="J739" s="389"/>
      <c r="K739" s="389"/>
      <c r="L739" s="389"/>
      <c r="M739" s="389"/>
      <c r="N739" s="389"/>
      <c r="O739" s="389"/>
      <c r="P739" s="389"/>
      <c r="Q739" s="389"/>
      <c r="R739" s="389"/>
      <c r="S739" s="389"/>
      <c r="T739" s="389"/>
      <c r="U739" s="389"/>
      <c r="V739" s="389"/>
      <c r="W739" s="389"/>
      <c r="X739" s="389"/>
      <c r="Y739" s="389"/>
      <c r="Z739" s="389"/>
      <c r="AA739" s="389"/>
      <c r="AB739" s="389"/>
      <c r="AC739" s="389"/>
      <c r="AD739" s="389"/>
      <c r="AE739" s="389"/>
      <c r="AF739" s="389"/>
      <c r="AG739" s="389"/>
    </row>
    <row r="740">
      <c r="A740" s="389"/>
      <c r="B740" s="389"/>
      <c r="C740" s="389"/>
      <c r="D740" s="390"/>
      <c r="E740" s="389"/>
      <c r="F740" s="392"/>
      <c r="G740" s="389"/>
      <c r="H740" s="389"/>
      <c r="I740" s="389"/>
      <c r="J740" s="389"/>
      <c r="K740" s="389"/>
      <c r="L740" s="389"/>
      <c r="M740" s="389"/>
      <c r="N740" s="389"/>
      <c r="O740" s="389"/>
      <c r="P740" s="389"/>
      <c r="Q740" s="389"/>
      <c r="R740" s="389"/>
      <c r="S740" s="389"/>
      <c r="T740" s="389"/>
      <c r="U740" s="389"/>
      <c r="V740" s="389"/>
      <c r="W740" s="389"/>
      <c r="X740" s="389"/>
      <c r="Y740" s="389"/>
      <c r="Z740" s="389"/>
      <c r="AA740" s="389"/>
      <c r="AB740" s="389"/>
      <c r="AC740" s="389"/>
      <c r="AD740" s="389"/>
      <c r="AE740" s="389"/>
      <c r="AF740" s="389"/>
      <c r="AG740" s="389"/>
    </row>
    <row r="741">
      <c r="A741" s="389"/>
      <c r="B741" s="389"/>
      <c r="C741" s="389"/>
      <c r="D741" s="390"/>
      <c r="E741" s="389"/>
      <c r="F741" s="392"/>
      <c r="G741" s="389"/>
      <c r="H741" s="389"/>
      <c r="I741" s="389"/>
      <c r="J741" s="389"/>
      <c r="K741" s="389"/>
      <c r="L741" s="389"/>
      <c r="M741" s="389"/>
      <c r="N741" s="389"/>
      <c r="O741" s="389"/>
      <c r="P741" s="389"/>
      <c r="Q741" s="389"/>
      <c r="R741" s="389"/>
      <c r="S741" s="389"/>
      <c r="T741" s="389"/>
      <c r="U741" s="389"/>
      <c r="V741" s="389"/>
      <c r="W741" s="389"/>
      <c r="X741" s="389"/>
      <c r="Y741" s="389"/>
      <c r="Z741" s="389"/>
      <c r="AA741" s="389"/>
      <c r="AB741" s="389"/>
      <c r="AC741" s="389"/>
      <c r="AD741" s="389"/>
      <c r="AE741" s="389"/>
      <c r="AF741" s="389"/>
      <c r="AG741" s="389"/>
    </row>
    <row r="742">
      <c r="A742" s="389"/>
      <c r="B742" s="389"/>
      <c r="C742" s="389"/>
      <c r="D742" s="390"/>
      <c r="E742" s="389"/>
      <c r="F742" s="392"/>
      <c r="G742" s="389"/>
      <c r="H742" s="389"/>
      <c r="I742" s="389"/>
      <c r="J742" s="389"/>
      <c r="K742" s="389"/>
      <c r="L742" s="389"/>
      <c r="M742" s="389"/>
      <c r="N742" s="389"/>
      <c r="O742" s="389"/>
      <c r="P742" s="389"/>
      <c r="Q742" s="389"/>
      <c r="R742" s="389"/>
      <c r="S742" s="389"/>
      <c r="T742" s="389"/>
      <c r="U742" s="389"/>
      <c r="V742" s="389"/>
      <c r="W742" s="389"/>
      <c r="X742" s="389"/>
      <c r="Y742" s="389"/>
      <c r="Z742" s="389"/>
      <c r="AA742" s="389"/>
      <c r="AB742" s="389"/>
      <c r="AC742" s="389"/>
      <c r="AD742" s="389"/>
      <c r="AE742" s="389"/>
      <c r="AF742" s="389"/>
      <c r="AG742" s="389"/>
    </row>
    <row r="743">
      <c r="A743" s="389"/>
      <c r="B743" s="389"/>
      <c r="C743" s="389"/>
      <c r="D743" s="390"/>
      <c r="E743" s="389"/>
      <c r="F743" s="392"/>
      <c r="G743" s="389"/>
      <c r="H743" s="389"/>
      <c r="I743" s="389"/>
      <c r="J743" s="389"/>
      <c r="K743" s="389"/>
      <c r="L743" s="389"/>
      <c r="M743" s="389"/>
      <c r="N743" s="389"/>
      <c r="O743" s="389"/>
      <c r="P743" s="389"/>
      <c r="Q743" s="389"/>
      <c r="R743" s="389"/>
      <c r="S743" s="389"/>
      <c r="T743" s="389"/>
      <c r="U743" s="389"/>
      <c r="V743" s="389"/>
      <c r="W743" s="389"/>
      <c r="X743" s="389"/>
      <c r="Y743" s="389"/>
      <c r="Z743" s="389"/>
      <c r="AA743" s="389"/>
      <c r="AB743" s="389"/>
      <c r="AC743" s="389"/>
      <c r="AD743" s="389"/>
      <c r="AE743" s="389"/>
      <c r="AF743" s="389"/>
      <c r="AG743" s="389"/>
    </row>
    <row r="744">
      <c r="A744" s="389"/>
      <c r="B744" s="389"/>
      <c r="C744" s="389"/>
      <c r="D744" s="390"/>
      <c r="E744" s="389"/>
      <c r="F744" s="392"/>
      <c r="G744" s="389"/>
      <c r="H744" s="389"/>
      <c r="I744" s="389"/>
      <c r="J744" s="389"/>
      <c r="K744" s="389"/>
      <c r="L744" s="389"/>
      <c r="M744" s="389"/>
      <c r="N744" s="389"/>
      <c r="O744" s="389"/>
      <c r="P744" s="389"/>
      <c r="Q744" s="389"/>
      <c r="R744" s="389"/>
      <c r="S744" s="389"/>
      <c r="T744" s="389"/>
      <c r="U744" s="389"/>
      <c r="V744" s="389"/>
      <c r="W744" s="389"/>
      <c r="X744" s="389"/>
      <c r="Y744" s="389"/>
      <c r="Z744" s="389"/>
      <c r="AA744" s="389"/>
      <c r="AB744" s="389"/>
      <c r="AC744" s="389"/>
      <c r="AD744" s="389"/>
      <c r="AE744" s="389"/>
      <c r="AF744" s="389"/>
      <c r="AG744" s="389"/>
    </row>
    <row r="745">
      <c r="A745" s="389"/>
      <c r="B745" s="389"/>
      <c r="C745" s="389"/>
      <c r="D745" s="390"/>
      <c r="E745" s="389"/>
      <c r="F745" s="392"/>
      <c r="G745" s="389"/>
      <c r="H745" s="389"/>
      <c r="I745" s="389"/>
      <c r="J745" s="389"/>
      <c r="K745" s="389"/>
      <c r="L745" s="389"/>
      <c r="M745" s="389"/>
      <c r="N745" s="389"/>
      <c r="O745" s="389"/>
      <c r="P745" s="389"/>
      <c r="Q745" s="389"/>
      <c r="R745" s="389"/>
      <c r="S745" s="389"/>
      <c r="T745" s="389"/>
      <c r="U745" s="389"/>
      <c r="V745" s="389"/>
      <c r="W745" s="389"/>
      <c r="X745" s="389"/>
      <c r="Y745" s="389"/>
      <c r="Z745" s="389"/>
      <c r="AA745" s="389"/>
      <c r="AB745" s="389"/>
      <c r="AC745" s="389"/>
      <c r="AD745" s="389"/>
      <c r="AE745" s="389"/>
      <c r="AF745" s="389"/>
      <c r="AG745" s="389"/>
    </row>
    <row r="746">
      <c r="A746" s="389"/>
      <c r="B746" s="389"/>
      <c r="C746" s="389"/>
      <c r="D746" s="390"/>
      <c r="E746" s="389"/>
      <c r="F746" s="392"/>
      <c r="G746" s="389"/>
      <c r="H746" s="389"/>
      <c r="I746" s="389"/>
      <c r="J746" s="389"/>
      <c r="K746" s="389"/>
      <c r="L746" s="389"/>
      <c r="M746" s="389"/>
      <c r="N746" s="389"/>
      <c r="O746" s="389"/>
      <c r="P746" s="389"/>
      <c r="Q746" s="389"/>
      <c r="R746" s="389"/>
      <c r="S746" s="389"/>
      <c r="T746" s="389"/>
      <c r="U746" s="389"/>
      <c r="V746" s="389"/>
      <c r="W746" s="389"/>
      <c r="X746" s="389"/>
      <c r="Y746" s="389"/>
      <c r="Z746" s="389"/>
      <c r="AA746" s="389"/>
      <c r="AB746" s="389"/>
      <c r="AC746" s="389"/>
      <c r="AD746" s="389"/>
      <c r="AE746" s="389"/>
      <c r="AF746" s="389"/>
      <c r="AG746" s="389"/>
    </row>
    <row r="747">
      <c r="A747" s="389"/>
      <c r="B747" s="389"/>
      <c r="C747" s="389"/>
      <c r="D747" s="390"/>
      <c r="E747" s="389"/>
      <c r="F747" s="392"/>
      <c r="G747" s="389"/>
      <c r="H747" s="389"/>
      <c r="I747" s="389"/>
      <c r="J747" s="389"/>
      <c r="K747" s="389"/>
      <c r="L747" s="389"/>
      <c r="M747" s="389"/>
      <c r="N747" s="389"/>
      <c r="O747" s="389"/>
      <c r="P747" s="389"/>
      <c r="Q747" s="389"/>
      <c r="R747" s="389"/>
      <c r="S747" s="389"/>
      <c r="T747" s="389"/>
      <c r="U747" s="389"/>
      <c r="V747" s="389"/>
      <c r="W747" s="389"/>
      <c r="X747" s="389"/>
      <c r="Y747" s="389"/>
      <c r="Z747" s="389"/>
      <c r="AA747" s="389"/>
      <c r="AB747" s="389"/>
      <c r="AC747" s="389"/>
      <c r="AD747" s="389"/>
      <c r="AE747" s="389"/>
      <c r="AF747" s="389"/>
      <c r="AG747" s="389"/>
    </row>
    <row r="748">
      <c r="A748" s="389"/>
      <c r="B748" s="389"/>
      <c r="C748" s="389"/>
      <c r="D748" s="390"/>
      <c r="E748" s="389"/>
      <c r="F748" s="392"/>
      <c r="G748" s="389"/>
      <c r="H748" s="389"/>
      <c r="I748" s="389"/>
      <c r="J748" s="389"/>
      <c r="K748" s="389"/>
      <c r="L748" s="389"/>
      <c r="M748" s="389"/>
      <c r="N748" s="389"/>
      <c r="O748" s="389"/>
      <c r="P748" s="389"/>
      <c r="Q748" s="389"/>
      <c r="R748" s="389"/>
      <c r="S748" s="389"/>
      <c r="T748" s="389"/>
      <c r="U748" s="389"/>
      <c r="V748" s="389"/>
      <c r="W748" s="389"/>
      <c r="X748" s="389"/>
      <c r="Y748" s="389"/>
      <c r="Z748" s="389"/>
      <c r="AA748" s="389"/>
      <c r="AB748" s="389"/>
      <c r="AC748" s="389"/>
      <c r="AD748" s="389"/>
      <c r="AE748" s="389"/>
      <c r="AF748" s="389"/>
      <c r="AG748" s="389"/>
    </row>
    <row r="749">
      <c r="A749" s="389"/>
      <c r="B749" s="389"/>
      <c r="C749" s="389"/>
      <c r="D749" s="390"/>
      <c r="E749" s="389"/>
      <c r="F749" s="392"/>
      <c r="G749" s="389"/>
      <c r="H749" s="389"/>
      <c r="I749" s="389"/>
      <c r="J749" s="389"/>
      <c r="K749" s="389"/>
      <c r="L749" s="389"/>
      <c r="M749" s="389"/>
      <c r="N749" s="389"/>
      <c r="O749" s="389"/>
      <c r="P749" s="389"/>
      <c r="Q749" s="389"/>
      <c r="R749" s="389"/>
      <c r="S749" s="389"/>
      <c r="T749" s="389"/>
      <c r="U749" s="389"/>
      <c r="V749" s="389"/>
      <c r="W749" s="389"/>
      <c r="X749" s="389"/>
      <c r="Y749" s="389"/>
      <c r="Z749" s="389"/>
      <c r="AA749" s="389"/>
      <c r="AB749" s="389"/>
      <c r="AC749" s="389"/>
      <c r="AD749" s="389"/>
      <c r="AE749" s="389"/>
      <c r="AF749" s="389"/>
      <c r="AG749" s="389"/>
    </row>
    <row r="750">
      <c r="A750" s="389"/>
      <c r="B750" s="389"/>
      <c r="C750" s="389"/>
      <c r="D750" s="390"/>
      <c r="E750" s="389"/>
      <c r="F750" s="392"/>
      <c r="G750" s="389"/>
      <c r="H750" s="389"/>
      <c r="I750" s="389"/>
      <c r="J750" s="389"/>
      <c r="K750" s="389"/>
      <c r="L750" s="389"/>
      <c r="M750" s="389"/>
      <c r="N750" s="389"/>
      <c r="O750" s="389"/>
      <c r="P750" s="389"/>
      <c r="Q750" s="389"/>
      <c r="R750" s="389"/>
      <c r="S750" s="389"/>
      <c r="T750" s="389"/>
      <c r="U750" s="389"/>
      <c r="V750" s="389"/>
      <c r="W750" s="389"/>
      <c r="X750" s="389"/>
      <c r="Y750" s="389"/>
      <c r="Z750" s="389"/>
      <c r="AA750" s="389"/>
      <c r="AB750" s="389"/>
      <c r="AC750" s="389"/>
      <c r="AD750" s="389"/>
      <c r="AE750" s="389"/>
      <c r="AF750" s="389"/>
      <c r="AG750" s="389"/>
    </row>
    <row r="751">
      <c r="A751" s="389"/>
      <c r="B751" s="389"/>
      <c r="C751" s="389"/>
      <c r="D751" s="390"/>
      <c r="E751" s="389"/>
      <c r="F751" s="392"/>
      <c r="G751" s="389"/>
      <c r="H751" s="389"/>
      <c r="I751" s="389"/>
      <c r="J751" s="389"/>
      <c r="K751" s="389"/>
      <c r="L751" s="389"/>
      <c r="M751" s="389"/>
      <c r="N751" s="389"/>
      <c r="O751" s="389"/>
      <c r="P751" s="389"/>
      <c r="Q751" s="389"/>
      <c r="R751" s="389"/>
      <c r="S751" s="389"/>
      <c r="T751" s="389"/>
      <c r="U751" s="389"/>
      <c r="V751" s="389"/>
      <c r="W751" s="389"/>
      <c r="X751" s="389"/>
      <c r="Y751" s="389"/>
      <c r="Z751" s="389"/>
      <c r="AA751" s="389"/>
      <c r="AB751" s="389"/>
      <c r="AC751" s="389"/>
      <c r="AD751" s="389"/>
      <c r="AE751" s="389"/>
      <c r="AF751" s="389"/>
      <c r="AG751" s="389"/>
    </row>
    <row r="752">
      <c r="A752" s="389"/>
      <c r="B752" s="389"/>
      <c r="C752" s="389"/>
      <c r="D752" s="390"/>
      <c r="E752" s="389"/>
      <c r="F752" s="392"/>
      <c r="G752" s="389"/>
      <c r="H752" s="389"/>
      <c r="I752" s="389"/>
      <c r="J752" s="389"/>
      <c r="K752" s="389"/>
      <c r="L752" s="389"/>
      <c r="M752" s="389"/>
      <c r="N752" s="389"/>
      <c r="O752" s="389"/>
      <c r="P752" s="389"/>
      <c r="Q752" s="389"/>
      <c r="R752" s="389"/>
      <c r="S752" s="389"/>
      <c r="T752" s="389"/>
      <c r="U752" s="389"/>
      <c r="V752" s="389"/>
      <c r="W752" s="389"/>
      <c r="X752" s="389"/>
      <c r="Y752" s="389"/>
      <c r="Z752" s="389"/>
      <c r="AA752" s="389"/>
      <c r="AB752" s="389"/>
      <c r="AC752" s="389"/>
      <c r="AD752" s="389"/>
      <c r="AE752" s="389"/>
      <c r="AF752" s="389"/>
      <c r="AG752" s="389"/>
    </row>
    <row r="753">
      <c r="A753" s="389"/>
      <c r="B753" s="389"/>
      <c r="C753" s="389"/>
      <c r="D753" s="390"/>
      <c r="E753" s="389"/>
      <c r="F753" s="392"/>
      <c r="G753" s="389"/>
      <c r="H753" s="389"/>
      <c r="I753" s="389"/>
      <c r="J753" s="389"/>
      <c r="K753" s="389"/>
      <c r="L753" s="389"/>
      <c r="M753" s="389"/>
      <c r="N753" s="389"/>
      <c r="O753" s="389"/>
      <c r="P753" s="389"/>
      <c r="Q753" s="389"/>
      <c r="R753" s="389"/>
      <c r="S753" s="389"/>
      <c r="T753" s="389"/>
      <c r="U753" s="389"/>
      <c r="V753" s="389"/>
      <c r="W753" s="389"/>
      <c r="X753" s="389"/>
      <c r="Y753" s="389"/>
      <c r="Z753" s="389"/>
      <c r="AA753" s="389"/>
      <c r="AB753" s="389"/>
      <c r="AC753" s="389"/>
      <c r="AD753" s="389"/>
      <c r="AE753" s="389"/>
      <c r="AF753" s="389"/>
      <c r="AG753" s="389"/>
    </row>
    <row r="754">
      <c r="A754" s="389"/>
      <c r="B754" s="389"/>
      <c r="C754" s="389"/>
      <c r="D754" s="390"/>
      <c r="E754" s="389"/>
      <c r="F754" s="392"/>
      <c r="G754" s="389"/>
      <c r="H754" s="389"/>
      <c r="I754" s="389"/>
      <c r="J754" s="389"/>
      <c r="K754" s="389"/>
      <c r="L754" s="389"/>
      <c r="M754" s="389"/>
      <c r="N754" s="389"/>
      <c r="O754" s="389"/>
      <c r="P754" s="389"/>
      <c r="Q754" s="389"/>
      <c r="R754" s="389"/>
      <c r="S754" s="389"/>
      <c r="T754" s="389"/>
      <c r="U754" s="389"/>
      <c r="V754" s="389"/>
      <c r="W754" s="389"/>
      <c r="X754" s="389"/>
      <c r="Y754" s="389"/>
      <c r="Z754" s="389"/>
      <c r="AA754" s="389"/>
      <c r="AB754" s="389"/>
      <c r="AC754" s="389"/>
      <c r="AD754" s="389"/>
      <c r="AE754" s="389"/>
      <c r="AF754" s="389"/>
      <c r="AG754" s="389"/>
    </row>
    <row r="755">
      <c r="A755" s="389"/>
      <c r="B755" s="389"/>
      <c r="C755" s="389"/>
      <c r="D755" s="390"/>
      <c r="E755" s="389"/>
      <c r="F755" s="392"/>
      <c r="G755" s="389"/>
      <c r="H755" s="389"/>
      <c r="I755" s="389"/>
      <c r="J755" s="389"/>
      <c r="K755" s="389"/>
      <c r="L755" s="389"/>
      <c r="M755" s="389"/>
      <c r="N755" s="389"/>
      <c r="O755" s="389"/>
      <c r="P755" s="389"/>
      <c r="Q755" s="389"/>
      <c r="R755" s="389"/>
      <c r="S755" s="389"/>
      <c r="T755" s="389"/>
      <c r="U755" s="389"/>
      <c r="V755" s="389"/>
      <c r="W755" s="389"/>
      <c r="X755" s="389"/>
      <c r="Y755" s="389"/>
      <c r="Z755" s="389"/>
      <c r="AA755" s="389"/>
      <c r="AB755" s="389"/>
      <c r="AC755" s="389"/>
      <c r="AD755" s="389"/>
      <c r="AE755" s="389"/>
      <c r="AF755" s="389"/>
      <c r="AG755" s="389"/>
    </row>
    <row r="756">
      <c r="A756" s="389"/>
      <c r="B756" s="389"/>
      <c r="C756" s="389"/>
      <c r="D756" s="390"/>
      <c r="E756" s="389"/>
      <c r="F756" s="392"/>
      <c r="G756" s="389"/>
      <c r="H756" s="389"/>
      <c r="I756" s="389"/>
      <c r="J756" s="389"/>
      <c r="K756" s="389"/>
      <c r="L756" s="389"/>
      <c r="M756" s="389"/>
      <c r="N756" s="389"/>
      <c r="O756" s="389"/>
      <c r="P756" s="389"/>
      <c r="Q756" s="389"/>
      <c r="R756" s="389"/>
      <c r="S756" s="389"/>
      <c r="T756" s="389"/>
      <c r="U756" s="389"/>
      <c r="V756" s="389"/>
      <c r="W756" s="389"/>
      <c r="X756" s="389"/>
      <c r="Y756" s="389"/>
      <c r="Z756" s="389"/>
      <c r="AA756" s="389"/>
      <c r="AB756" s="389"/>
      <c r="AC756" s="389"/>
      <c r="AD756" s="389"/>
      <c r="AE756" s="389"/>
      <c r="AF756" s="389"/>
      <c r="AG756" s="389"/>
    </row>
    <row r="757">
      <c r="A757" s="389"/>
      <c r="B757" s="389"/>
      <c r="C757" s="389"/>
      <c r="D757" s="390"/>
      <c r="E757" s="389"/>
      <c r="F757" s="392"/>
      <c r="G757" s="389"/>
      <c r="H757" s="389"/>
      <c r="I757" s="389"/>
      <c r="J757" s="389"/>
      <c r="K757" s="389"/>
      <c r="L757" s="389"/>
      <c r="M757" s="389"/>
      <c r="N757" s="389"/>
      <c r="O757" s="389"/>
      <c r="P757" s="389"/>
      <c r="Q757" s="389"/>
      <c r="R757" s="389"/>
      <c r="S757" s="389"/>
      <c r="T757" s="389"/>
      <c r="U757" s="389"/>
      <c r="V757" s="389"/>
      <c r="W757" s="389"/>
      <c r="X757" s="389"/>
      <c r="Y757" s="389"/>
      <c r="Z757" s="389"/>
      <c r="AA757" s="389"/>
      <c r="AB757" s="389"/>
      <c r="AC757" s="389"/>
      <c r="AD757" s="389"/>
      <c r="AE757" s="389"/>
      <c r="AF757" s="389"/>
      <c r="AG757" s="389"/>
    </row>
    <row r="758">
      <c r="A758" s="389"/>
      <c r="B758" s="389"/>
      <c r="C758" s="389"/>
      <c r="D758" s="390"/>
      <c r="E758" s="389"/>
      <c r="F758" s="392"/>
      <c r="G758" s="389"/>
      <c r="H758" s="389"/>
      <c r="I758" s="389"/>
      <c r="J758" s="389"/>
      <c r="K758" s="389"/>
      <c r="L758" s="389"/>
      <c r="M758" s="389"/>
      <c r="N758" s="389"/>
      <c r="O758" s="389"/>
      <c r="P758" s="389"/>
      <c r="Q758" s="389"/>
      <c r="R758" s="389"/>
      <c r="S758" s="389"/>
      <c r="T758" s="389"/>
      <c r="U758" s="389"/>
      <c r="V758" s="389"/>
      <c r="W758" s="389"/>
      <c r="X758" s="389"/>
      <c r="Y758" s="389"/>
      <c r="Z758" s="389"/>
      <c r="AA758" s="389"/>
      <c r="AB758" s="389"/>
      <c r="AC758" s="389"/>
      <c r="AD758" s="389"/>
      <c r="AE758" s="389"/>
      <c r="AF758" s="389"/>
      <c r="AG758" s="389"/>
    </row>
    <row r="759">
      <c r="A759" s="389"/>
      <c r="B759" s="389"/>
      <c r="C759" s="389"/>
      <c r="D759" s="390"/>
      <c r="E759" s="389"/>
      <c r="F759" s="392"/>
      <c r="G759" s="389"/>
      <c r="H759" s="389"/>
      <c r="I759" s="389"/>
      <c r="J759" s="389"/>
      <c r="K759" s="389"/>
      <c r="L759" s="389"/>
      <c r="M759" s="389"/>
      <c r="N759" s="389"/>
      <c r="O759" s="389"/>
      <c r="P759" s="389"/>
      <c r="Q759" s="389"/>
      <c r="R759" s="389"/>
      <c r="S759" s="389"/>
      <c r="T759" s="389"/>
      <c r="U759" s="389"/>
      <c r="V759" s="389"/>
      <c r="W759" s="389"/>
      <c r="X759" s="389"/>
      <c r="Y759" s="389"/>
      <c r="Z759" s="389"/>
      <c r="AA759" s="389"/>
      <c r="AB759" s="389"/>
      <c r="AC759" s="389"/>
      <c r="AD759" s="389"/>
      <c r="AE759" s="389"/>
      <c r="AF759" s="389"/>
      <c r="AG759" s="389"/>
    </row>
    <row r="760">
      <c r="A760" s="389"/>
      <c r="B760" s="389"/>
      <c r="C760" s="389"/>
      <c r="D760" s="390"/>
      <c r="E760" s="389"/>
      <c r="F760" s="392"/>
      <c r="G760" s="389"/>
      <c r="H760" s="389"/>
      <c r="I760" s="389"/>
      <c r="J760" s="389"/>
      <c r="K760" s="389"/>
      <c r="L760" s="389"/>
      <c r="M760" s="389"/>
      <c r="N760" s="389"/>
      <c r="O760" s="389"/>
      <c r="P760" s="389"/>
      <c r="Q760" s="389"/>
      <c r="R760" s="389"/>
      <c r="S760" s="389"/>
      <c r="T760" s="389"/>
      <c r="U760" s="389"/>
      <c r="V760" s="389"/>
      <c r="W760" s="389"/>
      <c r="X760" s="389"/>
      <c r="Y760" s="389"/>
      <c r="Z760" s="389"/>
      <c r="AA760" s="389"/>
      <c r="AB760" s="389"/>
      <c r="AC760" s="389"/>
      <c r="AD760" s="389"/>
      <c r="AE760" s="389"/>
      <c r="AF760" s="389"/>
      <c r="AG760" s="389"/>
    </row>
    <row r="761">
      <c r="A761" s="389"/>
      <c r="B761" s="389"/>
      <c r="C761" s="389"/>
      <c r="D761" s="390"/>
      <c r="E761" s="389"/>
      <c r="F761" s="392"/>
      <c r="G761" s="389"/>
      <c r="H761" s="389"/>
      <c r="I761" s="389"/>
      <c r="J761" s="389"/>
      <c r="K761" s="389"/>
      <c r="L761" s="389"/>
      <c r="M761" s="389"/>
      <c r="N761" s="389"/>
      <c r="O761" s="389"/>
      <c r="P761" s="389"/>
      <c r="Q761" s="389"/>
      <c r="R761" s="389"/>
      <c r="S761" s="389"/>
      <c r="T761" s="389"/>
      <c r="U761" s="389"/>
      <c r="V761" s="389"/>
      <c r="W761" s="389"/>
      <c r="X761" s="389"/>
      <c r="Y761" s="389"/>
      <c r="Z761" s="389"/>
      <c r="AA761" s="389"/>
      <c r="AB761" s="389"/>
      <c r="AC761" s="389"/>
      <c r="AD761" s="389"/>
      <c r="AE761" s="389"/>
      <c r="AF761" s="389"/>
      <c r="AG761" s="389"/>
    </row>
    <row r="762">
      <c r="A762" s="389"/>
      <c r="B762" s="389"/>
      <c r="C762" s="389"/>
      <c r="D762" s="390"/>
      <c r="E762" s="389"/>
      <c r="F762" s="392"/>
      <c r="G762" s="389"/>
      <c r="H762" s="389"/>
      <c r="I762" s="389"/>
      <c r="J762" s="389"/>
      <c r="K762" s="389"/>
      <c r="L762" s="389"/>
      <c r="M762" s="389"/>
      <c r="N762" s="389"/>
      <c r="O762" s="389"/>
      <c r="P762" s="389"/>
      <c r="Q762" s="389"/>
      <c r="R762" s="389"/>
      <c r="S762" s="389"/>
      <c r="T762" s="389"/>
      <c r="U762" s="389"/>
      <c r="V762" s="389"/>
      <c r="W762" s="389"/>
      <c r="X762" s="389"/>
      <c r="Y762" s="389"/>
      <c r="Z762" s="389"/>
      <c r="AA762" s="389"/>
      <c r="AB762" s="389"/>
      <c r="AC762" s="389"/>
      <c r="AD762" s="389"/>
      <c r="AE762" s="389"/>
      <c r="AF762" s="389"/>
      <c r="AG762" s="389"/>
    </row>
    <row r="763">
      <c r="A763" s="389"/>
      <c r="B763" s="389"/>
      <c r="C763" s="389"/>
      <c r="D763" s="390"/>
      <c r="E763" s="389"/>
      <c r="F763" s="392"/>
      <c r="G763" s="389"/>
      <c r="H763" s="389"/>
      <c r="I763" s="389"/>
      <c r="J763" s="389"/>
      <c r="K763" s="389"/>
      <c r="L763" s="389"/>
      <c r="M763" s="389"/>
      <c r="N763" s="389"/>
      <c r="O763" s="389"/>
      <c r="P763" s="389"/>
      <c r="Q763" s="389"/>
      <c r="R763" s="389"/>
      <c r="S763" s="389"/>
      <c r="T763" s="389"/>
      <c r="U763" s="389"/>
      <c r="V763" s="389"/>
      <c r="W763" s="389"/>
      <c r="X763" s="389"/>
      <c r="Y763" s="389"/>
      <c r="Z763" s="389"/>
      <c r="AA763" s="389"/>
      <c r="AB763" s="389"/>
      <c r="AC763" s="389"/>
      <c r="AD763" s="389"/>
      <c r="AE763" s="389"/>
      <c r="AF763" s="389"/>
      <c r="AG763" s="389"/>
    </row>
    <row r="764">
      <c r="A764" s="389"/>
      <c r="B764" s="389"/>
      <c r="C764" s="389"/>
      <c r="D764" s="390"/>
      <c r="E764" s="389"/>
      <c r="F764" s="392"/>
      <c r="G764" s="389"/>
      <c r="H764" s="389"/>
      <c r="I764" s="389"/>
      <c r="J764" s="389"/>
      <c r="K764" s="389"/>
      <c r="L764" s="389"/>
      <c r="M764" s="389"/>
      <c r="N764" s="389"/>
      <c r="O764" s="389"/>
      <c r="P764" s="389"/>
      <c r="Q764" s="389"/>
      <c r="R764" s="389"/>
      <c r="S764" s="389"/>
      <c r="T764" s="389"/>
      <c r="U764" s="389"/>
      <c r="V764" s="389"/>
      <c r="W764" s="389"/>
      <c r="X764" s="389"/>
      <c r="Y764" s="389"/>
      <c r="Z764" s="389"/>
      <c r="AA764" s="389"/>
      <c r="AB764" s="389"/>
      <c r="AC764" s="389"/>
      <c r="AD764" s="389"/>
      <c r="AE764" s="389"/>
      <c r="AF764" s="389"/>
      <c r="AG764" s="389"/>
    </row>
    <row r="765">
      <c r="A765" s="389"/>
      <c r="B765" s="389"/>
      <c r="C765" s="389"/>
      <c r="D765" s="390"/>
      <c r="E765" s="389"/>
      <c r="F765" s="392"/>
      <c r="G765" s="389"/>
      <c r="H765" s="389"/>
      <c r="I765" s="389"/>
      <c r="J765" s="389"/>
      <c r="K765" s="389"/>
      <c r="L765" s="389"/>
      <c r="M765" s="389"/>
      <c r="N765" s="389"/>
      <c r="O765" s="389"/>
      <c r="P765" s="389"/>
      <c r="Q765" s="389"/>
      <c r="R765" s="389"/>
      <c r="S765" s="389"/>
      <c r="T765" s="389"/>
      <c r="U765" s="389"/>
      <c r="V765" s="389"/>
      <c r="W765" s="389"/>
      <c r="X765" s="389"/>
      <c r="Y765" s="389"/>
      <c r="Z765" s="389"/>
      <c r="AA765" s="389"/>
      <c r="AB765" s="389"/>
      <c r="AC765" s="389"/>
      <c r="AD765" s="389"/>
      <c r="AE765" s="389"/>
      <c r="AF765" s="389"/>
      <c r="AG765" s="389"/>
    </row>
    <row r="766">
      <c r="A766" s="389"/>
      <c r="B766" s="389"/>
      <c r="C766" s="389"/>
      <c r="D766" s="390"/>
      <c r="E766" s="389"/>
      <c r="F766" s="392"/>
      <c r="G766" s="389"/>
      <c r="H766" s="389"/>
      <c r="I766" s="389"/>
      <c r="J766" s="389"/>
      <c r="K766" s="389"/>
      <c r="L766" s="389"/>
      <c r="M766" s="389"/>
      <c r="N766" s="389"/>
      <c r="O766" s="389"/>
      <c r="P766" s="389"/>
      <c r="Q766" s="389"/>
      <c r="R766" s="389"/>
      <c r="S766" s="389"/>
      <c r="T766" s="389"/>
      <c r="U766" s="389"/>
      <c r="V766" s="389"/>
      <c r="W766" s="389"/>
      <c r="X766" s="389"/>
      <c r="Y766" s="389"/>
      <c r="Z766" s="389"/>
      <c r="AA766" s="389"/>
      <c r="AB766" s="389"/>
      <c r="AC766" s="389"/>
      <c r="AD766" s="389"/>
      <c r="AE766" s="389"/>
      <c r="AF766" s="389"/>
      <c r="AG766" s="389"/>
    </row>
    <row r="767">
      <c r="A767" s="389"/>
      <c r="B767" s="389"/>
      <c r="C767" s="389"/>
      <c r="D767" s="390"/>
      <c r="E767" s="389"/>
      <c r="F767" s="392"/>
      <c r="G767" s="389"/>
      <c r="H767" s="389"/>
      <c r="I767" s="389"/>
      <c r="J767" s="389"/>
      <c r="K767" s="389"/>
      <c r="L767" s="389"/>
      <c r="M767" s="389"/>
      <c r="N767" s="389"/>
      <c r="O767" s="389"/>
      <c r="P767" s="389"/>
      <c r="Q767" s="389"/>
      <c r="R767" s="389"/>
      <c r="S767" s="389"/>
      <c r="T767" s="389"/>
      <c r="U767" s="389"/>
      <c r="V767" s="389"/>
      <c r="W767" s="389"/>
      <c r="X767" s="389"/>
      <c r="Y767" s="389"/>
      <c r="Z767" s="389"/>
      <c r="AA767" s="389"/>
      <c r="AB767" s="389"/>
      <c r="AC767" s="389"/>
      <c r="AD767" s="389"/>
      <c r="AE767" s="389"/>
      <c r="AF767" s="389"/>
      <c r="AG767" s="389"/>
    </row>
    <row r="768">
      <c r="A768" s="389"/>
      <c r="B768" s="389"/>
      <c r="C768" s="389"/>
      <c r="D768" s="390"/>
      <c r="E768" s="389"/>
      <c r="F768" s="392"/>
      <c r="G768" s="389"/>
      <c r="H768" s="389"/>
      <c r="I768" s="389"/>
      <c r="J768" s="389"/>
      <c r="K768" s="389"/>
      <c r="L768" s="389"/>
      <c r="M768" s="389"/>
      <c r="N768" s="389"/>
      <c r="O768" s="389"/>
      <c r="P768" s="389"/>
      <c r="Q768" s="389"/>
      <c r="R768" s="389"/>
      <c r="S768" s="389"/>
      <c r="T768" s="389"/>
      <c r="U768" s="389"/>
      <c r="V768" s="389"/>
      <c r="W768" s="389"/>
      <c r="X768" s="389"/>
      <c r="Y768" s="389"/>
      <c r="Z768" s="389"/>
      <c r="AA768" s="389"/>
      <c r="AB768" s="389"/>
      <c r="AC768" s="389"/>
      <c r="AD768" s="389"/>
      <c r="AE768" s="389"/>
      <c r="AF768" s="389"/>
      <c r="AG768" s="389"/>
    </row>
    <row r="769">
      <c r="A769" s="389"/>
      <c r="B769" s="389"/>
      <c r="C769" s="389"/>
      <c r="D769" s="390"/>
      <c r="E769" s="389"/>
      <c r="F769" s="392"/>
      <c r="G769" s="389"/>
      <c r="H769" s="389"/>
      <c r="I769" s="389"/>
      <c r="J769" s="389"/>
      <c r="K769" s="389"/>
      <c r="L769" s="389"/>
      <c r="M769" s="389"/>
      <c r="N769" s="389"/>
      <c r="O769" s="389"/>
      <c r="P769" s="389"/>
      <c r="Q769" s="389"/>
      <c r="R769" s="389"/>
      <c r="S769" s="389"/>
      <c r="T769" s="389"/>
      <c r="U769" s="389"/>
      <c r="V769" s="389"/>
      <c r="W769" s="389"/>
      <c r="X769" s="389"/>
      <c r="Y769" s="389"/>
      <c r="Z769" s="389"/>
      <c r="AA769" s="389"/>
      <c r="AB769" s="389"/>
      <c r="AC769" s="389"/>
      <c r="AD769" s="389"/>
      <c r="AE769" s="389"/>
      <c r="AF769" s="389"/>
      <c r="AG769" s="389"/>
    </row>
    <row r="770">
      <c r="A770" s="389"/>
      <c r="B770" s="389"/>
      <c r="C770" s="389"/>
      <c r="D770" s="390"/>
      <c r="E770" s="389"/>
      <c r="F770" s="392"/>
      <c r="G770" s="389"/>
      <c r="H770" s="389"/>
      <c r="I770" s="389"/>
      <c r="J770" s="389"/>
      <c r="K770" s="389"/>
      <c r="L770" s="389"/>
      <c r="M770" s="389"/>
      <c r="N770" s="389"/>
      <c r="O770" s="389"/>
      <c r="P770" s="389"/>
      <c r="Q770" s="389"/>
      <c r="R770" s="389"/>
      <c r="S770" s="389"/>
      <c r="T770" s="389"/>
      <c r="U770" s="389"/>
      <c r="V770" s="389"/>
      <c r="W770" s="389"/>
      <c r="X770" s="389"/>
      <c r="Y770" s="389"/>
      <c r="Z770" s="389"/>
      <c r="AA770" s="389"/>
      <c r="AB770" s="389"/>
      <c r="AC770" s="389"/>
      <c r="AD770" s="389"/>
      <c r="AE770" s="389"/>
      <c r="AF770" s="389"/>
      <c r="AG770" s="389"/>
    </row>
    <row r="771">
      <c r="A771" s="389"/>
      <c r="B771" s="389"/>
      <c r="C771" s="389"/>
      <c r="D771" s="390"/>
      <c r="E771" s="389"/>
      <c r="F771" s="392"/>
      <c r="G771" s="389"/>
      <c r="H771" s="389"/>
      <c r="I771" s="389"/>
      <c r="J771" s="389"/>
      <c r="K771" s="389"/>
      <c r="L771" s="389"/>
      <c r="M771" s="389"/>
      <c r="N771" s="389"/>
      <c r="O771" s="389"/>
      <c r="P771" s="389"/>
      <c r="Q771" s="389"/>
      <c r="R771" s="389"/>
      <c r="S771" s="389"/>
      <c r="T771" s="389"/>
      <c r="U771" s="389"/>
      <c r="V771" s="389"/>
      <c r="W771" s="389"/>
      <c r="X771" s="389"/>
      <c r="Y771" s="389"/>
      <c r="Z771" s="389"/>
      <c r="AA771" s="389"/>
      <c r="AB771" s="389"/>
      <c r="AC771" s="389"/>
      <c r="AD771" s="389"/>
      <c r="AE771" s="389"/>
      <c r="AF771" s="389"/>
      <c r="AG771" s="389"/>
    </row>
    <row r="772">
      <c r="A772" s="389"/>
      <c r="B772" s="389"/>
      <c r="C772" s="389"/>
      <c r="D772" s="390"/>
      <c r="E772" s="389"/>
      <c r="F772" s="392"/>
      <c r="G772" s="389"/>
      <c r="H772" s="389"/>
      <c r="I772" s="389"/>
      <c r="J772" s="389"/>
      <c r="K772" s="389"/>
      <c r="L772" s="389"/>
      <c r="M772" s="389"/>
      <c r="N772" s="389"/>
      <c r="O772" s="389"/>
      <c r="P772" s="389"/>
      <c r="Q772" s="389"/>
      <c r="R772" s="389"/>
      <c r="S772" s="389"/>
      <c r="T772" s="389"/>
      <c r="U772" s="389"/>
      <c r="V772" s="389"/>
      <c r="W772" s="389"/>
      <c r="X772" s="389"/>
      <c r="Y772" s="389"/>
      <c r="Z772" s="389"/>
      <c r="AA772" s="389"/>
      <c r="AB772" s="389"/>
      <c r="AC772" s="389"/>
      <c r="AD772" s="389"/>
      <c r="AE772" s="389"/>
      <c r="AF772" s="389"/>
      <c r="AG772" s="389"/>
    </row>
    <row r="773">
      <c r="A773" s="389"/>
      <c r="B773" s="389"/>
      <c r="C773" s="389"/>
      <c r="D773" s="390"/>
      <c r="E773" s="389"/>
      <c r="F773" s="392"/>
      <c r="G773" s="389"/>
      <c r="H773" s="389"/>
      <c r="I773" s="389"/>
      <c r="J773" s="389"/>
      <c r="K773" s="389"/>
      <c r="L773" s="389"/>
      <c r="M773" s="389"/>
      <c r="N773" s="389"/>
      <c r="O773" s="389"/>
      <c r="P773" s="389"/>
      <c r="Q773" s="389"/>
      <c r="R773" s="389"/>
      <c r="S773" s="389"/>
      <c r="T773" s="389"/>
      <c r="U773" s="389"/>
      <c r="V773" s="389"/>
      <c r="W773" s="389"/>
      <c r="X773" s="389"/>
      <c r="Y773" s="389"/>
      <c r="Z773" s="389"/>
      <c r="AA773" s="389"/>
      <c r="AB773" s="389"/>
      <c r="AC773" s="389"/>
      <c r="AD773" s="389"/>
      <c r="AE773" s="389"/>
      <c r="AF773" s="389"/>
      <c r="AG773" s="389"/>
    </row>
    <row r="774">
      <c r="A774" s="389"/>
      <c r="B774" s="389"/>
      <c r="C774" s="389"/>
      <c r="D774" s="390"/>
      <c r="E774" s="389"/>
      <c r="F774" s="392"/>
      <c r="G774" s="389"/>
      <c r="H774" s="389"/>
      <c r="I774" s="389"/>
      <c r="J774" s="389"/>
      <c r="K774" s="389"/>
      <c r="L774" s="389"/>
      <c r="M774" s="389"/>
      <c r="N774" s="389"/>
      <c r="O774" s="389"/>
      <c r="P774" s="389"/>
      <c r="Q774" s="389"/>
      <c r="R774" s="389"/>
      <c r="S774" s="389"/>
      <c r="T774" s="389"/>
      <c r="U774" s="389"/>
      <c r="V774" s="389"/>
      <c r="W774" s="389"/>
      <c r="X774" s="389"/>
      <c r="Y774" s="389"/>
      <c r="Z774" s="389"/>
      <c r="AA774" s="389"/>
      <c r="AB774" s="389"/>
      <c r="AC774" s="389"/>
      <c r="AD774" s="389"/>
      <c r="AE774" s="389"/>
      <c r="AF774" s="389"/>
      <c r="AG774" s="389"/>
    </row>
    <row r="775">
      <c r="A775" s="389"/>
      <c r="B775" s="389"/>
      <c r="C775" s="389"/>
      <c r="D775" s="390"/>
      <c r="E775" s="389"/>
      <c r="F775" s="392"/>
      <c r="G775" s="389"/>
      <c r="H775" s="389"/>
      <c r="I775" s="389"/>
      <c r="J775" s="389"/>
      <c r="K775" s="389"/>
      <c r="L775" s="389"/>
      <c r="M775" s="389"/>
      <c r="N775" s="389"/>
      <c r="O775" s="389"/>
      <c r="P775" s="389"/>
      <c r="Q775" s="389"/>
      <c r="R775" s="389"/>
      <c r="S775" s="389"/>
      <c r="T775" s="389"/>
      <c r="U775" s="389"/>
      <c r="V775" s="389"/>
      <c r="W775" s="389"/>
      <c r="X775" s="389"/>
      <c r="Y775" s="389"/>
      <c r="Z775" s="389"/>
      <c r="AA775" s="389"/>
      <c r="AB775" s="389"/>
      <c r="AC775" s="389"/>
      <c r="AD775" s="389"/>
      <c r="AE775" s="389"/>
      <c r="AF775" s="389"/>
      <c r="AG775" s="389"/>
    </row>
    <row r="776">
      <c r="A776" s="389"/>
      <c r="B776" s="389"/>
      <c r="C776" s="389"/>
      <c r="D776" s="390"/>
      <c r="E776" s="389"/>
      <c r="F776" s="392"/>
      <c r="G776" s="389"/>
      <c r="H776" s="389"/>
      <c r="I776" s="389"/>
      <c r="J776" s="389"/>
      <c r="K776" s="389"/>
      <c r="L776" s="389"/>
      <c r="M776" s="389"/>
      <c r="N776" s="389"/>
      <c r="O776" s="389"/>
      <c r="P776" s="389"/>
      <c r="Q776" s="389"/>
      <c r="R776" s="389"/>
      <c r="S776" s="389"/>
      <c r="T776" s="389"/>
      <c r="U776" s="389"/>
      <c r="V776" s="389"/>
      <c r="W776" s="389"/>
      <c r="X776" s="389"/>
      <c r="Y776" s="389"/>
      <c r="Z776" s="389"/>
      <c r="AA776" s="389"/>
      <c r="AB776" s="389"/>
      <c r="AC776" s="389"/>
      <c r="AD776" s="389"/>
      <c r="AE776" s="389"/>
      <c r="AF776" s="389"/>
      <c r="AG776" s="389"/>
    </row>
    <row r="777">
      <c r="A777" s="389"/>
      <c r="B777" s="389"/>
      <c r="C777" s="389"/>
      <c r="D777" s="390"/>
      <c r="E777" s="389"/>
      <c r="F777" s="392"/>
      <c r="G777" s="389"/>
      <c r="H777" s="389"/>
      <c r="I777" s="389"/>
      <c r="J777" s="389"/>
      <c r="K777" s="389"/>
      <c r="L777" s="389"/>
      <c r="M777" s="389"/>
      <c r="N777" s="389"/>
      <c r="O777" s="389"/>
      <c r="P777" s="389"/>
      <c r="Q777" s="389"/>
      <c r="R777" s="389"/>
      <c r="S777" s="389"/>
      <c r="T777" s="389"/>
      <c r="U777" s="389"/>
      <c r="V777" s="389"/>
      <c r="W777" s="389"/>
      <c r="X777" s="389"/>
      <c r="Y777" s="389"/>
      <c r="Z777" s="389"/>
      <c r="AA777" s="389"/>
      <c r="AB777" s="389"/>
      <c r="AC777" s="389"/>
      <c r="AD777" s="389"/>
      <c r="AE777" s="389"/>
      <c r="AF777" s="389"/>
      <c r="AG777" s="389"/>
    </row>
    <row r="778">
      <c r="A778" s="389"/>
      <c r="B778" s="389"/>
      <c r="C778" s="389"/>
      <c r="D778" s="390"/>
      <c r="E778" s="389"/>
      <c r="F778" s="392"/>
      <c r="G778" s="389"/>
      <c r="H778" s="389"/>
      <c r="I778" s="389"/>
      <c r="J778" s="389"/>
      <c r="K778" s="389"/>
      <c r="L778" s="389"/>
      <c r="M778" s="389"/>
      <c r="N778" s="389"/>
      <c r="O778" s="389"/>
      <c r="P778" s="389"/>
      <c r="Q778" s="389"/>
      <c r="R778" s="389"/>
      <c r="S778" s="389"/>
      <c r="T778" s="389"/>
      <c r="U778" s="389"/>
      <c r="V778" s="389"/>
      <c r="W778" s="389"/>
      <c r="X778" s="389"/>
      <c r="Y778" s="389"/>
      <c r="Z778" s="389"/>
      <c r="AA778" s="389"/>
      <c r="AB778" s="389"/>
      <c r="AC778" s="389"/>
      <c r="AD778" s="389"/>
      <c r="AE778" s="389"/>
      <c r="AF778" s="389"/>
      <c r="AG778" s="389"/>
    </row>
    <row r="779">
      <c r="A779" s="389"/>
      <c r="B779" s="389"/>
      <c r="C779" s="389"/>
      <c r="D779" s="390"/>
      <c r="E779" s="389"/>
      <c r="F779" s="392"/>
      <c r="G779" s="389"/>
      <c r="H779" s="389"/>
      <c r="I779" s="389"/>
      <c r="J779" s="389"/>
      <c r="K779" s="389"/>
      <c r="L779" s="389"/>
      <c r="M779" s="389"/>
      <c r="N779" s="389"/>
      <c r="O779" s="389"/>
      <c r="P779" s="389"/>
      <c r="Q779" s="389"/>
      <c r="R779" s="389"/>
      <c r="S779" s="389"/>
      <c r="T779" s="389"/>
      <c r="U779" s="389"/>
      <c r="V779" s="389"/>
      <c r="W779" s="389"/>
      <c r="X779" s="389"/>
      <c r="Y779" s="389"/>
      <c r="Z779" s="389"/>
      <c r="AA779" s="389"/>
      <c r="AB779" s="389"/>
      <c r="AC779" s="389"/>
      <c r="AD779" s="389"/>
      <c r="AE779" s="389"/>
      <c r="AF779" s="389"/>
      <c r="AG779" s="389"/>
    </row>
    <row r="780">
      <c r="A780" s="389"/>
      <c r="B780" s="389"/>
      <c r="C780" s="389"/>
      <c r="D780" s="390"/>
      <c r="E780" s="389"/>
      <c r="F780" s="392"/>
      <c r="G780" s="389"/>
      <c r="H780" s="389"/>
      <c r="I780" s="389"/>
      <c r="J780" s="389"/>
      <c r="K780" s="389"/>
      <c r="L780" s="389"/>
      <c r="M780" s="389"/>
      <c r="N780" s="389"/>
      <c r="O780" s="389"/>
      <c r="P780" s="389"/>
      <c r="Q780" s="389"/>
      <c r="R780" s="389"/>
      <c r="S780" s="389"/>
      <c r="T780" s="389"/>
      <c r="U780" s="389"/>
      <c r="V780" s="389"/>
      <c r="W780" s="389"/>
      <c r="X780" s="389"/>
      <c r="Y780" s="389"/>
      <c r="Z780" s="389"/>
      <c r="AA780" s="389"/>
      <c r="AB780" s="389"/>
      <c r="AC780" s="389"/>
      <c r="AD780" s="389"/>
      <c r="AE780" s="389"/>
      <c r="AF780" s="389"/>
      <c r="AG780" s="389"/>
    </row>
    <row r="781">
      <c r="A781" s="389"/>
      <c r="B781" s="389"/>
      <c r="C781" s="389"/>
      <c r="D781" s="390"/>
      <c r="E781" s="389"/>
      <c r="F781" s="392"/>
      <c r="G781" s="389"/>
      <c r="H781" s="389"/>
      <c r="I781" s="389"/>
      <c r="J781" s="389"/>
      <c r="K781" s="389"/>
      <c r="L781" s="389"/>
      <c r="M781" s="389"/>
      <c r="N781" s="389"/>
      <c r="O781" s="389"/>
      <c r="P781" s="389"/>
      <c r="Q781" s="389"/>
      <c r="R781" s="389"/>
      <c r="S781" s="389"/>
      <c r="T781" s="389"/>
      <c r="U781" s="389"/>
      <c r="V781" s="389"/>
      <c r="W781" s="389"/>
      <c r="X781" s="389"/>
      <c r="Y781" s="389"/>
      <c r="Z781" s="389"/>
      <c r="AA781" s="389"/>
      <c r="AB781" s="389"/>
      <c r="AC781" s="389"/>
      <c r="AD781" s="389"/>
      <c r="AE781" s="389"/>
      <c r="AF781" s="389"/>
      <c r="AG781" s="389"/>
    </row>
    <row r="782">
      <c r="A782" s="389"/>
      <c r="B782" s="389"/>
      <c r="C782" s="389"/>
      <c r="D782" s="390"/>
      <c r="E782" s="389"/>
      <c r="F782" s="392"/>
      <c r="G782" s="389"/>
      <c r="H782" s="389"/>
      <c r="I782" s="389"/>
      <c r="J782" s="389"/>
      <c r="K782" s="389"/>
      <c r="L782" s="389"/>
      <c r="M782" s="389"/>
      <c r="N782" s="389"/>
      <c r="O782" s="389"/>
      <c r="P782" s="389"/>
      <c r="Q782" s="389"/>
      <c r="R782" s="389"/>
      <c r="S782" s="389"/>
      <c r="T782" s="389"/>
      <c r="U782" s="389"/>
      <c r="V782" s="389"/>
      <c r="W782" s="389"/>
      <c r="X782" s="389"/>
      <c r="Y782" s="389"/>
      <c r="Z782" s="389"/>
      <c r="AA782" s="389"/>
      <c r="AB782" s="389"/>
      <c r="AC782" s="389"/>
      <c r="AD782" s="389"/>
      <c r="AE782" s="389"/>
      <c r="AF782" s="389"/>
      <c r="AG782" s="389"/>
    </row>
    <row r="783">
      <c r="A783" s="389"/>
      <c r="B783" s="389"/>
      <c r="C783" s="389"/>
      <c r="D783" s="390"/>
      <c r="E783" s="389"/>
      <c r="F783" s="392"/>
      <c r="G783" s="389"/>
      <c r="H783" s="389"/>
      <c r="I783" s="389"/>
      <c r="J783" s="389"/>
      <c r="K783" s="389"/>
      <c r="L783" s="389"/>
      <c r="M783" s="389"/>
      <c r="N783" s="389"/>
      <c r="O783" s="389"/>
      <c r="P783" s="389"/>
      <c r="Q783" s="389"/>
      <c r="R783" s="389"/>
      <c r="S783" s="389"/>
      <c r="T783" s="389"/>
      <c r="U783" s="389"/>
      <c r="V783" s="389"/>
      <c r="W783" s="389"/>
      <c r="X783" s="389"/>
      <c r="Y783" s="389"/>
      <c r="Z783" s="389"/>
      <c r="AA783" s="389"/>
      <c r="AB783" s="389"/>
      <c r="AC783" s="389"/>
      <c r="AD783" s="389"/>
      <c r="AE783" s="389"/>
      <c r="AF783" s="389"/>
      <c r="AG783" s="389"/>
    </row>
    <row r="784">
      <c r="A784" s="389"/>
      <c r="B784" s="389"/>
      <c r="C784" s="389"/>
      <c r="D784" s="390"/>
      <c r="E784" s="389"/>
      <c r="F784" s="392"/>
      <c r="G784" s="389"/>
      <c r="H784" s="389"/>
      <c r="I784" s="389"/>
      <c r="J784" s="389"/>
      <c r="K784" s="389"/>
      <c r="L784" s="389"/>
      <c r="M784" s="389"/>
      <c r="N784" s="389"/>
      <c r="O784" s="389"/>
      <c r="P784" s="389"/>
      <c r="Q784" s="389"/>
      <c r="R784" s="389"/>
      <c r="S784" s="389"/>
      <c r="T784" s="389"/>
      <c r="U784" s="389"/>
      <c r="V784" s="389"/>
      <c r="W784" s="389"/>
      <c r="X784" s="389"/>
      <c r="Y784" s="389"/>
      <c r="Z784" s="389"/>
      <c r="AA784" s="389"/>
      <c r="AB784" s="389"/>
      <c r="AC784" s="389"/>
      <c r="AD784" s="389"/>
      <c r="AE784" s="389"/>
      <c r="AF784" s="389"/>
      <c r="AG784" s="389"/>
    </row>
    <row r="785">
      <c r="A785" s="389"/>
      <c r="B785" s="389"/>
      <c r="C785" s="389"/>
      <c r="D785" s="390"/>
      <c r="E785" s="389"/>
      <c r="F785" s="392"/>
      <c r="G785" s="389"/>
      <c r="H785" s="389"/>
      <c r="I785" s="389"/>
      <c r="J785" s="389"/>
      <c r="K785" s="389"/>
      <c r="L785" s="389"/>
      <c r="M785" s="389"/>
      <c r="N785" s="389"/>
      <c r="O785" s="389"/>
      <c r="P785" s="389"/>
      <c r="Q785" s="389"/>
      <c r="R785" s="389"/>
      <c r="S785" s="389"/>
      <c r="T785" s="389"/>
      <c r="U785" s="389"/>
      <c r="V785" s="389"/>
      <c r="W785" s="389"/>
      <c r="X785" s="389"/>
      <c r="Y785" s="389"/>
      <c r="Z785" s="389"/>
      <c r="AA785" s="389"/>
      <c r="AB785" s="389"/>
      <c r="AC785" s="389"/>
      <c r="AD785" s="389"/>
      <c r="AE785" s="389"/>
      <c r="AF785" s="389"/>
      <c r="AG785" s="389"/>
    </row>
    <row r="786">
      <c r="A786" s="389"/>
      <c r="B786" s="389"/>
      <c r="C786" s="389"/>
      <c r="D786" s="390"/>
      <c r="E786" s="389"/>
      <c r="F786" s="392"/>
      <c r="G786" s="389"/>
      <c r="H786" s="389"/>
      <c r="I786" s="389"/>
      <c r="J786" s="389"/>
      <c r="K786" s="389"/>
      <c r="L786" s="389"/>
      <c r="M786" s="389"/>
      <c r="N786" s="389"/>
      <c r="O786" s="389"/>
      <c r="P786" s="389"/>
      <c r="Q786" s="389"/>
      <c r="R786" s="389"/>
      <c r="S786" s="389"/>
      <c r="T786" s="389"/>
      <c r="U786" s="389"/>
      <c r="V786" s="389"/>
      <c r="W786" s="389"/>
      <c r="X786" s="389"/>
      <c r="Y786" s="389"/>
      <c r="Z786" s="389"/>
      <c r="AA786" s="389"/>
      <c r="AB786" s="389"/>
      <c r="AC786" s="389"/>
      <c r="AD786" s="389"/>
      <c r="AE786" s="389"/>
      <c r="AF786" s="389"/>
      <c r="AG786" s="389"/>
    </row>
    <row r="787">
      <c r="A787" s="389"/>
      <c r="B787" s="389"/>
      <c r="C787" s="389"/>
      <c r="D787" s="390"/>
      <c r="E787" s="389"/>
      <c r="F787" s="392"/>
      <c r="G787" s="389"/>
      <c r="H787" s="389"/>
      <c r="I787" s="389"/>
      <c r="J787" s="389"/>
      <c r="K787" s="389"/>
      <c r="L787" s="389"/>
      <c r="M787" s="389"/>
      <c r="N787" s="389"/>
      <c r="O787" s="389"/>
      <c r="P787" s="389"/>
      <c r="Q787" s="389"/>
      <c r="R787" s="389"/>
      <c r="S787" s="389"/>
      <c r="T787" s="389"/>
      <c r="U787" s="389"/>
      <c r="V787" s="389"/>
      <c r="W787" s="389"/>
      <c r="X787" s="389"/>
      <c r="Y787" s="389"/>
      <c r="Z787" s="389"/>
      <c r="AA787" s="389"/>
      <c r="AB787" s="389"/>
      <c r="AC787" s="389"/>
      <c r="AD787" s="389"/>
      <c r="AE787" s="389"/>
      <c r="AF787" s="389"/>
      <c r="AG787" s="389"/>
    </row>
    <row r="788">
      <c r="A788" s="389"/>
      <c r="B788" s="389"/>
      <c r="C788" s="389"/>
      <c r="D788" s="390"/>
      <c r="E788" s="389"/>
      <c r="F788" s="392"/>
      <c r="G788" s="389"/>
      <c r="H788" s="389"/>
      <c r="I788" s="389"/>
      <c r="J788" s="389"/>
      <c r="K788" s="389"/>
      <c r="L788" s="389"/>
      <c r="M788" s="389"/>
      <c r="N788" s="389"/>
      <c r="O788" s="389"/>
      <c r="P788" s="389"/>
      <c r="Q788" s="389"/>
      <c r="R788" s="389"/>
      <c r="S788" s="389"/>
      <c r="T788" s="389"/>
      <c r="U788" s="389"/>
      <c r="V788" s="389"/>
      <c r="W788" s="389"/>
      <c r="X788" s="389"/>
      <c r="Y788" s="389"/>
      <c r="Z788" s="389"/>
      <c r="AA788" s="389"/>
      <c r="AB788" s="389"/>
      <c r="AC788" s="389"/>
      <c r="AD788" s="389"/>
      <c r="AE788" s="389"/>
      <c r="AF788" s="389"/>
      <c r="AG788" s="389"/>
    </row>
    <row r="789">
      <c r="A789" s="389"/>
      <c r="B789" s="389"/>
      <c r="C789" s="389"/>
      <c r="D789" s="390"/>
      <c r="E789" s="389"/>
      <c r="F789" s="392"/>
      <c r="G789" s="389"/>
      <c r="H789" s="389"/>
      <c r="I789" s="389"/>
      <c r="J789" s="389"/>
      <c r="K789" s="389"/>
      <c r="L789" s="389"/>
      <c r="M789" s="389"/>
      <c r="N789" s="389"/>
      <c r="O789" s="389"/>
      <c r="P789" s="389"/>
      <c r="Q789" s="389"/>
      <c r="R789" s="389"/>
      <c r="S789" s="389"/>
      <c r="T789" s="389"/>
      <c r="U789" s="389"/>
      <c r="V789" s="389"/>
      <c r="W789" s="389"/>
      <c r="X789" s="389"/>
      <c r="Y789" s="389"/>
      <c r="Z789" s="389"/>
      <c r="AA789" s="389"/>
      <c r="AB789" s="389"/>
      <c r="AC789" s="389"/>
      <c r="AD789" s="389"/>
      <c r="AE789" s="389"/>
      <c r="AF789" s="389"/>
      <c r="AG789" s="389"/>
    </row>
    <row r="790">
      <c r="A790" s="389"/>
      <c r="B790" s="389"/>
      <c r="C790" s="389"/>
      <c r="D790" s="390"/>
      <c r="E790" s="389"/>
      <c r="F790" s="392"/>
      <c r="G790" s="389"/>
      <c r="H790" s="389"/>
      <c r="I790" s="389"/>
      <c r="J790" s="389"/>
      <c r="K790" s="389"/>
      <c r="L790" s="389"/>
      <c r="M790" s="389"/>
      <c r="N790" s="389"/>
      <c r="O790" s="389"/>
      <c r="P790" s="389"/>
      <c r="Q790" s="389"/>
      <c r="R790" s="389"/>
      <c r="S790" s="389"/>
      <c r="T790" s="389"/>
      <c r="U790" s="389"/>
      <c r="V790" s="389"/>
      <c r="W790" s="389"/>
      <c r="X790" s="389"/>
      <c r="Y790" s="389"/>
      <c r="Z790" s="389"/>
      <c r="AA790" s="389"/>
      <c r="AB790" s="389"/>
      <c r="AC790" s="389"/>
      <c r="AD790" s="389"/>
      <c r="AE790" s="389"/>
      <c r="AF790" s="389"/>
      <c r="AG790" s="389"/>
    </row>
    <row r="791">
      <c r="A791" s="389"/>
      <c r="B791" s="389"/>
      <c r="C791" s="389"/>
      <c r="D791" s="390"/>
      <c r="E791" s="389"/>
      <c r="F791" s="392"/>
      <c r="G791" s="389"/>
      <c r="H791" s="389"/>
      <c r="I791" s="389"/>
      <c r="J791" s="389"/>
      <c r="K791" s="389"/>
      <c r="L791" s="389"/>
      <c r="M791" s="389"/>
      <c r="N791" s="389"/>
      <c r="O791" s="389"/>
      <c r="P791" s="389"/>
      <c r="Q791" s="389"/>
      <c r="R791" s="389"/>
      <c r="S791" s="389"/>
      <c r="T791" s="389"/>
      <c r="U791" s="389"/>
      <c r="V791" s="389"/>
      <c r="W791" s="389"/>
      <c r="X791" s="389"/>
      <c r="Y791" s="389"/>
      <c r="Z791" s="389"/>
      <c r="AA791" s="389"/>
      <c r="AB791" s="389"/>
      <c r="AC791" s="389"/>
      <c r="AD791" s="389"/>
      <c r="AE791" s="389"/>
      <c r="AF791" s="389"/>
      <c r="AG791" s="389"/>
    </row>
    <row r="792">
      <c r="A792" s="389"/>
      <c r="B792" s="389"/>
      <c r="C792" s="389"/>
      <c r="D792" s="390"/>
      <c r="E792" s="389"/>
      <c r="F792" s="392"/>
      <c r="G792" s="389"/>
      <c r="H792" s="389"/>
      <c r="I792" s="389"/>
      <c r="J792" s="389"/>
      <c r="K792" s="389"/>
      <c r="L792" s="389"/>
      <c r="M792" s="389"/>
      <c r="N792" s="389"/>
      <c r="O792" s="389"/>
      <c r="P792" s="389"/>
      <c r="Q792" s="389"/>
      <c r="R792" s="389"/>
      <c r="S792" s="389"/>
      <c r="T792" s="389"/>
      <c r="U792" s="389"/>
      <c r="V792" s="389"/>
      <c r="W792" s="389"/>
      <c r="X792" s="389"/>
      <c r="Y792" s="389"/>
      <c r="Z792" s="389"/>
      <c r="AA792" s="389"/>
      <c r="AB792" s="389"/>
      <c r="AC792" s="389"/>
      <c r="AD792" s="389"/>
      <c r="AE792" s="389"/>
      <c r="AF792" s="389"/>
      <c r="AG792" s="389"/>
    </row>
    <row r="793">
      <c r="A793" s="389"/>
      <c r="B793" s="389"/>
      <c r="C793" s="389"/>
      <c r="D793" s="390"/>
      <c r="E793" s="389"/>
      <c r="F793" s="392"/>
      <c r="G793" s="389"/>
      <c r="H793" s="389"/>
      <c r="I793" s="389"/>
      <c r="J793" s="389"/>
      <c r="K793" s="389"/>
      <c r="L793" s="389"/>
      <c r="M793" s="389"/>
      <c r="N793" s="389"/>
      <c r="O793" s="389"/>
      <c r="P793" s="389"/>
      <c r="Q793" s="389"/>
      <c r="R793" s="389"/>
      <c r="S793" s="389"/>
      <c r="T793" s="389"/>
      <c r="U793" s="389"/>
      <c r="V793" s="389"/>
      <c r="W793" s="389"/>
      <c r="X793" s="389"/>
      <c r="Y793" s="389"/>
      <c r="Z793" s="389"/>
      <c r="AA793" s="389"/>
      <c r="AB793" s="389"/>
      <c r="AC793" s="389"/>
      <c r="AD793" s="389"/>
      <c r="AE793" s="389"/>
      <c r="AF793" s="389"/>
      <c r="AG793" s="389"/>
    </row>
    <row r="794">
      <c r="A794" s="389"/>
      <c r="B794" s="389"/>
      <c r="C794" s="389"/>
      <c r="D794" s="390"/>
      <c r="E794" s="389"/>
      <c r="F794" s="392"/>
      <c r="G794" s="389"/>
      <c r="H794" s="389"/>
      <c r="I794" s="389"/>
      <c r="J794" s="389"/>
      <c r="K794" s="389"/>
      <c r="L794" s="389"/>
      <c r="M794" s="389"/>
      <c r="N794" s="389"/>
      <c r="O794" s="389"/>
      <c r="P794" s="389"/>
      <c r="Q794" s="389"/>
      <c r="R794" s="389"/>
      <c r="S794" s="389"/>
      <c r="T794" s="389"/>
      <c r="U794" s="389"/>
      <c r="V794" s="389"/>
      <c r="W794" s="389"/>
      <c r="X794" s="389"/>
      <c r="Y794" s="389"/>
      <c r="Z794" s="389"/>
      <c r="AA794" s="389"/>
      <c r="AB794" s="389"/>
      <c r="AC794" s="389"/>
      <c r="AD794" s="389"/>
      <c r="AE794" s="389"/>
      <c r="AF794" s="389"/>
      <c r="AG794" s="389"/>
    </row>
    <row r="795">
      <c r="A795" s="389"/>
      <c r="B795" s="389"/>
      <c r="C795" s="389"/>
      <c r="D795" s="390"/>
      <c r="E795" s="389"/>
      <c r="F795" s="392"/>
      <c r="G795" s="389"/>
      <c r="H795" s="389"/>
      <c r="I795" s="389"/>
      <c r="J795" s="389"/>
      <c r="K795" s="389"/>
      <c r="L795" s="389"/>
      <c r="M795" s="389"/>
      <c r="N795" s="389"/>
      <c r="O795" s="389"/>
      <c r="P795" s="389"/>
      <c r="Q795" s="389"/>
      <c r="R795" s="389"/>
      <c r="S795" s="389"/>
      <c r="T795" s="389"/>
      <c r="U795" s="389"/>
      <c r="V795" s="389"/>
      <c r="W795" s="389"/>
      <c r="X795" s="389"/>
      <c r="Y795" s="389"/>
      <c r="Z795" s="389"/>
      <c r="AA795" s="389"/>
      <c r="AB795" s="389"/>
      <c r="AC795" s="389"/>
      <c r="AD795" s="389"/>
      <c r="AE795" s="389"/>
      <c r="AF795" s="389"/>
      <c r="AG795" s="389"/>
    </row>
    <row r="796">
      <c r="A796" s="389"/>
      <c r="B796" s="389"/>
      <c r="C796" s="389"/>
      <c r="D796" s="390"/>
      <c r="E796" s="389"/>
      <c r="F796" s="392"/>
      <c r="G796" s="389"/>
      <c r="H796" s="389"/>
      <c r="I796" s="389"/>
      <c r="J796" s="389"/>
      <c r="K796" s="389"/>
      <c r="L796" s="389"/>
      <c r="M796" s="389"/>
      <c r="N796" s="389"/>
      <c r="O796" s="389"/>
      <c r="P796" s="389"/>
      <c r="Q796" s="389"/>
      <c r="R796" s="389"/>
      <c r="S796" s="389"/>
      <c r="T796" s="389"/>
      <c r="U796" s="389"/>
      <c r="V796" s="389"/>
      <c r="W796" s="389"/>
      <c r="X796" s="389"/>
      <c r="Y796" s="389"/>
      <c r="Z796" s="389"/>
      <c r="AA796" s="389"/>
      <c r="AB796" s="389"/>
      <c r="AC796" s="389"/>
      <c r="AD796" s="389"/>
      <c r="AE796" s="389"/>
      <c r="AF796" s="389"/>
      <c r="AG796" s="389"/>
    </row>
    <row r="797">
      <c r="A797" s="389"/>
      <c r="B797" s="389"/>
      <c r="C797" s="389"/>
      <c r="D797" s="390"/>
      <c r="E797" s="389"/>
      <c r="F797" s="392"/>
      <c r="G797" s="389"/>
      <c r="H797" s="389"/>
      <c r="I797" s="389"/>
      <c r="J797" s="389"/>
      <c r="K797" s="389"/>
      <c r="L797" s="389"/>
      <c r="M797" s="389"/>
      <c r="N797" s="389"/>
      <c r="O797" s="389"/>
      <c r="P797" s="389"/>
      <c r="Q797" s="389"/>
      <c r="R797" s="389"/>
      <c r="S797" s="389"/>
      <c r="T797" s="389"/>
      <c r="U797" s="389"/>
      <c r="V797" s="389"/>
      <c r="W797" s="389"/>
      <c r="X797" s="389"/>
      <c r="Y797" s="389"/>
      <c r="Z797" s="389"/>
      <c r="AA797" s="389"/>
      <c r="AB797" s="389"/>
      <c r="AC797" s="389"/>
      <c r="AD797" s="389"/>
      <c r="AE797" s="389"/>
      <c r="AF797" s="389"/>
      <c r="AG797" s="389"/>
    </row>
    <row r="798">
      <c r="A798" s="389"/>
      <c r="B798" s="389"/>
      <c r="C798" s="389"/>
      <c r="D798" s="390"/>
      <c r="E798" s="389"/>
      <c r="F798" s="392"/>
      <c r="G798" s="389"/>
      <c r="H798" s="389"/>
      <c r="I798" s="389"/>
      <c r="J798" s="389"/>
      <c r="K798" s="389"/>
      <c r="L798" s="389"/>
      <c r="M798" s="389"/>
      <c r="N798" s="389"/>
      <c r="O798" s="389"/>
      <c r="P798" s="389"/>
      <c r="Q798" s="389"/>
      <c r="R798" s="389"/>
      <c r="S798" s="389"/>
      <c r="T798" s="389"/>
      <c r="U798" s="389"/>
      <c r="V798" s="389"/>
      <c r="W798" s="389"/>
      <c r="X798" s="389"/>
      <c r="Y798" s="389"/>
      <c r="Z798" s="389"/>
      <c r="AA798" s="389"/>
      <c r="AB798" s="389"/>
      <c r="AC798" s="389"/>
      <c r="AD798" s="389"/>
      <c r="AE798" s="389"/>
      <c r="AF798" s="389"/>
      <c r="AG798" s="389"/>
    </row>
    <row r="799">
      <c r="A799" s="389"/>
      <c r="B799" s="389"/>
      <c r="C799" s="389"/>
      <c r="D799" s="390"/>
      <c r="E799" s="389"/>
      <c r="F799" s="392"/>
      <c r="G799" s="389"/>
      <c r="H799" s="389"/>
      <c r="I799" s="389"/>
      <c r="J799" s="389"/>
      <c r="K799" s="389"/>
      <c r="L799" s="389"/>
      <c r="M799" s="389"/>
      <c r="N799" s="389"/>
      <c r="O799" s="389"/>
      <c r="P799" s="389"/>
      <c r="Q799" s="389"/>
      <c r="R799" s="389"/>
      <c r="S799" s="389"/>
      <c r="T799" s="389"/>
      <c r="U799" s="389"/>
      <c r="V799" s="389"/>
      <c r="W799" s="389"/>
      <c r="X799" s="389"/>
      <c r="Y799" s="389"/>
      <c r="Z799" s="389"/>
      <c r="AA799" s="389"/>
      <c r="AB799" s="389"/>
      <c r="AC799" s="389"/>
      <c r="AD799" s="389"/>
      <c r="AE799" s="389"/>
      <c r="AF799" s="389"/>
      <c r="AG799" s="389"/>
    </row>
    <row r="800">
      <c r="A800" s="389"/>
      <c r="B800" s="389"/>
      <c r="C800" s="389"/>
      <c r="D800" s="390"/>
      <c r="E800" s="389"/>
      <c r="F800" s="392"/>
      <c r="G800" s="389"/>
      <c r="H800" s="389"/>
      <c r="I800" s="389"/>
      <c r="J800" s="389"/>
      <c r="K800" s="389"/>
      <c r="L800" s="389"/>
      <c r="M800" s="389"/>
      <c r="N800" s="389"/>
      <c r="O800" s="389"/>
      <c r="P800" s="389"/>
      <c r="Q800" s="389"/>
      <c r="R800" s="389"/>
      <c r="S800" s="389"/>
      <c r="T800" s="389"/>
      <c r="U800" s="389"/>
      <c r="V800" s="389"/>
      <c r="W800" s="389"/>
      <c r="X800" s="389"/>
      <c r="Y800" s="389"/>
      <c r="Z800" s="389"/>
      <c r="AA800" s="389"/>
      <c r="AB800" s="389"/>
      <c r="AC800" s="389"/>
      <c r="AD800" s="389"/>
      <c r="AE800" s="389"/>
      <c r="AF800" s="389"/>
      <c r="AG800" s="389"/>
    </row>
    <row r="801">
      <c r="A801" s="389"/>
      <c r="B801" s="389"/>
      <c r="C801" s="389"/>
      <c r="D801" s="390"/>
      <c r="E801" s="389"/>
      <c r="F801" s="392"/>
      <c r="G801" s="389"/>
      <c r="H801" s="389"/>
      <c r="I801" s="389"/>
      <c r="J801" s="389"/>
      <c r="K801" s="389"/>
      <c r="L801" s="389"/>
      <c r="M801" s="389"/>
      <c r="N801" s="389"/>
      <c r="O801" s="389"/>
      <c r="P801" s="389"/>
      <c r="Q801" s="389"/>
      <c r="R801" s="389"/>
      <c r="S801" s="389"/>
      <c r="T801" s="389"/>
      <c r="U801" s="389"/>
      <c r="V801" s="389"/>
      <c r="W801" s="389"/>
      <c r="X801" s="389"/>
      <c r="Y801" s="389"/>
      <c r="Z801" s="389"/>
      <c r="AA801" s="389"/>
      <c r="AB801" s="389"/>
      <c r="AC801" s="389"/>
      <c r="AD801" s="389"/>
      <c r="AE801" s="389"/>
      <c r="AF801" s="389"/>
      <c r="AG801" s="389"/>
    </row>
    <row r="802">
      <c r="A802" s="389"/>
      <c r="B802" s="389"/>
      <c r="C802" s="389"/>
      <c r="D802" s="390"/>
      <c r="E802" s="389"/>
      <c r="F802" s="392"/>
      <c r="G802" s="389"/>
      <c r="H802" s="389"/>
      <c r="I802" s="389"/>
      <c r="J802" s="389"/>
      <c r="K802" s="389"/>
      <c r="L802" s="389"/>
      <c r="M802" s="389"/>
      <c r="N802" s="389"/>
      <c r="O802" s="389"/>
      <c r="P802" s="389"/>
      <c r="Q802" s="389"/>
      <c r="R802" s="389"/>
      <c r="S802" s="389"/>
      <c r="T802" s="389"/>
      <c r="U802" s="389"/>
      <c r="V802" s="389"/>
      <c r="W802" s="389"/>
      <c r="X802" s="389"/>
      <c r="Y802" s="389"/>
      <c r="Z802" s="389"/>
      <c r="AA802" s="389"/>
      <c r="AB802" s="389"/>
      <c r="AC802" s="389"/>
      <c r="AD802" s="389"/>
      <c r="AE802" s="389"/>
      <c r="AF802" s="389"/>
      <c r="AG802" s="389"/>
    </row>
    <row r="803">
      <c r="A803" s="389"/>
      <c r="B803" s="389"/>
      <c r="C803" s="389"/>
      <c r="D803" s="390"/>
      <c r="E803" s="389"/>
      <c r="F803" s="392"/>
      <c r="G803" s="389"/>
      <c r="H803" s="389"/>
      <c r="I803" s="389"/>
      <c r="J803" s="389"/>
      <c r="K803" s="389"/>
      <c r="L803" s="389"/>
      <c r="M803" s="389"/>
      <c r="N803" s="389"/>
      <c r="O803" s="389"/>
      <c r="P803" s="389"/>
      <c r="Q803" s="389"/>
      <c r="R803" s="389"/>
      <c r="S803" s="389"/>
      <c r="T803" s="389"/>
      <c r="U803" s="389"/>
      <c r="V803" s="389"/>
      <c r="W803" s="389"/>
      <c r="X803" s="389"/>
      <c r="Y803" s="389"/>
      <c r="Z803" s="389"/>
      <c r="AA803" s="389"/>
      <c r="AB803" s="389"/>
      <c r="AC803" s="389"/>
      <c r="AD803" s="389"/>
      <c r="AE803" s="389"/>
      <c r="AF803" s="389"/>
      <c r="AG803" s="389"/>
    </row>
    <row r="804">
      <c r="A804" s="389"/>
      <c r="B804" s="389"/>
      <c r="C804" s="389"/>
      <c r="D804" s="390"/>
      <c r="E804" s="389"/>
      <c r="F804" s="392"/>
      <c r="G804" s="389"/>
      <c r="H804" s="389"/>
      <c r="I804" s="389"/>
      <c r="J804" s="389"/>
      <c r="K804" s="389"/>
      <c r="L804" s="389"/>
      <c r="M804" s="389"/>
      <c r="N804" s="389"/>
      <c r="O804" s="389"/>
      <c r="P804" s="389"/>
      <c r="Q804" s="389"/>
      <c r="R804" s="389"/>
      <c r="S804" s="389"/>
      <c r="T804" s="389"/>
      <c r="U804" s="389"/>
      <c r="V804" s="389"/>
      <c r="W804" s="389"/>
      <c r="X804" s="389"/>
      <c r="Y804" s="389"/>
      <c r="Z804" s="389"/>
      <c r="AA804" s="389"/>
      <c r="AB804" s="389"/>
      <c r="AC804" s="389"/>
      <c r="AD804" s="389"/>
      <c r="AE804" s="389"/>
      <c r="AF804" s="389"/>
      <c r="AG804" s="389"/>
    </row>
    <row r="805">
      <c r="A805" s="389"/>
      <c r="B805" s="389"/>
      <c r="C805" s="389"/>
      <c r="D805" s="390"/>
      <c r="E805" s="389"/>
      <c r="F805" s="392"/>
      <c r="G805" s="389"/>
      <c r="H805" s="389"/>
      <c r="I805" s="389"/>
      <c r="J805" s="389"/>
      <c r="K805" s="389"/>
      <c r="L805" s="389"/>
      <c r="M805" s="389"/>
      <c r="N805" s="389"/>
      <c r="O805" s="389"/>
      <c r="P805" s="389"/>
      <c r="Q805" s="389"/>
      <c r="R805" s="389"/>
      <c r="S805" s="389"/>
      <c r="T805" s="389"/>
      <c r="U805" s="389"/>
      <c r="V805" s="389"/>
      <c r="W805" s="389"/>
      <c r="X805" s="389"/>
      <c r="Y805" s="389"/>
      <c r="Z805" s="389"/>
      <c r="AA805" s="389"/>
      <c r="AB805" s="389"/>
      <c r="AC805" s="389"/>
      <c r="AD805" s="389"/>
      <c r="AE805" s="389"/>
      <c r="AF805" s="389"/>
      <c r="AG805" s="389"/>
    </row>
    <row r="806">
      <c r="A806" s="389"/>
      <c r="B806" s="389"/>
      <c r="C806" s="389"/>
      <c r="D806" s="390"/>
      <c r="E806" s="389"/>
      <c r="F806" s="392"/>
      <c r="G806" s="389"/>
      <c r="H806" s="389"/>
      <c r="I806" s="389"/>
      <c r="J806" s="389"/>
      <c r="K806" s="389"/>
      <c r="L806" s="389"/>
      <c r="M806" s="389"/>
      <c r="N806" s="389"/>
      <c r="O806" s="389"/>
      <c r="P806" s="389"/>
      <c r="Q806" s="389"/>
      <c r="R806" s="389"/>
      <c r="S806" s="389"/>
      <c r="T806" s="389"/>
      <c r="U806" s="389"/>
      <c r="V806" s="389"/>
      <c r="W806" s="389"/>
      <c r="X806" s="389"/>
      <c r="Y806" s="389"/>
      <c r="Z806" s="389"/>
      <c r="AA806" s="389"/>
      <c r="AB806" s="389"/>
      <c r="AC806" s="389"/>
      <c r="AD806" s="389"/>
      <c r="AE806" s="389"/>
      <c r="AF806" s="389"/>
      <c r="AG806" s="389"/>
    </row>
    <row r="807">
      <c r="A807" s="389"/>
      <c r="B807" s="389"/>
      <c r="C807" s="389"/>
      <c r="D807" s="390"/>
      <c r="E807" s="389"/>
      <c r="F807" s="392"/>
      <c r="G807" s="389"/>
      <c r="H807" s="389"/>
      <c r="I807" s="389"/>
      <c r="J807" s="389"/>
      <c r="K807" s="389"/>
      <c r="L807" s="389"/>
      <c r="M807" s="389"/>
      <c r="N807" s="389"/>
      <c r="O807" s="389"/>
      <c r="P807" s="389"/>
      <c r="Q807" s="389"/>
      <c r="R807" s="389"/>
      <c r="S807" s="389"/>
      <c r="T807" s="389"/>
      <c r="U807" s="389"/>
      <c r="V807" s="389"/>
      <c r="W807" s="389"/>
      <c r="X807" s="389"/>
      <c r="Y807" s="389"/>
      <c r="Z807" s="389"/>
      <c r="AA807" s="389"/>
      <c r="AB807" s="389"/>
      <c r="AC807" s="389"/>
      <c r="AD807" s="389"/>
      <c r="AE807" s="389"/>
      <c r="AF807" s="389"/>
      <c r="AG807" s="389"/>
    </row>
    <row r="808">
      <c r="A808" s="389"/>
      <c r="B808" s="389"/>
      <c r="C808" s="389"/>
      <c r="D808" s="390"/>
      <c r="E808" s="389"/>
      <c r="F808" s="392"/>
      <c r="G808" s="389"/>
      <c r="H808" s="389"/>
      <c r="I808" s="389"/>
      <c r="J808" s="389"/>
      <c r="K808" s="389"/>
      <c r="L808" s="389"/>
      <c r="M808" s="389"/>
      <c r="N808" s="389"/>
      <c r="O808" s="389"/>
      <c r="P808" s="389"/>
      <c r="Q808" s="389"/>
      <c r="R808" s="389"/>
      <c r="S808" s="389"/>
      <c r="T808" s="389"/>
      <c r="U808" s="389"/>
      <c r="V808" s="389"/>
      <c r="W808" s="389"/>
      <c r="X808" s="389"/>
      <c r="Y808" s="389"/>
      <c r="Z808" s="389"/>
      <c r="AA808" s="389"/>
      <c r="AB808" s="389"/>
      <c r="AC808" s="389"/>
      <c r="AD808" s="389"/>
      <c r="AE808" s="389"/>
      <c r="AF808" s="389"/>
      <c r="AG808" s="389"/>
    </row>
    <row r="809">
      <c r="A809" s="389"/>
      <c r="B809" s="389"/>
      <c r="C809" s="389"/>
      <c r="D809" s="390"/>
      <c r="E809" s="389"/>
      <c r="F809" s="392"/>
      <c r="G809" s="389"/>
      <c r="H809" s="389"/>
      <c r="I809" s="389"/>
      <c r="J809" s="389"/>
      <c r="K809" s="389"/>
      <c r="L809" s="389"/>
      <c r="M809" s="389"/>
      <c r="N809" s="389"/>
      <c r="O809" s="389"/>
      <c r="P809" s="389"/>
      <c r="Q809" s="389"/>
      <c r="R809" s="389"/>
      <c r="S809" s="389"/>
      <c r="T809" s="389"/>
      <c r="U809" s="389"/>
      <c r="V809" s="389"/>
      <c r="W809" s="389"/>
      <c r="X809" s="389"/>
      <c r="Y809" s="389"/>
      <c r="Z809" s="389"/>
      <c r="AA809" s="389"/>
      <c r="AB809" s="389"/>
      <c r="AC809" s="389"/>
      <c r="AD809" s="389"/>
      <c r="AE809" s="389"/>
      <c r="AF809" s="389"/>
      <c r="AG809" s="389"/>
    </row>
    <row r="810">
      <c r="A810" s="389"/>
      <c r="B810" s="389"/>
      <c r="C810" s="389"/>
      <c r="D810" s="390"/>
      <c r="E810" s="389"/>
      <c r="F810" s="392"/>
      <c r="G810" s="389"/>
      <c r="H810" s="389"/>
      <c r="I810" s="389"/>
      <c r="J810" s="389"/>
      <c r="K810" s="389"/>
      <c r="L810" s="389"/>
      <c r="M810" s="389"/>
      <c r="N810" s="389"/>
      <c r="O810" s="389"/>
      <c r="P810" s="389"/>
      <c r="Q810" s="389"/>
      <c r="R810" s="389"/>
      <c r="S810" s="389"/>
      <c r="T810" s="389"/>
      <c r="U810" s="389"/>
      <c r="V810" s="389"/>
      <c r="W810" s="389"/>
      <c r="X810" s="389"/>
      <c r="Y810" s="389"/>
      <c r="Z810" s="389"/>
      <c r="AA810" s="389"/>
      <c r="AB810" s="389"/>
      <c r="AC810" s="389"/>
      <c r="AD810" s="389"/>
      <c r="AE810" s="389"/>
      <c r="AF810" s="389"/>
      <c r="AG810" s="389"/>
    </row>
    <row r="811">
      <c r="A811" s="389"/>
      <c r="B811" s="389"/>
      <c r="C811" s="389"/>
      <c r="D811" s="390"/>
      <c r="E811" s="389"/>
      <c r="F811" s="392"/>
      <c r="G811" s="389"/>
      <c r="H811" s="389"/>
      <c r="I811" s="389"/>
      <c r="J811" s="389"/>
      <c r="K811" s="389"/>
      <c r="L811" s="389"/>
      <c r="M811" s="389"/>
      <c r="N811" s="389"/>
      <c r="O811" s="389"/>
      <c r="P811" s="389"/>
      <c r="Q811" s="389"/>
      <c r="R811" s="389"/>
      <c r="S811" s="389"/>
      <c r="T811" s="389"/>
      <c r="U811" s="389"/>
      <c r="V811" s="389"/>
      <c r="W811" s="389"/>
      <c r="X811" s="389"/>
      <c r="Y811" s="389"/>
      <c r="Z811" s="389"/>
      <c r="AA811" s="389"/>
      <c r="AB811" s="389"/>
      <c r="AC811" s="389"/>
      <c r="AD811" s="389"/>
      <c r="AE811" s="389"/>
      <c r="AF811" s="389"/>
      <c r="AG811" s="389"/>
    </row>
    <row r="812">
      <c r="A812" s="389"/>
      <c r="B812" s="389"/>
      <c r="C812" s="389"/>
      <c r="D812" s="390"/>
      <c r="E812" s="389"/>
      <c r="F812" s="392"/>
      <c r="G812" s="389"/>
      <c r="H812" s="389"/>
      <c r="I812" s="389"/>
      <c r="J812" s="389"/>
      <c r="K812" s="389"/>
      <c r="L812" s="389"/>
      <c r="M812" s="389"/>
      <c r="N812" s="389"/>
      <c r="O812" s="389"/>
      <c r="P812" s="389"/>
      <c r="Q812" s="389"/>
      <c r="R812" s="389"/>
      <c r="S812" s="389"/>
      <c r="T812" s="389"/>
      <c r="U812" s="389"/>
      <c r="V812" s="389"/>
      <c r="W812" s="389"/>
      <c r="X812" s="389"/>
      <c r="Y812" s="389"/>
      <c r="Z812" s="389"/>
      <c r="AA812" s="389"/>
      <c r="AB812" s="389"/>
      <c r="AC812" s="389"/>
      <c r="AD812" s="389"/>
      <c r="AE812" s="389"/>
      <c r="AF812" s="389"/>
      <c r="AG812" s="389"/>
    </row>
    <row r="813">
      <c r="A813" s="389"/>
      <c r="B813" s="389"/>
      <c r="C813" s="389"/>
      <c r="D813" s="390"/>
      <c r="E813" s="389"/>
      <c r="F813" s="392"/>
      <c r="G813" s="389"/>
      <c r="H813" s="389"/>
      <c r="I813" s="389"/>
      <c r="J813" s="389"/>
      <c r="K813" s="389"/>
      <c r="L813" s="389"/>
      <c r="M813" s="389"/>
      <c r="N813" s="389"/>
      <c r="O813" s="389"/>
      <c r="P813" s="389"/>
      <c r="Q813" s="389"/>
      <c r="R813" s="389"/>
      <c r="S813" s="389"/>
      <c r="T813" s="389"/>
      <c r="U813" s="389"/>
      <c r="V813" s="389"/>
      <c r="W813" s="389"/>
      <c r="X813" s="389"/>
      <c r="Y813" s="389"/>
      <c r="Z813" s="389"/>
      <c r="AA813" s="389"/>
      <c r="AB813" s="389"/>
      <c r="AC813" s="389"/>
      <c r="AD813" s="389"/>
      <c r="AE813" s="389"/>
      <c r="AF813" s="389"/>
      <c r="AG813" s="389"/>
    </row>
    <row r="814">
      <c r="A814" s="389"/>
      <c r="B814" s="389"/>
      <c r="C814" s="389"/>
      <c r="D814" s="390"/>
      <c r="E814" s="389"/>
      <c r="F814" s="392"/>
      <c r="G814" s="389"/>
      <c r="H814" s="389"/>
      <c r="I814" s="389"/>
      <c r="J814" s="389"/>
      <c r="K814" s="389"/>
      <c r="L814" s="389"/>
      <c r="M814" s="389"/>
      <c r="N814" s="389"/>
      <c r="O814" s="389"/>
      <c r="P814" s="389"/>
      <c r="Q814" s="389"/>
      <c r="R814" s="389"/>
      <c r="S814" s="389"/>
      <c r="T814" s="389"/>
      <c r="U814" s="389"/>
      <c r="V814" s="389"/>
      <c r="W814" s="389"/>
      <c r="X814" s="389"/>
      <c r="Y814" s="389"/>
      <c r="Z814" s="389"/>
      <c r="AA814" s="389"/>
      <c r="AB814" s="389"/>
      <c r="AC814" s="389"/>
      <c r="AD814" s="389"/>
      <c r="AE814" s="389"/>
      <c r="AF814" s="389"/>
      <c r="AG814" s="389"/>
    </row>
    <row r="815">
      <c r="A815" s="389"/>
      <c r="B815" s="389"/>
      <c r="C815" s="389"/>
      <c r="D815" s="390"/>
      <c r="E815" s="389"/>
      <c r="F815" s="392"/>
      <c r="G815" s="389"/>
      <c r="H815" s="389"/>
      <c r="I815" s="389"/>
      <c r="J815" s="389"/>
      <c r="K815" s="389"/>
      <c r="L815" s="389"/>
      <c r="M815" s="389"/>
      <c r="N815" s="389"/>
      <c r="O815" s="389"/>
      <c r="P815" s="389"/>
      <c r="Q815" s="389"/>
      <c r="R815" s="389"/>
      <c r="S815" s="389"/>
      <c r="T815" s="389"/>
      <c r="U815" s="389"/>
      <c r="V815" s="389"/>
      <c r="W815" s="389"/>
      <c r="X815" s="389"/>
      <c r="Y815" s="389"/>
      <c r="Z815" s="389"/>
      <c r="AA815" s="389"/>
      <c r="AB815" s="389"/>
      <c r="AC815" s="389"/>
      <c r="AD815" s="389"/>
      <c r="AE815" s="389"/>
      <c r="AF815" s="389"/>
      <c r="AG815" s="389"/>
    </row>
    <row r="816">
      <c r="A816" s="389"/>
      <c r="B816" s="389"/>
      <c r="C816" s="389"/>
      <c r="D816" s="390"/>
      <c r="E816" s="389"/>
      <c r="F816" s="392"/>
      <c r="G816" s="389"/>
      <c r="H816" s="389"/>
      <c r="I816" s="389"/>
      <c r="J816" s="389"/>
      <c r="K816" s="389"/>
      <c r="L816" s="389"/>
      <c r="M816" s="389"/>
      <c r="N816" s="389"/>
      <c r="O816" s="389"/>
      <c r="P816" s="389"/>
      <c r="Q816" s="389"/>
      <c r="R816" s="389"/>
      <c r="S816" s="389"/>
      <c r="T816" s="389"/>
      <c r="U816" s="389"/>
      <c r="V816" s="389"/>
      <c r="W816" s="389"/>
      <c r="X816" s="389"/>
      <c r="Y816" s="389"/>
      <c r="Z816" s="389"/>
      <c r="AA816" s="389"/>
      <c r="AB816" s="389"/>
      <c r="AC816" s="389"/>
      <c r="AD816" s="389"/>
      <c r="AE816" s="389"/>
      <c r="AF816" s="389"/>
      <c r="AG816" s="389"/>
    </row>
    <row r="817">
      <c r="A817" s="389"/>
      <c r="B817" s="389"/>
      <c r="C817" s="389"/>
      <c r="D817" s="390"/>
      <c r="E817" s="389"/>
      <c r="F817" s="392"/>
      <c r="G817" s="389"/>
      <c r="H817" s="389"/>
      <c r="I817" s="389"/>
      <c r="J817" s="389"/>
      <c r="K817" s="389"/>
      <c r="L817" s="389"/>
      <c r="M817" s="389"/>
      <c r="N817" s="389"/>
      <c r="O817" s="389"/>
      <c r="P817" s="389"/>
      <c r="Q817" s="389"/>
      <c r="R817" s="389"/>
      <c r="S817" s="389"/>
      <c r="T817" s="389"/>
      <c r="U817" s="389"/>
      <c r="V817" s="389"/>
      <c r="W817" s="389"/>
      <c r="X817" s="389"/>
      <c r="Y817" s="389"/>
      <c r="Z817" s="389"/>
      <c r="AA817" s="389"/>
      <c r="AB817" s="389"/>
      <c r="AC817" s="389"/>
      <c r="AD817" s="389"/>
      <c r="AE817" s="389"/>
      <c r="AF817" s="389"/>
      <c r="AG817" s="389"/>
    </row>
    <row r="818">
      <c r="A818" s="389"/>
      <c r="B818" s="389"/>
      <c r="C818" s="389"/>
      <c r="D818" s="390"/>
      <c r="E818" s="389"/>
      <c r="F818" s="392"/>
      <c r="G818" s="389"/>
      <c r="H818" s="389"/>
      <c r="I818" s="389"/>
      <c r="J818" s="389"/>
      <c r="K818" s="389"/>
      <c r="L818" s="389"/>
      <c r="M818" s="389"/>
      <c r="N818" s="389"/>
      <c r="O818" s="389"/>
      <c r="P818" s="389"/>
      <c r="Q818" s="389"/>
      <c r="R818" s="389"/>
      <c r="S818" s="389"/>
      <c r="T818" s="389"/>
      <c r="U818" s="389"/>
      <c r="V818" s="389"/>
      <c r="W818" s="389"/>
      <c r="X818" s="389"/>
      <c r="Y818" s="389"/>
      <c r="Z818" s="389"/>
      <c r="AA818" s="389"/>
      <c r="AB818" s="389"/>
      <c r="AC818" s="389"/>
      <c r="AD818" s="389"/>
      <c r="AE818" s="389"/>
      <c r="AF818" s="389"/>
      <c r="AG818" s="389"/>
    </row>
    <row r="819">
      <c r="A819" s="389"/>
      <c r="B819" s="389"/>
      <c r="C819" s="389"/>
      <c r="D819" s="390"/>
      <c r="E819" s="389"/>
      <c r="F819" s="392"/>
      <c r="G819" s="389"/>
      <c r="H819" s="389"/>
      <c r="I819" s="389"/>
      <c r="J819" s="389"/>
      <c r="K819" s="389"/>
      <c r="L819" s="389"/>
      <c r="M819" s="389"/>
      <c r="N819" s="389"/>
      <c r="O819" s="389"/>
      <c r="P819" s="389"/>
      <c r="Q819" s="389"/>
      <c r="R819" s="389"/>
      <c r="S819" s="389"/>
      <c r="T819" s="389"/>
      <c r="U819" s="389"/>
      <c r="V819" s="389"/>
      <c r="W819" s="389"/>
      <c r="X819" s="389"/>
      <c r="Y819" s="389"/>
      <c r="Z819" s="389"/>
      <c r="AA819" s="389"/>
      <c r="AB819" s="389"/>
      <c r="AC819" s="389"/>
      <c r="AD819" s="389"/>
      <c r="AE819" s="389"/>
      <c r="AF819" s="389"/>
      <c r="AG819" s="389"/>
    </row>
    <row r="820">
      <c r="A820" s="389"/>
      <c r="B820" s="389"/>
      <c r="C820" s="389"/>
      <c r="D820" s="390"/>
      <c r="E820" s="389"/>
      <c r="F820" s="392"/>
      <c r="G820" s="389"/>
      <c r="H820" s="389"/>
      <c r="I820" s="389"/>
      <c r="J820" s="389"/>
      <c r="K820" s="389"/>
      <c r="L820" s="389"/>
      <c r="M820" s="389"/>
      <c r="N820" s="389"/>
      <c r="O820" s="389"/>
      <c r="P820" s="389"/>
      <c r="Q820" s="389"/>
      <c r="R820" s="389"/>
      <c r="S820" s="389"/>
      <c r="T820" s="389"/>
      <c r="U820" s="389"/>
      <c r="V820" s="389"/>
      <c r="W820" s="389"/>
      <c r="X820" s="389"/>
      <c r="Y820" s="389"/>
      <c r="Z820" s="389"/>
      <c r="AA820" s="389"/>
      <c r="AB820" s="389"/>
      <c r="AC820" s="389"/>
      <c r="AD820" s="389"/>
      <c r="AE820" s="389"/>
      <c r="AF820" s="389"/>
      <c r="AG820" s="389"/>
    </row>
    <row r="821">
      <c r="A821" s="389"/>
      <c r="B821" s="389"/>
      <c r="C821" s="389"/>
      <c r="D821" s="390"/>
      <c r="E821" s="389"/>
      <c r="F821" s="392"/>
      <c r="G821" s="389"/>
      <c r="H821" s="389"/>
      <c r="I821" s="389"/>
      <c r="J821" s="389"/>
      <c r="K821" s="389"/>
      <c r="L821" s="389"/>
      <c r="M821" s="389"/>
      <c r="N821" s="389"/>
      <c r="O821" s="389"/>
      <c r="P821" s="389"/>
      <c r="Q821" s="389"/>
      <c r="R821" s="389"/>
      <c r="S821" s="389"/>
      <c r="T821" s="389"/>
      <c r="U821" s="389"/>
      <c r="V821" s="389"/>
      <c r="W821" s="389"/>
      <c r="X821" s="389"/>
      <c r="Y821" s="389"/>
      <c r="Z821" s="389"/>
      <c r="AA821" s="389"/>
      <c r="AB821" s="389"/>
      <c r="AC821" s="389"/>
      <c r="AD821" s="389"/>
      <c r="AE821" s="389"/>
      <c r="AF821" s="389"/>
      <c r="AG821" s="389"/>
    </row>
    <row r="822">
      <c r="A822" s="389"/>
      <c r="B822" s="389"/>
      <c r="C822" s="389"/>
      <c r="D822" s="390"/>
      <c r="E822" s="389"/>
      <c r="F822" s="392"/>
      <c r="G822" s="389"/>
      <c r="H822" s="389"/>
      <c r="I822" s="389"/>
      <c r="J822" s="389"/>
      <c r="K822" s="389"/>
      <c r="L822" s="389"/>
      <c r="M822" s="389"/>
      <c r="N822" s="389"/>
      <c r="O822" s="389"/>
      <c r="P822" s="389"/>
      <c r="Q822" s="389"/>
      <c r="R822" s="389"/>
      <c r="S822" s="389"/>
      <c r="T822" s="389"/>
      <c r="U822" s="389"/>
      <c r="V822" s="389"/>
      <c r="W822" s="389"/>
      <c r="X822" s="389"/>
      <c r="Y822" s="389"/>
      <c r="Z822" s="389"/>
      <c r="AA822" s="389"/>
      <c r="AB822" s="389"/>
      <c r="AC822" s="389"/>
      <c r="AD822" s="389"/>
      <c r="AE822" s="389"/>
      <c r="AF822" s="389"/>
      <c r="AG822" s="389"/>
    </row>
    <row r="823">
      <c r="A823" s="389"/>
      <c r="B823" s="389"/>
      <c r="C823" s="389"/>
      <c r="D823" s="390"/>
      <c r="E823" s="389"/>
      <c r="F823" s="392"/>
      <c r="G823" s="389"/>
      <c r="H823" s="389"/>
      <c r="I823" s="389"/>
      <c r="J823" s="389"/>
      <c r="K823" s="389"/>
      <c r="L823" s="389"/>
      <c r="M823" s="389"/>
      <c r="N823" s="389"/>
      <c r="O823" s="389"/>
      <c r="P823" s="389"/>
      <c r="Q823" s="389"/>
      <c r="R823" s="389"/>
      <c r="S823" s="389"/>
      <c r="T823" s="389"/>
      <c r="U823" s="389"/>
      <c r="V823" s="389"/>
      <c r="W823" s="389"/>
      <c r="X823" s="389"/>
      <c r="Y823" s="389"/>
      <c r="Z823" s="389"/>
      <c r="AA823" s="389"/>
      <c r="AB823" s="389"/>
      <c r="AC823" s="389"/>
      <c r="AD823" s="389"/>
      <c r="AE823" s="389"/>
      <c r="AF823" s="389"/>
      <c r="AG823" s="389"/>
    </row>
    <row r="824">
      <c r="A824" s="389"/>
      <c r="B824" s="389"/>
      <c r="C824" s="389"/>
      <c r="D824" s="390"/>
      <c r="E824" s="389"/>
      <c r="F824" s="392"/>
      <c r="G824" s="389"/>
      <c r="H824" s="389"/>
      <c r="I824" s="389"/>
      <c r="J824" s="389"/>
      <c r="K824" s="389"/>
      <c r="L824" s="389"/>
      <c r="M824" s="389"/>
      <c r="N824" s="389"/>
      <c r="O824" s="389"/>
      <c r="P824" s="389"/>
      <c r="Q824" s="389"/>
      <c r="R824" s="389"/>
      <c r="S824" s="389"/>
      <c r="T824" s="389"/>
      <c r="U824" s="389"/>
      <c r="V824" s="389"/>
      <c r="W824" s="389"/>
      <c r="X824" s="389"/>
      <c r="Y824" s="389"/>
      <c r="Z824" s="389"/>
      <c r="AA824" s="389"/>
      <c r="AB824" s="389"/>
      <c r="AC824" s="389"/>
      <c r="AD824" s="389"/>
      <c r="AE824" s="389"/>
      <c r="AF824" s="389"/>
      <c r="AG824" s="389"/>
    </row>
    <row r="825">
      <c r="A825" s="389"/>
      <c r="B825" s="389"/>
      <c r="C825" s="389"/>
      <c r="D825" s="390"/>
      <c r="E825" s="389"/>
      <c r="F825" s="392"/>
      <c r="G825" s="389"/>
      <c r="H825" s="389"/>
      <c r="I825" s="389"/>
      <c r="J825" s="389"/>
      <c r="K825" s="389"/>
      <c r="L825" s="389"/>
      <c r="M825" s="389"/>
      <c r="N825" s="389"/>
      <c r="O825" s="389"/>
      <c r="P825" s="389"/>
      <c r="Q825" s="389"/>
      <c r="R825" s="389"/>
      <c r="S825" s="389"/>
      <c r="T825" s="389"/>
      <c r="U825" s="389"/>
      <c r="V825" s="389"/>
      <c r="W825" s="389"/>
      <c r="X825" s="389"/>
      <c r="Y825" s="389"/>
      <c r="Z825" s="389"/>
      <c r="AA825" s="389"/>
      <c r="AB825" s="389"/>
      <c r="AC825" s="389"/>
      <c r="AD825" s="389"/>
      <c r="AE825" s="389"/>
      <c r="AF825" s="389"/>
      <c r="AG825" s="389"/>
    </row>
    <row r="826">
      <c r="A826" s="389"/>
      <c r="B826" s="389"/>
      <c r="C826" s="389"/>
      <c r="D826" s="390"/>
      <c r="E826" s="389"/>
      <c r="F826" s="392"/>
      <c r="G826" s="389"/>
      <c r="H826" s="389"/>
      <c r="I826" s="389"/>
      <c r="J826" s="389"/>
      <c r="K826" s="389"/>
      <c r="L826" s="389"/>
      <c r="M826" s="389"/>
      <c r="N826" s="389"/>
      <c r="O826" s="389"/>
      <c r="P826" s="389"/>
      <c r="Q826" s="389"/>
      <c r="R826" s="389"/>
      <c r="S826" s="389"/>
      <c r="T826" s="389"/>
      <c r="U826" s="389"/>
      <c r="V826" s="389"/>
      <c r="W826" s="389"/>
      <c r="X826" s="389"/>
      <c r="Y826" s="389"/>
      <c r="Z826" s="389"/>
      <c r="AA826" s="389"/>
      <c r="AB826" s="389"/>
      <c r="AC826" s="389"/>
      <c r="AD826" s="389"/>
      <c r="AE826" s="389"/>
      <c r="AF826" s="389"/>
      <c r="AG826" s="389"/>
    </row>
    <row r="827">
      <c r="A827" s="389"/>
      <c r="B827" s="389"/>
      <c r="C827" s="389"/>
      <c r="D827" s="390"/>
      <c r="E827" s="389"/>
      <c r="F827" s="392"/>
      <c r="G827" s="389"/>
      <c r="H827" s="389"/>
      <c r="I827" s="389"/>
      <c r="J827" s="389"/>
      <c r="K827" s="389"/>
      <c r="L827" s="389"/>
      <c r="M827" s="389"/>
      <c r="N827" s="389"/>
      <c r="O827" s="389"/>
      <c r="P827" s="389"/>
      <c r="Q827" s="389"/>
      <c r="R827" s="389"/>
      <c r="S827" s="389"/>
      <c r="T827" s="389"/>
      <c r="U827" s="389"/>
      <c r="V827" s="389"/>
      <c r="W827" s="389"/>
      <c r="X827" s="389"/>
      <c r="Y827" s="389"/>
      <c r="Z827" s="389"/>
      <c r="AA827" s="389"/>
      <c r="AB827" s="389"/>
      <c r="AC827" s="389"/>
      <c r="AD827" s="389"/>
      <c r="AE827" s="389"/>
      <c r="AF827" s="389"/>
      <c r="AG827" s="389"/>
    </row>
    <row r="828">
      <c r="A828" s="389"/>
      <c r="B828" s="389"/>
      <c r="C828" s="389"/>
      <c r="D828" s="390"/>
      <c r="E828" s="389"/>
      <c r="F828" s="392"/>
      <c r="G828" s="389"/>
      <c r="H828" s="389"/>
      <c r="I828" s="389"/>
      <c r="J828" s="389"/>
      <c r="K828" s="389"/>
      <c r="L828" s="389"/>
      <c r="M828" s="389"/>
      <c r="N828" s="389"/>
      <c r="O828" s="389"/>
      <c r="P828" s="389"/>
      <c r="Q828" s="389"/>
      <c r="R828" s="389"/>
      <c r="S828" s="389"/>
      <c r="T828" s="389"/>
      <c r="U828" s="389"/>
      <c r="V828" s="389"/>
      <c r="W828" s="389"/>
      <c r="X828" s="389"/>
      <c r="Y828" s="389"/>
      <c r="Z828" s="389"/>
      <c r="AA828" s="389"/>
      <c r="AB828" s="389"/>
      <c r="AC828" s="389"/>
      <c r="AD828" s="389"/>
      <c r="AE828" s="389"/>
      <c r="AF828" s="389"/>
      <c r="AG828" s="389"/>
    </row>
    <row r="829">
      <c r="A829" s="389"/>
      <c r="B829" s="389"/>
      <c r="C829" s="389"/>
      <c r="D829" s="390"/>
      <c r="E829" s="389"/>
      <c r="F829" s="392"/>
      <c r="G829" s="389"/>
      <c r="H829" s="389"/>
      <c r="I829" s="389"/>
      <c r="J829" s="389"/>
      <c r="K829" s="389"/>
      <c r="L829" s="389"/>
      <c r="M829" s="389"/>
      <c r="N829" s="389"/>
      <c r="O829" s="389"/>
      <c r="P829" s="389"/>
      <c r="Q829" s="389"/>
      <c r="R829" s="389"/>
      <c r="S829" s="389"/>
      <c r="T829" s="389"/>
      <c r="U829" s="389"/>
      <c r="V829" s="389"/>
      <c r="W829" s="389"/>
      <c r="X829" s="389"/>
      <c r="Y829" s="389"/>
      <c r="Z829" s="389"/>
      <c r="AA829" s="389"/>
      <c r="AB829" s="389"/>
      <c r="AC829" s="389"/>
      <c r="AD829" s="389"/>
      <c r="AE829" s="389"/>
      <c r="AF829" s="389"/>
      <c r="AG829" s="389"/>
    </row>
    <row r="830">
      <c r="A830" s="389"/>
      <c r="B830" s="389"/>
      <c r="C830" s="389"/>
      <c r="D830" s="390"/>
      <c r="E830" s="389"/>
      <c r="F830" s="392"/>
      <c r="G830" s="389"/>
      <c r="H830" s="389"/>
      <c r="I830" s="389"/>
      <c r="J830" s="389"/>
      <c r="K830" s="389"/>
      <c r="L830" s="389"/>
      <c r="M830" s="389"/>
      <c r="N830" s="389"/>
      <c r="O830" s="389"/>
      <c r="P830" s="389"/>
      <c r="Q830" s="389"/>
      <c r="R830" s="389"/>
      <c r="S830" s="389"/>
      <c r="T830" s="389"/>
      <c r="U830" s="389"/>
      <c r="V830" s="389"/>
      <c r="W830" s="389"/>
      <c r="X830" s="389"/>
      <c r="Y830" s="389"/>
      <c r="Z830" s="389"/>
      <c r="AA830" s="389"/>
      <c r="AB830" s="389"/>
      <c r="AC830" s="389"/>
      <c r="AD830" s="389"/>
      <c r="AE830" s="389"/>
      <c r="AF830" s="389"/>
      <c r="AG830" s="389"/>
    </row>
    <row r="831">
      <c r="A831" s="389"/>
      <c r="B831" s="389"/>
      <c r="C831" s="389"/>
      <c r="D831" s="390"/>
      <c r="E831" s="389"/>
      <c r="F831" s="392"/>
      <c r="G831" s="389"/>
      <c r="H831" s="389"/>
      <c r="I831" s="389"/>
      <c r="J831" s="389"/>
      <c r="K831" s="389"/>
      <c r="L831" s="389"/>
      <c r="M831" s="389"/>
      <c r="N831" s="389"/>
      <c r="O831" s="389"/>
      <c r="P831" s="389"/>
      <c r="Q831" s="389"/>
      <c r="R831" s="389"/>
      <c r="S831" s="389"/>
      <c r="T831" s="389"/>
      <c r="U831" s="389"/>
      <c r="V831" s="389"/>
      <c r="W831" s="389"/>
      <c r="X831" s="389"/>
      <c r="Y831" s="389"/>
      <c r="Z831" s="389"/>
      <c r="AA831" s="389"/>
      <c r="AB831" s="389"/>
      <c r="AC831" s="389"/>
      <c r="AD831" s="389"/>
      <c r="AE831" s="389"/>
      <c r="AF831" s="389"/>
      <c r="AG831" s="389"/>
    </row>
    <row r="832">
      <c r="A832" s="389"/>
      <c r="B832" s="389"/>
      <c r="C832" s="389"/>
      <c r="D832" s="390"/>
      <c r="E832" s="389"/>
      <c r="F832" s="392"/>
      <c r="G832" s="389"/>
      <c r="H832" s="389"/>
      <c r="I832" s="389"/>
      <c r="J832" s="389"/>
      <c r="K832" s="389"/>
      <c r="L832" s="389"/>
      <c r="M832" s="389"/>
      <c r="N832" s="389"/>
      <c r="O832" s="389"/>
      <c r="P832" s="389"/>
      <c r="Q832" s="389"/>
      <c r="R832" s="389"/>
      <c r="S832" s="389"/>
      <c r="T832" s="389"/>
      <c r="U832" s="389"/>
      <c r="V832" s="389"/>
      <c r="W832" s="389"/>
      <c r="X832" s="389"/>
      <c r="Y832" s="389"/>
      <c r="Z832" s="389"/>
      <c r="AA832" s="389"/>
      <c r="AB832" s="389"/>
      <c r="AC832" s="389"/>
      <c r="AD832" s="389"/>
      <c r="AE832" s="389"/>
      <c r="AF832" s="389"/>
      <c r="AG832" s="389"/>
    </row>
    <row r="833">
      <c r="A833" s="389"/>
      <c r="B833" s="389"/>
      <c r="C833" s="389"/>
      <c r="D833" s="390"/>
      <c r="E833" s="389"/>
      <c r="F833" s="392"/>
      <c r="G833" s="389"/>
      <c r="H833" s="389"/>
      <c r="I833" s="389"/>
      <c r="J833" s="389"/>
      <c r="K833" s="389"/>
      <c r="L833" s="389"/>
      <c r="M833" s="389"/>
      <c r="N833" s="389"/>
      <c r="O833" s="389"/>
      <c r="P833" s="389"/>
      <c r="Q833" s="389"/>
      <c r="R833" s="389"/>
      <c r="S833" s="389"/>
      <c r="T833" s="389"/>
      <c r="U833" s="389"/>
      <c r="V833" s="389"/>
      <c r="W833" s="389"/>
      <c r="X833" s="389"/>
      <c r="Y833" s="389"/>
      <c r="Z833" s="389"/>
      <c r="AA833" s="389"/>
      <c r="AB833" s="389"/>
      <c r="AC833" s="389"/>
      <c r="AD833" s="389"/>
      <c r="AE833" s="389"/>
      <c r="AF833" s="389"/>
      <c r="AG833" s="389"/>
    </row>
    <row r="834">
      <c r="A834" s="389"/>
      <c r="B834" s="389"/>
      <c r="C834" s="389"/>
      <c r="D834" s="390"/>
      <c r="E834" s="389"/>
      <c r="F834" s="392"/>
      <c r="G834" s="389"/>
      <c r="H834" s="389"/>
      <c r="I834" s="389"/>
      <c r="J834" s="389"/>
      <c r="K834" s="389"/>
      <c r="L834" s="389"/>
      <c r="M834" s="389"/>
      <c r="N834" s="389"/>
      <c r="O834" s="389"/>
      <c r="P834" s="389"/>
      <c r="Q834" s="389"/>
      <c r="R834" s="389"/>
      <c r="S834" s="389"/>
      <c r="T834" s="389"/>
      <c r="U834" s="389"/>
      <c r="V834" s="389"/>
      <c r="W834" s="389"/>
      <c r="X834" s="389"/>
      <c r="Y834" s="389"/>
      <c r="Z834" s="389"/>
      <c r="AA834" s="389"/>
      <c r="AB834" s="389"/>
      <c r="AC834" s="389"/>
      <c r="AD834" s="389"/>
      <c r="AE834" s="389"/>
      <c r="AF834" s="389"/>
      <c r="AG834" s="389"/>
    </row>
    <row r="835">
      <c r="A835" s="389"/>
      <c r="B835" s="389"/>
      <c r="C835" s="389"/>
      <c r="D835" s="390"/>
      <c r="E835" s="389"/>
      <c r="F835" s="392"/>
      <c r="G835" s="389"/>
      <c r="H835" s="389"/>
      <c r="I835" s="389"/>
      <c r="J835" s="389"/>
      <c r="K835" s="389"/>
      <c r="L835" s="389"/>
      <c r="M835" s="389"/>
      <c r="N835" s="389"/>
      <c r="O835" s="389"/>
      <c r="P835" s="389"/>
      <c r="Q835" s="389"/>
      <c r="R835" s="389"/>
      <c r="S835" s="389"/>
      <c r="T835" s="389"/>
      <c r="U835" s="389"/>
      <c r="V835" s="389"/>
      <c r="W835" s="389"/>
      <c r="X835" s="389"/>
      <c r="Y835" s="389"/>
      <c r="Z835" s="389"/>
      <c r="AA835" s="389"/>
      <c r="AB835" s="389"/>
      <c r="AC835" s="389"/>
      <c r="AD835" s="389"/>
      <c r="AE835" s="389"/>
      <c r="AF835" s="389"/>
      <c r="AG835" s="389"/>
    </row>
    <row r="836">
      <c r="A836" s="389"/>
      <c r="B836" s="389"/>
      <c r="C836" s="389"/>
      <c r="D836" s="390"/>
      <c r="E836" s="389"/>
      <c r="F836" s="392"/>
      <c r="G836" s="389"/>
      <c r="H836" s="389"/>
      <c r="I836" s="389"/>
      <c r="J836" s="389"/>
      <c r="K836" s="389"/>
      <c r="L836" s="389"/>
      <c r="M836" s="389"/>
      <c r="N836" s="389"/>
      <c r="O836" s="389"/>
      <c r="P836" s="389"/>
      <c r="Q836" s="389"/>
      <c r="R836" s="389"/>
      <c r="S836" s="389"/>
      <c r="T836" s="389"/>
      <c r="U836" s="389"/>
      <c r="V836" s="389"/>
      <c r="W836" s="389"/>
      <c r="X836" s="389"/>
      <c r="Y836" s="389"/>
      <c r="Z836" s="389"/>
      <c r="AA836" s="389"/>
      <c r="AB836" s="389"/>
      <c r="AC836" s="389"/>
      <c r="AD836" s="389"/>
      <c r="AE836" s="389"/>
      <c r="AF836" s="389"/>
      <c r="AG836" s="389"/>
    </row>
    <row r="837">
      <c r="A837" s="389"/>
      <c r="B837" s="389"/>
      <c r="C837" s="389"/>
      <c r="D837" s="390"/>
      <c r="E837" s="389"/>
      <c r="F837" s="392"/>
      <c r="G837" s="389"/>
      <c r="H837" s="389"/>
      <c r="I837" s="389"/>
      <c r="J837" s="389"/>
      <c r="K837" s="389"/>
      <c r="L837" s="389"/>
      <c r="M837" s="389"/>
      <c r="N837" s="389"/>
      <c r="O837" s="389"/>
      <c r="P837" s="389"/>
      <c r="Q837" s="389"/>
      <c r="R837" s="389"/>
      <c r="S837" s="389"/>
      <c r="T837" s="389"/>
      <c r="U837" s="389"/>
      <c r="V837" s="389"/>
      <c r="W837" s="389"/>
      <c r="X837" s="389"/>
      <c r="Y837" s="389"/>
      <c r="Z837" s="389"/>
      <c r="AA837" s="389"/>
      <c r="AB837" s="389"/>
      <c r="AC837" s="389"/>
      <c r="AD837" s="389"/>
      <c r="AE837" s="389"/>
      <c r="AF837" s="389"/>
      <c r="AG837" s="389"/>
    </row>
    <row r="838">
      <c r="A838" s="389"/>
      <c r="B838" s="389"/>
      <c r="C838" s="389"/>
      <c r="D838" s="390"/>
      <c r="E838" s="389"/>
      <c r="F838" s="392"/>
      <c r="G838" s="389"/>
      <c r="H838" s="389"/>
      <c r="I838" s="389"/>
      <c r="J838" s="389"/>
      <c r="K838" s="389"/>
      <c r="L838" s="389"/>
      <c r="M838" s="389"/>
      <c r="N838" s="389"/>
      <c r="O838" s="389"/>
      <c r="P838" s="389"/>
      <c r="Q838" s="389"/>
      <c r="R838" s="389"/>
      <c r="S838" s="389"/>
      <c r="T838" s="389"/>
      <c r="U838" s="389"/>
      <c r="V838" s="389"/>
      <c r="W838" s="389"/>
      <c r="X838" s="389"/>
      <c r="Y838" s="389"/>
      <c r="Z838" s="389"/>
      <c r="AA838" s="389"/>
      <c r="AB838" s="389"/>
      <c r="AC838" s="389"/>
      <c r="AD838" s="389"/>
      <c r="AE838" s="389"/>
      <c r="AF838" s="389"/>
      <c r="AG838" s="389"/>
    </row>
    <row r="839">
      <c r="A839" s="389"/>
      <c r="B839" s="389"/>
      <c r="C839" s="389"/>
      <c r="D839" s="390"/>
      <c r="E839" s="389"/>
      <c r="F839" s="392"/>
      <c r="G839" s="389"/>
      <c r="H839" s="389"/>
      <c r="I839" s="389"/>
      <c r="J839" s="389"/>
      <c r="K839" s="389"/>
      <c r="L839" s="389"/>
      <c r="M839" s="389"/>
      <c r="N839" s="389"/>
      <c r="O839" s="389"/>
      <c r="P839" s="389"/>
      <c r="Q839" s="389"/>
      <c r="R839" s="389"/>
      <c r="S839" s="389"/>
      <c r="T839" s="389"/>
      <c r="U839" s="389"/>
      <c r="V839" s="389"/>
      <c r="W839" s="389"/>
      <c r="X839" s="389"/>
      <c r="Y839" s="389"/>
      <c r="Z839" s="389"/>
      <c r="AA839" s="389"/>
      <c r="AB839" s="389"/>
      <c r="AC839" s="389"/>
      <c r="AD839" s="389"/>
      <c r="AE839" s="389"/>
      <c r="AF839" s="389"/>
      <c r="AG839" s="389"/>
    </row>
    <row r="840">
      <c r="A840" s="389"/>
      <c r="B840" s="389"/>
      <c r="C840" s="389"/>
      <c r="D840" s="390"/>
      <c r="E840" s="389"/>
      <c r="F840" s="392"/>
      <c r="G840" s="389"/>
      <c r="H840" s="389"/>
      <c r="I840" s="389"/>
      <c r="J840" s="389"/>
      <c r="K840" s="389"/>
      <c r="L840" s="389"/>
      <c r="M840" s="389"/>
      <c r="N840" s="389"/>
      <c r="O840" s="389"/>
      <c r="P840" s="389"/>
      <c r="Q840" s="389"/>
      <c r="R840" s="389"/>
      <c r="S840" s="389"/>
      <c r="T840" s="389"/>
      <c r="U840" s="389"/>
      <c r="V840" s="389"/>
      <c r="W840" s="389"/>
      <c r="X840" s="389"/>
      <c r="Y840" s="389"/>
      <c r="Z840" s="389"/>
      <c r="AA840" s="389"/>
      <c r="AB840" s="389"/>
      <c r="AC840" s="389"/>
      <c r="AD840" s="389"/>
      <c r="AE840" s="389"/>
      <c r="AF840" s="389"/>
      <c r="AG840" s="389"/>
    </row>
    <row r="841">
      <c r="A841" s="389"/>
      <c r="B841" s="389"/>
      <c r="C841" s="389"/>
      <c r="D841" s="390"/>
      <c r="E841" s="389"/>
      <c r="F841" s="392"/>
      <c r="G841" s="389"/>
      <c r="H841" s="389"/>
      <c r="I841" s="389"/>
      <c r="J841" s="389"/>
      <c r="K841" s="389"/>
      <c r="L841" s="389"/>
      <c r="M841" s="389"/>
      <c r="N841" s="389"/>
      <c r="O841" s="389"/>
      <c r="P841" s="389"/>
      <c r="Q841" s="389"/>
      <c r="R841" s="389"/>
      <c r="S841" s="389"/>
      <c r="T841" s="389"/>
      <c r="U841" s="389"/>
      <c r="V841" s="389"/>
      <c r="W841" s="389"/>
      <c r="X841" s="389"/>
      <c r="Y841" s="389"/>
      <c r="Z841" s="389"/>
      <c r="AA841" s="389"/>
      <c r="AB841" s="389"/>
      <c r="AC841" s="389"/>
      <c r="AD841" s="389"/>
      <c r="AE841" s="389"/>
      <c r="AF841" s="389"/>
      <c r="AG841" s="389"/>
    </row>
    <row r="842">
      <c r="A842" s="389"/>
      <c r="B842" s="389"/>
      <c r="C842" s="389"/>
      <c r="D842" s="390"/>
      <c r="E842" s="389"/>
      <c r="F842" s="392"/>
      <c r="G842" s="389"/>
      <c r="H842" s="389"/>
      <c r="I842" s="389"/>
      <c r="J842" s="389"/>
      <c r="K842" s="389"/>
      <c r="L842" s="389"/>
      <c r="M842" s="389"/>
      <c r="N842" s="389"/>
      <c r="O842" s="389"/>
      <c r="P842" s="389"/>
      <c r="Q842" s="389"/>
      <c r="R842" s="389"/>
      <c r="S842" s="389"/>
      <c r="T842" s="389"/>
      <c r="U842" s="389"/>
      <c r="V842" s="389"/>
      <c r="W842" s="389"/>
      <c r="X842" s="389"/>
      <c r="Y842" s="389"/>
      <c r="Z842" s="389"/>
      <c r="AA842" s="389"/>
      <c r="AB842" s="389"/>
      <c r="AC842" s="389"/>
      <c r="AD842" s="389"/>
      <c r="AE842" s="389"/>
      <c r="AF842" s="389"/>
      <c r="AG842" s="389"/>
    </row>
    <row r="843">
      <c r="A843" s="389"/>
      <c r="B843" s="389"/>
      <c r="C843" s="389"/>
      <c r="D843" s="390"/>
      <c r="E843" s="389"/>
      <c r="F843" s="392"/>
      <c r="G843" s="389"/>
      <c r="H843" s="389"/>
      <c r="I843" s="389"/>
      <c r="J843" s="389"/>
      <c r="K843" s="389"/>
      <c r="L843" s="389"/>
      <c r="M843" s="389"/>
      <c r="N843" s="389"/>
      <c r="O843" s="389"/>
      <c r="P843" s="389"/>
      <c r="Q843" s="389"/>
      <c r="R843" s="389"/>
      <c r="S843" s="389"/>
      <c r="T843" s="389"/>
      <c r="U843" s="389"/>
      <c r="V843" s="389"/>
      <c r="W843" s="389"/>
      <c r="X843" s="389"/>
      <c r="Y843" s="389"/>
      <c r="Z843" s="389"/>
      <c r="AA843" s="389"/>
      <c r="AB843" s="389"/>
      <c r="AC843" s="389"/>
      <c r="AD843" s="389"/>
      <c r="AE843" s="389"/>
      <c r="AF843" s="389"/>
      <c r="AG843" s="389"/>
    </row>
    <row r="844">
      <c r="A844" s="389"/>
      <c r="B844" s="389"/>
      <c r="C844" s="389"/>
      <c r="D844" s="390"/>
      <c r="E844" s="389"/>
      <c r="F844" s="392"/>
      <c r="G844" s="389"/>
      <c r="H844" s="389"/>
      <c r="I844" s="389"/>
      <c r="J844" s="389"/>
      <c r="K844" s="389"/>
      <c r="L844" s="389"/>
      <c r="M844" s="389"/>
      <c r="N844" s="389"/>
      <c r="O844" s="389"/>
      <c r="P844" s="389"/>
      <c r="Q844" s="389"/>
      <c r="R844" s="389"/>
      <c r="S844" s="389"/>
      <c r="T844" s="389"/>
      <c r="U844" s="389"/>
      <c r="V844" s="389"/>
      <c r="W844" s="389"/>
      <c r="X844" s="389"/>
      <c r="Y844" s="389"/>
      <c r="Z844" s="389"/>
      <c r="AA844" s="389"/>
      <c r="AB844" s="389"/>
      <c r="AC844" s="389"/>
      <c r="AD844" s="389"/>
      <c r="AE844" s="389"/>
      <c r="AF844" s="389"/>
      <c r="AG844" s="389"/>
    </row>
    <row r="845">
      <c r="A845" s="389"/>
      <c r="B845" s="389"/>
      <c r="C845" s="389"/>
      <c r="D845" s="390"/>
      <c r="E845" s="389"/>
      <c r="F845" s="392"/>
      <c r="G845" s="389"/>
      <c r="H845" s="389"/>
      <c r="I845" s="389"/>
      <c r="J845" s="389"/>
      <c r="K845" s="389"/>
      <c r="L845" s="389"/>
      <c r="M845" s="389"/>
      <c r="N845" s="389"/>
      <c r="O845" s="389"/>
      <c r="P845" s="389"/>
      <c r="Q845" s="389"/>
      <c r="R845" s="389"/>
      <c r="S845" s="389"/>
      <c r="T845" s="389"/>
      <c r="U845" s="389"/>
      <c r="V845" s="389"/>
      <c r="W845" s="389"/>
      <c r="X845" s="389"/>
      <c r="Y845" s="389"/>
      <c r="Z845" s="389"/>
      <c r="AA845" s="389"/>
      <c r="AB845" s="389"/>
      <c r="AC845" s="389"/>
      <c r="AD845" s="389"/>
      <c r="AE845" s="389"/>
      <c r="AF845" s="389"/>
      <c r="AG845" s="389"/>
    </row>
    <row r="846">
      <c r="A846" s="389"/>
      <c r="B846" s="389"/>
      <c r="C846" s="389"/>
      <c r="D846" s="390"/>
      <c r="E846" s="389"/>
      <c r="F846" s="392"/>
      <c r="G846" s="389"/>
      <c r="H846" s="389"/>
      <c r="I846" s="389"/>
      <c r="J846" s="389"/>
      <c r="K846" s="389"/>
      <c r="L846" s="389"/>
      <c r="M846" s="389"/>
      <c r="N846" s="389"/>
      <c r="O846" s="389"/>
      <c r="P846" s="389"/>
      <c r="Q846" s="389"/>
      <c r="R846" s="389"/>
      <c r="S846" s="389"/>
      <c r="T846" s="389"/>
      <c r="U846" s="389"/>
      <c r="V846" s="389"/>
      <c r="W846" s="389"/>
      <c r="X846" s="389"/>
      <c r="Y846" s="389"/>
      <c r="Z846" s="389"/>
      <c r="AA846" s="389"/>
      <c r="AB846" s="389"/>
      <c r="AC846" s="389"/>
      <c r="AD846" s="389"/>
      <c r="AE846" s="389"/>
      <c r="AF846" s="389"/>
      <c r="AG846" s="389"/>
    </row>
    <row r="847">
      <c r="A847" s="389"/>
      <c r="B847" s="389"/>
      <c r="C847" s="389"/>
      <c r="D847" s="390"/>
      <c r="E847" s="389"/>
      <c r="F847" s="392"/>
      <c r="G847" s="389"/>
      <c r="H847" s="389"/>
      <c r="I847" s="389"/>
      <c r="J847" s="389"/>
      <c r="K847" s="389"/>
      <c r="L847" s="389"/>
      <c r="M847" s="389"/>
      <c r="N847" s="389"/>
      <c r="O847" s="389"/>
      <c r="P847" s="389"/>
      <c r="Q847" s="389"/>
      <c r="R847" s="389"/>
      <c r="S847" s="389"/>
      <c r="T847" s="389"/>
      <c r="U847" s="389"/>
      <c r="V847" s="389"/>
      <c r="W847" s="389"/>
      <c r="X847" s="389"/>
      <c r="Y847" s="389"/>
      <c r="Z847" s="389"/>
      <c r="AA847" s="389"/>
      <c r="AB847" s="389"/>
      <c r="AC847" s="389"/>
      <c r="AD847" s="389"/>
      <c r="AE847" s="389"/>
      <c r="AF847" s="389"/>
      <c r="AG847" s="389"/>
    </row>
    <row r="848">
      <c r="A848" s="389"/>
      <c r="B848" s="389"/>
      <c r="C848" s="389"/>
      <c r="D848" s="390"/>
      <c r="E848" s="389"/>
      <c r="F848" s="392"/>
      <c r="G848" s="389"/>
      <c r="H848" s="389"/>
      <c r="I848" s="389"/>
      <c r="J848" s="389"/>
      <c r="K848" s="389"/>
      <c r="L848" s="389"/>
      <c r="M848" s="389"/>
      <c r="N848" s="389"/>
      <c r="O848" s="389"/>
      <c r="P848" s="389"/>
      <c r="Q848" s="389"/>
      <c r="R848" s="389"/>
      <c r="S848" s="389"/>
      <c r="T848" s="389"/>
      <c r="U848" s="389"/>
      <c r="V848" s="389"/>
      <c r="W848" s="389"/>
      <c r="X848" s="389"/>
      <c r="Y848" s="389"/>
      <c r="Z848" s="389"/>
      <c r="AA848" s="389"/>
      <c r="AB848" s="389"/>
      <c r="AC848" s="389"/>
      <c r="AD848" s="389"/>
      <c r="AE848" s="389"/>
      <c r="AF848" s="389"/>
      <c r="AG848" s="389"/>
    </row>
    <row r="849">
      <c r="A849" s="389"/>
      <c r="B849" s="389"/>
      <c r="C849" s="389"/>
      <c r="D849" s="390"/>
      <c r="E849" s="389"/>
      <c r="F849" s="392"/>
      <c r="G849" s="389"/>
      <c r="H849" s="389"/>
      <c r="I849" s="389"/>
      <c r="J849" s="389"/>
      <c r="K849" s="389"/>
      <c r="L849" s="389"/>
      <c r="M849" s="389"/>
      <c r="N849" s="389"/>
      <c r="O849" s="389"/>
      <c r="P849" s="389"/>
      <c r="Q849" s="389"/>
      <c r="R849" s="389"/>
      <c r="S849" s="389"/>
      <c r="T849" s="389"/>
      <c r="U849" s="389"/>
      <c r="V849" s="389"/>
      <c r="W849" s="389"/>
      <c r="X849" s="389"/>
      <c r="Y849" s="389"/>
      <c r="Z849" s="389"/>
      <c r="AA849" s="389"/>
      <c r="AB849" s="389"/>
      <c r="AC849" s="389"/>
      <c r="AD849" s="389"/>
      <c r="AE849" s="389"/>
      <c r="AF849" s="389"/>
      <c r="AG849" s="389"/>
    </row>
    <row r="850">
      <c r="A850" s="389"/>
      <c r="B850" s="389"/>
      <c r="C850" s="389"/>
      <c r="D850" s="390"/>
      <c r="E850" s="389"/>
      <c r="F850" s="392"/>
      <c r="G850" s="389"/>
      <c r="H850" s="389"/>
      <c r="I850" s="389"/>
      <c r="J850" s="389"/>
      <c r="K850" s="389"/>
      <c r="L850" s="389"/>
      <c r="M850" s="389"/>
      <c r="N850" s="389"/>
      <c r="O850" s="389"/>
      <c r="P850" s="389"/>
      <c r="Q850" s="389"/>
      <c r="R850" s="389"/>
      <c r="S850" s="389"/>
      <c r="T850" s="389"/>
      <c r="U850" s="389"/>
      <c r="V850" s="389"/>
      <c r="W850" s="389"/>
      <c r="X850" s="389"/>
      <c r="Y850" s="389"/>
      <c r="Z850" s="389"/>
      <c r="AA850" s="389"/>
      <c r="AB850" s="389"/>
      <c r="AC850" s="389"/>
      <c r="AD850" s="389"/>
      <c r="AE850" s="389"/>
      <c r="AF850" s="389"/>
      <c r="AG850" s="389"/>
    </row>
    <row r="851">
      <c r="A851" s="389"/>
      <c r="B851" s="389"/>
      <c r="C851" s="389"/>
      <c r="D851" s="390"/>
      <c r="E851" s="389"/>
      <c r="F851" s="392"/>
      <c r="G851" s="389"/>
      <c r="H851" s="389"/>
      <c r="I851" s="389"/>
      <c r="J851" s="389"/>
      <c r="K851" s="389"/>
      <c r="L851" s="389"/>
      <c r="M851" s="389"/>
      <c r="N851" s="389"/>
      <c r="O851" s="389"/>
      <c r="P851" s="389"/>
      <c r="Q851" s="389"/>
      <c r="R851" s="389"/>
      <c r="S851" s="389"/>
      <c r="T851" s="389"/>
      <c r="U851" s="389"/>
      <c r="V851" s="389"/>
      <c r="W851" s="389"/>
      <c r="X851" s="389"/>
      <c r="Y851" s="389"/>
      <c r="Z851" s="389"/>
      <c r="AA851" s="389"/>
      <c r="AB851" s="389"/>
      <c r="AC851" s="389"/>
      <c r="AD851" s="389"/>
      <c r="AE851" s="389"/>
      <c r="AF851" s="389"/>
      <c r="AG851" s="389"/>
    </row>
    <row r="852">
      <c r="A852" s="389"/>
      <c r="B852" s="389"/>
      <c r="C852" s="389"/>
      <c r="D852" s="390"/>
      <c r="E852" s="389"/>
      <c r="F852" s="392"/>
      <c r="G852" s="389"/>
      <c r="H852" s="389"/>
      <c r="I852" s="389"/>
      <c r="J852" s="389"/>
      <c r="K852" s="389"/>
      <c r="L852" s="389"/>
      <c r="M852" s="389"/>
      <c r="N852" s="389"/>
      <c r="O852" s="389"/>
      <c r="P852" s="389"/>
      <c r="Q852" s="389"/>
      <c r="R852" s="389"/>
      <c r="S852" s="389"/>
      <c r="T852" s="389"/>
      <c r="U852" s="389"/>
      <c r="V852" s="389"/>
      <c r="W852" s="389"/>
      <c r="X852" s="389"/>
      <c r="Y852" s="389"/>
      <c r="Z852" s="389"/>
      <c r="AA852" s="389"/>
      <c r="AB852" s="389"/>
      <c r="AC852" s="389"/>
      <c r="AD852" s="389"/>
      <c r="AE852" s="389"/>
      <c r="AF852" s="389"/>
      <c r="AG852" s="389"/>
    </row>
    <row r="853">
      <c r="A853" s="389"/>
      <c r="B853" s="389"/>
      <c r="C853" s="389"/>
      <c r="D853" s="390"/>
      <c r="E853" s="389"/>
      <c r="F853" s="392"/>
      <c r="G853" s="389"/>
      <c r="H853" s="389"/>
      <c r="I853" s="389"/>
      <c r="J853" s="389"/>
      <c r="K853" s="389"/>
      <c r="L853" s="389"/>
      <c r="M853" s="389"/>
      <c r="N853" s="389"/>
      <c r="O853" s="389"/>
      <c r="P853" s="389"/>
      <c r="Q853" s="389"/>
      <c r="R853" s="389"/>
      <c r="S853" s="389"/>
      <c r="T853" s="389"/>
      <c r="U853" s="389"/>
      <c r="V853" s="389"/>
      <c r="W853" s="389"/>
      <c r="X853" s="389"/>
      <c r="Y853" s="389"/>
      <c r="Z853" s="389"/>
      <c r="AA853" s="389"/>
      <c r="AB853" s="389"/>
      <c r="AC853" s="389"/>
      <c r="AD853" s="389"/>
      <c r="AE853" s="389"/>
      <c r="AF853" s="389"/>
      <c r="AG853" s="389"/>
    </row>
    <row r="854">
      <c r="A854" s="389"/>
      <c r="B854" s="389"/>
      <c r="C854" s="389"/>
      <c r="D854" s="390"/>
      <c r="E854" s="389"/>
      <c r="F854" s="392"/>
      <c r="G854" s="389"/>
      <c r="H854" s="389"/>
      <c r="I854" s="389"/>
      <c r="J854" s="389"/>
      <c r="K854" s="389"/>
      <c r="L854" s="389"/>
      <c r="M854" s="389"/>
      <c r="N854" s="389"/>
      <c r="O854" s="389"/>
      <c r="P854" s="389"/>
      <c r="Q854" s="389"/>
      <c r="R854" s="389"/>
      <c r="S854" s="389"/>
      <c r="T854" s="389"/>
      <c r="U854" s="389"/>
      <c r="V854" s="389"/>
      <c r="W854" s="389"/>
      <c r="X854" s="389"/>
      <c r="Y854" s="389"/>
      <c r="Z854" s="389"/>
      <c r="AA854" s="389"/>
      <c r="AB854" s="389"/>
      <c r="AC854" s="389"/>
      <c r="AD854" s="389"/>
      <c r="AE854" s="389"/>
      <c r="AF854" s="389"/>
      <c r="AG854" s="389"/>
    </row>
    <row r="855">
      <c r="A855" s="389"/>
      <c r="B855" s="389"/>
      <c r="C855" s="389"/>
      <c r="D855" s="390"/>
      <c r="E855" s="389"/>
      <c r="F855" s="392"/>
      <c r="G855" s="389"/>
      <c r="H855" s="389"/>
      <c r="I855" s="389"/>
      <c r="J855" s="389"/>
      <c r="K855" s="389"/>
      <c r="L855" s="389"/>
      <c r="M855" s="389"/>
      <c r="N855" s="389"/>
      <c r="O855" s="389"/>
      <c r="P855" s="389"/>
      <c r="Q855" s="389"/>
      <c r="R855" s="389"/>
      <c r="S855" s="389"/>
      <c r="T855" s="389"/>
      <c r="U855" s="389"/>
      <c r="V855" s="389"/>
      <c r="W855" s="389"/>
      <c r="X855" s="389"/>
      <c r="Y855" s="389"/>
      <c r="Z855" s="389"/>
      <c r="AA855" s="389"/>
      <c r="AB855" s="389"/>
      <c r="AC855" s="389"/>
      <c r="AD855" s="389"/>
      <c r="AE855" s="389"/>
      <c r="AF855" s="389"/>
      <c r="AG855" s="389"/>
    </row>
    <row r="856">
      <c r="A856" s="389"/>
      <c r="B856" s="389"/>
      <c r="C856" s="389"/>
      <c r="D856" s="390"/>
      <c r="E856" s="389"/>
      <c r="F856" s="392"/>
      <c r="G856" s="389"/>
      <c r="H856" s="389"/>
      <c r="I856" s="389"/>
      <c r="J856" s="389"/>
      <c r="K856" s="389"/>
      <c r="L856" s="389"/>
      <c r="M856" s="389"/>
      <c r="N856" s="389"/>
      <c r="O856" s="389"/>
      <c r="P856" s="389"/>
      <c r="Q856" s="389"/>
      <c r="R856" s="389"/>
      <c r="S856" s="389"/>
      <c r="T856" s="389"/>
      <c r="U856" s="389"/>
      <c r="V856" s="389"/>
      <c r="W856" s="389"/>
      <c r="X856" s="389"/>
      <c r="Y856" s="389"/>
      <c r="Z856" s="389"/>
      <c r="AA856" s="389"/>
      <c r="AB856" s="389"/>
      <c r="AC856" s="389"/>
      <c r="AD856" s="389"/>
      <c r="AE856" s="389"/>
      <c r="AF856" s="389"/>
      <c r="AG856" s="389"/>
    </row>
    <row r="857">
      <c r="A857" s="389"/>
      <c r="B857" s="389"/>
      <c r="C857" s="389"/>
      <c r="D857" s="390"/>
      <c r="E857" s="389"/>
      <c r="F857" s="392"/>
      <c r="G857" s="389"/>
      <c r="H857" s="389"/>
      <c r="I857" s="389"/>
      <c r="J857" s="389"/>
      <c r="K857" s="389"/>
      <c r="L857" s="389"/>
      <c r="M857" s="389"/>
      <c r="N857" s="389"/>
      <c r="O857" s="389"/>
      <c r="P857" s="389"/>
      <c r="Q857" s="389"/>
      <c r="R857" s="389"/>
      <c r="S857" s="389"/>
      <c r="T857" s="389"/>
      <c r="U857" s="389"/>
      <c r="V857" s="389"/>
      <c r="W857" s="389"/>
      <c r="X857" s="389"/>
      <c r="Y857" s="389"/>
      <c r="Z857" s="389"/>
      <c r="AA857" s="389"/>
      <c r="AB857" s="389"/>
      <c r="AC857" s="389"/>
      <c r="AD857" s="389"/>
      <c r="AE857" s="389"/>
      <c r="AF857" s="389"/>
      <c r="AG857" s="389"/>
    </row>
    <row r="858">
      <c r="A858" s="389"/>
      <c r="B858" s="389"/>
      <c r="C858" s="389"/>
      <c r="D858" s="390"/>
      <c r="E858" s="389"/>
      <c r="F858" s="392"/>
      <c r="G858" s="389"/>
      <c r="H858" s="389"/>
      <c r="I858" s="389"/>
      <c r="J858" s="389"/>
      <c r="K858" s="389"/>
      <c r="L858" s="389"/>
      <c r="M858" s="389"/>
      <c r="N858" s="389"/>
      <c r="O858" s="389"/>
      <c r="P858" s="389"/>
      <c r="Q858" s="389"/>
      <c r="R858" s="389"/>
      <c r="S858" s="389"/>
      <c r="T858" s="389"/>
      <c r="U858" s="389"/>
      <c r="V858" s="389"/>
      <c r="W858" s="389"/>
      <c r="X858" s="389"/>
      <c r="Y858" s="389"/>
      <c r="Z858" s="389"/>
      <c r="AA858" s="389"/>
      <c r="AB858" s="389"/>
      <c r="AC858" s="389"/>
      <c r="AD858" s="389"/>
      <c r="AE858" s="389"/>
      <c r="AF858" s="389"/>
      <c r="AG858" s="389"/>
    </row>
    <row r="859">
      <c r="A859" s="389"/>
      <c r="B859" s="389"/>
      <c r="C859" s="389"/>
      <c r="D859" s="390"/>
      <c r="E859" s="389"/>
      <c r="F859" s="392"/>
      <c r="G859" s="389"/>
      <c r="H859" s="389"/>
      <c r="I859" s="389"/>
      <c r="J859" s="389"/>
      <c r="K859" s="389"/>
      <c r="L859" s="389"/>
      <c r="M859" s="389"/>
      <c r="N859" s="389"/>
      <c r="O859" s="389"/>
      <c r="P859" s="389"/>
      <c r="Q859" s="389"/>
      <c r="R859" s="389"/>
      <c r="S859" s="389"/>
      <c r="T859" s="389"/>
      <c r="U859" s="389"/>
      <c r="V859" s="389"/>
      <c r="W859" s="389"/>
      <c r="X859" s="389"/>
      <c r="Y859" s="389"/>
      <c r="Z859" s="389"/>
      <c r="AA859" s="389"/>
      <c r="AB859" s="389"/>
      <c r="AC859" s="389"/>
      <c r="AD859" s="389"/>
      <c r="AE859" s="389"/>
      <c r="AF859" s="389"/>
      <c r="AG859" s="389"/>
    </row>
    <row r="860">
      <c r="A860" s="389"/>
      <c r="B860" s="389"/>
      <c r="C860" s="389"/>
      <c r="D860" s="390"/>
      <c r="E860" s="389"/>
      <c r="F860" s="392"/>
      <c r="G860" s="389"/>
      <c r="H860" s="389"/>
      <c r="I860" s="389"/>
      <c r="J860" s="389"/>
      <c r="K860" s="389"/>
      <c r="L860" s="389"/>
      <c r="M860" s="389"/>
      <c r="N860" s="389"/>
      <c r="O860" s="389"/>
      <c r="P860" s="389"/>
      <c r="Q860" s="389"/>
      <c r="R860" s="389"/>
      <c r="S860" s="389"/>
      <c r="T860" s="389"/>
      <c r="U860" s="389"/>
      <c r="V860" s="389"/>
      <c r="W860" s="389"/>
      <c r="X860" s="389"/>
      <c r="Y860" s="389"/>
      <c r="Z860" s="389"/>
      <c r="AA860" s="389"/>
      <c r="AB860" s="389"/>
      <c r="AC860" s="389"/>
      <c r="AD860" s="389"/>
      <c r="AE860" s="389"/>
      <c r="AF860" s="389"/>
      <c r="AG860" s="389"/>
    </row>
    <row r="861">
      <c r="A861" s="389"/>
      <c r="B861" s="389"/>
      <c r="C861" s="389"/>
      <c r="D861" s="390"/>
      <c r="E861" s="389"/>
      <c r="F861" s="392"/>
      <c r="G861" s="389"/>
      <c r="H861" s="389"/>
      <c r="I861" s="389"/>
      <c r="J861" s="389"/>
      <c r="K861" s="389"/>
      <c r="L861" s="389"/>
      <c r="M861" s="389"/>
      <c r="N861" s="389"/>
      <c r="O861" s="389"/>
      <c r="P861" s="389"/>
      <c r="Q861" s="389"/>
      <c r="R861" s="389"/>
      <c r="S861" s="389"/>
      <c r="T861" s="389"/>
      <c r="U861" s="389"/>
      <c r="V861" s="389"/>
      <c r="W861" s="389"/>
      <c r="X861" s="389"/>
      <c r="Y861" s="389"/>
      <c r="Z861" s="389"/>
      <c r="AA861" s="389"/>
      <c r="AB861" s="389"/>
      <c r="AC861" s="389"/>
      <c r="AD861" s="389"/>
      <c r="AE861" s="389"/>
      <c r="AF861" s="389"/>
      <c r="AG861" s="389"/>
    </row>
    <row r="862">
      <c r="A862" s="389"/>
      <c r="B862" s="389"/>
      <c r="C862" s="389"/>
      <c r="D862" s="390"/>
      <c r="E862" s="389"/>
      <c r="F862" s="392"/>
      <c r="G862" s="389"/>
      <c r="H862" s="389"/>
      <c r="I862" s="389"/>
      <c r="J862" s="389"/>
      <c r="K862" s="389"/>
      <c r="L862" s="389"/>
      <c r="M862" s="389"/>
      <c r="N862" s="389"/>
      <c r="O862" s="389"/>
      <c r="P862" s="389"/>
      <c r="Q862" s="389"/>
      <c r="R862" s="389"/>
      <c r="S862" s="389"/>
      <c r="T862" s="389"/>
      <c r="U862" s="389"/>
      <c r="V862" s="389"/>
      <c r="W862" s="389"/>
      <c r="X862" s="389"/>
      <c r="Y862" s="389"/>
      <c r="Z862" s="389"/>
      <c r="AA862" s="389"/>
      <c r="AB862" s="389"/>
      <c r="AC862" s="389"/>
      <c r="AD862" s="389"/>
      <c r="AE862" s="389"/>
      <c r="AF862" s="389"/>
      <c r="AG862" s="389"/>
    </row>
    <row r="863">
      <c r="A863" s="389"/>
      <c r="B863" s="389"/>
      <c r="C863" s="389"/>
      <c r="D863" s="390"/>
      <c r="E863" s="389"/>
      <c r="F863" s="392"/>
      <c r="G863" s="389"/>
      <c r="H863" s="389"/>
      <c r="I863" s="389"/>
      <c r="J863" s="389"/>
      <c r="K863" s="389"/>
      <c r="L863" s="389"/>
      <c r="M863" s="389"/>
      <c r="N863" s="389"/>
      <c r="O863" s="389"/>
      <c r="P863" s="389"/>
      <c r="Q863" s="389"/>
      <c r="R863" s="389"/>
      <c r="S863" s="389"/>
      <c r="T863" s="389"/>
      <c r="U863" s="389"/>
      <c r="V863" s="389"/>
      <c r="W863" s="389"/>
      <c r="X863" s="389"/>
      <c r="Y863" s="389"/>
      <c r="Z863" s="389"/>
      <c r="AA863" s="389"/>
      <c r="AB863" s="389"/>
      <c r="AC863" s="389"/>
      <c r="AD863" s="389"/>
      <c r="AE863" s="389"/>
      <c r="AF863" s="389"/>
      <c r="AG863" s="389"/>
    </row>
    <row r="864">
      <c r="A864" s="389"/>
      <c r="B864" s="389"/>
      <c r="C864" s="389"/>
      <c r="D864" s="390"/>
      <c r="E864" s="389"/>
      <c r="F864" s="392"/>
      <c r="G864" s="389"/>
      <c r="H864" s="389"/>
      <c r="I864" s="389"/>
      <c r="J864" s="389"/>
      <c r="K864" s="389"/>
      <c r="L864" s="389"/>
      <c r="M864" s="389"/>
      <c r="N864" s="389"/>
      <c r="O864" s="389"/>
      <c r="P864" s="389"/>
      <c r="Q864" s="389"/>
      <c r="R864" s="389"/>
      <c r="S864" s="389"/>
      <c r="T864" s="389"/>
      <c r="U864" s="389"/>
      <c r="V864" s="389"/>
      <c r="W864" s="389"/>
      <c r="X864" s="389"/>
      <c r="Y864" s="389"/>
      <c r="Z864" s="389"/>
      <c r="AA864" s="389"/>
      <c r="AB864" s="389"/>
      <c r="AC864" s="389"/>
      <c r="AD864" s="389"/>
      <c r="AE864" s="389"/>
      <c r="AF864" s="389"/>
      <c r="AG864" s="389"/>
    </row>
    <row r="865">
      <c r="A865" s="389"/>
      <c r="B865" s="389"/>
      <c r="C865" s="389"/>
      <c r="D865" s="390"/>
      <c r="E865" s="389"/>
      <c r="F865" s="392"/>
      <c r="G865" s="389"/>
      <c r="H865" s="389"/>
      <c r="I865" s="389"/>
      <c r="J865" s="389"/>
      <c r="K865" s="389"/>
      <c r="L865" s="389"/>
      <c r="M865" s="389"/>
      <c r="N865" s="389"/>
      <c r="O865" s="389"/>
      <c r="P865" s="389"/>
      <c r="Q865" s="389"/>
      <c r="R865" s="389"/>
      <c r="S865" s="389"/>
      <c r="T865" s="389"/>
      <c r="U865" s="389"/>
      <c r="V865" s="389"/>
      <c r="W865" s="389"/>
      <c r="X865" s="389"/>
      <c r="Y865" s="389"/>
      <c r="Z865" s="389"/>
      <c r="AA865" s="389"/>
      <c r="AB865" s="389"/>
      <c r="AC865" s="389"/>
      <c r="AD865" s="389"/>
      <c r="AE865" s="389"/>
      <c r="AF865" s="389"/>
      <c r="AG865" s="389"/>
    </row>
    <row r="866">
      <c r="A866" s="389"/>
      <c r="B866" s="389"/>
      <c r="C866" s="389"/>
      <c r="D866" s="390"/>
      <c r="E866" s="389"/>
      <c r="F866" s="392"/>
      <c r="G866" s="389"/>
      <c r="H866" s="389"/>
      <c r="I866" s="389"/>
      <c r="J866" s="389"/>
      <c r="K866" s="389"/>
      <c r="L866" s="389"/>
      <c r="M866" s="389"/>
      <c r="N866" s="389"/>
      <c r="O866" s="389"/>
      <c r="P866" s="389"/>
      <c r="Q866" s="389"/>
      <c r="R866" s="389"/>
      <c r="S866" s="389"/>
      <c r="T866" s="389"/>
      <c r="U866" s="389"/>
      <c r="V866" s="389"/>
      <c r="W866" s="389"/>
      <c r="X866" s="389"/>
      <c r="Y866" s="389"/>
      <c r="Z866" s="389"/>
      <c r="AA866" s="389"/>
      <c r="AB866" s="389"/>
      <c r="AC866" s="389"/>
      <c r="AD866" s="389"/>
      <c r="AE866" s="389"/>
      <c r="AF866" s="389"/>
      <c r="AG866" s="389"/>
    </row>
    <row r="867">
      <c r="A867" s="389"/>
      <c r="B867" s="389"/>
      <c r="C867" s="389"/>
      <c r="D867" s="390"/>
      <c r="E867" s="389"/>
      <c r="F867" s="392"/>
      <c r="G867" s="389"/>
      <c r="H867" s="389"/>
      <c r="I867" s="389"/>
      <c r="J867" s="389"/>
      <c r="K867" s="389"/>
      <c r="L867" s="389"/>
      <c r="M867" s="389"/>
      <c r="N867" s="389"/>
      <c r="O867" s="389"/>
      <c r="P867" s="389"/>
      <c r="Q867" s="389"/>
      <c r="R867" s="389"/>
      <c r="S867" s="389"/>
      <c r="T867" s="389"/>
      <c r="U867" s="389"/>
      <c r="V867" s="389"/>
      <c r="W867" s="389"/>
      <c r="X867" s="389"/>
      <c r="Y867" s="389"/>
      <c r="Z867" s="389"/>
      <c r="AA867" s="389"/>
      <c r="AB867" s="389"/>
      <c r="AC867" s="389"/>
      <c r="AD867" s="389"/>
      <c r="AE867" s="389"/>
      <c r="AF867" s="389"/>
      <c r="AG867" s="389"/>
    </row>
    <row r="868">
      <c r="A868" s="389"/>
      <c r="B868" s="389"/>
      <c r="C868" s="389"/>
      <c r="D868" s="390"/>
      <c r="E868" s="389"/>
      <c r="F868" s="392"/>
      <c r="G868" s="389"/>
      <c r="H868" s="389"/>
      <c r="I868" s="389"/>
      <c r="J868" s="389"/>
      <c r="K868" s="389"/>
      <c r="L868" s="389"/>
      <c r="M868" s="389"/>
      <c r="N868" s="389"/>
      <c r="O868" s="389"/>
      <c r="P868" s="389"/>
      <c r="Q868" s="389"/>
      <c r="R868" s="389"/>
      <c r="S868" s="389"/>
      <c r="T868" s="389"/>
      <c r="U868" s="389"/>
      <c r="V868" s="389"/>
      <c r="W868" s="389"/>
      <c r="X868" s="389"/>
      <c r="Y868" s="389"/>
      <c r="Z868" s="389"/>
      <c r="AA868" s="389"/>
      <c r="AB868" s="389"/>
      <c r="AC868" s="389"/>
      <c r="AD868" s="389"/>
      <c r="AE868" s="389"/>
      <c r="AF868" s="389"/>
      <c r="AG868" s="389"/>
    </row>
    <row r="869">
      <c r="A869" s="389"/>
      <c r="B869" s="389"/>
      <c r="C869" s="389"/>
      <c r="D869" s="390"/>
      <c r="E869" s="389"/>
      <c r="F869" s="392"/>
      <c r="G869" s="389"/>
      <c r="H869" s="389"/>
      <c r="I869" s="389"/>
      <c r="J869" s="389"/>
      <c r="K869" s="389"/>
      <c r="L869" s="389"/>
      <c r="M869" s="389"/>
      <c r="N869" s="389"/>
      <c r="O869" s="389"/>
      <c r="P869" s="389"/>
      <c r="Q869" s="389"/>
      <c r="R869" s="389"/>
      <c r="S869" s="389"/>
      <c r="T869" s="389"/>
      <c r="U869" s="389"/>
      <c r="V869" s="389"/>
      <c r="W869" s="389"/>
      <c r="X869" s="389"/>
      <c r="Y869" s="389"/>
      <c r="Z869" s="389"/>
      <c r="AA869" s="389"/>
      <c r="AB869" s="389"/>
      <c r="AC869" s="389"/>
      <c r="AD869" s="389"/>
      <c r="AE869" s="389"/>
      <c r="AF869" s="389"/>
      <c r="AG869" s="389"/>
    </row>
    <row r="870">
      <c r="A870" s="389"/>
      <c r="B870" s="389"/>
      <c r="C870" s="389"/>
      <c r="D870" s="390"/>
      <c r="E870" s="389"/>
      <c r="F870" s="392"/>
      <c r="G870" s="389"/>
      <c r="H870" s="389"/>
      <c r="I870" s="389"/>
      <c r="J870" s="389"/>
      <c r="K870" s="389"/>
      <c r="L870" s="389"/>
      <c r="M870" s="389"/>
      <c r="N870" s="389"/>
      <c r="O870" s="389"/>
      <c r="P870" s="389"/>
      <c r="Q870" s="389"/>
      <c r="R870" s="389"/>
      <c r="S870" s="389"/>
      <c r="T870" s="389"/>
      <c r="U870" s="389"/>
      <c r="V870" s="389"/>
      <c r="W870" s="389"/>
      <c r="X870" s="389"/>
      <c r="Y870" s="389"/>
      <c r="Z870" s="389"/>
      <c r="AA870" s="389"/>
      <c r="AB870" s="389"/>
      <c r="AC870" s="389"/>
      <c r="AD870" s="389"/>
      <c r="AE870" s="389"/>
      <c r="AF870" s="389"/>
      <c r="AG870" s="389"/>
    </row>
    <row r="871">
      <c r="A871" s="389"/>
      <c r="B871" s="389"/>
      <c r="C871" s="389"/>
      <c r="D871" s="390"/>
      <c r="E871" s="389"/>
      <c r="F871" s="392"/>
      <c r="G871" s="389"/>
      <c r="H871" s="389"/>
      <c r="I871" s="389"/>
      <c r="J871" s="389"/>
      <c r="K871" s="389"/>
      <c r="L871" s="389"/>
      <c r="M871" s="389"/>
      <c r="N871" s="389"/>
      <c r="O871" s="389"/>
      <c r="P871" s="389"/>
      <c r="Q871" s="389"/>
      <c r="R871" s="389"/>
      <c r="S871" s="389"/>
      <c r="T871" s="389"/>
      <c r="U871" s="389"/>
      <c r="V871" s="389"/>
      <c r="W871" s="389"/>
      <c r="X871" s="389"/>
      <c r="Y871" s="389"/>
      <c r="Z871" s="389"/>
      <c r="AA871" s="389"/>
      <c r="AB871" s="389"/>
      <c r="AC871" s="389"/>
      <c r="AD871" s="389"/>
      <c r="AE871" s="389"/>
      <c r="AF871" s="389"/>
      <c r="AG871" s="389"/>
    </row>
    <row r="872">
      <c r="A872" s="389"/>
      <c r="B872" s="389"/>
      <c r="C872" s="389"/>
      <c r="D872" s="390"/>
      <c r="E872" s="389"/>
      <c r="F872" s="392"/>
      <c r="G872" s="389"/>
      <c r="H872" s="389"/>
      <c r="I872" s="389"/>
      <c r="J872" s="389"/>
      <c r="K872" s="389"/>
      <c r="L872" s="389"/>
      <c r="M872" s="389"/>
      <c r="N872" s="389"/>
      <c r="O872" s="389"/>
      <c r="P872" s="389"/>
      <c r="Q872" s="389"/>
      <c r="R872" s="389"/>
      <c r="S872" s="389"/>
      <c r="T872" s="389"/>
      <c r="U872" s="389"/>
      <c r="V872" s="389"/>
      <c r="W872" s="389"/>
      <c r="X872" s="389"/>
      <c r="Y872" s="389"/>
      <c r="Z872" s="389"/>
      <c r="AA872" s="389"/>
      <c r="AB872" s="389"/>
      <c r="AC872" s="389"/>
      <c r="AD872" s="389"/>
      <c r="AE872" s="389"/>
      <c r="AF872" s="389"/>
      <c r="AG872" s="389"/>
    </row>
    <row r="873">
      <c r="A873" s="389"/>
      <c r="B873" s="389"/>
      <c r="C873" s="389"/>
      <c r="D873" s="390"/>
      <c r="E873" s="389"/>
      <c r="F873" s="392"/>
      <c r="G873" s="389"/>
      <c r="H873" s="389"/>
      <c r="I873" s="389"/>
      <c r="J873" s="389"/>
      <c r="K873" s="389"/>
      <c r="L873" s="389"/>
      <c r="M873" s="389"/>
      <c r="N873" s="389"/>
      <c r="O873" s="389"/>
      <c r="P873" s="389"/>
      <c r="Q873" s="389"/>
      <c r="R873" s="389"/>
      <c r="S873" s="389"/>
      <c r="T873" s="389"/>
      <c r="U873" s="389"/>
      <c r="V873" s="389"/>
      <c r="W873" s="389"/>
      <c r="X873" s="389"/>
      <c r="Y873" s="389"/>
      <c r="Z873" s="389"/>
      <c r="AA873" s="389"/>
      <c r="AB873" s="389"/>
      <c r="AC873" s="389"/>
      <c r="AD873" s="389"/>
      <c r="AE873" s="389"/>
      <c r="AF873" s="389"/>
      <c r="AG873" s="389"/>
    </row>
    <row r="874">
      <c r="A874" s="389"/>
      <c r="B874" s="389"/>
      <c r="C874" s="389"/>
      <c r="D874" s="390"/>
      <c r="E874" s="389"/>
      <c r="F874" s="392"/>
      <c r="G874" s="389"/>
      <c r="H874" s="389"/>
      <c r="I874" s="389"/>
      <c r="J874" s="389"/>
      <c r="K874" s="389"/>
      <c r="L874" s="389"/>
      <c r="M874" s="389"/>
      <c r="N874" s="389"/>
      <c r="O874" s="389"/>
      <c r="P874" s="389"/>
      <c r="Q874" s="389"/>
      <c r="R874" s="389"/>
      <c r="S874" s="389"/>
      <c r="T874" s="389"/>
      <c r="U874" s="389"/>
      <c r="V874" s="389"/>
      <c r="W874" s="389"/>
      <c r="X874" s="389"/>
      <c r="Y874" s="389"/>
      <c r="Z874" s="389"/>
      <c r="AA874" s="389"/>
      <c r="AB874" s="389"/>
      <c r="AC874" s="389"/>
      <c r="AD874" s="389"/>
      <c r="AE874" s="389"/>
      <c r="AF874" s="389"/>
      <c r="AG874" s="389"/>
    </row>
    <row r="875">
      <c r="A875" s="389"/>
      <c r="B875" s="389"/>
      <c r="C875" s="389"/>
      <c r="D875" s="390"/>
      <c r="E875" s="389"/>
      <c r="F875" s="392"/>
      <c r="G875" s="389"/>
      <c r="H875" s="389"/>
      <c r="I875" s="389"/>
      <c r="J875" s="389"/>
      <c r="K875" s="389"/>
      <c r="L875" s="389"/>
      <c r="M875" s="389"/>
      <c r="N875" s="389"/>
      <c r="O875" s="389"/>
      <c r="P875" s="389"/>
      <c r="Q875" s="389"/>
      <c r="R875" s="389"/>
      <c r="S875" s="389"/>
      <c r="T875" s="389"/>
      <c r="U875" s="389"/>
      <c r="V875" s="389"/>
      <c r="W875" s="389"/>
      <c r="X875" s="389"/>
      <c r="Y875" s="389"/>
      <c r="Z875" s="389"/>
      <c r="AA875" s="389"/>
      <c r="AB875" s="389"/>
      <c r="AC875" s="389"/>
      <c r="AD875" s="389"/>
      <c r="AE875" s="389"/>
      <c r="AF875" s="389"/>
      <c r="AG875" s="389"/>
    </row>
    <row r="876">
      <c r="A876" s="389"/>
      <c r="B876" s="389"/>
      <c r="C876" s="389"/>
      <c r="D876" s="390"/>
      <c r="E876" s="389"/>
      <c r="F876" s="392"/>
      <c r="G876" s="389"/>
      <c r="H876" s="389"/>
      <c r="I876" s="389"/>
      <c r="J876" s="389"/>
      <c r="K876" s="389"/>
      <c r="L876" s="389"/>
      <c r="M876" s="389"/>
      <c r="N876" s="389"/>
      <c r="O876" s="389"/>
      <c r="P876" s="389"/>
      <c r="Q876" s="389"/>
      <c r="R876" s="389"/>
      <c r="S876" s="389"/>
      <c r="T876" s="389"/>
      <c r="U876" s="389"/>
      <c r="V876" s="389"/>
      <c r="W876" s="389"/>
      <c r="X876" s="389"/>
      <c r="Y876" s="389"/>
      <c r="Z876" s="389"/>
      <c r="AA876" s="389"/>
      <c r="AB876" s="389"/>
      <c r="AC876" s="389"/>
      <c r="AD876" s="389"/>
      <c r="AE876" s="389"/>
      <c r="AF876" s="389"/>
      <c r="AG876" s="389"/>
    </row>
    <row r="877">
      <c r="A877" s="389"/>
      <c r="B877" s="389"/>
      <c r="C877" s="389"/>
      <c r="D877" s="390"/>
      <c r="E877" s="389"/>
      <c r="F877" s="392"/>
      <c r="G877" s="389"/>
      <c r="H877" s="389"/>
      <c r="I877" s="389"/>
      <c r="J877" s="389"/>
      <c r="K877" s="389"/>
      <c r="L877" s="389"/>
      <c r="M877" s="389"/>
      <c r="N877" s="389"/>
      <c r="O877" s="389"/>
      <c r="P877" s="389"/>
      <c r="Q877" s="389"/>
      <c r="R877" s="389"/>
      <c r="S877" s="389"/>
      <c r="T877" s="389"/>
      <c r="U877" s="389"/>
      <c r="V877" s="389"/>
      <c r="W877" s="389"/>
      <c r="X877" s="389"/>
      <c r="Y877" s="389"/>
      <c r="Z877" s="389"/>
      <c r="AA877" s="389"/>
      <c r="AB877" s="389"/>
      <c r="AC877" s="389"/>
      <c r="AD877" s="389"/>
      <c r="AE877" s="389"/>
      <c r="AF877" s="389"/>
      <c r="AG877" s="389"/>
    </row>
    <row r="878">
      <c r="A878" s="389"/>
      <c r="B878" s="389"/>
      <c r="C878" s="389"/>
      <c r="D878" s="390"/>
      <c r="E878" s="389"/>
      <c r="F878" s="392"/>
      <c r="G878" s="389"/>
      <c r="H878" s="389"/>
      <c r="I878" s="389"/>
      <c r="J878" s="389"/>
      <c r="K878" s="389"/>
      <c r="L878" s="389"/>
      <c r="M878" s="389"/>
      <c r="N878" s="389"/>
      <c r="O878" s="389"/>
      <c r="P878" s="389"/>
      <c r="Q878" s="389"/>
      <c r="R878" s="389"/>
      <c r="S878" s="389"/>
      <c r="T878" s="389"/>
      <c r="U878" s="389"/>
      <c r="V878" s="389"/>
      <c r="W878" s="389"/>
      <c r="X878" s="389"/>
      <c r="Y878" s="389"/>
      <c r="Z878" s="389"/>
      <c r="AA878" s="389"/>
      <c r="AB878" s="389"/>
      <c r="AC878" s="389"/>
      <c r="AD878" s="389"/>
      <c r="AE878" s="389"/>
      <c r="AF878" s="389"/>
      <c r="AG878" s="389"/>
    </row>
    <row r="879">
      <c r="A879" s="389"/>
      <c r="B879" s="389"/>
      <c r="C879" s="389"/>
      <c r="D879" s="390"/>
      <c r="E879" s="389"/>
      <c r="F879" s="392"/>
      <c r="G879" s="389"/>
      <c r="H879" s="389"/>
      <c r="I879" s="389"/>
      <c r="J879" s="389"/>
      <c r="K879" s="389"/>
      <c r="L879" s="389"/>
      <c r="M879" s="389"/>
      <c r="N879" s="389"/>
      <c r="O879" s="389"/>
      <c r="P879" s="389"/>
      <c r="Q879" s="389"/>
      <c r="R879" s="389"/>
      <c r="S879" s="389"/>
      <c r="T879" s="389"/>
      <c r="U879" s="389"/>
      <c r="V879" s="389"/>
      <c r="W879" s="389"/>
      <c r="X879" s="389"/>
      <c r="Y879" s="389"/>
      <c r="Z879" s="389"/>
      <c r="AA879" s="389"/>
      <c r="AB879" s="389"/>
      <c r="AC879" s="389"/>
      <c r="AD879" s="389"/>
      <c r="AE879" s="389"/>
      <c r="AF879" s="389"/>
      <c r="AG879" s="389"/>
    </row>
    <row r="880">
      <c r="A880" s="389"/>
      <c r="B880" s="389"/>
      <c r="C880" s="389"/>
      <c r="D880" s="390"/>
      <c r="E880" s="389"/>
      <c r="F880" s="392"/>
      <c r="G880" s="389"/>
      <c r="H880" s="389"/>
      <c r="I880" s="389"/>
      <c r="J880" s="389"/>
      <c r="K880" s="389"/>
      <c r="L880" s="389"/>
      <c r="M880" s="389"/>
      <c r="N880" s="389"/>
      <c r="O880" s="389"/>
      <c r="P880" s="389"/>
      <c r="Q880" s="389"/>
      <c r="R880" s="389"/>
      <c r="S880" s="389"/>
      <c r="T880" s="389"/>
      <c r="U880" s="389"/>
      <c r="V880" s="389"/>
      <c r="W880" s="389"/>
      <c r="X880" s="389"/>
      <c r="Y880" s="389"/>
      <c r="Z880" s="389"/>
      <c r="AA880" s="389"/>
      <c r="AB880" s="389"/>
      <c r="AC880" s="389"/>
      <c r="AD880" s="389"/>
      <c r="AE880" s="389"/>
      <c r="AF880" s="389"/>
      <c r="AG880" s="389"/>
    </row>
    <row r="881">
      <c r="A881" s="389"/>
      <c r="B881" s="389"/>
      <c r="C881" s="389"/>
      <c r="D881" s="390"/>
      <c r="E881" s="389"/>
      <c r="F881" s="392"/>
      <c r="G881" s="389"/>
      <c r="H881" s="389"/>
      <c r="I881" s="389"/>
      <c r="J881" s="389"/>
      <c r="K881" s="389"/>
      <c r="L881" s="389"/>
      <c r="M881" s="389"/>
      <c r="N881" s="389"/>
      <c r="O881" s="389"/>
      <c r="P881" s="389"/>
      <c r="Q881" s="389"/>
      <c r="R881" s="389"/>
      <c r="S881" s="389"/>
      <c r="T881" s="389"/>
      <c r="U881" s="389"/>
      <c r="V881" s="389"/>
      <c r="W881" s="389"/>
      <c r="X881" s="389"/>
      <c r="Y881" s="389"/>
      <c r="Z881" s="389"/>
      <c r="AA881" s="389"/>
      <c r="AB881" s="389"/>
      <c r="AC881" s="389"/>
      <c r="AD881" s="389"/>
      <c r="AE881" s="389"/>
      <c r="AF881" s="389"/>
      <c r="AG881" s="389"/>
    </row>
    <row r="882">
      <c r="A882" s="389"/>
      <c r="B882" s="389"/>
      <c r="C882" s="389"/>
      <c r="D882" s="390"/>
      <c r="E882" s="389"/>
      <c r="F882" s="392"/>
      <c r="G882" s="389"/>
      <c r="H882" s="389"/>
      <c r="I882" s="389"/>
      <c r="J882" s="389"/>
      <c r="K882" s="389"/>
      <c r="L882" s="389"/>
      <c r="M882" s="389"/>
      <c r="N882" s="389"/>
      <c r="O882" s="389"/>
      <c r="P882" s="389"/>
      <c r="Q882" s="389"/>
      <c r="R882" s="389"/>
      <c r="S882" s="389"/>
      <c r="T882" s="389"/>
      <c r="U882" s="389"/>
      <c r="V882" s="389"/>
      <c r="W882" s="389"/>
      <c r="X882" s="389"/>
      <c r="Y882" s="389"/>
      <c r="Z882" s="389"/>
      <c r="AA882" s="389"/>
      <c r="AB882" s="389"/>
      <c r="AC882" s="389"/>
      <c r="AD882" s="389"/>
      <c r="AE882" s="389"/>
      <c r="AF882" s="389"/>
      <c r="AG882" s="389"/>
    </row>
    <row r="883">
      <c r="A883" s="389"/>
      <c r="B883" s="389"/>
      <c r="C883" s="389"/>
      <c r="D883" s="390"/>
      <c r="E883" s="389"/>
      <c r="F883" s="392"/>
      <c r="G883" s="389"/>
      <c r="H883" s="389"/>
      <c r="I883" s="389"/>
      <c r="J883" s="389"/>
      <c r="K883" s="389"/>
      <c r="L883" s="389"/>
      <c r="M883" s="389"/>
      <c r="N883" s="389"/>
      <c r="O883" s="389"/>
      <c r="P883" s="389"/>
      <c r="Q883" s="389"/>
      <c r="R883" s="389"/>
      <c r="S883" s="389"/>
      <c r="T883" s="389"/>
      <c r="U883" s="389"/>
      <c r="V883" s="389"/>
      <c r="W883" s="389"/>
      <c r="X883" s="389"/>
      <c r="Y883" s="389"/>
      <c r="Z883" s="389"/>
      <c r="AA883" s="389"/>
      <c r="AB883" s="389"/>
      <c r="AC883" s="389"/>
      <c r="AD883" s="389"/>
      <c r="AE883" s="389"/>
      <c r="AF883" s="389"/>
      <c r="AG883" s="389"/>
    </row>
    <row r="884">
      <c r="A884" s="389"/>
      <c r="B884" s="389"/>
      <c r="C884" s="389"/>
      <c r="D884" s="390"/>
      <c r="E884" s="389"/>
      <c r="F884" s="392"/>
      <c r="G884" s="389"/>
      <c r="H884" s="389"/>
      <c r="I884" s="389"/>
      <c r="J884" s="389"/>
      <c r="K884" s="389"/>
      <c r="L884" s="389"/>
      <c r="M884" s="389"/>
      <c r="N884" s="389"/>
      <c r="O884" s="389"/>
      <c r="P884" s="389"/>
      <c r="Q884" s="389"/>
      <c r="R884" s="389"/>
      <c r="S884" s="389"/>
      <c r="T884" s="389"/>
      <c r="U884" s="389"/>
      <c r="V884" s="389"/>
      <c r="W884" s="389"/>
      <c r="X884" s="389"/>
      <c r="Y884" s="389"/>
      <c r="Z884" s="389"/>
      <c r="AA884" s="389"/>
      <c r="AB884" s="389"/>
      <c r="AC884" s="389"/>
      <c r="AD884" s="389"/>
      <c r="AE884" s="389"/>
      <c r="AF884" s="389"/>
      <c r="AG884" s="389"/>
    </row>
    <row r="885">
      <c r="A885" s="389"/>
      <c r="B885" s="389"/>
      <c r="C885" s="389"/>
      <c r="D885" s="390"/>
      <c r="E885" s="389"/>
      <c r="F885" s="392"/>
      <c r="G885" s="389"/>
      <c r="H885" s="389"/>
      <c r="I885" s="389"/>
      <c r="J885" s="389"/>
      <c r="K885" s="389"/>
      <c r="L885" s="389"/>
      <c r="M885" s="389"/>
      <c r="N885" s="389"/>
      <c r="O885" s="389"/>
      <c r="P885" s="389"/>
      <c r="Q885" s="389"/>
      <c r="R885" s="389"/>
      <c r="S885" s="389"/>
      <c r="T885" s="389"/>
      <c r="U885" s="389"/>
      <c r="V885" s="389"/>
      <c r="W885" s="389"/>
      <c r="X885" s="389"/>
      <c r="Y885" s="389"/>
      <c r="Z885" s="389"/>
      <c r="AA885" s="389"/>
      <c r="AB885" s="389"/>
      <c r="AC885" s="389"/>
      <c r="AD885" s="389"/>
      <c r="AE885" s="389"/>
      <c r="AF885" s="389"/>
      <c r="AG885" s="389"/>
    </row>
    <row r="886">
      <c r="A886" s="389"/>
      <c r="B886" s="389"/>
      <c r="C886" s="389"/>
      <c r="D886" s="390"/>
      <c r="E886" s="389"/>
      <c r="F886" s="392"/>
      <c r="G886" s="389"/>
      <c r="H886" s="389"/>
      <c r="I886" s="389"/>
      <c r="J886" s="389"/>
      <c r="K886" s="389"/>
      <c r="L886" s="389"/>
      <c r="M886" s="389"/>
      <c r="N886" s="389"/>
      <c r="O886" s="389"/>
      <c r="P886" s="389"/>
      <c r="Q886" s="389"/>
      <c r="R886" s="389"/>
      <c r="S886" s="389"/>
      <c r="T886" s="389"/>
      <c r="U886" s="389"/>
      <c r="V886" s="389"/>
      <c r="W886" s="389"/>
      <c r="X886" s="389"/>
      <c r="Y886" s="389"/>
      <c r="Z886" s="389"/>
      <c r="AA886" s="389"/>
      <c r="AB886" s="389"/>
      <c r="AC886" s="389"/>
      <c r="AD886" s="389"/>
      <c r="AE886" s="389"/>
      <c r="AF886" s="389"/>
      <c r="AG886" s="389"/>
    </row>
    <row r="887">
      <c r="A887" s="389"/>
      <c r="B887" s="389"/>
      <c r="C887" s="389"/>
      <c r="D887" s="390"/>
      <c r="E887" s="389"/>
      <c r="F887" s="392"/>
      <c r="G887" s="389"/>
      <c r="H887" s="389"/>
      <c r="I887" s="389"/>
      <c r="J887" s="389"/>
      <c r="K887" s="389"/>
      <c r="L887" s="389"/>
      <c r="M887" s="389"/>
      <c r="N887" s="389"/>
      <c r="O887" s="389"/>
      <c r="P887" s="389"/>
      <c r="Q887" s="389"/>
      <c r="R887" s="389"/>
      <c r="S887" s="389"/>
      <c r="T887" s="389"/>
      <c r="U887" s="389"/>
      <c r="V887" s="389"/>
      <c r="W887" s="389"/>
      <c r="X887" s="389"/>
      <c r="Y887" s="389"/>
      <c r="Z887" s="389"/>
      <c r="AA887" s="389"/>
      <c r="AB887" s="389"/>
      <c r="AC887" s="389"/>
      <c r="AD887" s="389"/>
      <c r="AE887" s="389"/>
      <c r="AF887" s="389"/>
      <c r="AG887" s="389"/>
    </row>
    <row r="888">
      <c r="A888" s="389"/>
      <c r="B888" s="389"/>
      <c r="C888" s="389"/>
      <c r="D888" s="390"/>
      <c r="E888" s="389"/>
      <c r="F888" s="392"/>
      <c r="G888" s="389"/>
      <c r="H888" s="389"/>
      <c r="I888" s="389"/>
      <c r="J888" s="389"/>
      <c r="K888" s="389"/>
      <c r="L888" s="389"/>
      <c r="M888" s="389"/>
      <c r="N888" s="389"/>
      <c r="O888" s="389"/>
      <c r="P888" s="389"/>
      <c r="Q888" s="389"/>
      <c r="R888" s="389"/>
      <c r="S888" s="389"/>
      <c r="T888" s="389"/>
      <c r="U888" s="389"/>
      <c r="V888" s="389"/>
      <c r="W888" s="389"/>
      <c r="X888" s="389"/>
      <c r="Y888" s="389"/>
      <c r="Z888" s="389"/>
      <c r="AA888" s="389"/>
      <c r="AB888" s="389"/>
      <c r="AC888" s="389"/>
      <c r="AD888" s="389"/>
      <c r="AE888" s="389"/>
      <c r="AF888" s="389"/>
      <c r="AG888" s="389"/>
    </row>
    <row r="889">
      <c r="A889" s="389"/>
      <c r="B889" s="389"/>
      <c r="C889" s="389"/>
      <c r="D889" s="390"/>
      <c r="E889" s="389"/>
      <c r="F889" s="392"/>
      <c r="G889" s="389"/>
      <c r="H889" s="389"/>
      <c r="I889" s="389"/>
      <c r="J889" s="389"/>
      <c r="K889" s="389"/>
      <c r="L889" s="389"/>
      <c r="M889" s="389"/>
      <c r="N889" s="389"/>
      <c r="O889" s="389"/>
      <c r="P889" s="389"/>
      <c r="Q889" s="389"/>
      <c r="R889" s="389"/>
      <c r="S889" s="389"/>
      <c r="T889" s="389"/>
      <c r="U889" s="389"/>
      <c r="V889" s="389"/>
      <c r="W889" s="389"/>
      <c r="X889" s="389"/>
      <c r="Y889" s="389"/>
      <c r="Z889" s="389"/>
      <c r="AA889" s="389"/>
      <c r="AB889" s="389"/>
      <c r="AC889" s="389"/>
      <c r="AD889" s="389"/>
      <c r="AE889" s="389"/>
      <c r="AF889" s="389"/>
      <c r="AG889" s="389"/>
    </row>
    <row r="890">
      <c r="A890" s="389"/>
      <c r="B890" s="389"/>
      <c r="C890" s="389"/>
      <c r="D890" s="390"/>
      <c r="E890" s="389"/>
      <c r="F890" s="392"/>
      <c r="G890" s="389"/>
      <c r="H890" s="389"/>
      <c r="I890" s="389"/>
      <c r="J890" s="389"/>
      <c r="K890" s="389"/>
      <c r="L890" s="389"/>
      <c r="M890" s="389"/>
      <c r="N890" s="389"/>
      <c r="O890" s="389"/>
      <c r="P890" s="389"/>
      <c r="Q890" s="389"/>
      <c r="R890" s="389"/>
      <c r="S890" s="389"/>
      <c r="T890" s="389"/>
      <c r="U890" s="389"/>
      <c r="V890" s="389"/>
      <c r="W890" s="389"/>
      <c r="X890" s="389"/>
      <c r="Y890" s="389"/>
      <c r="Z890" s="389"/>
      <c r="AA890" s="389"/>
      <c r="AB890" s="389"/>
      <c r="AC890" s="389"/>
      <c r="AD890" s="389"/>
      <c r="AE890" s="389"/>
      <c r="AF890" s="389"/>
      <c r="AG890" s="389"/>
    </row>
    <row r="891">
      <c r="A891" s="389"/>
      <c r="B891" s="389"/>
      <c r="C891" s="389"/>
      <c r="D891" s="390"/>
      <c r="E891" s="389"/>
      <c r="F891" s="392"/>
      <c r="G891" s="389"/>
      <c r="H891" s="389"/>
      <c r="I891" s="389"/>
      <c r="J891" s="389"/>
      <c r="K891" s="389"/>
      <c r="L891" s="389"/>
      <c r="M891" s="389"/>
      <c r="N891" s="389"/>
      <c r="O891" s="389"/>
      <c r="P891" s="389"/>
      <c r="Q891" s="389"/>
      <c r="R891" s="389"/>
      <c r="S891" s="389"/>
      <c r="T891" s="389"/>
      <c r="U891" s="389"/>
      <c r="V891" s="389"/>
      <c r="W891" s="389"/>
      <c r="X891" s="389"/>
      <c r="Y891" s="389"/>
      <c r="Z891" s="389"/>
      <c r="AA891" s="389"/>
      <c r="AB891" s="389"/>
      <c r="AC891" s="389"/>
      <c r="AD891" s="389"/>
      <c r="AE891" s="389"/>
      <c r="AF891" s="389"/>
      <c r="AG891" s="389"/>
    </row>
    <row r="892">
      <c r="A892" s="389"/>
      <c r="B892" s="389"/>
      <c r="C892" s="389"/>
      <c r="D892" s="390"/>
      <c r="E892" s="389"/>
      <c r="F892" s="392"/>
      <c r="G892" s="389"/>
      <c r="H892" s="389"/>
      <c r="I892" s="389"/>
      <c r="J892" s="389"/>
      <c r="K892" s="389"/>
      <c r="L892" s="389"/>
      <c r="M892" s="389"/>
      <c r="N892" s="389"/>
      <c r="O892" s="389"/>
      <c r="P892" s="389"/>
      <c r="Q892" s="389"/>
      <c r="R892" s="389"/>
      <c r="S892" s="389"/>
      <c r="T892" s="389"/>
      <c r="U892" s="389"/>
      <c r="V892" s="389"/>
      <c r="W892" s="389"/>
      <c r="X892" s="389"/>
      <c r="Y892" s="389"/>
      <c r="Z892" s="389"/>
      <c r="AA892" s="389"/>
      <c r="AB892" s="389"/>
      <c r="AC892" s="389"/>
      <c r="AD892" s="389"/>
      <c r="AE892" s="389"/>
      <c r="AF892" s="389"/>
      <c r="AG892" s="389"/>
    </row>
    <row r="893">
      <c r="A893" s="389"/>
      <c r="B893" s="389"/>
      <c r="C893" s="389"/>
      <c r="D893" s="390"/>
      <c r="E893" s="389"/>
      <c r="F893" s="392"/>
      <c r="G893" s="389"/>
      <c r="H893" s="389"/>
      <c r="I893" s="389"/>
      <c r="J893" s="389"/>
      <c r="K893" s="389"/>
      <c r="L893" s="389"/>
      <c r="M893" s="389"/>
      <c r="N893" s="389"/>
      <c r="O893" s="389"/>
      <c r="P893" s="389"/>
      <c r="Q893" s="389"/>
      <c r="R893" s="389"/>
      <c r="S893" s="389"/>
      <c r="T893" s="389"/>
      <c r="U893" s="389"/>
      <c r="V893" s="389"/>
      <c r="W893" s="389"/>
      <c r="X893" s="389"/>
      <c r="Y893" s="389"/>
      <c r="Z893" s="389"/>
      <c r="AA893" s="389"/>
      <c r="AB893" s="389"/>
      <c r="AC893" s="389"/>
      <c r="AD893" s="389"/>
      <c r="AE893" s="389"/>
      <c r="AF893" s="389"/>
      <c r="AG893" s="389"/>
    </row>
    <row r="894">
      <c r="A894" s="389"/>
      <c r="B894" s="389"/>
      <c r="C894" s="389"/>
      <c r="D894" s="390"/>
      <c r="E894" s="389"/>
      <c r="F894" s="392"/>
      <c r="G894" s="389"/>
      <c r="H894" s="389"/>
      <c r="I894" s="389"/>
      <c r="J894" s="389"/>
      <c r="K894" s="389"/>
      <c r="L894" s="389"/>
      <c r="M894" s="389"/>
      <c r="N894" s="389"/>
      <c r="O894" s="389"/>
      <c r="P894" s="389"/>
      <c r="Q894" s="389"/>
      <c r="R894" s="389"/>
      <c r="S894" s="389"/>
      <c r="T894" s="389"/>
      <c r="U894" s="389"/>
      <c r="V894" s="389"/>
      <c r="W894" s="389"/>
      <c r="X894" s="389"/>
      <c r="Y894" s="389"/>
      <c r="Z894" s="389"/>
      <c r="AA894" s="389"/>
      <c r="AB894" s="389"/>
      <c r="AC894" s="389"/>
      <c r="AD894" s="389"/>
      <c r="AE894" s="389"/>
      <c r="AF894" s="389"/>
      <c r="AG894" s="389"/>
    </row>
    <row r="895">
      <c r="A895" s="389"/>
      <c r="B895" s="389"/>
      <c r="C895" s="389"/>
      <c r="D895" s="390"/>
      <c r="E895" s="389"/>
      <c r="F895" s="392"/>
      <c r="G895" s="389"/>
      <c r="H895" s="389"/>
      <c r="I895" s="389"/>
      <c r="J895" s="389"/>
      <c r="K895" s="389"/>
      <c r="L895" s="389"/>
      <c r="M895" s="389"/>
      <c r="N895" s="389"/>
      <c r="O895" s="389"/>
      <c r="P895" s="389"/>
      <c r="Q895" s="389"/>
      <c r="R895" s="389"/>
      <c r="S895" s="389"/>
      <c r="T895" s="389"/>
      <c r="U895" s="389"/>
      <c r="V895" s="389"/>
      <c r="W895" s="389"/>
      <c r="X895" s="389"/>
      <c r="Y895" s="389"/>
      <c r="Z895" s="389"/>
      <c r="AA895" s="389"/>
      <c r="AB895" s="389"/>
      <c r="AC895" s="389"/>
      <c r="AD895" s="389"/>
      <c r="AE895" s="389"/>
      <c r="AF895" s="389"/>
      <c r="AG895" s="389"/>
    </row>
    <row r="896">
      <c r="A896" s="389"/>
      <c r="B896" s="389"/>
      <c r="C896" s="389"/>
      <c r="D896" s="390"/>
      <c r="E896" s="389"/>
      <c r="F896" s="392"/>
      <c r="G896" s="389"/>
      <c r="H896" s="389"/>
      <c r="I896" s="389"/>
      <c r="J896" s="389"/>
      <c r="K896" s="389"/>
      <c r="L896" s="389"/>
      <c r="M896" s="389"/>
      <c r="N896" s="389"/>
      <c r="O896" s="389"/>
      <c r="P896" s="389"/>
      <c r="Q896" s="389"/>
      <c r="R896" s="389"/>
      <c r="S896" s="389"/>
      <c r="T896" s="389"/>
      <c r="U896" s="389"/>
      <c r="V896" s="389"/>
      <c r="W896" s="389"/>
      <c r="X896" s="389"/>
      <c r="Y896" s="389"/>
      <c r="Z896" s="389"/>
      <c r="AA896" s="389"/>
      <c r="AB896" s="389"/>
      <c r="AC896" s="389"/>
      <c r="AD896" s="389"/>
      <c r="AE896" s="389"/>
      <c r="AF896" s="389"/>
      <c r="AG896" s="389"/>
    </row>
    <row r="897">
      <c r="A897" s="389"/>
      <c r="B897" s="389"/>
      <c r="C897" s="389"/>
      <c r="D897" s="390"/>
      <c r="E897" s="389"/>
      <c r="F897" s="392"/>
      <c r="G897" s="389"/>
      <c r="H897" s="389"/>
      <c r="I897" s="389"/>
      <c r="J897" s="389"/>
      <c r="K897" s="389"/>
      <c r="L897" s="389"/>
      <c r="M897" s="389"/>
      <c r="N897" s="389"/>
      <c r="O897" s="389"/>
      <c r="P897" s="389"/>
      <c r="Q897" s="389"/>
      <c r="R897" s="389"/>
      <c r="S897" s="389"/>
      <c r="T897" s="389"/>
      <c r="U897" s="389"/>
      <c r="V897" s="389"/>
      <c r="W897" s="389"/>
      <c r="X897" s="389"/>
      <c r="Y897" s="389"/>
      <c r="Z897" s="389"/>
      <c r="AA897" s="389"/>
      <c r="AB897" s="389"/>
      <c r="AC897" s="389"/>
      <c r="AD897" s="389"/>
      <c r="AE897" s="389"/>
      <c r="AF897" s="389"/>
      <c r="AG897" s="389"/>
    </row>
    <row r="898">
      <c r="A898" s="389"/>
      <c r="B898" s="389"/>
      <c r="C898" s="389"/>
      <c r="D898" s="390"/>
      <c r="E898" s="389"/>
      <c r="F898" s="392"/>
      <c r="G898" s="389"/>
      <c r="H898" s="389"/>
      <c r="I898" s="389"/>
      <c r="J898" s="389"/>
      <c r="K898" s="389"/>
      <c r="L898" s="389"/>
      <c r="M898" s="389"/>
      <c r="N898" s="389"/>
      <c r="O898" s="389"/>
      <c r="P898" s="389"/>
      <c r="Q898" s="389"/>
      <c r="R898" s="389"/>
      <c r="S898" s="389"/>
      <c r="T898" s="389"/>
      <c r="U898" s="389"/>
      <c r="V898" s="389"/>
      <c r="W898" s="389"/>
      <c r="X898" s="389"/>
      <c r="Y898" s="389"/>
      <c r="Z898" s="389"/>
      <c r="AA898" s="389"/>
      <c r="AB898" s="389"/>
      <c r="AC898" s="389"/>
      <c r="AD898" s="389"/>
      <c r="AE898" s="389"/>
      <c r="AF898" s="389"/>
      <c r="AG898" s="389"/>
    </row>
    <row r="899">
      <c r="A899" s="389"/>
      <c r="B899" s="389"/>
      <c r="C899" s="389"/>
      <c r="D899" s="390"/>
      <c r="E899" s="389"/>
      <c r="F899" s="392"/>
      <c r="G899" s="389"/>
      <c r="H899" s="389"/>
      <c r="I899" s="389"/>
      <c r="J899" s="389"/>
      <c r="K899" s="389"/>
      <c r="L899" s="389"/>
      <c r="M899" s="389"/>
      <c r="N899" s="389"/>
      <c r="O899" s="389"/>
      <c r="P899" s="389"/>
      <c r="Q899" s="389"/>
      <c r="R899" s="389"/>
      <c r="S899" s="389"/>
      <c r="T899" s="389"/>
      <c r="U899" s="389"/>
      <c r="V899" s="389"/>
      <c r="W899" s="389"/>
      <c r="X899" s="389"/>
      <c r="Y899" s="389"/>
      <c r="Z899" s="389"/>
      <c r="AA899" s="389"/>
      <c r="AB899" s="389"/>
      <c r="AC899" s="389"/>
      <c r="AD899" s="389"/>
      <c r="AE899" s="389"/>
      <c r="AF899" s="389"/>
      <c r="AG899" s="389"/>
    </row>
    <row r="900">
      <c r="A900" s="389"/>
      <c r="B900" s="389"/>
      <c r="C900" s="389"/>
      <c r="D900" s="390"/>
      <c r="E900" s="389"/>
      <c r="F900" s="392"/>
      <c r="G900" s="389"/>
      <c r="H900" s="389"/>
      <c r="I900" s="389"/>
      <c r="J900" s="389"/>
      <c r="K900" s="389"/>
      <c r="L900" s="389"/>
      <c r="M900" s="389"/>
      <c r="N900" s="389"/>
      <c r="O900" s="389"/>
      <c r="P900" s="389"/>
      <c r="Q900" s="389"/>
      <c r="R900" s="389"/>
      <c r="S900" s="389"/>
      <c r="T900" s="389"/>
      <c r="U900" s="389"/>
      <c r="V900" s="389"/>
      <c r="W900" s="389"/>
      <c r="X900" s="389"/>
      <c r="Y900" s="389"/>
      <c r="Z900" s="389"/>
      <c r="AA900" s="389"/>
      <c r="AB900" s="389"/>
      <c r="AC900" s="389"/>
      <c r="AD900" s="389"/>
      <c r="AE900" s="389"/>
      <c r="AF900" s="389"/>
      <c r="AG900" s="389"/>
    </row>
    <row r="901">
      <c r="A901" s="389"/>
      <c r="B901" s="389"/>
      <c r="C901" s="389"/>
      <c r="D901" s="390"/>
      <c r="E901" s="389"/>
      <c r="F901" s="392"/>
      <c r="G901" s="389"/>
      <c r="H901" s="389"/>
      <c r="I901" s="389"/>
      <c r="J901" s="389"/>
      <c r="K901" s="389"/>
      <c r="L901" s="389"/>
      <c r="M901" s="389"/>
      <c r="N901" s="389"/>
      <c r="O901" s="389"/>
      <c r="P901" s="389"/>
      <c r="Q901" s="389"/>
      <c r="R901" s="389"/>
      <c r="S901" s="389"/>
      <c r="T901" s="389"/>
      <c r="U901" s="389"/>
      <c r="V901" s="389"/>
      <c r="W901" s="389"/>
      <c r="X901" s="389"/>
      <c r="Y901" s="389"/>
      <c r="Z901" s="389"/>
      <c r="AA901" s="389"/>
      <c r="AB901" s="389"/>
      <c r="AC901" s="389"/>
      <c r="AD901" s="389"/>
      <c r="AE901" s="389"/>
      <c r="AF901" s="389"/>
      <c r="AG901" s="389"/>
    </row>
    <row r="902">
      <c r="A902" s="389"/>
      <c r="B902" s="389"/>
      <c r="C902" s="389"/>
      <c r="D902" s="390"/>
      <c r="E902" s="389"/>
      <c r="F902" s="392"/>
      <c r="G902" s="389"/>
      <c r="H902" s="389"/>
      <c r="I902" s="389"/>
      <c r="J902" s="389"/>
      <c r="K902" s="389"/>
      <c r="L902" s="389"/>
      <c r="M902" s="389"/>
      <c r="N902" s="389"/>
      <c r="O902" s="389"/>
      <c r="P902" s="389"/>
      <c r="Q902" s="389"/>
      <c r="R902" s="389"/>
      <c r="S902" s="389"/>
      <c r="T902" s="389"/>
      <c r="U902" s="389"/>
      <c r="V902" s="389"/>
      <c r="W902" s="389"/>
      <c r="X902" s="389"/>
      <c r="Y902" s="389"/>
      <c r="Z902" s="389"/>
      <c r="AA902" s="389"/>
      <c r="AB902" s="389"/>
      <c r="AC902" s="389"/>
      <c r="AD902" s="389"/>
      <c r="AE902" s="389"/>
      <c r="AF902" s="389"/>
      <c r="AG902" s="389"/>
    </row>
    <row r="903">
      <c r="A903" s="389"/>
      <c r="B903" s="389"/>
      <c r="C903" s="389"/>
      <c r="D903" s="390"/>
      <c r="E903" s="389"/>
      <c r="F903" s="392"/>
      <c r="G903" s="389"/>
      <c r="H903" s="389"/>
      <c r="I903" s="389"/>
      <c r="J903" s="389"/>
      <c r="K903" s="389"/>
      <c r="L903" s="389"/>
      <c r="M903" s="389"/>
      <c r="N903" s="389"/>
      <c r="O903" s="389"/>
      <c r="P903" s="389"/>
      <c r="Q903" s="389"/>
      <c r="R903" s="389"/>
      <c r="S903" s="389"/>
      <c r="T903" s="389"/>
      <c r="U903" s="389"/>
      <c r="V903" s="389"/>
      <c r="W903" s="389"/>
      <c r="X903" s="389"/>
      <c r="Y903" s="389"/>
      <c r="Z903" s="389"/>
      <c r="AA903" s="389"/>
      <c r="AB903" s="389"/>
      <c r="AC903" s="389"/>
      <c r="AD903" s="389"/>
      <c r="AE903" s="389"/>
      <c r="AF903" s="389"/>
      <c r="AG903" s="389"/>
    </row>
    <row r="904">
      <c r="A904" s="389"/>
      <c r="B904" s="389"/>
      <c r="C904" s="389"/>
      <c r="D904" s="390"/>
      <c r="E904" s="389"/>
      <c r="F904" s="392"/>
      <c r="G904" s="389"/>
      <c r="H904" s="389"/>
      <c r="I904" s="389"/>
      <c r="J904" s="389"/>
      <c r="K904" s="389"/>
      <c r="L904" s="389"/>
      <c r="M904" s="389"/>
      <c r="N904" s="389"/>
      <c r="O904" s="389"/>
      <c r="P904" s="389"/>
      <c r="Q904" s="389"/>
      <c r="R904" s="389"/>
      <c r="S904" s="389"/>
      <c r="T904" s="389"/>
      <c r="U904" s="389"/>
      <c r="V904" s="389"/>
      <c r="W904" s="389"/>
      <c r="X904" s="389"/>
      <c r="Y904" s="389"/>
      <c r="Z904" s="389"/>
      <c r="AA904" s="389"/>
      <c r="AB904" s="389"/>
      <c r="AC904" s="389"/>
      <c r="AD904" s="389"/>
      <c r="AE904" s="389"/>
      <c r="AF904" s="389"/>
      <c r="AG904" s="389"/>
    </row>
    <row r="905">
      <c r="A905" s="389"/>
      <c r="B905" s="389"/>
      <c r="C905" s="389"/>
      <c r="D905" s="390"/>
      <c r="E905" s="389"/>
      <c r="F905" s="392"/>
      <c r="G905" s="389"/>
      <c r="H905" s="389"/>
      <c r="I905" s="389"/>
      <c r="J905" s="389"/>
      <c r="K905" s="389"/>
      <c r="L905" s="389"/>
      <c r="M905" s="389"/>
      <c r="N905" s="389"/>
      <c r="O905" s="389"/>
      <c r="P905" s="389"/>
      <c r="Q905" s="389"/>
      <c r="R905" s="389"/>
      <c r="S905" s="389"/>
      <c r="T905" s="389"/>
      <c r="U905" s="389"/>
      <c r="V905" s="389"/>
      <c r="W905" s="389"/>
      <c r="X905" s="389"/>
      <c r="Y905" s="389"/>
      <c r="Z905" s="389"/>
      <c r="AA905" s="389"/>
      <c r="AB905" s="389"/>
      <c r="AC905" s="389"/>
      <c r="AD905" s="389"/>
      <c r="AE905" s="389"/>
      <c r="AF905" s="389"/>
      <c r="AG905" s="389"/>
    </row>
    <row r="906">
      <c r="A906" s="389"/>
      <c r="B906" s="389"/>
      <c r="C906" s="389"/>
      <c r="D906" s="390"/>
      <c r="E906" s="389"/>
      <c r="F906" s="392"/>
      <c r="G906" s="389"/>
      <c r="H906" s="389"/>
      <c r="I906" s="389"/>
      <c r="J906" s="389"/>
      <c r="K906" s="389"/>
      <c r="L906" s="389"/>
      <c r="M906" s="389"/>
      <c r="N906" s="389"/>
      <c r="O906" s="389"/>
      <c r="P906" s="389"/>
      <c r="Q906" s="389"/>
      <c r="R906" s="389"/>
      <c r="S906" s="389"/>
      <c r="T906" s="389"/>
      <c r="U906" s="389"/>
      <c r="V906" s="389"/>
      <c r="W906" s="389"/>
      <c r="X906" s="389"/>
      <c r="Y906" s="389"/>
      <c r="Z906" s="389"/>
      <c r="AA906" s="389"/>
      <c r="AB906" s="389"/>
      <c r="AC906" s="389"/>
      <c r="AD906" s="389"/>
      <c r="AE906" s="389"/>
      <c r="AF906" s="389"/>
      <c r="AG906" s="389"/>
    </row>
    <row r="907">
      <c r="A907" s="389"/>
      <c r="B907" s="389"/>
      <c r="C907" s="389"/>
      <c r="D907" s="390"/>
      <c r="E907" s="389"/>
      <c r="F907" s="392"/>
      <c r="G907" s="389"/>
      <c r="H907" s="389"/>
      <c r="I907" s="389"/>
      <c r="J907" s="389"/>
      <c r="K907" s="389"/>
      <c r="L907" s="389"/>
      <c r="M907" s="389"/>
      <c r="N907" s="389"/>
      <c r="O907" s="389"/>
      <c r="P907" s="389"/>
      <c r="Q907" s="389"/>
      <c r="R907" s="389"/>
      <c r="S907" s="389"/>
      <c r="T907" s="389"/>
      <c r="U907" s="389"/>
      <c r="V907" s="389"/>
      <c r="W907" s="389"/>
      <c r="X907" s="389"/>
      <c r="Y907" s="389"/>
      <c r="Z907" s="389"/>
      <c r="AA907" s="389"/>
      <c r="AB907" s="389"/>
      <c r="AC907" s="389"/>
      <c r="AD907" s="389"/>
      <c r="AE907" s="389"/>
      <c r="AF907" s="389"/>
      <c r="AG907" s="389"/>
    </row>
    <row r="908">
      <c r="A908" s="389"/>
      <c r="B908" s="389"/>
      <c r="C908" s="389"/>
      <c r="D908" s="390"/>
      <c r="E908" s="389"/>
      <c r="F908" s="392"/>
      <c r="G908" s="389"/>
      <c r="H908" s="389"/>
      <c r="I908" s="389"/>
      <c r="J908" s="389"/>
      <c r="K908" s="389"/>
      <c r="L908" s="389"/>
      <c r="M908" s="389"/>
      <c r="N908" s="389"/>
      <c r="O908" s="389"/>
      <c r="P908" s="389"/>
      <c r="Q908" s="389"/>
      <c r="R908" s="389"/>
      <c r="S908" s="389"/>
      <c r="T908" s="389"/>
      <c r="U908" s="389"/>
      <c r="V908" s="389"/>
      <c r="W908" s="389"/>
      <c r="X908" s="389"/>
      <c r="Y908" s="389"/>
      <c r="Z908" s="389"/>
      <c r="AA908" s="389"/>
      <c r="AB908" s="389"/>
      <c r="AC908" s="389"/>
      <c r="AD908" s="389"/>
      <c r="AE908" s="389"/>
      <c r="AF908" s="389"/>
      <c r="AG908" s="389"/>
    </row>
    <row r="909">
      <c r="A909" s="389"/>
      <c r="B909" s="389"/>
      <c r="C909" s="389"/>
      <c r="D909" s="390"/>
      <c r="E909" s="389"/>
      <c r="F909" s="392"/>
      <c r="G909" s="389"/>
      <c r="H909" s="389"/>
      <c r="I909" s="389"/>
      <c r="J909" s="389"/>
      <c r="K909" s="389"/>
      <c r="L909" s="389"/>
      <c r="M909" s="389"/>
      <c r="N909" s="389"/>
      <c r="O909" s="389"/>
      <c r="P909" s="389"/>
      <c r="Q909" s="389"/>
      <c r="R909" s="389"/>
      <c r="S909" s="389"/>
      <c r="T909" s="389"/>
      <c r="U909" s="389"/>
      <c r="V909" s="389"/>
      <c r="W909" s="389"/>
      <c r="X909" s="389"/>
      <c r="Y909" s="389"/>
      <c r="Z909" s="389"/>
      <c r="AA909" s="389"/>
      <c r="AB909" s="389"/>
      <c r="AC909" s="389"/>
      <c r="AD909" s="389"/>
      <c r="AE909" s="389"/>
      <c r="AF909" s="389"/>
      <c r="AG909" s="389"/>
    </row>
    <row r="910">
      <c r="A910" s="389"/>
      <c r="B910" s="389"/>
      <c r="C910" s="389"/>
      <c r="D910" s="390"/>
      <c r="E910" s="389"/>
      <c r="F910" s="392"/>
      <c r="G910" s="389"/>
      <c r="H910" s="389"/>
      <c r="I910" s="389"/>
      <c r="J910" s="389"/>
      <c r="K910" s="389"/>
      <c r="L910" s="389"/>
      <c r="M910" s="389"/>
      <c r="N910" s="389"/>
      <c r="O910" s="389"/>
      <c r="P910" s="389"/>
      <c r="Q910" s="389"/>
      <c r="R910" s="389"/>
      <c r="S910" s="389"/>
      <c r="T910" s="389"/>
      <c r="U910" s="389"/>
      <c r="V910" s="389"/>
      <c r="W910" s="389"/>
      <c r="X910" s="389"/>
      <c r="Y910" s="389"/>
      <c r="Z910" s="389"/>
      <c r="AA910" s="389"/>
      <c r="AB910" s="389"/>
      <c r="AC910" s="389"/>
      <c r="AD910" s="389"/>
      <c r="AE910" s="389"/>
      <c r="AF910" s="389"/>
      <c r="AG910" s="389"/>
    </row>
    <row r="911">
      <c r="A911" s="389"/>
      <c r="B911" s="389"/>
      <c r="C911" s="389"/>
      <c r="D911" s="390"/>
      <c r="E911" s="389"/>
      <c r="F911" s="392"/>
      <c r="G911" s="389"/>
      <c r="H911" s="389"/>
      <c r="I911" s="389"/>
      <c r="J911" s="389"/>
      <c r="K911" s="389"/>
      <c r="L911" s="389"/>
      <c r="M911" s="389"/>
      <c r="N911" s="389"/>
      <c r="O911" s="389"/>
      <c r="P911" s="389"/>
      <c r="Q911" s="389"/>
      <c r="R911" s="389"/>
      <c r="S911" s="389"/>
      <c r="T911" s="389"/>
      <c r="U911" s="389"/>
      <c r="V911" s="389"/>
      <c r="W911" s="389"/>
      <c r="X911" s="389"/>
      <c r="Y911" s="389"/>
      <c r="Z911" s="389"/>
      <c r="AA911" s="389"/>
      <c r="AB911" s="389"/>
      <c r="AC911" s="389"/>
      <c r="AD911" s="389"/>
      <c r="AE911" s="389"/>
      <c r="AF911" s="389"/>
      <c r="AG911" s="389"/>
    </row>
    <row r="912">
      <c r="A912" s="389"/>
      <c r="B912" s="389"/>
      <c r="C912" s="389"/>
      <c r="D912" s="390"/>
      <c r="E912" s="389"/>
      <c r="F912" s="392"/>
      <c r="G912" s="389"/>
      <c r="H912" s="389"/>
      <c r="I912" s="389"/>
      <c r="J912" s="389"/>
      <c r="K912" s="389"/>
      <c r="L912" s="389"/>
      <c r="M912" s="389"/>
      <c r="N912" s="389"/>
      <c r="O912" s="389"/>
      <c r="P912" s="389"/>
      <c r="Q912" s="389"/>
      <c r="R912" s="389"/>
      <c r="S912" s="389"/>
      <c r="T912" s="389"/>
      <c r="U912" s="389"/>
      <c r="V912" s="389"/>
      <c r="W912" s="389"/>
      <c r="X912" s="389"/>
      <c r="Y912" s="389"/>
      <c r="Z912" s="389"/>
      <c r="AA912" s="389"/>
      <c r="AB912" s="389"/>
      <c r="AC912" s="389"/>
      <c r="AD912" s="389"/>
      <c r="AE912" s="389"/>
      <c r="AF912" s="389"/>
      <c r="AG912" s="389"/>
    </row>
    <row r="913">
      <c r="A913" s="389"/>
      <c r="B913" s="389"/>
      <c r="C913" s="389"/>
      <c r="D913" s="390"/>
      <c r="E913" s="389"/>
      <c r="F913" s="392"/>
      <c r="G913" s="389"/>
      <c r="H913" s="389"/>
      <c r="I913" s="389"/>
      <c r="J913" s="389"/>
      <c r="K913" s="389"/>
      <c r="L913" s="389"/>
      <c r="M913" s="389"/>
      <c r="N913" s="389"/>
      <c r="O913" s="389"/>
      <c r="P913" s="389"/>
      <c r="Q913" s="389"/>
      <c r="R913" s="389"/>
      <c r="S913" s="389"/>
      <c r="T913" s="389"/>
      <c r="U913" s="389"/>
      <c r="V913" s="389"/>
      <c r="W913" s="389"/>
      <c r="X913" s="389"/>
      <c r="Y913" s="389"/>
      <c r="Z913" s="389"/>
      <c r="AA913" s="389"/>
      <c r="AB913" s="389"/>
      <c r="AC913" s="389"/>
      <c r="AD913" s="389"/>
      <c r="AE913" s="389"/>
      <c r="AF913" s="389"/>
      <c r="AG913" s="389"/>
    </row>
    <row r="914">
      <c r="A914" s="389"/>
      <c r="B914" s="389"/>
      <c r="C914" s="389"/>
      <c r="D914" s="390"/>
      <c r="E914" s="389"/>
      <c r="F914" s="392"/>
      <c r="G914" s="389"/>
      <c r="H914" s="389"/>
      <c r="I914" s="389"/>
      <c r="J914" s="389"/>
      <c r="K914" s="389"/>
      <c r="L914" s="389"/>
      <c r="M914" s="389"/>
      <c r="N914" s="389"/>
      <c r="O914" s="389"/>
      <c r="P914" s="389"/>
      <c r="Q914" s="389"/>
      <c r="R914" s="389"/>
      <c r="S914" s="389"/>
      <c r="T914" s="389"/>
      <c r="U914" s="389"/>
      <c r="V914" s="389"/>
      <c r="W914" s="389"/>
      <c r="X914" s="389"/>
      <c r="Y914" s="389"/>
      <c r="Z914" s="389"/>
      <c r="AA914" s="389"/>
      <c r="AB914" s="389"/>
      <c r="AC914" s="389"/>
      <c r="AD914" s="389"/>
      <c r="AE914" s="389"/>
      <c r="AF914" s="389"/>
      <c r="AG914" s="389"/>
    </row>
    <row r="915">
      <c r="A915" s="389"/>
      <c r="B915" s="389"/>
      <c r="C915" s="389"/>
      <c r="D915" s="390"/>
      <c r="E915" s="389"/>
      <c r="F915" s="392"/>
      <c r="G915" s="389"/>
      <c r="H915" s="389"/>
      <c r="I915" s="389"/>
      <c r="J915" s="389"/>
      <c r="K915" s="389"/>
      <c r="L915" s="389"/>
      <c r="M915" s="389"/>
      <c r="N915" s="389"/>
      <c r="O915" s="389"/>
      <c r="P915" s="389"/>
      <c r="Q915" s="389"/>
      <c r="R915" s="389"/>
      <c r="S915" s="389"/>
      <c r="T915" s="389"/>
      <c r="U915" s="389"/>
      <c r="V915" s="389"/>
      <c r="W915" s="389"/>
      <c r="X915" s="389"/>
      <c r="Y915" s="389"/>
      <c r="Z915" s="389"/>
      <c r="AA915" s="389"/>
      <c r="AB915" s="389"/>
      <c r="AC915" s="389"/>
      <c r="AD915" s="389"/>
      <c r="AE915" s="389"/>
      <c r="AF915" s="389"/>
      <c r="AG915" s="389"/>
    </row>
    <row r="916">
      <c r="A916" s="389"/>
      <c r="B916" s="389"/>
      <c r="C916" s="389"/>
      <c r="D916" s="390"/>
      <c r="E916" s="389"/>
      <c r="F916" s="392"/>
      <c r="G916" s="389"/>
      <c r="H916" s="389"/>
      <c r="I916" s="389"/>
      <c r="J916" s="389"/>
      <c r="K916" s="389"/>
      <c r="L916" s="389"/>
      <c r="M916" s="389"/>
      <c r="N916" s="389"/>
      <c r="O916" s="389"/>
      <c r="P916" s="389"/>
      <c r="Q916" s="389"/>
      <c r="R916" s="389"/>
      <c r="S916" s="389"/>
      <c r="T916" s="389"/>
      <c r="U916" s="389"/>
      <c r="V916" s="389"/>
      <c r="W916" s="389"/>
      <c r="X916" s="389"/>
      <c r="Y916" s="389"/>
      <c r="Z916" s="389"/>
      <c r="AA916" s="389"/>
      <c r="AB916" s="389"/>
      <c r="AC916" s="389"/>
      <c r="AD916" s="389"/>
      <c r="AE916" s="389"/>
      <c r="AF916" s="389"/>
      <c r="AG916" s="389"/>
    </row>
    <row r="917">
      <c r="A917" s="389"/>
      <c r="B917" s="389"/>
      <c r="C917" s="389"/>
      <c r="D917" s="390"/>
      <c r="E917" s="389"/>
      <c r="F917" s="392"/>
      <c r="G917" s="389"/>
      <c r="H917" s="389"/>
      <c r="I917" s="389"/>
      <c r="J917" s="389"/>
      <c r="K917" s="389"/>
      <c r="L917" s="389"/>
      <c r="M917" s="389"/>
      <c r="N917" s="389"/>
      <c r="O917" s="389"/>
      <c r="P917" s="389"/>
      <c r="Q917" s="389"/>
      <c r="R917" s="389"/>
      <c r="S917" s="389"/>
      <c r="T917" s="389"/>
      <c r="U917" s="389"/>
      <c r="V917" s="389"/>
      <c r="W917" s="389"/>
      <c r="X917" s="389"/>
      <c r="Y917" s="389"/>
      <c r="Z917" s="389"/>
      <c r="AA917" s="389"/>
      <c r="AB917" s="389"/>
      <c r="AC917" s="389"/>
      <c r="AD917" s="389"/>
      <c r="AE917" s="389"/>
      <c r="AF917" s="389"/>
      <c r="AG917" s="389"/>
    </row>
    <row r="918">
      <c r="A918" s="389"/>
      <c r="B918" s="389"/>
      <c r="C918" s="389"/>
      <c r="D918" s="390"/>
      <c r="E918" s="389"/>
      <c r="F918" s="392"/>
      <c r="G918" s="389"/>
      <c r="H918" s="389"/>
      <c r="I918" s="389"/>
      <c r="J918" s="389"/>
      <c r="K918" s="389"/>
      <c r="L918" s="389"/>
      <c r="M918" s="389"/>
      <c r="N918" s="389"/>
      <c r="O918" s="389"/>
      <c r="P918" s="389"/>
      <c r="Q918" s="389"/>
      <c r="R918" s="389"/>
      <c r="S918" s="389"/>
      <c r="T918" s="389"/>
      <c r="U918" s="389"/>
      <c r="V918" s="389"/>
      <c r="W918" s="389"/>
      <c r="X918" s="389"/>
      <c r="Y918" s="389"/>
      <c r="Z918" s="389"/>
      <c r="AA918" s="389"/>
      <c r="AB918" s="389"/>
      <c r="AC918" s="389"/>
      <c r="AD918" s="389"/>
      <c r="AE918" s="389"/>
      <c r="AF918" s="389"/>
      <c r="AG918" s="389"/>
    </row>
    <row r="919">
      <c r="A919" s="389"/>
      <c r="B919" s="389"/>
      <c r="C919" s="389"/>
      <c r="D919" s="390"/>
      <c r="E919" s="389"/>
      <c r="F919" s="392"/>
      <c r="G919" s="389"/>
      <c r="H919" s="389"/>
      <c r="I919" s="389"/>
      <c r="J919" s="389"/>
      <c r="K919" s="389"/>
      <c r="L919" s="389"/>
      <c r="M919" s="389"/>
      <c r="N919" s="389"/>
      <c r="O919" s="389"/>
      <c r="P919" s="389"/>
      <c r="Q919" s="389"/>
      <c r="R919" s="389"/>
      <c r="S919" s="389"/>
      <c r="T919" s="389"/>
      <c r="U919" s="389"/>
      <c r="V919" s="389"/>
      <c r="W919" s="389"/>
      <c r="X919" s="389"/>
      <c r="Y919" s="389"/>
      <c r="Z919" s="389"/>
      <c r="AA919" s="389"/>
      <c r="AB919" s="389"/>
      <c r="AC919" s="389"/>
      <c r="AD919" s="389"/>
      <c r="AE919" s="389"/>
      <c r="AF919" s="389"/>
      <c r="AG919" s="389"/>
    </row>
    <row r="920">
      <c r="A920" s="389"/>
      <c r="B920" s="389"/>
      <c r="C920" s="389"/>
      <c r="D920" s="390"/>
      <c r="E920" s="389"/>
      <c r="F920" s="392"/>
      <c r="G920" s="389"/>
      <c r="H920" s="389"/>
      <c r="I920" s="389"/>
      <c r="J920" s="389"/>
      <c r="K920" s="389"/>
      <c r="L920" s="389"/>
      <c r="M920" s="389"/>
      <c r="N920" s="389"/>
      <c r="O920" s="389"/>
      <c r="P920" s="389"/>
      <c r="Q920" s="389"/>
      <c r="R920" s="389"/>
      <c r="S920" s="389"/>
      <c r="T920" s="389"/>
      <c r="U920" s="389"/>
      <c r="V920" s="389"/>
      <c r="W920" s="389"/>
      <c r="X920" s="389"/>
      <c r="Y920" s="389"/>
      <c r="Z920" s="389"/>
      <c r="AA920" s="389"/>
      <c r="AB920" s="389"/>
      <c r="AC920" s="389"/>
      <c r="AD920" s="389"/>
      <c r="AE920" s="389"/>
      <c r="AF920" s="389"/>
      <c r="AG920" s="389"/>
    </row>
    <row r="921">
      <c r="A921" s="389"/>
      <c r="B921" s="389"/>
      <c r="C921" s="389"/>
      <c r="D921" s="390"/>
      <c r="E921" s="389"/>
      <c r="F921" s="392"/>
      <c r="G921" s="389"/>
      <c r="H921" s="389"/>
      <c r="I921" s="389"/>
      <c r="J921" s="389"/>
      <c r="K921" s="389"/>
      <c r="L921" s="389"/>
      <c r="M921" s="389"/>
      <c r="N921" s="389"/>
      <c r="O921" s="389"/>
      <c r="P921" s="389"/>
      <c r="Q921" s="389"/>
      <c r="R921" s="389"/>
      <c r="S921" s="389"/>
      <c r="T921" s="389"/>
      <c r="U921" s="389"/>
      <c r="V921" s="389"/>
      <c r="W921" s="389"/>
      <c r="X921" s="389"/>
      <c r="Y921" s="389"/>
      <c r="Z921" s="389"/>
      <c r="AA921" s="389"/>
      <c r="AB921" s="389"/>
      <c r="AC921" s="389"/>
      <c r="AD921" s="389"/>
      <c r="AE921" s="389"/>
      <c r="AF921" s="389"/>
      <c r="AG921" s="389"/>
    </row>
    <row r="922">
      <c r="A922" s="389"/>
      <c r="B922" s="389"/>
      <c r="C922" s="389"/>
      <c r="D922" s="390"/>
      <c r="E922" s="389"/>
      <c r="F922" s="392"/>
      <c r="G922" s="389"/>
      <c r="H922" s="389"/>
      <c r="I922" s="389"/>
      <c r="J922" s="389"/>
      <c r="K922" s="389"/>
      <c r="L922" s="389"/>
      <c r="M922" s="389"/>
      <c r="N922" s="389"/>
      <c r="O922" s="389"/>
      <c r="P922" s="389"/>
      <c r="Q922" s="389"/>
      <c r="R922" s="389"/>
      <c r="S922" s="389"/>
      <c r="T922" s="389"/>
      <c r="U922" s="389"/>
      <c r="V922" s="389"/>
      <c r="W922" s="389"/>
      <c r="X922" s="389"/>
      <c r="Y922" s="389"/>
      <c r="Z922" s="389"/>
      <c r="AA922" s="389"/>
      <c r="AB922" s="389"/>
      <c r="AC922" s="389"/>
      <c r="AD922" s="389"/>
      <c r="AE922" s="389"/>
      <c r="AF922" s="389"/>
      <c r="AG922" s="389"/>
    </row>
    <row r="923">
      <c r="A923" s="389"/>
      <c r="B923" s="389"/>
      <c r="C923" s="389"/>
      <c r="D923" s="390"/>
      <c r="E923" s="389"/>
      <c r="F923" s="392"/>
      <c r="G923" s="389"/>
      <c r="H923" s="389"/>
      <c r="I923" s="389"/>
      <c r="J923" s="389"/>
      <c r="K923" s="389"/>
      <c r="L923" s="389"/>
      <c r="M923" s="389"/>
      <c r="N923" s="389"/>
      <c r="O923" s="389"/>
      <c r="P923" s="389"/>
      <c r="Q923" s="389"/>
      <c r="R923" s="389"/>
      <c r="S923" s="389"/>
      <c r="T923" s="389"/>
      <c r="U923" s="389"/>
      <c r="V923" s="389"/>
      <c r="W923" s="389"/>
      <c r="X923" s="389"/>
      <c r="Y923" s="389"/>
      <c r="Z923" s="389"/>
      <c r="AA923" s="389"/>
      <c r="AB923" s="389"/>
      <c r="AC923" s="389"/>
      <c r="AD923" s="389"/>
      <c r="AE923" s="389"/>
      <c r="AF923" s="389"/>
      <c r="AG923" s="389"/>
    </row>
    <row r="924">
      <c r="A924" s="389"/>
      <c r="B924" s="389"/>
      <c r="C924" s="389"/>
      <c r="D924" s="390"/>
      <c r="E924" s="389"/>
      <c r="F924" s="392"/>
      <c r="G924" s="389"/>
      <c r="H924" s="389"/>
      <c r="I924" s="389"/>
      <c r="J924" s="389"/>
      <c r="K924" s="389"/>
      <c r="L924" s="389"/>
      <c r="M924" s="389"/>
      <c r="N924" s="389"/>
      <c r="O924" s="389"/>
      <c r="P924" s="389"/>
      <c r="Q924" s="389"/>
      <c r="R924" s="389"/>
      <c r="S924" s="389"/>
      <c r="T924" s="389"/>
      <c r="U924" s="389"/>
      <c r="V924" s="389"/>
      <c r="W924" s="389"/>
      <c r="X924" s="389"/>
      <c r="Y924" s="389"/>
      <c r="Z924" s="389"/>
      <c r="AA924" s="389"/>
      <c r="AB924" s="389"/>
      <c r="AC924" s="389"/>
      <c r="AD924" s="389"/>
      <c r="AE924" s="389"/>
      <c r="AF924" s="389"/>
      <c r="AG924" s="389"/>
    </row>
    <row r="925">
      <c r="A925" s="389"/>
      <c r="B925" s="389"/>
      <c r="C925" s="389"/>
      <c r="D925" s="390"/>
      <c r="E925" s="389"/>
      <c r="F925" s="392"/>
      <c r="G925" s="389"/>
      <c r="H925" s="389"/>
      <c r="I925" s="389"/>
      <c r="J925" s="389"/>
      <c r="K925" s="389"/>
      <c r="L925" s="389"/>
      <c r="M925" s="389"/>
      <c r="N925" s="389"/>
      <c r="O925" s="389"/>
      <c r="P925" s="389"/>
      <c r="Q925" s="389"/>
      <c r="R925" s="389"/>
      <c r="S925" s="389"/>
      <c r="T925" s="389"/>
      <c r="U925" s="389"/>
      <c r="V925" s="389"/>
      <c r="W925" s="389"/>
      <c r="X925" s="389"/>
      <c r="Y925" s="389"/>
      <c r="Z925" s="389"/>
      <c r="AA925" s="389"/>
      <c r="AB925" s="389"/>
      <c r="AC925" s="389"/>
      <c r="AD925" s="389"/>
      <c r="AE925" s="389"/>
      <c r="AF925" s="389"/>
      <c r="AG925" s="389"/>
    </row>
    <row r="926">
      <c r="A926" s="389"/>
      <c r="B926" s="389"/>
      <c r="C926" s="389"/>
      <c r="D926" s="390"/>
      <c r="E926" s="389"/>
      <c r="F926" s="392"/>
      <c r="G926" s="389"/>
      <c r="H926" s="389"/>
      <c r="I926" s="389"/>
      <c r="J926" s="389"/>
      <c r="K926" s="389"/>
      <c r="L926" s="389"/>
      <c r="M926" s="389"/>
      <c r="N926" s="389"/>
      <c r="O926" s="389"/>
      <c r="P926" s="389"/>
      <c r="Q926" s="389"/>
      <c r="R926" s="389"/>
      <c r="S926" s="389"/>
      <c r="T926" s="389"/>
      <c r="U926" s="389"/>
      <c r="V926" s="389"/>
      <c r="W926" s="389"/>
      <c r="X926" s="389"/>
      <c r="Y926" s="389"/>
      <c r="Z926" s="389"/>
      <c r="AA926" s="389"/>
      <c r="AB926" s="389"/>
      <c r="AC926" s="389"/>
      <c r="AD926" s="389"/>
      <c r="AE926" s="389"/>
      <c r="AF926" s="389"/>
      <c r="AG926" s="389"/>
    </row>
    <row r="927">
      <c r="A927" s="389"/>
      <c r="B927" s="389"/>
      <c r="C927" s="389"/>
      <c r="D927" s="390"/>
      <c r="E927" s="389"/>
      <c r="F927" s="392"/>
      <c r="G927" s="389"/>
      <c r="H927" s="389"/>
      <c r="I927" s="389"/>
      <c r="J927" s="389"/>
      <c r="K927" s="389"/>
      <c r="L927" s="389"/>
      <c r="M927" s="389"/>
      <c r="N927" s="389"/>
      <c r="O927" s="389"/>
      <c r="P927" s="389"/>
      <c r="Q927" s="389"/>
      <c r="R927" s="389"/>
      <c r="S927" s="389"/>
      <c r="T927" s="389"/>
      <c r="U927" s="389"/>
      <c r="V927" s="389"/>
      <c r="W927" s="389"/>
      <c r="X927" s="389"/>
      <c r="Y927" s="389"/>
      <c r="Z927" s="389"/>
      <c r="AA927" s="389"/>
      <c r="AB927" s="389"/>
      <c r="AC927" s="389"/>
      <c r="AD927" s="389"/>
      <c r="AE927" s="389"/>
      <c r="AF927" s="389"/>
      <c r="AG927" s="389"/>
    </row>
    <row r="928">
      <c r="A928" s="389"/>
      <c r="B928" s="389"/>
      <c r="C928" s="389"/>
      <c r="D928" s="390"/>
      <c r="E928" s="389"/>
      <c r="F928" s="392"/>
      <c r="G928" s="389"/>
      <c r="H928" s="389"/>
      <c r="I928" s="389"/>
      <c r="J928" s="389"/>
      <c r="K928" s="389"/>
      <c r="L928" s="389"/>
      <c r="M928" s="389"/>
      <c r="N928" s="389"/>
      <c r="O928" s="389"/>
      <c r="P928" s="389"/>
      <c r="Q928" s="389"/>
      <c r="R928" s="389"/>
      <c r="S928" s="389"/>
      <c r="T928" s="389"/>
      <c r="U928" s="389"/>
      <c r="V928" s="389"/>
      <c r="W928" s="389"/>
      <c r="X928" s="389"/>
      <c r="Y928" s="389"/>
      <c r="Z928" s="389"/>
      <c r="AA928" s="389"/>
      <c r="AB928" s="389"/>
      <c r="AC928" s="389"/>
      <c r="AD928" s="389"/>
      <c r="AE928" s="389"/>
      <c r="AF928" s="389"/>
      <c r="AG928" s="389"/>
    </row>
    <row r="929">
      <c r="A929" s="389"/>
      <c r="B929" s="389"/>
      <c r="C929" s="389"/>
      <c r="D929" s="390"/>
      <c r="E929" s="389"/>
      <c r="F929" s="392"/>
      <c r="G929" s="389"/>
      <c r="H929" s="389"/>
      <c r="I929" s="389"/>
      <c r="J929" s="389"/>
      <c r="K929" s="389"/>
      <c r="L929" s="389"/>
      <c r="M929" s="389"/>
      <c r="N929" s="389"/>
      <c r="O929" s="389"/>
      <c r="P929" s="389"/>
      <c r="Q929" s="389"/>
      <c r="R929" s="389"/>
      <c r="S929" s="389"/>
      <c r="T929" s="389"/>
      <c r="U929" s="389"/>
      <c r="V929" s="389"/>
      <c r="W929" s="389"/>
      <c r="X929" s="389"/>
      <c r="Y929" s="389"/>
      <c r="Z929" s="389"/>
      <c r="AA929" s="389"/>
      <c r="AB929" s="389"/>
      <c r="AC929" s="389"/>
      <c r="AD929" s="389"/>
      <c r="AE929" s="389"/>
      <c r="AF929" s="389"/>
      <c r="AG929" s="389"/>
    </row>
    <row r="930">
      <c r="A930" s="389"/>
      <c r="B930" s="389"/>
      <c r="C930" s="389"/>
      <c r="D930" s="390"/>
      <c r="E930" s="389"/>
      <c r="F930" s="392"/>
      <c r="G930" s="389"/>
      <c r="H930" s="389"/>
      <c r="I930" s="389"/>
      <c r="J930" s="389"/>
      <c r="K930" s="389"/>
      <c r="L930" s="389"/>
      <c r="M930" s="389"/>
      <c r="N930" s="389"/>
      <c r="O930" s="389"/>
      <c r="P930" s="389"/>
      <c r="Q930" s="389"/>
      <c r="R930" s="389"/>
      <c r="S930" s="389"/>
      <c r="T930" s="389"/>
      <c r="U930" s="389"/>
      <c r="V930" s="389"/>
      <c r="W930" s="389"/>
      <c r="X930" s="389"/>
      <c r="Y930" s="389"/>
      <c r="Z930" s="389"/>
      <c r="AA930" s="389"/>
      <c r="AB930" s="389"/>
      <c r="AC930" s="389"/>
      <c r="AD930" s="389"/>
      <c r="AE930" s="389"/>
      <c r="AF930" s="389"/>
      <c r="AG930" s="389"/>
    </row>
    <row r="931">
      <c r="A931" s="389"/>
      <c r="B931" s="389"/>
      <c r="C931" s="389"/>
      <c r="D931" s="390"/>
      <c r="E931" s="389"/>
      <c r="F931" s="392"/>
      <c r="G931" s="389"/>
      <c r="H931" s="389"/>
      <c r="I931" s="389"/>
      <c r="J931" s="389"/>
      <c r="K931" s="389"/>
      <c r="L931" s="389"/>
      <c r="M931" s="389"/>
      <c r="N931" s="389"/>
      <c r="O931" s="389"/>
      <c r="P931" s="389"/>
      <c r="Q931" s="389"/>
      <c r="R931" s="389"/>
      <c r="S931" s="389"/>
      <c r="T931" s="389"/>
      <c r="U931" s="389"/>
      <c r="V931" s="389"/>
      <c r="W931" s="389"/>
      <c r="X931" s="389"/>
      <c r="Y931" s="389"/>
      <c r="Z931" s="389"/>
      <c r="AA931" s="389"/>
      <c r="AB931" s="389"/>
      <c r="AC931" s="389"/>
      <c r="AD931" s="389"/>
      <c r="AE931" s="389"/>
      <c r="AF931" s="389"/>
      <c r="AG931" s="389"/>
    </row>
    <row r="932">
      <c r="A932" s="389"/>
      <c r="B932" s="389"/>
      <c r="C932" s="389"/>
      <c r="D932" s="390"/>
      <c r="E932" s="389"/>
      <c r="F932" s="392"/>
      <c r="G932" s="389"/>
      <c r="H932" s="389"/>
      <c r="I932" s="389"/>
      <c r="J932" s="389"/>
      <c r="K932" s="389"/>
      <c r="L932" s="389"/>
      <c r="M932" s="389"/>
      <c r="N932" s="389"/>
      <c r="O932" s="389"/>
      <c r="P932" s="389"/>
      <c r="Q932" s="389"/>
      <c r="R932" s="389"/>
      <c r="S932" s="389"/>
      <c r="T932" s="389"/>
      <c r="U932" s="389"/>
      <c r="V932" s="389"/>
      <c r="W932" s="389"/>
      <c r="X932" s="389"/>
      <c r="Y932" s="389"/>
      <c r="Z932" s="389"/>
      <c r="AA932" s="389"/>
      <c r="AB932" s="389"/>
      <c r="AC932" s="389"/>
      <c r="AD932" s="389"/>
      <c r="AE932" s="389"/>
      <c r="AF932" s="389"/>
      <c r="AG932" s="389"/>
    </row>
    <row r="933">
      <c r="A933" s="389"/>
      <c r="B933" s="389"/>
      <c r="C933" s="389"/>
      <c r="D933" s="390"/>
      <c r="E933" s="389"/>
      <c r="F933" s="392"/>
      <c r="G933" s="389"/>
      <c r="H933" s="389"/>
      <c r="I933" s="389"/>
      <c r="J933" s="389"/>
      <c r="K933" s="389"/>
      <c r="L933" s="389"/>
      <c r="M933" s="389"/>
      <c r="N933" s="389"/>
      <c r="O933" s="389"/>
      <c r="P933" s="389"/>
      <c r="Q933" s="389"/>
      <c r="R933" s="389"/>
      <c r="S933" s="389"/>
      <c r="T933" s="389"/>
      <c r="U933" s="389"/>
      <c r="V933" s="389"/>
      <c r="W933" s="389"/>
      <c r="X933" s="389"/>
      <c r="Y933" s="389"/>
      <c r="Z933" s="389"/>
      <c r="AA933" s="389"/>
      <c r="AB933" s="389"/>
      <c r="AC933" s="389"/>
      <c r="AD933" s="389"/>
      <c r="AE933" s="389"/>
      <c r="AF933" s="389"/>
      <c r="AG933" s="389"/>
    </row>
    <row r="934">
      <c r="A934" s="389"/>
      <c r="B934" s="389"/>
      <c r="C934" s="389"/>
      <c r="D934" s="390"/>
      <c r="E934" s="389"/>
      <c r="F934" s="392"/>
      <c r="G934" s="389"/>
      <c r="H934" s="389"/>
      <c r="I934" s="389"/>
      <c r="J934" s="389"/>
      <c r="K934" s="389"/>
      <c r="L934" s="389"/>
      <c r="M934" s="389"/>
      <c r="N934" s="389"/>
      <c r="O934" s="389"/>
      <c r="P934" s="389"/>
      <c r="Q934" s="389"/>
      <c r="R934" s="389"/>
      <c r="S934" s="389"/>
      <c r="T934" s="389"/>
      <c r="U934" s="389"/>
      <c r="V934" s="389"/>
      <c r="W934" s="389"/>
      <c r="X934" s="389"/>
      <c r="Y934" s="389"/>
      <c r="Z934" s="389"/>
      <c r="AA934" s="389"/>
      <c r="AB934" s="389"/>
      <c r="AC934" s="389"/>
      <c r="AD934" s="389"/>
      <c r="AE934" s="389"/>
      <c r="AF934" s="389"/>
      <c r="AG934" s="389"/>
    </row>
    <row r="935">
      <c r="A935" s="389"/>
      <c r="B935" s="389"/>
      <c r="C935" s="389"/>
      <c r="D935" s="390"/>
      <c r="E935" s="389"/>
      <c r="F935" s="392"/>
      <c r="G935" s="389"/>
      <c r="H935" s="389"/>
      <c r="I935" s="389"/>
      <c r="J935" s="389"/>
      <c r="K935" s="389"/>
      <c r="L935" s="389"/>
      <c r="M935" s="389"/>
      <c r="N935" s="389"/>
      <c r="O935" s="389"/>
      <c r="P935" s="389"/>
      <c r="Q935" s="389"/>
      <c r="R935" s="389"/>
      <c r="S935" s="389"/>
      <c r="T935" s="389"/>
      <c r="U935" s="389"/>
      <c r="V935" s="389"/>
      <c r="W935" s="389"/>
      <c r="X935" s="389"/>
      <c r="Y935" s="389"/>
      <c r="Z935" s="389"/>
      <c r="AA935" s="389"/>
      <c r="AB935" s="389"/>
      <c r="AC935" s="389"/>
      <c r="AD935" s="389"/>
      <c r="AE935" s="389"/>
      <c r="AF935" s="389"/>
      <c r="AG935" s="389"/>
    </row>
    <row r="936">
      <c r="A936" s="389"/>
      <c r="B936" s="389"/>
      <c r="C936" s="389"/>
      <c r="D936" s="390"/>
      <c r="E936" s="389"/>
      <c r="F936" s="392"/>
      <c r="G936" s="389"/>
      <c r="H936" s="389"/>
      <c r="I936" s="389"/>
      <c r="J936" s="389"/>
      <c r="K936" s="389"/>
      <c r="L936" s="389"/>
      <c r="M936" s="389"/>
      <c r="N936" s="389"/>
      <c r="O936" s="389"/>
      <c r="P936" s="389"/>
      <c r="Q936" s="389"/>
      <c r="R936" s="389"/>
      <c r="S936" s="389"/>
      <c r="T936" s="389"/>
      <c r="U936" s="389"/>
      <c r="V936" s="389"/>
      <c r="W936" s="389"/>
      <c r="X936" s="389"/>
      <c r="Y936" s="389"/>
      <c r="Z936" s="389"/>
      <c r="AA936" s="389"/>
      <c r="AB936" s="389"/>
      <c r="AC936" s="389"/>
      <c r="AD936" s="389"/>
      <c r="AE936" s="389"/>
      <c r="AF936" s="389"/>
      <c r="AG936" s="389"/>
    </row>
    <row r="937">
      <c r="A937" s="389"/>
      <c r="B937" s="389"/>
      <c r="C937" s="389"/>
      <c r="D937" s="390"/>
      <c r="E937" s="389"/>
      <c r="F937" s="392"/>
      <c r="G937" s="389"/>
      <c r="H937" s="389"/>
      <c r="I937" s="389"/>
      <c r="J937" s="389"/>
      <c r="K937" s="389"/>
      <c r="L937" s="389"/>
      <c r="M937" s="389"/>
      <c r="N937" s="389"/>
      <c r="O937" s="389"/>
      <c r="P937" s="389"/>
      <c r="Q937" s="389"/>
      <c r="R937" s="389"/>
      <c r="S937" s="389"/>
      <c r="T937" s="389"/>
      <c r="U937" s="389"/>
      <c r="V937" s="389"/>
      <c r="W937" s="389"/>
      <c r="X937" s="389"/>
      <c r="Y937" s="389"/>
      <c r="Z937" s="389"/>
      <c r="AA937" s="389"/>
      <c r="AB937" s="389"/>
      <c r="AC937" s="389"/>
      <c r="AD937" s="389"/>
      <c r="AE937" s="389"/>
      <c r="AF937" s="389"/>
      <c r="AG937" s="389"/>
    </row>
    <row r="938">
      <c r="A938" s="389"/>
      <c r="B938" s="389"/>
      <c r="C938" s="389"/>
      <c r="D938" s="390"/>
      <c r="E938" s="389"/>
      <c r="F938" s="392"/>
      <c r="G938" s="389"/>
      <c r="H938" s="389"/>
      <c r="I938" s="389"/>
      <c r="J938" s="389"/>
      <c r="K938" s="389"/>
      <c r="L938" s="389"/>
      <c r="M938" s="389"/>
      <c r="N938" s="389"/>
      <c r="O938" s="389"/>
      <c r="P938" s="389"/>
      <c r="Q938" s="389"/>
      <c r="R938" s="389"/>
      <c r="S938" s="389"/>
      <c r="T938" s="389"/>
      <c r="U938" s="389"/>
      <c r="V938" s="389"/>
      <c r="W938" s="389"/>
      <c r="X938" s="389"/>
      <c r="Y938" s="389"/>
      <c r="Z938" s="389"/>
      <c r="AA938" s="389"/>
      <c r="AB938" s="389"/>
      <c r="AC938" s="389"/>
      <c r="AD938" s="389"/>
      <c r="AE938" s="389"/>
      <c r="AF938" s="389"/>
      <c r="AG938" s="389"/>
    </row>
    <row r="939">
      <c r="A939" s="389"/>
      <c r="B939" s="389"/>
      <c r="C939" s="389"/>
      <c r="D939" s="390"/>
      <c r="E939" s="389"/>
      <c r="F939" s="392"/>
      <c r="G939" s="389"/>
      <c r="H939" s="389"/>
      <c r="I939" s="389"/>
      <c r="J939" s="389"/>
      <c r="K939" s="389"/>
      <c r="L939" s="389"/>
      <c r="M939" s="389"/>
      <c r="N939" s="389"/>
      <c r="O939" s="389"/>
      <c r="P939" s="389"/>
      <c r="Q939" s="389"/>
      <c r="R939" s="389"/>
      <c r="S939" s="389"/>
      <c r="T939" s="389"/>
      <c r="U939" s="389"/>
      <c r="V939" s="389"/>
      <c r="W939" s="389"/>
      <c r="X939" s="389"/>
      <c r="Y939" s="389"/>
      <c r="Z939" s="389"/>
      <c r="AA939" s="389"/>
      <c r="AB939" s="389"/>
      <c r="AC939" s="389"/>
      <c r="AD939" s="389"/>
      <c r="AE939" s="389"/>
      <c r="AF939" s="389"/>
      <c r="AG939" s="389"/>
    </row>
    <row r="940">
      <c r="A940" s="389"/>
      <c r="B940" s="389"/>
      <c r="C940" s="389"/>
      <c r="D940" s="390"/>
      <c r="E940" s="389"/>
      <c r="F940" s="392"/>
      <c r="G940" s="389"/>
      <c r="H940" s="389"/>
      <c r="I940" s="389"/>
      <c r="J940" s="389"/>
      <c r="K940" s="389"/>
      <c r="L940" s="389"/>
      <c r="M940" s="389"/>
      <c r="N940" s="389"/>
      <c r="O940" s="389"/>
      <c r="P940" s="389"/>
      <c r="Q940" s="389"/>
      <c r="R940" s="389"/>
      <c r="S940" s="389"/>
      <c r="T940" s="389"/>
      <c r="U940" s="389"/>
      <c r="V940" s="389"/>
      <c r="W940" s="389"/>
      <c r="X940" s="389"/>
      <c r="Y940" s="389"/>
      <c r="Z940" s="389"/>
      <c r="AA940" s="389"/>
      <c r="AB940" s="389"/>
      <c r="AC940" s="389"/>
      <c r="AD940" s="389"/>
      <c r="AE940" s="389"/>
      <c r="AF940" s="389"/>
      <c r="AG940" s="389"/>
    </row>
    <row r="941">
      <c r="A941" s="389"/>
      <c r="B941" s="389"/>
      <c r="C941" s="389"/>
      <c r="D941" s="390"/>
      <c r="E941" s="389"/>
      <c r="F941" s="392"/>
      <c r="G941" s="389"/>
      <c r="H941" s="389"/>
      <c r="I941" s="389"/>
      <c r="J941" s="389"/>
      <c r="K941" s="389"/>
      <c r="L941" s="389"/>
      <c r="M941" s="389"/>
      <c r="N941" s="389"/>
      <c r="O941" s="389"/>
      <c r="P941" s="389"/>
      <c r="Q941" s="389"/>
      <c r="R941" s="389"/>
      <c r="S941" s="389"/>
      <c r="T941" s="389"/>
      <c r="U941" s="389"/>
      <c r="V941" s="389"/>
      <c r="W941" s="389"/>
      <c r="X941" s="389"/>
      <c r="Y941" s="389"/>
      <c r="Z941" s="389"/>
      <c r="AA941" s="389"/>
      <c r="AB941" s="389"/>
      <c r="AC941" s="389"/>
      <c r="AD941" s="389"/>
      <c r="AE941" s="389"/>
      <c r="AF941" s="389"/>
      <c r="AG941" s="389"/>
    </row>
    <row r="942">
      <c r="A942" s="389"/>
      <c r="B942" s="389"/>
      <c r="C942" s="389"/>
      <c r="D942" s="390"/>
      <c r="E942" s="389"/>
      <c r="F942" s="392"/>
      <c r="G942" s="389"/>
      <c r="H942" s="389"/>
      <c r="I942" s="389"/>
      <c r="J942" s="389"/>
      <c r="K942" s="389"/>
      <c r="L942" s="389"/>
      <c r="M942" s="389"/>
      <c r="N942" s="389"/>
      <c r="O942" s="389"/>
      <c r="P942" s="389"/>
      <c r="Q942" s="389"/>
      <c r="R942" s="389"/>
      <c r="S942" s="389"/>
      <c r="T942" s="389"/>
      <c r="U942" s="389"/>
      <c r="V942" s="389"/>
      <c r="W942" s="389"/>
      <c r="X942" s="389"/>
      <c r="Y942" s="389"/>
      <c r="Z942" s="389"/>
      <c r="AA942" s="389"/>
      <c r="AB942" s="389"/>
      <c r="AC942" s="389"/>
      <c r="AD942" s="389"/>
      <c r="AE942" s="389"/>
      <c r="AF942" s="389"/>
      <c r="AG942" s="389"/>
    </row>
    <row r="943">
      <c r="A943" s="389"/>
      <c r="B943" s="389"/>
      <c r="C943" s="389"/>
      <c r="D943" s="390"/>
      <c r="E943" s="389"/>
      <c r="F943" s="392"/>
      <c r="G943" s="389"/>
      <c r="H943" s="389"/>
      <c r="I943" s="389"/>
      <c r="J943" s="389"/>
      <c r="K943" s="389"/>
      <c r="L943" s="389"/>
      <c r="M943" s="389"/>
      <c r="N943" s="389"/>
      <c r="O943" s="389"/>
      <c r="P943" s="389"/>
      <c r="Q943" s="389"/>
      <c r="R943" s="389"/>
      <c r="S943" s="389"/>
      <c r="T943" s="389"/>
      <c r="U943" s="389"/>
      <c r="V943" s="389"/>
      <c r="W943" s="389"/>
      <c r="X943" s="389"/>
      <c r="Y943" s="389"/>
      <c r="Z943" s="389"/>
      <c r="AA943" s="389"/>
      <c r="AB943" s="389"/>
      <c r="AC943" s="389"/>
      <c r="AD943" s="389"/>
      <c r="AE943" s="389"/>
      <c r="AF943" s="389"/>
      <c r="AG943" s="389"/>
    </row>
    <row r="944">
      <c r="A944" s="389"/>
      <c r="B944" s="389"/>
      <c r="C944" s="389"/>
      <c r="D944" s="390"/>
      <c r="E944" s="389"/>
      <c r="F944" s="392"/>
      <c r="G944" s="389"/>
      <c r="H944" s="389"/>
      <c r="I944" s="389"/>
      <c r="J944" s="389"/>
      <c r="K944" s="389"/>
      <c r="L944" s="389"/>
      <c r="M944" s="389"/>
      <c r="N944" s="389"/>
      <c r="O944" s="389"/>
      <c r="P944" s="389"/>
      <c r="Q944" s="389"/>
      <c r="R944" s="389"/>
      <c r="S944" s="389"/>
      <c r="T944" s="389"/>
      <c r="U944" s="389"/>
      <c r="V944" s="389"/>
      <c r="W944" s="389"/>
      <c r="X944" s="389"/>
      <c r="Y944" s="389"/>
      <c r="Z944" s="389"/>
      <c r="AA944" s="389"/>
      <c r="AB944" s="389"/>
      <c r="AC944" s="389"/>
      <c r="AD944" s="389"/>
      <c r="AE944" s="389"/>
      <c r="AF944" s="389"/>
      <c r="AG944" s="389"/>
    </row>
    <row r="945">
      <c r="A945" s="389"/>
      <c r="B945" s="389"/>
      <c r="C945" s="389"/>
      <c r="D945" s="390"/>
      <c r="E945" s="389"/>
      <c r="F945" s="392"/>
      <c r="G945" s="389"/>
      <c r="H945" s="389"/>
      <c r="I945" s="389"/>
      <c r="J945" s="389"/>
      <c r="K945" s="389"/>
      <c r="L945" s="389"/>
      <c r="M945" s="389"/>
      <c r="N945" s="389"/>
      <c r="O945" s="389"/>
      <c r="P945" s="389"/>
      <c r="Q945" s="389"/>
      <c r="R945" s="389"/>
      <c r="S945" s="389"/>
      <c r="T945" s="389"/>
      <c r="U945" s="389"/>
      <c r="V945" s="389"/>
      <c r="W945" s="389"/>
      <c r="X945" s="389"/>
      <c r="Y945" s="389"/>
      <c r="Z945" s="389"/>
      <c r="AA945" s="389"/>
      <c r="AB945" s="389"/>
      <c r="AC945" s="389"/>
      <c r="AD945" s="389"/>
      <c r="AE945" s="389"/>
      <c r="AF945" s="389"/>
      <c r="AG945" s="389"/>
    </row>
    <row r="946">
      <c r="A946" s="389"/>
      <c r="B946" s="389"/>
      <c r="C946" s="389"/>
      <c r="D946" s="390"/>
      <c r="E946" s="389"/>
      <c r="F946" s="392"/>
      <c r="G946" s="389"/>
      <c r="H946" s="389"/>
      <c r="I946" s="389"/>
      <c r="J946" s="389"/>
      <c r="K946" s="389"/>
      <c r="L946" s="389"/>
      <c r="M946" s="389"/>
      <c r="N946" s="389"/>
      <c r="O946" s="389"/>
      <c r="P946" s="389"/>
      <c r="Q946" s="389"/>
      <c r="R946" s="389"/>
      <c r="S946" s="389"/>
      <c r="T946" s="389"/>
      <c r="U946" s="389"/>
      <c r="V946" s="389"/>
      <c r="W946" s="389"/>
      <c r="X946" s="389"/>
      <c r="Y946" s="389"/>
      <c r="Z946" s="389"/>
      <c r="AA946" s="389"/>
      <c r="AB946" s="389"/>
      <c r="AC946" s="389"/>
      <c r="AD946" s="389"/>
      <c r="AE946" s="389"/>
      <c r="AF946" s="389"/>
      <c r="AG946" s="389"/>
    </row>
    <row r="947">
      <c r="A947" s="389"/>
      <c r="B947" s="389"/>
      <c r="C947" s="389"/>
      <c r="D947" s="390"/>
      <c r="E947" s="389"/>
      <c r="F947" s="392"/>
      <c r="G947" s="389"/>
      <c r="H947" s="389"/>
      <c r="I947" s="389"/>
      <c r="J947" s="389"/>
      <c r="K947" s="389"/>
      <c r="L947" s="389"/>
      <c r="M947" s="389"/>
      <c r="N947" s="389"/>
      <c r="O947" s="389"/>
      <c r="P947" s="389"/>
      <c r="Q947" s="389"/>
      <c r="R947" s="389"/>
      <c r="S947" s="389"/>
      <c r="T947" s="389"/>
      <c r="U947" s="389"/>
      <c r="V947" s="389"/>
      <c r="W947" s="389"/>
      <c r="X947" s="389"/>
      <c r="Y947" s="389"/>
      <c r="Z947" s="389"/>
      <c r="AA947" s="389"/>
      <c r="AB947" s="389"/>
      <c r="AC947" s="389"/>
      <c r="AD947" s="389"/>
      <c r="AE947" s="389"/>
      <c r="AF947" s="389"/>
      <c r="AG947" s="389"/>
    </row>
    <row r="948">
      <c r="A948" s="389"/>
      <c r="B948" s="389"/>
      <c r="C948" s="389"/>
      <c r="D948" s="390"/>
      <c r="E948" s="389"/>
      <c r="F948" s="392"/>
      <c r="G948" s="389"/>
      <c r="H948" s="389"/>
      <c r="I948" s="389"/>
      <c r="J948" s="389"/>
      <c r="K948" s="389"/>
      <c r="L948" s="389"/>
      <c r="M948" s="389"/>
      <c r="N948" s="389"/>
      <c r="O948" s="389"/>
      <c r="P948" s="389"/>
      <c r="Q948" s="389"/>
      <c r="R948" s="389"/>
      <c r="S948" s="389"/>
      <c r="T948" s="389"/>
      <c r="U948" s="389"/>
      <c r="V948" s="389"/>
      <c r="W948" s="389"/>
      <c r="X948" s="389"/>
      <c r="Y948" s="389"/>
      <c r="Z948" s="389"/>
      <c r="AA948" s="389"/>
      <c r="AB948" s="389"/>
      <c r="AC948" s="389"/>
      <c r="AD948" s="389"/>
      <c r="AE948" s="389"/>
      <c r="AF948" s="389"/>
      <c r="AG948" s="389"/>
    </row>
    <row r="949">
      <c r="A949" s="389"/>
      <c r="B949" s="389"/>
      <c r="C949" s="389"/>
      <c r="D949" s="390"/>
      <c r="E949" s="389"/>
      <c r="F949" s="392"/>
      <c r="G949" s="389"/>
      <c r="H949" s="389"/>
      <c r="I949" s="389"/>
      <c r="J949" s="389"/>
      <c r="K949" s="389"/>
      <c r="L949" s="389"/>
      <c r="M949" s="389"/>
      <c r="N949" s="389"/>
      <c r="O949" s="389"/>
      <c r="P949" s="389"/>
      <c r="Q949" s="389"/>
      <c r="R949" s="389"/>
      <c r="S949" s="389"/>
      <c r="T949" s="389"/>
      <c r="U949" s="389"/>
      <c r="V949" s="389"/>
      <c r="W949" s="389"/>
      <c r="X949" s="389"/>
      <c r="Y949" s="389"/>
      <c r="Z949" s="389"/>
      <c r="AA949" s="389"/>
      <c r="AB949" s="389"/>
      <c r="AC949" s="389"/>
      <c r="AD949" s="389"/>
      <c r="AE949" s="389"/>
      <c r="AF949" s="389"/>
      <c r="AG949" s="389"/>
    </row>
    <row r="950">
      <c r="A950" s="389"/>
      <c r="B950" s="389"/>
      <c r="C950" s="389"/>
      <c r="D950" s="390"/>
      <c r="E950" s="389"/>
      <c r="F950" s="392"/>
      <c r="G950" s="389"/>
      <c r="H950" s="389"/>
      <c r="I950" s="389"/>
      <c r="J950" s="389"/>
      <c r="K950" s="389"/>
      <c r="L950" s="389"/>
      <c r="M950" s="389"/>
      <c r="N950" s="389"/>
      <c r="O950" s="389"/>
      <c r="P950" s="389"/>
      <c r="Q950" s="389"/>
      <c r="R950" s="389"/>
      <c r="S950" s="389"/>
      <c r="T950" s="389"/>
      <c r="U950" s="389"/>
      <c r="V950" s="389"/>
      <c r="W950" s="389"/>
      <c r="X950" s="389"/>
      <c r="Y950" s="389"/>
      <c r="Z950" s="389"/>
      <c r="AA950" s="389"/>
      <c r="AB950" s="389"/>
      <c r="AC950" s="389"/>
      <c r="AD950" s="389"/>
      <c r="AE950" s="389"/>
      <c r="AF950" s="389"/>
      <c r="AG950" s="389"/>
    </row>
    <row r="951">
      <c r="A951" s="389"/>
      <c r="B951" s="389"/>
      <c r="C951" s="389"/>
      <c r="D951" s="390"/>
      <c r="E951" s="389"/>
      <c r="F951" s="392"/>
      <c r="G951" s="389"/>
      <c r="H951" s="389"/>
      <c r="I951" s="389"/>
      <c r="J951" s="389"/>
      <c r="K951" s="389"/>
      <c r="L951" s="389"/>
      <c r="M951" s="389"/>
      <c r="N951" s="389"/>
      <c r="O951" s="389"/>
      <c r="P951" s="389"/>
      <c r="Q951" s="389"/>
      <c r="R951" s="389"/>
      <c r="S951" s="389"/>
      <c r="T951" s="389"/>
      <c r="U951" s="389"/>
      <c r="V951" s="389"/>
      <c r="W951" s="389"/>
      <c r="X951" s="389"/>
      <c r="Y951" s="389"/>
      <c r="Z951" s="389"/>
      <c r="AA951" s="389"/>
      <c r="AB951" s="389"/>
      <c r="AC951" s="389"/>
      <c r="AD951" s="389"/>
      <c r="AE951" s="389"/>
      <c r="AF951" s="389"/>
      <c r="AG951" s="389"/>
    </row>
    <row r="952">
      <c r="A952" s="389"/>
      <c r="B952" s="389"/>
      <c r="C952" s="389"/>
      <c r="D952" s="390"/>
      <c r="E952" s="389"/>
      <c r="F952" s="392"/>
      <c r="G952" s="389"/>
      <c r="H952" s="389"/>
      <c r="I952" s="389"/>
      <c r="J952" s="389"/>
      <c r="K952" s="389"/>
      <c r="L952" s="389"/>
      <c r="M952" s="389"/>
      <c r="N952" s="389"/>
      <c r="O952" s="389"/>
      <c r="P952" s="389"/>
      <c r="Q952" s="389"/>
      <c r="R952" s="389"/>
      <c r="S952" s="389"/>
      <c r="T952" s="389"/>
      <c r="U952" s="389"/>
      <c r="V952" s="389"/>
      <c r="W952" s="389"/>
      <c r="X952" s="389"/>
      <c r="Y952" s="389"/>
      <c r="Z952" s="389"/>
      <c r="AA952" s="389"/>
      <c r="AB952" s="389"/>
      <c r="AC952" s="389"/>
      <c r="AD952" s="389"/>
      <c r="AE952" s="389"/>
      <c r="AF952" s="389"/>
      <c r="AG952" s="389"/>
    </row>
    <row r="953">
      <c r="A953" s="389"/>
      <c r="B953" s="389"/>
      <c r="C953" s="389"/>
      <c r="D953" s="390"/>
      <c r="E953" s="389"/>
      <c r="F953" s="392"/>
      <c r="G953" s="389"/>
      <c r="H953" s="389"/>
      <c r="I953" s="389"/>
      <c r="J953" s="389"/>
      <c r="K953" s="389"/>
      <c r="L953" s="389"/>
      <c r="M953" s="389"/>
      <c r="N953" s="389"/>
      <c r="O953" s="389"/>
      <c r="P953" s="389"/>
      <c r="Q953" s="389"/>
      <c r="R953" s="389"/>
      <c r="S953" s="389"/>
      <c r="T953" s="389"/>
      <c r="U953" s="389"/>
      <c r="V953" s="389"/>
      <c r="W953" s="389"/>
      <c r="X953" s="389"/>
      <c r="Y953" s="389"/>
      <c r="Z953" s="389"/>
      <c r="AA953" s="389"/>
      <c r="AB953" s="389"/>
      <c r="AC953" s="389"/>
      <c r="AD953" s="389"/>
      <c r="AE953" s="389"/>
      <c r="AF953" s="389"/>
      <c r="AG953" s="389"/>
    </row>
    <row r="954">
      <c r="A954" s="389"/>
      <c r="B954" s="389"/>
      <c r="C954" s="389"/>
      <c r="D954" s="390"/>
      <c r="E954" s="389"/>
      <c r="F954" s="392"/>
      <c r="G954" s="389"/>
      <c r="H954" s="389"/>
      <c r="I954" s="389"/>
      <c r="J954" s="389"/>
      <c r="K954" s="389"/>
      <c r="L954" s="389"/>
      <c r="M954" s="389"/>
      <c r="N954" s="389"/>
      <c r="O954" s="389"/>
      <c r="P954" s="389"/>
      <c r="Q954" s="389"/>
      <c r="R954" s="389"/>
      <c r="S954" s="389"/>
      <c r="T954" s="389"/>
      <c r="U954" s="389"/>
      <c r="V954" s="389"/>
      <c r="W954" s="389"/>
      <c r="X954" s="389"/>
      <c r="Y954" s="389"/>
      <c r="Z954" s="389"/>
      <c r="AA954" s="389"/>
      <c r="AB954" s="389"/>
      <c r="AC954" s="389"/>
      <c r="AD954" s="389"/>
      <c r="AE954" s="389"/>
      <c r="AF954" s="389"/>
      <c r="AG954" s="389"/>
    </row>
    <row r="955">
      <c r="A955" s="389"/>
      <c r="B955" s="389"/>
      <c r="C955" s="389"/>
      <c r="D955" s="390"/>
      <c r="E955" s="389"/>
      <c r="F955" s="392"/>
      <c r="G955" s="389"/>
      <c r="H955" s="389"/>
      <c r="I955" s="389"/>
      <c r="J955" s="389"/>
      <c r="K955" s="389"/>
      <c r="L955" s="389"/>
      <c r="M955" s="389"/>
      <c r="N955" s="389"/>
      <c r="O955" s="389"/>
      <c r="P955" s="389"/>
      <c r="Q955" s="389"/>
      <c r="R955" s="389"/>
      <c r="S955" s="389"/>
      <c r="T955" s="389"/>
      <c r="U955" s="389"/>
      <c r="V955" s="389"/>
      <c r="W955" s="389"/>
      <c r="X955" s="389"/>
      <c r="Y955" s="389"/>
      <c r="Z955" s="389"/>
      <c r="AA955" s="389"/>
      <c r="AB955" s="389"/>
      <c r="AC955" s="389"/>
      <c r="AD955" s="389"/>
      <c r="AE955" s="389"/>
      <c r="AF955" s="389"/>
      <c r="AG955" s="389"/>
    </row>
    <row r="956">
      <c r="A956" s="389"/>
      <c r="B956" s="389"/>
      <c r="C956" s="389"/>
      <c r="D956" s="390"/>
      <c r="E956" s="389"/>
      <c r="F956" s="392"/>
      <c r="G956" s="389"/>
      <c r="H956" s="389"/>
      <c r="I956" s="389"/>
      <c r="J956" s="389"/>
      <c r="K956" s="389"/>
      <c r="L956" s="389"/>
      <c r="M956" s="389"/>
      <c r="N956" s="389"/>
      <c r="O956" s="389"/>
      <c r="P956" s="389"/>
      <c r="Q956" s="389"/>
      <c r="R956" s="389"/>
      <c r="S956" s="389"/>
      <c r="T956" s="389"/>
      <c r="U956" s="389"/>
      <c r="V956" s="389"/>
      <c r="W956" s="389"/>
      <c r="X956" s="389"/>
      <c r="Y956" s="389"/>
      <c r="Z956" s="389"/>
      <c r="AA956" s="389"/>
      <c r="AB956" s="389"/>
      <c r="AC956" s="389"/>
      <c r="AD956" s="389"/>
      <c r="AE956" s="389"/>
      <c r="AF956" s="389"/>
      <c r="AG956" s="389"/>
    </row>
    <row r="957">
      <c r="A957" s="389"/>
      <c r="B957" s="389"/>
      <c r="C957" s="389"/>
      <c r="D957" s="390"/>
      <c r="E957" s="389"/>
      <c r="F957" s="392"/>
      <c r="G957" s="389"/>
      <c r="H957" s="389"/>
      <c r="I957" s="389"/>
      <c r="J957" s="389"/>
      <c r="K957" s="389"/>
      <c r="L957" s="389"/>
      <c r="M957" s="389"/>
      <c r="N957" s="389"/>
      <c r="O957" s="389"/>
      <c r="P957" s="389"/>
      <c r="Q957" s="389"/>
      <c r="R957" s="389"/>
      <c r="S957" s="389"/>
      <c r="T957" s="389"/>
      <c r="U957" s="389"/>
      <c r="V957" s="389"/>
      <c r="W957" s="389"/>
      <c r="X957" s="389"/>
      <c r="Y957" s="389"/>
      <c r="Z957" s="389"/>
      <c r="AA957" s="389"/>
      <c r="AB957" s="389"/>
      <c r="AC957" s="389"/>
      <c r="AD957" s="389"/>
      <c r="AE957" s="389"/>
      <c r="AF957" s="389"/>
      <c r="AG957" s="389"/>
    </row>
    <row r="958">
      <c r="A958" s="389"/>
      <c r="B958" s="389"/>
      <c r="C958" s="389"/>
      <c r="D958" s="390"/>
      <c r="E958" s="389"/>
      <c r="F958" s="392"/>
      <c r="G958" s="389"/>
      <c r="H958" s="389"/>
      <c r="I958" s="389"/>
      <c r="J958" s="389"/>
      <c r="K958" s="389"/>
      <c r="L958" s="389"/>
      <c r="M958" s="389"/>
      <c r="N958" s="389"/>
      <c r="O958" s="389"/>
      <c r="P958" s="389"/>
      <c r="Q958" s="389"/>
      <c r="R958" s="389"/>
      <c r="S958" s="389"/>
      <c r="T958" s="389"/>
      <c r="U958" s="389"/>
      <c r="V958" s="389"/>
      <c r="W958" s="389"/>
      <c r="X958" s="389"/>
      <c r="Y958" s="389"/>
      <c r="Z958" s="389"/>
      <c r="AA958" s="389"/>
      <c r="AB958" s="389"/>
      <c r="AC958" s="389"/>
      <c r="AD958" s="389"/>
      <c r="AE958" s="389"/>
      <c r="AF958" s="389"/>
      <c r="AG958" s="389"/>
    </row>
    <row r="959">
      <c r="A959" s="389"/>
      <c r="B959" s="389"/>
      <c r="C959" s="389"/>
      <c r="D959" s="390"/>
      <c r="E959" s="389"/>
      <c r="F959" s="392"/>
      <c r="G959" s="389"/>
      <c r="H959" s="389"/>
      <c r="I959" s="389"/>
      <c r="J959" s="389"/>
      <c r="K959" s="389"/>
      <c r="L959" s="389"/>
      <c r="M959" s="389"/>
      <c r="N959" s="389"/>
      <c r="O959" s="389"/>
      <c r="P959" s="389"/>
      <c r="Q959" s="389"/>
      <c r="R959" s="389"/>
      <c r="S959" s="389"/>
      <c r="T959" s="389"/>
      <c r="U959" s="389"/>
      <c r="V959" s="389"/>
      <c r="W959" s="389"/>
      <c r="X959" s="389"/>
      <c r="Y959" s="389"/>
      <c r="Z959" s="389"/>
      <c r="AA959" s="389"/>
      <c r="AB959" s="389"/>
      <c r="AC959" s="389"/>
      <c r="AD959" s="389"/>
      <c r="AE959" s="389"/>
      <c r="AF959" s="389"/>
      <c r="AG959" s="389"/>
    </row>
    <row r="960">
      <c r="A960" s="389"/>
      <c r="B960" s="389"/>
      <c r="C960" s="389"/>
      <c r="D960" s="390"/>
      <c r="E960" s="389"/>
      <c r="F960" s="392"/>
      <c r="G960" s="389"/>
      <c r="H960" s="389"/>
      <c r="I960" s="389"/>
      <c r="J960" s="389"/>
      <c r="K960" s="389"/>
      <c r="L960" s="389"/>
      <c r="M960" s="389"/>
      <c r="N960" s="389"/>
      <c r="O960" s="389"/>
      <c r="P960" s="389"/>
      <c r="Q960" s="389"/>
      <c r="R960" s="389"/>
      <c r="S960" s="389"/>
      <c r="T960" s="389"/>
      <c r="U960" s="389"/>
      <c r="V960" s="389"/>
      <c r="W960" s="389"/>
      <c r="X960" s="389"/>
      <c r="Y960" s="389"/>
      <c r="Z960" s="389"/>
      <c r="AA960" s="389"/>
      <c r="AB960" s="389"/>
      <c r="AC960" s="389"/>
      <c r="AD960" s="389"/>
      <c r="AE960" s="389"/>
      <c r="AF960" s="389"/>
      <c r="AG960" s="389"/>
    </row>
    <row r="961">
      <c r="A961" s="389"/>
      <c r="B961" s="389"/>
      <c r="C961" s="389"/>
      <c r="D961" s="390"/>
      <c r="E961" s="389"/>
      <c r="F961" s="392"/>
      <c r="G961" s="389"/>
      <c r="H961" s="389"/>
      <c r="I961" s="389"/>
      <c r="J961" s="389"/>
      <c r="K961" s="389"/>
      <c r="L961" s="389"/>
      <c r="M961" s="389"/>
      <c r="N961" s="389"/>
      <c r="O961" s="389"/>
      <c r="P961" s="389"/>
      <c r="Q961" s="389"/>
      <c r="R961" s="389"/>
      <c r="S961" s="389"/>
      <c r="T961" s="389"/>
      <c r="U961" s="389"/>
      <c r="V961" s="389"/>
      <c r="W961" s="389"/>
      <c r="X961" s="389"/>
      <c r="Y961" s="389"/>
      <c r="Z961" s="389"/>
      <c r="AA961" s="389"/>
      <c r="AB961" s="389"/>
      <c r="AC961" s="389"/>
      <c r="AD961" s="389"/>
      <c r="AE961" s="389"/>
      <c r="AF961" s="389"/>
      <c r="AG961" s="389"/>
    </row>
    <row r="962">
      <c r="A962" s="389"/>
      <c r="B962" s="389"/>
      <c r="C962" s="389"/>
      <c r="D962" s="390"/>
      <c r="E962" s="389"/>
      <c r="F962" s="392"/>
      <c r="G962" s="389"/>
      <c r="H962" s="389"/>
      <c r="I962" s="389"/>
      <c r="J962" s="389"/>
      <c r="K962" s="389"/>
      <c r="L962" s="389"/>
      <c r="M962" s="389"/>
      <c r="N962" s="389"/>
      <c r="O962" s="389"/>
      <c r="P962" s="389"/>
      <c r="Q962" s="389"/>
      <c r="R962" s="389"/>
      <c r="S962" s="389"/>
      <c r="T962" s="389"/>
      <c r="U962" s="389"/>
      <c r="V962" s="389"/>
      <c r="W962" s="389"/>
      <c r="X962" s="389"/>
      <c r="Y962" s="389"/>
      <c r="Z962" s="389"/>
      <c r="AA962" s="389"/>
      <c r="AB962" s="389"/>
      <c r="AC962" s="389"/>
      <c r="AD962" s="389"/>
      <c r="AE962" s="389"/>
      <c r="AF962" s="389"/>
      <c r="AG962" s="389"/>
    </row>
    <row r="963">
      <c r="A963" s="389"/>
      <c r="B963" s="389"/>
      <c r="C963" s="389"/>
      <c r="D963" s="390"/>
      <c r="E963" s="389"/>
      <c r="F963" s="392"/>
      <c r="G963" s="389"/>
      <c r="H963" s="389"/>
      <c r="I963" s="389"/>
      <c r="J963" s="389"/>
      <c r="K963" s="389"/>
      <c r="L963" s="389"/>
      <c r="M963" s="389"/>
      <c r="N963" s="389"/>
      <c r="O963" s="389"/>
      <c r="P963" s="389"/>
      <c r="Q963" s="389"/>
      <c r="R963" s="389"/>
      <c r="S963" s="389"/>
      <c r="T963" s="389"/>
      <c r="U963" s="389"/>
      <c r="V963" s="389"/>
      <c r="W963" s="389"/>
      <c r="X963" s="389"/>
      <c r="Y963" s="389"/>
      <c r="Z963" s="389"/>
      <c r="AA963" s="389"/>
      <c r="AB963" s="389"/>
      <c r="AC963" s="389"/>
      <c r="AD963" s="389"/>
      <c r="AE963" s="389"/>
      <c r="AF963" s="389"/>
      <c r="AG963" s="389"/>
    </row>
    <row r="964">
      <c r="A964" s="389"/>
      <c r="B964" s="389"/>
      <c r="C964" s="389"/>
      <c r="D964" s="390"/>
      <c r="E964" s="389"/>
      <c r="F964" s="392"/>
      <c r="G964" s="389"/>
      <c r="H964" s="389"/>
      <c r="I964" s="389"/>
      <c r="J964" s="389"/>
      <c r="K964" s="389"/>
      <c r="L964" s="389"/>
      <c r="M964" s="389"/>
      <c r="N964" s="389"/>
      <c r="O964" s="389"/>
      <c r="P964" s="389"/>
      <c r="Q964" s="389"/>
      <c r="R964" s="389"/>
      <c r="S964" s="389"/>
      <c r="T964" s="389"/>
      <c r="U964" s="389"/>
      <c r="V964" s="389"/>
      <c r="W964" s="389"/>
      <c r="X964" s="389"/>
      <c r="Y964" s="389"/>
      <c r="Z964" s="389"/>
      <c r="AA964" s="389"/>
      <c r="AB964" s="389"/>
      <c r="AC964" s="389"/>
      <c r="AD964" s="389"/>
      <c r="AE964" s="389"/>
      <c r="AF964" s="389"/>
      <c r="AG964" s="389"/>
    </row>
    <row r="965">
      <c r="A965" s="389"/>
      <c r="B965" s="389"/>
      <c r="C965" s="389"/>
      <c r="D965" s="390"/>
      <c r="E965" s="389"/>
      <c r="F965" s="392"/>
      <c r="G965" s="389"/>
      <c r="H965" s="389"/>
      <c r="I965" s="389"/>
      <c r="J965" s="389"/>
      <c r="K965" s="389"/>
      <c r="L965" s="389"/>
      <c r="M965" s="389"/>
      <c r="N965" s="389"/>
      <c r="O965" s="389"/>
      <c r="P965" s="389"/>
      <c r="Q965" s="389"/>
      <c r="R965" s="389"/>
      <c r="S965" s="389"/>
      <c r="T965" s="389"/>
      <c r="U965" s="389"/>
      <c r="V965" s="389"/>
      <c r="W965" s="389"/>
      <c r="X965" s="389"/>
      <c r="Y965" s="389"/>
      <c r="Z965" s="389"/>
      <c r="AA965" s="389"/>
      <c r="AB965" s="389"/>
      <c r="AC965" s="389"/>
      <c r="AD965" s="389"/>
      <c r="AE965" s="389"/>
      <c r="AF965" s="389"/>
      <c r="AG965" s="389"/>
    </row>
    <row r="966">
      <c r="A966" s="389"/>
      <c r="B966" s="389"/>
      <c r="C966" s="389"/>
      <c r="D966" s="390"/>
      <c r="E966" s="389"/>
      <c r="F966" s="392"/>
      <c r="G966" s="389"/>
      <c r="H966" s="389"/>
      <c r="I966" s="389"/>
      <c r="J966" s="389"/>
      <c r="K966" s="389"/>
      <c r="L966" s="389"/>
      <c r="M966" s="389"/>
      <c r="N966" s="389"/>
      <c r="O966" s="389"/>
      <c r="P966" s="389"/>
      <c r="Q966" s="389"/>
      <c r="R966" s="389"/>
      <c r="S966" s="389"/>
      <c r="T966" s="389"/>
      <c r="U966" s="389"/>
      <c r="V966" s="389"/>
      <c r="W966" s="389"/>
      <c r="X966" s="389"/>
      <c r="Y966" s="389"/>
      <c r="Z966" s="389"/>
      <c r="AA966" s="389"/>
      <c r="AB966" s="389"/>
      <c r="AC966" s="389"/>
      <c r="AD966" s="389"/>
      <c r="AE966" s="389"/>
      <c r="AF966" s="389"/>
      <c r="AG966" s="389"/>
    </row>
    <row r="967">
      <c r="A967" s="389"/>
      <c r="B967" s="389"/>
      <c r="C967" s="389"/>
      <c r="D967" s="390"/>
      <c r="E967" s="389"/>
      <c r="F967" s="392"/>
      <c r="G967" s="389"/>
      <c r="H967" s="389"/>
      <c r="I967" s="389"/>
      <c r="J967" s="389"/>
      <c r="K967" s="389"/>
      <c r="L967" s="389"/>
      <c r="M967" s="389"/>
      <c r="N967" s="389"/>
      <c r="O967" s="389"/>
      <c r="P967" s="389"/>
      <c r="Q967" s="389"/>
      <c r="R967" s="389"/>
      <c r="S967" s="389"/>
      <c r="T967" s="389"/>
      <c r="U967" s="389"/>
      <c r="V967" s="389"/>
      <c r="W967" s="389"/>
      <c r="X967" s="389"/>
      <c r="Y967" s="389"/>
      <c r="Z967" s="389"/>
      <c r="AA967" s="389"/>
      <c r="AB967" s="389"/>
      <c r="AC967" s="389"/>
      <c r="AD967" s="389"/>
      <c r="AE967" s="389"/>
      <c r="AF967" s="389"/>
      <c r="AG967" s="389"/>
    </row>
    <row r="968">
      <c r="A968" s="389"/>
      <c r="B968" s="389"/>
      <c r="C968" s="389"/>
      <c r="D968" s="390"/>
      <c r="E968" s="389"/>
      <c r="F968" s="392"/>
      <c r="G968" s="389"/>
      <c r="H968" s="389"/>
      <c r="I968" s="389"/>
      <c r="J968" s="389"/>
      <c r="K968" s="389"/>
      <c r="L968" s="389"/>
      <c r="M968" s="389"/>
      <c r="N968" s="389"/>
      <c r="O968" s="389"/>
      <c r="P968" s="389"/>
      <c r="Q968" s="389"/>
      <c r="R968" s="389"/>
      <c r="S968" s="389"/>
      <c r="T968" s="389"/>
      <c r="U968" s="389"/>
      <c r="V968" s="389"/>
      <c r="W968" s="389"/>
      <c r="X968" s="389"/>
      <c r="Y968" s="389"/>
      <c r="Z968" s="389"/>
      <c r="AA968" s="389"/>
      <c r="AB968" s="389"/>
      <c r="AC968" s="389"/>
      <c r="AD968" s="389"/>
      <c r="AE968" s="389"/>
      <c r="AF968" s="389"/>
      <c r="AG968" s="389"/>
    </row>
    <row r="969">
      <c r="A969" s="389"/>
      <c r="B969" s="389"/>
      <c r="C969" s="389"/>
      <c r="D969" s="390"/>
      <c r="E969" s="389"/>
      <c r="F969" s="392"/>
      <c r="G969" s="389"/>
      <c r="H969" s="389"/>
      <c r="I969" s="389"/>
      <c r="J969" s="389"/>
      <c r="K969" s="389"/>
      <c r="L969" s="389"/>
      <c r="M969" s="389"/>
      <c r="N969" s="389"/>
      <c r="O969" s="389"/>
      <c r="P969" s="389"/>
      <c r="Q969" s="389"/>
      <c r="R969" s="389"/>
      <c r="S969" s="389"/>
      <c r="T969" s="389"/>
      <c r="U969" s="389"/>
      <c r="V969" s="389"/>
      <c r="W969" s="389"/>
      <c r="X969" s="389"/>
      <c r="Y969" s="389"/>
      <c r="Z969" s="389"/>
      <c r="AA969" s="389"/>
      <c r="AB969" s="389"/>
      <c r="AC969" s="389"/>
      <c r="AD969" s="389"/>
      <c r="AE969" s="389"/>
      <c r="AF969" s="389"/>
      <c r="AG969" s="389"/>
    </row>
    <row r="970">
      <c r="A970" s="389"/>
      <c r="B970" s="389"/>
      <c r="C970" s="389"/>
      <c r="D970" s="390"/>
      <c r="E970" s="389"/>
      <c r="F970" s="392"/>
      <c r="G970" s="389"/>
      <c r="H970" s="389"/>
      <c r="I970" s="389"/>
      <c r="J970" s="389"/>
      <c r="K970" s="389"/>
      <c r="L970" s="389"/>
      <c r="M970" s="389"/>
      <c r="N970" s="389"/>
      <c r="O970" s="389"/>
      <c r="P970" s="389"/>
      <c r="Q970" s="389"/>
      <c r="R970" s="389"/>
      <c r="S970" s="389"/>
      <c r="T970" s="389"/>
      <c r="U970" s="389"/>
      <c r="V970" s="389"/>
      <c r="W970" s="389"/>
      <c r="X970" s="389"/>
      <c r="Y970" s="389"/>
      <c r="Z970" s="389"/>
      <c r="AA970" s="389"/>
      <c r="AB970" s="389"/>
      <c r="AC970" s="389"/>
      <c r="AD970" s="389"/>
      <c r="AE970" s="389"/>
      <c r="AF970" s="389"/>
      <c r="AG970" s="389"/>
    </row>
    <row r="971">
      <c r="A971" s="389"/>
      <c r="B971" s="389"/>
      <c r="C971" s="389"/>
      <c r="D971" s="390"/>
      <c r="E971" s="389"/>
      <c r="F971" s="392"/>
      <c r="G971" s="389"/>
      <c r="H971" s="389"/>
      <c r="I971" s="389"/>
      <c r="J971" s="389"/>
      <c r="K971" s="389"/>
      <c r="L971" s="389"/>
      <c r="M971" s="389"/>
      <c r="N971" s="389"/>
      <c r="O971" s="389"/>
      <c r="P971" s="389"/>
      <c r="Q971" s="389"/>
      <c r="R971" s="389"/>
      <c r="S971" s="389"/>
      <c r="T971" s="389"/>
      <c r="U971" s="389"/>
      <c r="V971" s="389"/>
      <c r="W971" s="389"/>
      <c r="X971" s="389"/>
      <c r="Y971" s="389"/>
      <c r="Z971" s="389"/>
      <c r="AA971" s="389"/>
      <c r="AB971" s="389"/>
      <c r="AC971" s="389"/>
      <c r="AD971" s="389"/>
      <c r="AE971" s="389"/>
      <c r="AF971" s="389"/>
      <c r="AG971" s="389"/>
    </row>
    <row r="972">
      <c r="A972" s="389"/>
      <c r="B972" s="389"/>
      <c r="C972" s="389"/>
      <c r="D972" s="390"/>
      <c r="E972" s="389"/>
      <c r="F972" s="392"/>
      <c r="G972" s="389"/>
      <c r="H972" s="389"/>
      <c r="I972" s="389"/>
      <c r="J972" s="389"/>
      <c r="K972" s="389"/>
      <c r="L972" s="389"/>
      <c r="M972" s="389"/>
      <c r="N972" s="389"/>
      <c r="O972" s="389"/>
      <c r="P972" s="389"/>
      <c r="Q972" s="389"/>
      <c r="R972" s="389"/>
      <c r="S972" s="389"/>
      <c r="T972" s="389"/>
      <c r="U972" s="389"/>
      <c r="V972" s="389"/>
      <c r="W972" s="389"/>
      <c r="X972" s="389"/>
      <c r="Y972" s="389"/>
      <c r="Z972" s="389"/>
      <c r="AA972" s="389"/>
      <c r="AB972" s="389"/>
      <c r="AC972" s="389"/>
      <c r="AD972" s="389"/>
      <c r="AE972" s="389"/>
      <c r="AF972" s="389"/>
      <c r="AG972" s="389"/>
    </row>
    <row r="973">
      <c r="A973" s="389"/>
      <c r="B973" s="389"/>
      <c r="C973" s="389"/>
      <c r="D973" s="390"/>
      <c r="E973" s="389"/>
      <c r="F973" s="392"/>
      <c r="G973" s="389"/>
      <c r="H973" s="389"/>
      <c r="I973" s="389"/>
      <c r="J973" s="389"/>
      <c r="K973" s="389"/>
      <c r="L973" s="389"/>
      <c r="M973" s="389"/>
      <c r="N973" s="389"/>
      <c r="O973" s="389"/>
      <c r="P973" s="389"/>
      <c r="Q973" s="389"/>
      <c r="R973" s="389"/>
      <c r="S973" s="389"/>
      <c r="T973" s="389"/>
      <c r="U973" s="389"/>
      <c r="V973" s="389"/>
      <c r="W973" s="389"/>
      <c r="X973" s="389"/>
      <c r="Y973" s="389"/>
      <c r="Z973" s="389"/>
      <c r="AA973" s="389"/>
      <c r="AB973" s="389"/>
      <c r="AC973" s="389"/>
      <c r="AD973" s="389"/>
      <c r="AE973" s="389"/>
      <c r="AF973" s="389"/>
      <c r="AG973" s="389"/>
    </row>
    <row r="974">
      <c r="A974" s="389"/>
      <c r="B974" s="389"/>
      <c r="C974" s="389"/>
      <c r="D974" s="390"/>
      <c r="E974" s="389"/>
      <c r="F974" s="392"/>
      <c r="G974" s="389"/>
      <c r="H974" s="389"/>
      <c r="I974" s="389"/>
      <c r="J974" s="389"/>
      <c r="K974" s="389"/>
      <c r="L974" s="389"/>
      <c r="M974" s="389"/>
      <c r="N974" s="389"/>
      <c r="O974" s="389"/>
      <c r="P974" s="389"/>
      <c r="Q974" s="389"/>
      <c r="R974" s="389"/>
      <c r="S974" s="389"/>
      <c r="T974" s="389"/>
      <c r="U974" s="389"/>
      <c r="V974" s="389"/>
      <c r="W974" s="389"/>
      <c r="X974" s="389"/>
      <c r="Y974" s="389"/>
      <c r="Z974" s="389"/>
      <c r="AA974" s="389"/>
      <c r="AB974" s="389"/>
      <c r="AC974" s="389"/>
      <c r="AD974" s="389"/>
      <c r="AE974" s="389"/>
      <c r="AF974" s="389"/>
      <c r="AG974" s="389"/>
    </row>
    <row r="975">
      <c r="A975" s="389"/>
      <c r="B975" s="389"/>
      <c r="C975" s="389"/>
      <c r="D975" s="390"/>
      <c r="E975" s="389"/>
      <c r="F975" s="392"/>
      <c r="G975" s="389"/>
      <c r="H975" s="389"/>
      <c r="I975" s="389"/>
      <c r="J975" s="389"/>
      <c r="K975" s="389"/>
      <c r="L975" s="389"/>
      <c r="M975" s="389"/>
      <c r="N975" s="389"/>
      <c r="O975" s="389"/>
      <c r="P975" s="389"/>
      <c r="Q975" s="389"/>
      <c r="R975" s="389"/>
      <c r="S975" s="389"/>
      <c r="T975" s="389"/>
      <c r="U975" s="389"/>
      <c r="V975" s="389"/>
      <c r="W975" s="389"/>
      <c r="X975" s="389"/>
      <c r="Y975" s="389"/>
      <c r="Z975" s="389"/>
      <c r="AA975" s="389"/>
      <c r="AB975" s="389"/>
      <c r="AC975" s="389"/>
      <c r="AD975" s="389"/>
      <c r="AE975" s="389"/>
      <c r="AF975" s="389"/>
      <c r="AG975" s="389"/>
    </row>
    <row r="976">
      <c r="A976" s="389"/>
      <c r="B976" s="389"/>
      <c r="C976" s="389"/>
      <c r="D976" s="390"/>
      <c r="E976" s="389"/>
      <c r="F976" s="392"/>
      <c r="G976" s="389"/>
      <c r="H976" s="389"/>
      <c r="I976" s="389"/>
      <c r="J976" s="389"/>
      <c r="K976" s="389"/>
      <c r="L976" s="389"/>
      <c r="M976" s="389"/>
      <c r="N976" s="389"/>
      <c r="O976" s="389"/>
      <c r="P976" s="389"/>
      <c r="Q976" s="389"/>
      <c r="R976" s="389"/>
      <c r="S976" s="389"/>
      <c r="T976" s="389"/>
      <c r="U976" s="389"/>
      <c r="V976" s="389"/>
      <c r="W976" s="389"/>
      <c r="X976" s="389"/>
      <c r="Y976" s="389"/>
      <c r="Z976" s="389"/>
      <c r="AA976" s="389"/>
      <c r="AB976" s="389"/>
      <c r="AC976" s="389"/>
      <c r="AD976" s="389"/>
      <c r="AE976" s="389"/>
      <c r="AF976" s="389"/>
      <c r="AG976" s="389"/>
    </row>
    <row r="977">
      <c r="A977" s="389"/>
      <c r="B977" s="389"/>
      <c r="C977" s="389"/>
      <c r="D977" s="390"/>
      <c r="E977" s="389"/>
      <c r="F977" s="392"/>
      <c r="G977" s="389"/>
      <c r="H977" s="389"/>
      <c r="I977" s="389"/>
      <c r="J977" s="389"/>
      <c r="K977" s="389"/>
      <c r="L977" s="389"/>
      <c r="M977" s="389"/>
      <c r="N977" s="389"/>
      <c r="O977" s="389"/>
      <c r="P977" s="389"/>
      <c r="Q977" s="389"/>
      <c r="R977" s="389"/>
      <c r="S977" s="389"/>
      <c r="T977" s="389"/>
      <c r="U977" s="389"/>
      <c r="V977" s="389"/>
      <c r="W977" s="389"/>
      <c r="X977" s="389"/>
      <c r="Y977" s="389"/>
      <c r="Z977" s="389"/>
      <c r="AA977" s="389"/>
      <c r="AB977" s="389"/>
      <c r="AC977" s="389"/>
      <c r="AD977" s="389"/>
      <c r="AE977" s="389"/>
      <c r="AF977" s="389"/>
      <c r="AG977" s="389"/>
    </row>
    <row r="978">
      <c r="A978" s="389"/>
      <c r="B978" s="389"/>
      <c r="C978" s="389"/>
      <c r="D978" s="390"/>
      <c r="E978" s="389"/>
      <c r="F978" s="392"/>
      <c r="G978" s="389"/>
      <c r="H978" s="389"/>
      <c r="I978" s="389"/>
      <c r="J978" s="389"/>
      <c r="K978" s="389"/>
      <c r="L978" s="389"/>
      <c r="M978" s="389"/>
      <c r="N978" s="389"/>
      <c r="O978" s="389"/>
      <c r="P978" s="389"/>
      <c r="Q978" s="389"/>
      <c r="R978" s="389"/>
      <c r="S978" s="389"/>
      <c r="T978" s="389"/>
      <c r="U978" s="389"/>
      <c r="V978" s="389"/>
      <c r="W978" s="389"/>
      <c r="X978" s="389"/>
      <c r="Y978" s="389"/>
      <c r="Z978" s="389"/>
      <c r="AA978" s="389"/>
      <c r="AB978" s="389"/>
      <c r="AC978" s="389"/>
      <c r="AD978" s="389"/>
      <c r="AE978" s="389"/>
      <c r="AF978" s="389"/>
      <c r="AG978" s="389"/>
    </row>
    <row r="979">
      <c r="A979" s="389"/>
      <c r="B979" s="389"/>
      <c r="C979" s="389"/>
      <c r="D979" s="390"/>
      <c r="E979" s="389"/>
      <c r="F979" s="392"/>
      <c r="G979" s="389"/>
      <c r="H979" s="389"/>
      <c r="I979" s="389"/>
      <c r="J979" s="389"/>
      <c r="K979" s="389"/>
      <c r="L979" s="389"/>
      <c r="M979" s="389"/>
      <c r="N979" s="389"/>
      <c r="O979" s="389"/>
      <c r="P979" s="389"/>
      <c r="Q979" s="389"/>
      <c r="R979" s="389"/>
      <c r="S979" s="389"/>
      <c r="T979" s="389"/>
      <c r="U979" s="389"/>
      <c r="V979" s="389"/>
      <c r="W979" s="389"/>
      <c r="X979" s="389"/>
      <c r="Y979" s="389"/>
      <c r="Z979" s="389"/>
      <c r="AA979" s="389"/>
      <c r="AB979" s="389"/>
      <c r="AC979" s="389"/>
      <c r="AD979" s="389"/>
      <c r="AE979" s="389"/>
      <c r="AF979" s="389"/>
      <c r="AG979" s="389"/>
    </row>
    <row r="980">
      <c r="A980" s="389"/>
      <c r="B980" s="389"/>
      <c r="C980" s="389"/>
      <c r="D980" s="390"/>
      <c r="E980" s="389"/>
      <c r="F980" s="392"/>
      <c r="G980" s="389"/>
      <c r="H980" s="389"/>
      <c r="I980" s="389"/>
      <c r="J980" s="389"/>
      <c r="K980" s="389"/>
      <c r="L980" s="389"/>
      <c r="M980" s="389"/>
      <c r="N980" s="389"/>
      <c r="O980" s="389"/>
      <c r="P980" s="389"/>
      <c r="Q980" s="389"/>
      <c r="R980" s="389"/>
      <c r="S980" s="389"/>
      <c r="T980" s="389"/>
      <c r="U980" s="389"/>
      <c r="V980" s="389"/>
      <c r="W980" s="389"/>
      <c r="X980" s="389"/>
      <c r="Y980" s="389"/>
      <c r="Z980" s="389"/>
      <c r="AA980" s="389"/>
      <c r="AB980" s="389"/>
      <c r="AC980" s="389"/>
      <c r="AD980" s="389"/>
      <c r="AE980" s="389"/>
      <c r="AF980" s="389"/>
      <c r="AG980" s="389"/>
    </row>
    <row r="981">
      <c r="A981" s="389"/>
      <c r="B981" s="389"/>
      <c r="C981" s="389"/>
      <c r="D981" s="390"/>
      <c r="E981" s="389"/>
      <c r="F981" s="392"/>
      <c r="G981" s="389"/>
      <c r="H981" s="389"/>
      <c r="I981" s="389"/>
      <c r="J981" s="389"/>
      <c r="K981" s="389"/>
      <c r="L981" s="389"/>
      <c r="M981" s="389"/>
      <c r="N981" s="389"/>
      <c r="O981" s="389"/>
      <c r="P981" s="389"/>
      <c r="Q981" s="389"/>
      <c r="R981" s="389"/>
      <c r="S981" s="389"/>
      <c r="T981" s="389"/>
      <c r="U981" s="389"/>
      <c r="V981" s="389"/>
      <c r="W981" s="389"/>
      <c r="X981" s="389"/>
      <c r="Y981" s="389"/>
      <c r="Z981" s="389"/>
      <c r="AA981" s="389"/>
      <c r="AB981" s="389"/>
      <c r="AC981" s="389"/>
      <c r="AD981" s="389"/>
      <c r="AE981" s="389"/>
      <c r="AF981" s="389"/>
      <c r="AG981" s="389"/>
    </row>
    <row r="982">
      <c r="A982" s="389"/>
      <c r="B982" s="389"/>
      <c r="C982" s="389"/>
      <c r="D982" s="390"/>
      <c r="E982" s="389"/>
      <c r="F982" s="392"/>
      <c r="G982" s="389"/>
      <c r="H982" s="389"/>
      <c r="I982" s="389"/>
      <c r="J982" s="389"/>
      <c r="K982" s="389"/>
      <c r="L982" s="389"/>
      <c r="M982" s="389"/>
      <c r="N982" s="389"/>
      <c r="O982" s="389"/>
      <c r="P982" s="389"/>
      <c r="Q982" s="389"/>
      <c r="R982" s="389"/>
      <c r="S982" s="389"/>
      <c r="T982" s="389"/>
      <c r="U982" s="389"/>
      <c r="V982" s="389"/>
      <c r="W982" s="389"/>
      <c r="X982" s="389"/>
      <c r="Y982" s="389"/>
      <c r="Z982" s="389"/>
      <c r="AA982" s="389"/>
      <c r="AB982" s="389"/>
      <c r="AC982" s="389"/>
      <c r="AD982" s="389"/>
      <c r="AE982" s="389"/>
      <c r="AF982" s="389"/>
      <c r="AG982" s="389"/>
    </row>
    <row r="983">
      <c r="A983" s="389"/>
      <c r="B983" s="389"/>
      <c r="C983" s="389"/>
      <c r="D983" s="390"/>
      <c r="E983" s="389"/>
      <c r="F983" s="392"/>
      <c r="G983" s="389"/>
      <c r="H983" s="389"/>
      <c r="I983" s="389"/>
      <c r="J983" s="389"/>
      <c r="K983" s="389"/>
      <c r="L983" s="389"/>
      <c r="M983" s="389"/>
      <c r="N983" s="389"/>
      <c r="O983" s="389"/>
      <c r="P983" s="389"/>
      <c r="Q983" s="389"/>
      <c r="R983" s="389"/>
      <c r="S983" s="389"/>
      <c r="T983" s="389"/>
      <c r="U983" s="389"/>
      <c r="V983" s="389"/>
      <c r="W983" s="389"/>
      <c r="X983" s="389"/>
      <c r="Y983" s="389"/>
      <c r="Z983" s="389"/>
      <c r="AA983" s="389"/>
      <c r="AB983" s="389"/>
      <c r="AC983" s="389"/>
      <c r="AD983" s="389"/>
      <c r="AE983" s="389"/>
      <c r="AF983" s="389"/>
      <c r="AG983" s="389"/>
    </row>
    <row r="984">
      <c r="A984" s="389"/>
      <c r="B984" s="389"/>
      <c r="C984" s="389"/>
      <c r="D984" s="390"/>
      <c r="E984" s="389"/>
      <c r="F984" s="392"/>
      <c r="G984" s="389"/>
      <c r="H984" s="389"/>
      <c r="I984" s="389"/>
      <c r="J984" s="389"/>
      <c r="K984" s="389"/>
      <c r="L984" s="389"/>
      <c r="M984" s="389"/>
      <c r="N984" s="389"/>
      <c r="O984" s="389"/>
      <c r="P984" s="389"/>
      <c r="Q984" s="389"/>
      <c r="R984" s="389"/>
      <c r="S984" s="389"/>
      <c r="T984" s="389"/>
      <c r="U984" s="389"/>
      <c r="V984" s="389"/>
      <c r="W984" s="389"/>
      <c r="X984" s="389"/>
      <c r="Y984" s="389"/>
      <c r="Z984" s="389"/>
      <c r="AA984" s="389"/>
      <c r="AB984" s="389"/>
      <c r="AC984" s="389"/>
      <c r="AD984" s="389"/>
      <c r="AE984" s="389"/>
      <c r="AF984" s="389"/>
      <c r="AG984" s="389"/>
    </row>
    <row r="985">
      <c r="A985" s="389"/>
      <c r="B985" s="389"/>
      <c r="C985" s="389"/>
      <c r="D985" s="390"/>
      <c r="E985" s="389"/>
      <c r="F985" s="392"/>
      <c r="G985" s="389"/>
      <c r="H985" s="389"/>
      <c r="I985" s="389"/>
      <c r="J985" s="389"/>
      <c r="K985" s="389"/>
      <c r="L985" s="389"/>
      <c r="M985" s="389"/>
      <c r="N985" s="389"/>
      <c r="O985" s="389"/>
      <c r="P985" s="389"/>
      <c r="Q985" s="389"/>
      <c r="R985" s="389"/>
      <c r="S985" s="389"/>
      <c r="T985" s="389"/>
      <c r="U985" s="389"/>
      <c r="V985" s="389"/>
      <c r="W985" s="389"/>
      <c r="X985" s="389"/>
      <c r="Y985" s="389"/>
      <c r="Z985" s="389"/>
      <c r="AA985" s="389"/>
      <c r="AB985" s="389"/>
      <c r="AC985" s="389"/>
      <c r="AD985" s="389"/>
      <c r="AE985" s="389"/>
      <c r="AF985" s="389"/>
      <c r="AG985" s="389"/>
    </row>
    <row r="986">
      <c r="A986" s="389"/>
      <c r="B986" s="389"/>
      <c r="C986" s="389"/>
      <c r="D986" s="390"/>
      <c r="E986" s="389"/>
      <c r="F986" s="392"/>
      <c r="G986" s="389"/>
      <c r="H986" s="389"/>
      <c r="I986" s="389"/>
      <c r="J986" s="389"/>
      <c r="K986" s="389"/>
      <c r="L986" s="389"/>
      <c r="M986" s="389"/>
      <c r="N986" s="389"/>
      <c r="O986" s="389"/>
      <c r="P986" s="389"/>
      <c r="Q986" s="389"/>
      <c r="R986" s="389"/>
      <c r="S986" s="389"/>
      <c r="T986" s="389"/>
      <c r="U986" s="389"/>
      <c r="V986" s="389"/>
      <c r="W986" s="389"/>
      <c r="X986" s="389"/>
      <c r="Y986" s="389"/>
      <c r="Z986" s="389"/>
      <c r="AA986" s="389"/>
      <c r="AB986" s="389"/>
      <c r="AC986" s="389"/>
      <c r="AD986" s="389"/>
      <c r="AE986" s="389"/>
      <c r="AF986" s="389"/>
      <c r="AG986" s="389"/>
    </row>
    <row r="987">
      <c r="A987" s="389"/>
      <c r="B987" s="389"/>
      <c r="C987" s="389"/>
      <c r="D987" s="390"/>
      <c r="E987" s="389"/>
      <c r="F987" s="392"/>
      <c r="G987" s="389"/>
      <c r="H987" s="389"/>
      <c r="I987" s="389"/>
      <c r="J987" s="389"/>
      <c r="K987" s="389"/>
      <c r="L987" s="389"/>
      <c r="M987" s="389"/>
      <c r="N987" s="389"/>
      <c r="O987" s="389"/>
      <c r="P987" s="389"/>
      <c r="Q987" s="389"/>
      <c r="R987" s="389"/>
      <c r="S987" s="389"/>
      <c r="T987" s="389"/>
      <c r="U987" s="389"/>
      <c r="V987" s="389"/>
      <c r="W987" s="389"/>
      <c r="X987" s="389"/>
      <c r="Y987" s="389"/>
      <c r="Z987" s="389"/>
      <c r="AA987" s="389"/>
      <c r="AB987" s="389"/>
      <c r="AC987" s="389"/>
      <c r="AD987" s="389"/>
      <c r="AE987" s="389"/>
      <c r="AF987" s="389"/>
      <c r="AG987" s="389"/>
    </row>
    <row r="988">
      <c r="A988" s="389"/>
      <c r="B988" s="389"/>
      <c r="C988" s="389"/>
      <c r="D988" s="390"/>
      <c r="E988" s="389"/>
      <c r="F988" s="392"/>
      <c r="G988" s="389"/>
      <c r="H988" s="389"/>
      <c r="I988" s="389"/>
      <c r="J988" s="389"/>
      <c r="K988" s="389"/>
      <c r="L988" s="389"/>
      <c r="M988" s="389"/>
      <c r="N988" s="389"/>
      <c r="O988" s="389"/>
      <c r="P988" s="389"/>
      <c r="Q988" s="389"/>
      <c r="R988" s="389"/>
      <c r="S988" s="389"/>
      <c r="T988" s="389"/>
      <c r="U988" s="389"/>
      <c r="V988" s="389"/>
      <c r="W988" s="389"/>
      <c r="X988" s="389"/>
      <c r="Y988" s="389"/>
      <c r="Z988" s="389"/>
      <c r="AA988" s="389"/>
      <c r="AB988" s="389"/>
      <c r="AC988" s="389"/>
      <c r="AD988" s="389"/>
      <c r="AE988" s="389"/>
      <c r="AF988" s="389"/>
      <c r="AG988" s="389"/>
    </row>
    <row r="989">
      <c r="A989" s="389"/>
      <c r="B989" s="389"/>
      <c r="C989" s="389"/>
      <c r="D989" s="390"/>
      <c r="E989" s="389"/>
      <c r="F989" s="392"/>
      <c r="G989" s="389"/>
      <c r="H989" s="389"/>
      <c r="I989" s="389"/>
      <c r="J989" s="389"/>
      <c r="K989" s="389"/>
      <c r="L989" s="389"/>
      <c r="M989" s="389"/>
      <c r="N989" s="389"/>
      <c r="O989" s="389"/>
      <c r="P989" s="389"/>
      <c r="Q989" s="389"/>
      <c r="R989" s="389"/>
      <c r="S989" s="389"/>
      <c r="T989" s="389"/>
      <c r="U989" s="389"/>
      <c r="V989" s="389"/>
      <c r="W989" s="389"/>
      <c r="X989" s="389"/>
      <c r="Y989" s="389"/>
      <c r="Z989" s="389"/>
      <c r="AA989" s="389"/>
      <c r="AB989" s="389"/>
      <c r="AC989" s="389"/>
      <c r="AD989" s="389"/>
      <c r="AE989" s="389"/>
      <c r="AF989" s="389"/>
      <c r="AG989" s="389"/>
    </row>
    <row r="990">
      <c r="A990" s="389"/>
      <c r="B990" s="389"/>
      <c r="C990" s="389"/>
      <c r="D990" s="390"/>
      <c r="E990" s="389"/>
      <c r="F990" s="392"/>
      <c r="G990" s="389"/>
      <c r="H990" s="389"/>
      <c r="I990" s="389"/>
      <c r="J990" s="389"/>
      <c r="K990" s="389"/>
      <c r="L990" s="389"/>
      <c r="M990" s="389"/>
      <c r="N990" s="389"/>
      <c r="O990" s="389"/>
      <c r="P990" s="389"/>
      <c r="Q990" s="389"/>
      <c r="R990" s="389"/>
      <c r="S990" s="389"/>
      <c r="T990" s="389"/>
      <c r="U990" s="389"/>
      <c r="V990" s="389"/>
      <c r="W990" s="389"/>
      <c r="X990" s="389"/>
      <c r="Y990" s="389"/>
      <c r="Z990" s="389"/>
      <c r="AA990" s="389"/>
      <c r="AB990" s="389"/>
      <c r="AC990" s="389"/>
      <c r="AD990" s="389"/>
      <c r="AE990" s="389"/>
      <c r="AF990" s="389"/>
      <c r="AG990" s="389"/>
    </row>
    <row r="991">
      <c r="A991" s="389"/>
      <c r="B991" s="389"/>
      <c r="C991" s="389"/>
      <c r="D991" s="390"/>
      <c r="E991" s="389"/>
      <c r="F991" s="392"/>
      <c r="G991" s="389"/>
      <c r="H991" s="389"/>
      <c r="I991" s="389"/>
      <c r="J991" s="389"/>
      <c r="K991" s="389"/>
      <c r="L991" s="389"/>
      <c r="M991" s="389"/>
      <c r="N991" s="389"/>
      <c r="O991" s="389"/>
      <c r="P991" s="389"/>
      <c r="Q991" s="389"/>
      <c r="R991" s="389"/>
      <c r="S991" s="389"/>
      <c r="T991" s="389"/>
      <c r="U991" s="389"/>
      <c r="V991" s="389"/>
      <c r="W991" s="389"/>
      <c r="X991" s="389"/>
      <c r="Y991" s="389"/>
      <c r="Z991" s="389"/>
      <c r="AA991" s="389"/>
      <c r="AB991" s="389"/>
      <c r="AC991" s="389"/>
      <c r="AD991" s="389"/>
      <c r="AE991" s="389"/>
      <c r="AF991" s="389"/>
      <c r="AG991" s="389"/>
    </row>
    <row r="992">
      <c r="A992" s="389"/>
      <c r="B992" s="389"/>
      <c r="C992" s="389"/>
      <c r="D992" s="390"/>
      <c r="E992" s="389"/>
      <c r="F992" s="392"/>
      <c r="G992" s="389"/>
      <c r="H992" s="389"/>
      <c r="I992" s="389"/>
      <c r="J992" s="389"/>
      <c r="K992" s="389"/>
      <c r="L992" s="389"/>
      <c r="M992" s="389"/>
      <c r="N992" s="389"/>
      <c r="O992" s="389"/>
      <c r="P992" s="389"/>
      <c r="Q992" s="389"/>
      <c r="R992" s="389"/>
      <c r="S992" s="389"/>
      <c r="T992" s="389"/>
      <c r="U992" s="389"/>
      <c r="V992" s="389"/>
      <c r="W992" s="389"/>
      <c r="X992" s="389"/>
      <c r="Y992" s="389"/>
      <c r="Z992" s="389"/>
      <c r="AA992" s="389"/>
      <c r="AB992" s="389"/>
      <c r="AC992" s="389"/>
      <c r="AD992" s="389"/>
      <c r="AE992" s="389"/>
      <c r="AF992" s="389"/>
      <c r="AG992" s="389"/>
    </row>
    <row r="993">
      <c r="A993" s="389"/>
      <c r="B993" s="389"/>
      <c r="C993" s="389"/>
      <c r="D993" s="390"/>
      <c r="E993" s="389"/>
      <c r="F993" s="392"/>
      <c r="G993" s="389"/>
      <c r="H993" s="389"/>
      <c r="I993" s="389"/>
      <c r="J993" s="389"/>
      <c r="K993" s="389"/>
      <c r="L993" s="389"/>
      <c r="M993" s="389"/>
      <c r="N993" s="389"/>
      <c r="O993" s="389"/>
      <c r="P993" s="389"/>
      <c r="Q993" s="389"/>
      <c r="R993" s="389"/>
      <c r="S993" s="389"/>
      <c r="T993" s="389"/>
      <c r="U993" s="389"/>
      <c r="V993" s="389"/>
      <c r="W993" s="389"/>
      <c r="X993" s="389"/>
      <c r="Y993" s="389"/>
      <c r="Z993" s="389"/>
      <c r="AA993" s="389"/>
      <c r="AB993" s="389"/>
      <c r="AC993" s="389"/>
      <c r="AD993" s="389"/>
      <c r="AE993" s="389"/>
      <c r="AF993" s="389"/>
      <c r="AG993" s="389"/>
    </row>
    <row r="994">
      <c r="A994" s="389"/>
      <c r="B994" s="389"/>
      <c r="C994" s="389"/>
      <c r="D994" s="390"/>
      <c r="E994" s="389"/>
      <c r="F994" s="392"/>
      <c r="G994" s="389"/>
      <c r="H994" s="389"/>
      <c r="I994" s="389"/>
      <c r="J994" s="389"/>
      <c r="K994" s="389"/>
      <c r="L994" s="389"/>
      <c r="M994" s="389"/>
      <c r="N994" s="389"/>
      <c r="O994" s="389"/>
      <c r="P994" s="389"/>
      <c r="Q994" s="389"/>
      <c r="R994" s="389"/>
      <c r="S994" s="389"/>
      <c r="T994" s="389"/>
      <c r="U994" s="389"/>
      <c r="V994" s="389"/>
      <c r="W994" s="389"/>
      <c r="X994" s="389"/>
      <c r="Y994" s="389"/>
      <c r="Z994" s="389"/>
      <c r="AA994" s="389"/>
      <c r="AB994" s="389"/>
      <c r="AC994" s="389"/>
      <c r="AD994" s="389"/>
      <c r="AE994" s="389"/>
      <c r="AF994" s="389"/>
      <c r="AG994" s="389"/>
    </row>
    <row r="995">
      <c r="A995" s="389"/>
      <c r="B995" s="389"/>
      <c r="C995" s="389"/>
      <c r="D995" s="390"/>
      <c r="E995" s="389"/>
      <c r="F995" s="392"/>
      <c r="G995" s="389"/>
      <c r="H995" s="389"/>
      <c r="I995" s="389"/>
      <c r="J995" s="389"/>
      <c r="K995" s="389"/>
      <c r="L995" s="389"/>
      <c r="M995" s="389"/>
      <c r="N995" s="389"/>
      <c r="O995" s="389"/>
      <c r="P995" s="389"/>
      <c r="Q995" s="389"/>
      <c r="R995" s="389"/>
      <c r="S995" s="389"/>
      <c r="T995" s="389"/>
      <c r="U995" s="389"/>
      <c r="V995" s="389"/>
      <c r="W995" s="389"/>
      <c r="X995" s="389"/>
      <c r="Y995" s="389"/>
      <c r="Z995" s="389"/>
      <c r="AA995" s="389"/>
      <c r="AB995" s="389"/>
      <c r="AC995" s="389"/>
      <c r="AD995" s="389"/>
      <c r="AE995" s="389"/>
      <c r="AF995" s="389"/>
      <c r="AG995" s="389"/>
    </row>
    <row r="996">
      <c r="A996" s="389"/>
      <c r="B996" s="389"/>
      <c r="C996" s="389"/>
      <c r="D996" s="390"/>
      <c r="E996" s="389"/>
      <c r="F996" s="392"/>
      <c r="G996" s="389"/>
      <c r="H996" s="389"/>
      <c r="I996" s="389"/>
      <c r="J996" s="389"/>
      <c r="K996" s="389"/>
      <c r="L996" s="389"/>
      <c r="M996" s="389"/>
      <c r="N996" s="389"/>
      <c r="O996" s="389"/>
      <c r="P996" s="389"/>
      <c r="Q996" s="389"/>
      <c r="R996" s="389"/>
      <c r="S996" s="389"/>
      <c r="T996" s="389"/>
      <c r="U996" s="389"/>
      <c r="V996" s="389"/>
      <c r="W996" s="389"/>
      <c r="X996" s="389"/>
      <c r="Y996" s="389"/>
      <c r="Z996" s="389"/>
      <c r="AA996" s="389"/>
      <c r="AB996" s="389"/>
      <c r="AC996" s="389"/>
      <c r="AD996" s="389"/>
      <c r="AE996" s="389"/>
      <c r="AF996" s="389"/>
      <c r="AG996" s="389"/>
    </row>
    <row r="997">
      <c r="A997" s="389"/>
      <c r="B997" s="389"/>
      <c r="C997" s="389"/>
      <c r="D997" s="390"/>
      <c r="E997" s="389"/>
      <c r="F997" s="392"/>
      <c r="G997" s="389"/>
      <c r="H997" s="389"/>
      <c r="I997" s="389"/>
      <c r="J997" s="389"/>
      <c r="K997" s="389"/>
      <c r="L997" s="389"/>
      <c r="M997" s="389"/>
      <c r="N997" s="389"/>
      <c r="O997" s="389"/>
      <c r="P997" s="389"/>
      <c r="Q997" s="389"/>
      <c r="R997" s="389"/>
      <c r="S997" s="389"/>
      <c r="T997" s="389"/>
      <c r="U997" s="389"/>
      <c r="V997" s="389"/>
      <c r="W997" s="389"/>
      <c r="X997" s="389"/>
      <c r="Y997" s="389"/>
      <c r="Z997" s="389"/>
      <c r="AA997" s="389"/>
      <c r="AB997" s="389"/>
      <c r="AC997" s="389"/>
      <c r="AD997" s="389"/>
      <c r="AE997" s="389"/>
      <c r="AF997" s="389"/>
      <c r="AG997" s="389"/>
    </row>
    <row r="998">
      <c r="A998" s="389"/>
      <c r="B998" s="389"/>
      <c r="C998" s="389"/>
      <c r="D998" s="390"/>
      <c r="E998" s="389"/>
      <c r="F998" s="392"/>
      <c r="G998" s="389"/>
      <c r="H998" s="389"/>
      <c r="I998" s="389"/>
      <c r="J998" s="389"/>
      <c r="K998" s="389"/>
      <c r="L998" s="389"/>
      <c r="M998" s="389"/>
      <c r="N998" s="389"/>
      <c r="O998" s="389"/>
      <c r="P998" s="389"/>
      <c r="Q998" s="389"/>
      <c r="R998" s="389"/>
      <c r="S998" s="389"/>
      <c r="T998" s="389"/>
      <c r="U998" s="389"/>
      <c r="V998" s="389"/>
      <c r="W998" s="389"/>
      <c r="X998" s="389"/>
      <c r="Y998" s="389"/>
      <c r="Z998" s="389"/>
      <c r="AA998" s="389"/>
      <c r="AB998" s="389"/>
      <c r="AC998" s="389"/>
      <c r="AD998" s="389"/>
      <c r="AE998" s="389"/>
      <c r="AF998" s="389"/>
      <c r="AG998" s="389"/>
    </row>
    <row r="999">
      <c r="A999" s="389"/>
      <c r="B999" s="389"/>
      <c r="C999" s="389"/>
      <c r="D999" s="390"/>
      <c r="E999" s="389"/>
      <c r="F999" s="392"/>
      <c r="G999" s="389"/>
      <c r="H999" s="389"/>
      <c r="I999" s="389"/>
      <c r="J999" s="389"/>
      <c r="K999" s="389"/>
      <c r="L999" s="389"/>
      <c r="M999" s="389"/>
      <c r="N999" s="389"/>
      <c r="O999" s="389"/>
      <c r="P999" s="389"/>
      <c r="Q999" s="389"/>
      <c r="R999" s="389"/>
      <c r="S999" s="389"/>
      <c r="T999" s="389"/>
      <c r="U999" s="389"/>
      <c r="V999" s="389"/>
      <c r="W999" s="389"/>
      <c r="X999" s="389"/>
      <c r="Y999" s="389"/>
      <c r="Z999" s="389"/>
      <c r="AA999" s="389"/>
      <c r="AB999" s="389"/>
      <c r="AC999" s="389"/>
      <c r="AD999" s="389"/>
      <c r="AE999" s="389"/>
      <c r="AF999" s="389"/>
      <c r="AG999" s="389"/>
    </row>
    <row r="1000">
      <c r="A1000" s="389"/>
      <c r="B1000" s="389"/>
      <c r="C1000" s="389"/>
      <c r="D1000" s="390"/>
      <c r="E1000" s="389"/>
      <c r="F1000" s="392"/>
      <c r="G1000" s="389"/>
      <c r="H1000" s="389"/>
      <c r="I1000" s="389"/>
      <c r="J1000" s="389"/>
      <c r="K1000" s="389"/>
      <c r="L1000" s="389"/>
      <c r="M1000" s="389"/>
      <c r="N1000" s="389"/>
      <c r="O1000" s="389"/>
      <c r="P1000" s="389"/>
      <c r="Q1000" s="389"/>
      <c r="R1000" s="389"/>
      <c r="S1000" s="389"/>
      <c r="T1000" s="389"/>
      <c r="U1000" s="389"/>
      <c r="V1000" s="389"/>
      <c r="W1000" s="389"/>
      <c r="X1000" s="389"/>
      <c r="Y1000" s="389"/>
      <c r="Z1000" s="389"/>
      <c r="AA1000" s="389"/>
      <c r="AB1000" s="389"/>
      <c r="AC1000" s="389"/>
      <c r="AD1000" s="389"/>
      <c r="AE1000" s="389"/>
      <c r="AF1000" s="389"/>
      <c r="AG1000" s="389"/>
    </row>
    <row r="1001">
      <c r="A1001" s="389"/>
      <c r="B1001" s="389"/>
      <c r="C1001" s="389"/>
      <c r="D1001" s="390"/>
      <c r="E1001" s="389"/>
      <c r="F1001" s="392"/>
      <c r="G1001" s="389"/>
      <c r="H1001" s="389"/>
      <c r="I1001" s="389"/>
      <c r="J1001" s="389"/>
      <c r="K1001" s="389"/>
      <c r="L1001" s="389"/>
      <c r="M1001" s="389"/>
      <c r="N1001" s="389"/>
      <c r="O1001" s="389"/>
      <c r="P1001" s="389"/>
      <c r="Q1001" s="389"/>
      <c r="R1001" s="389"/>
      <c r="S1001" s="389"/>
      <c r="T1001" s="389"/>
      <c r="U1001" s="389"/>
      <c r="V1001" s="389"/>
      <c r="W1001" s="389"/>
      <c r="X1001" s="389"/>
      <c r="Y1001" s="389"/>
      <c r="Z1001" s="389"/>
      <c r="AA1001" s="389"/>
      <c r="AB1001" s="389"/>
      <c r="AC1001" s="389"/>
      <c r="AD1001" s="389"/>
      <c r="AE1001" s="389"/>
      <c r="AF1001" s="389"/>
      <c r="AG1001" s="389"/>
    </row>
  </sheetData>
  <hyperlinks>
    <hyperlink r:id="rId1" ref="E3"/>
    <hyperlink r:id="rId2" ref="E7"/>
    <hyperlink r:id="rId3" ref="I7"/>
    <hyperlink r:id="rId4" ref="E8"/>
    <hyperlink r:id="rId5" ref="E9"/>
    <hyperlink r:id="rId6" ref="E10"/>
    <hyperlink r:id="rId7" ref="E11"/>
    <hyperlink r:id="rId8" ref="E13"/>
    <hyperlink r:id="rId9" ref="E14"/>
    <hyperlink r:id="rId10" ref="E15"/>
    <hyperlink r:id="rId11" ref="E19"/>
    <hyperlink r:id="rId12" ref="E21"/>
    <hyperlink r:id="rId13" ref="E22"/>
    <hyperlink r:id="rId14" ref="E23"/>
    <hyperlink r:id="rId15" ref="E25"/>
    <hyperlink r:id="rId16" ref="E26"/>
    <hyperlink r:id="rId17" ref="E27"/>
    <hyperlink r:id="rId18" ref="E29"/>
    <hyperlink r:id="rId19" ref="E30"/>
    <hyperlink r:id="rId20" ref="E31"/>
    <hyperlink r:id="rId21" ref="E32"/>
    <hyperlink r:id="rId22" ref="E33"/>
    <hyperlink r:id="rId23" ref="E35"/>
    <hyperlink r:id="rId24" ref="E36"/>
    <hyperlink r:id="rId25" ref="E37"/>
    <hyperlink r:id="rId26" ref="E39"/>
    <hyperlink r:id="rId27" ref="E40"/>
    <hyperlink r:id="rId28" ref="I40"/>
    <hyperlink r:id="rId29" ref="E41"/>
    <hyperlink r:id="rId30" ref="E42"/>
    <hyperlink r:id="rId31" ref="E43"/>
    <hyperlink r:id="rId32" ref="E44"/>
    <hyperlink r:id="rId33" ref="E46"/>
    <hyperlink r:id="rId34" ref="E47"/>
    <hyperlink r:id="rId35" ref="B49"/>
    <hyperlink r:id="rId36" ref="E49"/>
    <hyperlink r:id="rId37" ref="E50"/>
    <hyperlink r:id="rId38" ref="E52"/>
    <hyperlink r:id="rId39" ref="E53"/>
    <hyperlink r:id="rId40" ref="E54"/>
    <hyperlink r:id="rId41" ref="B55"/>
    <hyperlink r:id="rId42" ref="E55"/>
    <hyperlink r:id="rId43" ref="E56"/>
    <hyperlink r:id="rId44" ref="E58"/>
    <hyperlink r:id="rId45" ref="E59"/>
    <hyperlink r:id="rId46" ref="E60"/>
    <hyperlink r:id="rId47" ref="E61"/>
    <hyperlink r:id="rId48" ref="E62"/>
    <hyperlink r:id="rId49" ref="E63"/>
    <hyperlink r:id="rId50" ref="E64"/>
    <hyperlink r:id="rId51" ref="E65"/>
    <hyperlink r:id="rId52" ref="I65"/>
    <hyperlink r:id="rId53" ref="E66"/>
    <hyperlink r:id="rId54" ref="I66"/>
    <hyperlink r:id="rId55" ref="E67"/>
    <hyperlink r:id="rId56" ref="I67"/>
    <hyperlink r:id="rId57" ref="E69"/>
    <hyperlink r:id="rId58" ref="E70"/>
    <hyperlink r:id="rId59" ref="E71"/>
    <hyperlink r:id="rId60" ref="E72"/>
    <hyperlink r:id="rId61" ref="E73"/>
    <hyperlink r:id="rId62" ref="E75"/>
    <hyperlink r:id="rId63" ref="E76"/>
    <hyperlink r:id="rId64" ref="E77"/>
    <hyperlink r:id="rId65" ref="E78"/>
    <hyperlink r:id="rId66" ref="E79"/>
    <hyperlink r:id="rId67" ref="I79"/>
    <hyperlink r:id="rId68" ref="E80"/>
    <hyperlink r:id="rId69" ref="E81"/>
    <hyperlink r:id="rId70" ref="E82"/>
    <hyperlink r:id="rId71" ref="E84"/>
    <hyperlink r:id="rId72" ref="E85"/>
    <hyperlink r:id="rId73" ref="E86"/>
    <hyperlink r:id="rId74" ref="I86"/>
    <hyperlink r:id="rId75" ref="E87"/>
    <hyperlink r:id="rId76" ref="E88"/>
    <hyperlink r:id="rId77" ref="E90"/>
    <hyperlink r:id="rId78" ref="E91"/>
    <hyperlink r:id="rId79" ref="E92"/>
    <hyperlink r:id="rId80" ref="E93"/>
    <hyperlink r:id="rId81" ref="I93"/>
    <hyperlink r:id="rId82" ref="E95"/>
    <hyperlink r:id="rId83" ref="E97"/>
    <hyperlink r:id="rId84" ref="E98"/>
  </hyperlinks>
  <drawing r:id="rId8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32.14"/>
  </cols>
  <sheetData>
    <row r="1">
      <c r="A1" s="385" t="s">
        <v>0</v>
      </c>
      <c r="B1" s="386" t="s">
        <v>1</v>
      </c>
      <c r="C1" s="386" t="s">
        <v>1817</v>
      </c>
      <c r="D1" s="386" t="s">
        <v>2</v>
      </c>
      <c r="E1" s="386" t="s">
        <v>3</v>
      </c>
      <c r="F1" s="386" t="s">
        <v>4</v>
      </c>
      <c r="G1" s="386"/>
      <c r="H1" s="386" t="s">
        <v>6</v>
      </c>
      <c r="I1" s="387" t="s">
        <v>8</v>
      </c>
      <c r="J1" s="386" t="s">
        <v>9</v>
      </c>
      <c r="K1" s="391"/>
      <c r="L1" s="106"/>
      <c r="M1" s="106"/>
      <c r="N1" s="106"/>
      <c r="O1" s="106"/>
      <c r="P1" s="106"/>
      <c r="Q1" s="106"/>
      <c r="R1" s="106"/>
      <c r="S1" s="106"/>
      <c r="T1" s="106"/>
      <c r="U1" s="106"/>
      <c r="V1" s="106"/>
      <c r="W1" s="106"/>
      <c r="X1" s="106"/>
      <c r="Y1" s="106"/>
      <c r="Z1" s="106"/>
      <c r="AA1" s="106"/>
      <c r="AB1" s="106"/>
      <c r="AC1" s="106"/>
      <c r="AD1" s="106"/>
      <c r="AE1" s="106"/>
      <c r="AF1" s="106"/>
      <c r="AG1" s="106"/>
    </row>
    <row r="2">
      <c r="A2" s="262">
        <v>43282.0</v>
      </c>
      <c r="B2" s="394"/>
      <c r="D2" s="36"/>
      <c r="E2" s="394"/>
      <c r="F2" s="291"/>
      <c r="I2" s="396"/>
    </row>
    <row r="3">
      <c r="B3" s="394" t="s">
        <v>2561</v>
      </c>
      <c r="D3" s="126" t="s">
        <v>2563</v>
      </c>
      <c r="E3" s="398" t="s">
        <v>2564</v>
      </c>
      <c r="F3" s="291" t="s">
        <v>2283</v>
      </c>
      <c r="I3" s="396" t="s">
        <v>2565</v>
      </c>
    </row>
    <row r="4">
      <c r="A4" s="262">
        <v>43283.0</v>
      </c>
      <c r="F4" s="329"/>
      <c r="I4" s="401"/>
    </row>
    <row r="5">
      <c r="B5" s="222" t="s">
        <v>2568</v>
      </c>
      <c r="D5" s="126" t="s">
        <v>2569</v>
      </c>
      <c r="E5" s="403" t="s">
        <v>2570</v>
      </c>
      <c r="F5" s="404" t="s">
        <v>2440</v>
      </c>
      <c r="G5" s="405"/>
      <c r="H5" s="364" t="s">
        <v>2284</v>
      </c>
      <c r="I5" s="396" t="s">
        <v>2574</v>
      </c>
      <c r="J5" s="36" t="s">
        <v>32</v>
      </c>
    </row>
    <row r="6">
      <c r="B6" s="394" t="s">
        <v>2578</v>
      </c>
      <c r="D6" s="126" t="s">
        <v>2579</v>
      </c>
      <c r="E6" s="398" t="s">
        <v>2580</v>
      </c>
      <c r="F6" s="291" t="s">
        <v>2283</v>
      </c>
      <c r="I6" s="407" t="s">
        <v>2582</v>
      </c>
      <c r="J6" s="36" t="s">
        <v>32</v>
      </c>
    </row>
    <row r="7">
      <c r="B7" s="394" t="s">
        <v>2583</v>
      </c>
      <c r="D7" s="289">
        <v>5.05055682E8</v>
      </c>
      <c r="E7" s="398" t="s">
        <v>2584</v>
      </c>
      <c r="F7" s="291" t="s">
        <v>2283</v>
      </c>
      <c r="I7" s="396" t="s">
        <v>2585</v>
      </c>
      <c r="J7" s="36" t="s">
        <v>32</v>
      </c>
    </row>
    <row r="8">
      <c r="A8" s="262">
        <v>43284.0</v>
      </c>
      <c r="F8" s="329"/>
      <c r="I8" s="401"/>
    </row>
    <row r="9">
      <c r="B9" s="394" t="s">
        <v>2586</v>
      </c>
      <c r="D9" s="126" t="s">
        <v>2587</v>
      </c>
      <c r="E9" s="398" t="s">
        <v>2588</v>
      </c>
      <c r="F9" s="291" t="s">
        <v>2283</v>
      </c>
      <c r="H9" s="36" t="s">
        <v>2284</v>
      </c>
      <c r="I9" s="396" t="s">
        <v>2592</v>
      </c>
      <c r="K9" s="370" t="s">
        <v>2593</v>
      </c>
    </row>
    <row r="10">
      <c r="A10" s="262">
        <v>43286.0</v>
      </c>
      <c r="F10" s="329"/>
      <c r="I10" s="401"/>
    </row>
    <row r="11">
      <c r="B11" s="394" t="s">
        <v>2594</v>
      </c>
      <c r="D11" s="124" t="s">
        <v>2595</v>
      </c>
      <c r="E11" s="36" t="s">
        <v>2596</v>
      </c>
      <c r="F11" s="291" t="s">
        <v>2283</v>
      </c>
      <c r="H11" s="36" t="s">
        <v>2597</v>
      </c>
      <c r="I11" s="396" t="s">
        <v>2598</v>
      </c>
    </row>
    <row r="12">
      <c r="D12" s="124" t="s">
        <v>2599</v>
      </c>
      <c r="F12" s="291" t="s">
        <v>2324</v>
      </c>
      <c r="H12" s="36" t="s">
        <v>2284</v>
      </c>
      <c r="I12" s="410" t="s">
        <v>2600</v>
      </c>
      <c r="J12" s="36" t="s">
        <v>32</v>
      </c>
    </row>
    <row r="13">
      <c r="B13" s="299" t="s">
        <v>2601</v>
      </c>
      <c r="D13" s="124" t="s">
        <v>2602</v>
      </c>
      <c r="E13" s="36" t="s">
        <v>2603</v>
      </c>
      <c r="F13" s="291" t="s">
        <v>2324</v>
      </c>
      <c r="H13" s="36" t="s">
        <v>2284</v>
      </c>
      <c r="I13" s="410" t="s">
        <v>2600</v>
      </c>
      <c r="J13" s="36" t="s">
        <v>32</v>
      </c>
    </row>
    <row r="14">
      <c r="A14" s="262">
        <v>43288.0</v>
      </c>
      <c r="F14" s="329"/>
      <c r="I14" s="401"/>
    </row>
    <row r="15">
      <c r="B15" s="299" t="s">
        <v>2606</v>
      </c>
      <c r="D15" s="124" t="s">
        <v>2608</v>
      </c>
      <c r="E15" s="253" t="s">
        <v>2609</v>
      </c>
      <c r="F15" s="291" t="s">
        <v>2324</v>
      </c>
      <c r="H15" s="36" t="s">
        <v>2284</v>
      </c>
      <c r="I15" s="410" t="s">
        <v>2600</v>
      </c>
      <c r="J15" s="36" t="s">
        <v>32</v>
      </c>
    </row>
    <row r="16">
      <c r="B16" s="394" t="s">
        <v>2614</v>
      </c>
      <c r="D16" s="124" t="s">
        <v>2615</v>
      </c>
      <c r="E16" s="398" t="s">
        <v>2616</v>
      </c>
      <c r="F16" s="291" t="s">
        <v>2283</v>
      </c>
      <c r="H16" s="36" t="s">
        <v>2342</v>
      </c>
      <c r="I16" s="412" t="s">
        <v>784</v>
      </c>
      <c r="J16" s="36" t="s">
        <v>54</v>
      </c>
    </row>
    <row r="17">
      <c r="B17" s="299" t="s">
        <v>2621</v>
      </c>
      <c r="D17" s="124" t="s">
        <v>2622</v>
      </c>
      <c r="E17" s="253" t="s">
        <v>2624</v>
      </c>
      <c r="F17" s="291" t="s">
        <v>2324</v>
      </c>
      <c r="H17" s="36" t="s">
        <v>2284</v>
      </c>
      <c r="I17" s="396" t="s">
        <v>2628</v>
      </c>
      <c r="K17" s="370" t="s">
        <v>2629</v>
      </c>
    </row>
    <row r="18">
      <c r="B18" s="413" t="s">
        <v>2630</v>
      </c>
      <c r="E18" s="117" t="s">
        <v>2631</v>
      </c>
      <c r="F18" s="329"/>
      <c r="I18" s="414" t="s">
        <v>2632</v>
      </c>
      <c r="J18" s="36" t="s">
        <v>2633</v>
      </c>
    </row>
    <row r="19">
      <c r="A19" s="262">
        <v>43289.0</v>
      </c>
      <c r="F19" s="329"/>
      <c r="I19" s="401"/>
    </row>
    <row r="20">
      <c r="B20" s="415" t="s">
        <v>2634</v>
      </c>
      <c r="D20" s="117">
        <v>3.3665206584E10</v>
      </c>
      <c r="E20" s="257" t="s">
        <v>2636</v>
      </c>
      <c r="F20" s="291" t="s">
        <v>2293</v>
      </c>
      <c r="H20" s="36" t="s">
        <v>2284</v>
      </c>
      <c r="I20" s="418" t="s">
        <v>2639</v>
      </c>
      <c r="J20" s="36" t="s">
        <v>158</v>
      </c>
    </row>
    <row r="21">
      <c r="B21" s="117" t="s">
        <v>2656</v>
      </c>
      <c r="D21" s="126" t="s">
        <v>2657</v>
      </c>
      <c r="E21" s="257" t="s">
        <v>2658</v>
      </c>
      <c r="F21" s="291" t="s">
        <v>2293</v>
      </c>
      <c r="H21" s="36" t="s">
        <v>2284</v>
      </c>
      <c r="I21" s="396" t="s">
        <v>2659</v>
      </c>
      <c r="K21" s="370" t="s">
        <v>2660</v>
      </c>
    </row>
    <row r="22">
      <c r="B22" s="394" t="s">
        <v>2661</v>
      </c>
      <c r="D22" s="124" t="s">
        <v>2662</v>
      </c>
      <c r="E22" s="398" t="s">
        <v>2663</v>
      </c>
      <c r="F22" s="291" t="s">
        <v>2283</v>
      </c>
      <c r="H22" s="36" t="s">
        <v>2284</v>
      </c>
      <c r="I22" s="407" t="s">
        <v>2582</v>
      </c>
      <c r="J22" s="36" t="s">
        <v>32</v>
      </c>
    </row>
    <row r="23">
      <c r="B23" s="394" t="s">
        <v>2668</v>
      </c>
      <c r="D23" s="126" t="s">
        <v>2669</v>
      </c>
      <c r="E23" s="398" t="s">
        <v>2670</v>
      </c>
      <c r="F23" s="166"/>
      <c r="G23" s="166"/>
      <c r="H23" s="63" t="s">
        <v>2284</v>
      </c>
      <c r="I23" s="396" t="s">
        <v>2302</v>
      </c>
      <c r="J23" s="36" t="s">
        <v>54</v>
      </c>
    </row>
    <row r="24">
      <c r="B24" s="419" t="s">
        <v>2675</v>
      </c>
      <c r="D24" s="126" t="s">
        <v>2676</v>
      </c>
      <c r="E24" s="403" t="s">
        <v>2677</v>
      </c>
      <c r="F24" s="404" t="s">
        <v>2440</v>
      </c>
      <c r="G24" s="405"/>
      <c r="H24" s="364" t="s">
        <v>2284</v>
      </c>
      <c r="I24" s="420" t="s">
        <v>2681</v>
      </c>
      <c r="J24" s="36" t="s">
        <v>32</v>
      </c>
      <c r="K24" s="63"/>
    </row>
    <row r="25">
      <c r="B25" s="394" t="s">
        <v>2682</v>
      </c>
      <c r="D25" s="126" t="s">
        <v>2683</v>
      </c>
      <c r="E25" s="398" t="s">
        <v>2684</v>
      </c>
      <c r="F25" s="291" t="s">
        <v>2283</v>
      </c>
      <c r="H25" s="36" t="s">
        <v>2528</v>
      </c>
      <c r="I25" s="396" t="s">
        <v>2686</v>
      </c>
      <c r="J25" s="36" t="s">
        <v>32</v>
      </c>
    </row>
    <row r="26">
      <c r="B26" s="394" t="s">
        <v>2687</v>
      </c>
      <c r="D26" s="126" t="s">
        <v>2688</v>
      </c>
      <c r="E26" s="398" t="s">
        <v>2689</v>
      </c>
      <c r="F26" s="291" t="s">
        <v>2283</v>
      </c>
      <c r="H26" s="36" t="s">
        <v>2284</v>
      </c>
      <c r="I26" s="407" t="s">
        <v>2692</v>
      </c>
      <c r="J26" s="36" t="s">
        <v>32</v>
      </c>
    </row>
    <row r="27">
      <c r="B27" s="394" t="s">
        <v>2693</v>
      </c>
      <c r="D27" s="124" t="s">
        <v>2694</v>
      </c>
      <c r="E27" s="398" t="s">
        <v>2695</v>
      </c>
      <c r="F27" s="291" t="s">
        <v>2283</v>
      </c>
      <c r="H27" s="36" t="s">
        <v>2284</v>
      </c>
      <c r="I27" s="396" t="s">
        <v>2698</v>
      </c>
      <c r="J27" s="36" t="s">
        <v>32</v>
      </c>
    </row>
    <row r="28">
      <c r="B28" s="394" t="s">
        <v>2699</v>
      </c>
      <c r="D28" s="289">
        <v>5.7614005E7</v>
      </c>
      <c r="E28" s="398" t="s">
        <v>2700</v>
      </c>
      <c r="F28" s="291" t="s">
        <v>2283</v>
      </c>
      <c r="H28" s="36" t="s">
        <v>2284</v>
      </c>
      <c r="I28" s="412" t="s">
        <v>2704</v>
      </c>
      <c r="J28" s="36" t="s">
        <v>54</v>
      </c>
    </row>
    <row r="29">
      <c r="A29" s="262">
        <v>43290.0</v>
      </c>
      <c r="F29" s="329"/>
      <c r="I29" s="401"/>
    </row>
    <row r="30">
      <c r="B30" s="424" t="s">
        <v>2416</v>
      </c>
      <c r="D30" s="124" t="s">
        <v>2711</v>
      </c>
      <c r="E30" s="425" t="s">
        <v>2712</v>
      </c>
      <c r="F30" s="291" t="s">
        <v>2717</v>
      </c>
      <c r="G30" s="36" t="s">
        <v>1931</v>
      </c>
      <c r="I30" s="401"/>
    </row>
    <row r="31">
      <c r="B31" s="222" t="s">
        <v>2718</v>
      </c>
      <c r="E31" s="117" t="s">
        <v>2719</v>
      </c>
      <c r="F31" s="404" t="s">
        <v>2440</v>
      </c>
      <c r="G31" s="405"/>
      <c r="H31" s="364" t="s">
        <v>2342</v>
      </c>
      <c r="I31" s="396" t="s">
        <v>2565</v>
      </c>
    </row>
    <row r="32">
      <c r="B32" s="299" t="s">
        <v>2720</v>
      </c>
      <c r="D32" s="126" t="s">
        <v>2721</v>
      </c>
      <c r="E32" s="253" t="s">
        <v>2722</v>
      </c>
      <c r="F32" s="291" t="s">
        <v>2324</v>
      </c>
      <c r="H32" s="36" t="s">
        <v>2284</v>
      </c>
      <c r="I32" s="396" t="s">
        <v>599</v>
      </c>
    </row>
    <row r="33">
      <c r="B33" s="394" t="s">
        <v>2614</v>
      </c>
      <c r="D33" s="124" t="s">
        <v>2615</v>
      </c>
      <c r="E33" s="398" t="s">
        <v>2616</v>
      </c>
      <c r="F33" s="291" t="s">
        <v>2283</v>
      </c>
      <c r="H33" s="36" t="s">
        <v>2284</v>
      </c>
      <c r="I33" s="396" t="s">
        <v>784</v>
      </c>
      <c r="J33" s="36" t="s">
        <v>54</v>
      </c>
    </row>
    <row r="34">
      <c r="B34" s="117" t="s">
        <v>2730</v>
      </c>
      <c r="D34" s="126" t="s">
        <v>2731</v>
      </c>
      <c r="E34" s="257" t="s">
        <v>2732</v>
      </c>
      <c r="F34" s="291" t="s">
        <v>2293</v>
      </c>
      <c r="H34" s="36" t="s">
        <v>2284</v>
      </c>
      <c r="I34" s="418" t="s">
        <v>2732</v>
      </c>
    </row>
    <row r="35">
      <c r="A35" s="262">
        <v>43291.0</v>
      </c>
      <c r="F35" s="329"/>
      <c r="I35" s="401"/>
    </row>
    <row r="36">
      <c r="B36" s="394" t="s">
        <v>2741</v>
      </c>
      <c r="D36" s="124" t="s">
        <v>2742</v>
      </c>
      <c r="E36" s="398" t="s">
        <v>2743</v>
      </c>
      <c r="F36" s="291" t="s">
        <v>2283</v>
      </c>
      <c r="H36" s="36" t="s">
        <v>2284</v>
      </c>
      <c r="I36" s="396" t="s">
        <v>2747</v>
      </c>
    </row>
    <row r="37">
      <c r="D37" s="126" t="s">
        <v>2748</v>
      </c>
      <c r="F37" s="404" t="s">
        <v>2440</v>
      </c>
      <c r="G37" s="405"/>
      <c r="H37" s="364" t="s">
        <v>2284</v>
      </c>
      <c r="I37" s="396" t="s">
        <v>2592</v>
      </c>
      <c r="J37" s="36" t="s">
        <v>15</v>
      </c>
    </row>
    <row r="38">
      <c r="B38" s="36" t="s">
        <v>2749</v>
      </c>
      <c r="D38" s="36">
        <v>4.5175062E7</v>
      </c>
      <c r="F38" s="291" t="s">
        <v>2293</v>
      </c>
      <c r="H38" s="36" t="s">
        <v>2284</v>
      </c>
      <c r="I38" s="396" t="s">
        <v>2566</v>
      </c>
      <c r="K38" s="370" t="s">
        <v>2750</v>
      </c>
    </row>
    <row r="39">
      <c r="B39" s="36" t="s">
        <v>2751</v>
      </c>
      <c r="D39" s="126" t="s">
        <v>2752</v>
      </c>
      <c r="F39" s="291" t="s">
        <v>2283</v>
      </c>
      <c r="H39" s="36" t="s">
        <v>2284</v>
      </c>
      <c r="I39" s="396" t="s">
        <v>2753</v>
      </c>
      <c r="K39" s="36" t="s">
        <v>2754</v>
      </c>
    </row>
    <row r="40">
      <c r="A40" s="262">
        <v>43292.0</v>
      </c>
      <c r="F40" s="329"/>
      <c r="I40" s="401"/>
    </row>
    <row r="41">
      <c r="B41" s="222" t="s">
        <v>663</v>
      </c>
      <c r="E41" s="403" t="s">
        <v>2755</v>
      </c>
      <c r="F41" s="404" t="s">
        <v>2440</v>
      </c>
      <c r="G41" s="405"/>
      <c r="H41" s="364" t="s">
        <v>2284</v>
      </c>
      <c r="I41" s="396" t="s">
        <v>2760</v>
      </c>
      <c r="J41" s="36" t="s">
        <v>32</v>
      </c>
    </row>
    <row r="42">
      <c r="B42" s="222" t="s">
        <v>2761</v>
      </c>
      <c r="E42" s="403" t="s">
        <v>2762</v>
      </c>
      <c r="F42" s="404" t="s">
        <v>2440</v>
      </c>
      <c r="G42" s="405"/>
      <c r="H42" s="364" t="s">
        <v>2284</v>
      </c>
      <c r="I42" s="432" t="s">
        <v>2767</v>
      </c>
      <c r="J42" s="36" t="s">
        <v>32</v>
      </c>
    </row>
    <row r="43">
      <c r="A43" s="262">
        <v>43293.0</v>
      </c>
      <c r="F43" s="329"/>
      <c r="I43" s="401"/>
    </row>
    <row r="44">
      <c r="B44" s="394" t="s">
        <v>2768</v>
      </c>
      <c r="D44" s="435">
        <v>5.2102127E8</v>
      </c>
      <c r="E44" s="36" t="s">
        <v>2771</v>
      </c>
      <c r="F44" s="291" t="s">
        <v>2283</v>
      </c>
      <c r="H44" s="36" t="s">
        <v>2342</v>
      </c>
      <c r="I44" s="396" t="s">
        <v>2772</v>
      </c>
      <c r="J44" s="36" t="s">
        <v>54</v>
      </c>
    </row>
    <row r="45">
      <c r="B45" s="394" t="s">
        <v>2775</v>
      </c>
      <c r="D45" s="124" t="s">
        <v>2777</v>
      </c>
      <c r="E45" s="398" t="s">
        <v>2778</v>
      </c>
      <c r="F45" s="291" t="s">
        <v>2283</v>
      </c>
      <c r="H45" s="36" t="s">
        <v>2284</v>
      </c>
      <c r="I45" s="396" t="s">
        <v>2780</v>
      </c>
      <c r="J45" s="36" t="s">
        <v>32</v>
      </c>
    </row>
    <row r="46">
      <c r="B46" s="299" t="s">
        <v>2781</v>
      </c>
      <c r="D46" s="126" t="s">
        <v>2782</v>
      </c>
      <c r="F46" s="291" t="s">
        <v>2324</v>
      </c>
      <c r="H46" s="36" t="s">
        <v>2284</v>
      </c>
      <c r="I46" s="396" t="s">
        <v>2780</v>
      </c>
      <c r="J46" s="36" t="s">
        <v>32</v>
      </c>
    </row>
    <row r="47">
      <c r="B47" s="117" t="s">
        <v>2783</v>
      </c>
      <c r="D47" s="124" t="s">
        <v>2784</v>
      </c>
      <c r="E47" s="257" t="s">
        <v>2785</v>
      </c>
      <c r="F47" s="291" t="s">
        <v>2293</v>
      </c>
      <c r="H47" s="36" t="s">
        <v>2342</v>
      </c>
      <c r="I47" s="396" t="s">
        <v>2772</v>
      </c>
      <c r="J47" s="36" t="s">
        <v>54</v>
      </c>
    </row>
    <row r="48">
      <c r="B48" s="117" t="s">
        <v>2783</v>
      </c>
      <c r="D48" s="124" t="s">
        <v>2784</v>
      </c>
      <c r="E48" s="257" t="s">
        <v>2785</v>
      </c>
      <c r="F48" s="291" t="s">
        <v>2293</v>
      </c>
      <c r="H48" s="36" t="s">
        <v>2342</v>
      </c>
      <c r="I48" s="396" t="s">
        <v>2786</v>
      </c>
      <c r="J48" s="36" t="s">
        <v>803</v>
      </c>
    </row>
    <row r="49">
      <c r="B49" s="394" t="s">
        <v>2787</v>
      </c>
      <c r="D49" s="124" t="s">
        <v>2788</v>
      </c>
      <c r="E49" s="398" t="s">
        <v>2789</v>
      </c>
      <c r="F49" s="291" t="s">
        <v>2283</v>
      </c>
      <c r="H49" s="36" t="s">
        <v>2342</v>
      </c>
      <c r="I49" s="396" t="s">
        <v>2772</v>
      </c>
      <c r="J49" s="36" t="s">
        <v>54</v>
      </c>
    </row>
    <row r="50">
      <c r="A50" s="262"/>
      <c r="D50" s="126" t="s">
        <v>2790</v>
      </c>
      <c r="F50" s="404" t="s">
        <v>2440</v>
      </c>
      <c r="G50" s="364" t="s">
        <v>2791</v>
      </c>
      <c r="I50" s="401"/>
      <c r="J50" s="36" t="s">
        <v>2792</v>
      </c>
    </row>
    <row r="51">
      <c r="A51" s="262">
        <v>43295.0</v>
      </c>
      <c r="F51" s="329"/>
      <c r="I51" s="401"/>
    </row>
    <row r="52">
      <c r="B52" s="36" t="s">
        <v>2793</v>
      </c>
      <c r="D52" s="126" t="s">
        <v>2794</v>
      </c>
      <c r="F52" s="404" t="s">
        <v>2440</v>
      </c>
      <c r="G52" s="364" t="s">
        <v>2791</v>
      </c>
      <c r="H52" s="364" t="s">
        <v>2342</v>
      </c>
      <c r="I52" s="396" t="s">
        <v>2795</v>
      </c>
      <c r="K52" s="370" t="s">
        <v>2796</v>
      </c>
    </row>
    <row r="53">
      <c r="B53" s="394" t="s">
        <v>2797</v>
      </c>
      <c r="D53" s="126" t="s">
        <v>2798</v>
      </c>
      <c r="E53" s="398" t="s">
        <v>2799</v>
      </c>
      <c r="F53" s="291" t="s">
        <v>2283</v>
      </c>
      <c r="H53" s="36" t="s">
        <v>2333</v>
      </c>
      <c r="I53" s="396" t="s">
        <v>2801</v>
      </c>
      <c r="J53" s="36" t="s">
        <v>900</v>
      </c>
    </row>
    <row r="54">
      <c r="B54" s="117" t="s">
        <v>2804</v>
      </c>
      <c r="D54" s="126" t="s">
        <v>2805</v>
      </c>
      <c r="E54" s="257" t="s">
        <v>2807</v>
      </c>
      <c r="F54" s="291" t="s">
        <v>2293</v>
      </c>
      <c r="H54" s="36" t="s">
        <v>2284</v>
      </c>
      <c r="I54" s="396" t="s">
        <v>2809</v>
      </c>
      <c r="K54" s="370" t="s">
        <v>2811</v>
      </c>
    </row>
    <row r="55">
      <c r="D55" s="126" t="s">
        <v>2812</v>
      </c>
      <c r="E55" s="257" t="s">
        <v>2813</v>
      </c>
      <c r="F55" s="291" t="s">
        <v>2293</v>
      </c>
      <c r="H55" s="36" t="s">
        <v>2528</v>
      </c>
      <c r="I55" s="396" t="s">
        <v>2821</v>
      </c>
      <c r="J55" s="36" t="s">
        <v>803</v>
      </c>
    </row>
    <row r="56">
      <c r="B56" s="36" t="s">
        <v>2822</v>
      </c>
      <c r="D56" s="126" t="s">
        <v>2823</v>
      </c>
      <c r="F56" s="329"/>
      <c r="H56" s="36" t="s">
        <v>2342</v>
      </c>
      <c r="I56" s="396" t="s">
        <v>2772</v>
      </c>
      <c r="J56" s="36" t="s">
        <v>54</v>
      </c>
    </row>
    <row r="57">
      <c r="B57" s="36" t="s">
        <v>2653</v>
      </c>
      <c r="D57" s="124" t="s">
        <v>2824</v>
      </c>
      <c r="F57" s="329"/>
      <c r="H57" s="36" t="s">
        <v>2284</v>
      </c>
      <c r="I57" s="396" t="s">
        <v>2825</v>
      </c>
      <c r="J57" s="36" t="s">
        <v>15</v>
      </c>
    </row>
    <row r="58">
      <c r="A58" s="106"/>
      <c r="B58" s="106" t="s">
        <v>2827</v>
      </c>
      <c r="C58" s="106"/>
      <c r="D58" s="133" t="s">
        <v>2828</v>
      </c>
      <c r="E58" s="438" t="s">
        <v>2830</v>
      </c>
      <c r="F58" s="106" t="s">
        <v>2283</v>
      </c>
      <c r="G58" s="106"/>
      <c r="H58" s="106" t="s">
        <v>2284</v>
      </c>
      <c r="I58" s="440" t="s">
        <v>2844</v>
      </c>
      <c r="J58" s="106" t="s">
        <v>32</v>
      </c>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row>
    <row r="59">
      <c r="B59" s="394" t="s">
        <v>2787</v>
      </c>
      <c r="D59" s="124" t="s">
        <v>2788</v>
      </c>
      <c r="E59" s="398" t="s">
        <v>2789</v>
      </c>
      <c r="F59" s="291" t="s">
        <v>2283</v>
      </c>
      <c r="H59" s="36" t="s">
        <v>2342</v>
      </c>
      <c r="I59" s="396" t="s">
        <v>2772</v>
      </c>
      <c r="J59" s="36" t="s">
        <v>54</v>
      </c>
    </row>
    <row r="60">
      <c r="B60" s="394" t="s">
        <v>918</v>
      </c>
      <c r="D60" s="126" t="s">
        <v>2860</v>
      </c>
      <c r="E60" s="398" t="s">
        <v>2861</v>
      </c>
      <c r="F60" s="441" t="s">
        <v>2440</v>
      </c>
      <c r="G60" s="181"/>
      <c r="H60" s="180" t="s">
        <v>2284</v>
      </c>
      <c r="I60" s="442" t="s">
        <v>2863</v>
      </c>
      <c r="J60" s="36" t="s">
        <v>54</v>
      </c>
    </row>
    <row r="61">
      <c r="A61" s="262">
        <v>43236.0</v>
      </c>
      <c r="F61" s="329"/>
      <c r="I61" s="443"/>
    </row>
    <row r="62">
      <c r="B62" s="394" t="s">
        <v>2864</v>
      </c>
      <c r="D62" s="126" t="s">
        <v>2865</v>
      </c>
      <c r="E62" s="398" t="s">
        <v>2866</v>
      </c>
      <c r="F62" s="291" t="s">
        <v>2283</v>
      </c>
      <c r="H62" s="36" t="s">
        <v>2284</v>
      </c>
      <c r="I62" s="412" t="s">
        <v>2869</v>
      </c>
      <c r="J62" s="36" t="s">
        <v>32</v>
      </c>
    </row>
    <row r="63">
      <c r="B63" s="117" t="s">
        <v>2870</v>
      </c>
      <c r="D63" s="126" t="s">
        <v>2871</v>
      </c>
      <c r="E63" s="257" t="s">
        <v>2872</v>
      </c>
      <c r="F63" s="291" t="s">
        <v>2293</v>
      </c>
      <c r="H63" s="36" t="s">
        <v>2284</v>
      </c>
      <c r="I63" s="396" t="s">
        <v>2566</v>
      </c>
      <c r="K63" s="370" t="s">
        <v>2876</v>
      </c>
    </row>
    <row r="64">
      <c r="A64" s="262">
        <v>43298.0</v>
      </c>
      <c r="F64" s="329"/>
      <c r="I64" s="401"/>
    </row>
    <row r="65">
      <c r="B65" s="394" t="s">
        <v>1222</v>
      </c>
      <c r="D65" s="124" t="s">
        <v>551</v>
      </c>
      <c r="E65" s="398" t="s">
        <v>1224</v>
      </c>
      <c r="F65" s="291" t="s">
        <v>2283</v>
      </c>
      <c r="H65" s="36" t="s">
        <v>2284</v>
      </c>
      <c r="I65" s="448" t="s">
        <v>684</v>
      </c>
      <c r="J65" s="36" t="s">
        <v>32</v>
      </c>
    </row>
    <row r="66">
      <c r="A66" s="262"/>
      <c r="B66" s="36" t="s">
        <v>2892</v>
      </c>
      <c r="D66" s="124" t="s">
        <v>2893</v>
      </c>
      <c r="F66" s="329"/>
      <c r="I66" s="396" t="s">
        <v>2894</v>
      </c>
      <c r="K66" s="370" t="s">
        <v>2895</v>
      </c>
    </row>
    <row r="67">
      <c r="A67" s="262">
        <v>43299.0</v>
      </c>
      <c r="F67" s="329"/>
      <c r="I67" s="401"/>
    </row>
    <row r="68">
      <c r="B68" s="394" t="s">
        <v>2815</v>
      </c>
      <c r="D68" s="126" t="s">
        <v>2896</v>
      </c>
      <c r="E68" s="398" t="s">
        <v>2819</v>
      </c>
      <c r="F68" s="291" t="s">
        <v>2283</v>
      </c>
      <c r="H68" s="36" t="s">
        <v>2284</v>
      </c>
      <c r="I68" s="396" t="s">
        <v>2899</v>
      </c>
    </row>
    <row r="69">
      <c r="B69" s="36" t="s">
        <v>112</v>
      </c>
      <c r="D69" s="126" t="s">
        <v>2900</v>
      </c>
      <c r="F69" s="329"/>
      <c r="H69" s="36" t="s">
        <v>2284</v>
      </c>
      <c r="I69" s="396" t="s">
        <v>2902</v>
      </c>
      <c r="K69" s="370" t="s">
        <v>2903</v>
      </c>
    </row>
    <row r="70">
      <c r="B70" s="36" t="s">
        <v>2904</v>
      </c>
      <c r="D70" s="126" t="s">
        <v>2905</v>
      </c>
      <c r="F70" s="329"/>
      <c r="H70" s="36" t="s">
        <v>2284</v>
      </c>
      <c r="I70" s="396" t="s">
        <v>2906</v>
      </c>
      <c r="K70" s="36" t="s">
        <v>2910</v>
      </c>
    </row>
    <row r="71">
      <c r="B71" s="299" t="s">
        <v>2911</v>
      </c>
      <c r="D71" s="124" t="s">
        <v>2912</v>
      </c>
      <c r="E71" s="253" t="s">
        <v>2913</v>
      </c>
      <c r="F71" s="291" t="s">
        <v>2324</v>
      </c>
      <c r="H71" s="36" t="s">
        <v>2284</v>
      </c>
      <c r="I71" s="396" t="s">
        <v>2906</v>
      </c>
      <c r="K71" s="36" t="s">
        <v>2917</v>
      </c>
    </row>
    <row r="72">
      <c r="B72" s="315" t="s">
        <v>2918</v>
      </c>
      <c r="D72" s="126" t="s">
        <v>2919</v>
      </c>
      <c r="E72" s="425" t="s">
        <v>2920</v>
      </c>
      <c r="F72" s="291" t="s">
        <v>1931</v>
      </c>
      <c r="G72" s="291" t="s">
        <v>2923</v>
      </c>
      <c r="H72" s="36" t="s">
        <v>2342</v>
      </c>
      <c r="I72" s="396" t="s">
        <v>2925</v>
      </c>
    </row>
    <row r="73">
      <c r="A73" s="262">
        <v>43300.0</v>
      </c>
      <c r="F73" s="329"/>
      <c r="I73" s="401"/>
    </row>
    <row r="74" ht="17.25" customHeight="1">
      <c r="B74" s="394" t="s">
        <v>2927</v>
      </c>
      <c r="D74" s="124" t="s">
        <v>2928</v>
      </c>
      <c r="E74" s="398" t="s">
        <v>2929</v>
      </c>
      <c r="F74" s="291" t="s">
        <v>2283</v>
      </c>
      <c r="H74" s="36" t="s">
        <v>2528</v>
      </c>
      <c r="I74" s="396" t="s">
        <v>2932</v>
      </c>
    </row>
    <row r="75">
      <c r="B75" s="394" t="s">
        <v>2933</v>
      </c>
      <c r="D75" s="126" t="s">
        <v>2934</v>
      </c>
      <c r="E75" s="398" t="s">
        <v>2935</v>
      </c>
      <c r="F75" s="291" t="s">
        <v>2283</v>
      </c>
      <c r="I75" s="442" t="s">
        <v>2939</v>
      </c>
      <c r="J75" s="36" t="s">
        <v>54</v>
      </c>
    </row>
    <row r="76">
      <c r="A76" s="262">
        <v>43302.0</v>
      </c>
      <c r="F76" s="329"/>
      <c r="I76" s="401"/>
    </row>
    <row r="77">
      <c r="B77" s="394" t="s">
        <v>2941</v>
      </c>
      <c r="D77" s="126" t="s">
        <v>2942</v>
      </c>
      <c r="E77" s="398" t="s">
        <v>2943</v>
      </c>
      <c r="F77" s="291" t="s">
        <v>2283</v>
      </c>
      <c r="H77" s="36" t="s">
        <v>2528</v>
      </c>
      <c r="I77" s="396" t="s">
        <v>2932</v>
      </c>
    </row>
    <row r="78">
      <c r="B78" s="394" t="s">
        <v>2951</v>
      </c>
      <c r="D78" s="124" t="s">
        <v>2952</v>
      </c>
      <c r="E78" s="398" t="s">
        <v>2954</v>
      </c>
      <c r="F78" s="291" t="s">
        <v>2283</v>
      </c>
      <c r="H78" s="36" t="s">
        <v>2956</v>
      </c>
      <c r="I78" s="396" t="s">
        <v>2957</v>
      </c>
      <c r="J78" s="36" t="s">
        <v>32</v>
      </c>
    </row>
    <row r="79">
      <c r="B79" s="424" t="s">
        <v>2958</v>
      </c>
      <c r="D79" s="126" t="s">
        <v>2959</v>
      </c>
      <c r="E79" s="425" t="s">
        <v>2960</v>
      </c>
      <c r="F79" s="291" t="s">
        <v>1931</v>
      </c>
      <c r="G79" s="291" t="s">
        <v>2923</v>
      </c>
      <c r="I79" s="401"/>
    </row>
    <row r="80">
      <c r="B80" s="394" t="s">
        <v>2968</v>
      </c>
      <c r="D80" s="124" t="s">
        <v>2969</v>
      </c>
      <c r="E80" s="398" t="s">
        <v>2970</v>
      </c>
      <c r="F80" s="291" t="s">
        <v>2283</v>
      </c>
      <c r="H80" s="36" t="s">
        <v>2284</v>
      </c>
      <c r="I80" s="396" t="s">
        <v>2635</v>
      </c>
      <c r="J80" s="36" t="s">
        <v>54</v>
      </c>
    </row>
    <row r="81">
      <c r="B81" s="36" t="s">
        <v>2975</v>
      </c>
      <c r="D81" s="126" t="s">
        <v>2976</v>
      </c>
      <c r="F81" s="404" t="s">
        <v>2440</v>
      </c>
      <c r="G81" s="405"/>
      <c r="H81" s="364" t="s">
        <v>2284</v>
      </c>
      <c r="I81" s="396" t="s">
        <v>2705</v>
      </c>
      <c r="K81" s="370" t="s">
        <v>2978</v>
      </c>
    </row>
    <row r="82">
      <c r="B82" s="36" t="s">
        <v>2981</v>
      </c>
      <c r="D82" s="124" t="s">
        <v>2982</v>
      </c>
      <c r="F82" s="329"/>
      <c r="H82" s="36" t="s">
        <v>2284</v>
      </c>
      <c r="I82" s="396" t="s">
        <v>2984</v>
      </c>
      <c r="K82" s="370" t="s">
        <v>2985</v>
      </c>
    </row>
    <row r="83">
      <c r="A83" s="262">
        <v>43303.0</v>
      </c>
      <c r="F83" s="329"/>
      <c r="I83" s="401"/>
    </row>
    <row r="84">
      <c r="B84" s="394" t="s">
        <v>2986</v>
      </c>
      <c r="D84" s="126" t="s">
        <v>2987</v>
      </c>
      <c r="E84" s="398" t="s">
        <v>2988</v>
      </c>
      <c r="F84" s="291" t="s">
        <v>2283</v>
      </c>
      <c r="H84" s="36" t="s">
        <v>2284</v>
      </c>
      <c r="I84" s="396" t="s">
        <v>2628</v>
      </c>
      <c r="K84" s="370" t="s">
        <v>2991</v>
      </c>
    </row>
    <row r="85">
      <c r="B85" s="117" t="s">
        <v>2996</v>
      </c>
      <c r="D85" s="124" t="s">
        <v>2998</v>
      </c>
      <c r="E85" s="257" t="s">
        <v>2999</v>
      </c>
      <c r="F85" s="291" t="s">
        <v>2293</v>
      </c>
      <c r="H85" s="36" t="s">
        <v>2956</v>
      </c>
      <c r="I85" s="396" t="s">
        <v>2664</v>
      </c>
      <c r="J85" s="36" t="s">
        <v>900</v>
      </c>
    </row>
    <row r="86">
      <c r="B86" s="222" t="s">
        <v>3000</v>
      </c>
      <c r="D86" s="126" t="s">
        <v>3002</v>
      </c>
      <c r="E86" s="403" t="s">
        <v>3003</v>
      </c>
      <c r="F86" s="291" t="s">
        <v>2293</v>
      </c>
      <c r="H86" s="36" t="s">
        <v>2284</v>
      </c>
      <c r="I86" s="432" t="s">
        <v>3009</v>
      </c>
    </row>
    <row r="87">
      <c r="B87" s="394" t="s">
        <v>3011</v>
      </c>
      <c r="D87" s="126" t="s">
        <v>3012</v>
      </c>
      <c r="E87" s="398" t="s">
        <v>3014</v>
      </c>
      <c r="F87" s="291" t="s">
        <v>2283</v>
      </c>
      <c r="H87" s="36" t="s">
        <v>2284</v>
      </c>
      <c r="I87" s="412" t="s">
        <v>3022</v>
      </c>
      <c r="J87" s="36" t="s">
        <v>54</v>
      </c>
    </row>
    <row r="88">
      <c r="A88" s="262">
        <v>43304.0</v>
      </c>
      <c r="F88" s="329"/>
      <c r="I88" s="401"/>
    </row>
    <row r="89">
      <c r="B89" s="117" t="s">
        <v>3023</v>
      </c>
      <c r="D89" s="124" t="s">
        <v>3024</v>
      </c>
      <c r="E89" s="257" t="s">
        <v>3025</v>
      </c>
      <c r="F89" s="291" t="s">
        <v>3032</v>
      </c>
      <c r="G89" s="291" t="s">
        <v>2923</v>
      </c>
      <c r="H89" s="36" t="s">
        <v>1537</v>
      </c>
      <c r="I89" s="396" t="s">
        <v>3033</v>
      </c>
      <c r="J89" s="36" t="s">
        <v>32</v>
      </c>
    </row>
    <row r="90">
      <c r="B90" s="394" t="s">
        <v>3034</v>
      </c>
      <c r="D90" s="124" t="s">
        <v>3035</v>
      </c>
      <c r="E90" s="398" t="s">
        <v>3036</v>
      </c>
      <c r="F90" s="291" t="s">
        <v>2283</v>
      </c>
      <c r="H90" s="36" t="s">
        <v>2342</v>
      </c>
      <c r="I90" s="407" t="s">
        <v>3041</v>
      </c>
      <c r="J90" s="36" t="s">
        <v>2838</v>
      </c>
    </row>
    <row r="91">
      <c r="B91" s="394" t="s">
        <v>3042</v>
      </c>
      <c r="D91" s="126" t="s">
        <v>3043</v>
      </c>
      <c r="E91" s="398" t="s">
        <v>3044</v>
      </c>
      <c r="F91" s="291" t="s">
        <v>2283</v>
      </c>
      <c r="I91" s="401"/>
    </row>
    <row r="92">
      <c r="B92" s="299" t="s">
        <v>3049</v>
      </c>
      <c r="D92" s="450">
        <f>971527120863</f>
        <v>971527120863</v>
      </c>
      <c r="E92" s="253" t="s">
        <v>3053</v>
      </c>
      <c r="F92" s="291" t="s">
        <v>2324</v>
      </c>
      <c r="H92" s="36" t="s">
        <v>2284</v>
      </c>
      <c r="I92" s="396" t="s">
        <v>3055</v>
      </c>
      <c r="K92" s="370" t="s">
        <v>3057</v>
      </c>
    </row>
    <row r="93">
      <c r="A93" s="262">
        <v>43305.0</v>
      </c>
      <c r="F93" s="329"/>
      <c r="I93" s="401"/>
    </row>
    <row r="94">
      <c r="B94" s="299" t="s">
        <v>3060</v>
      </c>
      <c r="D94" s="126" t="s">
        <v>3061</v>
      </c>
      <c r="E94" s="253" t="s">
        <v>3062</v>
      </c>
      <c r="F94" s="291" t="s">
        <v>2324</v>
      </c>
      <c r="H94" s="36" t="s">
        <v>2284</v>
      </c>
      <c r="I94" s="396" t="s">
        <v>3055</v>
      </c>
      <c r="K94" s="370" t="s">
        <v>3057</v>
      </c>
    </row>
    <row r="95">
      <c r="B95" s="394" t="s">
        <v>3066</v>
      </c>
      <c r="D95" s="126" t="s">
        <v>3067</v>
      </c>
      <c r="E95" s="398" t="s">
        <v>3068</v>
      </c>
      <c r="F95" s="291" t="s">
        <v>2283</v>
      </c>
      <c r="H95" s="36" t="s">
        <v>2284</v>
      </c>
      <c r="I95" s="396" t="s">
        <v>784</v>
      </c>
      <c r="J95" s="36" t="s">
        <v>54</v>
      </c>
    </row>
    <row r="96">
      <c r="B96" s="36" t="s">
        <v>3069</v>
      </c>
      <c r="D96" s="126" t="s">
        <v>3070</v>
      </c>
      <c r="F96" s="404" t="s">
        <v>2440</v>
      </c>
      <c r="G96" s="364" t="s">
        <v>2791</v>
      </c>
      <c r="H96" s="364" t="s">
        <v>2284</v>
      </c>
      <c r="I96" s="396" t="s">
        <v>2902</v>
      </c>
      <c r="K96" s="370" t="s">
        <v>3071</v>
      </c>
    </row>
    <row r="97">
      <c r="B97" s="36" t="s">
        <v>3072</v>
      </c>
      <c r="D97" s="126" t="s">
        <v>3073</v>
      </c>
      <c r="F97" s="404" t="s">
        <v>2440</v>
      </c>
      <c r="G97" s="364" t="s">
        <v>2791</v>
      </c>
      <c r="H97" s="364" t="s">
        <v>2284</v>
      </c>
      <c r="I97" s="396" t="s">
        <v>2902</v>
      </c>
      <c r="K97" s="370" t="s">
        <v>3074</v>
      </c>
    </row>
    <row r="98">
      <c r="B98" s="299" t="s">
        <v>809</v>
      </c>
      <c r="D98" s="126" t="s">
        <v>3075</v>
      </c>
      <c r="E98" s="253" t="s">
        <v>3076</v>
      </c>
      <c r="F98" s="291" t="s">
        <v>2324</v>
      </c>
      <c r="H98" s="36" t="s">
        <v>3084</v>
      </c>
      <c r="I98" s="396" t="s">
        <v>2664</v>
      </c>
      <c r="J98" s="36" t="s">
        <v>900</v>
      </c>
    </row>
    <row r="99">
      <c r="A99" s="262"/>
      <c r="B99" s="36" t="s">
        <v>3085</v>
      </c>
      <c r="D99" s="124" t="s">
        <v>3086</v>
      </c>
      <c r="F99" s="329"/>
      <c r="H99" s="36" t="s">
        <v>2284</v>
      </c>
      <c r="I99" s="396" t="s">
        <v>2902</v>
      </c>
    </row>
    <row r="100">
      <c r="A100" s="262">
        <v>43306.0</v>
      </c>
      <c r="F100" s="329"/>
      <c r="I100" s="401"/>
    </row>
    <row r="101">
      <c r="B101" s="222" t="s">
        <v>3087</v>
      </c>
      <c r="D101" s="126" t="s">
        <v>3088</v>
      </c>
      <c r="E101" s="403" t="s">
        <v>3089</v>
      </c>
      <c r="F101" s="404" t="s">
        <v>2440</v>
      </c>
      <c r="G101" s="405"/>
      <c r="H101" s="364" t="s">
        <v>2284</v>
      </c>
      <c r="I101" s="396" t="s">
        <v>3094</v>
      </c>
      <c r="J101" s="36" t="s">
        <v>54</v>
      </c>
    </row>
    <row r="102">
      <c r="B102" s="394" t="s">
        <v>3095</v>
      </c>
      <c r="D102" s="126" t="s">
        <v>3096</v>
      </c>
      <c r="E102" s="398" t="s">
        <v>3097</v>
      </c>
      <c r="F102" s="291" t="s">
        <v>2283</v>
      </c>
      <c r="I102" s="396" t="s">
        <v>2302</v>
      </c>
      <c r="J102" s="36" t="s">
        <v>54</v>
      </c>
    </row>
    <row r="103">
      <c r="A103" s="262">
        <v>43309.0</v>
      </c>
      <c r="F103" s="329"/>
      <c r="I103" s="401"/>
    </row>
    <row r="104">
      <c r="B104" s="36" t="s">
        <v>3102</v>
      </c>
      <c r="D104" s="126" t="s">
        <v>3103</v>
      </c>
      <c r="E104" s="257" t="s">
        <v>3104</v>
      </c>
      <c r="F104" s="291" t="s">
        <v>2293</v>
      </c>
      <c r="H104" s="36" t="s">
        <v>2956</v>
      </c>
      <c r="I104" s="396" t="s">
        <v>3027</v>
      </c>
    </row>
    <row r="105">
      <c r="B105" s="299" t="s">
        <v>3110</v>
      </c>
      <c r="D105" s="126" t="s">
        <v>3111</v>
      </c>
      <c r="E105" s="253" t="s">
        <v>3112</v>
      </c>
      <c r="F105" s="291" t="s">
        <v>2324</v>
      </c>
      <c r="H105" s="36" t="s">
        <v>2284</v>
      </c>
      <c r="I105" s="401"/>
    </row>
    <row r="106">
      <c r="B106" s="222" t="s">
        <v>3120</v>
      </c>
      <c r="D106" s="124" t="s">
        <v>3121</v>
      </c>
      <c r="E106" s="403" t="s">
        <v>3122</v>
      </c>
      <c r="F106" s="404" t="s">
        <v>2440</v>
      </c>
      <c r="G106" s="405"/>
      <c r="H106" s="364" t="s">
        <v>2284</v>
      </c>
      <c r="I106" s="432" t="s">
        <v>3127</v>
      </c>
      <c r="J106" s="36" t="s">
        <v>32</v>
      </c>
    </row>
    <row r="107">
      <c r="B107" s="394" t="s">
        <v>3131</v>
      </c>
      <c r="D107" s="126" t="s">
        <v>3132</v>
      </c>
      <c r="E107" s="398" t="s">
        <v>3133</v>
      </c>
      <c r="F107" s="291" t="s">
        <v>2283</v>
      </c>
      <c r="H107" s="36" t="s">
        <v>2342</v>
      </c>
      <c r="I107" s="442" t="s">
        <v>3140</v>
      </c>
    </row>
    <row r="108">
      <c r="B108" s="424" t="s">
        <v>3141</v>
      </c>
      <c r="D108" s="124" t="s">
        <v>3142</v>
      </c>
      <c r="E108" s="425" t="s">
        <v>3143</v>
      </c>
      <c r="F108" s="291" t="s">
        <v>1931</v>
      </c>
      <c r="G108" s="291" t="s">
        <v>2923</v>
      </c>
      <c r="H108" s="36" t="s">
        <v>1537</v>
      </c>
      <c r="I108" s="401"/>
    </row>
    <row r="109">
      <c r="B109" s="394" t="s">
        <v>3144</v>
      </c>
      <c r="D109" s="124" t="s">
        <v>3145</v>
      </c>
      <c r="E109" s="398" t="s">
        <v>3146</v>
      </c>
      <c r="F109" s="291" t="s">
        <v>2283</v>
      </c>
      <c r="H109" s="36" t="s">
        <v>2342</v>
      </c>
      <c r="I109" s="412" t="s">
        <v>3152</v>
      </c>
      <c r="J109" s="36" t="s">
        <v>32</v>
      </c>
    </row>
    <row r="110">
      <c r="B110" s="117" t="s">
        <v>3153</v>
      </c>
      <c r="D110" s="124" t="s">
        <v>3154</v>
      </c>
      <c r="E110" s="257" t="s">
        <v>3155</v>
      </c>
      <c r="F110" s="291" t="s">
        <v>2293</v>
      </c>
      <c r="H110" s="36" t="s">
        <v>2956</v>
      </c>
      <c r="I110" s="396" t="s">
        <v>3158</v>
      </c>
    </row>
    <row r="111">
      <c r="A111" s="262">
        <v>43310.0</v>
      </c>
      <c r="F111" s="329"/>
      <c r="I111" s="401"/>
    </row>
    <row r="112">
      <c r="B112" s="117" t="s">
        <v>3159</v>
      </c>
      <c r="D112" s="126" t="s">
        <v>3160</v>
      </c>
      <c r="E112" s="257" t="s">
        <v>3161</v>
      </c>
      <c r="F112" s="291" t="s">
        <v>2293</v>
      </c>
      <c r="H112" s="36" t="s">
        <v>2284</v>
      </c>
      <c r="I112" s="454" t="s">
        <v>3166</v>
      </c>
      <c r="J112" s="36" t="s">
        <v>54</v>
      </c>
    </row>
    <row r="113">
      <c r="B113" s="394" t="s">
        <v>3170</v>
      </c>
      <c r="D113" s="126" t="s">
        <v>3171</v>
      </c>
      <c r="E113" s="398" t="s">
        <v>3172</v>
      </c>
      <c r="F113" s="291" t="s">
        <v>2283</v>
      </c>
      <c r="H113" s="36" t="s">
        <v>2284</v>
      </c>
      <c r="I113" s="407" t="s">
        <v>2582</v>
      </c>
      <c r="J113" s="36" t="s">
        <v>32</v>
      </c>
    </row>
    <row r="114">
      <c r="B114" s="36" t="s">
        <v>3179</v>
      </c>
      <c r="D114" s="126" t="s">
        <v>3180</v>
      </c>
      <c r="E114" s="257" t="s">
        <v>3184</v>
      </c>
      <c r="F114" s="291" t="s">
        <v>2293</v>
      </c>
      <c r="H114" s="36" t="s">
        <v>2284</v>
      </c>
      <c r="I114" s="454" t="s">
        <v>3166</v>
      </c>
      <c r="J114" s="36" t="s">
        <v>54</v>
      </c>
    </row>
    <row r="115">
      <c r="B115" s="36" t="s">
        <v>3189</v>
      </c>
      <c r="D115" s="126" t="s">
        <v>3190</v>
      </c>
      <c r="F115" s="329"/>
      <c r="H115" s="36" t="s">
        <v>2284</v>
      </c>
      <c r="I115" s="396" t="s">
        <v>3192</v>
      </c>
      <c r="K115" s="370" t="s">
        <v>3193</v>
      </c>
    </row>
    <row r="116">
      <c r="B116" s="117" t="s">
        <v>3194</v>
      </c>
      <c r="D116" s="124" t="s">
        <v>3196</v>
      </c>
      <c r="F116" s="291" t="s">
        <v>2293</v>
      </c>
      <c r="I116" s="418" t="s">
        <v>3198</v>
      </c>
      <c r="J116" s="36" t="s">
        <v>158</v>
      </c>
    </row>
    <row r="117">
      <c r="A117" s="262">
        <v>43311.0</v>
      </c>
      <c r="F117" s="329"/>
      <c r="I117" s="401"/>
    </row>
    <row r="118">
      <c r="B118" s="394" t="s">
        <v>3219</v>
      </c>
      <c r="D118" s="124" t="s">
        <v>3220</v>
      </c>
      <c r="E118" s="398" t="s">
        <v>3221</v>
      </c>
      <c r="F118" s="291" t="s">
        <v>2283</v>
      </c>
      <c r="H118" s="36" t="s">
        <v>2342</v>
      </c>
      <c r="I118" s="442" t="s">
        <v>3228</v>
      </c>
    </row>
    <row r="119">
      <c r="B119" s="299" t="s">
        <v>3229</v>
      </c>
      <c r="D119" s="126" t="s">
        <v>3230</v>
      </c>
      <c r="E119" s="253" t="s">
        <v>3231</v>
      </c>
      <c r="F119" s="291" t="s">
        <v>2324</v>
      </c>
      <c r="H119" s="36" t="s">
        <v>2284</v>
      </c>
      <c r="I119" s="396" t="s">
        <v>3235</v>
      </c>
      <c r="J119" s="36" t="s">
        <v>32</v>
      </c>
    </row>
    <row r="120">
      <c r="B120" s="394" t="s">
        <v>3236</v>
      </c>
      <c r="D120" s="126" t="s">
        <v>3237</v>
      </c>
      <c r="E120" s="398" t="s">
        <v>3238</v>
      </c>
      <c r="F120" s="291" t="s">
        <v>2283</v>
      </c>
      <c r="I120" s="414" t="s">
        <v>3127</v>
      </c>
    </row>
    <row r="121">
      <c r="A121" s="262"/>
      <c r="B121" s="222" t="s">
        <v>2437</v>
      </c>
      <c r="D121" s="126" t="s">
        <v>3246</v>
      </c>
      <c r="E121" s="222"/>
      <c r="F121" s="291"/>
      <c r="H121" s="36" t="s">
        <v>2284</v>
      </c>
      <c r="I121" s="396" t="s">
        <v>2566</v>
      </c>
      <c r="K121" s="370" t="s">
        <v>3248</v>
      </c>
    </row>
    <row r="122">
      <c r="A122" s="262">
        <v>43312.0</v>
      </c>
      <c r="B122" s="222"/>
      <c r="E122" s="222"/>
      <c r="F122" s="291"/>
      <c r="I122" s="401"/>
    </row>
    <row r="123">
      <c r="B123" s="459" t="s">
        <v>3250</v>
      </c>
      <c r="E123" s="461" t="s">
        <v>3251</v>
      </c>
      <c r="F123" s="291" t="s">
        <v>3257</v>
      </c>
      <c r="G123" s="291" t="s">
        <v>2923</v>
      </c>
      <c r="I123" s="462" t="s">
        <v>3258</v>
      </c>
    </row>
    <row r="124">
      <c r="F124" s="329"/>
      <c r="I124" s="401"/>
    </row>
    <row r="125">
      <c r="F125" s="329"/>
      <c r="I125" s="401"/>
    </row>
    <row r="126">
      <c r="F126" s="329"/>
      <c r="I126" s="401"/>
    </row>
    <row r="127">
      <c r="I127" s="401"/>
    </row>
    <row r="128">
      <c r="I128" s="401"/>
    </row>
    <row r="129">
      <c r="I129" s="401"/>
    </row>
    <row r="130">
      <c r="I130" s="401"/>
    </row>
    <row r="131">
      <c r="I131" s="401"/>
    </row>
    <row r="132">
      <c r="I132" s="401"/>
    </row>
    <row r="133">
      <c r="F133" s="329"/>
      <c r="I133" s="401"/>
    </row>
    <row r="134">
      <c r="F134" s="329"/>
      <c r="I134" s="401"/>
    </row>
    <row r="135">
      <c r="F135" s="329"/>
      <c r="I135" s="401"/>
    </row>
    <row r="136">
      <c r="F136" s="329"/>
      <c r="I136" s="401"/>
    </row>
    <row r="137">
      <c r="F137" s="329"/>
      <c r="I137" s="401"/>
    </row>
    <row r="138">
      <c r="F138" s="329"/>
      <c r="I138" s="401"/>
    </row>
    <row r="139">
      <c r="F139" s="329"/>
      <c r="I139" s="401"/>
    </row>
    <row r="140">
      <c r="F140" s="329"/>
      <c r="I140" s="401"/>
    </row>
    <row r="141">
      <c r="F141" s="329"/>
      <c r="I141" s="401"/>
    </row>
    <row r="142">
      <c r="F142" s="329"/>
      <c r="I142" s="401"/>
    </row>
    <row r="143">
      <c r="F143" s="329"/>
      <c r="I143" s="401"/>
    </row>
    <row r="144">
      <c r="F144" s="329"/>
      <c r="I144" s="401"/>
    </row>
    <row r="145">
      <c r="F145" s="329"/>
      <c r="I145" s="401"/>
    </row>
    <row r="146">
      <c r="F146" s="329"/>
      <c r="I146" s="401"/>
    </row>
    <row r="147">
      <c r="F147" s="329"/>
      <c r="I147" s="401"/>
    </row>
    <row r="148">
      <c r="F148" s="329"/>
      <c r="I148" s="401"/>
    </row>
    <row r="149">
      <c r="F149" s="329"/>
      <c r="I149" s="401"/>
    </row>
    <row r="150">
      <c r="F150" s="329"/>
      <c r="I150" s="401"/>
    </row>
    <row r="151">
      <c r="F151" s="329"/>
      <c r="I151" s="401"/>
    </row>
    <row r="152">
      <c r="F152" s="329"/>
      <c r="I152" s="401"/>
    </row>
    <row r="153">
      <c r="F153" s="329"/>
      <c r="I153" s="401"/>
    </row>
    <row r="154">
      <c r="F154" s="329"/>
      <c r="I154" s="401"/>
    </row>
    <row r="155">
      <c r="F155" s="329"/>
      <c r="I155" s="401"/>
    </row>
    <row r="156">
      <c r="F156" s="329"/>
      <c r="I156" s="401"/>
    </row>
    <row r="157">
      <c r="F157" s="329"/>
      <c r="I157" s="401"/>
    </row>
    <row r="158">
      <c r="F158" s="329"/>
      <c r="I158" s="401"/>
    </row>
    <row r="159">
      <c r="F159" s="329"/>
      <c r="I159" s="401"/>
    </row>
    <row r="160">
      <c r="F160" s="329"/>
      <c r="I160" s="401"/>
    </row>
    <row r="161">
      <c r="F161" s="329"/>
      <c r="I161" s="401"/>
    </row>
    <row r="162">
      <c r="F162" s="329"/>
      <c r="I162" s="401"/>
    </row>
    <row r="163">
      <c r="F163" s="329"/>
      <c r="I163" s="401"/>
    </row>
    <row r="164">
      <c r="F164" s="329"/>
      <c r="I164" s="401"/>
    </row>
    <row r="165">
      <c r="F165" s="329"/>
      <c r="I165" s="401"/>
    </row>
    <row r="166">
      <c r="F166" s="329"/>
      <c r="I166" s="401"/>
    </row>
    <row r="167">
      <c r="F167" s="329"/>
      <c r="I167" s="401"/>
    </row>
    <row r="168">
      <c r="F168" s="329"/>
      <c r="I168" s="401"/>
    </row>
    <row r="169">
      <c r="F169" s="329"/>
      <c r="I169" s="401"/>
    </row>
    <row r="170">
      <c r="F170" s="329"/>
      <c r="I170" s="401"/>
    </row>
    <row r="171">
      <c r="F171" s="329"/>
      <c r="I171" s="401"/>
    </row>
    <row r="172">
      <c r="F172" s="329"/>
      <c r="I172" s="401"/>
    </row>
    <row r="173">
      <c r="F173" s="329"/>
      <c r="I173" s="401"/>
    </row>
    <row r="174">
      <c r="F174" s="329"/>
      <c r="I174" s="401"/>
    </row>
    <row r="175">
      <c r="F175" s="329"/>
      <c r="I175" s="401"/>
    </row>
    <row r="176">
      <c r="F176" s="329"/>
      <c r="I176" s="401"/>
    </row>
    <row r="177">
      <c r="F177" s="329"/>
      <c r="I177" s="401"/>
    </row>
    <row r="178">
      <c r="F178" s="329"/>
      <c r="I178" s="401"/>
    </row>
    <row r="179">
      <c r="F179" s="329"/>
      <c r="I179" s="401"/>
    </row>
    <row r="180">
      <c r="F180" s="329"/>
      <c r="I180" s="401"/>
    </row>
    <row r="181">
      <c r="F181" s="329"/>
      <c r="I181" s="401"/>
    </row>
    <row r="182">
      <c r="F182" s="329"/>
      <c r="I182" s="401"/>
    </row>
    <row r="183">
      <c r="F183" s="329"/>
      <c r="I183" s="401"/>
    </row>
    <row r="184">
      <c r="F184" s="329"/>
      <c r="I184" s="401"/>
    </row>
    <row r="185">
      <c r="F185" s="329"/>
      <c r="I185" s="401"/>
    </row>
    <row r="186">
      <c r="F186" s="329"/>
      <c r="I186" s="401"/>
    </row>
    <row r="187">
      <c r="F187" s="329"/>
      <c r="I187" s="401"/>
    </row>
    <row r="188">
      <c r="F188" s="329"/>
      <c r="I188" s="401"/>
    </row>
    <row r="189">
      <c r="F189" s="329"/>
      <c r="I189" s="401"/>
    </row>
    <row r="190">
      <c r="F190" s="329"/>
      <c r="I190" s="401"/>
    </row>
    <row r="191">
      <c r="F191" s="329"/>
      <c r="I191" s="401"/>
    </row>
    <row r="192">
      <c r="F192" s="329"/>
      <c r="I192" s="401"/>
    </row>
    <row r="193">
      <c r="F193" s="329"/>
      <c r="I193" s="401"/>
    </row>
    <row r="194">
      <c r="F194" s="329"/>
      <c r="I194" s="401"/>
    </row>
    <row r="195">
      <c r="F195" s="329"/>
      <c r="I195" s="401"/>
    </row>
    <row r="196">
      <c r="F196" s="329"/>
      <c r="I196" s="401"/>
    </row>
    <row r="197">
      <c r="F197" s="329"/>
      <c r="I197" s="401"/>
    </row>
    <row r="198">
      <c r="F198" s="329"/>
      <c r="I198" s="401"/>
    </row>
    <row r="199">
      <c r="F199" s="329"/>
      <c r="I199" s="401"/>
    </row>
    <row r="200">
      <c r="F200" s="329"/>
      <c r="I200" s="401"/>
    </row>
    <row r="201">
      <c r="F201" s="329"/>
      <c r="I201" s="401"/>
    </row>
    <row r="202">
      <c r="F202" s="329"/>
      <c r="I202" s="401"/>
    </row>
    <row r="203">
      <c r="F203" s="329"/>
      <c r="I203" s="401"/>
    </row>
    <row r="204">
      <c r="F204" s="329"/>
      <c r="I204" s="401"/>
    </row>
    <row r="205">
      <c r="F205" s="329"/>
      <c r="I205" s="401"/>
    </row>
    <row r="206">
      <c r="F206" s="329"/>
      <c r="I206" s="401"/>
    </row>
    <row r="207">
      <c r="F207" s="329"/>
      <c r="I207" s="401"/>
    </row>
    <row r="208">
      <c r="F208" s="329"/>
      <c r="I208" s="401"/>
    </row>
    <row r="209">
      <c r="F209" s="329"/>
      <c r="I209" s="401"/>
    </row>
    <row r="210">
      <c r="F210" s="329"/>
      <c r="I210" s="401"/>
    </row>
    <row r="211">
      <c r="F211" s="329"/>
      <c r="I211" s="401"/>
    </row>
    <row r="212">
      <c r="F212" s="329"/>
      <c r="I212" s="401"/>
    </row>
    <row r="213">
      <c r="F213" s="329"/>
      <c r="I213" s="401"/>
    </row>
    <row r="214">
      <c r="F214" s="329"/>
      <c r="I214" s="401"/>
    </row>
    <row r="215">
      <c r="F215" s="329"/>
      <c r="I215" s="401"/>
    </row>
    <row r="216">
      <c r="F216" s="329"/>
      <c r="I216" s="401"/>
    </row>
    <row r="217">
      <c r="F217" s="329"/>
      <c r="I217" s="401"/>
    </row>
    <row r="218">
      <c r="F218" s="329"/>
      <c r="I218" s="401"/>
    </row>
    <row r="219">
      <c r="F219" s="329"/>
      <c r="I219" s="401"/>
    </row>
    <row r="220">
      <c r="F220" s="329"/>
      <c r="I220" s="401"/>
    </row>
    <row r="221">
      <c r="F221" s="329"/>
      <c r="I221" s="401"/>
    </row>
    <row r="222">
      <c r="F222" s="329"/>
      <c r="I222" s="401"/>
    </row>
    <row r="223">
      <c r="F223" s="329"/>
      <c r="I223" s="401"/>
    </row>
    <row r="224">
      <c r="F224" s="329"/>
      <c r="I224" s="401"/>
    </row>
    <row r="225">
      <c r="F225" s="329"/>
      <c r="I225" s="401"/>
    </row>
    <row r="226">
      <c r="F226" s="329"/>
      <c r="I226" s="401"/>
    </row>
    <row r="227">
      <c r="F227" s="329"/>
      <c r="I227" s="401"/>
    </row>
    <row r="228">
      <c r="F228" s="329"/>
      <c r="I228" s="401"/>
    </row>
    <row r="229">
      <c r="F229" s="329"/>
      <c r="I229" s="401"/>
    </row>
    <row r="230">
      <c r="F230" s="329"/>
      <c r="I230" s="401"/>
    </row>
    <row r="231">
      <c r="F231" s="329"/>
      <c r="I231" s="401"/>
    </row>
    <row r="232">
      <c r="F232" s="329"/>
      <c r="I232" s="401"/>
    </row>
    <row r="233">
      <c r="F233" s="329"/>
      <c r="I233" s="401"/>
    </row>
    <row r="234">
      <c r="F234" s="329"/>
      <c r="I234" s="401"/>
    </row>
    <row r="235">
      <c r="F235" s="329"/>
      <c r="I235" s="401"/>
    </row>
    <row r="236">
      <c r="F236" s="329"/>
      <c r="I236" s="401"/>
    </row>
    <row r="237">
      <c r="F237" s="329"/>
      <c r="I237" s="401"/>
    </row>
    <row r="238">
      <c r="F238" s="329"/>
      <c r="I238" s="401"/>
    </row>
    <row r="239">
      <c r="F239" s="329"/>
      <c r="I239" s="401"/>
    </row>
    <row r="240">
      <c r="F240" s="329"/>
      <c r="I240" s="401"/>
    </row>
    <row r="241">
      <c r="F241" s="329"/>
      <c r="I241" s="401"/>
    </row>
    <row r="242">
      <c r="F242" s="329"/>
      <c r="I242" s="401"/>
    </row>
    <row r="243">
      <c r="F243" s="329"/>
      <c r="I243" s="401"/>
    </row>
    <row r="244">
      <c r="F244" s="329"/>
      <c r="I244" s="401"/>
    </row>
    <row r="245">
      <c r="F245" s="329"/>
      <c r="I245" s="401"/>
    </row>
    <row r="246">
      <c r="F246" s="329"/>
      <c r="I246" s="401"/>
    </row>
    <row r="247">
      <c r="F247" s="329"/>
      <c r="I247" s="401"/>
    </row>
    <row r="248">
      <c r="F248" s="329"/>
      <c r="I248" s="401"/>
    </row>
    <row r="249">
      <c r="F249" s="329"/>
      <c r="I249" s="401"/>
    </row>
    <row r="250">
      <c r="F250" s="329"/>
      <c r="I250" s="401"/>
    </row>
    <row r="251">
      <c r="F251" s="329"/>
      <c r="I251" s="401"/>
    </row>
    <row r="252">
      <c r="F252" s="329"/>
      <c r="I252" s="401"/>
    </row>
    <row r="253">
      <c r="F253" s="329"/>
      <c r="I253" s="401"/>
    </row>
    <row r="254">
      <c r="F254" s="329"/>
      <c r="I254" s="401"/>
    </row>
    <row r="255">
      <c r="F255" s="329"/>
      <c r="I255" s="401"/>
    </row>
    <row r="256">
      <c r="F256" s="329"/>
      <c r="I256" s="401"/>
    </row>
    <row r="257">
      <c r="F257" s="329"/>
      <c r="I257" s="401"/>
    </row>
    <row r="258">
      <c r="F258" s="329"/>
      <c r="I258" s="401"/>
    </row>
    <row r="259">
      <c r="F259" s="329"/>
      <c r="I259" s="401"/>
    </row>
    <row r="260">
      <c r="F260" s="329"/>
      <c r="I260" s="401"/>
    </row>
    <row r="261">
      <c r="F261" s="329"/>
      <c r="I261" s="401"/>
    </row>
    <row r="262">
      <c r="F262" s="329"/>
      <c r="I262" s="401"/>
    </row>
    <row r="263">
      <c r="F263" s="329"/>
      <c r="I263" s="401"/>
    </row>
    <row r="264">
      <c r="F264" s="329"/>
      <c r="I264" s="401"/>
    </row>
    <row r="265">
      <c r="F265" s="329"/>
      <c r="I265" s="401"/>
    </row>
    <row r="266">
      <c r="F266" s="329"/>
      <c r="I266" s="401"/>
    </row>
    <row r="267">
      <c r="F267" s="329"/>
      <c r="I267" s="401"/>
    </row>
    <row r="268">
      <c r="F268" s="329"/>
      <c r="I268" s="401"/>
    </row>
    <row r="269">
      <c r="F269" s="329"/>
      <c r="I269" s="401"/>
    </row>
    <row r="270">
      <c r="F270" s="329"/>
      <c r="I270" s="401"/>
    </row>
    <row r="271">
      <c r="F271" s="329"/>
      <c r="I271" s="401"/>
    </row>
    <row r="272">
      <c r="F272" s="329"/>
      <c r="I272" s="401"/>
    </row>
    <row r="273">
      <c r="F273" s="329"/>
      <c r="I273" s="401"/>
    </row>
    <row r="274">
      <c r="F274" s="329"/>
      <c r="I274" s="401"/>
    </row>
    <row r="275">
      <c r="F275" s="329"/>
      <c r="I275" s="401"/>
    </row>
    <row r="276">
      <c r="F276" s="329"/>
      <c r="I276" s="401"/>
    </row>
    <row r="277">
      <c r="F277" s="329"/>
      <c r="I277" s="401"/>
    </row>
    <row r="278">
      <c r="F278" s="329"/>
      <c r="I278" s="401"/>
    </row>
    <row r="279">
      <c r="F279" s="329"/>
      <c r="I279" s="401"/>
    </row>
    <row r="280">
      <c r="F280" s="329"/>
      <c r="I280" s="401"/>
    </row>
    <row r="281">
      <c r="F281" s="329"/>
      <c r="I281" s="401"/>
    </row>
    <row r="282">
      <c r="F282" s="329"/>
      <c r="I282" s="401"/>
    </row>
    <row r="283">
      <c r="F283" s="329"/>
      <c r="I283" s="401"/>
    </row>
    <row r="284">
      <c r="F284" s="329"/>
      <c r="I284" s="401"/>
    </row>
    <row r="285">
      <c r="F285" s="329"/>
      <c r="I285" s="401"/>
    </row>
    <row r="286">
      <c r="F286" s="329"/>
      <c r="I286" s="401"/>
    </row>
    <row r="287">
      <c r="F287" s="329"/>
      <c r="I287" s="401"/>
    </row>
    <row r="288">
      <c r="F288" s="329"/>
      <c r="I288" s="401"/>
    </row>
    <row r="289">
      <c r="F289" s="329"/>
      <c r="I289" s="401"/>
    </row>
    <row r="290">
      <c r="F290" s="329"/>
      <c r="I290" s="401"/>
    </row>
    <row r="291">
      <c r="F291" s="329"/>
      <c r="I291" s="401"/>
    </row>
    <row r="292">
      <c r="F292" s="329"/>
      <c r="I292" s="401"/>
    </row>
    <row r="293">
      <c r="F293" s="329"/>
      <c r="I293" s="401"/>
    </row>
    <row r="294">
      <c r="F294" s="329"/>
      <c r="I294" s="401"/>
    </row>
    <row r="295">
      <c r="F295" s="329"/>
      <c r="I295" s="401"/>
    </row>
    <row r="296">
      <c r="F296" s="329"/>
      <c r="I296" s="401"/>
    </row>
    <row r="297">
      <c r="F297" s="329"/>
      <c r="I297" s="401"/>
    </row>
    <row r="298">
      <c r="F298" s="329"/>
      <c r="I298" s="401"/>
    </row>
    <row r="299">
      <c r="F299" s="329"/>
      <c r="I299" s="401"/>
    </row>
    <row r="300">
      <c r="F300" s="329"/>
      <c r="I300" s="401"/>
    </row>
    <row r="301">
      <c r="F301" s="329"/>
      <c r="I301" s="401"/>
    </row>
    <row r="302">
      <c r="F302" s="329"/>
      <c r="I302" s="401"/>
    </row>
    <row r="303">
      <c r="F303" s="329"/>
      <c r="I303" s="401"/>
    </row>
    <row r="304">
      <c r="F304" s="329"/>
      <c r="I304" s="401"/>
    </row>
    <row r="305">
      <c r="F305" s="329"/>
      <c r="I305" s="401"/>
    </row>
    <row r="306">
      <c r="F306" s="329"/>
      <c r="I306" s="401"/>
    </row>
    <row r="307">
      <c r="F307" s="329"/>
      <c r="I307" s="401"/>
    </row>
    <row r="308">
      <c r="F308" s="329"/>
      <c r="I308" s="401"/>
    </row>
    <row r="309">
      <c r="F309" s="329"/>
      <c r="I309" s="401"/>
    </row>
    <row r="310">
      <c r="F310" s="329"/>
      <c r="I310" s="401"/>
    </row>
    <row r="311">
      <c r="F311" s="329"/>
      <c r="I311" s="401"/>
    </row>
    <row r="312">
      <c r="F312" s="329"/>
      <c r="I312" s="401"/>
    </row>
    <row r="313">
      <c r="F313" s="329"/>
      <c r="I313" s="401"/>
    </row>
    <row r="314">
      <c r="F314" s="329"/>
      <c r="I314" s="401"/>
    </row>
    <row r="315">
      <c r="F315" s="329"/>
      <c r="I315" s="401"/>
    </row>
    <row r="316">
      <c r="F316" s="329"/>
      <c r="I316" s="401"/>
    </row>
    <row r="317">
      <c r="F317" s="329"/>
      <c r="I317" s="401"/>
    </row>
    <row r="318">
      <c r="F318" s="329"/>
      <c r="I318" s="401"/>
    </row>
    <row r="319">
      <c r="F319" s="329"/>
      <c r="I319" s="401"/>
    </row>
    <row r="320">
      <c r="F320" s="329"/>
      <c r="I320" s="401"/>
    </row>
    <row r="321">
      <c r="F321" s="329"/>
      <c r="I321" s="401"/>
    </row>
    <row r="322">
      <c r="F322" s="329"/>
      <c r="I322" s="401"/>
    </row>
    <row r="323">
      <c r="F323" s="329"/>
      <c r="I323" s="401"/>
    </row>
    <row r="324">
      <c r="F324" s="329"/>
      <c r="I324" s="401"/>
    </row>
    <row r="325">
      <c r="F325" s="329"/>
      <c r="I325" s="401"/>
    </row>
    <row r="326">
      <c r="F326" s="329"/>
      <c r="I326" s="401"/>
    </row>
    <row r="327">
      <c r="F327" s="329"/>
      <c r="I327" s="401"/>
    </row>
    <row r="328">
      <c r="F328" s="329"/>
      <c r="I328" s="401"/>
    </row>
    <row r="329">
      <c r="F329" s="329"/>
      <c r="I329" s="401"/>
    </row>
    <row r="330">
      <c r="F330" s="329"/>
      <c r="I330" s="401"/>
    </row>
    <row r="331">
      <c r="F331" s="329"/>
      <c r="I331" s="401"/>
    </row>
    <row r="332">
      <c r="F332" s="329"/>
      <c r="I332" s="401"/>
    </row>
    <row r="333">
      <c r="F333" s="329"/>
      <c r="I333" s="401"/>
    </row>
    <row r="334">
      <c r="F334" s="329"/>
      <c r="I334" s="401"/>
    </row>
    <row r="335">
      <c r="F335" s="329"/>
      <c r="I335" s="401"/>
    </row>
    <row r="336">
      <c r="F336" s="329"/>
      <c r="I336" s="401"/>
    </row>
    <row r="337">
      <c r="F337" s="329"/>
      <c r="I337" s="401"/>
    </row>
    <row r="338">
      <c r="F338" s="329"/>
      <c r="I338" s="401"/>
    </row>
    <row r="339">
      <c r="F339" s="329"/>
      <c r="I339" s="401"/>
    </row>
    <row r="340">
      <c r="F340" s="329"/>
      <c r="I340" s="401"/>
    </row>
    <row r="341">
      <c r="F341" s="329"/>
      <c r="I341" s="401"/>
    </row>
    <row r="342">
      <c r="F342" s="329"/>
      <c r="I342" s="401"/>
    </row>
    <row r="343">
      <c r="F343" s="329"/>
      <c r="I343" s="401"/>
    </row>
    <row r="344">
      <c r="F344" s="329"/>
      <c r="I344" s="401"/>
    </row>
    <row r="345">
      <c r="F345" s="329"/>
      <c r="I345" s="401"/>
    </row>
    <row r="346">
      <c r="F346" s="329"/>
      <c r="I346" s="401"/>
    </row>
    <row r="347">
      <c r="F347" s="329"/>
      <c r="I347" s="401"/>
    </row>
    <row r="348">
      <c r="F348" s="329"/>
      <c r="I348" s="401"/>
    </row>
    <row r="349">
      <c r="F349" s="329"/>
      <c r="I349" s="401"/>
    </row>
    <row r="350">
      <c r="F350" s="329"/>
      <c r="I350" s="401"/>
    </row>
    <row r="351">
      <c r="F351" s="329"/>
      <c r="I351" s="401"/>
    </row>
    <row r="352">
      <c r="F352" s="329"/>
      <c r="I352" s="401"/>
    </row>
    <row r="353">
      <c r="F353" s="329"/>
      <c r="I353" s="401"/>
    </row>
    <row r="354">
      <c r="F354" s="329"/>
      <c r="I354" s="401"/>
    </row>
    <row r="355">
      <c r="F355" s="329"/>
      <c r="I355" s="401"/>
    </row>
    <row r="356">
      <c r="F356" s="329"/>
      <c r="I356" s="401"/>
    </row>
    <row r="357">
      <c r="F357" s="329"/>
      <c r="I357" s="401"/>
    </row>
    <row r="358">
      <c r="F358" s="329"/>
      <c r="I358" s="401"/>
    </row>
    <row r="359">
      <c r="F359" s="329"/>
      <c r="I359" s="401"/>
    </row>
    <row r="360">
      <c r="F360" s="329"/>
      <c r="I360" s="401"/>
    </row>
    <row r="361">
      <c r="F361" s="329"/>
      <c r="I361" s="401"/>
    </row>
    <row r="362">
      <c r="F362" s="329"/>
      <c r="I362" s="401"/>
    </row>
    <row r="363">
      <c r="F363" s="329"/>
      <c r="I363" s="401"/>
    </row>
    <row r="364">
      <c r="F364" s="329"/>
      <c r="I364" s="401"/>
    </row>
    <row r="365">
      <c r="F365" s="329"/>
      <c r="I365" s="401"/>
    </row>
    <row r="366">
      <c r="F366" s="329"/>
      <c r="I366" s="401"/>
    </row>
    <row r="367">
      <c r="F367" s="329"/>
      <c r="I367" s="401"/>
    </row>
    <row r="368">
      <c r="F368" s="329"/>
      <c r="I368" s="401"/>
    </row>
    <row r="369">
      <c r="F369" s="329"/>
      <c r="I369" s="401"/>
    </row>
    <row r="370">
      <c r="F370" s="329"/>
      <c r="I370" s="401"/>
    </row>
    <row r="371">
      <c r="F371" s="329"/>
      <c r="I371" s="401"/>
    </row>
    <row r="372">
      <c r="F372" s="329"/>
      <c r="I372" s="401"/>
    </row>
    <row r="373">
      <c r="F373" s="329"/>
      <c r="I373" s="401"/>
    </row>
    <row r="374">
      <c r="F374" s="329"/>
      <c r="I374" s="401"/>
    </row>
    <row r="375">
      <c r="F375" s="329"/>
      <c r="I375" s="401"/>
    </row>
    <row r="376">
      <c r="F376" s="329"/>
      <c r="I376" s="401"/>
    </row>
    <row r="377">
      <c r="F377" s="329"/>
      <c r="I377" s="401"/>
    </row>
    <row r="378">
      <c r="F378" s="329"/>
      <c r="I378" s="401"/>
    </row>
    <row r="379">
      <c r="F379" s="329"/>
      <c r="I379" s="401"/>
    </row>
    <row r="380">
      <c r="F380" s="329"/>
      <c r="I380" s="401"/>
    </row>
    <row r="381">
      <c r="F381" s="329"/>
      <c r="I381" s="401"/>
    </row>
    <row r="382">
      <c r="F382" s="329"/>
      <c r="I382" s="401"/>
    </row>
    <row r="383">
      <c r="F383" s="329"/>
      <c r="I383" s="401"/>
    </row>
    <row r="384">
      <c r="F384" s="329"/>
      <c r="I384" s="401"/>
    </row>
    <row r="385">
      <c r="F385" s="329"/>
      <c r="I385" s="401"/>
    </row>
    <row r="386">
      <c r="F386" s="329"/>
      <c r="I386" s="401"/>
    </row>
    <row r="387">
      <c r="F387" s="329"/>
      <c r="I387" s="401"/>
    </row>
    <row r="388">
      <c r="F388" s="329"/>
      <c r="I388" s="401"/>
    </row>
    <row r="389">
      <c r="F389" s="329"/>
      <c r="I389" s="401"/>
    </row>
    <row r="390">
      <c r="F390" s="329"/>
      <c r="I390" s="401"/>
    </row>
    <row r="391">
      <c r="F391" s="329"/>
      <c r="I391" s="401"/>
    </row>
    <row r="392">
      <c r="F392" s="329"/>
      <c r="I392" s="401"/>
    </row>
    <row r="393">
      <c r="F393" s="329"/>
      <c r="I393" s="401"/>
    </row>
    <row r="394">
      <c r="F394" s="329"/>
      <c r="I394" s="401"/>
    </row>
    <row r="395">
      <c r="F395" s="329"/>
      <c r="I395" s="401"/>
    </row>
    <row r="396">
      <c r="F396" s="329"/>
      <c r="I396" s="401"/>
    </row>
    <row r="397">
      <c r="F397" s="329"/>
      <c r="I397" s="401"/>
    </row>
    <row r="398">
      <c r="F398" s="329"/>
      <c r="I398" s="401"/>
    </row>
    <row r="399">
      <c r="F399" s="329"/>
      <c r="I399" s="401"/>
    </row>
    <row r="400">
      <c r="F400" s="329"/>
      <c r="I400" s="401"/>
    </row>
    <row r="401">
      <c r="F401" s="329"/>
      <c r="I401" s="401"/>
    </row>
    <row r="402">
      <c r="F402" s="329"/>
      <c r="I402" s="401"/>
    </row>
    <row r="403">
      <c r="F403" s="329"/>
      <c r="I403" s="401"/>
    </row>
    <row r="404">
      <c r="F404" s="329"/>
      <c r="I404" s="401"/>
    </row>
    <row r="405">
      <c r="F405" s="329"/>
      <c r="I405" s="401"/>
    </row>
    <row r="406">
      <c r="F406" s="329"/>
      <c r="I406" s="401"/>
    </row>
    <row r="407">
      <c r="F407" s="329"/>
      <c r="I407" s="401"/>
    </row>
    <row r="408">
      <c r="F408" s="329"/>
      <c r="I408" s="401"/>
    </row>
    <row r="409">
      <c r="F409" s="329"/>
      <c r="I409" s="401"/>
    </row>
    <row r="410">
      <c r="F410" s="329"/>
      <c r="I410" s="401"/>
    </row>
    <row r="411">
      <c r="F411" s="329"/>
      <c r="I411" s="401"/>
    </row>
    <row r="412">
      <c r="F412" s="329"/>
      <c r="I412" s="401"/>
    </row>
    <row r="413">
      <c r="F413" s="329"/>
      <c r="I413" s="401"/>
    </row>
    <row r="414">
      <c r="F414" s="329"/>
      <c r="I414" s="401"/>
    </row>
    <row r="415">
      <c r="F415" s="329"/>
      <c r="I415" s="401"/>
    </row>
    <row r="416">
      <c r="F416" s="329"/>
      <c r="I416" s="401"/>
    </row>
    <row r="417">
      <c r="F417" s="329"/>
      <c r="I417" s="401"/>
    </row>
    <row r="418">
      <c r="F418" s="329"/>
      <c r="I418" s="401"/>
    </row>
    <row r="419">
      <c r="F419" s="329"/>
      <c r="I419" s="401"/>
    </row>
    <row r="420">
      <c r="F420" s="329"/>
      <c r="I420" s="401"/>
    </row>
    <row r="421">
      <c r="F421" s="329"/>
      <c r="I421" s="401"/>
    </row>
    <row r="422">
      <c r="F422" s="329"/>
      <c r="I422" s="401"/>
    </row>
    <row r="423">
      <c r="F423" s="329"/>
      <c r="I423" s="401"/>
    </row>
    <row r="424">
      <c r="F424" s="329"/>
      <c r="I424" s="401"/>
    </row>
    <row r="425">
      <c r="F425" s="329"/>
      <c r="I425" s="401"/>
    </row>
    <row r="426">
      <c r="F426" s="329"/>
      <c r="I426" s="401"/>
    </row>
    <row r="427">
      <c r="F427" s="329"/>
      <c r="I427" s="401"/>
    </row>
    <row r="428">
      <c r="F428" s="329"/>
      <c r="I428" s="401"/>
    </row>
    <row r="429">
      <c r="F429" s="329"/>
      <c r="I429" s="401"/>
    </row>
    <row r="430">
      <c r="F430" s="329"/>
      <c r="I430" s="401"/>
    </row>
    <row r="431">
      <c r="F431" s="329"/>
      <c r="I431" s="401"/>
    </row>
    <row r="432">
      <c r="F432" s="329"/>
      <c r="I432" s="401"/>
    </row>
    <row r="433">
      <c r="F433" s="329"/>
      <c r="I433" s="401"/>
    </row>
    <row r="434">
      <c r="F434" s="329"/>
      <c r="I434" s="401"/>
    </row>
    <row r="435">
      <c r="F435" s="329"/>
      <c r="I435" s="401"/>
    </row>
    <row r="436">
      <c r="F436" s="329"/>
      <c r="I436" s="401"/>
    </row>
    <row r="437">
      <c r="F437" s="329"/>
      <c r="I437" s="401"/>
    </row>
    <row r="438">
      <c r="F438" s="329"/>
      <c r="I438" s="401"/>
    </row>
    <row r="439">
      <c r="F439" s="329"/>
      <c r="I439" s="401"/>
    </row>
    <row r="440">
      <c r="F440" s="329"/>
      <c r="I440" s="401"/>
    </row>
    <row r="441">
      <c r="F441" s="329"/>
      <c r="I441" s="401"/>
    </row>
    <row r="442">
      <c r="F442" s="329"/>
      <c r="I442" s="401"/>
    </row>
    <row r="443">
      <c r="F443" s="329"/>
      <c r="I443" s="401"/>
    </row>
    <row r="444">
      <c r="F444" s="329"/>
      <c r="I444" s="401"/>
    </row>
    <row r="445">
      <c r="F445" s="329"/>
      <c r="I445" s="401"/>
    </row>
    <row r="446">
      <c r="F446" s="329"/>
      <c r="I446" s="401"/>
    </row>
    <row r="447">
      <c r="F447" s="329"/>
      <c r="I447" s="401"/>
    </row>
    <row r="448">
      <c r="F448" s="329"/>
      <c r="I448" s="401"/>
    </row>
    <row r="449">
      <c r="F449" s="329"/>
      <c r="I449" s="401"/>
    </row>
    <row r="450">
      <c r="F450" s="329"/>
      <c r="I450" s="401"/>
    </row>
    <row r="451">
      <c r="F451" s="329"/>
      <c r="I451" s="401"/>
    </row>
    <row r="452">
      <c r="F452" s="329"/>
      <c r="I452" s="401"/>
    </row>
    <row r="453">
      <c r="F453" s="329"/>
      <c r="I453" s="401"/>
    </row>
    <row r="454">
      <c r="F454" s="329"/>
      <c r="I454" s="401"/>
    </row>
    <row r="455">
      <c r="F455" s="329"/>
      <c r="I455" s="401"/>
    </row>
    <row r="456">
      <c r="F456" s="329"/>
      <c r="I456" s="401"/>
    </row>
    <row r="457">
      <c r="F457" s="329"/>
      <c r="I457" s="401"/>
    </row>
    <row r="458">
      <c r="F458" s="329"/>
      <c r="I458" s="401"/>
    </row>
    <row r="459">
      <c r="F459" s="329"/>
      <c r="I459" s="401"/>
    </row>
    <row r="460">
      <c r="F460" s="329"/>
      <c r="I460" s="401"/>
    </row>
    <row r="461">
      <c r="F461" s="329"/>
      <c r="I461" s="401"/>
    </row>
    <row r="462">
      <c r="F462" s="329"/>
      <c r="I462" s="401"/>
    </row>
    <row r="463">
      <c r="F463" s="329"/>
      <c r="I463" s="401"/>
    </row>
    <row r="464">
      <c r="F464" s="329"/>
      <c r="I464" s="401"/>
    </row>
    <row r="465">
      <c r="F465" s="329"/>
      <c r="I465" s="401"/>
    </row>
    <row r="466">
      <c r="F466" s="329"/>
      <c r="I466" s="401"/>
    </row>
    <row r="467">
      <c r="F467" s="329"/>
      <c r="I467" s="401"/>
    </row>
    <row r="468">
      <c r="F468" s="329"/>
      <c r="I468" s="401"/>
    </row>
    <row r="469">
      <c r="F469" s="329"/>
      <c r="I469" s="401"/>
    </row>
    <row r="470">
      <c r="F470" s="329"/>
      <c r="I470" s="401"/>
    </row>
    <row r="471">
      <c r="F471" s="329"/>
      <c r="I471" s="401"/>
    </row>
    <row r="472">
      <c r="F472" s="329"/>
      <c r="I472" s="401"/>
    </row>
    <row r="473">
      <c r="F473" s="329"/>
      <c r="I473" s="401"/>
    </row>
    <row r="474">
      <c r="F474" s="329"/>
      <c r="I474" s="401"/>
    </row>
    <row r="475">
      <c r="F475" s="329"/>
      <c r="I475" s="401"/>
    </row>
    <row r="476">
      <c r="F476" s="329"/>
      <c r="I476" s="401"/>
    </row>
    <row r="477">
      <c r="F477" s="329"/>
      <c r="I477" s="401"/>
    </row>
    <row r="478">
      <c r="F478" s="329"/>
      <c r="I478" s="401"/>
    </row>
    <row r="479">
      <c r="F479" s="329"/>
      <c r="I479" s="401"/>
    </row>
    <row r="480">
      <c r="F480" s="329"/>
      <c r="I480" s="401"/>
    </row>
    <row r="481">
      <c r="F481" s="329"/>
      <c r="I481" s="401"/>
    </row>
    <row r="482">
      <c r="F482" s="329"/>
      <c r="I482" s="401"/>
    </row>
    <row r="483">
      <c r="F483" s="329"/>
      <c r="I483" s="401"/>
    </row>
    <row r="484">
      <c r="F484" s="329"/>
      <c r="I484" s="401"/>
    </row>
    <row r="485">
      <c r="F485" s="329"/>
      <c r="I485" s="401"/>
    </row>
    <row r="486">
      <c r="F486" s="329"/>
      <c r="I486" s="401"/>
    </row>
    <row r="487">
      <c r="F487" s="329"/>
      <c r="I487" s="401"/>
    </row>
    <row r="488">
      <c r="F488" s="329"/>
      <c r="I488" s="401"/>
    </row>
    <row r="489">
      <c r="F489" s="329"/>
      <c r="I489" s="401"/>
    </row>
    <row r="490">
      <c r="F490" s="329"/>
      <c r="I490" s="401"/>
    </row>
    <row r="491">
      <c r="F491" s="329"/>
      <c r="I491" s="401"/>
    </row>
    <row r="492">
      <c r="F492" s="329"/>
      <c r="I492" s="401"/>
    </row>
    <row r="493">
      <c r="F493" s="329"/>
      <c r="I493" s="401"/>
    </row>
    <row r="494">
      <c r="F494" s="329"/>
      <c r="I494" s="401"/>
    </row>
    <row r="495">
      <c r="F495" s="329"/>
      <c r="I495" s="401"/>
    </row>
    <row r="496">
      <c r="F496" s="329"/>
      <c r="I496" s="401"/>
    </row>
    <row r="497">
      <c r="F497" s="329"/>
      <c r="I497" s="401"/>
    </row>
    <row r="498">
      <c r="F498" s="329"/>
      <c r="I498" s="401"/>
    </row>
    <row r="499">
      <c r="F499" s="329"/>
      <c r="I499" s="401"/>
    </row>
    <row r="500">
      <c r="F500" s="329"/>
      <c r="I500" s="401"/>
    </row>
    <row r="501">
      <c r="F501" s="329"/>
      <c r="I501" s="401"/>
    </row>
    <row r="502">
      <c r="F502" s="329"/>
      <c r="I502" s="401"/>
    </row>
    <row r="503">
      <c r="F503" s="329"/>
      <c r="I503" s="401"/>
    </row>
    <row r="504">
      <c r="F504" s="329"/>
      <c r="I504" s="401"/>
    </row>
    <row r="505">
      <c r="F505" s="329"/>
      <c r="I505" s="401"/>
    </row>
    <row r="506">
      <c r="F506" s="329"/>
      <c r="I506" s="401"/>
    </row>
    <row r="507">
      <c r="F507" s="329"/>
      <c r="I507" s="401"/>
    </row>
    <row r="508">
      <c r="F508" s="329"/>
      <c r="I508" s="401"/>
    </row>
    <row r="509">
      <c r="F509" s="329"/>
      <c r="I509" s="401"/>
    </row>
    <row r="510">
      <c r="F510" s="329"/>
      <c r="I510" s="401"/>
    </row>
    <row r="511">
      <c r="F511" s="329"/>
      <c r="I511" s="401"/>
    </row>
    <row r="512">
      <c r="F512" s="329"/>
      <c r="I512" s="401"/>
    </row>
    <row r="513">
      <c r="F513" s="329"/>
      <c r="I513" s="401"/>
    </row>
    <row r="514">
      <c r="F514" s="329"/>
      <c r="I514" s="401"/>
    </row>
    <row r="515">
      <c r="F515" s="329"/>
      <c r="I515" s="401"/>
    </row>
    <row r="516">
      <c r="F516" s="329"/>
      <c r="I516" s="401"/>
    </row>
    <row r="517">
      <c r="F517" s="329"/>
      <c r="I517" s="401"/>
    </row>
    <row r="518">
      <c r="F518" s="329"/>
      <c r="I518" s="401"/>
    </row>
    <row r="519">
      <c r="F519" s="329"/>
      <c r="I519" s="401"/>
    </row>
    <row r="520">
      <c r="F520" s="329"/>
      <c r="I520" s="401"/>
    </row>
    <row r="521">
      <c r="F521" s="329"/>
      <c r="I521" s="401"/>
    </row>
    <row r="522">
      <c r="F522" s="329"/>
      <c r="I522" s="401"/>
    </row>
    <row r="523">
      <c r="F523" s="329"/>
      <c r="I523" s="401"/>
    </row>
    <row r="524">
      <c r="F524" s="329"/>
      <c r="I524" s="401"/>
    </row>
    <row r="525">
      <c r="F525" s="329"/>
      <c r="I525" s="401"/>
    </row>
    <row r="526">
      <c r="F526" s="329"/>
      <c r="I526" s="401"/>
    </row>
    <row r="527">
      <c r="F527" s="329"/>
      <c r="I527" s="401"/>
    </row>
    <row r="528">
      <c r="F528" s="329"/>
      <c r="I528" s="401"/>
    </row>
    <row r="529">
      <c r="F529" s="329"/>
      <c r="I529" s="401"/>
    </row>
    <row r="530">
      <c r="F530" s="329"/>
      <c r="I530" s="401"/>
    </row>
    <row r="531">
      <c r="F531" s="329"/>
      <c r="I531" s="401"/>
    </row>
    <row r="532">
      <c r="F532" s="329"/>
      <c r="I532" s="401"/>
    </row>
    <row r="533">
      <c r="F533" s="329"/>
      <c r="I533" s="401"/>
    </row>
    <row r="534">
      <c r="F534" s="329"/>
      <c r="I534" s="401"/>
    </row>
    <row r="535">
      <c r="F535" s="329"/>
      <c r="I535" s="401"/>
    </row>
    <row r="536">
      <c r="F536" s="329"/>
      <c r="I536" s="401"/>
    </row>
    <row r="537">
      <c r="F537" s="329"/>
      <c r="I537" s="401"/>
    </row>
    <row r="538">
      <c r="F538" s="329"/>
      <c r="I538" s="401"/>
    </row>
    <row r="539">
      <c r="F539" s="329"/>
      <c r="I539" s="401"/>
    </row>
    <row r="540">
      <c r="F540" s="329"/>
      <c r="I540" s="401"/>
    </row>
    <row r="541">
      <c r="F541" s="329"/>
      <c r="I541" s="401"/>
    </row>
    <row r="542">
      <c r="F542" s="329"/>
      <c r="I542" s="401"/>
    </row>
    <row r="543">
      <c r="F543" s="329"/>
      <c r="I543" s="401"/>
    </row>
    <row r="544">
      <c r="F544" s="329"/>
      <c r="I544" s="401"/>
    </row>
    <row r="545">
      <c r="F545" s="329"/>
      <c r="I545" s="401"/>
    </row>
    <row r="546">
      <c r="F546" s="329"/>
      <c r="I546" s="401"/>
    </row>
    <row r="547">
      <c r="F547" s="329"/>
      <c r="I547" s="401"/>
    </row>
    <row r="548">
      <c r="F548" s="329"/>
      <c r="I548" s="401"/>
    </row>
    <row r="549">
      <c r="F549" s="329"/>
      <c r="I549" s="401"/>
    </row>
    <row r="550">
      <c r="F550" s="329"/>
      <c r="I550" s="401"/>
    </row>
    <row r="551">
      <c r="F551" s="329"/>
      <c r="I551" s="401"/>
    </row>
    <row r="552">
      <c r="F552" s="329"/>
      <c r="I552" s="401"/>
    </row>
    <row r="553">
      <c r="F553" s="329"/>
      <c r="I553" s="401"/>
    </row>
    <row r="554">
      <c r="F554" s="329"/>
      <c r="I554" s="401"/>
    </row>
    <row r="555">
      <c r="F555" s="329"/>
      <c r="I555" s="401"/>
    </row>
    <row r="556">
      <c r="F556" s="329"/>
      <c r="I556" s="401"/>
    </row>
    <row r="557">
      <c r="F557" s="329"/>
      <c r="I557" s="401"/>
    </row>
    <row r="558">
      <c r="F558" s="329"/>
      <c r="I558" s="401"/>
    </row>
    <row r="559">
      <c r="F559" s="329"/>
      <c r="I559" s="401"/>
    </row>
    <row r="560">
      <c r="F560" s="329"/>
      <c r="I560" s="401"/>
    </row>
    <row r="561">
      <c r="F561" s="329"/>
      <c r="I561" s="401"/>
    </row>
    <row r="562">
      <c r="F562" s="329"/>
      <c r="I562" s="401"/>
    </row>
    <row r="563">
      <c r="F563" s="329"/>
      <c r="I563" s="401"/>
    </row>
    <row r="564">
      <c r="F564" s="329"/>
      <c r="I564" s="401"/>
    </row>
    <row r="565">
      <c r="F565" s="329"/>
      <c r="I565" s="401"/>
    </row>
    <row r="566">
      <c r="F566" s="329"/>
      <c r="I566" s="401"/>
    </row>
    <row r="567">
      <c r="F567" s="329"/>
      <c r="I567" s="401"/>
    </row>
    <row r="568">
      <c r="F568" s="329"/>
      <c r="I568" s="401"/>
    </row>
    <row r="569">
      <c r="F569" s="329"/>
      <c r="I569" s="401"/>
    </row>
    <row r="570">
      <c r="F570" s="329"/>
      <c r="I570" s="401"/>
    </row>
    <row r="571">
      <c r="F571" s="329"/>
      <c r="I571" s="401"/>
    </row>
    <row r="572">
      <c r="F572" s="329"/>
      <c r="I572" s="401"/>
    </row>
    <row r="573">
      <c r="F573" s="329"/>
      <c r="I573" s="401"/>
    </row>
    <row r="574">
      <c r="F574" s="329"/>
      <c r="I574" s="401"/>
    </row>
    <row r="575">
      <c r="F575" s="329"/>
      <c r="I575" s="401"/>
    </row>
    <row r="576">
      <c r="F576" s="329"/>
      <c r="I576" s="401"/>
    </row>
    <row r="577">
      <c r="F577" s="329"/>
      <c r="I577" s="401"/>
    </row>
    <row r="578">
      <c r="F578" s="329"/>
      <c r="I578" s="401"/>
    </row>
    <row r="579">
      <c r="F579" s="329"/>
      <c r="I579" s="401"/>
    </row>
    <row r="580">
      <c r="F580" s="329"/>
      <c r="I580" s="401"/>
    </row>
    <row r="581">
      <c r="F581" s="329"/>
      <c r="I581" s="401"/>
    </row>
    <row r="582">
      <c r="F582" s="329"/>
      <c r="I582" s="401"/>
    </row>
    <row r="583">
      <c r="F583" s="329"/>
      <c r="I583" s="401"/>
    </row>
    <row r="584">
      <c r="F584" s="329"/>
      <c r="I584" s="401"/>
    </row>
    <row r="585">
      <c r="F585" s="329"/>
      <c r="I585" s="401"/>
    </row>
    <row r="586">
      <c r="F586" s="329"/>
      <c r="I586" s="401"/>
    </row>
    <row r="587">
      <c r="F587" s="329"/>
      <c r="I587" s="401"/>
    </row>
    <row r="588">
      <c r="F588" s="329"/>
      <c r="I588" s="401"/>
    </row>
    <row r="589">
      <c r="F589" s="329"/>
      <c r="I589" s="401"/>
    </row>
    <row r="590">
      <c r="F590" s="329"/>
      <c r="I590" s="401"/>
    </row>
    <row r="591">
      <c r="F591" s="329"/>
      <c r="I591" s="401"/>
    </row>
    <row r="592">
      <c r="F592" s="329"/>
      <c r="I592" s="401"/>
    </row>
    <row r="593">
      <c r="F593" s="329"/>
      <c r="I593" s="401"/>
    </row>
    <row r="594">
      <c r="F594" s="329"/>
      <c r="I594" s="401"/>
    </row>
    <row r="595">
      <c r="F595" s="329"/>
      <c r="I595" s="401"/>
    </row>
    <row r="596">
      <c r="F596" s="329"/>
      <c r="I596" s="401"/>
    </row>
    <row r="597">
      <c r="F597" s="329"/>
      <c r="I597" s="401"/>
    </row>
    <row r="598">
      <c r="F598" s="329"/>
      <c r="I598" s="401"/>
    </row>
    <row r="599">
      <c r="F599" s="329"/>
      <c r="I599" s="401"/>
    </row>
    <row r="600">
      <c r="F600" s="329"/>
      <c r="I600" s="401"/>
    </row>
    <row r="601">
      <c r="F601" s="329"/>
      <c r="I601" s="401"/>
    </row>
    <row r="602">
      <c r="F602" s="329"/>
      <c r="I602" s="401"/>
    </row>
    <row r="603">
      <c r="F603" s="329"/>
      <c r="I603" s="401"/>
    </row>
    <row r="604">
      <c r="F604" s="329"/>
      <c r="I604" s="401"/>
    </row>
    <row r="605">
      <c r="F605" s="329"/>
      <c r="I605" s="401"/>
    </row>
    <row r="606">
      <c r="F606" s="329"/>
      <c r="I606" s="401"/>
    </row>
    <row r="607">
      <c r="F607" s="329"/>
      <c r="I607" s="401"/>
    </row>
    <row r="608">
      <c r="F608" s="329"/>
      <c r="I608" s="401"/>
    </row>
    <row r="609">
      <c r="F609" s="329"/>
      <c r="I609" s="401"/>
    </row>
    <row r="610">
      <c r="F610" s="329"/>
      <c r="I610" s="401"/>
    </row>
    <row r="611">
      <c r="F611" s="329"/>
      <c r="I611" s="401"/>
    </row>
    <row r="612">
      <c r="F612" s="329"/>
      <c r="I612" s="401"/>
    </row>
    <row r="613">
      <c r="F613" s="329"/>
      <c r="I613" s="401"/>
    </row>
    <row r="614">
      <c r="F614" s="329"/>
      <c r="I614" s="401"/>
    </row>
    <row r="615">
      <c r="F615" s="329"/>
      <c r="I615" s="401"/>
    </row>
    <row r="616">
      <c r="F616" s="329"/>
      <c r="I616" s="401"/>
    </row>
    <row r="617">
      <c r="F617" s="329"/>
      <c r="I617" s="401"/>
    </row>
    <row r="618">
      <c r="F618" s="329"/>
      <c r="I618" s="401"/>
    </row>
    <row r="619">
      <c r="F619" s="329"/>
      <c r="I619" s="401"/>
    </row>
    <row r="620">
      <c r="F620" s="329"/>
      <c r="I620" s="401"/>
    </row>
    <row r="621">
      <c r="F621" s="329"/>
      <c r="I621" s="401"/>
    </row>
    <row r="622">
      <c r="F622" s="329"/>
      <c r="I622" s="401"/>
    </row>
    <row r="623">
      <c r="F623" s="329"/>
      <c r="I623" s="401"/>
    </row>
    <row r="624">
      <c r="F624" s="329"/>
      <c r="I624" s="401"/>
    </row>
    <row r="625">
      <c r="F625" s="329"/>
      <c r="I625" s="401"/>
    </row>
    <row r="626">
      <c r="F626" s="329"/>
      <c r="I626" s="401"/>
    </row>
    <row r="627">
      <c r="F627" s="329"/>
      <c r="I627" s="401"/>
    </row>
    <row r="628">
      <c r="F628" s="329"/>
      <c r="I628" s="401"/>
    </row>
    <row r="629">
      <c r="F629" s="329"/>
      <c r="I629" s="401"/>
    </row>
    <row r="630">
      <c r="F630" s="329"/>
      <c r="I630" s="401"/>
    </row>
    <row r="631">
      <c r="F631" s="329"/>
      <c r="I631" s="401"/>
    </row>
    <row r="632">
      <c r="F632" s="329"/>
      <c r="I632" s="401"/>
    </row>
    <row r="633">
      <c r="F633" s="329"/>
      <c r="I633" s="401"/>
    </row>
    <row r="634">
      <c r="F634" s="329"/>
      <c r="I634" s="401"/>
    </row>
    <row r="635">
      <c r="F635" s="329"/>
      <c r="I635" s="401"/>
    </row>
    <row r="636">
      <c r="F636" s="329"/>
      <c r="I636" s="401"/>
    </row>
    <row r="637">
      <c r="F637" s="329"/>
      <c r="I637" s="401"/>
    </row>
    <row r="638">
      <c r="F638" s="329"/>
      <c r="I638" s="401"/>
    </row>
    <row r="639">
      <c r="F639" s="329"/>
      <c r="I639" s="401"/>
    </row>
    <row r="640">
      <c r="F640" s="329"/>
      <c r="I640" s="401"/>
    </row>
    <row r="641">
      <c r="F641" s="329"/>
      <c r="I641" s="401"/>
    </row>
    <row r="642">
      <c r="F642" s="329"/>
      <c r="I642" s="401"/>
    </row>
    <row r="643">
      <c r="F643" s="329"/>
      <c r="I643" s="401"/>
    </row>
    <row r="644">
      <c r="F644" s="329"/>
      <c r="I644" s="401"/>
    </row>
    <row r="645">
      <c r="F645" s="329"/>
      <c r="I645" s="401"/>
    </row>
    <row r="646">
      <c r="F646" s="329"/>
      <c r="I646" s="401"/>
    </row>
    <row r="647">
      <c r="F647" s="329"/>
      <c r="I647" s="401"/>
    </row>
    <row r="648">
      <c r="F648" s="329"/>
      <c r="I648" s="401"/>
    </row>
    <row r="649">
      <c r="F649" s="329"/>
      <c r="I649" s="401"/>
    </row>
    <row r="650">
      <c r="F650" s="329"/>
      <c r="I650" s="401"/>
    </row>
    <row r="651">
      <c r="F651" s="329"/>
      <c r="I651" s="401"/>
    </row>
    <row r="652">
      <c r="F652" s="329"/>
      <c r="I652" s="401"/>
    </row>
    <row r="653">
      <c r="F653" s="329"/>
      <c r="I653" s="401"/>
    </row>
    <row r="654">
      <c r="F654" s="329"/>
      <c r="I654" s="401"/>
    </row>
    <row r="655">
      <c r="F655" s="329"/>
      <c r="I655" s="401"/>
    </row>
    <row r="656">
      <c r="F656" s="329"/>
      <c r="I656" s="401"/>
    </row>
    <row r="657">
      <c r="F657" s="329"/>
      <c r="I657" s="401"/>
    </row>
    <row r="658">
      <c r="F658" s="329"/>
      <c r="I658" s="401"/>
    </row>
    <row r="659">
      <c r="F659" s="329"/>
      <c r="I659" s="401"/>
    </row>
    <row r="660">
      <c r="F660" s="329"/>
      <c r="I660" s="401"/>
    </row>
    <row r="661">
      <c r="F661" s="329"/>
      <c r="I661" s="401"/>
    </row>
    <row r="662">
      <c r="F662" s="329"/>
      <c r="I662" s="401"/>
    </row>
    <row r="663">
      <c r="F663" s="329"/>
      <c r="I663" s="401"/>
    </row>
    <row r="664">
      <c r="F664" s="329"/>
      <c r="I664" s="401"/>
    </row>
    <row r="665">
      <c r="F665" s="329"/>
      <c r="I665" s="401"/>
    </row>
    <row r="666">
      <c r="F666" s="329"/>
      <c r="I666" s="401"/>
    </row>
    <row r="667">
      <c r="F667" s="329"/>
      <c r="I667" s="401"/>
    </row>
    <row r="668">
      <c r="F668" s="329"/>
      <c r="I668" s="401"/>
    </row>
    <row r="669">
      <c r="F669" s="329"/>
      <c r="I669" s="401"/>
    </row>
    <row r="670">
      <c r="F670" s="329"/>
      <c r="I670" s="401"/>
    </row>
    <row r="671">
      <c r="F671" s="329"/>
      <c r="I671" s="401"/>
    </row>
    <row r="672">
      <c r="F672" s="329"/>
      <c r="I672" s="401"/>
    </row>
    <row r="673">
      <c r="F673" s="329"/>
      <c r="I673" s="401"/>
    </row>
    <row r="674">
      <c r="F674" s="329"/>
      <c r="I674" s="401"/>
    </row>
    <row r="675">
      <c r="F675" s="329"/>
      <c r="I675" s="401"/>
    </row>
    <row r="676">
      <c r="F676" s="329"/>
      <c r="I676" s="401"/>
    </row>
    <row r="677">
      <c r="F677" s="329"/>
      <c r="I677" s="401"/>
    </row>
    <row r="678">
      <c r="F678" s="329"/>
      <c r="I678" s="401"/>
    </row>
    <row r="679">
      <c r="F679" s="329"/>
      <c r="I679" s="401"/>
    </row>
    <row r="680">
      <c r="F680" s="329"/>
      <c r="I680" s="401"/>
    </row>
    <row r="681">
      <c r="F681" s="329"/>
      <c r="I681" s="401"/>
    </row>
    <row r="682">
      <c r="F682" s="329"/>
      <c r="I682" s="401"/>
    </row>
    <row r="683">
      <c r="F683" s="329"/>
      <c r="I683" s="401"/>
    </row>
    <row r="684">
      <c r="F684" s="329"/>
      <c r="I684" s="401"/>
    </row>
    <row r="685">
      <c r="F685" s="329"/>
      <c r="I685" s="401"/>
    </row>
    <row r="686">
      <c r="F686" s="329"/>
      <c r="I686" s="401"/>
    </row>
    <row r="687">
      <c r="F687" s="329"/>
      <c r="I687" s="401"/>
    </row>
    <row r="688">
      <c r="F688" s="329"/>
      <c r="I688" s="401"/>
    </row>
    <row r="689">
      <c r="F689" s="329"/>
      <c r="I689" s="401"/>
    </row>
    <row r="690">
      <c r="F690" s="329"/>
      <c r="I690" s="401"/>
    </row>
    <row r="691">
      <c r="F691" s="329"/>
      <c r="I691" s="401"/>
    </row>
    <row r="692">
      <c r="F692" s="329"/>
      <c r="I692" s="401"/>
    </row>
    <row r="693">
      <c r="F693" s="329"/>
      <c r="I693" s="401"/>
    </row>
    <row r="694">
      <c r="F694" s="329"/>
      <c r="I694" s="401"/>
    </row>
    <row r="695">
      <c r="F695" s="329"/>
      <c r="I695" s="401"/>
    </row>
    <row r="696">
      <c r="F696" s="329"/>
      <c r="I696" s="401"/>
    </row>
    <row r="697">
      <c r="F697" s="329"/>
      <c r="I697" s="401"/>
    </row>
    <row r="698">
      <c r="F698" s="329"/>
      <c r="I698" s="401"/>
    </row>
    <row r="699">
      <c r="F699" s="329"/>
      <c r="I699" s="401"/>
    </row>
    <row r="700">
      <c r="F700" s="329"/>
      <c r="I700" s="401"/>
    </row>
    <row r="701">
      <c r="F701" s="329"/>
      <c r="I701" s="401"/>
    </row>
    <row r="702">
      <c r="F702" s="329"/>
      <c r="I702" s="401"/>
    </row>
    <row r="703">
      <c r="F703" s="329"/>
      <c r="I703" s="401"/>
    </row>
    <row r="704">
      <c r="F704" s="329"/>
      <c r="I704" s="401"/>
    </row>
    <row r="705">
      <c r="F705" s="329"/>
      <c r="I705" s="401"/>
    </row>
    <row r="706">
      <c r="F706" s="329"/>
      <c r="I706" s="401"/>
    </row>
    <row r="707">
      <c r="F707" s="329"/>
      <c r="I707" s="401"/>
    </row>
    <row r="708">
      <c r="F708" s="329"/>
      <c r="I708" s="401"/>
    </row>
    <row r="709">
      <c r="F709" s="329"/>
      <c r="I709" s="401"/>
    </row>
    <row r="710">
      <c r="F710" s="329"/>
      <c r="I710" s="401"/>
    </row>
    <row r="711">
      <c r="F711" s="329"/>
      <c r="I711" s="401"/>
    </row>
    <row r="712">
      <c r="F712" s="329"/>
      <c r="I712" s="401"/>
    </row>
    <row r="713">
      <c r="F713" s="329"/>
      <c r="I713" s="401"/>
    </row>
    <row r="714">
      <c r="F714" s="329"/>
      <c r="I714" s="401"/>
    </row>
    <row r="715">
      <c r="F715" s="329"/>
      <c r="I715" s="401"/>
    </row>
    <row r="716">
      <c r="F716" s="329"/>
      <c r="I716" s="401"/>
    </row>
    <row r="717">
      <c r="F717" s="329"/>
      <c r="I717" s="401"/>
    </row>
    <row r="718">
      <c r="F718" s="329"/>
      <c r="I718" s="401"/>
    </row>
    <row r="719">
      <c r="F719" s="329"/>
      <c r="I719" s="401"/>
    </row>
    <row r="720">
      <c r="F720" s="329"/>
      <c r="I720" s="401"/>
    </row>
    <row r="721">
      <c r="F721" s="329"/>
      <c r="I721" s="401"/>
    </row>
    <row r="722">
      <c r="F722" s="329"/>
      <c r="I722" s="401"/>
    </row>
    <row r="723">
      <c r="F723" s="329"/>
      <c r="I723" s="401"/>
    </row>
    <row r="724">
      <c r="F724" s="329"/>
      <c r="I724" s="401"/>
    </row>
    <row r="725">
      <c r="F725" s="329"/>
      <c r="I725" s="401"/>
    </row>
    <row r="726">
      <c r="F726" s="329"/>
      <c r="I726" s="401"/>
    </row>
    <row r="727">
      <c r="F727" s="329"/>
      <c r="I727" s="401"/>
    </row>
    <row r="728">
      <c r="F728" s="329"/>
      <c r="I728" s="401"/>
    </row>
    <row r="729">
      <c r="F729" s="329"/>
      <c r="I729" s="401"/>
    </row>
    <row r="730">
      <c r="F730" s="329"/>
      <c r="I730" s="401"/>
    </row>
    <row r="731">
      <c r="F731" s="329"/>
      <c r="I731" s="401"/>
    </row>
    <row r="732">
      <c r="F732" s="329"/>
      <c r="I732" s="401"/>
    </row>
    <row r="733">
      <c r="F733" s="329"/>
      <c r="I733" s="401"/>
    </row>
    <row r="734">
      <c r="F734" s="329"/>
      <c r="I734" s="401"/>
    </row>
    <row r="735">
      <c r="F735" s="329"/>
      <c r="I735" s="401"/>
    </row>
    <row r="736">
      <c r="F736" s="329"/>
      <c r="I736" s="401"/>
    </row>
    <row r="737">
      <c r="F737" s="329"/>
      <c r="I737" s="401"/>
    </row>
    <row r="738">
      <c r="F738" s="329"/>
      <c r="I738" s="401"/>
    </row>
    <row r="739">
      <c r="F739" s="329"/>
      <c r="I739" s="401"/>
    </row>
    <row r="740">
      <c r="F740" s="329"/>
      <c r="I740" s="401"/>
    </row>
    <row r="741">
      <c r="F741" s="329"/>
      <c r="I741" s="401"/>
    </row>
    <row r="742">
      <c r="F742" s="329"/>
      <c r="I742" s="401"/>
    </row>
    <row r="743">
      <c r="F743" s="329"/>
      <c r="I743" s="401"/>
    </row>
    <row r="744">
      <c r="F744" s="329"/>
      <c r="I744" s="401"/>
    </row>
    <row r="745">
      <c r="F745" s="329"/>
      <c r="I745" s="401"/>
    </row>
    <row r="746">
      <c r="F746" s="329"/>
      <c r="I746" s="401"/>
    </row>
    <row r="747">
      <c r="F747" s="329"/>
      <c r="I747" s="401"/>
    </row>
    <row r="748">
      <c r="F748" s="329"/>
      <c r="I748" s="401"/>
    </row>
    <row r="749">
      <c r="F749" s="329"/>
      <c r="I749" s="401"/>
    </row>
    <row r="750">
      <c r="F750" s="329"/>
      <c r="I750" s="401"/>
    </row>
    <row r="751">
      <c r="F751" s="329"/>
      <c r="I751" s="401"/>
    </row>
    <row r="752">
      <c r="F752" s="329"/>
      <c r="I752" s="401"/>
    </row>
    <row r="753">
      <c r="F753" s="329"/>
      <c r="I753" s="401"/>
    </row>
    <row r="754">
      <c r="F754" s="329"/>
      <c r="I754" s="401"/>
    </row>
    <row r="755">
      <c r="F755" s="329"/>
      <c r="I755" s="401"/>
    </row>
    <row r="756">
      <c r="F756" s="329"/>
      <c r="I756" s="401"/>
    </row>
    <row r="757">
      <c r="F757" s="329"/>
      <c r="I757" s="401"/>
    </row>
    <row r="758">
      <c r="F758" s="329"/>
      <c r="I758" s="401"/>
    </row>
    <row r="759">
      <c r="F759" s="329"/>
      <c r="I759" s="401"/>
    </row>
    <row r="760">
      <c r="F760" s="329"/>
      <c r="I760" s="401"/>
    </row>
    <row r="761">
      <c r="F761" s="329"/>
      <c r="I761" s="401"/>
    </row>
    <row r="762">
      <c r="F762" s="329"/>
      <c r="I762" s="401"/>
    </row>
    <row r="763">
      <c r="F763" s="329"/>
      <c r="I763" s="401"/>
    </row>
    <row r="764">
      <c r="F764" s="329"/>
      <c r="I764" s="401"/>
    </row>
    <row r="765">
      <c r="F765" s="329"/>
      <c r="I765" s="401"/>
    </row>
    <row r="766">
      <c r="F766" s="329"/>
      <c r="I766" s="401"/>
    </row>
    <row r="767">
      <c r="F767" s="329"/>
      <c r="I767" s="401"/>
    </row>
    <row r="768">
      <c r="F768" s="329"/>
      <c r="I768" s="401"/>
    </row>
    <row r="769">
      <c r="F769" s="329"/>
      <c r="I769" s="401"/>
    </row>
    <row r="770">
      <c r="F770" s="329"/>
      <c r="I770" s="401"/>
    </row>
    <row r="771">
      <c r="F771" s="329"/>
      <c r="I771" s="401"/>
    </row>
    <row r="772">
      <c r="F772" s="329"/>
      <c r="I772" s="401"/>
    </row>
    <row r="773">
      <c r="F773" s="329"/>
      <c r="I773" s="401"/>
    </row>
    <row r="774">
      <c r="F774" s="329"/>
      <c r="I774" s="401"/>
    </row>
    <row r="775">
      <c r="F775" s="329"/>
      <c r="I775" s="401"/>
    </row>
    <row r="776">
      <c r="F776" s="329"/>
      <c r="I776" s="401"/>
    </row>
    <row r="777">
      <c r="F777" s="329"/>
      <c r="I777" s="401"/>
    </row>
    <row r="778">
      <c r="F778" s="329"/>
      <c r="I778" s="401"/>
    </row>
    <row r="779">
      <c r="F779" s="329"/>
      <c r="I779" s="401"/>
    </row>
    <row r="780">
      <c r="F780" s="329"/>
      <c r="I780" s="401"/>
    </row>
    <row r="781">
      <c r="F781" s="329"/>
      <c r="I781" s="401"/>
    </row>
    <row r="782">
      <c r="F782" s="329"/>
      <c r="I782" s="401"/>
    </row>
    <row r="783">
      <c r="F783" s="329"/>
      <c r="I783" s="401"/>
    </row>
    <row r="784">
      <c r="F784" s="329"/>
      <c r="I784" s="401"/>
    </row>
    <row r="785">
      <c r="F785" s="329"/>
      <c r="I785" s="401"/>
    </row>
    <row r="786">
      <c r="F786" s="329"/>
      <c r="I786" s="401"/>
    </row>
    <row r="787">
      <c r="F787" s="329"/>
      <c r="I787" s="401"/>
    </row>
    <row r="788">
      <c r="F788" s="329"/>
      <c r="I788" s="401"/>
    </row>
    <row r="789">
      <c r="F789" s="329"/>
      <c r="I789" s="401"/>
    </row>
    <row r="790">
      <c r="F790" s="329"/>
      <c r="I790" s="401"/>
    </row>
    <row r="791">
      <c r="F791" s="329"/>
      <c r="I791" s="401"/>
    </row>
    <row r="792">
      <c r="F792" s="329"/>
      <c r="I792" s="401"/>
    </row>
    <row r="793">
      <c r="F793" s="329"/>
      <c r="I793" s="401"/>
    </row>
    <row r="794">
      <c r="F794" s="329"/>
      <c r="I794" s="401"/>
    </row>
    <row r="795">
      <c r="F795" s="329"/>
      <c r="I795" s="401"/>
    </row>
    <row r="796">
      <c r="F796" s="329"/>
      <c r="I796" s="401"/>
    </row>
    <row r="797">
      <c r="F797" s="329"/>
      <c r="I797" s="401"/>
    </row>
    <row r="798">
      <c r="F798" s="329"/>
      <c r="I798" s="401"/>
    </row>
    <row r="799">
      <c r="F799" s="329"/>
      <c r="I799" s="401"/>
    </row>
    <row r="800">
      <c r="F800" s="329"/>
      <c r="I800" s="401"/>
    </row>
    <row r="801">
      <c r="F801" s="329"/>
      <c r="I801" s="401"/>
    </row>
    <row r="802">
      <c r="F802" s="329"/>
      <c r="I802" s="401"/>
    </row>
    <row r="803">
      <c r="F803" s="329"/>
      <c r="I803" s="401"/>
    </row>
    <row r="804">
      <c r="F804" s="329"/>
      <c r="I804" s="401"/>
    </row>
    <row r="805">
      <c r="F805" s="329"/>
      <c r="I805" s="401"/>
    </row>
    <row r="806">
      <c r="F806" s="329"/>
      <c r="I806" s="401"/>
    </row>
    <row r="807">
      <c r="F807" s="329"/>
      <c r="I807" s="401"/>
    </row>
    <row r="808">
      <c r="F808" s="329"/>
      <c r="I808" s="401"/>
    </row>
    <row r="809">
      <c r="F809" s="329"/>
      <c r="I809" s="401"/>
    </row>
    <row r="810">
      <c r="F810" s="329"/>
      <c r="I810" s="401"/>
    </row>
    <row r="811">
      <c r="F811" s="329"/>
      <c r="I811" s="401"/>
    </row>
    <row r="812">
      <c r="F812" s="329"/>
      <c r="I812" s="401"/>
    </row>
    <row r="813">
      <c r="F813" s="329"/>
      <c r="I813" s="401"/>
    </row>
    <row r="814">
      <c r="F814" s="329"/>
      <c r="I814" s="401"/>
    </row>
    <row r="815">
      <c r="F815" s="329"/>
      <c r="I815" s="401"/>
    </row>
    <row r="816">
      <c r="F816" s="329"/>
      <c r="I816" s="401"/>
    </row>
    <row r="817">
      <c r="F817" s="329"/>
      <c r="I817" s="401"/>
    </row>
    <row r="818">
      <c r="F818" s="329"/>
      <c r="I818" s="401"/>
    </row>
    <row r="819">
      <c r="F819" s="329"/>
      <c r="I819" s="401"/>
    </row>
    <row r="820">
      <c r="F820" s="329"/>
      <c r="I820" s="401"/>
    </row>
    <row r="821">
      <c r="F821" s="329"/>
      <c r="I821" s="401"/>
    </row>
    <row r="822">
      <c r="F822" s="329"/>
      <c r="I822" s="401"/>
    </row>
    <row r="823">
      <c r="F823" s="329"/>
      <c r="I823" s="401"/>
    </row>
    <row r="824">
      <c r="F824" s="329"/>
      <c r="I824" s="401"/>
    </row>
    <row r="825">
      <c r="F825" s="329"/>
      <c r="I825" s="401"/>
    </row>
    <row r="826">
      <c r="F826" s="329"/>
      <c r="I826" s="401"/>
    </row>
    <row r="827">
      <c r="F827" s="329"/>
      <c r="I827" s="401"/>
    </row>
    <row r="828">
      <c r="F828" s="329"/>
      <c r="I828" s="401"/>
    </row>
    <row r="829">
      <c r="F829" s="329"/>
      <c r="I829" s="401"/>
    </row>
    <row r="830">
      <c r="F830" s="329"/>
      <c r="I830" s="401"/>
    </row>
    <row r="831">
      <c r="F831" s="329"/>
      <c r="I831" s="401"/>
    </row>
    <row r="832">
      <c r="F832" s="329"/>
      <c r="I832" s="401"/>
    </row>
    <row r="833">
      <c r="F833" s="329"/>
      <c r="I833" s="401"/>
    </row>
    <row r="834">
      <c r="F834" s="329"/>
      <c r="I834" s="401"/>
    </row>
    <row r="835">
      <c r="F835" s="329"/>
      <c r="I835" s="401"/>
    </row>
    <row r="836">
      <c r="F836" s="329"/>
      <c r="I836" s="401"/>
    </row>
    <row r="837">
      <c r="F837" s="329"/>
      <c r="I837" s="401"/>
    </row>
    <row r="838">
      <c r="F838" s="329"/>
      <c r="I838" s="401"/>
    </row>
    <row r="839">
      <c r="F839" s="329"/>
      <c r="I839" s="401"/>
    </row>
    <row r="840">
      <c r="F840" s="329"/>
      <c r="I840" s="401"/>
    </row>
    <row r="841">
      <c r="F841" s="329"/>
      <c r="I841" s="401"/>
    </row>
    <row r="842">
      <c r="F842" s="329"/>
      <c r="I842" s="401"/>
    </row>
    <row r="843">
      <c r="F843" s="329"/>
      <c r="I843" s="401"/>
    </row>
    <row r="844">
      <c r="F844" s="329"/>
      <c r="I844" s="401"/>
    </row>
    <row r="845">
      <c r="F845" s="329"/>
      <c r="I845" s="401"/>
    </row>
    <row r="846">
      <c r="F846" s="329"/>
      <c r="I846" s="401"/>
    </row>
    <row r="847">
      <c r="F847" s="329"/>
      <c r="I847" s="401"/>
    </row>
    <row r="848">
      <c r="F848" s="329"/>
      <c r="I848" s="401"/>
    </row>
    <row r="849">
      <c r="F849" s="329"/>
      <c r="I849" s="401"/>
    </row>
    <row r="850">
      <c r="F850" s="329"/>
      <c r="I850" s="401"/>
    </row>
    <row r="851">
      <c r="F851" s="329"/>
      <c r="I851" s="401"/>
    </row>
    <row r="852">
      <c r="F852" s="329"/>
      <c r="I852" s="401"/>
    </row>
    <row r="853">
      <c r="F853" s="329"/>
      <c r="I853" s="401"/>
    </row>
    <row r="854">
      <c r="F854" s="329"/>
      <c r="I854" s="401"/>
    </row>
    <row r="855">
      <c r="F855" s="329"/>
      <c r="I855" s="401"/>
    </row>
    <row r="856">
      <c r="F856" s="329"/>
      <c r="I856" s="401"/>
    </row>
    <row r="857">
      <c r="F857" s="329"/>
      <c r="I857" s="401"/>
    </row>
    <row r="858">
      <c r="F858" s="329"/>
      <c r="I858" s="401"/>
    </row>
    <row r="859">
      <c r="F859" s="329"/>
      <c r="I859" s="401"/>
    </row>
    <row r="860">
      <c r="F860" s="329"/>
      <c r="I860" s="401"/>
    </row>
    <row r="861">
      <c r="F861" s="329"/>
      <c r="I861" s="401"/>
    </row>
    <row r="862">
      <c r="F862" s="329"/>
      <c r="I862" s="401"/>
    </row>
    <row r="863">
      <c r="F863" s="329"/>
      <c r="I863" s="401"/>
    </row>
    <row r="864">
      <c r="F864" s="329"/>
      <c r="I864" s="401"/>
    </row>
    <row r="865">
      <c r="F865" s="329"/>
      <c r="I865" s="401"/>
    </row>
    <row r="866">
      <c r="F866" s="329"/>
      <c r="I866" s="401"/>
    </row>
    <row r="867">
      <c r="F867" s="329"/>
      <c r="I867" s="401"/>
    </row>
    <row r="868">
      <c r="F868" s="329"/>
      <c r="I868" s="401"/>
    </row>
    <row r="869">
      <c r="F869" s="329"/>
      <c r="I869" s="401"/>
    </row>
    <row r="870">
      <c r="F870" s="329"/>
      <c r="I870" s="401"/>
    </row>
    <row r="871">
      <c r="F871" s="329"/>
      <c r="I871" s="401"/>
    </row>
    <row r="872">
      <c r="F872" s="329"/>
      <c r="I872" s="401"/>
    </row>
    <row r="873">
      <c r="F873" s="329"/>
      <c r="I873" s="401"/>
    </row>
    <row r="874">
      <c r="F874" s="329"/>
      <c r="I874" s="401"/>
    </row>
    <row r="875">
      <c r="F875" s="329"/>
      <c r="I875" s="401"/>
    </row>
    <row r="876">
      <c r="F876" s="329"/>
      <c r="I876" s="401"/>
    </row>
    <row r="877">
      <c r="F877" s="329"/>
      <c r="I877" s="401"/>
    </row>
    <row r="878">
      <c r="F878" s="329"/>
      <c r="I878" s="401"/>
    </row>
    <row r="879">
      <c r="F879" s="329"/>
      <c r="I879" s="401"/>
    </row>
    <row r="880">
      <c r="F880" s="329"/>
      <c r="I880" s="401"/>
    </row>
    <row r="881">
      <c r="F881" s="329"/>
      <c r="I881" s="401"/>
    </row>
    <row r="882">
      <c r="F882" s="329"/>
      <c r="I882" s="401"/>
    </row>
    <row r="883">
      <c r="F883" s="329"/>
      <c r="I883" s="401"/>
    </row>
    <row r="884">
      <c r="F884" s="329"/>
      <c r="I884" s="401"/>
    </row>
    <row r="885">
      <c r="F885" s="329"/>
      <c r="I885" s="401"/>
    </row>
    <row r="886">
      <c r="F886" s="329"/>
      <c r="I886" s="401"/>
    </row>
    <row r="887">
      <c r="F887" s="329"/>
      <c r="I887" s="401"/>
    </row>
    <row r="888">
      <c r="F888" s="329"/>
      <c r="I888" s="401"/>
    </row>
    <row r="889">
      <c r="F889" s="329"/>
      <c r="I889" s="401"/>
    </row>
    <row r="890">
      <c r="F890" s="329"/>
      <c r="I890" s="401"/>
    </row>
    <row r="891">
      <c r="F891" s="329"/>
      <c r="I891" s="401"/>
    </row>
    <row r="892">
      <c r="F892" s="329"/>
      <c r="I892" s="401"/>
    </row>
    <row r="893">
      <c r="F893" s="329"/>
      <c r="I893" s="401"/>
    </row>
    <row r="894">
      <c r="F894" s="329"/>
      <c r="I894" s="401"/>
    </row>
    <row r="895">
      <c r="F895" s="329"/>
      <c r="I895" s="401"/>
    </row>
    <row r="896">
      <c r="F896" s="329"/>
      <c r="I896" s="401"/>
    </row>
    <row r="897">
      <c r="F897" s="329"/>
      <c r="I897" s="401"/>
    </row>
    <row r="898">
      <c r="F898" s="329"/>
      <c r="I898" s="401"/>
    </row>
    <row r="899">
      <c r="F899" s="329"/>
      <c r="I899" s="401"/>
    </row>
    <row r="900">
      <c r="F900" s="329"/>
      <c r="I900" s="401"/>
    </row>
    <row r="901">
      <c r="F901" s="329"/>
      <c r="I901" s="401"/>
    </row>
    <row r="902">
      <c r="F902" s="329"/>
      <c r="I902" s="401"/>
    </row>
    <row r="903">
      <c r="F903" s="329"/>
      <c r="I903" s="401"/>
    </row>
    <row r="904">
      <c r="F904" s="329"/>
      <c r="I904" s="401"/>
    </row>
    <row r="905">
      <c r="F905" s="329"/>
      <c r="I905" s="401"/>
    </row>
    <row r="906">
      <c r="F906" s="329"/>
      <c r="I906" s="401"/>
    </row>
    <row r="907">
      <c r="F907" s="329"/>
      <c r="I907" s="401"/>
    </row>
    <row r="908">
      <c r="F908" s="329"/>
      <c r="I908" s="401"/>
    </row>
    <row r="909">
      <c r="F909" s="329"/>
      <c r="I909" s="401"/>
    </row>
    <row r="910">
      <c r="F910" s="329"/>
      <c r="I910" s="401"/>
    </row>
    <row r="911">
      <c r="F911" s="329"/>
      <c r="I911" s="401"/>
    </row>
    <row r="912">
      <c r="F912" s="329"/>
      <c r="I912" s="401"/>
    </row>
    <row r="913">
      <c r="F913" s="329"/>
      <c r="I913" s="401"/>
    </row>
    <row r="914">
      <c r="F914" s="329"/>
      <c r="I914" s="401"/>
    </row>
    <row r="915">
      <c r="F915" s="329"/>
      <c r="I915" s="401"/>
    </row>
    <row r="916">
      <c r="F916" s="329"/>
      <c r="I916" s="401"/>
    </row>
    <row r="917">
      <c r="F917" s="329"/>
      <c r="I917" s="401"/>
    </row>
    <row r="918">
      <c r="F918" s="329"/>
      <c r="I918" s="401"/>
    </row>
    <row r="919">
      <c r="F919" s="329"/>
      <c r="I919" s="401"/>
    </row>
    <row r="920">
      <c r="F920" s="329"/>
      <c r="I920" s="401"/>
    </row>
    <row r="921">
      <c r="F921" s="329"/>
      <c r="I921" s="401"/>
    </row>
    <row r="922">
      <c r="F922" s="329"/>
      <c r="I922" s="401"/>
    </row>
    <row r="923">
      <c r="F923" s="329"/>
      <c r="I923" s="401"/>
    </row>
    <row r="924">
      <c r="F924" s="329"/>
      <c r="I924" s="401"/>
    </row>
    <row r="925">
      <c r="F925" s="329"/>
      <c r="I925" s="401"/>
    </row>
    <row r="926">
      <c r="F926" s="329"/>
      <c r="I926" s="401"/>
    </row>
    <row r="927">
      <c r="F927" s="329"/>
      <c r="I927" s="401"/>
    </row>
    <row r="928">
      <c r="F928" s="329"/>
      <c r="I928" s="401"/>
    </row>
    <row r="929">
      <c r="F929" s="329"/>
      <c r="I929" s="401"/>
    </row>
    <row r="930">
      <c r="F930" s="329"/>
      <c r="I930" s="401"/>
    </row>
    <row r="931">
      <c r="F931" s="329"/>
      <c r="I931" s="401"/>
    </row>
    <row r="932">
      <c r="F932" s="329"/>
      <c r="I932" s="401"/>
    </row>
    <row r="933">
      <c r="F933" s="329"/>
      <c r="I933" s="401"/>
    </row>
    <row r="934">
      <c r="F934" s="329"/>
      <c r="I934" s="401"/>
    </row>
    <row r="935">
      <c r="F935" s="329"/>
      <c r="I935" s="401"/>
    </row>
    <row r="936">
      <c r="F936" s="329"/>
      <c r="I936" s="401"/>
    </row>
    <row r="937">
      <c r="F937" s="329"/>
      <c r="I937" s="401"/>
    </row>
    <row r="938">
      <c r="F938" s="329"/>
      <c r="I938" s="401"/>
    </row>
    <row r="939">
      <c r="F939" s="329"/>
      <c r="I939" s="401"/>
    </row>
    <row r="940">
      <c r="F940" s="329"/>
      <c r="I940" s="401"/>
    </row>
    <row r="941">
      <c r="F941" s="329"/>
      <c r="I941" s="401"/>
    </row>
    <row r="942">
      <c r="F942" s="329"/>
      <c r="I942" s="401"/>
    </row>
    <row r="943">
      <c r="F943" s="329"/>
      <c r="I943" s="401"/>
    </row>
    <row r="944">
      <c r="F944" s="329"/>
      <c r="I944" s="401"/>
    </row>
    <row r="945">
      <c r="F945" s="329"/>
      <c r="I945" s="401"/>
    </row>
    <row r="946">
      <c r="F946" s="329"/>
      <c r="I946" s="401"/>
    </row>
    <row r="947">
      <c r="F947" s="329"/>
      <c r="I947" s="401"/>
    </row>
    <row r="948">
      <c r="F948" s="329"/>
      <c r="I948" s="401"/>
    </row>
    <row r="949">
      <c r="F949" s="329"/>
      <c r="I949" s="401"/>
    </row>
    <row r="950">
      <c r="F950" s="329"/>
      <c r="I950" s="401"/>
    </row>
    <row r="951">
      <c r="F951" s="329"/>
      <c r="I951" s="401"/>
    </row>
    <row r="952">
      <c r="F952" s="329"/>
      <c r="I952" s="401"/>
    </row>
    <row r="953">
      <c r="F953" s="329"/>
      <c r="I953" s="401"/>
    </row>
    <row r="954">
      <c r="F954" s="329"/>
      <c r="I954" s="401"/>
    </row>
    <row r="955">
      <c r="F955" s="329"/>
      <c r="I955" s="401"/>
    </row>
    <row r="956">
      <c r="F956" s="329"/>
      <c r="I956" s="401"/>
    </row>
    <row r="957">
      <c r="F957" s="329"/>
      <c r="I957" s="401"/>
    </row>
    <row r="958">
      <c r="F958" s="329"/>
      <c r="I958" s="401"/>
    </row>
    <row r="959">
      <c r="F959" s="329"/>
      <c r="I959" s="401"/>
    </row>
    <row r="960">
      <c r="F960" s="329"/>
      <c r="I960" s="401"/>
    </row>
    <row r="961">
      <c r="F961" s="329"/>
      <c r="I961" s="401"/>
    </row>
    <row r="962">
      <c r="F962" s="329"/>
      <c r="I962" s="401"/>
    </row>
    <row r="963">
      <c r="F963" s="329"/>
      <c r="I963" s="401"/>
    </row>
    <row r="964">
      <c r="F964" s="329"/>
      <c r="I964" s="401"/>
    </row>
    <row r="965">
      <c r="F965" s="329"/>
      <c r="I965" s="401"/>
    </row>
    <row r="966">
      <c r="F966" s="329"/>
      <c r="I966" s="401"/>
    </row>
    <row r="967">
      <c r="F967" s="329"/>
      <c r="I967" s="401"/>
    </row>
    <row r="968">
      <c r="F968" s="329"/>
      <c r="I968" s="401"/>
    </row>
    <row r="969">
      <c r="F969" s="329"/>
      <c r="I969" s="401"/>
    </row>
    <row r="970">
      <c r="F970" s="329"/>
      <c r="I970" s="401"/>
    </row>
    <row r="971">
      <c r="F971" s="329"/>
      <c r="I971" s="401"/>
    </row>
    <row r="972">
      <c r="F972" s="329"/>
      <c r="I972" s="401"/>
    </row>
    <row r="973">
      <c r="F973" s="329"/>
      <c r="I973" s="401"/>
    </row>
    <row r="974">
      <c r="F974" s="329"/>
      <c r="I974" s="401"/>
    </row>
    <row r="975">
      <c r="F975" s="329"/>
      <c r="I975" s="401"/>
    </row>
    <row r="976">
      <c r="F976" s="329"/>
      <c r="I976" s="401"/>
    </row>
    <row r="977">
      <c r="F977" s="329"/>
      <c r="I977" s="401"/>
    </row>
    <row r="978">
      <c r="F978" s="329"/>
      <c r="I978" s="401"/>
    </row>
    <row r="979">
      <c r="F979" s="329"/>
      <c r="I979" s="401"/>
    </row>
    <row r="980">
      <c r="F980" s="329"/>
      <c r="I980" s="401"/>
    </row>
    <row r="981">
      <c r="F981" s="329"/>
      <c r="I981" s="401"/>
    </row>
    <row r="982">
      <c r="F982" s="329"/>
      <c r="I982" s="401"/>
    </row>
    <row r="983">
      <c r="F983" s="329"/>
      <c r="I983" s="401"/>
    </row>
    <row r="984">
      <c r="F984" s="329"/>
      <c r="I984" s="401"/>
    </row>
    <row r="985">
      <c r="F985" s="329"/>
      <c r="I985" s="401"/>
    </row>
    <row r="986">
      <c r="F986" s="329"/>
      <c r="I986" s="401"/>
    </row>
    <row r="987">
      <c r="F987" s="329"/>
      <c r="I987" s="401"/>
    </row>
    <row r="988">
      <c r="F988" s="329"/>
      <c r="I988" s="401"/>
    </row>
    <row r="989">
      <c r="F989" s="329"/>
      <c r="I989" s="401"/>
    </row>
    <row r="990">
      <c r="F990" s="329"/>
      <c r="I990" s="401"/>
    </row>
    <row r="991">
      <c r="F991" s="329"/>
      <c r="I991" s="401"/>
    </row>
    <row r="992">
      <c r="F992" s="329"/>
      <c r="I992" s="401"/>
    </row>
    <row r="993">
      <c r="F993" s="329"/>
      <c r="I993" s="401"/>
    </row>
    <row r="994">
      <c r="F994" s="329"/>
      <c r="I994" s="401"/>
    </row>
    <row r="995">
      <c r="F995" s="329"/>
      <c r="I995" s="401"/>
    </row>
    <row r="996">
      <c r="F996" s="329"/>
      <c r="I996" s="401"/>
    </row>
    <row r="997">
      <c r="F997" s="329"/>
      <c r="I997" s="401"/>
    </row>
    <row r="998">
      <c r="F998" s="329"/>
      <c r="I998" s="401"/>
    </row>
    <row r="999">
      <c r="F999" s="329"/>
      <c r="I999" s="401"/>
    </row>
    <row r="1000">
      <c r="F1000" s="329"/>
      <c r="I1000" s="401"/>
    </row>
    <row r="1001">
      <c r="F1001" s="329"/>
      <c r="I1001" s="401"/>
    </row>
    <row r="1002">
      <c r="F1002" s="329"/>
      <c r="I1002" s="401"/>
    </row>
    <row r="1003">
      <c r="F1003" s="329"/>
      <c r="I1003" s="401"/>
    </row>
    <row r="1004">
      <c r="F1004" s="329"/>
      <c r="I1004" s="401"/>
    </row>
    <row r="1005">
      <c r="F1005" s="329"/>
      <c r="I1005" s="401"/>
    </row>
  </sheetData>
  <customSheetViews>
    <customSheetView guid="{9D2F5B4C-BA7D-479C-B7FF-4F2FBA79609E}" filter="1" showAutoFilter="1">
      <autoFilter ref="$D$1:$D$1005">
        <filterColumn colId="0">
          <filters>
            <filter val="0506613222"/>
            <filter val="0501738024"/>
            <filter val="0509129085"/>
            <filter val="0503430024"/>
            <filter val="0508880751"/>
            <filter val="0505598309"/>
            <filter val="0502759200"/>
            <filter val="0506407028"/>
            <filter val="0508426041"/>
            <filter val="0506091103"/>
            <filter val="0502241317"/>
            <filter val="0502739070"/>
          </filters>
        </filterColumn>
      </autoFilter>
    </customSheetView>
    <customSheetView guid="{3F517011-DA5E-46BD-A2D4-296A5DF083B2}" filter="1" showAutoFilter="1">
      <autoFilter ref="$D$1:$D$1005">
        <filterColumn colId="0">
          <filters>
            <filter val="0555382936"/>
            <filter val="0556008681"/>
            <filter val="0551700205"/>
          </filters>
        </filterColumn>
      </autoFilter>
    </customSheetView>
  </customSheetViews>
  <hyperlinks>
    <hyperlink r:id="rId1" ref="E3"/>
    <hyperlink r:id="rId2" ref="E5"/>
    <hyperlink r:id="rId3" ref="E6"/>
    <hyperlink r:id="rId4" ref="E7"/>
    <hyperlink r:id="rId5" ref="E9"/>
    <hyperlink r:id="rId6" ref="E15"/>
    <hyperlink r:id="rId7" ref="E16"/>
    <hyperlink r:id="rId8" ref="E17"/>
    <hyperlink r:id="rId9" ref="E20"/>
    <hyperlink r:id="rId10" ref="I20"/>
    <hyperlink r:id="rId11" ref="E21"/>
    <hyperlink r:id="rId12" ref="E22"/>
    <hyperlink r:id="rId13" ref="E23"/>
    <hyperlink r:id="rId14" ref="E24"/>
    <hyperlink r:id="rId15" ref="E25"/>
    <hyperlink r:id="rId16" ref="E26"/>
    <hyperlink r:id="rId17" ref="E27"/>
    <hyperlink r:id="rId18" ref="E28"/>
    <hyperlink r:id="rId19" ref="E30"/>
    <hyperlink r:id="rId20" ref="E32"/>
    <hyperlink r:id="rId21" ref="E33"/>
    <hyperlink r:id="rId22" ref="E34"/>
    <hyperlink r:id="rId23" ref="I34"/>
    <hyperlink r:id="rId24" ref="E36"/>
    <hyperlink r:id="rId25" ref="E41"/>
    <hyperlink r:id="rId26" ref="E42"/>
    <hyperlink r:id="rId27" ref="E45"/>
    <hyperlink r:id="rId28" ref="E47"/>
    <hyperlink r:id="rId29" ref="E48"/>
    <hyperlink r:id="rId30" ref="E49"/>
    <hyperlink r:id="rId31" ref="E53"/>
    <hyperlink r:id="rId32" ref="E54"/>
    <hyperlink r:id="rId33" ref="E55"/>
    <hyperlink r:id="rId34" ref="E58"/>
    <hyperlink r:id="rId35" ref="I58"/>
    <hyperlink r:id="rId36" ref="E59"/>
    <hyperlink r:id="rId37" ref="E60"/>
    <hyperlink r:id="rId38" ref="E62"/>
    <hyperlink r:id="rId39" ref="E63"/>
    <hyperlink r:id="rId40" ref="E65"/>
    <hyperlink r:id="rId41" ref="I65"/>
    <hyperlink r:id="rId42" ref="E68"/>
    <hyperlink r:id="rId43" ref="E71"/>
    <hyperlink r:id="rId44" ref="E72"/>
    <hyperlink r:id="rId45" ref="E74"/>
    <hyperlink r:id="rId46" ref="E75"/>
    <hyperlink r:id="rId47" ref="E77"/>
    <hyperlink r:id="rId48" ref="E78"/>
    <hyperlink r:id="rId49" ref="E79"/>
    <hyperlink r:id="rId50" ref="E80"/>
    <hyperlink r:id="rId51" ref="E84"/>
    <hyperlink r:id="rId52" ref="E85"/>
    <hyperlink r:id="rId53" ref="E86"/>
    <hyperlink r:id="rId54" ref="E87"/>
    <hyperlink r:id="rId55" ref="E89"/>
    <hyperlink r:id="rId56" ref="E90"/>
    <hyperlink r:id="rId57" ref="E91"/>
    <hyperlink r:id="rId58" ref="E92"/>
    <hyperlink r:id="rId59" ref="E94"/>
    <hyperlink r:id="rId60" ref="E95"/>
    <hyperlink r:id="rId61" ref="E98"/>
    <hyperlink r:id="rId62" ref="E101"/>
    <hyperlink r:id="rId63" ref="E102"/>
    <hyperlink r:id="rId64" ref="E104"/>
    <hyperlink r:id="rId65" ref="E105"/>
    <hyperlink r:id="rId66" ref="E106"/>
    <hyperlink r:id="rId67" ref="E107"/>
    <hyperlink r:id="rId68" ref="E108"/>
    <hyperlink r:id="rId69" ref="E109"/>
    <hyperlink r:id="rId70" ref="E110"/>
    <hyperlink r:id="rId71" ref="E112"/>
    <hyperlink r:id="rId72" ref="E113"/>
    <hyperlink r:id="rId73" ref="E114"/>
    <hyperlink r:id="rId74" ref="I116"/>
    <hyperlink r:id="rId75" ref="E118"/>
    <hyperlink r:id="rId76" ref="E119"/>
    <hyperlink r:id="rId77" ref="E120"/>
    <hyperlink r:id="rId78" ref="E123"/>
  </hyperlinks>
  <drawing r:id="rId7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6.57"/>
    <col customWidth="1" min="4" max="4" width="23.43"/>
    <col customWidth="1" min="5" max="5" width="30.57"/>
    <col customWidth="1" min="6" max="6" width="10.29"/>
    <col customWidth="1" min="7" max="7" width="8.57"/>
    <col customWidth="1" min="8" max="8" width="11.43"/>
  </cols>
  <sheetData>
    <row r="1">
      <c r="A1" s="385" t="s">
        <v>0</v>
      </c>
      <c r="B1" s="386" t="s">
        <v>1</v>
      </c>
      <c r="C1" s="386" t="s">
        <v>1817</v>
      </c>
      <c r="D1" s="431" t="s">
        <v>2</v>
      </c>
      <c r="E1" s="386" t="s">
        <v>3</v>
      </c>
      <c r="F1" s="386" t="s">
        <v>4</v>
      </c>
      <c r="G1" s="386"/>
      <c r="H1" s="386" t="s">
        <v>6</v>
      </c>
      <c r="I1" s="387" t="s">
        <v>8</v>
      </c>
      <c r="J1" s="386" t="s">
        <v>9</v>
      </c>
      <c r="K1" s="391"/>
      <c r="L1" s="106"/>
      <c r="M1" s="106"/>
      <c r="N1" s="106"/>
      <c r="O1" s="106"/>
      <c r="P1" s="106"/>
      <c r="Q1" s="106"/>
      <c r="R1" s="106"/>
      <c r="S1" s="106"/>
      <c r="T1" s="106"/>
      <c r="U1" s="106"/>
      <c r="V1" s="106"/>
      <c r="W1" s="106"/>
      <c r="X1" s="106"/>
      <c r="Y1" s="106"/>
      <c r="Z1" s="106"/>
      <c r="AA1" s="106"/>
      <c r="AB1" s="106"/>
      <c r="AC1" s="106"/>
      <c r="AD1" s="106"/>
      <c r="AE1" s="106"/>
      <c r="AF1" s="106"/>
      <c r="AG1" s="106"/>
    </row>
    <row r="2">
      <c r="A2" s="433">
        <v>43254.0</v>
      </c>
      <c r="D2" s="38"/>
    </row>
    <row r="3">
      <c r="A3" s="434"/>
      <c r="B3" s="415" t="s">
        <v>2634</v>
      </c>
      <c r="D3" s="75" t="s">
        <v>2770</v>
      </c>
      <c r="E3" s="257" t="s">
        <v>2636</v>
      </c>
      <c r="F3" s="36" t="s">
        <v>2293</v>
      </c>
      <c r="I3" s="257" t="s">
        <v>2779</v>
      </c>
      <c r="J3" s="36" t="s">
        <v>158</v>
      </c>
    </row>
    <row r="4">
      <c r="A4" s="433">
        <v>43255.0</v>
      </c>
      <c r="D4" s="38"/>
    </row>
    <row r="5">
      <c r="A5" s="434"/>
      <c r="B5" s="394" t="s">
        <v>2803</v>
      </c>
      <c r="D5" s="75" t="s">
        <v>2806</v>
      </c>
      <c r="E5" s="398" t="s">
        <v>2808</v>
      </c>
      <c r="I5" s="394" t="s">
        <v>2814</v>
      </c>
    </row>
    <row r="6">
      <c r="A6" s="434"/>
      <c r="B6" s="394" t="s">
        <v>2817</v>
      </c>
      <c r="D6" s="42" t="s">
        <v>2818</v>
      </c>
      <c r="E6" s="398" t="s">
        <v>2820</v>
      </c>
      <c r="I6" s="436" t="s">
        <v>2829</v>
      </c>
    </row>
    <row r="7">
      <c r="A7" s="434"/>
      <c r="B7" s="394" t="s">
        <v>2834</v>
      </c>
      <c r="D7" s="42" t="s">
        <v>2835</v>
      </c>
      <c r="E7" s="398" t="s">
        <v>2836</v>
      </c>
      <c r="I7" s="437" t="s">
        <v>2842</v>
      </c>
    </row>
    <row r="8">
      <c r="A8" s="433">
        <v>43256.0</v>
      </c>
      <c r="D8" s="38"/>
    </row>
    <row r="9">
      <c r="A9" s="434"/>
      <c r="B9" s="424" t="s">
        <v>2843</v>
      </c>
      <c r="D9" s="75" t="s">
        <v>2845</v>
      </c>
      <c r="E9" s="425" t="s">
        <v>2846</v>
      </c>
      <c r="F9" s="36" t="s">
        <v>2848</v>
      </c>
    </row>
    <row r="10">
      <c r="A10" s="434"/>
      <c r="B10" s="394" t="s">
        <v>2849</v>
      </c>
      <c r="D10" s="42" t="s">
        <v>2850</v>
      </c>
      <c r="E10" s="398" t="s">
        <v>2851</v>
      </c>
      <c r="F10" s="36" t="s">
        <v>2283</v>
      </c>
      <c r="G10" s="36"/>
      <c r="H10" s="36" t="s">
        <v>2333</v>
      </c>
      <c r="I10" s="36" t="s">
        <v>2756</v>
      </c>
    </row>
    <row r="11">
      <c r="A11" s="433">
        <v>43257.0</v>
      </c>
      <c r="D11" s="38"/>
    </row>
    <row r="12">
      <c r="A12" s="434"/>
      <c r="B12" s="117" t="s">
        <v>2853</v>
      </c>
      <c r="D12" s="42" t="s">
        <v>2854</v>
      </c>
      <c r="E12" s="257" t="s">
        <v>2855</v>
      </c>
      <c r="I12" s="445" t="s">
        <v>2859</v>
      </c>
    </row>
    <row r="13">
      <c r="A13" s="433">
        <v>43258.0</v>
      </c>
      <c r="D13" s="38"/>
    </row>
    <row r="14">
      <c r="A14" s="434"/>
      <c r="B14" s="117" t="s">
        <v>2653</v>
      </c>
      <c r="D14" s="75" t="s">
        <v>2878</v>
      </c>
      <c r="E14" s="257" t="s">
        <v>2879</v>
      </c>
      <c r="I14" s="446" t="s">
        <v>2882</v>
      </c>
    </row>
    <row r="15">
      <c r="A15" s="434"/>
      <c r="B15" s="394" t="s">
        <v>2883</v>
      </c>
      <c r="D15" s="42" t="s">
        <v>2884</v>
      </c>
      <c r="E15" s="398" t="s">
        <v>2885</v>
      </c>
      <c r="F15" s="36" t="s">
        <v>2283</v>
      </c>
      <c r="I15" s="437" t="s">
        <v>2886</v>
      </c>
      <c r="J15" s="36" t="s">
        <v>2887</v>
      </c>
    </row>
    <row r="16">
      <c r="A16" s="434"/>
      <c r="B16" s="394" t="s">
        <v>2888</v>
      </c>
      <c r="D16" s="75" t="s">
        <v>2889</v>
      </c>
      <c r="E16" s="398" t="s">
        <v>2890</v>
      </c>
      <c r="F16" s="36" t="s">
        <v>2283</v>
      </c>
      <c r="I16" s="362" t="s">
        <v>249</v>
      </c>
    </row>
    <row r="17">
      <c r="A17" s="434"/>
      <c r="B17" s="394" t="s">
        <v>2914</v>
      </c>
      <c r="D17" s="75" t="s">
        <v>2915</v>
      </c>
      <c r="E17" s="398" t="s">
        <v>2916</v>
      </c>
      <c r="F17" s="36" t="s">
        <v>2283</v>
      </c>
      <c r="G17" s="36"/>
      <c r="H17" s="36" t="s">
        <v>2284</v>
      </c>
      <c r="J17" s="36" t="s">
        <v>54</v>
      </c>
    </row>
    <row r="18">
      <c r="A18" s="434"/>
      <c r="B18" s="394" t="s">
        <v>2922</v>
      </c>
      <c r="D18" s="42" t="s">
        <v>2924</v>
      </c>
      <c r="E18" s="398" t="s">
        <v>2926</v>
      </c>
      <c r="F18" s="36" t="s">
        <v>2283</v>
      </c>
      <c r="G18" s="36"/>
      <c r="H18" s="36" t="s">
        <v>2284</v>
      </c>
      <c r="I18" s="362" t="s">
        <v>2931</v>
      </c>
      <c r="J18" s="36" t="s">
        <v>54</v>
      </c>
    </row>
    <row r="19">
      <c r="A19" s="434"/>
      <c r="B19" s="394" t="s">
        <v>2940</v>
      </c>
      <c r="D19" s="449">
        <v>5.06647084E8</v>
      </c>
      <c r="E19" s="398" t="s">
        <v>2944</v>
      </c>
      <c r="F19" s="36" t="s">
        <v>2283</v>
      </c>
      <c r="G19" s="36"/>
      <c r="H19" s="36" t="s">
        <v>2284</v>
      </c>
      <c r="I19" s="36" t="s">
        <v>2949</v>
      </c>
      <c r="J19" s="36" t="s">
        <v>32</v>
      </c>
    </row>
    <row r="20">
      <c r="A20" s="434"/>
      <c r="B20" s="117" t="s">
        <v>2953</v>
      </c>
      <c r="D20" s="95">
        <f>971528110521</f>
        <v>971528110521</v>
      </c>
      <c r="E20" s="257" t="s">
        <v>2955</v>
      </c>
      <c r="F20" s="36" t="s">
        <v>2293</v>
      </c>
      <c r="G20" s="36"/>
      <c r="H20" s="36" t="s">
        <v>2284</v>
      </c>
      <c r="I20" s="312" t="s">
        <v>2582</v>
      </c>
      <c r="J20" s="36" t="s">
        <v>32</v>
      </c>
    </row>
    <row r="21">
      <c r="A21" s="434"/>
      <c r="B21" s="394" t="s">
        <v>2961</v>
      </c>
      <c r="D21" s="75" t="s">
        <v>2962</v>
      </c>
      <c r="E21" s="398" t="s">
        <v>2964</v>
      </c>
      <c r="F21" s="36" t="s">
        <v>2283</v>
      </c>
      <c r="G21" s="36"/>
      <c r="H21" s="36" t="s">
        <v>2284</v>
      </c>
      <c r="I21" s="437" t="s">
        <v>2582</v>
      </c>
      <c r="J21" s="36" t="s">
        <v>32</v>
      </c>
    </row>
    <row r="22">
      <c r="A22" s="433">
        <v>43259.0</v>
      </c>
      <c r="D22" s="38"/>
    </row>
    <row r="23">
      <c r="A23" s="434"/>
      <c r="B23" s="222" t="s">
        <v>2971</v>
      </c>
      <c r="D23" s="42" t="s">
        <v>2972</v>
      </c>
      <c r="E23" s="403" t="s">
        <v>2973</v>
      </c>
      <c r="F23" s="364" t="s">
        <v>2440</v>
      </c>
      <c r="G23" s="364"/>
      <c r="H23" s="364" t="s">
        <v>2284</v>
      </c>
      <c r="I23" s="346" t="s">
        <v>2979</v>
      </c>
    </row>
    <row r="24">
      <c r="A24" s="434"/>
      <c r="B24" s="394" t="s">
        <v>2933</v>
      </c>
      <c r="D24" s="42" t="s">
        <v>2983</v>
      </c>
      <c r="E24" s="398" t="s">
        <v>2935</v>
      </c>
      <c r="F24" s="36" t="s">
        <v>2283</v>
      </c>
      <c r="G24" s="36"/>
      <c r="H24" s="36" t="s">
        <v>2284</v>
      </c>
      <c r="I24" s="394" t="s">
        <v>2989</v>
      </c>
    </row>
    <row r="25">
      <c r="A25" s="434"/>
      <c r="B25" s="394" t="s">
        <v>2992</v>
      </c>
      <c r="D25" s="42" t="s">
        <v>2994</v>
      </c>
      <c r="E25" s="398" t="s">
        <v>2997</v>
      </c>
      <c r="F25" s="36" t="s">
        <v>2283</v>
      </c>
      <c r="G25" s="36"/>
      <c r="H25" s="36" t="s">
        <v>2284</v>
      </c>
      <c r="I25" s="240" t="s">
        <v>3001</v>
      </c>
    </row>
    <row r="26">
      <c r="A26" s="433">
        <v>43261.0</v>
      </c>
      <c r="D26" s="38"/>
    </row>
    <row r="27">
      <c r="A27" s="434"/>
      <c r="B27" s="36" t="s">
        <v>2653</v>
      </c>
      <c r="D27" s="42" t="s">
        <v>3004</v>
      </c>
      <c r="E27" s="257" t="s">
        <v>3005</v>
      </c>
      <c r="F27" s="36" t="s">
        <v>2293</v>
      </c>
      <c r="G27" s="36"/>
      <c r="H27" s="36" t="s">
        <v>2284</v>
      </c>
      <c r="I27" s="36" t="s">
        <v>2628</v>
      </c>
      <c r="K27" s="36" t="s">
        <v>3010</v>
      </c>
    </row>
    <row r="28">
      <c r="A28" s="434"/>
      <c r="B28" s="394" t="s">
        <v>2933</v>
      </c>
      <c r="D28" s="42" t="s">
        <v>2983</v>
      </c>
      <c r="E28" s="117" t="s">
        <v>3013</v>
      </c>
      <c r="F28" s="36" t="s">
        <v>2283</v>
      </c>
      <c r="G28" s="36"/>
      <c r="H28" s="36" t="s">
        <v>2284</v>
      </c>
      <c r="I28" s="36" t="s">
        <v>3015</v>
      </c>
    </row>
    <row r="29">
      <c r="A29" s="434"/>
      <c r="B29" s="394" t="s">
        <v>3016</v>
      </c>
      <c r="D29" s="42" t="s">
        <v>3017</v>
      </c>
      <c r="E29" s="398" t="s">
        <v>3018</v>
      </c>
      <c r="F29" s="36" t="s">
        <v>2283</v>
      </c>
      <c r="G29" s="36"/>
      <c r="H29" s="36" t="s">
        <v>2284</v>
      </c>
      <c r="I29" s="240" t="s">
        <v>3001</v>
      </c>
      <c r="J29" s="36" t="s">
        <v>32</v>
      </c>
    </row>
    <row r="30">
      <c r="A30" s="434"/>
      <c r="B30" s="394" t="s">
        <v>3026</v>
      </c>
      <c r="D30" s="449">
        <v>5.03424421E8</v>
      </c>
      <c r="E30" s="398" t="s">
        <v>3028</v>
      </c>
      <c r="F30" s="36" t="s">
        <v>2283</v>
      </c>
      <c r="G30" s="36"/>
      <c r="H30" s="36" t="s">
        <v>2333</v>
      </c>
      <c r="I30" s="36" t="s">
        <v>3038</v>
      </c>
    </row>
    <row r="31">
      <c r="A31" s="433">
        <v>43262.0</v>
      </c>
      <c r="D31" s="38"/>
    </row>
    <row r="32">
      <c r="A32" s="434"/>
      <c r="B32" s="222" t="s">
        <v>3039</v>
      </c>
      <c r="D32" s="38"/>
      <c r="E32" s="403" t="s">
        <v>3040</v>
      </c>
      <c r="F32" s="364" t="s">
        <v>2440</v>
      </c>
      <c r="G32" s="364"/>
      <c r="H32" s="364" t="s">
        <v>2284</v>
      </c>
      <c r="I32" s="36" t="s">
        <v>3045</v>
      </c>
      <c r="J32" s="36" t="s">
        <v>54</v>
      </c>
    </row>
    <row r="33">
      <c r="A33" s="433">
        <v>43264.0</v>
      </c>
      <c r="D33" s="38"/>
    </row>
    <row r="34">
      <c r="A34" s="434"/>
      <c r="B34" s="394" t="s">
        <v>3046</v>
      </c>
      <c r="D34" s="42" t="s">
        <v>3047</v>
      </c>
      <c r="E34" s="398" t="s">
        <v>3048</v>
      </c>
      <c r="F34" s="36" t="s">
        <v>2283</v>
      </c>
      <c r="G34" s="36"/>
      <c r="H34" s="36" t="s">
        <v>2528</v>
      </c>
      <c r="I34" s="36" t="s">
        <v>3050</v>
      </c>
      <c r="J34" s="36" t="s">
        <v>32</v>
      </c>
    </row>
    <row r="35">
      <c r="A35" s="434"/>
      <c r="B35" s="394" t="s">
        <v>3051</v>
      </c>
      <c r="D35" s="42" t="s">
        <v>3052</v>
      </c>
      <c r="E35" s="398" t="s">
        <v>3054</v>
      </c>
      <c r="F35" s="36" t="s">
        <v>2283</v>
      </c>
      <c r="G35" s="36"/>
      <c r="H35" s="36" t="s">
        <v>2284</v>
      </c>
      <c r="I35" s="240" t="s">
        <v>3063</v>
      </c>
      <c r="J35" s="36" t="s">
        <v>54</v>
      </c>
    </row>
    <row r="36">
      <c r="A36" s="434"/>
      <c r="B36" s="36" t="s">
        <v>54</v>
      </c>
      <c r="D36" s="42" t="s">
        <v>3064</v>
      </c>
      <c r="E36" s="398" t="s">
        <v>3065</v>
      </c>
      <c r="F36" s="36" t="s">
        <v>2283</v>
      </c>
      <c r="G36" s="36"/>
      <c r="H36" s="36" t="s">
        <v>2284</v>
      </c>
      <c r="I36" s="240" t="s">
        <v>2329</v>
      </c>
      <c r="J36" s="36" t="s">
        <v>32</v>
      </c>
    </row>
    <row r="37">
      <c r="A37" s="434"/>
      <c r="B37" s="394" t="s">
        <v>3046</v>
      </c>
      <c r="D37" s="42" t="s">
        <v>3047</v>
      </c>
      <c r="E37" s="398" t="s">
        <v>3048</v>
      </c>
      <c r="F37" s="36" t="s">
        <v>2283</v>
      </c>
      <c r="G37" s="36"/>
      <c r="H37" s="36" t="s">
        <v>2528</v>
      </c>
      <c r="I37" s="36" t="s">
        <v>3077</v>
      </c>
    </row>
    <row r="38">
      <c r="A38" s="433">
        <v>43269.0</v>
      </c>
      <c r="D38" s="38"/>
    </row>
    <row r="39">
      <c r="A39" s="434"/>
      <c r="B39" s="394" t="s">
        <v>3078</v>
      </c>
      <c r="D39" s="42" t="s">
        <v>3080</v>
      </c>
      <c r="E39" s="398" t="s">
        <v>3082</v>
      </c>
      <c r="F39" s="36" t="s">
        <v>2283</v>
      </c>
      <c r="G39" s="36"/>
      <c r="H39" s="36" t="s">
        <v>2284</v>
      </c>
      <c r="I39" s="437" t="s">
        <v>3090</v>
      </c>
      <c r="J39" s="36" t="s">
        <v>32</v>
      </c>
    </row>
    <row r="40">
      <c r="A40" s="434"/>
      <c r="B40" s="394" t="s">
        <v>3091</v>
      </c>
      <c r="D40" s="75" t="s">
        <v>3092</v>
      </c>
      <c r="E40" s="398" t="s">
        <v>3093</v>
      </c>
      <c r="F40" s="36" t="s">
        <v>2283</v>
      </c>
      <c r="G40" s="36"/>
      <c r="H40" s="36" t="s">
        <v>2333</v>
      </c>
      <c r="I40" s="36" t="s">
        <v>3098</v>
      </c>
    </row>
    <row r="41">
      <c r="A41" s="433">
        <v>43270.0</v>
      </c>
      <c r="D41" s="38"/>
      <c r="F41" s="166"/>
      <c r="G41" s="166"/>
      <c r="H41" s="166"/>
    </row>
    <row r="42">
      <c r="A42" s="434"/>
      <c r="B42" s="394" t="s">
        <v>3099</v>
      </c>
      <c r="D42" s="75" t="s">
        <v>3100</v>
      </c>
      <c r="E42" s="398" t="s">
        <v>3101</v>
      </c>
      <c r="F42" s="63" t="s">
        <v>2283</v>
      </c>
      <c r="G42" s="63"/>
      <c r="H42" s="63" t="s">
        <v>2284</v>
      </c>
      <c r="I42" s="117" t="s">
        <v>2648</v>
      </c>
    </row>
    <row r="43">
      <c r="A43" s="434"/>
      <c r="B43" s="222" t="s">
        <v>3108</v>
      </c>
      <c r="D43" s="38"/>
      <c r="E43" s="403" t="s">
        <v>3109</v>
      </c>
      <c r="F43" s="364" t="s">
        <v>2440</v>
      </c>
      <c r="G43" s="364"/>
      <c r="H43" s="364" t="s">
        <v>2284</v>
      </c>
      <c r="I43" s="36" t="s">
        <v>599</v>
      </c>
      <c r="J43" s="36" t="s">
        <v>32</v>
      </c>
    </row>
    <row r="44">
      <c r="A44" s="434"/>
      <c r="B44" s="222" t="s">
        <v>3116</v>
      </c>
      <c r="D44" s="42" t="s">
        <v>3118</v>
      </c>
      <c r="E44" s="403" t="s">
        <v>3119</v>
      </c>
      <c r="F44" s="364" t="s">
        <v>2440</v>
      </c>
      <c r="G44" s="364"/>
      <c r="H44" s="364" t="s">
        <v>2333</v>
      </c>
      <c r="I44" s="222" t="s">
        <v>3123</v>
      </c>
      <c r="J44" s="36" t="s">
        <v>32</v>
      </c>
    </row>
    <row r="45">
      <c r="A45" s="433">
        <v>43271.0</v>
      </c>
      <c r="D45" s="38"/>
      <c r="I45" s="452"/>
    </row>
    <row r="46">
      <c r="A46" s="434"/>
      <c r="B46" s="36" t="s">
        <v>3124</v>
      </c>
      <c r="D46" s="75" t="s">
        <v>3125</v>
      </c>
      <c r="E46" s="257" t="s">
        <v>3129</v>
      </c>
      <c r="F46" s="36" t="s">
        <v>2293</v>
      </c>
      <c r="G46" s="36"/>
      <c r="H46" s="36" t="s">
        <v>2333</v>
      </c>
      <c r="I46" s="36" t="s">
        <v>3027</v>
      </c>
    </row>
    <row r="47">
      <c r="A47" s="434"/>
      <c r="B47" s="394" t="s">
        <v>3134</v>
      </c>
      <c r="C47" s="36" t="s">
        <v>9</v>
      </c>
      <c r="D47" s="42" t="s">
        <v>3137</v>
      </c>
      <c r="E47" s="398" t="s">
        <v>3139</v>
      </c>
      <c r="F47" s="36" t="s">
        <v>2283</v>
      </c>
      <c r="G47" s="36"/>
      <c r="H47" s="36" t="s">
        <v>2333</v>
      </c>
      <c r="I47" s="36" t="s">
        <v>2334</v>
      </c>
    </row>
    <row r="48">
      <c r="A48" s="433">
        <v>43272.0</v>
      </c>
      <c r="B48" s="394"/>
      <c r="D48" s="38"/>
    </row>
    <row r="49">
      <c r="A49" s="434"/>
      <c r="B49" s="394" t="s">
        <v>2512</v>
      </c>
      <c r="D49" s="42" t="s">
        <v>2513</v>
      </c>
      <c r="E49" s="398" t="s">
        <v>3150</v>
      </c>
      <c r="F49" s="36" t="s">
        <v>2283</v>
      </c>
      <c r="I49" s="362" t="s">
        <v>3156</v>
      </c>
    </row>
    <row r="50">
      <c r="A50" s="434"/>
      <c r="B50" s="315" t="s">
        <v>3164</v>
      </c>
      <c r="D50" s="75" t="s">
        <v>3165</v>
      </c>
      <c r="E50" s="425" t="s">
        <v>3167</v>
      </c>
      <c r="F50" s="456" t="s">
        <v>2923</v>
      </c>
      <c r="G50" s="456" t="s">
        <v>139</v>
      </c>
    </row>
    <row r="51">
      <c r="A51" s="433">
        <v>43274.0</v>
      </c>
      <c r="D51" s="38"/>
    </row>
    <row r="52">
      <c r="A52" s="434"/>
      <c r="B52" s="394" t="s">
        <v>3176</v>
      </c>
      <c r="D52" s="19">
        <v>6.1825635566E10</v>
      </c>
      <c r="E52" s="398" t="s">
        <v>3177</v>
      </c>
      <c r="F52" s="36" t="s">
        <v>2283</v>
      </c>
      <c r="G52" s="36"/>
      <c r="H52" s="36" t="s">
        <v>2333</v>
      </c>
      <c r="I52" s="396" t="s">
        <v>3038</v>
      </c>
      <c r="J52" s="36" t="s">
        <v>2311</v>
      </c>
    </row>
    <row r="53">
      <c r="A53" s="434"/>
      <c r="B53" s="299" t="s">
        <v>3185</v>
      </c>
      <c r="D53" s="95">
        <f>971547840228</f>
        <v>971547840228</v>
      </c>
      <c r="E53" s="124" t="s">
        <v>3191</v>
      </c>
      <c r="F53" s="370" t="s">
        <v>2324</v>
      </c>
      <c r="G53" s="370"/>
      <c r="H53" s="370" t="s">
        <v>2284</v>
      </c>
      <c r="I53" s="396" t="s">
        <v>3195</v>
      </c>
      <c r="K53" s="36" t="s">
        <v>3197</v>
      </c>
    </row>
    <row r="54">
      <c r="A54" s="434"/>
      <c r="B54" s="394" t="s">
        <v>3046</v>
      </c>
      <c r="D54" s="42" t="s">
        <v>3047</v>
      </c>
      <c r="E54" s="398" t="s">
        <v>3048</v>
      </c>
      <c r="F54" s="36" t="s">
        <v>2283</v>
      </c>
      <c r="G54" s="36"/>
      <c r="H54" s="36" t="s">
        <v>2528</v>
      </c>
      <c r="I54" s="396" t="s">
        <v>3199</v>
      </c>
      <c r="J54" s="36" t="s">
        <v>803</v>
      </c>
    </row>
    <row r="55">
      <c r="A55" s="434"/>
      <c r="B55" s="36" t="s">
        <v>3200</v>
      </c>
      <c r="D55" s="457">
        <v>9.71507017016E11</v>
      </c>
      <c r="E55" s="403" t="s">
        <v>3201</v>
      </c>
      <c r="F55" s="364" t="s">
        <v>2440</v>
      </c>
      <c r="G55" s="364"/>
      <c r="H55" s="364" t="s">
        <v>2284</v>
      </c>
      <c r="I55" s="432" t="s">
        <v>2533</v>
      </c>
      <c r="J55" s="36" t="s">
        <v>158</v>
      </c>
    </row>
    <row r="56">
      <c r="A56" s="434"/>
      <c r="B56" s="394" t="s">
        <v>3205</v>
      </c>
      <c r="D56" s="42" t="s">
        <v>3206</v>
      </c>
      <c r="E56" s="398" t="s">
        <v>3207</v>
      </c>
      <c r="F56" s="36" t="s">
        <v>2283</v>
      </c>
      <c r="G56" s="36"/>
      <c r="H56" s="36" t="s">
        <v>2284</v>
      </c>
      <c r="I56" s="432" t="s">
        <v>2533</v>
      </c>
      <c r="J56" s="36" t="s">
        <v>158</v>
      </c>
    </row>
    <row r="57">
      <c r="A57" s="434"/>
      <c r="B57" s="315" t="s">
        <v>3214</v>
      </c>
      <c r="D57" s="75" t="s">
        <v>3215</v>
      </c>
      <c r="E57" s="425" t="s">
        <v>3216</v>
      </c>
      <c r="F57" s="456" t="s">
        <v>2923</v>
      </c>
      <c r="G57" s="456" t="s">
        <v>1931</v>
      </c>
      <c r="I57" s="401"/>
    </row>
    <row r="58">
      <c r="A58" s="434"/>
      <c r="B58" s="394" t="s">
        <v>3225</v>
      </c>
      <c r="D58" s="42" t="s">
        <v>3226</v>
      </c>
      <c r="E58" s="398" t="s">
        <v>3227</v>
      </c>
      <c r="F58" s="36" t="s">
        <v>2283</v>
      </c>
      <c r="G58" s="36"/>
      <c r="H58" s="36" t="s">
        <v>2528</v>
      </c>
      <c r="I58" s="442" t="s">
        <v>2772</v>
      </c>
      <c r="J58" s="36" t="s">
        <v>54</v>
      </c>
    </row>
    <row r="59">
      <c r="A59" s="434"/>
      <c r="B59" s="394" t="s">
        <v>2594</v>
      </c>
      <c r="D59" s="75" t="s">
        <v>2595</v>
      </c>
      <c r="E59" s="398" t="s">
        <v>2357</v>
      </c>
      <c r="F59" s="36" t="s">
        <v>2283</v>
      </c>
      <c r="I59" s="442" t="s">
        <v>3243</v>
      </c>
      <c r="J59" s="36" t="s">
        <v>3244</v>
      </c>
    </row>
    <row r="60">
      <c r="A60" s="434"/>
      <c r="B60" s="117" t="s">
        <v>3245</v>
      </c>
      <c r="D60" s="38"/>
      <c r="F60" s="456" t="s">
        <v>2923</v>
      </c>
      <c r="G60" s="460" t="s">
        <v>3247</v>
      </c>
      <c r="I60" s="414" t="s">
        <v>3252</v>
      </c>
      <c r="J60" s="289"/>
      <c r="K60" s="289" t="s">
        <v>3253</v>
      </c>
    </row>
    <row r="61">
      <c r="A61" s="434"/>
      <c r="B61" s="117" t="s">
        <v>3254</v>
      </c>
      <c r="D61" s="75" t="s">
        <v>3255</v>
      </c>
      <c r="E61" s="257" t="s">
        <v>3256</v>
      </c>
      <c r="F61" s="36" t="s">
        <v>2293</v>
      </c>
      <c r="I61" s="257" t="s">
        <v>3262</v>
      </c>
    </row>
    <row r="62">
      <c r="A62" s="433">
        <v>43275.0</v>
      </c>
      <c r="D62" s="38"/>
    </row>
    <row r="63">
      <c r="A63" s="434"/>
      <c r="B63" s="299" t="s">
        <v>3274</v>
      </c>
      <c r="D63" s="42" t="s">
        <v>3275</v>
      </c>
      <c r="E63" s="253" t="s">
        <v>3276</v>
      </c>
      <c r="F63" s="370" t="s">
        <v>2324</v>
      </c>
      <c r="G63" s="465"/>
      <c r="H63" s="370" t="s">
        <v>2284</v>
      </c>
      <c r="I63" s="36" t="s">
        <v>3277</v>
      </c>
      <c r="J63" s="36" t="s">
        <v>54</v>
      </c>
    </row>
    <row r="64">
      <c r="A64" s="434"/>
      <c r="B64" s="117" t="s">
        <v>3279</v>
      </c>
      <c r="D64" s="42" t="s">
        <v>3281</v>
      </c>
      <c r="E64" s="257" t="s">
        <v>3283</v>
      </c>
      <c r="F64" s="36" t="s">
        <v>2293</v>
      </c>
      <c r="I64" s="445" t="s">
        <v>3284</v>
      </c>
      <c r="J64" s="36" t="s">
        <v>158</v>
      </c>
    </row>
    <row r="65">
      <c r="A65" s="433">
        <v>43276.0</v>
      </c>
      <c r="D65" s="38"/>
    </row>
    <row r="66">
      <c r="A66" s="434"/>
      <c r="B66" s="299" t="s">
        <v>3293</v>
      </c>
      <c r="D66" s="75" t="s">
        <v>3294</v>
      </c>
      <c r="E66" s="253" t="s">
        <v>3295</v>
      </c>
      <c r="F66" s="370" t="s">
        <v>2324</v>
      </c>
      <c r="G66" s="465"/>
      <c r="H66" s="370" t="s">
        <v>2284</v>
      </c>
      <c r="I66" s="36" t="s">
        <v>3296</v>
      </c>
      <c r="J66" s="36" t="s">
        <v>158</v>
      </c>
    </row>
    <row r="67">
      <c r="A67" s="434"/>
      <c r="B67" s="394" t="s">
        <v>3297</v>
      </c>
      <c r="D67" s="42" t="s">
        <v>3298</v>
      </c>
      <c r="E67" s="398" t="s">
        <v>3299</v>
      </c>
      <c r="F67" s="36" t="s">
        <v>2283</v>
      </c>
    </row>
    <row r="68">
      <c r="A68" s="434"/>
      <c r="B68" s="222" t="s">
        <v>3300</v>
      </c>
      <c r="D68" s="42" t="s">
        <v>3301</v>
      </c>
      <c r="E68" s="36" t="s">
        <v>3302</v>
      </c>
      <c r="F68" s="364" t="s">
        <v>2440</v>
      </c>
      <c r="G68" s="405"/>
      <c r="H68" s="364" t="s">
        <v>2284</v>
      </c>
      <c r="I68" s="346" t="s">
        <v>3303</v>
      </c>
      <c r="J68" s="36" t="s">
        <v>32</v>
      </c>
    </row>
    <row r="69">
      <c r="A69" s="434"/>
      <c r="B69" s="394" t="s">
        <v>3304</v>
      </c>
      <c r="D69" s="42" t="s">
        <v>3305</v>
      </c>
      <c r="E69" s="398" t="s">
        <v>3306</v>
      </c>
      <c r="F69" s="36" t="s">
        <v>2283</v>
      </c>
      <c r="H69" s="36" t="s">
        <v>2342</v>
      </c>
      <c r="I69" s="36" t="s">
        <v>3307</v>
      </c>
      <c r="J69" s="36" t="s">
        <v>54</v>
      </c>
    </row>
    <row r="70">
      <c r="A70" s="434"/>
      <c r="B70" s="394" t="s">
        <v>3308</v>
      </c>
      <c r="D70" s="42" t="s">
        <v>3309</v>
      </c>
      <c r="E70" s="398" t="s">
        <v>3310</v>
      </c>
      <c r="F70" s="36" t="s">
        <v>2283</v>
      </c>
      <c r="H70" s="36" t="s">
        <v>2333</v>
      </c>
      <c r="I70" s="36" t="s">
        <v>3311</v>
      </c>
      <c r="J70" s="36" t="s">
        <v>2311</v>
      </c>
    </row>
    <row r="71">
      <c r="A71" s="433">
        <v>43157.0</v>
      </c>
      <c r="D71" s="38"/>
    </row>
    <row r="72">
      <c r="A72" s="434"/>
      <c r="B72" s="394" t="s">
        <v>3312</v>
      </c>
      <c r="D72" s="75" t="s">
        <v>3313</v>
      </c>
      <c r="E72" s="398" t="s">
        <v>3314</v>
      </c>
      <c r="F72" s="36" t="s">
        <v>2283</v>
      </c>
      <c r="H72" s="36" t="s">
        <v>2528</v>
      </c>
      <c r="I72" s="437" t="s">
        <v>3315</v>
      </c>
      <c r="J72" s="36" t="s">
        <v>32</v>
      </c>
    </row>
    <row r="73">
      <c r="A73" s="434"/>
      <c r="B73" s="466" t="s">
        <v>3316</v>
      </c>
      <c r="D73" s="42" t="s">
        <v>3317</v>
      </c>
      <c r="E73" s="257" t="s">
        <v>3318</v>
      </c>
      <c r="F73" s="36" t="s">
        <v>2293</v>
      </c>
      <c r="I73" s="445" t="s">
        <v>3319</v>
      </c>
      <c r="J73" s="36" t="s">
        <v>158</v>
      </c>
    </row>
    <row r="74">
      <c r="A74" s="433">
        <v>43158.0</v>
      </c>
      <c r="D74" s="38"/>
    </row>
    <row r="75">
      <c r="A75" s="434"/>
      <c r="B75" s="394" t="s">
        <v>2012</v>
      </c>
      <c r="D75" s="42" t="s">
        <v>3320</v>
      </c>
      <c r="E75" s="398" t="s">
        <v>3321</v>
      </c>
      <c r="F75" s="36" t="s">
        <v>2283</v>
      </c>
      <c r="H75" s="36" t="s">
        <v>2342</v>
      </c>
      <c r="I75" s="36" t="s">
        <v>3307</v>
      </c>
      <c r="J75" s="36" t="s">
        <v>54</v>
      </c>
    </row>
    <row r="76">
      <c r="A76" s="434"/>
      <c r="B76" s="117" t="s">
        <v>3322</v>
      </c>
      <c r="D76" s="75" t="s">
        <v>3323</v>
      </c>
      <c r="E76" s="257" t="s">
        <v>3324</v>
      </c>
      <c r="F76" s="36" t="s">
        <v>2293</v>
      </c>
      <c r="I76" s="257" t="s">
        <v>2844</v>
      </c>
      <c r="J76" s="36" t="s">
        <v>32</v>
      </c>
    </row>
    <row r="77">
      <c r="A77" s="434"/>
      <c r="B77" s="394" t="s">
        <v>3325</v>
      </c>
      <c r="D77" s="42" t="s">
        <v>3326</v>
      </c>
      <c r="E77" s="398" t="s">
        <v>3327</v>
      </c>
      <c r="F77" s="36" t="s">
        <v>2283</v>
      </c>
      <c r="H77" s="36" t="s">
        <v>2284</v>
      </c>
      <c r="I77" s="36" t="s">
        <v>3328</v>
      </c>
      <c r="J77" s="36" t="s">
        <v>32</v>
      </c>
    </row>
    <row r="78">
      <c r="A78" s="434"/>
      <c r="B78" s="117" t="s">
        <v>3329</v>
      </c>
      <c r="D78" s="75" t="s">
        <v>3330</v>
      </c>
      <c r="E78" s="257" t="s">
        <v>3331</v>
      </c>
      <c r="F78" s="36" t="s">
        <v>2293</v>
      </c>
      <c r="I78" s="257" t="s">
        <v>3332</v>
      </c>
    </row>
    <row r="79">
      <c r="A79" s="433">
        <v>43159.0</v>
      </c>
      <c r="D79" s="38"/>
    </row>
    <row r="80">
      <c r="A80" s="434"/>
      <c r="B80" s="394" t="s">
        <v>3333</v>
      </c>
      <c r="D80" s="42" t="s">
        <v>3334</v>
      </c>
      <c r="E80" s="398" t="s">
        <v>3335</v>
      </c>
      <c r="I80" s="36" t="s">
        <v>3336</v>
      </c>
    </row>
    <row r="81">
      <c r="A81" s="434"/>
      <c r="B81" s="394" t="s">
        <v>3304</v>
      </c>
      <c r="D81" s="42" t="s">
        <v>3305</v>
      </c>
      <c r="E81" s="398" t="s">
        <v>3306</v>
      </c>
      <c r="I81" s="36" t="s">
        <v>3307</v>
      </c>
      <c r="J81" s="36" t="s">
        <v>54</v>
      </c>
    </row>
    <row r="82">
      <c r="A82" s="433">
        <v>43281.0</v>
      </c>
      <c r="D82" s="38"/>
      <c r="F82" s="166"/>
      <c r="G82" s="166"/>
    </row>
    <row r="83">
      <c r="A83" s="434"/>
      <c r="B83" s="413" t="s">
        <v>3337</v>
      </c>
      <c r="D83" s="75" t="s">
        <v>3338</v>
      </c>
      <c r="E83" s="413" t="s">
        <v>3339</v>
      </c>
      <c r="F83" s="63" t="s">
        <v>3340</v>
      </c>
      <c r="G83" s="166"/>
    </row>
    <row r="84">
      <c r="A84" s="434"/>
      <c r="B84" s="222" t="s">
        <v>3341</v>
      </c>
      <c r="D84" s="42" t="s">
        <v>3342</v>
      </c>
      <c r="E84" s="403" t="s">
        <v>3343</v>
      </c>
      <c r="F84" s="364" t="s">
        <v>2440</v>
      </c>
      <c r="H84" s="364" t="s">
        <v>2342</v>
      </c>
      <c r="I84" s="36" t="s">
        <v>3307</v>
      </c>
      <c r="J84" s="36" t="s">
        <v>54</v>
      </c>
    </row>
    <row r="85">
      <c r="A85" s="434"/>
      <c r="B85" s="394" t="s">
        <v>3344</v>
      </c>
      <c r="D85" s="42" t="s">
        <v>3345</v>
      </c>
      <c r="E85" s="398" t="s">
        <v>3346</v>
      </c>
      <c r="I85" s="36" t="s">
        <v>3347</v>
      </c>
    </row>
    <row r="86">
      <c r="A86" s="434"/>
      <c r="B86" s="117" t="s">
        <v>3348</v>
      </c>
      <c r="D86" s="42" t="s">
        <v>3349</v>
      </c>
      <c r="E86" s="257" t="s">
        <v>3350</v>
      </c>
      <c r="F86" s="36" t="s">
        <v>2293</v>
      </c>
      <c r="H86" s="36" t="s">
        <v>2284</v>
      </c>
      <c r="I86" s="36" t="s">
        <v>3351</v>
      </c>
      <c r="J86" s="36" t="s">
        <v>54</v>
      </c>
    </row>
    <row r="87">
      <c r="A87" s="434"/>
      <c r="B87" s="117" t="s">
        <v>3352</v>
      </c>
      <c r="D87" s="42" t="s">
        <v>3353</v>
      </c>
      <c r="E87" s="257" t="s">
        <v>3354</v>
      </c>
      <c r="F87" s="36" t="s">
        <v>2293</v>
      </c>
      <c r="H87" s="36" t="s">
        <v>2284</v>
      </c>
      <c r="I87" s="36" t="s">
        <v>3336</v>
      </c>
    </row>
    <row r="88">
      <c r="A88" s="434"/>
      <c r="B88" s="394" t="s">
        <v>3355</v>
      </c>
      <c r="D88" s="42" t="s">
        <v>3356</v>
      </c>
      <c r="E88" s="398" t="s">
        <v>3357</v>
      </c>
      <c r="F88" s="36" t="s">
        <v>2283</v>
      </c>
      <c r="H88" s="36" t="s">
        <v>2284</v>
      </c>
      <c r="I88" s="36" t="s">
        <v>3358</v>
      </c>
      <c r="J88" s="36" t="s">
        <v>54</v>
      </c>
    </row>
    <row r="89">
      <c r="A89" s="434"/>
      <c r="D89" s="38"/>
    </row>
    <row r="90">
      <c r="A90" s="434"/>
      <c r="D90" s="38"/>
    </row>
    <row r="91">
      <c r="A91" s="434"/>
      <c r="D91" s="38"/>
    </row>
    <row r="92">
      <c r="A92" s="434"/>
      <c r="D92" s="38"/>
    </row>
    <row r="93">
      <c r="A93" s="434"/>
      <c r="D93" s="38"/>
    </row>
    <row r="94">
      <c r="A94" s="434"/>
      <c r="D94" s="38"/>
    </row>
    <row r="95">
      <c r="A95" s="434"/>
      <c r="D95" s="38"/>
    </row>
    <row r="96">
      <c r="A96" s="434"/>
      <c r="D96" s="38"/>
    </row>
    <row r="97">
      <c r="A97" s="434"/>
      <c r="D97" s="38"/>
    </row>
    <row r="98">
      <c r="A98" s="434"/>
      <c r="D98" s="38"/>
    </row>
    <row r="99">
      <c r="A99" s="434"/>
      <c r="D99" s="38"/>
    </row>
    <row r="100">
      <c r="A100" s="434"/>
      <c r="D100" s="38"/>
    </row>
    <row r="101">
      <c r="A101" s="434"/>
      <c r="D101" s="38"/>
    </row>
    <row r="102">
      <c r="A102" s="434"/>
      <c r="D102" s="38"/>
    </row>
    <row r="103">
      <c r="A103" s="434"/>
      <c r="D103" s="38"/>
    </row>
    <row r="104">
      <c r="A104" s="434"/>
      <c r="D104" s="38"/>
    </row>
    <row r="105">
      <c r="A105" s="434"/>
      <c r="D105" s="38"/>
    </row>
    <row r="106">
      <c r="A106" s="434"/>
      <c r="D106" s="38"/>
    </row>
    <row r="107">
      <c r="A107" s="434"/>
      <c r="D107" s="38"/>
    </row>
    <row r="108">
      <c r="A108" s="434"/>
      <c r="D108" s="38"/>
    </row>
    <row r="109">
      <c r="A109" s="434"/>
      <c r="D109" s="38"/>
    </row>
    <row r="110">
      <c r="A110" s="434"/>
      <c r="D110" s="38"/>
    </row>
    <row r="111">
      <c r="A111" s="434"/>
      <c r="D111" s="38"/>
    </row>
    <row r="112">
      <c r="A112" s="434"/>
      <c r="D112" s="38"/>
    </row>
    <row r="113">
      <c r="A113" s="434"/>
      <c r="D113" s="38"/>
    </row>
    <row r="114">
      <c r="A114" s="434"/>
      <c r="D114" s="38"/>
    </row>
    <row r="115">
      <c r="A115" s="434"/>
      <c r="D115" s="38"/>
    </row>
    <row r="116">
      <c r="A116" s="434"/>
      <c r="D116" s="38"/>
    </row>
    <row r="117">
      <c r="A117" s="434"/>
      <c r="D117" s="38"/>
    </row>
    <row r="118">
      <c r="A118" s="434"/>
      <c r="D118" s="38"/>
    </row>
    <row r="119">
      <c r="A119" s="434"/>
      <c r="D119" s="38"/>
    </row>
    <row r="120">
      <c r="A120" s="434"/>
      <c r="D120" s="38"/>
    </row>
    <row r="121">
      <c r="A121" s="434"/>
      <c r="D121" s="38"/>
    </row>
    <row r="122">
      <c r="A122" s="434"/>
      <c r="D122" s="38"/>
    </row>
    <row r="123">
      <c r="A123" s="434"/>
      <c r="D123" s="38"/>
    </row>
    <row r="124">
      <c r="A124" s="434"/>
      <c r="D124" s="38"/>
    </row>
    <row r="125">
      <c r="A125" s="434"/>
      <c r="D125" s="38"/>
    </row>
    <row r="126">
      <c r="A126" s="434"/>
      <c r="D126" s="38"/>
    </row>
    <row r="127">
      <c r="A127" s="434"/>
      <c r="D127" s="38"/>
    </row>
    <row r="128">
      <c r="A128" s="434"/>
      <c r="D128" s="38"/>
    </row>
    <row r="129">
      <c r="A129" s="434"/>
      <c r="D129" s="38"/>
    </row>
    <row r="130">
      <c r="A130" s="434"/>
      <c r="D130" s="38"/>
    </row>
    <row r="131">
      <c r="A131" s="434"/>
      <c r="D131" s="38"/>
    </row>
    <row r="132">
      <c r="A132" s="434"/>
      <c r="D132" s="38"/>
    </row>
    <row r="133">
      <c r="A133" s="434"/>
      <c r="D133" s="38"/>
    </row>
    <row r="134">
      <c r="A134" s="434"/>
      <c r="D134" s="38"/>
    </row>
    <row r="135">
      <c r="A135" s="434"/>
      <c r="D135" s="38"/>
    </row>
    <row r="136">
      <c r="A136" s="434"/>
      <c r="D136" s="38"/>
    </row>
    <row r="137">
      <c r="A137" s="434"/>
      <c r="D137" s="38"/>
    </row>
    <row r="138">
      <c r="A138" s="434"/>
      <c r="D138" s="38"/>
    </row>
    <row r="139">
      <c r="A139" s="434"/>
      <c r="D139" s="38"/>
    </row>
    <row r="140">
      <c r="A140" s="434"/>
      <c r="D140" s="38"/>
    </row>
    <row r="141">
      <c r="A141" s="434"/>
      <c r="D141" s="38"/>
    </row>
    <row r="142">
      <c r="A142" s="434"/>
      <c r="D142" s="38"/>
    </row>
    <row r="143">
      <c r="A143" s="434"/>
      <c r="D143" s="38"/>
    </row>
    <row r="144">
      <c r="A144" s="434"/>
      <c r="D144" s="38"/>
    </row>
    <row r="145">
      <c r="A145" s="434"/>
      <c r="D145" s="38"/>
    </row>
    <row r="146">
      <c r="A146" s="434"/>
      <c r="D146" s="38"/>
    </row>
    <row r="147">
      <c r="A147" s="434"/>
      <c r="D147" s="38"/>
    </row>
    <row r="148">
      <c r="A148" s="434"/>
      <c r="D148" s="38"/>
    </row>
    <row r="149">
      <c r="A149" s="434"/>
      <c r="D149" s="38"/>
    </row>
    <row r="150">
      <c r="A150" s="434"/>
      <c r="D150" s="38"/>
    </row>
    <row r="151">
      <c r="A151" s="434"/>
      <c r="D151" s="38"/>
    </row>
    <row r="152">
      <c r="A152" s="434"/>
      <c r="D152" s="38"/>
    </row>
    <row r="153">
      <c r="A153" s="434"/>
      <c r="D153" s="38"/>
    </row>
    <row r="154">
      <c r="A154" s="434"/>
      <c r="D154" s="38"/>
    </row>
    <row r="155">
      <c r="A155" s="434"/>
      <c r="D155" s="38"/>
    </row>
    <row r="156">
      <c r="A156" s="434"/>
      <c r="D156" s="38"/>
    </row>
    <row r="157">
      <c r="A157" s="434"/>
      <c r="D157" s="38"/>
    </row>
    <row r="158">
      <c r="A158" s="434"/>
      <c r="D158" s="38"/>
    </row>
    <row r="159">
      <c r="A159" s="434"/>
      <c r="D159" s="38"/>
    </row>
    <row r="160">
      <c r="A160" s="434"/>
      <c r="D160" s="38"/>
    </row>
    <row r="161">
      <c r="A161" s="434"/>
      <c r="D161" s="38"/>
    </row>
    <row r="162">
      <c r="A162" s="434"/>
      <c r="D162" s="38"/>
    </row>
    <row r="163">
      <c r="A163" s="434"/>
      <c r="D163" s="38"/>
    </row>
    <row r="164">
      <c r="A164" s="434"/>
      <c r="D164" s="38"/>
    </row>
    <row r="165">
      <c r="A165" s="434"/>
      <c r="D165" s="38"/>
    </row>
    <row r="166">
      <c r="A166" s="434"/>
      <c r="D166" s="38"/>
    </row>
    <row r="167">
      <c r="A167" s="434"/>
      <c r="D167" s="38"/>
    </row>
    <row r="168">
      <c r="A168" s="434"/>
      <c r="D168" s="38"/>
    </row>
    <row r="169">
      <c r="A169" s="434"/>
      <c r="D169" s="38"/>
    </row>
    <row r="170">
      <c r="A170" s="434"/>
      <c r="D170" s="38"/>
    </row>
    <row r="171">
      <c r="A171" s="434"/>
      <c r="D171" s="38"/>
    </row>
    <row r="172">
      <c r="A172" s="434"/>
      <c r="D172" s="38"/>
    </row>
    <row r="173">
      <c r="A173" s="434"/>
      <c r="D173" s="38"/>
    </row>
    <row r="174">
      <c r="A174" s="434"/>
      <c r="D174" s="38"/>
    </row>
    <row r="175">
      <c r="A175" s="434"/>
      <c r="D175" s="38"/>
    </row>
    <row r="176">
      <c r="A176" s="434"/>
      <c r="D176" s="38"/>
    </row>
    <row r="177">
      <c r="A177" s="434"/>
      <c r="D177" s="38"/>
    </row>
    <row r="178">
      <c r="A178" s="434"/>
      <c r="D178" s="38"/>
    </row>
    <row r="179">
      <c r="A179" s="434"/>
      <c r="D179" s="38"/>
    </row>
    <row r="180">
      <c r="A180" s="434"/>
      <c r="D180" s="38"/>
    </row>
    <row r="181">
      <c r="A181" s="434"/>
      <c r="D181" s="38"/>
    </row>
    <row r="182">
      <c r="A182" s="434"/>
      <c r="D182" s="38"/>
    </row>
    <row r="183">
      <c r="A183" s="434"/>
      <c r="D183" s="38"/>
    </row>
    <row r="184">
      <c r="A184" s="434"/>
      <c r="D184" s="38"/>
    </row>
    <row r="185">
      <c r="A185" s="434"/>
      <c r="D185" s="38"/>
    </row>
    <row r="186">
      <c r="A186" s="434"/>
      <c r="D186" s="38"/>
    </row>
    <row r="187">
      <c r="A187" s="434"/>
      <c r="D187" s="38"/>
    </row>
    <row r="188">
      <c r="A188" s="434"/>
      <c r="D188" s="38"/>
    </row>
    <row r="189">
      <c r="A189" s="434"/>
      <c r="D189" s="38"/>
    </row>
    <row r="190">
      <c r="A190" s="434"/>
      <c r="D190" s="38"/>
    </row>
    <row r="191">
      <c r="A191" s="434"/>
      <c r="D191" s="38"/>
    </row>
    <row r="192">
      <c r="A192" s="434"/>
      <c r="D192" s="38"/>
    </row>
    <row r="193">
      <c r="A193" s="434"/>
      <c r="D193" s="38"/>
    </row>
    <row r="194">
      <c r="A194" s="434"/>
      <c r="D194" s="38"/>
    </row>
    <row r="195">
      <c r="A195" s="434"/>
      <c r="D195" s="38"/>
    </row>
    <row r="196">
      <c r="A196" s="434"/>
      <c r="D196" s="38"/>
    </row>
    <row r="197">
      <c r="A197" s="434"/>
      <c r="D197" s="38"/>
    </row>
    <row r="198">
      <c r="A198" s="434"/>
      <c r="D198" s="38"/>
    </row>
    <row r="199">
      <c r="A199" s="434"/>
      <c r="D199" s="38"/>
    </row>
    <row r="200">
      <c r="A200" s="434"/>
      <c r="D200" s="38"/>
    </row>
    <row r="201">
      <c r="A201" s="434"/>
      <c r="D201" s="38"/>
    </row>
    <row r="202">
      <c r="A202" s="434"/>
      <c r="D202" s="38"/>
    </row>
    <row r="203">
      <c r="A203" s="434"/>
      <c r="D203" s="38"/>
    </row>
    <row r="204">
      <c r="A204" s="434"/>
      <c r="D204" s="38"/>
    </row>
    <row r="205">
      <c r="A205" s="434"/>
      <c r="D205" s="38"/>
    </row>
    <row r="206">
      <c r="A206" s="434"/>
      <c r="D206" s="38"/>
    </row>
    <row r="207">
      <c r="A207" s="434"/>
      <c r="D207" s="38"/>
    </row>
    <row r="208">
      <c r="A208" s="434"/>
      <c r="D208" s="38"/>
    </row>
    <row r="209">
      <c r="A209" s="434"/>
      <c r="D209" s="38"/>
    </row>
    <row r="210">
      <c r="A210" s="434"/>
      <c r="D210" s="38"/>
    </row>
    <row r="211">
      <c r="A211" s="434"/>
      <c r="D211" s="38"/>
    </row>
    <row r="212">
      <c r="A212" s="434"/>
      <c r="D212" s="38"/>
    </row>
    <row r="213">
      <c r="A213" s="434"/>
      <c r="D213" s="38"/>
    </row>
    <row r="214">
      <c r="A214" s="434"/>
      <c r="D214" s="38"/>
    </row>
    <row r="215">
      <c r="A215" s="434"/>
      <c r="D215" s="38"/>
    </row>
    <row r="216">
      <c r="A216" s="434"/>
      <c r="D216" s="38"/>
    </row>
    <row r="217">
      <c r="A217" s="434"/>
      <c r="D217" s="38"/>
    </row>
    <row r="218">
      <c r="A218" s="434"/>
      <c r="D218" s="38"/>
    </row>
    <row r="219">
      <c r="A219" s="434"/>
      <c r="D219" s="38"/>
    </row>
    <row r="220">
      <c r="A220" s="434"/>
      <c r="D220" s="38"/>
    </row>
    <row r="221">
      <c r="A221" s="434"/>
      <c r="D221" s="38"/>
    </row>
    <row r="222">
      <c r="A222" s="434"/>
      <c r="D222" s="38"/>
    </row>
    <row r="223">
      <c r="A223" s="434"/>
      <c r="D223" s="38"/>
    </row>
    <row r="224">
      <c r="A224" s="434"/>
      <c r="D224" s="38"/>
    </row>
    <row r="225">
      <c r="A225" s="434"/>
      <c r="D225" s="38"/>
    </row>
    <row r="226">
      <c r="A226" s="434"/>
      <c r="D226" s="38"/>
    </row>
    <row r="227">
      <c r="A227" s="434"/>
      <c r="D227" s="38"/>
    </row>
    <row r="228">
      <c r="A228" s="434"/>
      <c r="D228" s="38"/>
    </row>
    <row r="229">
      <c r="A229" s="434"/>
      <c r="D229" s="38"/>
    </row>
    <row r="230">
      <c r="A230" s="434"/>
      <c r="D230" s="38"/>
    </row>
    <row r="231">
      <c r="A231" s="434"/>
      <c r="D231" s="38"/>
    </row>
    <row r="232">
      <c r="A232" s="434"/>
      <c r="D232" s="38"/>
    </row>
    <row r="233">
      <c r="A233" s="434"/>
      <c r="D233" s="38"/>
    </row>
    <row r="234">
      <c r="A234" s="434"/>
      <c r="D234" s="38"/>
    </row>
    <row r="235">
      <c r="A235" s="434"/>
      <c r="D235" s="38"/>
    </row>
    <row r="236">
      <c r="A236" s="434"/>
      <c r="D236" s="38"/>
    </row>
    <row r="237">
      <c r="A237" s="434"/>
      <c r="D237" s="38"/>
    </row>
    <row r="238">
      <c r="A238" s="434"/>
      <c r="D238" s="38"/>
    </row>
    <row r="239">
      <c r="A239" s="434"/>
      <c r="D239" s="38"/>
    </row>
    <row r="240">
      <c r="A240" s="434"/>
      <c r="D240" s="38"/>
    </row>
    <row r="241">
      <c r="A241" s="434"/>
      <c r="D241" s="38"/>
    </row>
    <row r="242">
      <c r="A242" s="434"/>
      <c r="D242" s="38"/>
    </row>
    <row r="243">
      <c r="A243" s="434"/>
      <c r="D243" s="38"/>
    </row>
    <row r="244">
      <c r="A244" s="434"/>
      <c r="D244" s="38"/>
    </row>
    <row r="245">
      <c r="A245" s="434"/>
      <c r="D245" s="38"/>
    </row>
    <row r="246">
      <c r="A246" s="434"/>
      <c r="D246" s="38"/>
    </row>
    <row r="247">
      <c r="A247" s="434"/>
      <c r="D247" s="38"/>
    </row>
    <row r="248">
      <c r="A248" s="434"/>
      <c r="D248" s="38"/>
    </row>
    <row r="249">
      <c r="A249" s="434"/>
      <c r="D249" s="38"/>
    </row>
    <row r="250">
      <c r="A250" s="434"/>
      <c r="D250" s="38"/>
    </row>
    <row r="251">
      <c r="A251" s="434"/>
      <c r="D251" s="38"/>
    </row>
    <row r="252">
      <c r="A252" s="434"/>
      <c r="D252" s="38"/>
    </row>
    <row r="253">
      <c r="A253" s="434"/>
      <c r="D253" s="38"/>
    </row>
    <row r="254">
      <c r="A254" s="434"/>
      <c r="D254" s="38"/>
    </row>
    <row r="255">
      <c r="A255" s="434"/>
      <c r="D255" s="38"/>
    </row>
    <row r="256">
      <c r="A256" s="434"/>
      <c r="D256" s="38"/>
    </row>
    <row r="257">
      <c r="A257" s="434"/>
      <c r="D257" s="38"/>
    </row>
    <row r="258">
      <c r="A258" s="434"/>
      <c r="D258" s="38"/>
    </row>
    <row r="259">
      <c r="A259" s="434"/>
      <c r="D259" s="38"/>
    </row>
    <row r="260">
      <c r="A260" s="434"/>
      <c r="D260" s="38"/>
    </row>
    <row r="261">
      <c r="A261" s="434"/>
      <c r="D261" s="38"/>
    </row>
    <row r="262">
      <c r="A262" s="434"/>
      <c r="D262" s="38"/>
    </row>
    <row r="263">
      <c r="A263" s="434"/>
      <c r="D263" s="38"/>
    </row>
    <row r="264">
      <c r="A264" s="434"/>
      <c r="D264" s="38"/>
    </row>
    <row r="265">
      <c r="A265" s="434"/>
      <c r="D265" s="38"/>
    </row>
    <row r="266">
      <c r="A266" s="434"/>
      <c r="D266" s="38"/>
    </row>
    <row r="267">
      <c r="A267" s="434"/>
      <c r="D267" s="38"/>
    </row>
    <row r="268">
      <c r="A268" s="434"/>
      <c r="D268" s="38"/>
    </row>
    <row r="269">
      <c r="A269" s="434"/>
      <c r="D269" s="38"/>
    </row>
    <row r="270">
      <c r="A270" s="434"/>
      <c r="D270" s="38"/>
    </row>
    <row r="271">
      <c r="A271" s="434"/>
      <c r="D271" s="38"/>
    </row>
    <row r="272">
      <c r="A272" s="434"/>
      <c r="D272" s="38"/>
    </row>
    <row r="273">
      <c r="A273" s="434"/>
      <c r="D273" s="38"/>
    </row>
    <row r="274">
      <c r="A274" s="434"/>
      <c r="D274" s="38"/>
    </row>
    <row r="275">
      <c r="A275" s="434"/>
      <c r="D275" s="38"/>
    </row>
    <row r="276">
      <c r="A276" s="434"/>
      <c r="D276" s="38"/>
    </row>
    <row r="277">
      <c r="A277" s="434"/>
      <c r="D277" s="38"/>
    </row>
    <row r="278">
      <c r="A278" s="434"/>
      <c r="D278" s="38"/>
    </row>
    <row r="279">
      <c r="A279" s="434"/>
      <c r="D279" s="38"/>
    </row>
    <row r="280">
      <c r="A280" s="434"/>
      <c r="D280" s="38"/>
    </row>
    <row r="281">
      <c r="A281" s="434"/>
      <c r="D281" s="38"/>
    </row>
    <row r="282">
      <c r="A282" s="434"/>
      <c r="D282" s="38"/>
    </row>
    <row r="283">
      <c r="A283" s="434"/>
      <c r="D283" s="38"/>
    </row>
    <row r="284">
      <c r="A284" s="434"/>
      <c r="D284" s="38"/>
    </row>
    <row r="285">
      <c r="A285" s="434"/>
      <c r="D285" s="38"/>
    </row>
    <row r="286">
      <c r="A286" s="434"/>
      <c r="D286" s="38"/>
    </row>
    <row r="287">
      <c r="A287" s="434"/>
      <c r="D287" s="38"/>
    </row>
    <row r="288">
      <c r="A288" s="434"/>
      <c r="D288" s="38"/>
    </row>
    <row r="289">
      <c r="A289" s="434"/>
      <c r="D289" s="38"/>
    </row>
    <row r="290">
      <c r="A290" s="434"/>
      <c r="D290" s="38"/>
    </row>
    <row r="291">
      <c r="A291" s="434"/>
      <c r="D291" s="38"/>
    </row>
    <row r="292">
      <c r="A292" s="434"/>
      <c r="D292" s="38"/>
    </row>
    <row r="293">
      <c r="A293" s="434"/>
      <c r="D293" s="38"/>
    </row>
    <row r="294">
      <c r="A294" s="434"/>
      <c r="D294" s="38"/>
    </row>
    <row r="295">
      <c r="A295" s="434"/>
      <c r="D295" s="38"/>
    </row>
    <row r="296">
      <c r="A296" s="434"/>
      <c r="D296" s="38"/>
    </row>
    <row r="297">
      <c r="A297" s="434"/>
      <c r="D297" s="38"/>
    </row>
    <row r="298">
      <c r="A298" s="434"/>
      <c r="D298" s="38"/>
    </row>
    <row r="299">
      <c r="A299" s="434"/>
      <c r="D299" s="38"/>
    </row>
    <row r="300">
      <c r="A300" s="434"/>
      <c r="D300" s="38"/>
    </row>
    <row r="301">
      <c r="A301" s="434"/>
      <c r="D301" s="38"/>
    </row>
    <row r="302">
      <c r="A302" s="434"/>
      <c r="D302" s="38"/>
    </row>
    <row r="303">
      <c r="A303" s="434"/>
      <c r="D303" s="38"/>
    </row>
    <row r="304">
      <c r="A304" s="434"/>
      <c r="D304" s="38"/>
    </row>
    <row r="305">
      <c r="A305" s="434"/>
      <c r="D305" s="38"/>
    </row>
    <row r="306">
      <c r="A306" s="434"/>
      <c r="D306" s="38"/>
    </row>
    <row r="307">
      <c r="A307" s="434"/>
      <c r="D307" s="38"/>
    </row>
    <row r="308">
      <c r="A308" s="434"/>
      <c r="D308" s="38"/>
    </row>
    <row r="309">
      <c r="A309" s="434"/>
      <c r="D309" s="38"/>
    </row>
    <row r="310">
      <c r="A310" s="434"/>
      <c r="D310" s="38"/>
    </row>
    <row r="311">
      <c r="A311" s="434"/>
      <c r="D311" s="38"/>
    </row>
    <row r="312">
      <c r="A312" s="434"/>
      <c r="D312" s="38"/>
    </row>
    <row r="313">
      <c r="A313" s="434"/>
      <c r="D313" s="38"/>
    </row>
    <row r="314">
      <c r="A314" s="434"/>
      <c r="D314" s="38"/>
    </row>
    <row r="315">
      <c r="A315" s="434"/>
      <c r="D315" s="38"/>
    </row>
    <row r="316">
      <c r="A316" s="434"/>
      <c r="D316" s="38"/>
    </row>
    <row r="317">
      <c r="A317" s="434"/>
      <c r="D317" s="38"/>
    </row>
    <row r="318">
      <c r="A318" s="434"/>
      <c r="D318" s="38"/>
    </row>
    <row r="319">
      <c r="A319" s="434"/>
      <c r="D319" s="38"/>
    </row>
    <row r="320">
      <c r="A320" s="434"/>
      <c r="D320" s="38"/>
    </row>
    <row r="321">
      <c r="A321" s="434"/>
      <c r="D321" s="38"/>
    </row>
    <row r="322">
      <c r="A322" s="434"/>
      <c r="D322" s="38"/>
    </row>
    <row r="323">
      <c r="A323" s="434"/>
      <c r="D323" s="38"/>
    </row>
    <row r="324">
      <c r="A324" s="434"/>
      <c r="D324" s="38"/>
    </row>
    <row r="325">
      <c r="A325" s="434"/>
      <c r="D325" s="38"/>
    </row>
    <row r="326">
      <c r="A326" s="434"/>
      <c r="D326" s="38"/>
    </row>
    <row r="327">
      <c r="A327" s="434"/>
      <c r="D327" s="38"/>
    </row>
    <row r="328">
      <c r="A328" s="434"/>
      <c r="D328" s="38"/>
    </row>
    <row r="329">
      <c r="A329" s="434"/>
      <c r="D329" s="38"/>
    </row>
    <row r="330">
      <c r="A330" s="434"/>
      <c r="D330" s="38"/>
    </row>
    <row r="331">
      <c r="A331" s="434"/>
      <c r="D331" s="38"/>
    </row>
    <row r="332">
      <c r="A332" s="434"/>
      <c r="D332" s="38"/>
    </row>
    <row r="333">
      <c r="A333" s="434"/>
      <c r="D333" s="38"/>
    </row>
    <row r="334">
      <c r="A334" s="434"/>
      <c r="D334" s="38"/>
    </row>
    <row r="335">
      <c r="A335" s="434"/>
      <c r="D335" s="38"/>
    </row>
    <row r="336">
      <c r="A336" s="434"/>
      <c r="D336" s="38"/>
    </row>
    <row r="337">
      <c r="A337" s="434"/>
      <c r="D337" s="38"/>
    </row>
    <row r="338">
      <c r="A338" s="434"/>
      <c r="D338" s="38"/>
    </row>
    <row r="339">
      <c r="A339" s="434"/>
      <c r="D339" s="38"/>
    </row>
    <row r="340">
      <c r="A340" s="434"/>
      <c r="D340" s="38"/>
    </row>
    <row r="341">
      <c r="A341" s="434"/>
      <c r="D341" s="38"/>
    </row>
    <row r="342">
      <c r="A342" s="434"/>
      <c r="D342" s="38"/>
    </row>
    <row r="343">
      <c r="A343" s="434"/>
      <c r="D343" s="38"/>
    </row>
    <row r="344">
      <c r="A344" s="434"/>
      <c r="D344" s="38"/>
    </row>
    <row r="345">
      <c r="A345" s="434"/>
      <c r="D345" s="38"/>
    </row>
    <row r="346">
      <c r="A346" s="434"/>
      <c r="D346" s="38"/>
    </row>
    <row r="347">
      <c r="A347" s="434"/>
      <c r="D347" s="38"/>
    </row>
    <row r="348">
      <c r="A348" s="434"/>
      <c r="D348" s="38"/>
    </row>
    <row r="349">
      <c r="A349" s="434"/>
      <c r="D349" s="38"/>
    </row>
    <row r="350">
      <c r="A350" s="434"/>
      <c r="D350" s="38"/>
    </row>
    <row r="351">
      <c r="A351" s="434"/>
      <c r="D351" s="38"/>
    </row>
    <row r="352">
      <c r="A352" s="434"/>
      <c r="D352" s="38"/>
    </row>
    <row r="353">
      <c r="A353" s="434"/>
      <c r="D353" s="38"/>
    </row>
    <row r="354">
      <c r="A354" s="434"/>
      <c r="D354" s="38"/>
    </row>
    <row r="355">
      <c r="A355" s="434"/>
      <c r="D355" s="38"/>
    </row>
    <row r="356">
      <c r="A356" s="434"/>
      <c r="D356" s="38"/>
    </row>
    <row r="357">
      <c r="A357" s="434"/>
      <c r="D357" s="38"/>
    </row>
    <row r="358">
      <c r="A358" s="434"/>
      <c r="D358" s="38"/>
    </row>
    <row r="359">
      <c r="A359" s="434"/>
      <c r="D359" s="38"/>
    </row>
    <row r="360">
      <c r="A360" s="434"/>
      <c r="D360" s="38"/>
    </row>
    <row r="361">
      <c r="A361" s="434"/>
      <c r="D361" s="38"/>
    </row>
    <row r="362">
      <c r="A362" s="434"/>
      <c r="D362" s="38"/>
    </row>
    <row r="363">
      <c r="A363" s="434"/>
      <c r="D363" s="38"/>
    </row>
    <row r="364">
      <c r="A364" s="434"/>
      <c r="D364" s="38"/>
    </row>
    <row r="365">
      <c r="A365" s="434"/>
      <c r="D365" s="38"/>
    </row>
    <row r="366">
      <c r="A366" s="434"/>
      <c r="D366" s="38"/>
    </row>
    <row r="367">
      <c r="A367" s="434"/>
      <c r="D367" s="38"/>
    </row>
    <row r="368">
      <c r="A368" s="434"/>
      <c r="D368" s="38"/>
    </row>
    <row r="369">
      <c r="A369" s="434"/>
      <c r="D369" s="38"/>
    </row>
    <row r="370">
      <c r="A370" s="434"/>
      <c r="D370" s="38"/>
    </row>
    <row r="371">
      <c r="A371" s="434"/>
      <c r="D371" s="38"/>
    </row>
    <row r="372">
      <c r="A372" s="434"/>
      <c r="D372" s="38"/>
    </row>
    <row r="373">
      <c r="A373" s="434"/>
      <c r="D373" s="38"/>
    </row>
    <row r="374">
      <c r="A374" s="434"/>
      <c r="D374" s="38"/>
    </row>
    <row r="375">
      <c r="A375" s="434"/>
      <c r="D375" s="38"/>
    </row>
    <row r="376">
      <c r="A376" s="434"/>
      <c r="D376" s="38"/>
    </row>
    <row r="377">
      <c r="A377" s="434"/>
      <c r="D377" s="38"/>
    </row>
    <row r="378">
      <c r="A378" s="434"/>
      <c r="D378" s="38"/>
    </row>
    <row r="379">
      <c r="A379" s="434"/>
      <c r="D379" s="38"/>
    </row>
    <row r="380">
      <c r="A380" s="434"/>
      <c r="D380" s="38"/>
    </row>
    <row r="381">
      <c r="A381" s="434"/>
      <c r="D381" s="38"/>
    </row>
    <row r="382">
      <c r="A382" s="434"/>
      <c r="D382" s="38"/>
    </row>
    <row r="383">
      <c r="A383" s="434"/>
      <c r="D383" s="38"/>
    </row>
    <row r="384">
      <c r="A384" s="434"/>
      <c r="D384" s="38"/>
    </row>
    <row r="385">
      <c r="A385" s="434"/>
      <c r="D385" s="38"/>
    </row>
    <row r="386">
      <c r="A386" s="434"/>
      <c r="D386" s="38"/>
    </row>
    <row r="387">
      <c r="A387" s="434"/>
      <c r="D387" s="38"/>
    </row>
    <row r="388">
      <c r="A388" s="434"/>
      <c r="D388" s="38"/>
    </row>
    <row r="389">
      <c r="A389" s="434"/>
      <c r="D389" s="38"/>
    </row>
    <row r="390">
      <c r="A390" s="434"/>
      <c r="D390" s="38"/>
    </row>
    <row r="391">
      <c r="A391" s="434"/>
      <c r="D391" s="38"/>
    </row>
    <row r="392">
      <c r="A392" s="434"/>
      <c r="D392" s="38"/>
    </row>
    <row r="393">
      <c r="A393" s="434"/>
      <c r="D393" s="38"/>
    </row>
    <row r="394">
      <c r="A394" s="434"/>
      <c r="D394" s="38"/>
    </row>
    <row r="395">
      <c r="A395" s="434"/>
      <c r="D395" s="38"/>
    </row>
    <row r="396">
      <c r="A396" s="434"/>
      <c r="D396" s="38"/>
    </row>
    <row r="397">
      <c r="A397" s="434"/>
      <c r="D397" s="38"/>
    </row>
    <row r="398">
      <c r="A398" s="434"/>
      <c r="D398" s="38"/>
    </row>
    <row r="399">
      <c r="A399" s="434"/>
      <c r="D399" s="38"/>
    </row>
    <row r="400">
      <c r="A400" s="434"/>
      <c r="D400" s="38"/>
    </row>
    <row r="401">
      <c r="A401" s="434"/>
      <c r="D401" s="38"/>
    </row>
    <row r="402">
      <c r="A402" s="434"/>
      <c r="D402" s="38"/>
    </row>
    <row r="403">
      <c r="A403" s="434"/>
      <c r="D403" s="38"/>
    </row>
    <row r="404">
      <c r="A404" s="434"/>
      <c r="D404" s="38"/>
    </row>
    <row r="405">
      <c r="A405" s="434"/>
      <c r="D405" s="38"/>
    </row>
    <row r="406">
      <c r="A406" s="434"/>
      <c r="D406" s="38"/>
    </row>
    <row r="407">
      <c r="A407" s="434"/>
      <c r="D407" s="38"/>
    </row>
    <row r="408">
      <c r="A408" s="434"/>
      <c r="D408" s="38"/>
    </row>
    <row r="409">
      <c r="A409" s="434"/>
      <c r="D409" s="38"/>
    </row>
    <row r="410">
      <c r="A410" s="434"/>
      <c r="D410" s="38"/>
    </row>
    <row r="411">
      <c r="A411" s="434"/>
      <c r="D411" s="38"/>
    </row>
    <row r="412">
      <c r="A412" s="434"/>
      <c r="D412" s="38"/>
    </row>
    <row r="413">
      <c r="A413" s="434"/>
      <c r="D413" s="38"/>
    </row>
    <row r="414">
      <c r="A414" s="434"/>
      <c r="D414" s="38"/>
    </row>
    <row r="415">
      <c r="A415" s="434"/>
      <c r="D415" s="38"/>
    </row>
    <row r="416">
      <c r="A416" s="434"/>
      <c r="D416" s="38"/>
    </row>
    <row r="417">
      <c r="A417" s="434"/>
      <c r="D417" s="38"/>
    </row>
    <row r="418">
      <c r="A418" s="434"/>
      <c r="D418" s="38"/>
    </row>
    <row r="419">
      <c r="A419" s="434"/>
      <c r="D419" s="38"/>
    </row>
    <row r="420">
      <c r="A420" s="434"/>
      <c r="D420" s="38"/>
    </row>
    <row r="421">
      <c r="A421" s="434"/>
      <c r="D421" s="38"/>
    </row>
    <row r="422">
      <c r="A422" s="434"/>
      <c r="D422" s="38"/>
    </row>
    <row r="423">
      <c r="A423" s="434"/>
      <c r="D423" s="38"/>
    </row>
    <row r="424">
      <c r="A424" s="434"/>
      <c r="D424" s="38"/>
    </row>
    <row r="425">
      <c r="A425" s="434"/>
      <c r="D425" s="38"/>
    </row>
    <row r="426">
      <c r="A426" s="434"/>
      <c r="D426" s="38"/>
    </row>
    <row r="427">
      <c r="A427" s="434"/>
      <c r="D427" s="38"/>
    </row>
    <row r="428">
      <c r="A428" s="434"/>
      <c r="D428" s="38"/>
    </row>
    <row r="429">
      <c r="A429" s="434"/>
      <c r="D429" s="38"/>
    </row>
    <row r="430">
      <c r="A430" s="434"/>
      <c r="D430" s="38"/>
    </row>
    <row r="431">
      <c r="A431" s="434"/>
      <c r="D431" s="38"/>
    </row>
    <row r="432">
      <c r="A432" s="434"/>
      <c r="D432" s="38"/>
    </row>
    <row r="433">
      <c r="A433" s="434"/>
      <c r="D433" s="38"/>
    </row>
    <row r="434">
      <c r="A434" s="434"/>
      <c r="D434" s="38"/>
    </row>
    <row r="435">
      <c r="A435" s="434"/>
      <c r="D435" s="38"/>
    </row>
    <row r="436">
      <c r="A436" s="434"/>
      <c r="D436" s="38"/>
    </row>
    <row r="437">
      <c r="A437" s="434"/>
      <c r="D437" s="38"/>
    </row>
    <row r="438">
      <c r="A438" s="434"/>
      <c r="D438" s="38"/>
    </row>
    <row r="439">
      <c r="A439" s="434"/>
      <c r="D439" s="38"/>
    </row>
    <row r="440">
      <c r="A440" s="434"/>
      <c r="D440" s="38"/>
    </row>
    <row r="441">
      <c r="A441" s="434"/>
      <c r="D441" s="38"/>
    </row>
    <row r="442">
      <c r="A442" s="434"/>
      <c r="D442" s="38"/>
    </row>
    <row r="443">
      <c r="A443" s="434"/>
      <c r="D443" s="38"/>
    </row>
    <row r="444">
      <c r="A444" s="434"/>
      <c r="D444" s="38"/>
    </row>
    <row r="445">
      <c r="A445" s="434"/>
      <c r="D445" s="38"/>
    </row>
    <row r="446">
      <c r="A446" s="434"/>
      <c r="D446" s="38"/>
    </row>
    <row r="447">
      <c r="A447" s="434"/>
      <c r="D447" s="38"/>
    </row>
    <row r="448">
      <c r="A448" s="434"/>
      <c r="D448" s="38"/>
    </row>
    <row r="449">
      <c r="A449" s="434"/>
      <c r="D449" s="38"/>
    </row>
    <row r="450">
      <c r="A450" s="434"/>
      <c r="D450" s="38"/>
    </row>
    <row r="451">
      <c r="A451" s="434"/>
      <c r="D451" s="38"/>
    </row>
    <row r="452">
      <c r="A452" s="434"/>
      <c r="D452" s="38"/>
    </row>
    <row r="453">
      <c r="A453" s="434"/>
      <c r="D453" s="38"/>
    </row>
    <row r="454">
      <c r="A454" s="434"/>
      <c r="D454" s="38"/>
    </row>
    <row r="455">
      <c r="A455" s="434"/>
      <c r="D455" s="38"/>
    </row>
    <row r="456">
      <c r="A456" s="434"/>
      <c r="D456" s="38"/>
    </row>
    <row r="457">
      <c r="A457" s="434"/>
      <c r="D457" s="38"/>
    </row>
    <row r="458">
      <c r="A458" s="434"/>
      <c r="D458" s="38"/>
    </row>
    <row r="459">
      <c r="A459" s="434"/>
      <c r="D459" s="38"/>
    </row>
    <row r="460">
      <c r="A460" s="434"/>
      <c r="D460" s="38"/>
    </row>
    <row r="461">
      <c r="A461" s="434"/>
      <c r="D461" s="38"/>
    </row>
    <row r="462">
      <c r="A462" s="434"/>
      <c r="D462" s="38"/>
    </row>
    <row r="463">
      <c r="A463" s="434"/>
      <c r="D463" s="38"/>
    </row>
    <row r="464">
      <c r="A464" s="434"/>
      <c r="D464" s="38"/>
    </row>
    <row r="465">
      <c r="A465" s="434"/>
      <c r="D465" s="38"/>
    </row>
    <row r="466">
      <c r="A466" s="434"/>
      <c r="D466" s="38"/>
    </row>
    <row r="467">
      <c r="A467" s="434"/>
      <c r="D467" s="38"/>
    </row>
    <row r="468">
      <c r="A468" s="434"/>
      <c r="D468" s="38"/>
    </row>
    <row r="469">
      <c r="A469" s="434"/>
      <c r="D469" s="38"/>
    </row>
    <row r="470">
      <c r="A470" s="434"/>
      <c r="D470" s="38"/>
    </row>
    <row r="471">
      <c r="A471" s="434"/>
      <c r="D471" s="38"/>
    </row>
    <row r="472">
      <c r="A472" s="434"/>
      <c r="D472" s="38"/>
    </row>
    <row r="473">
      <c r="A473" s="434"/>
      <c r="D473" s="38"/>
    </row>
    <row r="474">
      <c r="A474" s="434"/>
      <c r="D474" s="38"/>
    </row>
    <row r="475">
      <c r="A475" s="434"/>
      <c r="D475" s="38"/>
    </row>
    <row r="476">
      <c r="A476" s="434"/>
      <c r="D476" s="38"/>
    </row>
    <row r="477">
      <c r="A477" s="434"/>
      <c r="D477" s="38"/>
    </row>
    <row r="478">
      <c r="A478" s="434"/>
      <c r="D478" s="38"/>
    </row>
    <row r="479">
      <c r="A479" s="434"/>
      <c r="D479" s="38"/>
    </row>
    <row r="480">
      <c r="A480" s="434"/>
      <c r="D480" s="38"/>
    </row>
    <row r="481">
      <c r="A481" s="434"/>
      <c r="D481" s="38"/>
    </row>
    <row r="482">
      <c r="A482" s="434"/>
      <c r="D482" s="38"/>
    </row>
    <row r="483">
      <c r="A483" s="434"/>
      <c r="D483" s="38"/>
    </row>
    <row r="484">
      <c r="A484" s="434"/>
      <c r="D484" s="38"/>
    </row>
    <row r="485">
      <c r="A485" s="434"/>
      <c r="D485" s="38"/>
    </row>
    <row r="486">
      <c r="A486" s="434"/>
      <c r="D486" s="38"/>
    </row>
    <row r="487">
      <c r="A487" s="434"/>
      <c r="D487" s="38"/>
    </row>
    <row r="488">
      <c r="A488" s="434"/>
      <c r="D488" s="38"/>
    </row>
    <row r="489">
      <c r="A489" s="434"/>
      <c r="D489" s="38"/>
    </row>
    <row r="490">
      <c r="A490" s="434"/>
      <c r="D490" s="38"/>
    </row>
    <row r="491">
      <c r="A491" s="434"/>
      <c r="D491" s="38"/>
    </row>
    <row r="492">
      <c r="A492" s="434"/>
      <c r="D492" s="38"/>
    </row>
    <row r="493">
      <c r="A493" s="434"/>
      <c r="D493" s="38"/>
    </row>
    <row r="494">
      <c r="A494" s="434"/>
      <c r="D494" s="38"/>
    </row>
    <row r="495">
      <c r="A495" s="434"/>
      <c r="D495" s="38"/>
    </row>
    <row r="496">
      <c r="A496" s="434"/>
      <c r="D496" s="38"/>
    </row>
    <row r="497">
      <c r="A497" s="434"/>
      <c r="D497" s="38"/>
    </row>
    <row r="498">
      <c r="A498" s="434"/>
      <c r="D498" s="38"/>
    </row>
    <row r="499">
      <c r="A499" s="434"/>
      <c r="D499" s="38"/>
    </row>
    <row r="500">
      <c r="A500" s="434"/>
      <c r="D500" s="38"/>
    </row>
    <row r="501">
      <c r="A501" s="434"/>
      <c r="D501" s="38"/>
    </row>
    <row r="502">
      <c r="A502" s="434"/>
      <c r="D502" s="38"/>
    </row>
    <row r="503">
      <c r="A503" s="434"/>
      <c r="D503" s="38"/>
    </row>
    <row r="504">
      <c r="A504" s="434"/>
      <c r="D504" s="38"/>
    </row>
    <row r="505">
      <c r="A505" s="434"/>
      <c r="D505" s="38"/>
    </row>
    <row r="506">
      <c r="A506" s="434"/>
      <c r="D506" s="38"/>
    </row>
    <row r="507">
      <c r="A507" s="434"/>
      <c r="D507" s="38"/>
    </row>
    <row r="508">
      <c r="A508" s="434"/>
      <c r="D508" s="38"/>
    </row>
    <row r="509">
      <c r="A509" s="434"/>
      <c r="D509" s="38"/>
    </row>
    <row r="510">
      <c r="A510" s="434"/>
      <c r="D510" s="38"/>
    </row>
    <row r="511">
      <c r="A511" s="434"/>
      <c r="D511" s="38"/>
    </row>
    <row r="512">
      <c r="A512" s="434"/>
      <c r="D512" s="38"/>
    </row>
    <row r="513">
      <c r="A513" s="434"/>
      <c r="D513" s="38"/>
    </row>
    <row r="514">
      <c r="A514" s="434"/>
      <c r="D514" s="38"/>
    </row>
    <row r="515">
      <c r="A515" s="434"/>
      <c r="D515" s="38"/>
    </row>
    <row r="516">
      <c r="A516" s="434"/>
      <c r="D516" s="38"/>
    </row>
    <row r="517">
      <c r="A517" s="434"/>
      <c r="D517" s="38"/>
    </row>
    <row r="518">
      <c r="A518" s="434"/>
      <c r="D518" s="38"/>
    </row>
    <row r="519">
      <c r="A519" s="434"/>
      <c r="D519" s="38"/>
    </row>
    <row r="520">
      <c r="A520" s="434"/>
      <c r="D520" s="38"/>
    </row>
    <row r="521">
      <c r="A521" s="434"/>
      <c r="D521" s="38"/>
    </row>
    <row r="522">
      <c r="A522" s="434"/>
      <c r="D522" s="38"/>
    </row>
    <row r="523">
      <c r="A523" s="434"/>
      <c r="D523" s="38"/>
    </row>
    <row r="524">
      <c r="A524" s="434"/>
      <c r="D524" s="38"/>
    </row>
    <row r="525">
      <c r="A525" s="434"/>
      <c r="D525" s="38"/>
    </row>
    <row r="526">
      <c r="A526" s="434"/>
      <c r="D526" s="38"/>
    </row>
    <row r="527">
      <c r="A527" s="434"/>
      <c r="D527" s="38"/>
    </row>
    <row r="528">
      <c r="A528" s="434"/>
      <c r="D528" s="38"/>
    </row>
    <row r="529">
      <c r="A529" s="434"/>
      <c r="D529" s="38"/>
    </row>
    <row r="530">
      <c r="A530" s="434"/>
      <c r="D530" s="38"/>
    </row>
    <row r="531">
      <c r="A531" s="434"/>
      <c r="D531" s="38"/>
    </row>
    <row r="532">
      <c r="A532" s="434"/>
      <c r="D532" s="38"/>
    </row>
    <row r="533">
      <c r="A533" s="434"/>
      <c r="D533" s="38"/>
    </row>
    <row r="534">
      <c r="A534" s="434"/>
      <c r="D534" s="38"/>
    </row>
    <row r="535">
      <c r="A535" s="434"/>
      <c r="D535" s="38"/>
    </row>
    <row r="536">
      <c r="A536" s="434"/>
      <c r="D536" s="38"/>
    </row>
    <row r="537">
      <c r="A537" s="434"/>
      <c r="D537" s="38"/>
    </row>
    <row r="538">
      <c r="A538" s="434"/>
      <c r="D538" s="38"/>
    </row>
    <row r="539">
      <c r="A539" s="434"/>
      <c r="D539" s="38"/>
    </row>
    <row r="540">
      <c r="A540" s="434"/>
      <c r="D540" s="38"/>
    </row>
    <row r="541">
      <c r="A541" s="434"/>
      <c r="D541" s="38"/>
    </row>
    <row r="542">
      <c r="A542" s="434"/>
      <c r="D542" s="38"/>
    </row>
    <row r="543">
      <c r="A543" s="434"/>
      <c r="D543" s="38"/>
    </row>
    <row r="544">
      <c r="A544" s="434"/>
      <c r="D544" s="38"/>
    </row>
    <row r="545">
      <c r="A545" s="434"/>
      <c r="D545" s="38"/>
    </row>
    <row r="546">
      <c r="A546" s="434"/>
      <c r="D546" s="38"/>
    </row>
    <row r="547">
      <c r="A547" s="434"/>
      <c r="D547" s="38"/>
    </row>
    <row r="548">
      <c r="A548" s="434"/>
      <c r="D548" s="38"/>
    </row>
    <row r="549">
      <c r="A549" s="434"/>
      <c r="D549" s="38"/>
    </row>
    <row r="550">
      <c r="A550" s="434"/>
      <c r="D550" s="38"/>
    </row>
    <row r="551">
      <c r="A551" s="434"/>
      <c r="D551" s="38"/>
    </row>
    <row r="552">
      <c r="A552" s="434"/>
      <c r="D552" s="38"/>
    </row>
    <row r="553">
      <c r="A553" s="434"/>
      <c r="D553" s="38"/>
    </row>
    <row r="554">
      <c r="A554" s="434"/>
      <c r="D554" s="38"/>
    </row>
    <row r="555">
      <c r="A555" s="434"/>
      <c r="D555" s="38"/>
    </row>
    <row r="556">
      <c r="A556" s="434"/>
      <c r="D556" s="38"/>
    </row>
    <row r="557">
      <c r="A557" s="434"/>
      <c r="D557" s="38"/>
    </row>
    <row r="558">
      <c r="A558" s="434"/>
      <c r="D558" s="38"/>
    </row>
    <row r="559">
      <c r="A559" s="434"/>
      <c r="D559" s="38"/>
    </row>
    <row r="560">
      <c r="A560" s="434"/>
      <c r="D560" s="38"/>
    </row>
    <row r="561">
      <c r="A561" s="434"/>
      <c r="D561" s="38"/>
    </row>
    <row r="562">
      <c r="A562" s="434"/>
      <c r="D562" s="38"/>
    </row>
    <row r="563">
      <c r="A563" s="434"/>
      <c r="D563" s="38"/>
    </row>
    <row r="564">
      <c r="A564" s="434"/>
      <c r="D564" s="38"/>
    </row>
    <row r="565">
      <c r="A565" s="434"/>
      <c r="D565" s="38"/>
    </row>
    <row r="566">
      <c r="A566" s="434"/>
      <c r="D566" s="38"/>
    </row>
    <row r="567">
      <c r="A567" s="434"/>
      <c r="D567" s="38"/>
    </row>
    <row r="568">
      <c r="A568" s="434"/>
      <c r="D568" s="38"/>
    </row>
    <row r="569">
      <c r="A569" s="434"/>
      <c r="D569" s="38"/>
    </row>
    <row r="570">
      <c r="A570" s="434"/>
      <c r="D570" s="38"/>
    </row>
    <row r="571">
      <c r="A571" s="434"/>
      <c r="D571" s="38"/>
    </row>
    <row r="572">
      <c r="A572" s="434"/>
      <c r="D572" s="38"/>
    </row>
    <row r="573">
      <c r="A573" s="434"/>
      <c r="D573" s="38"/>
    </row>
    <row r="574">
      <c r="A574" s="434"/>
      <c r="D574" s="38"/>
    </row>
    <row r="575">
      <c r="A575" s="434"/>
      <c r="D575" s="38"/>
    </row>
    <row r="576">
      <c r="A576" s="434"/>
      <c r="D576" s="38"/>
    </row>
    <row r="577">
      <c r="A577" s="434"/>
      <c r="D577" s="38"/>
    </row>
    <row r="578">
      <c r="A578" s="434"/>
      <c r="D578" s="38"/>
    </row>
    <row r="579">
      <c r="A579" s="434"/>
      <c r="D579" s="38"/>
    </row>
    <row r="580">
      <c r="A580" s="434"/>
      <c r="D580" s="38"/>
    </row>
    <row r="581">
      <c r="A581" s="434"/>
      <c r="D581" s="38"/>
    </row>
    <row r="582">
      <c r="A582" s="434"/>
      <c r="D582" s="38"/>
    </row>
    <row r="583">
      <c r="A583" s="434"/>
      <c r="D583" s="38"/>
    </row>
    <row r="584">
      <c r="A584" s="434"/>
      <c r="D584" s="38"/>
    </row>
    <row r="585">
      <c r="A585" s="434"/>
      <c r="D585" s="38"/>
    </row>
    <row r="586">
      <c r="A586" s="434"/>
      <c r="D586" s="38"/>
    </row>
    <row r="587">
      <c r="A587" s="434"/>
      <c r="D587" s="38"/>
    </row>
    <row r="588">
      <c r="A588" s="434"/>
      <c r="D588" s="38"/>
    </row>
    <row r="589">
      <c r="A589" s="434"/>
      <c r="D589" s="38"/>
    </row>
    <row r="590">
      <c r="A590" s="434"/>
      <c r="D590" s="38"/>
    </row>
    <row r="591">
      <c r="A591" s="434"/>
      <c r="D591" s="38"/>
    </row>
    <row r="592">
      <c r="A592" s="434"/>
      <c r="D592" s="38"/>
    </row>
    <row r="593">
      <c r="A593" s="434"/>
      <c r="D593" s="38"/>
    </row>
    <row r="594">
      <c r="A594" s="434"/>
      <c r="D594" s="38"/>
    </row>
    <row r="595">
      <c r="A595" s="434"/>
      <c r="D595" s="38"/>
    </row>
    <row r="596">
      <c r="A596" s="434"/>
      <c r="D596" s="38"/>
    </row>
    <row r="597">
      <c r="A597" s="434"/>
      <c r="D597" s="38"/>
    </row>
    <row r="598">
      <c r="A598" s="434"/>
      <c r="D598" s="38"/>
    </row>
    <row r="599">
      <c r="A599" s="434"/>
      <c r="D599" s="38"/>
    </row>
    <row r="600">
      <c r="A600" s="434"/>
      <c r="D600" s="38"/>
    </row>
    <row r="601">
      <c r="A601" s="434"/>
      <c r="D601" s="38"/>
    </row>
    <row r="602">
      <c r="A602" s="434"/>
      <c r="D602" s="38"/>
    </row>
    <row r="603">
      <c r="A603" s="434"/>
      <c r="D603" s="38"/>
    </row>
    <row r="604">
      <c r="A604" s="434"/>
      <c r="D604" s="38"/>
    </row>
    <row r="605">
      <c r="A605" s="434"/>
      <c r="D605" s="38"/>
    </row>
    <row r="606">
      <c r="A606" s="434"/>
      <c r="D606" s="38"/>
    </row>
    <row r="607">
      <c r="A607" s="434"/>
      <c r="D607" s="38"/>
    </row>
    <row r="608">
      <c r="A608" s="434"/>
      <c r="D608" s="38"/>
    </row>
    <row r="609">
      <c r="A609" s="434"/>
      <c r="D609" s="38"/>
    </row>
    <row r="610">
      <c r="A610" s="434"/>
      <c r="D610" s="38"/>
    </row>
    <row r="611">
      <c r="A611" s="434"/>
      <c r="D611" s="38"/>
    </row>
    <row r="612">
      <c r="A612" s="434"/>
      <c r="D612" s="38"/>
    </row>
    <row r="613">
      <c r="A613" s="434"/>
      <c r="D613" s="38"/>
    </row>
    <row r="614">
      <c r="A614" s="434"/>
      <c r="D614" s="38"/>
    </row>
    <row r="615">
      <c r="A615" s="434"/>
      <c r="D615" s="38"/>
    </row>
    <row r="616">
      <c r="A616" s="434"/>
      <c r="D616" s="38"/>
    </row>
    <row r="617">
      <c r="A617" s="434"/>
      <c r="D617" s="38"/>
    </row>
    <row r="618">
      <c r="A618" s="434"/>
      <c r="D618" s="38"/>
    </row>
    <row r="619">
      <c r="A619" s="434"/>
      <c r="D619" s="38"/>
    </row>
    <row r="620">
      <c r="A620" s="434"/>
      <c r="D620" s="38"/>
    </row>
    <row r="621">
      <c r="A621" s="434"/>
      <c r="D621" s="38"/>
    </row>
    <row r="622">
      <c r="A622" s="434"/>
      <c r="D622" s="38"/>
    </row>
    <row r="623">
      <c r="A623" s="434"/>
      <c r="D623" s="38"/>
    </row>
    <row r="624">
      <c r="A624" s="434"/>
      <c r="D624" s="38"/>
    </row>
    <row r="625">
      <c r="A625" s="434"/>
      <c r="D625" s="38"/>
    </row>
    <row r="626">
      <c r="A626" s="434"/>
      <c r="D626" s="38"/>
    </row>
    <row r="627">
      <c r="A627" s="434"/>
      <c r="D627" s="38"/>
    </row>
    <row r="628">
      <c r="A628" s="434"/>
      <c r="D628" s="38"/>
    </row>
    <row r="629">
      <c r="A629" s="434"/>
      <c r="D629" s="38"/>
    </row>
    <row r="630">
      <c r="A630" s="434"/>
      <c r="D630" s="38"/>
    </row>
    <row r="631">
      <c r="A631" s="434"/>
      <c r="D631" s="38"/>
    </row>
    <row r="632">
      <c r="A632" s="434"/>
      <c r="D632" s="38"/>
    </row>
    <row r="633">
      <c r="A633" s="434"/>
      <c r="D633" s="38"/>
    </row>
    <row r="634">
      <c r="A634" s="434"/>
      <c r="D634" s="38"/>
    </row>
    <row r="635">
      <c r="A635" s="434"/>
      <c r="D635" s="38"/>
    </row>
    <row r="636">
      <c r="A636" s="434"/>
      <c r="D636" s="38"/>
    </row>
    <row r="637">
      <c r="A637" s="434"/>
      <c r="D637" s="38"/>
    </row>
    <row r="638">
      <c r="A638" s="434"/>
      <c r="D638" s="38"/>
    </row>
    <row r="639">
      <c r="A639" s="434"/>
      <c r="D639" s="38"/>
    </row>
    <row r="640">
      <c r="A640" s="434"/>
      <c r="D640" s="38"/>
    </row>
    <row r="641">
      <c r="A641" s="434"/>
      <c r="D641" s="38"/>
    </row>
    <row r="642">
      <c r="A642" s="434"/>
      <c r="D642" s="38"/>
    </row>
    <row r="643">
      <c r="A643" s="434"/>
      <c r="D643" s="38"/>
    </row>
    <row r="644">
      <c r="A644" s="434"/>
      <c r="D644" s="38"/>
    </row>
    <row r="645">
      <c r="A645" s="434"/>
      <c r="D645" s="38"/>
    </row>
    <row r="646">
      <c r="A646" s="434"/>
      <c r="D646" s="38"/>
    </row>
    <row r="647">
      <c r="A647" s="434"/>
      <c r="D647" s="38"/>
    </row>
    <row r="648">
      <c r="A648" s="434"/>
      <c r="D648" s="38"/>
    </row>
    <row r="649">
      <c r="A649" s="434"/>
      <c r="D649" s="38"/>
    </row>
    <row r="650">
      <c r="A650" s="434"/>
      <c r="D650" s="38"/>
    </row>
    <row r="651">
      <c r="A651" s="434"/>
      <c r="D651" s="38"/>
    </row>
    <row r="652">
      <c r="A652" s="434"/>
      <c r="D652" s="38"/>
    </row>
    <row r="653">
      <c r="A653" s="434"/>
      <c r="D653" s="38"/>
    </row>
    <row r="654">
      <c r="A654" s="434"/>
      <c r="D654" s="38"/>
    </row>
    <row r="655">
      <c r="A655" s="434"/>
      <c r="D655" s="38"/>
    </row>
    <row r="656">
      <c r="A656" s="434"/>
      <c r="D656" s="38"/>
    </row>
    <row r="657">
      <c r="A657" s="434"/>
      <c r="D657" s="38"/>
    </row>
    <row r="658">
      <c r="A658" s="434"/>
      <c r="D658" s="38"/>
    </row>
    <row r="659">
      <c r="A659" s="434"/>
      <c r="D659" s="38"/>
    </row>
    <row r="660">
      <c r="A660" s="434"/>
      <c r="D660" s="38"/>
    </row>
    <row r="661">
      <c r="A661" s="434"/>
      <c r="D661" s="38"/>
    </row>
    <row r="662">
      <c r="A662" s="434"/>
      <c r="D662" s="38"/>
    </row>
    <row r="663">
      <c r="A663" s="434"/>
      <c r="D663" s="38"/>
    </row>
    <row r="664">
      <c r="A664" s="434"/>
      <c r="D664" s="38"/>
    </row>
    <row r="665">
      <c r="A665" s="434"/>
      <c r="D665" s="38"/>
    </row>
    <row r="666">
      <c r="A666" s="434"/>
      <c r="D666" s="38"/>
    </row>
    <row r="667">
      <c r="A667" s="434"/>
      <c r="D667" s="38"/>
    </row>
    <row r="668">
      <c r="A668" s="434"/>
      <c r="D668" s="38"/>
    </row>
    <row r="669">
      <c r="A669" s="434"/>
      <c r="D669" s="38"/>
    </row>
    <row r="670">
      <c r="A670" s="434"/>
      <c r="D670" s="38"/>
    </row>
    <row r="671">
      <c r="A671" s="434"/>
      <c r="D671" s="38"/>
    </row>
    <row r="672">
      <c r="A672" s="434"/>
      <c r="D672" s="38"/>
    </row>
    <row r="673">
      <c r="A673" s="434"/>
      <c r="D673" s="38"/>
    </row>
    <row r="674">
      <c r="A674" s="434"/>
      <c r="D674" s="38"/>
    </row>
    <row r="675">
      <c r="A675" s="434"/>
      <c r="D675" s="38"/>
    </row>
    <row r="676">
      <c r="A676" s="434"/>
      <c r="D676" s="38"/>
    </row>
    <row r="677">
      <c r="A677" s="434"/>
      <c r="D677" s="38"/>
    </row>
    <row r="678">
      <c r="A678" s="434"/>
      <c r="D678" s="38"/>
    </row>
    <row r="679">
      <c r="A679" s="434"/>
      <c r="D679" s="38"/>
    </row>
    <row r="680">
      <c r="A680" s="434"/>
      <c r="D680" s="38"/>
    </row>
    <row r="681">
      <c r="A681" s="434"/>
      <c r="D681" s="38"/>
    </row>
    <row r="682">
      <c r="A682" s="434"/>
      <c r="D682" s="38"/>
    </row>
    <row r="683">
      <c r="A683" s="434"/>
      <c r="D683" s="38"/>
    </row>
    <row r="684">
      <c r="A684" s="434"/>
      <c r="D684" s="38"/>
    </row>
    <row r="685">
      <c r="A685" s="434"/>
      <c r="D685" s="38"/>
    </row>
    <row r="686">
      <c r="A686" s="434"/>
      <c r="D686" s="38"/>
    </row>
    <row r="687">
      <c r="A687" s="434"/>
      <c r="D687" s="38"/>
    </row>
    <row r="688">
      <c r="A688" s="434"/>
      <c r="D688" s="38"/>
    </row>
    <row r="689">
      <c r="A689" s="434"/>
      <c r="D689" s="38"/>
    </row>
    <row r="690">
      <c r="A690" s="434"/>
      <c r="D690" s="38"/>
    </row>
    <row r="691">
      <c r="A691" s="434"/>
      <c r="D691" s="38"/>
    </row>
    <row r="692">
      <c r="A692" s="434"/>
      <c r="D692" s="38"/>
    </row>
    <row r="693">
      <c r="A693" s="434"/>
      <c r="D693" s="38"/>
    </row>
    <row r="694">
      <c r="A694" s="434"/>
      <c r="D694" s="38"/>
    </row>
    <row r="695">
      <c r="A695" s="434"/>
      <c r="D695" s="38"/>
    </row>
    <row r="696">
      <c r="A696" s="434"/>
      <c r="D696" s="38"/>
    </row>
    <row r="697">
      <c r="A697" s="434"/>
      <c r="D697" s="38"/>
    </row>
    <row r="698">
      <c r="A698" s="434"/>
      <c r="D698" s="38"/>
    </row>
    <row r="699">
      <c r="A699" s="434"/>
      <c r="D699" s="38"/>
    </row>
    <row r="700">
      <c r="A700" s="434"/>
      <c r="D700" s="38"/>
    </row>
    <row r="701">
      <c r="A701" s="434"/>
      <c r="D701" s="38"/>
    </row>
    <row r="702">
      <c r="A702" s="434"/>
      <c r="D702" s="38"/>
    </row>
    <row r="703">
      <c r="A703" s="434"/>
      <c r="D703" s="38"/>
    </row>
    <row r="704">
      <c r="A704" s="434"/>
      <c r="D704" s="38"/>
    </row>
    <row r="705">
      <c r="A705" s="434"/>
      <c r="D705" s="38"/>
    </row>
    <row r="706">
      <c r="A706" s="434"/>
      <c r="D706" s="38"/>
    </row>
    <row r="707">
      <c r="A707" s="434"/>
      <c r="D707" s="38"/>
    </row>
    <row r="708">
      <c r="A708" s="434"/>
      <c r="D708" s="38"/>
    </row>
    <row r="709">
      <c r="A709" s="434"/>
      <c r="D709" s="38"/>
    </row>
    <row r="710">
      <c r="A710" s="434"/>
      <c r="D710" s="38"/>
    </row>
    <row r="711">
      <c r="A711" s="434"/>
      <c r="D711" s="38"/>
    </row>
    <row r="712">
      <c r="A712" s="434"/>
      <c r="D712" s="38"/>
    </row>
    <row r="713">
      <c r="A713" s="434"/>
      <c r="D713" s="38"/>
    </row>
    <row r="714">
      <c r="A714" s="434"/>
      <c r="D714" s="38"/>
    </row>
    <row r="715">
      <c r="A715" s="434"/>
      <c r="D715" s="38"/>
    </row>
    <row r="716">
      <c r="A716" s="434"/>
      <c r="D716" s="38"/>
    </row>
    <row r="717">
      <c r="A717" s="434"/>
      <c r="D717" s="38"/>
    </row>
    <row r="718">
      <c r="A718" s="434"/>
      <c r="D718" s="38"/>
    </row>
    <row r="719">
      <c r="A719" s="434"/>
      <c r="D719" s="38"/>
    </row>
    <row r="720">
      <c r="A720" s="434"/>
      <c r="D720" s="38"/>
    </row>
    <row r="721">
      <c r="A721" s="434"/>
      <c r="D721" s="38"/>
    </row>
    <row r="722">
      <c r="A722" s="434"/>
      <c r="D722" s="38"/>
    </row>
    <row r="723">
      <c r="A723" s="434"/>
      <c r="D723" s="38"/>
    </row>
    <row r="724">
      <c r="A724" s="434"/>
      <c r="D724" s="38"/>
    </row>
    <row r="725">
      <c r="A725" s="434"/>
      <c r="D725" s="38"/>
    </row>
    <row r="726">
      <c r="A726" s="434"/>
      <c r="D726" s="38"/>
    </row>
    <row r="727">
      <c r="A727" s="434"/>
      <c r="D727" s="38"/>
    </row>
    <row r="728">
      <c r="A728" s="434"/>
      <c r="D728" s="38"/>
    </row>
    <row r="729">
      <c r="A729" s="434"/>
      <c r="D729" s="38"/>
    </row>
    <row r="730">
      <c r="A730" s="434"/>
      <c r="D730" s="38"/>
    </row>
    <row r="731">
      <c r="A731" s="434"/>
      <c r="D731" s="38"/>
    </row>
    <row r="732">
      <c r="A732" s="434"/>
      <c r="D732" s="38"/>
    </row>
    <row r="733">
      <c r="A733" s="434"/>
      <c r="D733" s="38"/>
    </row>
    <row r="734">
      <c r="A734" s="434"/>
      <c r="D734" s="38"/>
    </row>
    <row r="735">
      <c r="A735" s="434"/>
      <c r="D735" s="38"/>
    </row>
    <row r="736">
      <c r="A736" s="434"/>
      <c r="D736" s="38"/>
    </row>
    <row r="737">
      <c r="A737" s="434"/>
      <c r="D737" s="38"/>
    </row>
    <row r="738">
      <c r="A738" s="434"/>
      <c r="D738" s="38"/>
    </row>
    <row r="739">
      <c r="A739" s="434"/>
      <c r="D739" s="38"/>
    </row>
    <row r="740">
      <c r="A740" s="434"/>
      <c r="D740" s="38"/>
    </row>
    <row r="741">
      <c r="A741" s="434"/>
      <c r="D741" s="38"/>
    </row>
    <row r="742">
      <c r="A742" s="434"/>
      <c r="D742" s="38"/>
    </row>
    <row r="743">
      <c r="A743" s="434"/>
      <c r="D743" s="38"/>
    </row>
    <row r="744">
      <c r="A744" s="434"/>
      <c r="D744" s="38"/>
    </row>
    <row r="745">
      <c r="A745" s="434"/>
      <c r="D745" s="38"/>
    </row>
    <row r="746">
      <c r="A746" s="434"/>
      <c r="D746" s="38"/>
    </row>
    <row r="747">
      <c r="A747" s="434"/>
      <c r="D747" s="38"/>
    </row>
    <row r="748">
      <c r="A748" s="434"/>
      <c r="D748" s="38"/>
    </row>
    <row r="749">
      <c r="A749" s="434"/>
      <c r="D749" s="38"/>
    </row>
    <row r="750">
      <c r="A750" s="434"/>
      <c r="D750" s="38"/>
    </row>
    <row r="751">
      <c r="A751" s="434"/>
      <c r="D751" s="38"/>
    </row>
    <row r="752">
      <c r="A752" s="434"/>
      <c r="D752" s="38"/>
    </row>
    <row r="753">
      <c r="A753" s="434"/>
      <c r="D753" s="38"/>
    </row>
    <row r="754">
      <c r="A754" s="434"/>
      <c r="D754" s="38"/>
    </row>
    <row r="755">
      <c r="A755" s="434"/>
      <c r="D755" s="38"/>
    </row>
    <row r="756">
      <c r="A756" s="434"/>
      <c r="D756" s="38"/>
    </row>
    <row r="757">
      <c r="A757" s="434"/>
      <c r="D757" s="38"/>
    </row>
    <row r="758">
      <c r="A758" s="434"/>
      <c r="D758" s="38"/>
    </row>
    <row r="759">
      <c r="A759" s="434"/>
      <c r="D759" s="38"/>
    </row>
    <row r="760">
      <c r="A760" s="434"/>
      <c r="D760" s="38"/>
    </row>
    <row r="761">
      <c r="A761" s="434"/>
      <c r="D761" s="38"/>
    </row>
    <row r="762">
      <c r="A762" s="434"/>
      <c r="D762" s="38"/>
    </row>
    <row r="763">
      <c r="A763" s="434"/>
      <c r="D763" s="38"/>
    </row>
    <row r="764">
      <c r="A764" s="434"/>
      <c r="D764" s="38"/>
    </row>
    <row r="765">
      <c r="A765" s="434"/>
      <c r="D765" s="38"/>
    </row>
    <row r="766">
      <c r="A766" s="434"/>
      <c r="D766" s="38"/>
    </row>
    <row r="767">
      <c r="A767" s="434"/>
      <c r="D767" s="38"/>
    </row>
    <row r="768">
      <c r="A768" s="434"/>
      <c r="D768" s="38"/>
    </row>
    <row r="769">
      <c r="A769" s="434"/>
      <c r="D769" s="38"/>
    </row>
    <row r="770">
      <c r="A770" s="434"/>
      <c r="D770" s="38"/>
    </row>
    <row r="771">
      <c r="A771" s="434"/>
      <c r="D771" s="38"/>
    </row>
    <row r="772">
      <c r="A772" s="434"/>
      <c r="D772" s="38"/>
    </row>
    <row r="773">
      <c r="A773" s="434"/>
      <c r="D773" s="38"/>
    </row>
    <row r="774">
      <c r="A774" s="434"/>
      <c r="D774" s="38"/>
    </row>
    <row r="775">
      <c r="A775" s="434"/>
      <c r="D775" s="38"/>
    </row>
    <row r="776">
      <c r="A776" s="434"/>
      <c r="D776" s="38"/>
    </row>
    <row r="777">
      <c r="A777" s="434"/>
      <c r="D777" s="38"/>
    </row>
    <row r="778">
      <c r="A778" s="434"/>
      <c r="D778" s="38"/>
    </row>
    <row r="779">
      <c r="A779" s="434"/>
      <c r="D779" s="38"/>
    </row>
    <row r="780">
      <c r="A780" s="434"/>
      <c r="D780" s="38"/>
    </row>
    <row r="781">
      <c r="A781" s="434"/>
      <c r="D781" s="38"/>
    </row>
    <row r="782">
      <c r="A782" s="434"/>
      <c r="D782" s="38"/>
    </row>
    <row r="783">
      <c r="A783" s="434"/>
      <c r="D783" s="38"/>
    </row>
    <row r="784">
      <c r="A784" s="434"/>
      <c r="D784" s="38"/>
    </row>
    <row r="785">
      <c r="A785" s="434"/>
      <c r="D785" s="38"/>
    </row>
    <row r="786">
      <c r="A786" s="434"/>
      <c r="D786" s="38"/>
    </row>
    <row r="787">
      <c r="A787" s="434"/>
      <c r="D787" s="38"/>
    </row>
    <row r="788">
      <c r="A788" s="434"/>
      <c r="D788" s="38"/>
    </row>
    <row r="789">
      <c r="A789" s="434"/>
      <c r="D789" s="38"/>
    </row>
    <row r="790">
      <c r="A790" s="434"/>
      <c r="D790" s="38"/>
    </row>
    <row r="791">
      <c r="A791" s="434"/>
      <c r="D791" s="38"/>
    </row>
    <row r="792">
      <c r="A792" s="434"/>
      <c r="D792" s="38"/>
    </row>
    <row r="793">
      <c r="A793" s="434"/>
      <c r="D793" s="38"/>
    </row>
    <row r="794">
      <c r="A794" s="434"/>
      <c r="D794" s="38"/>
    </row>
    <row r="795">
      <c r="A795" s="434"/>
      <c r="D795" s="38"/>
    </row>
    <row r="796">
      <c r="A796" s="434"/>
      <c r="D796" s="38"/>
    </row>
    <row r="797">
      <c r="A797" s="434"/>
      <c r="D797" s="38"/>
    </row>
    <row r="798">
      <c r="A798" s="434"/>
      <c r="D798" s="38"/>
    </row>
    <row r="799">
      <c r="A799" s="434"/>
      <c r="D799" s="38"/>
    </row>
    <row r="800">
      <c r="A800" s="434"/>
      <c r="D800" s="38"/>
    </row>
    <row r="801">
      <c r="A801" s="434"/>
      <c r="D801" s="38"/>
    </row>
    <row r="802">
      <c r="A802" s="434"/>
      <c r="D802" s="38"/>
    </row>
    <row r="803">
      <c r="A803" s="434"/>
      <c r="D803" s="38"/>
    </row>
    <row r="804">
      <c r="A804" s="434"/>
      <c r="D804" s="38"/>
    </row>
    <row r="805">
      <c r="A805" s="434"/>
      <c r="D805" s="38"/>
    </row>
    <row r="806">
      <c r="A806" s="434"/>
      <c r="D806" s="38"/>
    </row>
    <row r="807">
      <c r="A807" s="434"/>
      <c r="D807" s="38"/>
    </row>
    <row r="808">
      <c r="A808" s="434"/>
      <c r="D808" s="38"/>
    </row>
    <row r="809">
      <c r="A809" s="434"/>
      <c r="D809" s="38"/>
    </row>
    <row r="810">
      <c r="A810" s="434"/>
      <c r="D810" s="38"/>
    </row>
    <row r="811">
      <c r="A811" s="434"/>
      <c r="D811" s="38"/>
    </row>
    <row r="812">
      <c r="A812" s="434"/>
      <c r="D812" s="38"/>
    </row>
    <row r="813">
      <c r="A813" s="434"/>
      <c r="D813" s="38"/>
    </row>
    <row r="814">
      <c r="A814" s="434"/>
      <c r="D814" s="38"/>
    </row>
    <row r="815">
      <c r="A815" s="434"/>
      <c r="D815" s="38"/>
    </row>
    <row r="816">
      <c r="A816" s="434"/>
      <c r="D816" s="38"/>
    </row>
    <row r="817">
      <c r="A817" s="434"/>
      <c r="D817" s="38"/>
    </row>
    <row r="818">
      <c r="A818" s="434"/>
      <c r="D818" s="38"/>
    </row>
    <row r="819">
      <c r="A819" s="434"/>
      <c r="D819" s="38"/>
    </row>
    <row r="820">
      <c r="A820" s="434"/>
      <c r="D820" s="38"/>
    </row>
    <row r="821">
      <c r="A821" s="434"/>
      <c r="D821" s="38"/>
    </row>
    <row r="822">
      <c r="A822" s="434"/>
      <c r="D822" s="38"/>
    </row>
    <row r="823">
      <c r="A823" s="434"/>
      <c r="D823" s="38"/>
    </row>
    <row r="824">
      <c r="A824" s="434"/>
      <c r="D824" s="38"/>
    </row>
    <row r="825">
      <c r="A825" s="434"/>
      <c r="D825" s="38"/>
    </row>
    <row r="826">
      <c r="A826" s="434"/>
      <c r="D826" s="38"/>
    </row>
    <row r="827">
      <c r="A827" s="434"/>
      <c r="D827" s="38"/>
    </row>
    <row r="828">
      <c r="A828" s="434"/>
      <c r="D828" s="38"/>
    </row>
    <row r="829">
      <c r="A829" s="434"/>
      <c r="D829" s="38"/>
    </row>
    <row r="830">
      <c r="A830" s="434"/>
      <c r="D830" s="38"/>
    </row>
    <row r="831">
      <c r="A831" s="434"/>
      <c r="D831" s="38"/>
    </row>
    <row r="832">
      <c r="A832" s="434"/>
      <c r="D832" s="38"/>
    </row>
    <row r="833">
      <c r="A833" s="434"/>
      <c r="D833" s="38"/>
    </row>
    <row r="834">
      <c r="A834" s="434"/>
      <c r="D834" s="38"/>
    </row>
    <row r="835">
      <c r="A835" s="434"/>
      <c r="D835" s="38"/>
    </row>
    <row r="836">
      <c r="A836" s="434"/>
      <c r="D836" s="38"/>
    </row>
    <row r="837">
      <c r="A837" s="434"/>
      <c r="D837" s="38"/>
    </row>
    <row r="838">
      <c r="A838" s="434"/>
      <c r="D838" s="38"/>
    </row>
    <row r="839">
      <c r="A839" s="434"/>
      <c r="D839" s="38"/>
    </row>
    <row r="840">
      <c r="A840" s="434"/>
      <c r="D840" s="38"/>
    </row>
    <row r="841">
      <c r="A841" s="434"/>
      <c r="D841" s="38"/>
    </row>
    <row r="842">
      <c r="A842" s="434"/>
      <c r="D842" s="38"/>
    </row>
    <row r="843">
      <c r="A843" s="434"/>
      <c r="D843" s="38"/>
    </row>
    <row r="844">
      <c r="A844" s="434"/>
      <c r="D844" s="38"/>
    </row>
    <row r="845">
      <c r="A845" s="434"/>
      <c r="D845" s="38"/>
    </row>
    <row r="846">
      <c r="A846" s="434"/>
      <c r="D846" s="38"/>
    </row>
    <row r="847">
      <c r="A847" s="434"/>
      <c r="D847" s="38"/>
    </row>
    <row r="848">
      <c r="A848" s="434"/>
      <c r="D848" s="38"/>
    </row>
    <row r="849">
      <c r="A849" s="434"/>
      <c r="D849" s="38"/>
    </row>
    <row r="850">
      <c r="A850" s="434"/>
      <c r="D850" s="38"/>
    </row>
    <row r="851">
      <c r="A851" s="434"/>
      <c r="D851" s="38"/>
    </row>
    <row r="852">
      <c r="A852" s="434"/>
      <c r="D852" s="38"/>
    </row>
    <row r="853">
      <c r="A853" s="434"/>
      <c r="D853" s="38"/>
    </row>
    <row r="854">
      <c r="A854" s="434"/>
      <c r="D854" s="38"/>
    </row>
    <row r="855">
      <c r="A855" s="434"/>
      <c r="D855" s="38"/>
    </row>
    <row r="856">
      <c r="A856" s="434"/>
      <c r="D856" s="38"/>
    </row>
    <row r="857">
      <c r="A857" s="434"/>
      <c r="D857" s="38"/>
    </row>
    <row r="858">
      <c r="A858" s="434"/>
      <c r="D858" s="38"/>
    </row>
    <row r="859">
      <c r="A859" s="434"/>
      <c r="D859" s="38"/>
    </row>
    <row r="860">
      <c r="A860" s="434"/>
      <c r="D860" s="38"/>
    </row>
    <row r="861">
      <c r="A861" s="434"/>
      <c r="D861" s="38"/>
    </row>
    <row r="862">
      <c r="A862" s="434"/>
      <c r="D862" s="38"/>
    </row>
    <row r="863">
      <c r="A863" s="434"/>
      <c r="D863" s="38"/>
    </row>
    <row r="864">
      <c r="A864" s="434"/>
      <c r="D864" s="38"/>
    </row>
    <row r="865">
      <c r="A865" s="434"/>
      <c r="D865" s="38"/>
    </row>
    <row r="866">
      <c r="A866" s="434"/>
      <c r="D866" s="38"/>
    </row>
    <row r="867">
      <c r="A867" s="434"/>
      <c r="D867" s="38"/>
    </row>
    <row r="868">
      <c r="A868" s="434"/>
      <c r="D868" s="38"/>
    </row>
    <row r="869">
      <c r="A869" s="434"/>
      <c r="D869" s="38"/>
    </row>
    <row r="870">
      <c r="A870" s="434"/>
      <c r="D870" s="38"/>
    </row>
    <row r="871">
      <c r="A871" s="434"/>
      <c r="D871" s="38"/>
    </row>
    <row r="872">
      <c r="A872" s="434"/>
      <c r="D872" s="38"/>
    </row>
    <row r="873">
      <c r="A873" s="434"/>
      <c r="D873" s="38"/>
    </row>
    <row r="874">
      <c r="A874" s="434"/>
      <c r="D874" s="38"/>
    </row>
    <row r="875">
      <c r="A875" s="434"/>
      <c r="D875" s="38"/>
    </row>
    <row r="876">
      <c r="A876" s="434"/>
      <c r="D876" s="38"/>
    </row>
    <row r="877">
      <c r="A877" s="434"/>
      <c r="D877" s="38"/>
    </row>
    <row r="878">
      <c r="A878" s="434"/>
      <c r="D878" s="38"/>
    </row>
    <row r="879">
      <c r="A879" s="434"/>
      <c r="D879" s="38"/>
    </row>
    <row r="880">
      <c r="A880" s="434"/>
      <c r="D880" s="38"/>
    </row>
    <row r="881">
      <c r="A881" s="434"/>
      <c r="D881" s="38"/>
    </row>
    <row r="882">
      <c r="A882" s="434"/>
      <c r="D882" s="38"/>
    </row>
    <row r="883">
      <c r="A883" s="434"/>
      <c r="D883" s="38"/>
    </row>
    <row r="884">
      <c r="A884" s="434"/>
      <c r="D884" s="38"/>
    </row>
    <row r="885">
      <c r="A885" s="434"/>
      <c r="D885" s="38"/>
    </row>
    <row r="886">
      <c r="A886" s="434"/>
      <c r="D886" s="38"/>
    </row>
    <row r="887">
      <c r="A887" s="434"/>
      <c r="D887" s="38"/>
    </row>
    <row r="888">
      <c r="A888" s="434"/>
      <c r="D888" s="38"/>
    </row>
    <row r="889">
      <c r="A889" s="434"/>
      <c r="D889" s="38"/>
    </row>
    <row r="890">
      <c r="A890" s="434"/>
      <c r="D890" s="38"/>
    </row>
    <row r="891">
      <c r="A891" s="434"/>
      <c r="D891" s="38"/>
    </row>
    <row r="892">
      <c r="A892" s="434"/>
      <c r="D892" s="38"/>
    </row>
    <row r="893">
      <c r="A893" s="434"/>
      <c r="D893" s="38"/>
    </row>
    <row r="894">
      <c r="A894" s="434"/>
      <c r="D894" s="38"/>
    </row>
    <row r="895">
      <c r="A895" s="434"/>
      <c r="D895" s="38"/>
    </row>
    <row r="896">
      <c r="A896" s="434"/>
      <c r="D896" s="38"/>
    </row>
    <row r="897">
      <c r="A897" s="434"/>
      <c r="D897" s="38"/>
    </row>
    <row r="898">
      <c r="A898" s="434"/>
      <c r="D898" s="38"/>
    </row>
    <row r="899">
      <c r="A899" s="434"/>
      <c r="D899" s="38"/>
    </row>
    <row r="900">
      <c r="A900" s="434"/>
      <c r="D900" s="38"/>
    </row>
    <row r="901">
      <c r="A901" s="434"/>
      <c r="D901" s="38"/>
    </row>
    <row r="902">
      <c r="A902" s="434"/>
      <c r="D902" s="38"/>
    </row>
    <row r="903">
      <c r="A903" s="434"/>
      <c r="D903" s="38"/>
    </row>
    <row r="904">
      <c r="A904" s="434"/>
      <c r="D904" s="38"/>
    </row>
    <row r="905">
      <c r="A905" s="434"/>
      <c r="D905" s="38"/>
    </row>
    <row r="906">
      <c r="A906" s="434"/>
      <c r="D906" s="38"/>
    </row>
    <row r="907">
      <c r="A907" s="434"/>
      <c r="D907" s="38"/>
    </row>
    <row r="908">
      <c r="A908" s="434"/>
      <c r="D908" s="38"/>
    </row>
    <row r="909">
      <c r="A909" s="434"/>
      <c r="D909" s="38"/>
    </row>
    <row r="910">
      <c r="A910" s="434"/>
      <c r="D910" s="38"/>
    </row>
    <row r="911">
      <c r="A911" s="434"/>
      <c r="D911" s="38"/>
    </row>
    <row r="912">
      <c r="A912" s="434"/>
      <c r="D912" s="38"/>
    </row>
    <row r="913">
      <c r="A913" s="434"/>
      <c r="D913" s="38"/>
    </row>
    <row r="914">
      <c r="A914" s="434"/>
      <c r="D914" s="38"/>
    </row>
    <row r="915">
      <c r="A915" s="434"/>
      <c r="D915" s="38"/>
    </row>
    <row r="916">
      <c r="A916" s="434"/>
      <c r="D916" s="38"/>
    </row>
    <row r="917">
      <c r="A917" s="434"/>
      <c r="D917" s="38"/>
    </row>
    <row r="918">
      <c r="A918" s="434"/>
      <c r="D918" s="38"/>
    </row>
    <row r="919">
      <c r="A919" s="434"/>
      <c r="D919" s="38"/>
    </row>
    <row r="920">
      <c r="A920" s="434"/>
      <c r="D920" s="38"/>
    </row>
    <row r="921">
      <c r="A921" s="434"/>
      <c r="D921" s="38"/>
    </row>
    <row r="922">
      <c r="A922" s="434"/>
      <c r="D922" s="38"/>
    </row>
    <row r="923">
      <c r="A923" s="434"/>
      <c r="D923" s="38"/>
    </row>
    <row r="924">
      <c r="A924" s="434"/>
      <c r="D924" s="38"/>
    </row>
    <row r="925">
      <c r="A925" s="434"/>
      <c r="D925" s="38"/>
    </row>
    <row r="926">
      <c r="A926" s="434"/>
      <c r="D926" s="38"/>
    </row>
    <row r="927">
      <c r="A927" s="434"/>
      <c r="D927" s="38"/>
    </row>
    <row r="928">
      <c r="A928" s="434"/>
      <c r="D928" s="38"/>
    </row>
    <row r="929">
      <c r="A929" s="434"/>
      <c r="D929" s="38"/>
    </row>
    <row r="930">
      <c r="A930" s="434"/>
      <c r="D930" s="38"/>
    </row>
    <row r="931">
      <c r="A931" s="434"/>
      <c r="D931" s="38"/>
    </row>
    <row r="932">
      <c r="A932" s="434"/>
      <c r="D932" s="38"/>
    </row>
    <row r="933">
      <c r="A933" s="434"/>
      <c r="D933" s="38"/>
    </row>
    <row r="934">
      <c r="A934" s="434"/>
      <c r="D934" s="38"/>
    </row>
    <row r="935">
      <c r="A935" s="434"/>
      <c r="D935" s="38"/>
    </row>
    <row r="936">
      <c r="A936" s="434"/>
      <c r="D936" s="38"/>
    </row>
    <row r="937">
      <c r="A937" s="434"/>
      <c r="D937" s="38"/>
    </row>
    <row r="938">
      <c r="A938" s="434"/>
      <c r="D938" s="38"/>
    </row>
    <row r="939">
      <c r="A939" s="434"/>
      <c r="D939" s="38"/>
    </row>
    <row r="940">
      <c r="A940" s="434"/>
      <c r="D940" s="38"/>
    </row>
    <row r="941">
      <c r="A941" s="434"/>
      <c r="D941" s="38"/>
    </row>
    <row r="942">
      <c r="A942" s="434"/>
      <c r="D942" s="38"/>
    </row>
    <row r="943">
      <c r="A943" s="434"/>
      <c r="D943" s="38"/>
    </row>
    <row r="944">
      <c r="A944" s="434"/>
      <c r="D944" s="38"/>
    </row>
    <row r="945">
      <c r="A945" s="434"/>
      <c r="D945" s="38"/>
    </row>
    <row r="946">
      <c r="A946" s="434"/>
      <c r="D946" s="38"/>
    </row>
    <row r="947">
      <c r="A947" s="434"/>
      <c r="D947" s="38"/>
    </row>
    <row r="948">
      <c r="A948" s="434"/>
      <c r="D948" s="38"/>
    </row>
    <row r="949">
      <c r="A949" s="434"/>
      <c r="D949" s="38"/>
    </row>
    <row r="950">
      <c r="A950" s="434"/>
      <c r="D950" s="38"/>
    </row>
    <row r="951">
      <c r="A951" s="434"/>
      <c r="D951" s="38"/>
    </row>
    <row r="952">
      <c r="A952" s="434"/>
      <c r="D952" s="38"/>
    </row>
    <row r="953">
      <c r="A953" s="434"/>
      <c r="D953" s="38"/>
    </row>
    <row r="954">
      <c r="A954" s="434"/>
      <c r="D954" s="38"/>
    </row>
    <row r="955">
      <c r="A955" s="434"/>
      <c r="D955" s="38"/>
    </row>
    <row r="956">
      <c r="A956" s="434"/>
      <c r="D956" s="38"/>
    </row>
    <row r="957">
      <c r="A957" s="434"/>
      <c r="D957" s="38"/>
    </row>
    <row r="958">
      <c r="A958" s="434"/>
      <c r="D958" s="38"/>
    </row>
    <row r="959">
      <c r="A959" s="434"/>
      <c r="D959" s="38"/>
    </row>
    <row r="960">
      <c r="A960" s="434"/>
      <c r="D960" s="38"/>
    </row>
    <row r="961">
      <c r="A961" s="434"/>
      <c r="D961" s="38"/>
    </row>
    <row r="962">
      <c r="A962" s="434"/>
      <c r="D962" s="38"/>
    </row>
    <row r="963">
      <c r="A963" s="434"/>
      <c r="D963" s="38"/>
    </row>
    <row r="964">
      <c r="A964" s="434"/>
      <c r="D964" s="38"/>
    </row>
    <row r="965">
      <c r="A965" s="434"/>
      <c r="D965" s="38"/>
    </row>
    <row r="966">
      <c r="A966" s="434"/>
      <c r="D966" s="38"/>
    </row>
    <row r="967">
      <c r="A967" s="434"/>
      <c r="D967" s="38"/>
    </row>
    <row r="968">
      <c r="A968" s="434"/>
      <c r="D968" s="38"/>
    </row>
    <row r="969">
      <c r="A969" s="434"/>
      <c r="D969" s="38"/>
    </row>
    <row r="970">
      <c r="A970" s="434"/>
      <c r="D970" s="38"/>
    </row>
    <row r="971">
      <c r="A971" s="434"/>
      <c r="D971" s="38"/>
    </row>
    <row r="972">
      <c r="A972" s="434"/>
      <c r="D972" s="38"/>
    </row>
    <row r="973">
      <c r="A973" s="434"/>
      <c r="D973" s="38"/>
    </row>
    <row r="974">
      <c r="A974" s="434"/>
      <c r="D974" s="38"/>
    </row>
    <row r="975">
      <c r="A975" s="434"/>
      <c r="D975" s="38"/>
    </row>
    <row r="976">
      <c r="A976" s="434"/>
      <c r="D976" s="38"/>
    </row>
    <row r="977">
      <c r="A977" s="434"/>
      <c r="D977" s="38"/>
    </row>
    <row r="978">
      <c r="A978" s="434"/>
      <c r="D978" s="38"/>
    </row>
    <row r="979">
      <c r="A979" s="434"/>
      <c r="D979" s="38"/>
    </row>
    <row r="980">
      <c r="A980" s="434"/>
      <c r="D980" s="38"/>
    </row>
    <row r="981">
      <c r="A981" s="434"/>
      <c r="D981" s="38"/>
    </row>
    <row r="982">
      <c r="A982" s="434"/>
      <c r="D982" s="38"/>
    </row>
    <row r="983">
      <c r="A983" s="434"/>
      <c r="D983" s="38"/>
    </row>
    <row r="984">
      <c r="A984" s="434"/>
      <c r="D984" s="38"/>
    </row>
    <row r="985">
      <c r="A985" s="434"/>
      <c r="D985" s="38"/>
    </row>
    <row r="986">
      <c r="A986" s="434"/>
      <c r="D986" s="38"/>
    </row>
    <row r="987">
      <c r="A987" s="434"/>
      <c r="D987" s="38"/>
    </row>
    <row r="988">
      <c r="A988" s="434"/>
      <c r="D988" s="38"/>
    </row>
    <row r="989">
      <c r="A989" s="434"/>
      <c r="D989" s="38"/>
    </row>
    <row r="990">
      <c r="A990" s="434"/>
      <c r="D990" s="38"/>
    </row>
    <row r="991">
      <c r="A991" s="434"/>
      <c r="D991" s="38"/>
    </row>
    <row r="992">
      <c r="A992" s="434"/>
      <c r="D992" s="38"/>
    </row>
    <row r="993">
      <c r="A993" s="434"/>
      <c r="D993" s="38"/>
    </row>
    <row r="994">
      <c r="A994" s="434"/>
      <c r="D994" s="38"/>
    </row>
    <row r="995">
      <c r="A995" s="434"/>
      <c r="D995" s="38"/>
    </row>
    <row r="996">
      <c r="A996" s="434"/>
      <c r="D996" s="38"/>
    </row>
    <row r="997">
      <c r="A997" s="434"/>
      <c r="D997" s="38"/>
    </row>
    <row r="998">
      <c r="A998" s="434"/>
      <c r="D998" s="38"/>
    </row>
    <row r="999">
      <c r="A999" s="434"/>
      <c r="D999" s="38"/>
    </row>
    <row r="1000">
      <c r="A1000" s="434"/>
      <c r="D1000" s="38"/>
    </row>
    <row r="1001">
      <c r="A1001" s="434"/>
      <c r="D1001" s="38"/>
    </row>
  </sheetData>
  <customSheetViews>
    <customSheetView guid="{9D2F5B4C-BA7D-479C-B7FF-4F2FBA79609E}" filter="1" showAutoFilter="1">
      <autoFilter ref="$D$1:$D$1001"/>
    </customSheetView>
  </customSheetViews>
  <hyperlinks>
    <hyperlink r:id="rId1" ref="E3"/>
    <hyperlink r:id="rId2" ref="I3"/>
    <hyperlink r:id="rId3" ref="E5"/>
    <hyperlink r:id="rId4" ref="E6"/>
    <hyperlink r:id="rId5" ref="E7"/>
    <hyperlink r:id="rId6" ref="E9"/>
    <hyperlink r:id="rId7" ref="E10"/>
    <hyperlink r:id="rId8" ref="E12"/>
    <hyperlink r:id="rId9" ref="I12"/>
    <hyperlink r:id="rId10" ref="E14"/>
    <hyperlink r:id="rId11" ref="E15"/>
    <hyperlink r:id="rId12" ref="E16"/>
    <hyperlink r:id="rId13" ref="I16"/>
    <hyperlink r:id="rId14" ref="E17"/>
    <hyperlink r:id="rId15" ref="E18"/>
    <hyperlink r:id="rId16" ref="I18"/>
    <hyperlink r:id="rId17" ref="E19"/>
    <hyperlink r:id="rId18" ref="E20"/>
    <hyperlink r:id="rId19" ref="E21"/>
    <hyperlink r:id="rId20" ref="E23"/>
    <hyperlink r:id="rId21" ref="E24"/>
    <hyperlink r:id="rId22" ref="E25"/>
    <hyperlink r:id="rId23" ref="E27"/>
    <hyperlink r:id="rId24" ref="E29"/>
    <hyperlink r:id="rId25" ref="E30"/>
    <hyperlink r:id="rId26" ref="E32"/>
    <hyperlink r:id="rId27" ref="E34"/>
    <hyperlink r:id="rId28" ref="E35"/>
    <hyperlink r:id="rId29" ref="E36"/>
    <hyperlink r:id="rId30" ref="E37"/>
    <hyperlink r:id="rId31" ref="E39"/>
    <hyperlink r:id="rId32" ref="E40"/>
    <hyperlink r:id="rId33" ref="E42"/>
    <hyperlink r:id="rId34" ref="E43"/>
    <hyperlink r:id="rId35" ref="E44"/>
    <hyperlink r:id="rId36" ref="E46"/>
    <hyperlink r:id="rId37" ref="E47"/>
    <hyperlink r:id="rId38" ref="E49"/>
    <hyperlink r:id="rId39" ref="I49"/>
    <hyperlink r:id="rId40" ref="E50"/>
    <hyperlink r:id="rId41" ref="E52"/>
    <hyperlink r:id="rId42" ref="E54"/>
    <hyperlink r:id="rId43" ref="E55"/>
    <hyperlink r:id="rId44" ref="E56"/>
    <hyperlink r:id="rId45" ref="E57"/>
    <hyperlink r:id="rId46" ref="E58"/>
    <hyperlink r:id="rId47" ref="E59"/>
    <hyperlink r:id="rId48" ref="G60"/>
    <hyperlink r:id="rId49" ref="E61"/>
    <hyperlink r:id="rId50" ref="I61"/>
    <hyperlink r:id="rId51" ref="E63"/>
    <hyperlink r:id="rId52" ref="E64"/>
    <hyperlink r:id="rId53" ref="I64"/>
    <hyperlink r:id="rId54" ref="E66"/>
    <hyperlink r:id="rId55" ref="E67"/>
    <hyperlink r:id="rId56" ref="E69"/>
    <hyperlink r:id="rId57" ref="E70"/>
    <hyperlink r:id="rId58" ref="E72"/>
    <hyperlink r:id="rId59" ref="E73"/>
    <hyperlink r:id="rId60" ref="I73"/>
    <hyperlink r:id="rId61" ref="E75"/>
    <hyperlink r:id="rId62" ref="E76"/>
    <hyperlink r:id="rId63" ref="I76"/>
    <hyperlink r:id="rId64" ref="E77"/>
    <hyperlink r:id="rId65" ref="E78"/>
    <hyperlink r:id="rId66" ref="I78"/>
    <hyperlink r:id="rId67" ref="E80"/>
    <hyperlink r:id="rId68" ref="E81"/>
    <hyperlink r:id="rId69" ref="E84"/>
    <hyperlink r:id="rId70" ref="E85"/>
    <hyperlink r:id="rId71" ref="E86"/>
    <hyperlink r:id="rId72" ref="E87"/>
    <hyperlink r:id="rId73" ref="E88"/>
  </hyperlinks>
  <drawing r:id="rId7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29.57"/>
    <col customWidth="1" min="8" max="8" width="23.71"/>
  </cols>
  <sheetData>
    <row r="1">
      <c r="A1" s="385" t="s">
        <v>0</v>
      </c>
      <c r="B1" s="386" t="s">
        <v>1</v>
      </c>
      <c r="C1" s="386" t="s">
        <v>1817</v>
      </c>
      <c r="D1" s="431" t="s">
        <v>2</v>
      </c>
      <c r="E1" s="386" t="s">
        <v>3</v>
      </c>
      <c r="F1" s="386" t="s">
        <v>4</v>
      </c>
      <c r="G1" s="386" t="s">
        <v>6</v>
      </c>
      <c r="H1" s="387" t="s">
        <v>8</v>
      </c>
      <c r="I1" s="386" t="s">
        <v>9</v>
      </c>
      <c r="J1" s="391"/>
      <c r="K1" s="106"/>
      <c r="L1" s="106"/>
      <c r="M1" s="106"/>
      <c r="N1" s="106"/>
      <c r="O1" s="106"/>
      <c r="P1" s="106"/>
      <c r="Q1" s="106"/>
      <c r="R1" s="106"/>
      <c r="S1" s="106"/>
      <c r="T1" s="106"/>
      <c r="U1" s="106"/>
      <c r="V1" s="106"/>
      <c r="W1" s="106"/>
      <c r="X1" s="106"/>
      <c r="Y1" s="106"/>
      <c r="Z1" s="106"/>
      <c r="AA1" s="106"/>
      <c r="AB1" s="106"/>
      <c r="AC1" s="106"/>
      <c r="AD1" s="106"/>
      <c r="AE1" s="106"/>
      <c r="AF1" s="106"/>
    </row>
    <row r="2">
      <c r="A2" s="433">
        <v>43221.0</v>
      </c>
      <c r="B2" s="36"/>
      <c r="D2" s="19"/>
      <c r="E2" s="36"/>
      <c r="F2" s="329"/>
      <c r="G2" s="329"/>
      <c r="H2" s="407"/>
    </row>
    <row r="3">
      <c r="A3" s="434"/>
      <c r="B3" s="36" t="s">
        <v>1222</v>
      </c>
      <c r="D3" s="75" t="s">
        <v>551</v>
      </c>
      <c r="E3" s="36" t="s">
        <v>3359</v>
      </c>
      <c r="F3" s="291" t="s">
        <v>2283</v>
      </c>
      <c r="G3" s="291" t="s">
        <v>2284</v>
      </c>
      <c r="H3" s="448" t="s">
        <v>3360</v>
      </c>
    </row>
    <row r="4">
      <c r="A4" s="434"/>
      <c r="B4" s="117" t="s">
        <v>3361</v>
      </c>
      <c r="D4" s="449">
        <v>5.22036617E8</v>
      </c>
      <c r="E4" s="257" t="s">
        <v>3362</v>
      </c>
      <c r="F4" s="291" t="s">
        <v>2293</v>
      </c>
      <c r="G4" s="291" t="s">
        <v>2333</v>
      </c>
      <c r="H4" s="396" t="s">
        <v>3027</v>
      </c>
    </row>
    <row r="5">
      <c r="A5" s="433">
        <v>43222.0</v>
      </c>
      <c r="C5" s="394"/>
      <c r="D5" s="38"/>
      <c r="F5" s="329"/>
      <c r="G5" s="329"/>
      <c r="H5" s="401"/>
    </row>
    <row r="6">
      <c r="A6" s="434"/>
      <c r="B6" s="394" t="s">
        <v>3363</v>
      </c>
      <c r="D6" s="75" t="s">
        <v>3364</v>
      </c>
      <c r="E6" s="398" t="s">
        <v>3365</v>
      </c>
      <c r="F6" s="291" t="s">
        <v>2283</v>
      </c>
      <c r="G6" s="291" t="s">
        <v>2528</v>
      </c>
      <c r="H6" s="396" t="s">
        <v>1143</v>
      </c>
    </row>
    <row r="7">
      <c r="A7" s="434"/>
      <c r="B7" s="467" t="s">
        <v>3366</v>
      </c>
      <c r="D7" s="38"/>
      <c r="E7" s="36" t="s">
        <v>3367</v>
      </c>
      <c r="F7" s="329"/>
      <c r="G7" s="329"/>
      <c r="H7" s="396" t="s">
        <v>3368</v>
      </c>
    </row>
    <row r="8">
      <c r="A8" s="434"/>
      <c r="B8" s="413" t="s">
        <v>3369</v>
      </c>
      <c r="D8" s="38"/>
      <c r="E8" s="468" t="s">
        <v>3370</v>
      </c>
      <c r="F8" s="329"/>
      <c r="G8" s="329"/>
      <c r="H8" s="396" t="s">
        <v>3371</v>
      </c>
    </row>
    <row r="9">
      <c r="A9" s="433">
        <v>43223.0</v>
      </c>
      <c r="D9" s="38"/>
      <c r="F9" s="329"/>
      <c r="G9" s="329"/>
      <c r="H9" s="401"/>
    </row>
    <row r="10">
      <c r="A10" s="434"/>
      <c r="B10" s="394" t="s">
        <v>3372</v>
      </c>
      <c r="D10" s="42" t="s">
        <v>3373</v>
      </c>
      <c r="E10" s="398" t="s">
        <v>3374</v>
      </c>
      <c r="F10" s="291" t="s">
        <v>2283</v>
      </c>
      <c r="G10" s="291" t="s">
        <v>3375</v>
      </c>
      <c r="H10" s="396" t="s">
        <v>3311</v>
      </c>
    </row>
    <row r="11">
      <c r="A11" s="434"/>
      <c r="B11" s="36" t="s">
        <v>3369</v>
      </c>
      <c r="D11" s="75" t="s">
        <v>3376</v>
      </c>
      <c r="E11" s="36" t="s">
        <v>3377</v>
      </c>
      <c r="F11" s="291" t="s">
        <v>3340</v>
      </c>
      <c r="G11" s="329"/>
      <c r="H11" s="396" t="s">
        <v>3378</v>
      </c>
      <c r="I11" s="36" t="s">
        <v>803</v>
      </c>
    </row>
    <row r="12">
      <c r="A12" s="434"/>
      <c r="B12" s="394" t="s">
        <v>3379</v>
      </c>
      <c r="D12" s="42" t="s">
        <v>3380</v>
      </c>
      <c r="E12" s="398" t="s">
        <v>3381</v>
      </c>
      <c r="F12" s="329"/>
      <c r="G12" s="291" t="s">
        <v>3375</v>
      </c>
      <c r="H12" s="396" t="s">
        <v>3158</v>
      </c>
    </row>
    <row r="13">
      <c r="A13" s="434"/>
      <c r="B13" s="394" t="s">
        <v>3382</v>
      </c>
      <c r="D13" s="42" t="s">
        <v>3383</v>
      </c>
      <c r="E13" s="398" t="s">
        <v>3384</v>
      </c>
      <c r="F13" s="329"/>
      <c r="G13" s="329"/>
      <c r="H13" s="448" t="s">
        <v>2767</v>
      </c>
    </row>
    <row r="14">
      <c r="A14" s="433">
        <v>43225.0</v>
      </c>
      <c r="D14" s="38"/>
      <c r="F14" s="329"/>
      <c r="G14" s="329"/>
      <c r="H14" s="401"/>
    </row>
    <row r="15">
      <c r="A15" s="434"/>
      <c r="B15" s="413" t="s">
        <v>3385</v>
      </c>
      <c r="D15" s="42" t="s">
        <v>3386</v>
      </c>
      <c r="E15" s="468" t="s">
        <v>3387</v>
      </c>
      <c r="F15" s="291" t="s">
        <v>3340</v>
      </c>
      <c r="G15" s="329"/>
      <c r="H15" s="396" t="s">
        <v>3388</v>
      </c>
      <c r="I15" s="36" t="s">
        <v>32</v>
      </c>
    </row>
    <row r="16">
      <c r="A16" s="433">
        <v>43226.0</v>
      </c>
      <c r="D16" s="38"/>
      <c r="F16" s="329"/>
      <c r="G16" s="329"/>
      <c r="H16" s="401"/>
    </row>
    <row r="17">
      <c r="A17" s="434"/>
      <c r="B17" s="36" t="s">
        <v>3389</v>
      </c>
      <c r="D17" s="75" t="s">
        <v>3390</v>
      </c>
      <c r="E17" s="257" t="s">
        <v>3391</v>
      </c>
      <c r="F17" s="291" t="s">
        <v>2293</v>
      </c>
      <c r="G17" s="291" t="s">
        <v>3375</v>
      </c>
      <c r="H17" s="396" t="s">
        <v>2334</v>
      </c>
    </row>
    <row r="18">
      <c r="A18" s="434"/>
      <c r="B18" s="394" t="s">
        <v>3392</v>
      </c>
      <c r="D18" s="42" t="s">
        <v>3393</v>
      </c>
      <c r="E18" s="36" t="s">
        <v>3394</v>
      </c>
      <c r="F18" s="291" t="s">
        <v>2283</v>
      </c>
      <c r="G18" s="329"/>
      <c r="H18" s="407" t="s">
        <v>3395</v>
      </c>
      <c r="I18" s="36" t="s">
        <v>32</v>
      </c>
    </row>
    <row r="19">
      <c r="A19" s="434"/>
      <c r="B19" s="394" t="s">
        <v>3396</v>
      </c>
      <c r="D19" s="42" t="s">
        <v>3397</v>
      </c>
      <c r="E19" s="398" t="s">
        <v>3398</v>
      </c>
      <c r="F19" s="291" t="s">
        <v>2283</v>
      </c>
      <c r="G19" s="329"/>
      <c r="H19" s="407" t="s">
        <v>2932</v>
      </c>
    </row>
    <row r="20">
      <c r="A20" s="433">
        <v>43227.0</v>
      </c>
      <c r="D20" s="38"/>
      <c r="F20" s="329"/>
      <c r="G20" s="329"/>
      <c r="H20" s="401"/>
    </row>
    <row r="21">
      <c r="A21" s="434"/>
      <c r="B21" s="394" t="s">
        <v>3399</v>
      </c>
      <c r="D21" s="75" t="s">
        <v>3400</v>
      </c>
      <c r="E21" s="398" t="s">
        <v>3401</v>
      </c>
      <c r="F21" s="291" t="s">
        <v>2283</v>
      </c>
      <c r="G21" s="329"/>
      <c r="H21" s="442" t="s">
        <v>3402</v>
      </c>
    </row>
    <row r="22">
      <c r="A22" s="433">
        <v>43229.0</v>
      </c>
      <c r="D22" s="38"/>
      <c r="F22" s="329"/>
      <c r="G22" s="329"/>
      <c r="H22" s="401"/>
    </row>
    <row r="23">
      <c r="A23" s="434"/>
      <c r="B23" s="117" t="s">
        <v>3403</v>
      </c>
      <c r="D23" s="42" t="s">
        <v>3404</v>
      </c>
      <c r="E23" s="257" t="s">
        <v>3405</v>
      </c>
      <c r="F23" s="291" t="s">
        <v>2293</v>
      </c>
      <c r="G23" s="329"/>
      <c r="H23" s="396" t="s">
        <v>3406</v>
      </c>
    </row>
    <row r="24">
      <c r="A24" s="434"/>
      <c r="B24" s="394" t="s">
        <v>3407</v>
      </c>
      <c r="D24" s="42" t="s">
        <v>3408</v>
      </c>
      <c r="E24" s="398" t="s">
        <v>3409</v>
      </c>
      <c r="F24" s="291" t="s">
        <v>2283</v>
      </c>
      <c r="G24" s="329"/>
      <c r="H24" s="396" t="s">
        <v>3410</v>
      </c>
    </row>
    <row r="25">
      <c r="A25" s="433">
        <v>43230.0</v>
      </c>
      <c r="D25" s="38"/>
      <c r="F25" s="329"/>
      <c r="G25" s="329"/>
      <c r="H25" s="401"/>
    </row>
    <row r="26">
      <c r="A26" s="434"/>
      <c r="B26" s="394" t="s">
        <v>3411</v>
      </c>
      <c r="D26" s="42" t="s">
        <v>3412</v>
      </c>
      <c r="E26" s="398" t="s">
        <v>3413</v>
      </c>
      <c r="F26" s="291"/>
      <c r="G26" s="329"/>
      <c r="H26" s="396"/>
    </row>
    <row r="27">
      <c r="A27" s="433">
        <v>43233.0</v>
      </c>
      <c r="D27" s="38"/>
      <c r="F27" s="329"/>
      <c r="G27" s="329"/>
      <c r="H27" s="401"/>
    </row>
    <row r="28">
      <c r="A28" s="434"/>
      <c r="D28" s="38"/>
      <c r="F28" s="329"/>
      <c r="G28" s="329"/>
      <c r="H28" s="401"/>
    </row>
    <row r="29">
      <c r="A29" s="434"/>
      <c r="B29" s="394" t="s">
        <v>3414</v>
      </c>
      <c r="D29" s="75" t="s">
        <v>3415</v>
      </c>
      <c r="E29" s="398" t="s">
        <v>3416</v>
      </c>
      <c r="F29" s="291" t="s">
        <v>2283</v>
      </c>
      <c r="G29" s="291" t="s">
        <v>2284</v>
      </c>
      <c r="H29" s="396" t="s">
        <v>3358</v>
      </c>
      <c r="I29" s="36" t="s">
        <v>54</v>
      </c>
    </row>
    <row r="30">
      <c r="A30" s="434"/>
      <c r="B30" s="394" t="s">
        <v>3417</v>
      </c>
      <c r="D30" s="75" t="s">
        <v>3418</v>
      </c>
      <c r="E30" s="398" t="s">
        <v>3419</v>
      </c>
      <c r="F30" s="291" t="s">
        <v>2283</v>
      </c>
      <c r="G30" s="291" t="s">
        <v>2528</v>
      </c>
      <c r="H30" s="396" t="s">
        <v>3420</v>
      </c>
      <c r="I30" s="36" t="s">
        <v>32</v>
      </c>
    </row>
    <row r="31">
      <c r="A31" s="434"/>
      <c r="B31" s="117" t="s">
        <v>3421</v>
      </c>
      <c r="D31" s="42" t="s">
        <v>3422</v>
      </c>
      <c r="E31" s="257" t="s">
        <v>3423</v>
      </c>
      <c r="F31" s="291" t="s">
        <v>2293</v>
      </c>
      <c r="G31" s="291" t="s">
        <v>2333</v>
      </c>
      <c r="H31" s="396" t="s">
        <v>3424</v>
      </c>
    </row>
    <row r="32">
      <c r="A32" s="434"/>
      <c r="B32" s="394" t="s">
        <v>3425</v>
      </c>
      <c r="D32" s="42" t="s">
        <v>3426</v>
      </c>
      <c r="E32" s="398" t="s">
        <v>3427</v>
      </c>
      <c r="F32" s="291" t="s">
        <v>2293</v>
      </c>
      <c r="G32" s="329"/>
      <c r="H32" s="442" t="s">
        <v>3428</v>
      </c>
      <c r="I32" s="36" t="s">
        <v>32</v>
      </c>
    </row>
    <row r="33">
      <c r="A33" s="433">
        <v>43234.0</v>
      </c>
      <c r="D33" s="38"/>
      <c r="F33" s="329"/>
      <c r="G33" s="329"/>
      <c r="H33" s="401"/>
    </row>
    <row r="34">
      <c r="A34" s="434"/>
      <c r="B34" s="394" t="s">
        <v>3414</v>
      </c>
      <c r="D34" s="75" t="s">
        <v>3415</v>
      </c>
      <c r="E34" s="398" t="s">
        <v>3416</v>
      </c>
      <c r="F34" s="291" t="s">
        <v>2283</v>
      </c>
      <c r="G34" s="291" t="s">
        <v>2284</v>
      </c>
      <c r="H34" s="396" t="s">
        <v>3358</v>
      </c>
      <c r="I34" s="36" t="s">
        <v>54</v>
      </c>
    </row>
    <row r="35">
      <c r="A35" s="434"/>
      <c r="B35" s="36" t="s">
        <v>3429</v>
      </c>
      <c r="D35" s="75" t="s">
        <v>3430</v>
      </c>
      <c r="E35" s="257" t="s">
        <v>3431</v>
      </c>
      <c r="F35" s="291" t="s">
        <v>2293</v>
      </c>
      <c r="G35" s="329"/>
      <c r="H35" s="418" t="s">
        <v>3432</v>
      </c>
      <c r="I35" s="36" t="s">
        <v>32</v>
      </c>
    </row>
    <row r="36">
      <c r="A36" s="433">
        <v>43235.0</v>
      </c>
      <c r="D36" s="38"/>
      <c r="F36" s="329"/>
      <c r="G36" s="329"/>
      <c r="H36" s="401"/>
    </row>
    <row r="37">
      <c r="A37" s="434"/>
      <c r="B37" s="36" t="s">
        <v>84</v>
      </c>
      <c r="D37" s="42" t="s">
        <v>3433</v>
      </c>
      <c r="E37" s="36" t="s">
        <v>3434</v>
      </c>
      <c r="F37" s="291" t="s">
        <v>2923</v>
      </c>
      <c r="G37" s="291" t="s">
        <v>2284</v>
      </c>
      <c r="H37" s="396" t="s">
        <v>3435</v>
      </c>
    </row>
    <row r="38">
      <c r="A38" s="433">
        <v>43236.0</v>
      </c>
      <c r="D38" s="38"/>
      <c r="F38" s="329"/>
      <c r="G38" s="329"/>
      <c r="H38" s="401"/>
    </row>
    <row r="39">
      <c r="A39" s="434"/>
      <c r="B39" s="394" t="s">
        <v>3436</v>
      </c>
      <c r="D39" s="75" t="s">
        <v>3437</v>
      </c>
      <c r="E39" s="398" t="s">
        <v>3438</v>
      </c>
      <c r="F39" s="291" t="s">
        <v>2283</v>
      </c>
      <c r="G39" s="291" t="s">
        <v>2333</v>
      </c>
      <c r="H39" s="396" t="s">
        <v>3439</v>
      </c>
    </row>
    <row r="40">
      <c r="A40" s="434"/>
      <c r="B40" s="394" t="s">
        <v>3440</v>
      </c>
      <c r="D40" s="42" t="s">
        <v>3441</v>
      </c>
      <c r="E40" s="398" t="s">
        <v>3442</v>
      </c>
      <c r="F40" s="291" t="s">
        <v>2283</v>
      </c>
      <c r="G40" s="469" t="s">
        <v>3443</v>
      </c>
      <c r="H40" s="412" t="s">
        <v>3443</v>
      </c>
    </row>
    <row r="41">
      <c r="A41" s="433">
        <v>43237.0</v>
      </c>
      <c r="D41" s="38"/>
      <c r="F41" s="329"/>
      <c r="G41" s="329"/>
      <c r="H41" s="401"/>
    </row>
    <row r="42">
      <c r="A42" s="434"/>
      <c r="B42" s="394" t="s">
        <v>3444</v>
      </c>
      <c r="D42" s="42" t="s">
        <v>3445</v>
      </c>
      <c r="E42" s="398" t="s">
        <v>3446</v>
      </c>
      <c r="F42" s="291" t="s">
        <v>2283</v>
      </c>
      <c r="G42" s="329"/>
      <c r="H42" s="448" t="s">
        <v>3447</v>
      </c>
    </row>
    <row r="43">
      <c r="A43" s="434"/>
      <c r="D43" s="75" t="s">
        <v>3448</v>
      </c>
      <c r="E43" s="257" t="s">
        <v>3449</v>
      </c>
      <c r="F43" s="329"/>
      <c r="G43" s="329"/>
      <c r="H43" s="470" t="s">
        <v>3319</v>
      </c>
    </row>
    <row r="44">
      <c r="A44" s="433">
        <v>43239.0</v>
      </c>
      <c r="D44" s="38"/>
      <c r="F44" s="329"/>
      <c r="G44" s="329"/>
      <c r="H44" s="401"/>
    </row>
    <row r="45">
      <c r="A45" s="434"/>
      <c r="B45" s="117" t="s">
        <v>3450</v>
      </c>
      <c r="D45" s="42" t="s">
        <v>3451</v>
      </c>
      <c r="E45" s="257" t="s">
        <v>3452</v>
      </c>
      <c r="F45" s="329"/>
      <c r="G45" s="329"/>
      <c r="H45" s="470" t="s">
        <v>3453</v>
      </c>
    </row>
    <row r="46">
      <c r="A46" s="434"/>
      <c r="D46" s="75" t="s">
        <v>3454</v>
      </c>
      <c r="E46" s="257" t="s">
        <v>3455</v>
      </c>
      <c r="F46" s="329"/>
      <c r="G46" s="329"/>
      <c r="H46" s="470" t="s">
        <v>3456</v>
      </c>
    </row>
    <row r="47">
      <c r="A47" s="434"/>
      <c r="B47" s="394" t="s">
        <v>2933</v>
      </c>
      <c r="D47" s="42" t="s">
        <v>2983</v>
      </c>
      <c r="E47" s="398" t="s">
        <v>2935</v>
      </c>
      <c r="F47" s="329"/>
      <c r="G47" s="329"/>
      <c r="H47" s="442" t="s">
        <v>3470</v>
      </c>
    </row>
    <row r="48">
      <c r="A48" s="434"/>
      <c r="B48" s="394" t="s">
        <v>3471</v>
      </c>
      <c r="D48" s="42" t="s">
        <v>3472</v>
      </c>
      <c r="E48" s="398" t="s">
        <v>3473</v>
      </c>
      <c r="F48" s="329"/>
      <c r="G48" s="329"/>
      <c r="H48" s="407" t="s">
        <v>2582</v>
      </c>
      <c r="I48" s="36" t="s">
        <v>32</v>
      </c>
    </row>
    <row r="49">
      <c r="A49" s="433">
        <v>43240.0</v>
      </c>
      <c r="D49" s="38"/>
      <c r="F49" s="329"/>
      <c r="G49" s="329"/>
      <c r="H49" s="401"/>
    </row>
    <row r="50">
      <c r="A50" s="434"/>
      <c r="B50" s="394" t="s">
        <v>3477</v>
      </c>
      <c r="D50" s="38">
        <f>919891188197</f>
        <v>919891188197</v>
      </c>
      <c r="E50" s="398" t="s">
        <v>3482</v>
      </c>
      <c r="F50" s="329"/>
      <c r="G50" s="329"/>
      <c r="H50" s="396" t="s">
        <v>3263</v>
      </c>
    </row>
    <row r="51">
      <c r="A51" s="434"/>
      <c r="B51" s="394" t="s">
        <v>3483</v>
      </c>
      <c r="D51" s="42" t="s">
        <v>3484</v>
      </c>
      <c r="E51" s="398" t="s">
        <v>3487</v>
      </c>
      <c r="F51" s="329"/>
      <c r="G51" s="329"/>
      <c r="H51" s="396" t="s">
        <v>3263</v>
      </c>
    </row>
    <row r="52">
      <c r="A52" s="433">
        <v>43241.0</v>
      </c>
      <c r="D52" s="38"/>
      <c r="F52" s="329"/>
      <c r="G52" s="329"/>
      <c r="H52" s="401"/>
    </row>
    <row r="53">
      <c r="A53" s="434"/>
      <c r="B53" s="315" t="s">
        <v>3492</v>
      </c>
      <c r="D53" s="42" t="s">
        <v>3494</v>
      </c>
      <c r="E53" s="425" t="s">
        <v>3495</v>
      </c>
      <c r="F53" s="291" t="s">
        <v>2923</v>
      </c>
      <c r="G53" s="291" t="s">
        <v>1931</v>
      </c>
      <c r="H53" s="396" t="s">
        <v>3500</v>
      </c>
    </row>
    <row r="54">
      <c r="A54" s="434"/>
      <c r="B54" s="36" t="s">
        <v>2653</v>
      </c>
      <c r="D54" s="75" t="s">
        <v>3501</v>
      </c>
      <c r="E54" s="257" t="s">
        <v>3502</v>
      </c>
      <c r="F54" s="291" t="s">
        <v>2293</v>
      </c>
      <c r="G54" s="329"/>
      <c r="H54" s="445" t="s">
        <v>3456</v>
      </c>
    </row>
    <row r="55">
      <c r="A55" s="434"/>
      <c r="B55" s="394" t="s">
        <v>3520</v>
      </c>
      <c r="D55" s="75" t="s">
        <v>3522</v>
      </c>
      <c r="E55" s="36" t="s">
        <v>3523</v>
      </c>
      <c r="F55" s="291" t="s">
        <v>2283</v>
      </c>
      <c r="G55" s="329"/>
      <c r="H55" s="396" t="s">
        <v>3524</v>
      </c>
    </row>
    <row r="56">
      <c r="A56" s="433">
        <v>43242.0</v>
      </c>
      <c r="D56" s="38"/>
      <c r="F56" s="329"/>
      <c r="G56" s="329"/>
      <c r="H56" s="401"/>
    </row>
    <row r="57">
      <c r="A57" s="434"/>
      <c r="B57" s="394" t="s">
        <v>556</v>
      </c>
      <c r="D57" s="75" t="s">
        <v>3527</v>
      </c>
      <c r="E57" s="398" t="s">
        <v>3528</v>
      </c>
      <c r="F57" s="291" t="s">
        <v>2283</v>
      </c>
      <c r="G57" s="329"/>
      <c r="H57" s="396" t="s">
        <v>3529</v>
      </c>
      <c r="I57" s="36" t="s">
        <v>3530</v>
      </c>
    </row>
    <row r="58">
      <c r="A58" s="434"/>
      <c r="B58" s="394" t="s">
        <v>3532</v>
      </c>
      <c r="D58" s="75" t="s">
        <v>3533</v>
      </c>
      <c r="E58" s="398" t="s">
        <v>3534</v>
      </c>
      <c r="F58" s="291" t="s">
        <v>2283</v>
      </c>
      <c r="G58" s="329"/>
      <c r="H58" s="396" t="s">
        <v>3538</v>
      </c>
      <c r="I58" s="36" t="s">
        <v>373</v>
      </c>
    </row>
    <row r="59">
      <c r="A59" s="434"/>
      <c r="B59" s="222" t="s">
        <v>3539</v>
      </c>
      <c r="D59" s="42" t="s">
        <v>3540</v>
      </c>
      <c r="E59" s="403" t="s">
        <v>3541</v>
      </c>
      <c r="F59" s="404" t="s">
        <v>2440</v>
      </c>
      <c r="G59" s="404" t="s">
        <v>2284</v>
      </c>
      <c r="H59" s="396" t="s">
        <v>3545</v>
      </c>
      <c r="I59" s="36" t="s">
        <v>32</v>
      </c>
    </row>
    <row r="60">
      <c r="A60" s="433">
        <v>43243.0</v>
      </c>
      <c r="D60" s="38"/>
      <c r="F60" s="329"/>
      <c r="G60" s="329"/>
      <c r="H60" s="401"/>
    </row>
    <row r="61">
      <c r="A61" s="434"/>
      <c r="B61" s="36" t="s">
        <v>3547</v>
      </c>
      <c r="D61" s="75" t="s">
        <v>3548</v>
      </c>
      <c r="E61" s="398" t="s">
        <v>3549</v>
      </c>
      <c r="F61" s="291" t="s">
        <v>2283</v>
      </c>
      <c r="G61" s="329"/>
      <c r="H61" s="362" t="s">
        <v>2844</v>
      </c>
      <c r="I61" s="36" t="s">
        <v>32</v>
      </c>
    </row>
    <row r="62">
      <c r="A62" s="434"/>
      <c r="B62" s="117" t="s">
        <v>3559</v>
      </c>
      <c r="D62" s="75" t="s">
        <v>3560</v>
      </c>
      <c r="E62" s="257" t="s">
        <v>3561</v>
      </c>
      <c r="F62" s="291" t="s">
        <v>2293</v>
      </c>
      <c r="G62" s="291" t="s">
        <v>2284</v>
      </c>
      <c r="H62" s="396" t="s">
        <v>3562</v>
      </c>
      <c r="I62" s="36" t="s">
        <v>54</v>
      </c>
    </row>
    <row r="63">
      <c r="A63" s="434"/>
      <c r="B63" s="222" t="s">
        <v>3563</v>
      </c>
      <c r="D63" s="42" t="s">
        <v>3564</v>
      </c>
      <c r="E63" s="403" t="s">
        <v>3565</v>
      </c>
      <c r="F63" s="404" t="s">
        <v>2440</v>
      </c>
      <c r="G63" s="404" t="s">
        <v>2284</v>
      </c>
      <c r="H63" s="222" t="s">
        <v>3569</v>
      </c>
      <c r="I63" s="36" t="s">
        <v>32</v>
      </c>
    </row>
    <row r="64">
      <c r="A64" s="434"/>
      <c r="B64" s="394" t="s">
        <v>3570</v>
      </c>
      <c r="D64" s="75" t="s">
        <v>3571</v>
      </c>
      <c r="E64" s="398" t="s">
        <v>3572</v>
      </c>
      <c r="F64" s="291" t="s">
        <v>2283</v>
      </c>
      <c r="G64" s="291" t="s">
        <v>2528</v>
      </c>
      <c r="H64" s="437" t="s">
        <v>3574</v>
      </c>
      <c r="I64" s="36" t="s">
        <v>32</v>
      </c>
    </row>
    <row r="65">
      <c r="A65" s="433">
        <v>43244.0</v>
      </c>
      <c r="D65" s="38"/>
      <c r="F65" s="329"/>
      <c r="G65" s="329"/>
      <c r="H65" s="401"/>
    </row>
    <row r="66">
      <c r="A66" s="434"/>
      <c r="B66" s="394" t="s">
        <v>3575</v>
      </c>
      <c r="D66" s="42" t="s">
        <v>3576</v>
      </c>
      <c r="E66" s="398" t="s">
        <v>3578</v>
      </c>
      <c r="F66" s="291" t="s">
        <v>2283</v>
      </c>
      <c r="G66" s="291" t="s">
        <v>2284</v>
      </c>
      <c r="H66" s="396" t="s">
        <v>3358</v>
      </c>
      <c r="I66" s="36" t="s">
        <v>54</v>
      </c>
    </row>
    <row r="67">
      <c r="A67" s="434"/>
      <c r="B67" s="222" t="s">
        <v>3581</v>
      </c>
      <c r="D67" s="42" t="s">
        <v>3582</v>
      </c>
      <c r="E67" s="403" t="s">
        <v>3583</v>
      </c>
      <c r="F67" s="404" t="s">
        <v>2440</v>
      </c>
      <c r="G67" s="404" t="s">
        <v>2284</v>
      </c>
      <c r="H67" s="396" t="s">
        <v>3545</v>
      </c>
      <c r="I67" s="36" t="s">
        <v>32</v>
      </c>
    </row>
    <row r="68">
      <c r="A68" s="433">
        <v>43246.0</v>
      </c>
      <c r="D68" s="38"/>
      <c r="F68" s="329"/>
      <c r="G68" s="329"/>
      <c r="H68" s="401"/>
    </row>
    <row r="69">
      <c r="A69" s="434"/>
      <c r="B69" s="394" t="s">
        <v>3585</v>
      </c>
      <c r="D69" s="75" t="s">
        <v>3586</v>
      </c>
      <c r="E69" s="398" t="s">
        <v>3587</v>
      </c>
      <c r="F69" s="291" t="s">
        <v>2283</v>
      </c>
      <c r="G69" s="291" t="s">
        <v>2342</v>
      </c>
      <c r="H69" s="396" t="s">
        <v>3589</v>
      </c>
      <c r="I69" s="36" t="s">
        <v>54</v>
      </c>
    </row>
    <row r="70">
      <c r="A70" s="434"/>
      <c r="B70" s="394" t="s">
        <v>3590</v>
      </c>
      <c r="D70" s="42" t="s">
        <v>3591</v>
      </c>
      <c r="E70" s="398" t="s">
        <v>3592</v>
      </c>
      <c r="F70" s="291" t="s">
        <v>2283</v>
      </c>
      <c r="G70" s="291" t="s">
        <v>2284</v>
      </c>
      <c r="H70" s="436" t="s">
        <v>3597</v>
      </c>
      <c r="I70" s="36" t="s">
        <v>54</v>
      </c>
    </row>
    <row r="71">
      <c r="A71" s="434"/>
      <c r="B71" s="36" t="s">
        <v>3601</v>
      </c>
      <c r="D71" s="75" t="s">
        <v>3602</v>
      </c>
      <c r="E71" s="257" t="s">
        <v>3603</v>
      </c>
      <c r="F71" s="291" t="s">
        <v>2293</v>
      </c>
      <c r="G71" s="291" t="s">
        <v>2333</v>
      </c>
      <c r="H71" s="396" t="s">
        <v>2334</v>
      </c>
    </row>
    <row r="72">
      <c r="A72" s="434"/>
      <c r="B72" s="394" t="s">
        <v>3604</v>
      </c>
      <c r="D72" s="42" t="s">
        <v>3605</v>
      </c>
      <c r="E72" s="398" t="s">
        <v>3606</v>
      </c>
      <c r="F72" s="291" t="s">
        <v>2283</v>
      </c>
      <c r="G72" s="291" t="s">
        <v>2284</v>
      </c>
      <c r="H72" s="437" t="s">
        <v>2582</v>
      </c>
      <c r="I72" s="36" t="s">
        <v>32</v>
      </c>
    </row>
    <row r="73">
      <c r="A73" s="434"/>
      <c r="B73" s="222" t="s">
        <v>3581</v>
      </c>
      <c r="D73" s="42" t="s">
        <v>3582</v>
      </c>
      <c r="E73" s="403" t="s">
        <v>3583</v>
      </c>
      <c r="F73" s="404" t="s">
        <v>2440</v>
      </c>
      <c r="G73" s="404" t="s">
        <v>2284</v>
      </c>
      <c r="H73" s="476" t="s">
        <v>3612</v>
      </c>
      <c r="I73" s="36" t="s">
        <v>54</v>
      </c>
    </row>
    <row r="74">
      <c r="A74" s="434"/>
      <c r="B74" s="394" t="s">
        <v>3613</v>
      </c>
      <c r="D74" s="42" t="s">
        <v>3614</v>
      </c>
      <c r="E74" s="398" t="s">
        <v>3615</v>
      </c>
      <c r="F74" s="291" t="s">
        <v>2283</v>
      </c>
      <c r="G74" s="291" t="s">
        <v>2528</v>
      </c>
      <c r="H74" s="396" t="s">
        <v>2932</v>
      </c>
    </row>
    <row r="75">
      <c r="A75" s="434"/>
      <c r="B75" s="117" t="s">
        <v>3616</v>
      </c>
      <c r="D75" s="42" t="s">
        <v>3617</v>
      </c>
      <c r="E75" s="257" t="s">
        <v>3618</v>
      </c>
      <c r="F75" s="291" t="s">
        <v>2293</v>
      </c>
      <c r="G75" s="291" t="s">
        <v>2284</v>
      </c>
      <c r="H75" s="396" t="s">
        <v>3619</v>
      </c>
      <c r="I75" s="36" t="s">
        <v>54</v>
      </c>
    </row>
    <row r="76">
      <c r="A76" s="434"/>
      <c r="B76" s="479" t="s">
        <v>3621</v>
      </c>
      <c r="D76" s="75" t="s">
        <v>2770</v>
      </c>
      <c r="E76" s="257" t="s">
        <v>2636</v>
      </c>
      <c r="F76" s="291" t="s">
        <v>2293</v>
      </c>
      <c r="G76" s="291" t="s">
        <v>2284</v>
      </c>
      <c r="H76" s="445" t="s">
        <v>2779</v>
      </c>
      <c r="I76" s="36" t="s">
        <v>158</v>
      </c>
    </row>
    <row r="77">
      <c r="A77" s="434"/>
      <c r="B77" s="36" t="s">
        <v>2653</v>
      </c>
      <c r="D77" s="42" t="s">
        <v>3627</v>
      </c>
      <c r="E77" s="257" t="s">
        <v>3629</v>
      </c>
      <c r="F77" s="291" t="s">
        <v>2293</v>
      </c>
      <c r="G77" s="291" t="s">
        <v>2333</v>
      </c>
      <c r="H77" s="480" t="s">
        <v>3637</v>
      </c>
    </row>
    <row r="78">
      <c r="A78" s="433">
        <v>43247.0</v>
      </c>
      <c r="D78" s="38"/>
      <c r="F78" s="329"/>
      <c r="G78" s="329"/>
      <c r="H78" s="200"/>
    </row>
    <row r="79">
      <c r="A79" s="434"/>
      <c r="B79" s="413" t="s">
        <v>3638</v>
      </c>
      <c r="D79" s="42" t="s">
        <v>3639</v>
      </c>
      <c r="E79" s="468" t="s">
        <v>3640</v>
      </c>
      <c r="F79" s="291" t="s">
        <v>3340</v>
      </c>
      <c r="G79" s="329"/>
      <c r="H79" s="396" t="s">
        <v>3410</v>
      </c>
    </row>
    <row r="80">
      <c r="A80" s="434"/>
      <c r="B80" s="394" t="s">
        <v>2922</v>
      </c>
      <c r="D80" s="42" t="s">
        <v>2924</v>
      </c>
      <c r="E80" s="398" t="s">
        <v>2926</v>
      </c>
      <c r="F80" s="291" t="s">
        <v>2283</v>
      </c>
      <c r="G80" s="291" t="s">
        <v>2284</v>
      </c>
      <c r="H80" s="481" t="s">
        <v>3646</v>
      </c>
      <c r="I80" s="36" t="s">
        <v>54</v>
      </c>
    </row>
    <row r="81">
      <c r="A81" s="433">
        <v>43248.0</v>
      </c>
      <c r="D81" s="38"/>
      <c r="F81" s="329"/>
      <c r="G81" s="329"/>
      <c r="H81" s="482"/>
    </row>
    <row r="82">
      <c r="A82" s="434"/>
      <c r="B82" s="394" t="s">
        <v>3647</v>
      </c>
      <c r="D82" s="42" t="s">
        <v>3648</v>
      </c>
      <c r="E82" s="398" t="s">
        <v>3649</v>
      </c>
      <c r="F82" s="291" t="s">
        <v>2283</v>
      </c>
      <c r="G82" s="291" t="s">
        <v>2284</v>
      </c>
      <c r="H82" s="396" t="s">
        <v>2648</v>
      </c>
    </row>
    <row r="83">
      <c r="A83" s="434"/>
      <c r="B83" s="394" t="s">
        <v>3650</v>
      </c>
      <c r="D83" s="42" t="s">
        <v>3651</v>
      </c>
      <c r="E83" s="398" t="s">
        <v>3652</v>
      </c>
      <c r="F83" s="291" t="s">
        <v>2283</v>
      </c>
      <c r="G83" s="291" t="s">
        <v>2284</v>
      </c>
      <c r="H83" s="396" t="s">
        <v>2628</v>
      </c>
    </row>
    <row r="84">
      <c r="A84" s="433">
        <v>43249.0</v>
      </c>
      <c r="D84" s="38"/>
      <c r="F84" s="329"/>
      <c r="G84" s="329"/>
      <c r="H84" s="401"/>
    </row>
    <row r="85">
      <c r="A85" s="434"/>
      <c r="B85" s="117" t="s">
        <v>3653</v>
      </c>
      <c r="D85" s="42" t="s">
        <v>3654</v>
      </c>
      <c r="E85" s="124" t="s">
        <v>3655</v>
      </c>
      <c r="F85" s="291" t="s">
        <v>2293</v>
      </c>
      <c r="G85" s="291" t="s">
        <v>2284</v>
      </c>
      <c r="H85" s="483" t="s">
        <v>3656</v>
      </c>
      <c r="I85" s="36" t="s">
        <v>32</v>
      </c>
    </row>
    <row r="86">
      <c r="A86" s="434"/>
      <c r="B86" s="299" t="s">
        <v>3657</v>
      </c>
      <c r="D86" s="42" t="s">
        <v>3658</v>
      </c>
      <c r="E86" s="253" t="s">
        <v>3659</v>
      </c>
      <c r="F86" s="473" t="s">
        <v>2324</v>
      </c>
      <c r="G86" s="473" t="s">
        <v>2284</v>
      </c>
      <c r="H86" s="396" t="s">
        <v>2628</v>
      </c>
    </row>
    <row r="87">
      <c r="A87" s="433">
        <v>43250.0</v>
      </c>
      <c r="D87" s="38"/>
      <c r="F87" s="329"/>
      <c r="G87" s="329"/>
      <c r="H87" s="401"/>
    </row>
    <row r="88">
      <c r="A88" s="434"/>
      <c r="B88" s="299" t="s">
        <v>3663</v>
      </c>
      <c r="D88" s="42" t="s">
        <v>3664</v>
      </c>
      <c r="E88" s="253" t="s">
        <v>3665</v>
      </c>
      <c r="F88" s="473" t="s">
        <v>2324</v>
      </c>
      <c r="G88" s="473" t="s">
        <v>2284</v>
      </c>
      <c r="H88" s="299" t="s">
        <v>3669</v>
      </c>
    </row>
    <row r="89">
      <c r="A89" s="434"/>
      <c r="B89" s="394" t="s">
        <v>3670</v>
      </c>
      <c r="D89" s="75" t="s">
        <v>3671</v>
      </c>
      <c r="E89" s="398" t="s">
        <v>3672</v>
      </c>
      <c r="F89" s="291" t="s">
        <v>2283</v>
      </c>
      <c r="G89" s="291" t="s">
        <v>2528</v>
      </c>
      <c r="H89" s="437" t="s">
        <v>3395</v>
      </c>
    </row>
    <row r="90">
      <c r="A90" s="433">
        <v>43251.0</v>
      </c>
      <c r="D90" s="38"/>
      <c r="F90" s="329"/>
      <c r="G90" s="329"/>
      <c r="H90" s="401"/>
    </row>
    <row r="91">
      <c r="A91" s="434"/>
      <c r="B91" s="394" t="s">
        <v>3091</v>
      </c>
      <c r="D91" s="75" t="s">
        <v>3676</v>
      </c>
      <c r="E91" s="398" t="s">
        <v>3677</v>
      </c>
      <c r="F91" s="291" t="s">
        <v>2283</v>
      </c>
      <c r="G91" s="291" t="s">
        <v>2284</v>
      </c>
      <c r="H91" s="437" t="s">
        <v>2582</v>
      </c>
      <c r="I91" s="222" t="s">
        <v>3685</v>
      </c>
    </row>
    <row r="92">
      <c r="A92" s="434"/>
      <c r="B92" s="36" t="s">
        <v>2653</v>
      </c>
      <c r="D92" s="75" t="s">
        <v>3688</v>
      </c>
      <c r="E92" s="257" t="s">
        <v>3690</v>
      </c>
      <c r="F92" s="291" t="s">
        <v>2293</v>
      </c>
      <c r="G92" s="291" t="s">
        <v>2284</v>
      </c>
      <c r="H92" s="445" t="s">
        <v>2779</v>
      </c>
      <c r="I92" s="36" t="s">
        <v>158</v>
      </c>
    </row>
    <row r="93">
      <c r="A93" s="434"/>
      <c r="B93" s="394" t="s">
        <v>3710</v>
      </c>
      <c r="D93" s="42" t="s">
        <v>3711</v>
      </c>
      <c r="E93" s="398" t="s">
        <v>3712</v>
      </c>
      <c r="F93" s="291" t="s">
        <v>2283</v>
      </c>
      <c r="G93" s="291" t="s">
        <v>2333</v>
      </c>
      <c r="H93" s="396" t="s">
        <v>3524</v>
      </c>
    </row>
    <row r="94">
      <c r="A94" s="434"/>
      <c r="B94" s="394" t="s">
        <v>3716</v>
      </c>
      <c r="D94" s="75" t="s">
        <v>3717</v>
      </c>
      <c r="E94" s="398" t="s">
        <v>3718</v>
      </c>
      <c r="F94" s="291" t="s">
        <v>2283</v>
      </c>
      <c r="G94" s="291" t="s">
        <v>2284</v>
      </c>
      <c r="H94" s="436" t="s">
        <v>784</v>
      </c>
      <c r="I94" s="36" t="s">
        <v>54</v>
      </c>
    </row>
    <row r="95">
      <c r="A95" s="434"/>
      <c r="B95" s="222" t="s">
        <v>3720</v>
      </c>
      <c r="D95" s="42" t="s">
        <v>3721</v>
      </c>
      <c r="E95" s="403" t="s">
        <v>3723</v>
      </c>
      <c r="F95" s="404" t="s">
        <v>2440</v>
      </c>
      <c r="G95" s="404" t="s">
        <v>2342</v>
      </c>
      <c r="H95" s="222" t="s">
        <v>3685</v>
      </c>
      <c r="I95" s="222" t="s">
        <v>3685</v>
      </c>
    </row>
    <row r="96">
      <c r="A96" s="434"/>
      <c r="D96" s="38"/>
      <c r="F96" s="329"/>
      <c r="G96" s="329"/>
      <c r="H96" s="401"/>
    </row>
    <row r="97">
      <c r="A97" s="434"/>
      <c r="D97" s="38"/>
      <c r="F97" s="329"/>
      <c r="G97" s="329"/>
      <c r="H97" s="401"/>
    </row>
    <row r="98">
      <c r="A98" s="434"/>
      <c r="D98" s="38"/>
      <c r="F98" s="329"/>
      <c r="G98" s="329"/>
      <c r="H98" s="401"/>
    </row>
    <row r="99">
      <c r="A99" s="434"/>
      <c r="D99" s="38"/>
      <c r="F99" s="329"/>
      <c r="G99" s="329"/>
      <c r="H99" s="401"/>
    </row>
    <row r="100">
      <c r="A100" s="434"/>
      <c r="D100" s="38"/>
      <c r="F100" s="329"/>
      <c r="G100" s="329"/>
      <c r="H100" s="401"/>
    </row>
    <row r="101">
      <c r="A101" s="434"/>
      <c r="D101" s="38"/>
      <c r="F101" s="329"/>
      <c r="G101" s="329"/>
      <c r="H101" s="401"/>
    </row>
    <row r="102">
      <c r="A102" s="434"/>
      <c r="D102" s="38"/>
      <c r="F102" s="329"/>
      <c r="G102" s="329"/>
      <c r="H102" s="401"/>
    </row>
    <row r="103">
      <c r="A103" s="434"/>
      <c r="D103" s="38"/>
      <c r="F103" s="329"/>
      <c r="G103" s="329"/>
      <c r="H103" s="401"/>
    </row>
    <row r="104">
      <c r="A104" s="434"/>
      <c r="D104" s="38"/>
      <c r="F104" s="329"/>
      <c r="G104" s="329"/>
      <c r="H104" s="401"/>
    </row>
    <row r="105">
      <c r="A105" s="434"/>
      <c r="D105" s="38"/>
      <c r="F105" s="329"/>
      <c r="G105" s="329"/>
      <c r="H105" s="401"/>
    </row>
    <row r="106">
      <c r="A106" s="434"/>
      <c r="D106" s="38"/>
      <c r="F106" s="329"/>
      <c r="G106" s="329"/>
      <c r="H106" s="401"/>
    </row>
    <row r="107">
      <c r="A107" s="434"/>
      <c r="D107" s="38"/>
      <c r="F107" s="329"/>
      <c r="G107" s="329"/>
      <c r="H107" s="401"/>
    </row>
    <row r="108">
      <c r="A108" s="434"/>
      <c r="D108" s="38"/>
      <c r="F108" s="329"/>
      <c r="G108" s="329"/>
      <c r="H108" s="401"/>
    </row>
    <row r="109">
      <c r="A109" s="434"/>
      <c r="D109" s="38"/>
      <c r="F109" s="329"/>
      <c r="G109" s="329"/>
      <c r="H109" s="401"/>
    </row>
    <row r="110">
      <c r="A110" s="434"/>
      <c r="D110" s="38"/>
      <c r="F110" s="329"/>
      <c r="G110" s="329"/>
      <c r="H110" s="401"/>
    </row>
    <row r="111">
      <c r="A111" s="434"/>
      <c r="D111" s="38"/>
      <c r="F111" s="329"/>
      <c r="G111" s="329"/>
      <c r="H111" s="401"/>
    </row>
    <row r="112">
      <c r="A112" s="434"/>
      <c r="D112" s="38"/>
      <c r="F112" s="329"/>
      <c r="G112" s="329"/>
      <c r="H112" s="401"/>
    </row>
    <row r="113">
      <c r="A113" s="434"/>
      <c r="D113" s="38"/>
      <c r="F113" s="329"/>
      <c r="G113" s="329"/>
      <c r="H113" s="401"/>
    </row>
    <row r="114">
      <c r="A114" s="434"/>
      <c r="D114" s="38"/>
      <c r="F114" s="329"/>
      <c r="G114" s="329"/>
      <c r="H114" s="401"/>
    </row>
    <row r="115">
      <c r="A115" s="434"/>
      <c r="D115" s="38"/>
      <c r="F115" s="329"/>
      <c r="G115" s="329"/>
      <c r="H115" s="401"/>
    </row>
    <row r="116">
      <c r="A116" s="434"/>
      <c r="D116" s="38"/>
      <c r="F116" s="329"/>
      <c r="G116" s="329"/>
      <c r="H116" s="401"/>
    </row>
    <row r="117">
      <c r="A117" s="434"/>
      <c r="D117" s="38"/>
      <c r="F117" s="329"/>
      <c r="G117" s="329"/>
      <c r="H117" s="401"/>
    </row>
    <row r="118">
      <c r="A118" s="434"/>
      <c r="D118" s="38"/>
      <c r="F118" s="329"/>
      <c r="G118" s="329"/>
      <c r="H118" s="401"/>
    </row>
    <row r="119">
      <c r="A119" s="434"/>
      <c r="D119" s="38"/>
      <c r="F119" s="329"/>
      <c r="G119" s="329"/>
      <c r="H119" s="401"/>
    </row>
    <row r="120">
      <c r="A120" s="434"/>
      <c r="D120" s="38"/>
      <c r="F120" s="329"/>
      <c r="G120" s="329"/>
      <c r="H120" s="401"/>
    </row>
    <row r="121">
      <c r="A121" s="434"/>
      <c r="D121" s="38"/>
      <c r="F121" s="329"/>
      <c r="G121" s="329"/>
      <c r="H121" s="401"/>
    </row>
    <row r="122">
      <c r="A122" s="434"/>
      <c r="D122" s="38"/>
      <c r="F122" s="329"/>
      <c r="G122" s="329"/>
      <c r="H122" s="401"/>
    </row>
    <row r="123">
      <c r="A123" s="434"/>
      <c r="D123" s="38"/>
      <c r="F123" s="329"/>
      <c r="G123" s="329"/>
      <c r="H123" s="401"/>
    </row>
    <row r="124">
      <c r="A124" s="434"/>
      <c r="D124" s="38"/>
      <c r="F124" s="329"/>
      <c r="G124" s="329"/>
      <c r="H124" s="401"/>
    </row>
    <row r="125">
      <c r="A125" s="434"/>
      <c r="D125" s="38"/>
      <c r="F125" s="329"/>
      <c r="G125" s="329"/>
      <c r="H125" s="401"/>
    </row>
    <row r="126">
      <c r="A126" s="434"/>
      <c r="D126" s="38"/>
      <c r="F126" s="329"/>
      <c r="G126" s="329"/>
      <c r="H126" s="401"/>
    </row>
    <row r="127">
      <c r="A127" s="434"/>
      <c r="D127" s="38"/>
      <c r="F127" s="329"/>
      <c r="G127" s="329"/>
      <c r="H127" s="401"/>
    </row>
    <row r="128">
      <c r="A128" s="434"/>
      <c r="D128" s="38"/>
      <c r="F128" s="329"/>
      <c r="G128" s="329"/>
      <c r="H128" s="401"/>
    </row>
    <row r="129">
      <c r="A129" s="434"/>
      <c r="D129" s="38"/>
      <c r="F129" s="329"/>
      <c r="G129" s="329"/>
      <c r="H129" s="401"/>
    </row>
    <row r="130">
      <c r="A130" s="434"/>
      <c r="D130" s="38"/>
      <c r="F130" s="329"/>
      <c r="G130" s="329"/>
      <c r="H130" s="401"/>
    </row>
    <row r="131">
      <c r="A131" s="434"/>
      <c r="D131" s="38"/>
      <c r="F131" s="329"/>
      <c r="G131" s="329"/>
      <c r="H131" s="401"/>
    </row>
    <row r="132">
      <c r="A132" s="434"/>
      <c r="D132" s="38"/>
      <c r="F132" s="329"/>
      <c r="G132" s="329"/>
      <c r="H132" s="401"/>
    </row>
    <row r="133">
      <c r="A133" s="434"/>
      <c r="D133" s="38"/>
      <c r="F133" s="329"/>
      <c r="G133" s="329"/>
      <c r="H133" s="401"/>
    </row>
    <row r="134">
      <c r="A134" s="434"/>
      <c r="D134" s="38"/>
      <c r="F134" s="329"/>
      <c r="G134" s="329"/>
      <c r="H134" s="401"/>
    </row>
    <row r="135">
      <c r="A135" s="434"/>
      <c r="D135" s="38"/>
      <c r="F135" s="329"/>
      <c r="G135" s="329"/>
      <c r="H135" s="401"/>
    </row>
    <row r="136">
      <c r="A136" s="434"/>
      <c r="D136" s="38"/>
      <c r="F136" s="329"/>
      <c r="G136" s="329"/>
      <c r="H136" s="401"/>
    </row>
    <row r="137">
      <c r="A137" s="434"/>
      <c r="D137" s="38"/>
      <c r="F137" s="329"/>
      <c r="G137" s="329"/>
      <c r="H137" s="401"/>
    </row>
    <row r="138">
      <c r="A138" s="434"/>
      <c r="D138" s="38"/>
      <c r="F138" s="329"/>
      <c r="G138" s="329"/>
      <c r="H138" s="401"/>
    </row>
    <row r="139">
      <c r="A139" s="434"/>
      <c r="D139" s="38"/>
      <c r="F139" s="329"/>
      <c r="G139" s="329"/>
      <c r="H139" s="401"/>
    </row>
    <row r="140">
      <c r="A140" s="434"/>
      <c r="D140" s="38"/>
      <c r="F140" s="329"/>
      <c r="G140" s="329"/>
      <c r="H140" s="401"/>
    </row>
    <row r="141">
      <c r="A141" s="434"/>
      <c r="D141" s="38"/>
      <c r="F141" s="329"/>
      <c r="G141" s="329"/>
      <c r="H141" s="401"/>
    </row>
    <row r="142">
      <c r="A142" s="434"/>
      <c r="D142" s="38"/>
      <c r="F142" s="329"/>
      <c r="G142" s="329"/>
      <c r="H142" s="401"/>
    </row>
    <row r="143">
      <c r="A143" s="434"/>
      <c r="D143" s="38"/>
      <c r="F143" s="329"/>
      <c r="G143" s="329"/>
      <c r="H143" s="401"/>
    </row>
    <row r="144">
      <c r="A144" s="434"/>
      <c r="D144" s="38"/>
      <c r="F144" s="329"/>
      <c r="G144" s="329"/>
      <c r="H144" s="401"/>
    </row>
    <row r="145">
      <c r="A145" s="434"/>
      <c r="D145" s="38"/>
      <c r="F145" s="329"/>
      <c r="G145" s="329"/>
      <c r="H145" s="401"/>
    </row>
    <row r="146">
      <c r="A146" s="434"/>
      <c r="D146" s="38"/>
      <c r="F146" s="329"/>
      <c r="G146" s="329"/>
      <c r="H146" s="401"/>
    </row>
    <row r="147">
      <c r="A147" s="434"/>
      <c r="D147" s="38"/>
      <c r="F147" s="329"/>
      <c r="G147" s="329"/>
      <c r="H147" s="401"/>
    </row>
    <row r="148">
      <c r="A148" s="434"/>
      <c r="D148" s="38"/>
      <c r="F148" s="329"/>
      <c r="G148" s="329"/>
      <c r="H148" s="401"/>
    </row>
    <row r="149">
      <c r="A149" s="434"/>
      <c r="D149" s="38"/>
      <c r="F149" s="329"/>
      <c r="G149" s="329"/>
      <c r="H149" s="401"/>
    </row>
    <row r="150">
      <c r="A150" s="434"/>
      <c r="D150" s="38"/>
      <c r="F150" s="329"/>
      <c r="G150" s="329"/>
      <c r="H150" s="401"/>
    </row>
    <row r="151">
      <c r="A151" s="434"/>
      <c r="D151" s="38"/>
      <c r="F151" s="329"/>
      <c r="G151" s="329"/>
      <c r="H151" s="401"/>
    </row>
    <row r="152">
      <c r="A152" s="434"/>
      <c r="D152" s="38"/>
      <c r="F152" s="329"/>
      <c r="G152" s="329"/>
      <c r="H152" s="401"/>
    </row>
    <row r="153">
      <c r="A153" s="434"/>
      <c r="D153" s="38"/>
      <c r="F153" s="329"/>
      <c r="G153" s="329"/>
      <c r="H153" s="401"/>
    </row>
    <row r="154">
      <c r="A154" s="434"/>
      <c r="D154" s="38"/>
      <c r="F154" s="329"/>
      <c r="G154" s="329"/>
      <c r="H154" s="401"/>
    </row>
    <row r="155">
      <c r="A155" s="434"/>
      <c r="D155" s="38"/>
      <c r="F155" s="329"/>
      <c r="G155" s="329"/>
      <c r="H155" s="401"/>
    </row>
    <row r="156">
      <c r="A156" s="434"/>
      <c r="D156" s="38"/>
      <c r="F156" s="329"/>
      <c r="G156" s="329"/>
      <c r="H156" s="401"/>
    </row>
    <row r="157">
      <c r="A157" s="434"/>
      <c r="D157" s="38"/>
      <c r="F157" s="329"/>
      <c r="G157" s="329"/>
      <c r="H157" s="401"/>
    </row>
    <row r="158">
      <c r="A158" s="434"/>
      <c r="D158" s="38"/>
      <c r="F158" s="329"/>
      <c r="G158" s="329"/>
      <c r="H158" s="401"/>
    </row>
    <row r="159">
      <c r="A159" s="434"/>
      <c r="D159" s="38"/>
      <c r="F159" s="329"/>
      <c r="G159" s="329"/>
      <c r="H159" s="401"/>
    </row>
    <row r="160">
      <c r="A160" s="434"/>
      <c r="D160" s="38"/>
      <c r="F160" s="329"/>
      <c r="G160" s="329"/>
      <c r="H160" s="401"/>
    </row>
    <row r="161">
      <c r="A161" s="434"/>
      <c r="D161" s="38"/>
      <c r="F161" s="329"/>
      <c r="G161" s="329"/>
      <c r="H161" s="401"/>
    </row>
    <row r="162">
      <c r="A162" s="434"/>
      <c r="D162" s="38"/>
      <c r="F162" s="329"/>
      <c r="G162" s="329"/>
      <c r="H162" s="401"/>
    </row>
    <row r="163">
      <c r="A163" s="434"/>
      <c r="D163" s="38"/>
      <c r="F163" s="329"/>
      <c r="G163" s="329"/>
      <c r="H163" s="401"/>
    </row>
    <row r="164">
      <c r="A164" s="434"/>
      <c r="D164" s="38"/>
      <c r="F164" s="329"/>
      <c r="G164" s="329"/>
      <c r="H164" s="401"/>
    </row>
    <row r="165">
      <c r="A165" s="434"/>
      <c r="D165" s="38"/>
      <c r="F165" s="329"/>
      <c r="G165" s="329"/>
      <c r="H165" s="401"/>
    </row>
    <row r="166">
      <c r="A166" s="434"/>
      <c r="D166" s="38"/>
      <c r="F166" s="329"/>
      <c r="G166" s="329"/>
      <c r="H166" s="401"/>
    </row>
    <row r="167">
      <c r="A167" s="434"/>
      <c r="D167" s="38"/>
      <c r="F167" s="329"/>
      <c r="G167" s="329"/>
      <c r="H167" s="401"/>
    </row>
    <row r="168">
      <c r="A168" s="434"/>
      <c r="D168" s="38"/>
      <c r="F168" s="329"/>
      <c r="G168" s="329"/>
      <c r="H168" s="401"/>
    </row>
    <row r="169">
      <c r="A169" s="434"/>
      <c r="D169" s="38"/>
      <c r="F169" s="329"/>
      <c r="G169" s="329"/>
      <c r="H169" s="401"/>
    </row>
    <row r="170">
      <c r="A170" s="434"/>
      <c r="D170" s="38"/>
      <c r="F170" s="329"/>
      <c r="G170" s="329"/>
      <c r="H170" s="401"/>
    </row>
    <row r="171">
      <c r="A171" s="434"/>
      <c r="D171" s="38"/>
      <c r="F171" s="329"/>
      <c r="G171" s="329"/>
      <c r="H171" s="401"/>
    </row>
    <row r="172">
      <c r="A172" s="434"/>
      <c r="D172" s="38"/>
      <c r="F172" s="329"/>
      <c r="G172" s="329"/>
      <c r="H172" s="401"/>
    </row>
    <row r="173">
      <c r="A173" s="434"/>
      <c r="D173" s="38"/>
      <c r="F173" s="329"/>
      <c r="G173" s="329"/>
      <c r="H173" s="401"/>
    </row>
    <row r="174">
      <c r="A174" s="434"/>
      <c r="D174" s="38"/>
      <c r="F174" s="329"/>
      <c r="G174" s="329"/>
      <c r="H174" s="401"/>
    </row>
    <row r="175">
      <c r="A175" s="434"/>
      <c r="D175" s="38"/>
      <c r="F175" s="329"/>
      <c r="G175" s="329"/>
      <c r="H175" s="401"/>
    </row>
    <row r="176">
      <c r="A176" s="434"/>
      <c r="D176" s="38"/>
      <c r="F176" s="329"/>
      <c r="G176" s="329"/>
      <c r="H176" s="401"/>
    </row>
    <row r="177">
      <c r="A177" s="434"/>
      <c r="D177" s="38"/>
      <c r="F177" s="329"/>
      <c r="G177" s="329"/>
      <c r="H177" s="401"/>
    </row>
    <row r="178">
      <c r="A178" s="434"/>
      <c r="D178" s="38"/>
      <c r="F178" s="329"/>
      <c r="G178" s="329"/>
      <c r="H178" s="401"/>
    </row>
    <row r="179">
      <c r="A179" s="434"/>
      <c r="D179" s="38"/>
      <c r="F179" s="329"/>
      <c r="G179" s="329"/>
      <c r="H179" s="401"/>
    </row>
    <row r="180">
      <c r="A180" s="434"/>
      <c r="D180" s="38"/>
      <c r="F180" s="329"/>
      <c r="G180" s="329"/>
      <c r="H180" s="401"/>
    </row>
    <row r="181">
      <c r="A181" s="434"/>
      <c r="D181" s="38"/>
      <c r="F181" s="329"/>
      <c r="G181" s="329"/>
      <c r="H181" s="401"/>
    </row>
    <row r="182">
      <c r="A182" s="434"/>
      <c r="D182" s="38"/>
      <c r="F182" s="329"/>
      <c r="G182" s="329"/>
      <c r="H182" s="401"/>
    </row>
    <row r="183">
      <c r="A183" s="434"/>
      <c r="D183" s="38"/>
      <c r="F183" s="329"/>
      <c r="G183" s="329"/>
      <c r="H183" s="401"/>
    </row>
    <row r="184">
      <c r="A184" s="434"/>
      <c r="D184" s="38"/>
      <c r="F184" s="329"/>
      <c r="G184" s="329"/>
      <c r="H184" s="401"/>
    </row>
    <row r="185">
      <c r="A185" s="434"/>
      <c r="D185" s="38"/>
      <c r="F185" s="329"/>
      <c r="G185" s="329"/>
      <c r="H185" s="401"/>
    </row>
    <row r="186">
      <c r="A186" s="434"/>
      <c r="D186" s="38"/>
      <c r="F186" s="329"/>
      <c r="G186" s="329"/>
      <c r="H186" s="401"/>
    </row>
    <row r="187">
      <c r="A187" s="434"/>
      <c r="D187" s="38"/>
      <c r="F187" s="329"/>
      <c r="G187" s="329"/>
      <c r="H187" s="401"/>
    </row>
    <row r="188">
      <c r="A188" s="434"/>
      <c r="D188" s="38"/>
      <c r="F188" s="329"/>
      <c r="G188" s="329"/>
      <c r="H188" s="401"/>
    </row>
    <row r="189">
      <c r="A189" s="434"/>
      <c r="D189" s="38"/>
      <c r="F189" s="329"/>
      <c r="G189" s="329"/>
      <c r="H189" s="401"/>
    </row>
    <row r="190">
      <c r="A190" s="434"/>
      <c r="D190" s="38"/>
      <c r="F190" s="329"/>
      <c r="G190" s="329"/>
      <c r="H190" s="401"/>
    </row>
    <row r="191">
      <c r="A191" s="434"/>
      <c r="D191" s="38"/>
      <c r="F191" s="329"/>
      <c r="G191" s="329"/>
      <c r="H191" s="401"/>
    </row>
    <row r="192">
      <c r="A192" s="434"/>
      <c r="D192" s="38"/>
      <c r="F192" s="329"/>
      <c r="G192" s="329"/>
      <c r="H192" s="401"/>
    </row>
    <row r="193">
      <c r="A193" s="434"/>
      <c r="D193" s="38"/>
      <c r="F193" s="329"/>
      <c r="G193" s="329"/>
      <c r="H193" s="401"/>
    </row>
    <row r="194">
      <c r="A194" s="434"/>
      <c r="D194" s="38"/>
      <c r="F194" s="329"/>
      <c r="G194" s="329"/>
      <c r="H194" s="401"/>
    </row>
    <row r="195">
      <c r="A195" s="434"/>
      <c r="D195" s="38"/>
      <c r="F195" s="329"/>
      <c r="G195" s="329"/>
      <c r="H195" s="401"/>
    </row>
    <row r="196">
      <c r="A196" s="434"/>
      <c r="D196" s="38"/>
      <c r="F196" s="329"/>
      <c r="G196" s="329"/>
      <c r="H196" s="401"/>
    </row>
    <row r="197">
      <c r="A197" s="434"/>
      <c r="D197" s="38"/>
      <c r="F197" s="329"/>
      <c r="G197" s="329"/>
      <c r="H197" s="401"/>
    </row>
    <row r="198">
      <c r="A198" s="434"/>
      <c r="D198" s="38"/>
      <c r="F198" s="329"/>
      <c r="G198" s="329"/>
      <c r="H198" s="401"/>
    </row>
    <row r="199">
      <c r="A199" s="434"/>
      <c r="D199" s="38"/>
      <c r="F199" s="329"/>
      <c r="G199" s="329"/>
      <c r="H199" s="401"/>
    </row>
    <row r="200">
      <c r="A200" s="434"/>
      <c r="D200" s="38"/>
      <c r="F200" s="329"/>
      <c r="G200" s="329"/>
      <c r="H200" s="401"/>
    </row>
    <row r="201">
      <c r="A201" s="434"/>
      <c r="D201" s="38"/>
      <c r="F201" s="329"/>
      <c r="G201" s="329"/>
      <c r="H201" s="401"/>
    </row>
    <row r="202">
      <c r="A202" s="434"/>
      <c r="D202" s="38"/>
      <c r="F202" s="329"/>
      <c r="G202" s="329"/>
      <c r="H202" s="401"/>
    </row>
    <row r="203">
      <c r="A203" s="434"/>
      <c r="D203" s="38"/>
      <c r="F203" s="329"/>
      <c r="G203" s="329"/>
      <c r="H203" s="401"/>
    </row>
    <row r="204">
      <c r="A204" s="434"/>
      <c r="D204" s="38"/>
      <c r="F204" s="329"/>
      <c r="G204" s="329"/>
      <c r="H204" s="401"/>
    </row>
    <row r="205">
      <c r="A205" s="434"/>
      <c r="D205" s="38"/>
      <c r="F205" s="329"/>
      <c r="G205" s="329"/>
      <c r="H205" s="401"/>
    </row>
    <row r="206">
      <c r="A206" s="434"/>
      <c r="D206" s="38"/>
      <c r="F206" s="329"/>
      <c r="G206" s="329"/>
      <c r="H206" s="401"/>
    </row>
    <row r="207">
      <c r="A207" s="434"/>
      <c r="D207" s="38"/>
      <c r="F207" s="329"/>
      <c r="G207" s="329"/>
      <c r="H207" s="401"/>
    </row>
    <row r="208">
      <c r="A208" s="434"/>
      <c r="D208" s="38"/>
      <c r="F208" s="329"/>
      <c r="G208" s="329"/>
      <c r="H208" s="401"/>
    </row>
    <row r="209">
      <c r="A209" s="434"/>
      <c r="D209" s="38"/>
      <c r="F209" s="329"/>
      <c r="G209" s="329"/>
      <c r="H209" s="401"/>
    </row>
    <row r="210">
      <c r="A210" s="434"/>
      <c r="D210" s="38"/>
      <c r="F210" s="329"/>
      <c r="G210" s="329"/>
      <c r="H210" s="401"/>
    </row>
    <row r="211">
      <c r="A211" s="434"/>
      <c r="D211" s="38"/>
      <c r="F211" s="329"/>
      <c r="G211" s="329"/>
      <c r="H211" s="401"/>
    </row>
    <row r="212">
      <c r="A212" s="434"/>
      <c r="D212" s="38"/>
      <c r="F212" s="329"/>
      <c r="G212" s="329"/>
      <c r="H212" s="401"/>
    </row>
    <row r="213">
      <c r="A213" s="434"/>
      <c r="D213" s="38"/>
      <c r="F213" s="329"/>
      <c r="G213" s="329"/>
      <c r="H213" s="401"/>
    </row>
    <row r="214">
      <c r="A214" s="434"/>
      <c r="D214" s="38"/>
      <c r="F214" s="329"/>
      <c r="G214" s="329"/>
      <c r="H214" s="401"/>
    </row>
    <row r="215">
      <c r="A215" s="434"/>
      <c r="D215" s="38"/>
      <c r="F215" s="329"/>
      <c r="G215" s="329"/>
      <c r="H215" s="401"/>
    </row>
    <row r="216">
      <c r="A216" s="434"/>
      <c r="D216" s="38"/>
      <c r="F216" s="329"/>
      <c r="G216" s="329"/>
      <c r="H216" s="401"/>
    </row>
    <row r="217">
      <c r="A217" s="434"/>
      <c r="D217" s="38"/>
      <c r="F217" s="329"/>
      <c r="G217" s="329"/>
      <c r="H217" s="401"/>
    </row>
    <row r="218">
      <c r="A218" s="434"/>
      <c r="D218" s="38"/>
      <c r="F218" s="329"/>
      <c r="G218" s="329"/>
      <c r="H218" s="401"/>
    </row>
    <row r="219">
      <c r="A219" s="434"/>
      <c r="D219" s="38"/>
      <c r="F219" s="329"/>
      <c r="G219" s="329"/>
      <c r="H219" s="401"/>
    </row>
    <row r="220">
      <c r="A220" s="434"/>
      <c r="D220" s="38"/>
      <c r="F220" s="329"/>
      <c r="G220" s="329"/>
      <c r="H220" s="401"/>
    </row>
    <row r="221">
      <c r="A221" s="434"/>
      <c r="D221" s="38"/>
      <c r="F221" s="329"/>
      <c r="G221" s="329"/>
      <c r="H221" s="401"/>
    </row>
    <row r="222">
      <c r="A222" s="434"/>
      <c r="D222" s="38"/>
      <c r="F222" s="329"/>
      <c r="G222" s="329"/>
      <c r="H222" s="401"/>
    </row>
    <row r="223">
      <c r="A223" s="434"/>
      <c r="D223" s="38"/>
      <c r="F223" s="329"/>
      <c r="G223" s="329"/>
      <c r="H223" s="401"/>
    </row>
    <row r="224">
      <c r="A224" s="434"/>
      <c r="D224" s="38"/>
      <c r="F224" s="329"/>
      <c r="G224" s="329"/>
      <c r="H224" s="401"/>
    </row>
    <row r="225">
      <c r="A225" s="434"/>
      <c r="D225" s="38"/>
      <c r="F225" s="329"/>
      <c r="G225" s="329"/>
      <c r="H225" s="401"/>
    </row>
    <row r="226">
      <c r="A226" s="434"/>
      <c r="D226" s="38"/>
      <c r="F226" s="329"/>
      <c r="G226" s="329"/>
      <c r="H226" s="401"/>
    </row>
    <row r="227">
      <c r="A227" s="434"/>
      <c r="D227" s="38"/>
      <c r="F227" s="329"/>
      <c r="G227" s="329"/>
      <c r="H227" s="401"/>
    </row>
    <row r="228">
      <c r="A228" s="434"/>
      <c r="D228" s="38"/>
      <c r="F228" s="329"/>
      <c r="G228" s="329"/>
      <c r="H228" s="401"/>
    </row>
    <row r="229">
      <c r="A229" s="434"/>
      <c r="D229" s="38"/>
      <c r="F229" s="329"/>
      <c r="G229" s="329"/>
      <c r="H229" s="401"/>
    </row>
    <row r="230">
      <c r="A230" s="434"/>
      <c r="D230" s="38"/>
      <c r="F230" s="329"/>
      <c r="G230" s="329"/>
      <c r="H230" s="401"/>
    </row>
    <row r="231">
      <c r="A231" s="434"/>
      <c r="D231" s="38"/>
      <c r="F231" s="329"/>
      <c r="G231" s="329"/>
      <c r="H231" s="401"/>
    </row>
    <row r="232">
      <c r="A232" s="434"/>
      <c r="D232" s="38"/>
      <c r="F232" s="329"/>
      <c r="G232" s="329"/>
      <c r="H232" s="401"/>
    </row>
    <row r="233">
      <c r="A233" s="434"/>
      <c r="D233" s="38"/>
      <c r="F233" s="329"/>
      <c r="G233" s="329"/>
      <c r="H233" s="401"/>
    </row>
    <row r="234">
      <c r="A234" s="434"/>
      <c r="D234" s="38"/>
      <c r="F234" s="329"/>
      <c r="G234" s="329"/>
      <c r="H234" s="401"/>
    </row>
    <row r="235">
      <c r="A235" s="434"/>
      <c r="D235" s="38"/>
      <c r="F235" s="329"/>
      <c r="G235" s="329"/>
      <c r="H235" s="401"/>
    </row>
    <row r="236">
      <c r="A236" s="434"/>
      <c r="D236" s="38"/>
      <c r="F236" s="329"/>
      <c r="G236" s="329"/>
      <c r="H236" s="401"/>
    </row>
    <row r="237">
      <c r="A237" s="434"/>
      <c r="D237" s="38"/>
      <c r="F237" s="329"/>
      <c r="G237" s="329"/>
      <c r="H237" s="401"/>
    </row>
    <row r="238">
      <c r="A238" s="434"/>
      <c r="D238" s="38"/>
      <c r="F238" s="329"/>
      <c r="G238" s="329"/>
      <c r="H238" s="401"/>
    </row>
    <row r="239">
      <c r="A239" s="434"/>
      <c r="D239" s="38"/>
      <c r="F239" s="329"/>
      <c r="G239" s="329"/>
      <c r="H239" s="401"/>
    </row>
    <row r="240">
      <c r="A240" s="434"/>
      <c r="D240" s="38"/>
      <c r="F240" s="329"/>
      <c r="G240" s="329"/>
      <c r="H240" s="401"/>
    </row>
    <row r="241">
      <c r="A241" s="434"/>
      <c r="D241" s="38"/>
      <c r="F241" s="329"/>
      <c r="G241" s="329"/>
      <c r="H241" s="401"/>
    </row>
    <row r="242">
      <c r="A242" s="434"/>
      <c r="D242" s="38"/>
      <c r="F242" s="329"/>
      <c r="G242" s="329"/>
      <c r="H242" s="401"/>
    </row>
    <row r="243">
      <c r="A243" s="434"/>
      <c r="D243" s="38"/>
      <c r="F243" s="329"/>
      <c r="G243" s="329"/>
      <c r="H243" s="401"/>
    </row>
    <row r="244">
      <c r="A244" s="434"/>
      <c r="D244" s="38"/>
      <c r="F244" s="329"/>
      <c r="G244" s="329"/>
      <c r="H244" s="401"/>
    </row>
    <row r="245">
      <c r="A245" s="434"/>
      <c r="D245" s="38"/>
      <c r="F245" s="329"/>
      <c r="G245" s="329"/>
      <c r="H245" s="401"/>
    </row>
    <row r="246">
      <c r="A246" s="434"/>
      <c r="D246" s="38"/>
      <c r="F246" s="329"/>
      <c r="G246" s="329"/>
      <c r="H246" s="401"/>
    </row>
    <row r="247">
      <c r="A247" s="434"/>
      <c r="D247" s="38"/>
      <c r="F247" s="329"/>
      <c r="G247" s="329"/>
      <c r="H247" s="401"/>
    </row>
    <row r="248">
      <c r="A248" s="434"/>
      <c r="D248" s="38"/>
      <c r="F248" s="329"/>
      <c r="G248" s="329"/>
      <c r="H248" s="401"/>
    </row>
    <row r="249">
      <c r="A249" s="434"/>
      <c r="D249" s="38"/>
      <c r="F249" s="329"/>
      <c r="G249" s="329"/>
      <c r="H249" s="401"/>
    </row>
    <row r="250">
      <c r="A250" s="434"/>
      <c r="D250" s="38"/>
      <c r="F250" s="329"/>
      <c r="G250" s="329"/>
      <c r="H250" s="401"/>
    </row>
    <row r="251">
      <c r="A251" s="434"/>
      <c r="D251" s="38"/>
      <c r="F251" s="329"/>
      <c r="G251" s="329"/>
      <c r="H251" s="401"/>
    </row>
    <row r="252">
      <c r="A252" s="434"/>
      <c r="D252" s="38"/>
      <c r="F252" s="329"/>
      <c r="G252" s="329"/>
      <c r="H252" s="401"/>
    </row>
    <row r="253">
      <c r="A253" s="434"/>
      <c r="D253" s="38"/>
      <c r="F253" s="329"/>
      <c r="G253" s="329"/>
      <c r="H253" s="401"/>
    </row>
    <row r="254">
      <c r="A254" s="434"/>
      <c r="D254" s="38"/>
      <c r="F254" s="329"/>
      <c r="G254" s="329"/>
      <c r="H254" s="401"/>
    </row>
    <row r="255">
      <c r="A255" s="434"/>
      <c r="D255" s="38"/>
      <c r="F255" s="329"/>
      <c r="G255" s="329"/>
      <c r="H255" s="401"/>
    </row>
    <row r="256">
      <c r="A256" s="434"/>
      <c r="D256" s="38"/>
      <c r="F256" s="329"/>
      <c r="G256" s="329"/>
      <c r="H256" s="401"/>
    </row>
    <row r="257">
      <c r="A257" s="434"/>
      <c r="D257" s="38"/>
      <c r="F257" s="329"/>
      <c r="G257" s="329"/>
      <c r="H257" s="401"/>
    </row>
    <row r="258">
      <c r="A258" s="434"/>
      <c r="D258" s="38"/>
      <c r="F258" s="329"/>
      <c r="G258" s="329"/>
      <c r="H258" s="401"/>
    </row>
    <row r="259">
      <c r="A259" s="434"/>
      <c r="D259" s="38"/>
      <c r="F259" s="329"/>
      <c r="G259" s="329"/>
      <c r="H259" s="401"/>
    </row>
    <row r="260">
      <c r="A260" s="434"/>
      <c r="D260" s="38"/>
      <c r="F260" s="329"/>
      <c r="G260" s="329"/>
      <c r="H260" s="401"/>
    </row>
    <row r="261">
      <c r="A261" s="434"/>
      <c r="D261" s="38"/>
      <c r="F261" s="329"/>
      <c r="G261" s="329"/>
      <c r="H261" s="401"/>
    </row>
    <row r="262">
      <c r="A262" s="434"/>
      <c r="D262" s="38"/>
      <c r="F262" s="329"/>
      <c r="G262" s="329"/>
      <c r="H262" s="401"/>
    </row>
    <row r="263">
      <c r="A263" s="434"/>
      <c r="D263" s="38"/>
      <c r="F263" s="329"/>
      <c r="G263" s="329"/>
      <c r="H263" s="401"/>
    </row>
    <row r="264">
      <c r="A264" s="434"/>
      <c r="D264" s="38"/>
      <c r="F264" s="329"/>
      <c r="G264" s="329"/>
      <c r="H264" s="401"/>
    </row>
    <row r="265">
      <c r="A265" s="434"/>
      <c r="D265" s="38"/>
      <c r="F265" s="329"/>
      <c r="G265" s="329"/>
      <c r="H265" s="401"/>
    </row>
    <row r="266">
      <c r="A266" s="434"/>
      <c r="D266" s="38"/>
      <c r="F266" s="329"/>
      <c r="G266" s="329"/>
      <c r="H266" s="401"/>
    </row>
    <row r="267">
      <c r="A267" s="434"/>
      <c r="D267" s="38"/>
      <c r="F267" s="329"/>
      <c r="G267" s="329"/>
      <c r="H267" s="401"/>
    </row>
    <row r="268">
      <c r="A268" s="434"/>
      <c r="D268" s="38"/>
      <c r="F268" s="329"/>
      <c r="G268" s="329"/>
      <c r="H268" s="401"/>
    </row>
    <row r="269">
      <c r="A269" s="434"/>
      <c r="D269" s="38"/>
      <c r="F269" s="329"/>
      <c r="G269" s="329"/>
      <c r="H269" s="401"/>
    </row>
    <row r="270">
      <c r="A270" s="434"/>
      <c r="D270" s="38"/>
      <c r="F270" s="329"/>
      <c r="G270" s="329"/>
      <c r="H270" s="401"/>
    </row>
    <row r="271">
      <c r="A271" s="434"/>
      <c r="D271" s="38"/>
      <c r="F271" s="329"/>
      <c r="G271" s="329"/>
      <c r="H271" s="401"/>
    </row>
    <row r="272">
      <c r="A272" s="434"/>
      <c r="D272" s="38"/>
      <c r="F272" s="329"/>
      <c r="G272" s="329"/>
      <c r="H272" s="401"/>
    </row>
    <row r="273">
      <c r="A273" s="434"/>
      <c r="D273" s="38"/>
      <c r="F273" s="329"/>
      <c r="G273" s="329"/>
      <c r="H273" s="401"/>
    </row>
    <row r="274">
      <c r="A274" s="434"/>
      <c r="D274" s="38"/>
      <c r="F274" s="329"/>
      <c r="G274" s="329"/>
      <c r="H274" s="401"/>
    </row>
    <row r="275">
      <c r="A275" s="434"/>
      <c r="D275" s="38"/>
      <c r="F275" s="329"/>
      <c r="G275" s="329"/>
      <c r="H275" s="401"/>
    </row>
    <row r="276">
      <c r="A276" s="434"/>
      <c r="D276" s="38"/>
      <c r="F276" s="329"/>
      <c r="G276" s="329"/>
      <c r="H276" s="401"/>
    </row>
    <row r="277">
      <c r="A277" s="434"/>
      <c r="D277" s="38"/>
      <c r="F277" s="329"/>
      <c r="G277" s="329"/>
      <c r="H277" s="401"/>
    </row>
    <row r="278">
      <c r="A278" s="434"/>
      <c r="D278" s="38"/>
      <c r="F278" s="329"/>
      <c r="G278" s="329"/>
      <c r="H278" s="401"/>
    </row>
    <row r="279">
      <c r="A279" s="434"/>
      <c r="D279" s="38"/>
      <c r="F279" s="329"/>
      <c r="G279" s="329"/>
      <c r="H279" s="401"/>
    </row>
    <row r="280">
      <c r="A280" s="434"/>
      <c r="D280" s="38"/>
      <c r="F280" s="329"/>
      <c r="G280" s="329"/>
      <c r="H280" s="401"/>
    </row>
    <row r="281">
      <c r="A281" s="434"/>
      <c r="D281" s="38"/>
      <c r="F281" s="329"/>
      <c r="G281" s="329"/>
      <c r="H281" s="401"/>
    </row>
    <row r="282">
      <c r="A282" s="434"/>
      <c r="D282" s="38"/>
      <c r="F282" s="329"/>
      <c r="G282" s="329"/>
      <c r="H282" s="401"/>
    </row>
    <row r="283">
      <c r="A283" s="434"/>
      <c r="D283" s="38"/>
      <c r="F283" s="329"/>
      <c r="G283" s="329"/>
      <c r="H283" s="401"/>
    </row>
    <row r="284">
      <c r="A284" s="434"/>
      <c r="D284" s="38"/>
      <c r="F284" s="329"/>
      <c r="G284" s="329"/>
      <c r="H284" s="401"/>
    </row>
    <row r="285">
      <c r="A285" s="434"/>
      <c r="D285" s="38"/>
      <c r="F285" s="329"/>
      <c r="G285" s="329"/>
      <c r="H285" s="401"/>
    </row>
    <row r="286">
      <c r="A286" s="434"/>
      <c r="D286" s="38"/>
      <c r="F286" s="329"/>
      <c r="G286" s="329"/>
      <c r="H286" s="401"/>
    </row>
    <row r="287">
      <c r="A287" s="434"/>
      <c r="D287" s="38"/>
      <c r="F287" s="329"/>
      <c r="G287" s="329"/>
      <c r="H287" s="401"/>
    </row>
    <row r="288">
      <c r="A288" s="434"/>
      <c r="D288" s="38"/>
      <c r="F288" s="329"/>
      <c r="G288" s="329"/>
      <c r="H288" s="401"/>
    </row>
    <row r="289">
      <c r="A289" s="434"/>
      <c r="D289" s="38"/>
      <c r="F289" s="329"/>
      <c r="G289" s="329"/>
      <c r="H289" s="401"/>
    </row>
    <row r="290">
      <c r="A290" s="434"/>
      <c r="D290" s="38"/>
      <c r="F290" s="329"/>
      <c r="G290" s="329"/>
      <c r="H290" s="401"/>
    </row>
    <row r="291">
      <c r="A291" s="434"/>
      <c r="D291" s="38"/>
      <c r="F291" s="329"/>
      <c r="G291" s="329"/>
      <c r="H291" s="401"/>
    </row>
    <row r="292">
      <c r="A292" s="434"/>
      <c r="D292" s="38"/>
      <c r="F292" s="329"/>
      <c r="G292" s="329"/>
      <c r="H292" s="401"/>
    </row>
    <row r="293">
      <c r="A293" s="434"/>
      <c r="D293" s="38"/>
      <c r="F293" s="329"/>
      <c r="G293" s="329"/>
      <c r="H293" s="401"/>
    </row>
    <row r="294">
      <c r="A294" s="434"/>
      <c r="D294" s="38"/>
      <c r="F294" s="329"/>
      <c r="G294" s="329"/>
      <c r="H294" s="401"/>
    </row>
    <row r="295">
      <c r="A295" s="434"/>
      <c r="D295" s="38"/>
      <c r="F295" s="329"/>
      <c r="G295" s="329"/>
      <c r="H295" s="401"/>
    </row>
    <row r="296">
      <c r="A296" s="434"/>
      <c r="D296" s="38"/>
      <c r="F296" s="329"/>
      <c r="G296" s="329"/>
      <c r="H296" s="401"/>
    </row>
    <row r="297">
      <c r="A297" s="434"/>
      <c r="D297" s="38"/>
      <c r="F297" s="329"/>
      <c r="G297" s="329"/>
      <c r="H297" s="401"/>
    </row>
    <row r="298">
      <c r="A298" s="434"/>
      <c r="D298" s="38"/>
      <c r="F298" s="329"/>
      <c r="G298" s="329"/>
      <c r="H298" s="401"/>
    </row>
    <row r="299">
      <c r="A299" s="434"/>
      <c r="D299" s="38"/>
      <c r="F299" s="329"/>
      <c r="G299" s="329"/>
      <c r="H299" s="401"/>
    </row>
    <row r="300">
      <c r="A300" s="434"/>
      <c r="D300" s="38"/>
      <c r="F300" s="329"/>
      <c r="G300" s="329"/>
      <c r="H300" s="401"/>
    </row>
    <row r="301">
      <c r="A301" s="434"/>
      <c r="D301" s="38"/>
      <c r="F301" s="329"/>
      <c r="G301" s="329"/>
      <c r="H301" s="401"/>
    </row>
    <row r="302">
      <c r="A302" s="434"/>
      <c r="D302" s="38"/>
      <c r="F302" s="329"/>
      <c r="G302" s="329"/>
      <c r="H302" s="401"/>
    </row>
    <row r="303">
      <c r="A303" s="434"/>
      <c r="D303" s="38"/>
      <c r="F303" s="329"/>
      <c r="G303" s="329"/>
      <c r="H303" s="401"/>
    </row>
    <row r="304">
      <c r="A304" s="434"/>
      <c r="D304" s="38"/>
      <c r="F304" s="329"/>
      <c r="G304" s="329"/>
      <c r="H304" s="401"/>
    </row>
    <row r="305">
      <c r="A305" s="434"/>
      <c r="D305" s="38"/>
      <c r="F305" s="329"/>
      <c r="G305" s="329"/>
      <c r="H305" s="401"/>
    </row>
    <row r="306">
      <c r="A306" s="434"/>
      <c r="D306" s="38"/>
      <c r="F306" s="329"/>
      <c r="G306" s="329"/>
      <c r="H306" s="401"/>
    </row>
    <row r="307">
      <c r="A307" s="434"/>
      <c r="D307" s="38"/>
      <c r="F307" s="329"/>
      <c r="G307" s="329"/>
      <c r="H307" s="401"/>
    </row>
    <row r="308">
      <c r="A308" s="434"/>
      <c r="D308" s="38"/>
      <c r="F308" s="329"/>
      <c r="G308" s="329"/>
      <c r="H308" s="401"/>
    </row>
    <row r="309">
      <c r="A309" s="434"/>
      <c r="D309" s="38"/>
      <c r="F309" s="329"/>
      <c r="G309" s="329"/>
      <c r="H309" s="401"/>
    </row>
    <row r="310">
      <c r="A310" s="434"/>
      <c r="D310" s="38"/>
      <c r="F310" s="329"/>
      <c r="G310" s="329"/>
      <c r="H310" s="401"/>
    </row>
    <row r="311">
      <c r="A311" s="434"/>
      <c r="D311" s="38"/>
      <c r="F311" s="329"/>
      <c r="G311" s="329"/>
      <c r="H311" s="401"/>
    </row>
    <row r="312">
      <c r="A312" s="434"/>
      <c r="D312" s="38"/>
      <c r="F312" s="329"/>
      <c r="G312" s="329"/>
      <c r="H312" s="401"/>
    </row>
    <row r="313">
      <c r="A313" s="434"/>
      <c r="D313" s="38"/>
      <c r="F313" s="329"/>
      <c r="G313" s="329"/>
      <c r="H313" s="401"/>
    </row>
    <row r="314">
      <c r="A314" s="434"/>
      <c r="D314" s="38"/>
      <c r="F314" s="329"/>
      <c r="G314" s="329"/>
      <c r="H314" s="401"/>
    </row>
    <row r="315">
      <c r="A315" s="434"/>
      <c r="D315" s="38"/>
      <c r="F315" s="329"/>
      <c r="G315" s="329"/>
      <c r="H315" s="401"/>
    </row>
    <row r="316">
      <c r="A316" s="434"/>
      <c r="D316" s="38"/>
      <c r="F316" s="329"/>
      <c r="G316" s="329"/>
      <c r="H316" s="401"/>
    </row>
    <row r="317">
      <c r="A317" s="434"/>
      <c r="D317" s="38"/>
      <c r="F317" s="329"/>
      <c r="G317" s="329"/>
      <c r="H317" s="401"/>
    </row>
    <row r="318">
      <c r="A318" s="434"/>
      <c r="D318" s="38"/>
      <c r="F318" s="329"/>
      <c r="G318" s="329"/>
      <c r="H318" s="401"/>
    </row>
    <row r="319">
      <c r="A319" s="434"/>
      <c r="D319" s="38"/>
      <c r="F319" s="329"/>
      <c r="G319" s="329"/>
      <c r="H319" s="401"/>
    </row>
    <row r="320">
      <c r="A320" s="434"/>
      <c r="D320" s="38"/>
      <c r="F320" s="329"/>
      <c r="G320" s="329"/>
      <c r="H320" s="401"/>
    </row>
    <row r="321">
      <c r="A321" s="434"/>
      <c r="D321" s="38"/>
      <c r="F321" s="329"/>
      <c r="G321" s="329"/>
      <c r="H321" s="401"/>
    </row>
    <row r="322">
      <c r="A322" s="434"/>
      <c r="D322" s="38"/>
      <c r="F322" s="329"/>
      <c r="G322" s="329"/>
      <c r="H322" s="401"/>
    </row>
    <row r="323">
      <c r="A323" s="434"/>
      <c r="D323" s="38"/>
      <c r="F323" s="329"/>
      <c r="G323" s="329"/>
      <c r="H323" s="401"/>
    </row>
    <row r="324">
      <c r="A324" s="434"/>
      <c r="D324" s="38"/>
      <c r="F324" s="329"/>
      <c r="G324" s="329"/>
      <c r="H324" s="401"/>
    </row>
    <row r="325">
      <c r="A325" s="434"/>
      <c r="D325" s="38"/>
      <c r="F325" s="329"/>
      <c r="G325" s="329"/>
      <c r="H325" s="401"/>
    </row>
    <row r="326">
      <c r="A326" s="434"/>
      <c r="D326" s="38"/>
      <c r="F326" s="329"/>
      <c r="G326" s="329"/>
      <c r="H326" s="401"/>
    </row>
    <row r="327">
      <c r="A327" s="434"/>
      <c r="D327" s="38"/>
      <c r="F327" s="329"/>
      <c r="G327" s="329"/>
      <c r="H327" s="401"/>
    </row>
    <row r="328">
      <c r="A328" s="434"/>
      <c r="D328" s="38"/>
      <c r="F328" s="329"/>
      <c r="G328" s="329"/>
      <c r="H328" s="401"/>
    </row>
    <row r="329">
      <c r="A329" s="434"/>
      <c r="D329" s="38"/>
      <c r="F329" s="329"/>
      <c r="G329" s="329"/>
      <c r="H329" s="401"/>
    </row>
    <row r="330">
      <c r="A330" s="434"/>
      <c r="D330" s="38"/>
      <c r="F330" s="329"/>
      <c r="G330" s="329"/>
      <c r="H330" s="401"/>
    </row>
    <row r="331">
      <c r="A331" s="434"/>
      <c r="D331" s="38"/>
      <c r="F331" s="329"/>
      <c r="G331" s="329"/>
      <c r="H331" s="401"/>
    </row>
    <row r="332">
      <c r="A332" s="434"/>
      <c r="D332" s="38"/>
      <c r="F332" s="329"/>
      <c r="G332" s="329"/>
      <c r="H332" s="401"/>
    </row>
    <row r="333">
      <c r="A333" s="434"/>
      <c r="D333" s="38"/>
      <c r="F333" s="329"/>
      <c r="G333" s="329"/>
      <c r="H333" s="401"/>
    </row>
    <row r="334">
      <c r="A334" s="434"/>
      <c r="D334" s="38"/>
      <c r="F334" s="329"/>
      <c r="G334" s="329"/>
      <c r="H334" s="401"/>
    </row>
    <row r="335">
      <c r="A335" s="434"/>
      <c r="D335" s="38"/>
      <c r="F335" s="329"/>
      <c r="G335" s="329"/>
      <c r="H335" s="401"/>
    </row>
    <row r="336">
      <c r="A336" s="434"/>
      <c r="D336" s="38"/>
      <c r="F336" s="329"/>
      <c r="G336" s="329"/>
      <c r="H336" s="401"/>
    </row>
    <row r="337">
      <c r="A337" s="434"/>
      <c r="D337" s="38"/>
      <c r="F337" s="329"/>
      <c r="G337" s="329"/>
      <c r="H337" s="401"/>
    </row>
    <row r="338">
      <c r="A338" s="434"/>
      <c r="D338" s="38"/>
      <c r="F338" s="329"/>
      <c r="G338" s="329"/>
      <c r="H338" s="401"/>
    </row>
    <row r="339">
      <c r="A339" s="434"/>
      <c r="D339" s="38"/>
      <c r="F339" s="329"/>
      <c r="G339" s="329"/>
      <c r="H339" s="401"/>
    </row>
    <row r="340">
      <c r="A340" s="434"/>
      <c r="D340" s="38"/>
      <c r="F340" s="329"/>
      <c r="G340" s="329"/>
      <c r="H340" s="401"/>
    </row>
    <row r="341">
      <c r="A341" s="434"/>
      <c r="D341" s="38"/>
      <c r="F341" s="329"/>
      <c r="G341" s="329"/>
      <c r="H341" s="401"/>
    </row>
    <row r="342">
      <c r="A342" s="434"/>
      <c r="D342" s="38"/>
      <c r="F342" s="329"/>
      <c r="G342" s="329"/>
      <c r="H342" s="401"/>
    </row>
    <row r="343">
      <c r="A343" s="434"/>
      <c r="D343" s="38"/>
      <c r="F343" s="329"/>
      <c r="G343" s="329"/>
      <c r="H343" s="401"/>
    </row>
    <row r="344">
      <c r="A344" s="434"/>
      <c r="D344" s="38"/>
      <c r="F344" s="329"/>
      <c r="G344" s="329"/>
      <c r="H344" s="401"/>
    </row>
    <row r="345">
      <c r="A345" s="434"/>
      <c r="D345" s="38"/>
      <c r="F345" s="329"/>
      <c r="G345" s="329"/>
      <c r="H345" s="401"/>
    </row>
    <row r="346">
      <c r="A346" s="434"/>
      <c r="D346" s="38"/>
      <c r="F346" s="329"/>
      <c r="G346" s="329"/>
      <c r="H346" s="401"/>
    </row>
    <row r="347">
      <c r="A347" s="434"/>
      <c r="D347" s="38"/>
      <c r="F347" s="329"/>
      <c r="G347" s="329"/>
      <c r="H347" s="401"/>
    </row>
    <row r="348">
      <c r="A348" s="434"/>
      <c r="D348" s="38"/>
      <c r="F348" s="329"/>
      <c r="G348" s="329"/>
      <c r="H348" s="401"/>
    </row>
    <row r="349">
      <c r="A349" s="434"/>
      <c r="D349" s="38"/>
      <c r="F349" s="329"/>
      <c r="G349" s="329"/>
      <c r="H349" s="401"/>
    </row>
    <row r="350">
      <c r="A350" s="434"/>
      <c r="D350" s="38"/>
      <c r="F350" s="329"/>
      <c r="G350" s="329"/>
      <c r="H350" s="401"/>
    </row>
    <row r="351">
      <c r="A351" s="434"/>
      <c r="D351" s="38"/>
      <c r="F351" s="329"/>
      <c r="G351" s="329"/>
      <c r="H351" s="401"/>
    </row>
    <row r="352">
      <c r="A352" s="434"/>
      <c r="D352" s="38"/>
      <c r="F352" s="329"/>
      <c r="G352" s="329"/>
      <c r="H352" s="401"/>
    </row>
    <row r="353">
      <c r="A353" s="434"/>
      <c r="D353" s="38"/>
      <c r="F353" s="329"/>
      <c r="G353" s="329"/>
      <c r="H353" s="401"/>
    </row>
    <row r="354">
      <c r="A354" s="434"/>
      <c r="D354" s="38"/>
      <c r="F354" s="329"/>
      <c r="G354" s="329"/>
      <c r="H354" s="401"/>
    </row>
    <row r="355">
      <c r="A355" s="434"/>
      <c r="D355" s="38"/>
      <c r="F355" s="329"/>
      <c r="G355" s="329"/>
      <c r="H355" s="401"/>
    </row>
    <row r="356">
      <c r="A356" s="434"/>
      <c r="D356" s="38"/>
      <c r="F356" s="329"/>
      <c r="G356" s="329"/>
      <c r="H356" s="401"/>
    </row>
    <row r="357">
      <c r="A357" s="434"/>
      <c r="D357" s="38"/>
      <c r="F357" s="329"/>
      <c r="G357" s="329"/>
      <c r="H357" s="401"/>
    </row>
    <row r="358">
      <c r="A358" s="434"/>
      <c r="D358" s="38"/>
      <c r="F358" s="329"/>
      <c r="G358" s="329"/>
      <c r="H358" s="401"/>
    </row>
    <row r="359">
      <c r="A359" s="434"/>
      <c r="D359" s="38"/>
      <c r="F359" s="329"/>
      <c r="G359" s="329"/>
      <c r="H359" s="401"/>
    </row>
    <row r="360">
      <c r="A360" s="434"/>
      <c r="D360" s="38"/>
      <c r="F360" s="329"/>
      <c r="G360" s="329"/>
      <c r="H360" s="401"/>
    </row>
    <row r="361">
      <c r="A361" s="434"/>
      <c r="D361" s="38"/>
      <c r="F361" s="329"/>
      <c r="G361" s="329"/>
      <c r="H361" s="401"/>
    </row>
    <row r="362">
      <c r="A362" s="434"/>
      <c r="D362" s="38"/>
      <c r="F362" s="329"/>
      <c r="G362" s="329"/>
      <c r="H362" s="401"/>
    </row>
    <row r="363">
      <c r="A363" s="434"/>
      <c r="D363" s="38"/>
      <c r="F363" s="329"/>
      <c r="G363" s="329"/>
      <c r="H363" s="401"/>
    </row>
    <row r="364">
      <c r="A364" s="434"/>
      <c r="D364" s="38"/>
      <c r="F364" s="329"/>
      <c r="G364" s="329"/>
      <c r="H364" s="401"/>
    </row>
    <row r="365">
      <c r="A365" s="434"/>
      <c r="D365" s="38"/>
      <c r="F365" s="329"/>
      <c r="G365" s="329"/>
      <c r="H365" s="401"/>
    </row>
    <row r="366">
      <c r="A366" s="434"/>
      <c r="D366" s="38"/>
      <c r="F366" s="329"/>
      <c r="G366" s="329"/>
      <c r="H366" s="401"/>
    </row>
    <row r="367">
      <c r="A367" s="434"/>
      <c r="D367" s="38"/>
      <c r="F367" s="329"/>
      <c r="G367" s="329"/>
      <c r="H367" s="401"/>
    </row>
    <row r="368">
      <c r="A368" s="434"/>
      <c r="D368" s="38"/>
      <c r="F368" s="329"/>
      <c r="G368" s="329"/>
      <c r="H368" s="401"/>
    </row>
    <row r="369">
      <c r="A369" s="434"/>
      <c r="D369" s="38"/>
      <c r="F369" s="329"/>
      <c r="G369" s="329"/>
      <c r="H369" s="401"/>
    </row>
    <row r="370">
      <c r="A370" s="434"/>
      <c r="D370" s="38"/>
      <c r="F370" s="329"/>
      <c r="G370" s="329"/>
      <c r="H370" s="401"/>
    </row>
    <row r="371">
      <c r="A371" s="434"/>
      <c r="D371" s="38"/>
      <c r="F371" s="329"/>
      <c r="G371" s="329"/>
      <c r="H371" s="401"/>
    </row>
    <row r="372">
      <c r="A372" s="434"/>
      <c r="D372" s="38"/>
      <c r="F372" s="329"/>
      <c r="G372" s="329"/>
      <c r="H372" s="401"/>
    </row>
    <row r="373">
      <c r="A373" s="434"/>
      <c r="D373" s="38"/>
      <c r="F373" s="329"/>
      <c r="G373" s="329"/>
      <c r="H373" s="401"/>
    </row>
    <row r="374">
      <c r="A374" s="434"/>
      <c r="D374" s="38"/>
      <c r="F374" s="329"/>
      <c r="G374" s="329"/>
      <c r="H374" s="401"/>
    </row>
    <row r="375">
      <c r="A375" s="434"/>
      <c r="D375" s="38"/>
      <c r="F375" s="329"/>
      <c r="G375" s="329"/>
      <c r="H375" s="401"/>
    </row>
    <row r="376">
      <c r="A376" s="434"/>
      <c r="D376" s="38"/>
      <c r="F376" s="329"/>
      <c r="G376" s="329"/>
      <c r="H376" s="401"/>
    </row>
    <row r="377">
      <c r="A377" s="434"/>
      <c r="D377" s="38"/>
      <c r="F377" s="329"/>
      <c r="G377" s="329"/>
      <c r="H377" s="401"/>
    </row>
    <row r="378">
      <c r="A378" s="434"/>
      <c r="D378" s="38"/>
      <c r="F378" s="329"/>
      <c r="G378" s="329"/>
      <c r="H378" s="401"/>
    </row>
    <row r="379">
      <c r="A379" s="434"/>
      <c r="D379" s="38"/>
      <c r="F379" s="329"/>
      <c r="G379" s="329"/>
      <c r="H379" s="401"/>
    </row>
    <row r="380">
      <c r="A380" s="434"/>
      <c r="D380" s="38"/>
      <c r="F380" s="329"/>
      <c r="G380" s="329"/>
      <c r="H380" s="401"/>
    </row>
    <row r="381">
      <c r="A381" s="434"/>
      <c r="D381" s="38"/>
      <c r="F381" s="329"/>
      <c r="G381" s="329"/>
      <c r="H381" s="401"/>
    </row>
    <row r="382">
      <c r="A382" s="434"/>
      <c r="D382" s="38"/>
      <c r="F382" s="329"/>
      <c r="G382" s="329"/>
      <c r="H382" s="401"/>
    </row>
    <row r="383">
      <c r="A383" s="434"/>
      <c r="D383" s="38"/>
      <c r="F383" s="329"/>
      <c r="G383" s="329"/>
      <c r="H383" s="401"/>
    </row>
    <row r="384">
      <c r="A384" s="434"/>
      <c r="D384" s="38"/>
      <c r="F384" s="329"/>
      <c r="G384" s="329"/>
      <c r="H384" s="401"/>
    </row>
    <row r="385">
      <c r="A385" s="434"/>
      <c r="D385" s="38"/>
      <c r="F385" s="329"/>
      <c r="G385" s="329"/>
      <c r="H385" s="401"/>
    </row>
    <row r="386">
      <c r="A386" s="434"/>
      <c r="D386" s="38"/>
      <c r="F386" s="329"/>
      <c r="G386" s="329"/>
      <c r="H386" s="401"/>
    </row>
    <row r="387">
      <c r="A387" s="434"/>
      <c r="D387" s="38"/>
      <c r="F387" s="329"/>
      <c r="G387" s="329"/>
      <c r="H387" s="401"/>
    </row>
    <row r="388">
      <c r="A388" s="434"/>
      <c r="D388" s="38"/>
      <c r="F388" s="329"/>
      <c r="G388" s="329"/>
      <c r="H388" s="401"/>
    </row>
    <row r="389">
      <c r="A389" s="434"/>
      <c r="D389" s="38"/>
      <c r="F389" s="329"/>
      <c r="G389" s="329"/>
      <c r="H389" s="401"/>
    </row>
    <row r="390">
      <c r="A390" s="434"/>
      <c r="D390" s="38"/>
      <c r="F390" s="329"/>
      <c r="G390" s="329"/>
      <c r="H390" s="401"/>
    </row>
    <row r="391">
      <c r="A391" s="434"/>
      <c r="D391" s="38"/>
      <c r="F391" s="329"/>
      <c r="G391" s="329"/>
      <c r="H391" s="401"/>
    </row>
    <row r="392">
      <c r="A392" s="434"/>
      <c r="D392" s="38"/>
      <c r="F392" s="329"/>
      <c r="G392" s="329"/>
      <c r="H392" s="401"/>
    </row>
    <row r="393">
      <c r="A393" s="434"/>
      <c r="D393" s="38"/>
      <c r="F393" s="329"/>
      <c r="G393" s="329"/>
      <c r="H393" s="401"/>
    </row>
    <row r="394">
      <c r="A394" s="434"/>
      <c r="D394" s="38"/>
      <c r="F394" s="329"/>
      <c r="G394" s="329"/>
      <c r="H394" s="401"/>
    </row>
    <row r="395">
      <c r="A395" s="434"/>
      <c r="D395" s="38"/>
      <c r="F395" s="329"/>
      <c r="G395" s="329"/>
      <c r="H395" s="401"/>
    </row>
    <row r="396">
      <c r="A396" s="434"/>
      <c r="D396" s="38"/>
      <c r="F396" s="329"/>
      <c r="G396" s="329"/>
      <c r="H396" s="401"/>
    </row>
    <row r="397">
      <c r="A397" s="434"/>
      <c r="D397" s="38"/>
      <c r="F397" s="329"/>
      <c r="G397" s="329"/>
      <c r="H397" s="401"/>
    </row>
    <row r="398">
      <c r="A398" s="434"/>
      <c r="D398" s="38"/>
      <c r="F398" s="329"/>
      <c r="G398" s="329"/>
      <c r="H398" s="401"/>
    </row>
    <row r="399">
      <c r="A399" s="434"/>
      <c r="D399" s="38"/>
      <c r="F399" s="329"/>
      <c r="G399" s="329"/>
      <c r="H399" s="401"/>
    </row>
    <row r="400">
      <c r="A400" s="434"/>
      <c r="D400" s="38"/>
      <c r="F400" s="329"/>
      <c r="G400" s="329"/>
      <c r="H400" s="401"/>
    </row>
    <row r="401">
      <c r="A401" s="434"/>
      <c r="D401" s="38"/>
      <c r="F401" s="329"/>
      <c r="G401" s="329"/>
      <c r="H401" s="401"/>
    </row>
    <row r="402">
      <c r="A402" s="434"/>
      <c r="D402" s="38"/>
      <c r="F402" s="329"/>
      <c r="G402" s="329"/>
      <c r="H402" s="401"/>
    </row>
    <row r="403">
      <c r="A403" s="434"/>
      <c r="D403" s="38"/>
      <c r="F403" s="329"/>
      <c r="G403" s="329"/>
      <c r="H403" s="401"/>
    </row>
    <row r="404">
      <c r="A404" s="434"/>
      <c r="D404" s="38"/>
      <c r="F404" s="329"/>
      <c r="G404" s="329"/>
      <c r="H404" s="401"/>
    </row>
    <row r="405">
      <c r="A405" s="434"/>
      <c r="D405" s="38"/>
      <c r="F405" s="329"/>
      <c r="G405" s="329"/>
      <c r="H405" s="401"/>
    </row>
    <row r="406">
      <c r="A406" s="434"/>
      <c r="D406" s="38"/>
      <c r="F406" s="329"/>
      <c r="G406" s="329"/>
      <c r="H406" s="401"/>
    </row>
    <row r="407">
      <c r="A407" s="434"/>
      <c r="D407" s="38"/>
      <c r="F407" s="329"/>
      <c r="G407" s="329"/>
      <c r="H407" s="401"/>
    </row>
    <row r="408">
      <c r="A408" s="434"/>
      <c r="D408" s="38"/>
      <c r="F408" s="329"/>
      <c r="G408" s="329"/>
      <c r="H408" s="401"/>
    </row>
    <row r="409">
      <c r="A409" s="434"/>
      <c r="D409" s="38"/>
      <c r="F409" s="329"/>
      <c r="G409" s="329"/>
      <c r="H409" s="401"/>
    </row>
    <row r="410">
      <c r="A410" s="434"/>
      <c r="D410" s="38"/>
      <c r="F410" s="329"/>
      <c r="G410" s="329"/>
      <c r="H410" s="401"/>
    </row>
    <row r="411">
      <c r="A411" s="434"/>
      <c r="D411" s="38"/>
      <c r="F411" s="329"/>
      <c r="G411" s="329"/>
      <c r="H411" s="401"/>
    </row>
    <row r="412">
      <c r="A412" s="434"/>
      <c r="D412" s="38"/>
      <c r="F412" s="329"/>
      <c r="G412" s="329"/>
      <c r="H412" s="401"/>
    </row>
    <row r="413">
      <c r="A413" s="434"/>
      <c r="D413" s="38"/>
      <c r="F413" s="329"/>
      <c r="G413" s="329"/>
      <c r="H413" s="401"/>
    </row>
    <row r="414">
      <c r="A414" s="434"/>
      <c r="D414" s="38"/>
      <c r="F414" s="329"/>
      <c r="G414" s="329"/>
      <c r="H414" s="401"/>
    </row>
    <row r="415">
      <c r="A415" s="434"/>
      <c r="D415" s="38"/>
      <c r="F415" s="329"/>
      <c r="G415" s="329"/>
      <c r="H415" s="401"/>
    </row>
    <row r="416">
      <c r="A416" s="434"/>
      <c r="D416" s="38"/>
      <c r="F416" s="329"/>
      <c r="G416" s="329"/>
      <c r="H416" s="401"/>
    </row>
    <row r="417">
      <c r="A417" s="434"/>
      <c r="D417" s="38"/>
      <c r="F417" s="329"/>
      <c r="G417" s="329"/>
      <c r="H417" s="401"/>
    </row>
    <row r="418">
      <c r="A418" s="434"/>
      <c r="D418" s="38"/>
      <c r="F418" s="329"/>
      <c r="G418" s="329"/>
      <c r="H418" s="401"/>
    </row>
    <row r="419">
      <c r="A419" s="434"/>
      <c r="D419" s="38"/>
      <c r="F419" s="329"/>
      <c r="G419" s="329"/>
      <c r="H419" s="401"/>
    </row>
    <row r="420">
      <c r="A420" s="434"/>
      <c r="D420" s="38"/>
      <c r="F420" s="329"/>
      <c r="G420" s="329"/>
      <c r="H420" s="401"/>
    </row>
    <row r="421">
      <c r="A421" s="434"/>
      <c r="D421" s="38"/>
      <c r="F421" s="329"/>
      <c r="G421" s="329"/>
      <c r="H421" s="401"/>
    </row>
    <row r="422">
      <c r="A422" s="434"/>
      <c r="D422" s="38"/>
      <c r="F422" s="329"/>
      <c r="G422" s="329"/>
      <c r="H422" s="401"/>
    </row>
    <row r="423">
      <c r="A423" s="434"/>
      <c r="D423" s="38"/>
      <c r="F423" s="329"/>
      <c r="G423" s="329"/>
      <c r="H423" s="401"/>
    </row>
    <row r="424">
      <c r="A424" s="434"/>
      <c r="D424" s="38"/>
      <c r="F424" s="329"/>
      <c r="G424" s="329"/>
      <c r="H424" s="401"/>
    </row>
    <row r="425">
      <c r="A425" s="434"/>
      <c r="D425" s="38"/>
      <c r="F425" s="329"/>
      <c r="G425" s="329"/>
      <c r="H425" s="401"/>
    </row>
    <row r="426">
      <c r="A426" s="434"/>
      <c r="D426" s="38"/>
      <c r="F426" s="329"/>
      <c r="G426" s="329"/>
      <c r="H426" s="401"/>
    </row>
    <row r="427">
      <c r="A427" s="434"/>
      <c r="D427" s="38"/>
      <c r="F427" s="329"/>
      <c r="G427" s="329"/>
      <c r="H427" s="401"/>
    </row>
    <row r="428">
      <c r="A428" s="434"/>
      <c r="D428" s="38"/>
      <c r="F428" s="329"/>
      <c r="G428" s="329"/>
      <c r="H428" s="401"/>
    </row>
    <row r="429">
      <c r="A429" s="434"/>
      <c r="D429" s="38"/>
      <c r="F429" s="329"/>
      <c r="G429" s="329"/>
      <c r="H429" s="401"/>
    </row>
    <row r="430">
      <c r="A430" s="434"/>
      <c r="D430" s="38"/>
      <c r="F430" s="329"/>
      <c r="G430" s="329"/>
      <c r="H430" s="401"/>
    </row>
    <row r="431">
      <c r="A431" s="434"/>
      <c r="D431" s="38"/>
      <c r="F431" s="329"/>
      <c r="G431" s="329"/>
      <c r="H431" s="401"/>
    </row>
    <row r="432">
      <c r="A432" s="434"/>
      <c r="D432" s="38"/>
      <c r="F432" s="329"/>
      <c r="G432" s="329"/>
      <c r="H432" s="401"/>
    </row>
    <row r="433">
      <c r="A433" s="434"/>
      <c r="D433" s="38"/>
      <c r="F433" s="329"/>
      <c r="G433" s="329"/>
      <c r="H433" s="401"/>
    </row>
    <row r="434">
      <c r="A434" s="434"/>
      <c r="D434" s="38"/>
      <c r="F434" s="329"/>
      <c r="G434" s="329"/>
      <c r="H434" s="401"/>
    </row>
    <row r="435">
      <c r="A435" s="434"/>
      <c r="D435" s="38"/>
      <c r="F435" s="329"/>
      <c r="G435" s="329"/>
      <c r="H435" s="401"/>
    </row>
    <row r="436">
      <c r="A436" s="434"/>
      <c r="D436" s="38"/>
      <c r="F436" s="329"/>
      <c r="G436" s="329"/>
      <c r="H436" s="401"/>
    </row>
    <row r="437">
      <c r="A437" s="434"/>
      <c r="D437" s="38"/>
      <c r="F437" s="329"/>
      <c r="G437" s="329"/>
      <c r="H437" s="401"/>
    </row>
    <row r="438">
      <c r="A438" s="434"/>
      <c r="D438" s="38"/>
      <c r="F438" s="329"/>
      <c r="G438" s="329"/>
      <c r="H438" s="401"/>
    </row>
    <row r="439">
      <c r="A439" s="434"/>
      <c r="D439" s="38"/>
      <c r="F439" s="329"/>
      <c r="G439" s="329"/>
      <c r="H439" s="401"/>
    </row>
    <row r="440">
      <c r="A440" s="434"/>
      <c r="D440" s="38"/>
      <c r="F440" s="329"/>
      <c r="G440" s="329"/>
      <c r="H440" s="401"/>
    </row>
    <row r="441">
      <c r="A441" s="434"/>
      <c r="D441" s="38"/>
      <c r="F441" s="329"/>
      <c r="G441" s="329"/>
      <c r="H441" s="401"/>
    </row>
    <row r="442">
      <c r="A442" s="434"/>
      <c r="D442" s="38"/>
      <c r="F442" s="329"/>
      <c r="G442" s="329"/>
      <c r="H442" s="401"/>
    </row>
    <row r="443">
      <c r="A443" s="434"/>
      <c r="D443" s="38"/>
      <c r="F443" s="329"/>
      <c r="G443" s="329"/>
      <c r="H443" s="401"/>
    </row>
    <row r="444">
      <c r="A444" s="434"/>
      <c r="D444" s="38"/>
      <c r="F444" s="329"/>
      <c r="G444" s="329"/>
      <c r="H444" s="401"/>
    </row>
    <row r="445">
      <c r="A445" s="434"/>
      <c r="D445" s="38"/>
      <c r="F445" s="329"/>
      <c r="G445" s="329"/>
      <c r="H445" s="401"/>
    </row>
    <row r="446">
      <c r="A446" s="434"/>
      <c r="D446" s="38"/>
      <c r="F446" s="329"/>
      <c r="G446" s="329"/>
      <c r="H446" s="401"/>
    </row>
    <row r="447">
      <c r="A447" s="434"/>
      <c r="D447" s="38"/>
      <c r="F447" s="329"/>
      <c r="G447" s="329"/>
      <c r="H447" s="401"/>
    </row>
    <row r="448">
      <c r="A448" s="434"/>
      <c r="D448" s="38"/>
      <c r="F448" s="329"/>
      <c r="G448" s="329"/>
      <c r="H448" s="401"/>
    </row>
    <row r="449">
      <c r="A449" s="434"/>
      <c r="D449" s="38"/>
      <c r="F449" s="329"/>
      <c r="G449" s="329"/>
      <c r="H449" s="401"/>
    </row>
    <row r="450">
      <c r="A450" s="434"/>
      <c r="D450" s="38"/>
      <c r="F450" s="329"/>
      <c r="G450" s="329"/>
      <c r="H450" s="401"/>
    </row>
    <row r="451">
      <c r="A451" s="434"/>
      <c r="D451" s="38"/>
      <c r="F451" s="329"/>
      <c r="G451" s="329"/>
      <c r="H451" s="401"/>
    </row>
    <row r="452">
      <c r="A452" s="434"/>
      <c r="D452" s="38"/>
      <c r="F452" s="329"/>
      <c r="G452" s="329"/>
      <c r="H452" s="401"/>
    </row>
    <row r="453">
      <c r="A453" s="434"/>
      <c r="D453" s="38"/>
      <c r="F453" s="329"/>
      <c r="G453" s="329"/>
      <c r="H453" s="401"/>
    </row>
    <row r="454">
      <c r="A454" s="434"/>
      <c r="D454" s="38"/>
      <c r="F454" s="329"/>
      <c r="G454" s="329"/>
      <c r="H454" s="401"/>
    </row>
    <row r="455">
      <c r="A455" s="434"/>
      <c r="D455" s="38"/>
      <c r="F455" s="329"/>
      <c r="G455" s="329"/>
      <c r="H455" s="401"/>
    </row>
    <row r="456">
      <c r="A456" s="434"/>
      <c r="D456" s="38"/>
      <c r="F456" s="329"/>
      <c r="G456" s="329"/>
      <c r="H456" s="401"/>
    </row>
    <row r="457">
      <c r="A457" s="434"/>
      <c r="D457" s="38"/>
      <c r="F457" s="329"/>
      <c r="G457" s="329"/>
      <c r="H457" s="401"/>
    </row>
    <row r="458">
      <c r="A458" s="434"/>
      <c r="D458" s="38"/>
      <c r="F458" s="329"/>
      <c r="G458" s="329"/>
      <c r="H458" s="401"/>
    </row>
    <row r="459">
      <c r="A459" s="434"/>
      <c r="D459" s="38"/>
      <c r="F459" s="329"/>
      <c r="G459" s="329"/>
      <c r="H459" s="401"/>
    </row>
    <row r="460">
      <c r="A460" s="434"/>
      <c r="D460" s="38"/>
      <c r="F460" s="329"/>
      <c r="G460" s="329"/>
      <c r="H460" s="401"/>
    </row>
    <row r="461">
      <c r="A461" s="434"/>
      <c r="D461" s="38"/>
      <c r="F461" s="329"/>
      <c r="G461" s="329"/>
      <c r="H461" s="401"/>
    </row>
    <row r="462">
      <c r="A462" s="434"/>
      <c r="D462" s="38"/>
      <c r="F462" s="329"/>
      <c r="G462" s="329"/>
      <c r="H462" s="401"/>
    </row>
    <row r="463">
      <c r="A463" s="434"/>
      <c r="D463" s="38"/>
      <c r="F463" s="329"/>
      <c r="G463" s="329"/>
      <c r="H463" s="401"/>
    </row>
    <row r="464">
      <c r="A464" s="434"/>
      <c r="D464" s="38"/>
      <c r="F464" s="329"/>
      <c r="G464" s="329"/>
      <c r="H464" s="401"/>
    </row>
    <row r="465">
      <c r="A465" s="434"/>
      <c r="D465" s="38"/>
      <c r="F465" s="329"/>
      <c r="G465" s="329"/>
      <c r="H465" s="401"/>
    </row>
    <row r="466">
      <c r="A466" s="434"/>
      <c r="D466" s="38"/>
      <c r="F466" s="329"/>
      <c r="G466" s="329"/>
      <c r="H466" s="401"/>
    </row>
    <row r="467">
      <c r="A467" s="434"/>
      <c r="D467" s="38"/>
      <c r="F467" s="329"/>
      <c r="G467" s="329"/>
      <c r="H467" s="401"/>
    </row>
    <row r="468">
      <c r="A468" s="434"/>
      <c r="D468" s="38"/>
      <c r="F468" s="329"/>
      <c r="G468" s="329"/>
      <c r="H468" s="401"/>
    </row>
    <row r="469">
      <c r="A469" s="434"/>
      <c r="D469" s="38"/>
      <c r="F469" s="329"/>
      <c r="G469" s="329"/>
      <c r="H469" s="401"/>
    </row>
    <row r="470">
      <c r="A470" s="434"/>
      <c r="D470" s="38"/>
      <c r="F470" s="329"/>
      <c r="G470" s="329"/>
      <c r="H470" s="401"/>
    </row>
    <row r="471">
      <c r="A471" s="434"/>
      <c r="D471" s="38"/>
      <c r="F471" s="329"/>
      <c r="G471" s="329"/>
      <c r="H471" s="401"/>
    </row>
    <row r="472">
      <c r="A472" s="434"/>
      <c r="D472" s="38"/>
      <c r="F472" s="329"/>
      <c r="G472" s="329"/>
      <c r="H472" s="401"/>
    </row>
    <row r="473">
      <c r="A473" s="434"/>
      <c r="D473" s="38"/>
      <c r="F473" s="329"/>
      <c r="G473" s="329"/>
      <c r="H473" s="401"/>
    </row>
    <row r="474">
      <c r="A474" s="434"/>
      <c r="D474" s="38"/>
      <c r="F474" s="329"/>
      <c r="G474" s="329"/>
      <c r="H474" s="401"/>
    </row>
    <row r="475">
      <c r="A475" s="434"/>
      <c r="D475" s="38"/>
      <c r="F475" s="329"/>
      <c r="G475" s="329"/>
      <c r="H475" s="401"/>
    </row>
    <row r="476">
      <c r="A476" s="434"/>
      <c r="D476" s="38"/>
      <c r="F476" s="329"/>
      <c r="G476" s="329"/>
      <c r="H476" s="401"/>
    </row>
    <row r="477">
      <c r="A477" s="434"/>
      <c r="D477" s="38"/>
      <c r="F477" s="329"/>
      <c r="G477" s="329"/>
      <c r="H477" s="401"/>
    </row>
    <row r="478">
      <c r="A478" s="434"/>
      <c r="D478" s="38"/>
      <c r="F478" s="329"/>
      <c r="G478" s="329"/>
      <c r="H478" s="401"/>
    </row>
    <row r="479">
      <c r="A479" s="434"/>
      <c r="D479" s="38"/>
      <c r="F479" s="329"/>
      <c r="G479" s="329"/>
      <c r="H479" s="401"/>
    </row>
    <row r="480">
      <c r="A480" s="434"/>
      <c r="D480" s="38"/>
      <c r="F480" s="329"/>
      <c r="G480" s="329"/>
      <c r="H480" s="401"/>
    </row>
    <row r="481">
      <c r="A481" s="434"/>
      <c r="D481" s="38"/>
      <c r="F481" s="329"/>
      <c r="G481" s="329"/>
      <c r="H481" s="401"/>
    </row>
    <row r="482">
      <c r="A482" s="434"/>
      <c r="D482" s="38"/>
      <c r="F482" s="329"/>
      <c r="G482" s="329"/>
      <c r="H482" s="401"/>
    </row>
    <row r="483">
      <c r="A483" s="434"/>
      <c r="D483" s="38"/>
      <c r="F483" s="329"/>
      <c r="G483" s="329"/>
      <c r="H483" s="401"/>
    </row>
    <row r="484">
      <c r="A484" s="434"/>
      <c r="D484" s="38"/>
      <c r="F484" s="329"/>
      <c r="G484" s="329"/>
      <c r="H484" s="401"/>
    </row>
    <row r="485">
      <c r="A485" s="434"/>
      <c r="D485" s="38"/>
      <c r="F485" s="329"/>
      <c r="G485" s="329"/>
      <c r="H485" s="401"/>
    </row>
    <row r="486">
      <c r="A486" s="434"/>
      <c r="D486" s="38"/>
      <c r="F486" s="329"/>
      <c r="G486" s="329"/>
      <c r="H486" s="401"/>
    </row>
    <row r="487">
      <c r="A487" s="434"/>
      <c r="D487" s="38"/>
      <c r="F487" s="329"/>
      <c r="G487" s="329"/>
      <c r="H487" s="401"/>
    </row>
    <row r="488">
      <c r="A488" s="434"/>
      <c r="D488" s="38"/>
      <c r="F488" s="329"/>
      <c r="G488" s="329"/>
      <c r="H488" s="401"/>
    </row>
    <row r="489">
      <c r="A489" s="434"/>
      <c r="D489" s="38"/>
      <c r="F489" s="329"/>
      <c r="G489" s="329"/>
      <c r="H489" s="401"/>
    </row>
    <row r="490">
      <c r="A490" s="434"/>
      <c r="D490" s="38"/>
      <c r="F490" s="329"/>
      <c r="G490" s="329"/>
      <c r="H490" s="401"/>
    </row>
    <row r="491">
      <c r="A491" s="434"/>
      <c r="D491" s="38"/>
      <c r="F491" s="329"/>
      <c r="G491" s="329"/>
      <c r="H491" s="401"/>
    </row>
    <row r="492">
      <c r="A492" s="434"/>
      <c r="D492" s="38"/>
      <c r="F492" s="329"/>
      <c r="G492" s="329"/>
      <c r="H492" s="401"/>
    </row>
    <row r="493">
      <c r="A493" s="434"/>
      <c r="D493" s="38"/>
      <c r="F493" s="329"/>
      <c r="G493" s="329"/>
      <c r="H493" s="401"/>
    </row>
    <row r="494">
      <c r="A494" s="434"/>
      <c r="D494" s="38"/>
      <c r="F494" s="329"/>
      <c r="G494" s="329"/>
      <c r="H494" s="401"/>
    </row>
    <row r="495">
      <c r="A495" s="434"/>
      <c r="D495" s="38"/>
      <c r="F495" s="329"/>
      <c r="G495" s="329"/>
      <c r="H495" s="401"/>
    </row>
    <row r="496">
      <c r="A496" s="434"/>
      <c r="D496" s="38"/>
      <c r="F496" s="329"/>
      <c r="G496" s="329"/>
      <c r="H496" s="401"/>
    </row>
    <row r="497">
      <c r="A497" s="434"/>
      <c r="D497" s="38"/>
      <c r="F497" s="329"/>
      <c r="G497" s="329"/>
      <c r="H497" s="401"/>
    </row>
    <row r="498">
      <c r="A498" s="434"/>
      <c r="D498" s="38"/>
      <c r="F498" s="329"/>
      <c r="G498" s="329"/>
      <c r="H498" s="401"/>
    </row>
    <row r="499">
      <c r="A499" s="434"/>
      <c r="D499" s="38"/>
      <c r="F499" s="329"/>
      <c r="G499" s="329"/>
      <c r="H499" s="401"/>
    </row>
    <row r="500">
      <c r="A500" s="434"/>
      <c r="D500" s="38"/>
      <c r="F500" s="329"/>
      <c r="G500" s="329"/>
      <c r="H500" s="401"/>
    </row>
    <row r="501">
      <c r="A501" s="434"/>
      <c r="D501" s="38"/>
      <c r="F501" s="329"/>
      <c r="G501" s="329"/>
      <c r="H501" s="401"/>
    </row>
    <row r="502">
      <c r="A502" s="434"/>
      <c r="D502" s="38"/>
      <c r="F502" s="329"/>
      <c r="G502" s="329"/>
      <c r="H502" s="401"/>
    </row>
    <row r="503">
      <c r="A503" s="434"/>
      <c r="D503" s="38"/>
      <c r="F503" s="329"/>
      <c r="G503" s="329"/>
      <c r="H503" s="401"/>
    </row>
    <row r="504">
      <c r="A504" s="434"/>
      <c r="D504" s="38"/>
      <c r="F504" s="329"/>
      <c r="G504" s="329"/>
      <c r="H504" s="401"/>
    </row>
    <row r="505">
      <c r="A505" s="434"/>
      <c r="D505" s="38"/>
      <c r="F505" s="329"/>
      <c r="G505" s="329"/>
      <c r="H505" s="401"/>
    </row>
    <row r="506">
      <c r="A506" s="434"/>
      <c r="D506" s="38"/>
      <c r="F506" s="329"/>
      <c r="G506" s="329"/>
      <c r="H506" s="401"/>
    </row>
    <row r="507">
      <c r="A507" s="434"/>
      <c r="D507" s="38"/>
      <c r="F507" s="329"/>
      <c r="G507" s="329"/>
      <c r="H507" s="401"/>
    </row>
    <row r="508">
      <c r="A508" s="434"/>
      <c r="D508" s="38"/>
      <c r="F508" s="329"/>
      <c r="G508" s="329"/>
      <c r="H508" s="401"/>
    </row>
    <row r="509">
      <c r="A509" s="434"/>
      <c r="D509" s="38"/>
      <c r="F509" s="329"/>
      <c r="G509" s="329"/>
      <c r="H509" s="401"/>
    </row>
    <row r="510">
      <c r="A510" s="434"/>
      <c r="D510" s="38"/>
      <c r="F510" s="329"/>
      <c r="G510" s="329"/>
      <c r="H510" s="401"/>
    </row>
    <row r="511">
      <c r="A511" s="434"/>
      <c r="D511" s="38"/>
      <c r="F511" s="329"/>
      <c r="G511" s="329"/>
      <c r="H511" s="401"/>
    </row>
    <row r="512">
      <c r="A512" s="434"/>
      <c r="D512" s="38"/>
      <c r="F512" s="329"/>
      <c r="G512" s="329"/>
      <c r="H512" s="401"/>
    </row>
    <row r="513">
      <c r="A513" s="434"/>
      <c r="D513" s="38"/>
      <c r="F513" s="329"/>
      <c r="G513" s="329"/>
      <c r="H513" s="401"/>
    </row>
    <row r="514">
      <c r="A514" s="434"/>
      <c r="D514" s="38"/>
      <c r="F514" s="329"/>
      <c r="G514" s="329"/>
      <c r="H514" s="401"/>
    </row>
    <row r="515">
      <c r="A515" s="434"/>
      <c r="D515" s="38"/>
      <c r="F515" s="329"/>
      <c r="G515" s="329"/>
      <c r="H515" s="401"/>
    </row>
    <row r="516">
      <c r="A516" s="434"/>
      <c r="D516" s="38"/>
      <c r="F516" s="329"/>
      <c r="G516" s="329"/>
      <c r="H516" s="401"/>
    </row>
    <row r="517">
      <c r="A517" s="434"/>
      <c r="D517" s="38"/>
      <c r="F517" s="329"/>
      <c r="G517" s="329"/>
      <c r="H517" s="401"/>
    </row>
    <row r="518">
      <c r="A518" s="434"/>
      <c r="D518" s="38"/>
      <c r="F518" s="329"/>
      <c r="G518" s="329"/>
      <c r="H518" s="401"/>
    </row>
    <row r="519">
      <c r="A519" s="434"/>
      <c r="D519" s="38"/>
      <c r="F519" s="329"/>
      <c r="G519" s="329"/>
      <c r="H519" s="401"/>
    </row>
    <row r="520">
      <c r="A520" s="434"/>
      <c r="D520" s="38"/>
      <c r="F520" s="329"/>
      <c r="G520" s="329"/>
      <c r="H520" s="401"/>
    </row>
    <row r="521">
      <c r="A521" s="434"/>
      <c r="D521" s="38"/>
      <c r="F521" s="329"/>
      <c r="G521" s="329"/>
      <c r="H521" s="401"/>
    </row>
    <row r="522">
      <c r="A522" s="434"/>
      <c r="D522" s="38"/>
      <c r="F522" s="329"/>
      <c r="G522" s="329"/>
      <c r="H522" s="401"/>
    </row>
    <row r="523">
      <c r="A523" s="434"/>
      <c r="D523" s="38"/>
      <c r="F523" s="329"/>
      <c r="G523" s="329"/>
      <c r="H523" s="401"/>
    </row>
    <row r="524">
      <c r="A524" s="434"/>
      <c r="D524" s="38"/>
      <c r="F524" s="329"/>
      <c r="G524" s="329"/>
      <c r="H524" s="401"/>
    </row>
    <row r="525">
      <c r="A525" s="434"/>
      <c r="D525" s="38"/>
      <c r="F525" s="329"/>
      <c r="G525" s="329"/>
      <c r="H525" s="401"/>
    </row>
    <row r="526">
      <c r="A526" s="434"/>
      <c r="D526" s="38"/>
      <c r="F526" s="329"/>
      <c r="G526" s="329"/>
      <c r="H526" s="401"/>
    </row>
    <row r="527">
      <c r="A527" s="434"/>
      <c r="D527" s="38"/>
      <c r="F527" s="329"/>
      <c r="G527" s="329"/>
      <c r="H527" s="401"/>
    </row>
    <row r="528">
      <c r="A528" s="434"/>
      <c r="D528" s="38"/>
      <c r="F528" s="329"/>
      <c r="G528" s="329"/>
      <c r="H528" s="401"/>
    </row>
    <row r="529">
      <c r="A529" s="434"/>
      <c r="D529" s="38"/>
      <c r="F529" s="329"/>
      <c r="G529" s="329"/>
      <c r="H529" s="401"/>
    </row>
    <row r="530">
      <c r="A530" s="434"/>
      <c r="D530" s="38"/>
      <c r="F530" s="329"/>
      <c r="G530" s="329"/>
      <c r="H530" s="401"/>
    </row>
    <row r="531">
      <c r="A531" s="434"/>
      <c r="D531" s="38"/>
      <c r="F531" s="329"/>
      <c r="G531" s="329"/>
      <c r="H531" s="401"/>
    </row>
    <row r="532">
      <c r="A532" s="434"/>
      <c r="D532" s="38"/>
      <c r="F532" s="329"/>
      <c r="G532" s="329"/>
      <c r="H532" s="401"/>
    </row>
    <row r="533">
      <c r="A533" s="434"/>
      <c r="D533" s="38"/>
      <c r="F533" s="329"/>
      <c r="G533" s="329"/>
      <c r="H533" s="401"/>
    </row>
    <row r="534">
      <c r="A534" s="434"/>
      <c r="D534" s="38"/>
      <c r="F534" s="329"/>
      <c r="G534" s="329"/>
      <c r="H534" s="401"/>
    </row>
    <row r="535">
      <c r="A535" s="434"/>
      <c r="D535" s="38"/>
      <c r="F535" s="329"/>
      <c r="G535" s="329"/>
      <c r="H535" s="401"/>
    </row>
    <row r="536">
      <c r="A536" s="434"/>
      <c r="D536" s="38"/>
      <c r="F536" s="329"/>
      <c r="G536" s="329"/>
      <c r="H536" s="401"/>
    </row>
    <row r="537">
      <c r="A537" s="434"/>
      <c r="D537" s="38"/>
      <c r="F537" s="329"/>
      <c r="G537" s="329"/>
      <c r="H537" s="401"/>
    </row>
    <row r="538">
      <c r="A538" s="434"/>
      <c r="D538" s="38"/>
      <c r="F538" s="329"/>
      <c r="G538" s="329"/>
      <c r="H538" s="401"/>
    </row>
    <row r="539">
      <c r="A539" s="434"/>
      <c r="D539" s="38"/>
      <c r="F539" s="329"/>
      <c r="G539" s="329"/>
      <c r="H539" s="401"/>
    </row>
    <row r="540">
      <c r="A540" s="434"/>
      <c r="D540" s="38"/>
      <c r="F540" s="329"/>
      <c r="G540" s="329"/>
      <c r="H540" s="401"/>
    </row>
    <row r="541">
      <c r="A541" s="434"/>
      <c r="D541" s="38"/>
      <c r="F541" s="329"/>
      <c r="G541" s="329"/>
      <c r="H541" s="401"/>
    </row>
    <row r="542">
      <c r="A542" s="434"/>
      <c r="D542" s="38"/>
      <c r="F542" s="329"/>
      <c r="G542" s="329"/>
      <c r="H542" s="401"/>
    </row>
    <row r="543">
      <c r="A543" s="434"/>
      <c r="D543" s="38"/>
      <c r="F543" s="329"/>
      <c r="G543" s="329"/>
      <c r="H543" s="401"/>
    </row>
    <row r="544">
      <c r="A544" s="434"/>
      <c r="D544" s="38"/>
      <c r="F544" s="329"/>
      <c r="G544" s="329"/>
      <c r="H544" s="401"/>
    </row>
    <row r="545">
      <c r="A545" s="434"/>
      <c r="D545" s="38"/>
      <c r="F545" s="329"/>
      <c r="G545" s="329"/>
      <c r="H545" s="401"/>
    </row>
    <row r="546">
      <c r="A546" s="434"/>
      <c r="D546" s="38"/>
      <c r="F546" s="329"/>
      <c r="G546" s="329"/>
      <c r="H546" s="401"/>
    </row>
    <row r="547">
      <c r="A547" s="434"/>
      <c r="D547" s="38"/>
      <c r="F547" s="329"/>
      <c r="G547" s="329"/>
      <c r="H547" s="401"/>
    </row>
    <row r="548">
      <c r="A548" s="434"/>
      <c r="D548" s="38"/>
      <c r="F548" s="329"/>
      <c r="G548" s="329"/>
      <c r="H548" s="401"/>
    </row>
    <row r="549">
      <c r="A549" s="434"/>
      <c r="D549" s="38"/>
      <c r="F549" s="329"/>
      <c r="G549" s="329"/>
      <c r="H549" s="401"/>
    </row>
    <row r="550">
      <c r="A550" s="434"/>
      <c r="D550" s="38"/>
      <c r="F550" s="329"/>
      <c r="G550" s="329"/>
      <c r="H550" s="401"/>
    </row>
    <row r="551">
      <c r="A551" s="434"/>
      <c r="D551" s="38"/>
      <c r="F551" s="329"/>
      <c r="G551" s="329"/>
      <c r="H551" s="401"/>
    </row>
    <row r="552">
      <c r="A552" s="434"/>
      <c r="D552" s="38"/>
      <c r="F552" s="329"/>
      <c r="G552" s="329"/>
      <c r="H552" s="401"/>
    </row>
    <row r="553">
      <c r="A553" s="434"/>
      <c r="D553" s="38"/>
      <c r="F553" s="329"/>
      <c r="G553" s="329"/>
      <c r="H553" s="401"/>
    </row>
    <row r="554">
      <c r="A554" s="434"/>
      <c r="D554" s="38"/>
      <c r="F554" s="329"/>
      <c r="G554" s="329"/>
      <c r="H554" s="401"/>
    </row>
    <row r="555">
      <c r="A555" s="434"/>
      <c r="D555" s="38"/>
      <c r="F555" s="329"/>
      <c r="G555" s="329"/>
      <c r="H555" s="401"/>
    </row>
    <row r="556">
      <c r="A556" s="434"/>
      <c r="D556" s="38"/>
      <c r="F556" s="329"/>
      <c r="G556" s="329"/>
      <c r="H556" s="401"/>
    </row>
    <row r="557">
      <c r="A557" s="434"/>
      <c r="D557" s="38"/>
      <c r="F557" s="329"/>
      <c r="G557" s="329"/>
      <c r="H557" s="401"/>
    </row>
    <row r="558">
      <c r="A558" s="434"/>
      <c r="D558" s="38"/>
      <c r="F558" s="329"/>
      <c r="G558" s="329"/>
      <c r="H558" s="401"/>
    </row>
    <row r="559">
      <c r="A559" s="434"/>
      <c r="D559" s="38"/>
      <c r="F559" s="329"/>
      <c r="G559" s="329"/>
      <c r="H559" s="401"/>
    </row>
    <row r="560">
      <c r="A560" s="434"/>
      <c r="D560" s="38"/>
      <c r="F560" s="329"/>
      <c r="G560" s="329"/>
      <c r="H560" s="401"/>
    </row>
    <row r="561">
      <c r="A561" s="434"/>
      <c r="D561" s="38"/>
      <c r="F561" s="329"/>
      <c r="G561" s="329"/>
      <c r="H561" s="401"/>
    </row>
    <row r="562">
      <c r="A562" s="434"/>
      <c r="D562" s="38"/>
      <c r="F562" s="329"/>
      <c r="G562" s="329"/>
      <c r="H562" s="401"/>
    </row>
    <row r="563">
      <c r="A563" s="434"/>
      <c r="D563" s="38"/>
      <c r="F563" s="329"/>
      <c r="G563" s="329"/>
      <c r="H563" s="401"/>
    </row>
    <row r="564">
      <c r="A564" s="434"/>
      <c r="D564" s="38"/>
      <c r="F564" s="329"/>
      <c r="G564" s="329"/>
      <c r="H564" s="401"/>
    </row>
    <row r="565">
      <c r="A565" s="434"/>
      <c r="D565" s="38"/>
      <c r="F565" s="329"/>
      <c r="G565" s="329"/>
      <c r="H565" s="401"/>
    </row>
    <row r="566">
      <c r="A566" s="434"/>
      <c r="D566" s="38"/>
      <c r="F566" s="329"/>
      <c r="G566" s="329"/>
      <c r="H566" s="401"/>
    </row>
    <row r="567">
      <c r="A567" s="434"/>
      <c r="D567" s="38"/>
      <c r="F567" s="329"/>
      <c r="G567" s="329"/>
      <c r="H567" s="401"/>
    </row>
    <row r="568">
      <c r="A568" s="434"/>
      <c r="D568" s="38"/>
      <c r="F568" s="329"/>
      <c r="G568" s="329"/>
      <c r="H568" s="401"/>
    </row>
    <row r="569">
      <c r="A569" s="434"/>
      <c r="D569" s="38"/>
      <c r="F569" s="329"/>
      <c r="G569" s="329"/>
      <c r="H569" s="401"/>
    </row>
    <row r="570">
      <c r="A570" s="434"/>
      <c r="D570" s="38"/>
      <c r="F570" s="329"/>
      <c r="G570" s="329"/>
      <c r="H570" s="401"/>
    </row>
    <row r="571">
      <c r="A571" s="434"/>
      <c r="D571" s="38"/>
      <c r="F571" s="329"/>
      <c r="G571" s="329"/>
      <c r="H571" s="401"/>
    </row>
    <row r="572">
      <c r="A572" s="434"/>
      <c r="D572" s="38"/>
      <c r="F572" s="329"/>
      <c r="G572" s="329"/>
      <c r="H572" s="401"/>
    </row>
    <row r="573">
      <c r="A573" s="434"/>
      <c r="D573" s="38"/>
      <c r="F573" s="329"/>
      <c r="G573" s="329"/>
      <c r="H573" s="401"/>
    </row>
    <row r="574">
      <c r="A574" s="434"/>
      <c r="D574" s="38"/>
      <c r="F574" s="329"/>
      <c r="G574" s="329"/>
      <c r="H574" s="401"/>
    </row>
    <row r="575">
      <c r="A575" s="434"/>
      <c r="D575" s="38"/>
      <c r="F575" s="329"/>
      <c r="G575" s="329"/>
      <c r="H575" s="401"/>
    </row>
    <row r="576">
      <c r="A576" s="434"/>
      <c r="D576" s="38"/>
      <c r="F576" s="329"/>
      <c r="G576" s="329"/>
      <c r="H576" s="401"/>
    </row>
    <row r="577">
      <c r="A577" s="434"/>
      <c r="D577" s="38"/>
      <c r="F577" s="329"/>
      <c r="G577" s="329"/>
      <c r="H577" s="401"/>
    </row>
    <row r="578">
      <c r="A578" s="434"/>
      <c r="D578" s="38"/>
      <c r="F578" s="329"/>
      <c r="G578" s="329"/>
      <c r="H578" s="401"/>
    </row>
    <row r="579">
      <c r="A579" s="434"/>
      <c r="D579" s="38"/>
      <c r="F579" s="329"/>
      <c r="G579" s="329"/>
      <c r="H579" s="401"/>
    </row>
    <row r="580">
      <c r="A580" s="434"/>
      <c r="D580" s="38"/>
      <c r="F580" s="329"/>
      <c r="G580" s="329"/>
      <c r="H580" s="401"/>
    </row>
    <row r="581">
      <c r="A581" s="434"/>
      <c r="D581" s="38"/>
      <c r="F581" s="329"/>
      <c r="G581" s="329"/>
      <c r="H581" s="401"/>
    </row>
    <row r="582">
      <c r="A582" s="434"/>
      <c r="D582" s="38"/>
      <c r="F582" s="329"/>
      <c r="G582" s="329"/>
      <c r="H582" s="401"/>
    </row>
    <row r="583">
      <c r="A583" s="434"/>
      <c r="D583" s="38"/>
      <c r="F583" s="329"/>
      <c r="G583" s="329"/>
      <c r="H583" s="401"/>
    </row>
    <row r="584">
      <c r="A584" s="434"/>
      <c r="D584" s="38"/>
      <c r="F584" s="329"/>
      <c r="G584" s="329"/>
      <c r="H584" s="401"/>
    </row>
    <row r="585">
      <c r="A585" s="434"/>
      <c r="D585" s="38"/>
      <c r="F585" s="329"/>
      <c r="G585" s="329"/>
      <c r="H585" s="401"/>
    </row>
    <row r="586">
      <c r="A586" s="434"/>
      <c r="D586" s="38"/>
      <c r="F586" s="329"/>
      <c r="G586" s="329"/>
      <c r="H586" s="401"/>
    </row>
    <row r="587">
      <c r="A587" s="434"/>
      <c r="D587" s="38"/>
      <c r="F587" s="329"/>
      <c r="G587" s="329"/>
      <c r="H587" s="401"/>
    </row>
    <row r="588">
      <c r="A588" s="434"/>
      <c r="D588" s="38"/>
      <c r="F588" s="329"/>
      <c r="G588" s="329"/>
      <c r="H588" s="401"/>
    </row>
    <row r="589">
      <c r="A589" s="434"/>
      <c r="D589" s="38"/>
      <c r="F589" s="329"/>
      <c r="G589" s="329"/>
      <c r="H589" s="401"/>
    </row>
    <row r="590">
      <c r="A590" s="434"/>
      <c r="D590" s="38"/>
      <c r="F590" s="329"/>
      <c r="G590" s="329"/>
      <c r="H590" s="401"/>
    </row>
    <row r="591">
      <c r="A591" s="434"/>
      <c r="D591" s="38"/>
      <c r="F591" s="329"/>
      <c r="G591" s="329"/>
      <c r="H591" s="401"/>
    </row>
    <row r="592">
      <c r="A592" s="434"/>
      <c r="D592" s="38"/>
      <c r="F592" s="329"/>
      <c r="G592" s="329"/>
      <c r="H592" s="401"/>
    </row>
    <row r="593">
      <c r="A593" s="434"/>
      <c r="D593" s="38"/>
      <c r="F593" s="329"/>
      <c r="G593" s="329"/>
      <c r="H593" s="401"/>
    </row>
    <row r="594">
      <c r="A594" s="434"/>
      <c r="D594" s="38"/>
      <c r="F594" s="329"/>
      <c r="G594" s="329"/>
      <c r="H594" s="401"/>
    </row>
    <row r="595">
      <c r="A595" s="434"/>
      <c r="D595" s="38"/>
      <c r="F595" s="329"/>
      <c r="G595" s="329"/>
      <c r="H595" s="401"/>
    </row>
    <row r="596">
      <c r="A596" s="434"/>
      <c r="D596" s="38"/>
      <c r="F596" s="329"/>
      <c r="G596" s="329"/>
      <c r="H596" s="401"/>
    </row>
    <row r="597">
      <c r="A597" s="434"/>
      <c r="D597" s="38"/>
      <c r="F597" s="329"/>
      <c r="G597" s="329"/>
      <c r="H597" s="401"/>
    </row>
    <row r="598">
      <c r="A598" s="434"/>
      <c r="D598" s="38"/>
      <c r="F598" s="329"/>
      <c r="G598" s="329"/>
      <c r="H598" s="401"/>
    </row>
    <row r="599">
      <c r="A599" s="434"/>
      <c r="D599" s="38"/>
      <c r="F599" s="329"/>
      <c r="G599" s="329"/>
      <c r="H599" s="401"/>
    </row>
    <row r="600">
      <c r="A600" s="434"/>
      <c r="D600" s="38"/>
      <c r="F600" s="329"/>
      <c r="G600" s="329"/>
      <c r="H600" s="401"/>
    </row>
    <row r="601">
      <c r="A601" s="434"/>
      <c r="D601" s="38"/>
      <c r="F601" s="329"/>
      <c r="G601" s="329"/>
      <c r="H601" s="401"/>
    </row>
    <row r="602">
      <c r="A602" s="434"/>
      <c r="D602" s="38"/>
      <c r="F602" s="329"/>
      <c r="G602" s="329"/>
      <c r="H602" s="401"/>
    </row>
    <row r="603">
      <c r="A603" s="434"/>
      <c r="D603" s="38"/>
      <c r="F603" s="329"/>
      <c r="G603" s="329"/>
      <c r="H603" s="401"/>
    </row>
    <row r="604">
      <c r="A604" s="434"/>
      <c r="D604" s="38"/>
      <c r="F604" s="329"/>
      <c r="G604" s="329"/>
      <c r="H604" s="401"/>
    </row>
    <row r="605">
      <c r="A605" s="434"/>
      <c r="D605" s="38"/>
      <c r="F605" s="329"/>
      <c r="G605" s="329"/>
      <c r="H605" s="401"/>
    </row>
    <row r="606">
      <c r="A606" s="434"/>
      <c r="D606" s="38"/>
      <c r="F606" s="329"/>
      <c r="G606" s="329"/>
      <c r="H606" s="401"/>
    </row>
    <row r="607">
      <c r="A607" s="434"/>
      <c r="D607" s="38"/>
      <c r="F607" s="329"/>
      <c r="G607" s="329"/>
      <c r="H607" s="401"/>
    </row>
    <row r="608">
      <c r="A608" s="434"/>
      <c r="D608" s="38"/>
      <c r="F608" s="329"/>
      <c r="G608" s="329"/>
      <c r="H608" s="401"/>
    </row>
    <row r="609">
      <c r="A609" s="434"/>
      <c r="D609" s="38"/>
      <c r="F609" s="329"/>
      <c r="G609" s="329"/>
      <c r="H609" s="401"/>
    </row>
    <row r="610">
      <c r="A610" s="434"/>
      <c r="D610" s="38"/>
      <c r="F610" s="329"/>
      <c r="G610" s="329"/>
      <c r="H610" s="401"/>
    </row>
    <row r="611">
      <c r="A611" s="434"/>
      <c r="D611" s="38"/>
      <c r="F611" s="329"/>
      <c r="G611" s="329"/>
      <c r="H611" s="401"/>
    </row>
    <row r="612">
      <c r="A612" s="434"/>
      <c r="D612" s="38"/>
      <c r="F612" s="329"/>
      <c r="G612" s="329"/>
      <c r="H612" s="401"/>
    </row>
    <row r="613">
      <c r="A613" s="434"/>
      <c r="D613" s="38"/>
      <c r="F613" s="329"/>
      <c r="G613" s="329"/>
      <c r="H613" s="401"/>
    </row>
    <row r="614">
      <c r="A614" s="434"/>
      <c r="D614" s="38"/>
      <c r="F614" s="329"/>
      <c r="G614" s="329"/>
      <c r="H614" s="401"/>
    </row>
    <row r="615">
      <c r="A615" s="434"/>
      <c r="D615" s="38"/>
      <c r="F615" s="329"/>
      <c r="G615" s="329"/>
      <c r="H615" s="401"/>
    </row>
    <row r="616">
      <c r="A616" s="434"/>
      <c r="D616" s="38"/>
      <c r="F616" s="329"/>
      <c r="G616" s="329"/>
      <c r="H616" s="401"/>
    </row>
    <row r="617">
      <c r="A617" s="434"/>
      <c r="D617" s="38"/>
      <c r="F617" s="329"/>
      <c r="G617" s="329"/>
      <c r="H617" s="401"/>
    </row>
    <row r="618">
      <c r="A618" s="434"/>
      <c r="D618" s="38"/>
      <c r="F618" s="329"/>
      <c r="G618" s="329"/>
      <c r="H618" s="401"/>
    </row>
    <row r="619">
      <c r="A619" s="434"/>
      <c r="D619" s="38"/>
      <c r="F619" s="329"/>
      <c r="G619" s="329"/>
      <c r="H619" s="401"/>
    </row>
    <row r="620">
      <c r="A620" s="434"/>
      <c r="D620" s="38"/>
      <c r="F620" s="329"/>
      <c r="G620" s="329"/>
      <c r="H620" s="401"/>
    </row>
    <row r="621">
      <c r="A621" s="434"/>
      <c r="D621" s="38"/>
      <c r="F621" s="329"/>
      <c r="G621" s="329"/>
      <c r="H621" s="401"/>
    </row>
    <row r="622">
      <c r="A622" s="434"/>
      <c r="D622" s="38"/>
      <c r="F622" s="329"/>
      <c r="G622" s="329"/>
      <c r="H622" s="401"/>
    </row>
    <row r="623">
      <c r="A623" s="434"/>
      <c r="D623" s="38"/>
      <c r="F623" s="329"/>
      <c r="G623" s="329"/>
      <c r="H623" s="401"/>
    </row>
    <row r="624">
      <c r="A624" s="434"/>
      <c r="D624" s="38"/>
      <c r="F624" s="329"/>
      <c r="G624" s="329"/>
      <c r="H624" s="401"/>
    </row>
    <row r="625">
      <c r="A625" s="434"/>
      <c r="D625" s="38"/>
      <c r="F625" s="329"/>
      <c r="G625" s="329"/>
      <c r="H625" s="401"/>
    </row>
    <row r="626">
      <c r="A626" s="434"/>
      <c r="D626" s="38"/>
      <c r="F626" s="329"/>
      <c r="G626" s="329"/>
      <c r="H626" s="401"/>
    </row>
    <row r="627">
      <c r="A627" s="434"/>
      <c r="D627" s="38"/>
      <c r="F627" s="329"/>
      <c r="G627" s="329"/>
      <c r="H627" s="401"/>
    </row>
    <row r="628">
      <c r="A628" s="434"/>
      <c r="D628" s="38"/>
      <c r="F628" s="329"/>
      <c r="G628" s="329"/>
      <c r="H628" s="401"/>
    </row>
    <row r="629">
      <c r="A629" s="434"/>
      <c r="D629" s="38"/>
      <c r="F629" s="329"/>
      <c r="G629" s="329"/>
      <c r="H629" s="401"/>
    </row>
    <row r="630">
      <c r="A630" s="434"/>
      <c r="D630" s="38"/>
      <c r="F630" s="329"/>
      <c r="G630" s="329"/>
      <c r="H630" s="401"/>
    </row>
    <row r="631">
      <c r="A631" s="434"/>
      <c r="D631" s="38"/>
      <c r="F631" s="329"/>
      <c r="G631" s="329"/>
      <c r="H631" s="401"/>
    </row>
    <row r="632">
      <c r="A632" s="434"/>
      <c r="D632" s="38"/>
      <c r="F632" s="329"/>
      <c r="G632" s="329"/>
      <c r="H632" s="401"/>
    </row>
    <row r="633">
      <c r="A633" s="434"/>
      <c r="D633" s="38"/>
      <c r="F633" s="329"/>
      <c r="G633" s="329"/>
      <c r="H633" s="401"/>
    </row>
    <row r="634">
      <c r="A634" s="434"/>
      <c r="D634" s="38"/>
      <c r="F634" s="329"/>
      <c r="G634" s="329"/>
      <c r="H634" s="401"/>
    </row>
    <row r="635">
      <c r="A635" s="434"/>
      <c r="D635" s="38"/>
      <c r="F635" s="329"/>
      <c r="G635" s="329"/>
      <c r="H635" s="401"/>
    </row>
    <row r="636">
      <c r="A636" s="434"/>
      <c r="D636" s="38"/>
      <c r="F636" s="329"/>
      <c r="G636" s="329"/>
      <c r="H636" s="401"/>
    </row>
    <row r="637">
      <c r="A637" s="434"/>
      <c r="D637" s="38"/>
      <c r="F637" s="329"/>
      <c r="G637" s="329"/>
      <c r="H637" s="401"/>
    </row>
    <row r="638">
      <c r="A638" s="434"/>
      <c r="D638" s="38"/>
      <c r="F638" s="329"/>
      <c r="G638" s="329"/>
      <c r="H638" s="401"/>
    </row>
    <row r="639">
      <c r="A639" s="434"/>
      <c r="D639" s="38"/>
      <c r="F639" s="329"/>
      <c r="G639" s="329"/>
      <c r="H639" s="401"/>
    </row>
    <row r="640">
      <c r="A640" s="434"/>
      <c r="D640" s="38"/>
      <c r="F640" s="329"/>
      <c r="G640" s="329"/>
      <c r="H640" s="401"/>
    </row>
    <row r="641">
      <c r="A641" s="434"/>
      <c r="D641" s="38"/>
      <c r="F641" s="329"/>
      <c r="G641" s="329"/>
      <c r="H641" s="401"/>
    </row>
    <row r="642">
      <c r="A642" s="434"/>
      <c r="D642" s="38"/>
      <c r="F642" s="329"/>
      <c r="G642" s="329"/>
      <c r="H642" s="401"/>
    </row>
    <row r="643">
      <c r="A643" s="434"/>
      <c r="D643" s="38"/>
      <c r="F643" s="329"/>
      <c r="G643" s="329"/>
      <c r="H643" s="401"/>
    </row>
    <row r="644">
      <c r="A644" s="434"/>
      <c r="D644" s="38"/>
      <c r="F644" s="329"/>
      <c r="G644" s="329"/>
      <c r="H644" s="401"/>
    </row>
    <row r="645">
      <c r="A645" s="434"/>
      <c r="D645" s="38"/>
      <c r="F645" s="329"/>
      <c r="G645" s="329"/>
      <c r="H645" s="401"/>
    </row>
    <row r="646">
      <c r="A646" s="434"/>
      <c r="D646" s="38"/>
      <c r="F646" s="329"/>
      <c r="G646" s="329"/>
      <c r="H646" s="401"/>
    </row>
    <row r="647">
      <c r="A647" s="434"/>
      <c r="D647" s="38"/>
      <c r="F647" s="329"/>
      <c r="G647" s="329"/>
      <c r="H647" s="401"/>
    </row>
    <row r="648">
      <c r="A648" s="434"/>
      <c r="D648" s="38"/>
      <c r="F648" s="329"/>
      <c r="G648" s="329"/>
      <c r="H648" s="401"/>
    </row>
    <row r="649">
      <c r="A649" s="434"/>
      <c r="D649" s="38"/>
      <c r="F649" s="329"/>
      <c r="G649" s="329"/>
      <c r="H649" s="401"/>
    </row>
    <row r="650">
      <c r="A650" s="434"/>
      <c r="D650" s="38"/>
      <c r="F650" s="329"/>
      <c r="G650" s="329"/>
      <c r="H650" s="401"/>
    </row>
    <row r="651">
      <c r="A651" s="434"/>
      <c r="D651" s="38"/>
      <c r="F651" s="329"/>
      <c r="G651" s="329"/>
      <c r="H651" s="401"/>
    </row>
    <row r="652">
      <c r="A652" s="434"/>
      <c r="D652" s="38"/>
      <c r="F652" s="329"/>
      <c r="G652" s="329"/>
      <c r="H652" s="401"/>
    </row>
    <row r="653">
      <c r="A653" s="434"/>
      <c r="D653" s="38"/>
      <c r="F653" s="329"/>
      <c r="G653" s="329"/>
      <c r="H653" s="401"/>
    </row>
    <row r="654">
      <c r="A654" s="434"/>
      <c r="D654" s="38"/>
      <c r="F654" s="329"/>
      <c r="G654" s="329"/>
      <c r="H654" s="401"/>
    </row>
    <row r="655">
      <c r="A655" s="434"/>
      <c r="D655" s="38"/>
      <c r="F655" s="329"/>
      <c r="G655" s="329"/>
      <c r="H655" s="401"/>
    </row>
    <row r="656">
      <c r="A656" s="434"/>
      <c r="D656" s="38"/>
      <c r="F656" s="329"/>
      <c r="G656" s="329"/>
      <c r="H656" s="401"/>
    </row>
    <row r="657">
      <c r="A657" s="434"/>
      <c r="D657" s="38"/>
      <c r="F657" s="329"/>
      <c r="G657" s="329"/>
      <c r="H657" s="401"/>
    </row>
    <row r="658">
      <c r="A658" s="434"/>
      <c r="D658" s="38"/>
      <c r="F658" s="329"/>
      <c r="G658" s="329"/>
      <c r="H658" s="401"/>
    </row>
    <row r="659">
      <c r="A659" s="434"/>
      <c r="D659" s="38"/>
      <c r="F659" s="329"/>
      <c r="G659" s="329"/>
      <c r="H659" s="401"/>
    </row>
    <row r="660">
      <c r="A660" s="434"/>
      <c r="D660" s="38"/>
      <c r="F660" s="329"/>
      <c r="G660" s="329"/>
      <c r="H660" s="401"/>
    </row>
    <row r="661">
      <c r="A661" s="434"/>
      <c r="D661" s="38"/>
      <c r="F661" s="329"/>
      <c r="G661" s="329"/>
      <c r="H661" s="401"/>
    </row>
    <row r="662">
      <c r="A662" s="434"/>
      <c r="D662" s="38"/>
      <c r="F662" s="329"/>
      <c r="G662" s="329"/>
      <c r="H662" s="401"/>
    </row>
    <row r="663">
      <c r="A663" s="434"/>
      <c r="D663" s="38"/>
      <c r="F663" s="329"/>
      <c r="G663" s="329"/>
      <c r="H663" s="401"/>
    </row>
    <row r="664">
      <c r="A664" s="434"/>
      <c r="D664" s="38"/>
      <c r="F664" s="329"/>
      <c r="G664" s="329"/>
      <c r="H664" s="401"/>
    </row>
    <row r="665">
      <c r="A665" s="434"/>
      <c r="D665" s="38"/>
      <c r="F665" s="329"/>
      <c r="G665" s="329"/>
      <c r="H665" s="401"/>
    </row>
    <row r="666">
      <c r="A666" s="434"/>
      <c r="D666" s="38"/>
      <c r="F666" s="329"/>
      <c r="G666" s="329"/>
      <c r="H666" s="401"/>
    </row>
    <row r="667">
      <c r="A667" s="434"/>
      <c r="D667" s="38"/>
      <c r="F667" s="329"/>
      <c r="G667" s="329"/>
      <c r="H667" s="401"/>
    </row>
    <row r="668">
      <c r="A668" s="434"/>
      <c r="D668" s="38"/>
      <c r="F668" s="329"/>
      <c r="G668" s="329"/>
      <c r="H668" s="401"/>
    </row>
    <row r="669">
      <c r="A669" s="434"/>
      <c r="D669" s="38"/>
      <c r="F669" s="329"/>
      <c r="G669" s="329"/>
      <c r="H669" s="401"/>
    </row>
    <row r="670">
      <c r="A670" s="434"/>
      <c r="D670" s="38"/>
      <c r="F670" s="329"/>
      <c r="G670" s="329"/>
      <c r="H670" s="401"/>
    </row>
    <row r="671">
      <c r="A671" s="434"/>
      <c r="D671" s="38"/>
      <c r="F671" s="329"/>
      <c r="G671" s="329"/>
      <c r="H671" s="401"/>
    </row>
    <row r="672">
      <c r="A672" s="434"/>
      <c r="D672" s="38"/>
      <c r="F672" s="329"/>
      <c r="G672" s="329"/>
      <c r="H672" s="401"/>
    </row>
    <row r="673">
      <c r="A673" s="434"/>
      <c r="D673" s="38"/>
      <c r="F673" s="329"/>
      <c r="G673" s="329"/>
      <c r="H673" s="401"/>
    </row>
    <row r="674">
      <c r="A674" s="434"/>
      <c r="D674" s="38"/>
      <c r="F674" s="329"/>
      <c r="G674" s="329"/>
      <c r="H674" s="401"/>
    </row>
    <row r="675">
      <c r="A675" s="434"/>
      <c r="D675" s="38"/>
      <c r="F675" s="329"/>
      <c r="G675" s="329"/>
      <c r="H675" s="401"/>
    </row>
    <row r="676">
      <c r="A676" s="434"/>
      <c r="D676" s="38"/>
      <c r="F676" s="329"/>
      <c r="G676" s="329"/>
      <c r="H676" s="401"/>
    </row>
    <row r="677">
      <c r="A677" s="434"/>
      <c r="D677" s="38"/>
      <c r="F677" s="329"/>
      <c r="G677" s="329"/>
      <c r="H677" s="401"/>
    </row>
    <row r="678">
      <c r="A678" s="434"/>
      <c r="D678" s="38"/>
      <c r="F678" s="329"/>
      <c r="G678" s="329"/>
      <c r="H678" s="401"/>
    </row>
    <row r="679">
      <c r="A679" s="434"/>
      <c r="D679" s="38"/>
      <c r="F679" s="329"/>
      <c r="G679" s="329"/>
      <c r="H679" s="401"/>
    </row>
    <row r="680">
      <c r="A680" s="434"/>
      <c r="D680" s="38"/>
      <c r="F680" s="329"/>
      <c r="G680" s="329"/>
      <c r="H680" s="401"/>
    </row>
    <row r="681">
      <c r="A681" s="434"/>
      <c r="D681" s="38"/>
      <c r="F681" s="329"/>
      <c r="G681" s="329"/>
      <c r="H681" s="401"/>
    </row>
    <row r="682">
      <c r="A682" s="434"/>
      <c r="D682" s="38"/>
      <c r="F682" s="329"/>
      <c r="G682" s="329"/>
      <c r="H682" s="401"/>
    </row>
    <row r="683">
      <c r="A683" s="434"/>
      <c r="D683" s="38"/>
      <c r="F683" s="329"/>
      <c r="G683" s="329"/>
      <c r="H683" s="401"/>
    </row>
    <row r="684">
      <c r="A684" s="434"/>
      <c r="D684" s="38"/>
      <c r="F684" s="329"/>
      <c r="G684" s="329"/>
      <c r="H684" s="401"/>
    </row>
    <row r="685">
      <c r="A685" s="434"/>
      <c r="D685" s="38"/>
      <c r="F685" s="329"/>
      <c r="G685" s="329"/>
      <c r="H685" s="401"/>
    </row>
    <row r="686">
      <c r="A686" s="434"/>
      <c r="D686" s="38"/>
      <c r="F686" s="329"/>
      <c r="G686" s="329"/>
      <c r="H686" s="401"/>
    </row>
    <row r="687">
      <c r="A687" s="434"/>
      <c r="D687" s="38"/>
      <c r="F687" s="329"/>
      <c r="G687" s="329"/>
      <c r="H687" s="401"/>
    </row>
    <row r="688">
      <c r="A688" s="434"/>
      <c r="D688" s="38"/>
      <c r="F688" s="329"/>
      <c r="G688" s="329"/>
      <c r="H688" s="401"/>
    </row>
    <row r="689">
      <c r="A689" s="434"/>
      <c r="D689" s="38"/>
      <c r="F689" s="329"/>
      <c r="G689" s="329"/>
      <c r="H689" s="401"/>
    </row>
    <row r="690">
      <c r="A690" s="434"/>
      <c r="D690" s="38"/>
      <c r="F690" s="329"/>
      <c r="G690" s="329"/>
      <c r="H690" s="401"/>
    </row>
    <row r="691">
      <c r="A691" s="434"/>
      <c r="D691" s="38"/>
      <c r="F691" s="329"/>
      <c r="G691" s="329"/>
      <c r="H691" s="401"/>
    </row>
    <row r="692">
      <c r="A692" s="434"/>
      <c r="D692" s="38"/>
      <c r="F692" s="329"/>
      <c r="G692" s="329"/>
      <c r="H692" s="401"/>
    </row>
    <row r="693">
      <c r="A693" s="434"/>
      <c r="D693" s="38"/>
      <c r="F693" s="329"/>
      <c r="G693" s="329"/>
      <c r="H693" s="401"/>
    </row>
    <row r="694">
      <c r="A694" s="434"/>
      <c r="D694" s="38"/>
      <c r="F694" s="329"/>
      <c r="G694" s="329"/>
      <c r="H694" s="401"/>
    </row>
    <row r="695">
      <c r="A695" s="434"/>
      <c r="D695" s="38"/>
      <c r="F695" s="329"/>
      <c r="G695" s="329"/>
      <c r="H695" s="401"/>
    </row>
    <row r="696">
      <c r="A696" s="434"/>
      <c r="D696" s="38"/>
      <c r="F696" s="329"/>
      <c r="G696" s="329"/>
      <c r="H696" s="401"/>
    </row>
    <row r="697">
      <c r="A697" s="434"/>
      <c r="D697" s="38"/>
      <c r="F697" s="329"/>
      <c r="G697" s="329"/>
      <c r="H697" s="401"/>
    </row>
    <row r="698">
      <c r="A698" s="434"/>
      <c r="D698" s="38"/>
      <c r="F698" s="329"/>
      <c r="G698" s="329"/>
      <c r="H698" s="401"/>
    </row>
    <row r="699">
      <c r="A699" s="434"/>
      <c r="D699" s="38"/>
      <c r="F699" s="329"/>
      <c r="G699" s="329"/>
      <c r="H699" s="401"/>
    </row>
    <row r="700">
      <c r="A700" s="434"/>
      <c r="D700" s="38"/>
      <c r="F700" s="329"/>
      <c r="G700" s="329"/>
      <c r="H700" s="401"/>
    </row>
    <row r="701">
      <c r="A701" s="434"/>
      <c r="D701" s="38"/>
      <c r="F701" s="329"/>
      <c r="G701" s="329"/>
      <c r="H701" s="401"/>
    </row>
    <row r="702">
      <c r="A702" s="434"/>
      <c r="D702" s="38"/>
      <c r="F702" s="329"/>
      <c r="G702" s="329"/>
      <c r="H702" s="401"/>
    </row>
    <row r="703">
      <c r="A703" s="434"/>
      <c r="D703" s="38"/>
      <c r="F703" s="329"/>
      <c r="G703" s="329"/>
      <c r="H703" s="401"/>
    </row>
    <row r="704">
      <c r="A704" s="434"/>
      <c r="D704" s="38"/>
      <c r="F704" s="329"/>
      <c r="G704" s="329"/>
      <c r="H704" s="401"/>
    </row>
    <row r="705">
      <c r="A705" s="434"/>
      <c r="D705" s="38"/>
      <c r="F705" s="329"/>
      <c r="G705" s="329"/>
      <c r="H705" s="401"/>
    </row>
    <row r="706">
      <c r="A706" s="434"/>
      <c r="D706" s="38"/>
      <c r="F706" s="329"/>
      <c r="G706" s="329"/>
      <c r="H706" s="401"/>
    </row>
    <row r="707">
      <c r="A707" s="434"/>
      <c r="D707" s="38"/>
      <c r="F707" s="329"/>
      <c r="G707" s="329"/>
      <c r="H707" s="401"/>
    </row>
    <row r="708">
      <c r="A708" s="434"/>
      <c r="D708" s="38"/>
      <c r="F708" s="329"/>
      <c r="G708" s="329"/>
      <c r="H708" s="401"/>
    </row>
    <row r="709">
      <c r="A709" s="434"/>
      <c r="D709" s="38"/>
      <c r="F709" s="329"/>
      <c r="G709" s="329"/>
      <c r="H709" s="401"/>
    </row>
    <row r="710">
      <c r="A710" s="434"/>
      <c r="D710" s="38"/>
      <c r="F710" s="329"/>
      <c r="G710" s="329"/>
      <c r="H710" s="401"/>
    </row>
    <row r="711">
      <c r="A711" s="434"/>
      <c r="D711" s="38"/>
      <c r="F711" s="329"/>
      <c r="G711" s="329"/>
      <c r="H711" s="401"/>
    </row>
    <row r="712">
      <c r="A712" s="434"/>
      <c r="D712" s="38"/>
      <c r="F712" s="329"/>
      <c r="G712" s="329"/>
      <c r="H712" s="401"/>
    </row>
    <row r="713">
      <c r="A713" s="434"/>
      <c r="D713" s="38"/>
      <c r="F713" s="329"/>
      <c r="G713" s="329"/>
      <c r="H713" s="401"/>
    </row>
    <row r="714">
      <c r="A714" s="434"/>
      <c r="D714" s="38"/>
      <c r="F714" s="329"/>
      <c r="G714" s="329"/>
      <c r="H714" s="401"/>
    </row>
    <row r="715">
      <c r="A715" s="434"/>
      <c r="D715" s="38"/>
      <c r="F715" s="329"/>
      <c r="G715" s="329"/>
      <c r="H715" s="401"/>
    </row>
    <row r="716">
      <c r="A716" s="434"/>
      <c r="D716" s="38"/>
      <c r="F716" s="329"/>
      <c r="G716" s="329"/>
      <c r="H716" s="401"/>
    </row>
    <row r="717">
      <c r="A717" s="434"/>
      <c r="D717" s="38"/>
      <c r="F717" s="329"/>
      <c r="G717" s="329"/>
      <c r="H717" s="401"/>
    </row>
    <row r="718">
      <c r="A718" s="434"/>
      <c r="D718" s="38"/>
      <c r="F718" s="329"/>
      <c r="G718" s="329"/>
      <c r="H718" s="401"/>
    </row>
    <row r="719">
      <c r="A719" s="434"/>
      <c r="D719" s="38"/>
      <c r="F719" s="329"/>
      <c r="G719" s="329"/>
      <c r="H719" s="401"/>
    </row>
    <row r="720">
      <c r="A720" s="434"/>
      <c r="D720" s="38"/>
      <c r="F720" s="329"/>
      <c r="G720" s="329"/>
      <c r="H720" s="401"/>
    </row>
    <row r="721">
      <c r="A721" s="434"/>
      <c r="D721" s="38"/>
      <c r="F721" s="329"/>
      <c r="G721" s="329"/>
      <c r="H721" s="401"/>
    </row>
    <row r="722">
      <c r="A722" s="434"/>
      <c r="D722" s="38"/>
      <c r="F722" s="329"/>
      <c r="G722" s="329"/>
      <c r="H722" s="401"/>
    </row>
    <row r="723">
      <c r="A723" s="434"/>
      <c r="D723" s="38"/>
      <c r="F723" s="329"/>
      <c r="G723" s="329"/>
      <c r="H723" s="401"/>
    </row>
    <row r="724">
      <c r="A724" s="434"/>
      <c r="D724" s="38"/>
      <c r="F724" s="329"/>
      <c r="G724" s="329"/>
      <c r="H724" s="401"/>
    </row>
    <row r="725">
      <c r="A725" s="434"/>
      <c r="D725" s="38"/>
      <c r="F725" s="329"/>
      <c r="G725" s="329"/>
      <c r="H725" s="401"/>
    </row>
    <row r="726">
      <c r="A726" s="434"/>
      <c r="D726" s="38"/>
      <c r="F726" s="329"/>
      <c r="G726" s="329"/>
      <c r="H726" s="401"/>
    </row>
    <row r="727">
      <c r="A727" s="434"/>
      <c r="D727" s="38"/>
      <c r="F727" s="329"/>
      <c r="G727" s="329"/>
      <c r="H727" s="401"/>
    </row>
    <row r="728">
      <c r="A728" s="434"/>
      <c r="D728" s="38"/>
      <c r="F728" s="329"/>
      <c r="G728" s="329"/>
      <c r="H728" s="401"/>
    </row>
    <row r="729">
      <c r="A729" s="434"/>
      <c r="D729" s="38"/>
      <c r="F729" s="329"/>
      <c r="G729" s="329"/>
      <c r="H729" s="401"/>
    </row>
    <row r="730">
      <c r="A730" s="434"/>
      <c r="D730" s="38"/>
      <c r="F730" s="329"/>
      <c r="G730" s="329"/>
      <c r="H730" s="401"/>
    </row>
    <row r="731">
      <c r="A731" s="434"/>
      <c r="D731" s="38"/>
      <c r="F731" s="329"/>
      <c r="G731" s="329"/>
      <c r="H731" s="401"/>
    </row>
    <row r="732">
      <c r="A732" s="434"/>
      <c r="D732" s="38"/>
      <c r="F732" s="329"/>
      <c r="G732" s="329"/>
      <c r="H732" s="401"/>
    </row>
    <row r="733">
      <c r="A733" s="434"/>
      <c r="D733" s="38"/>
      <c r="F733" s="329"/>
      <c r="G733" s="329"/>
      <c r="H733" s="401"/>
    </row>
    <row r="734">
      <c r="A734" s="434"/>
      <c r="D734" s="38"/>
      <c r="F734" s="329"/>
      <c r="G734" s="329"/>
      <c r="H734" s="401"/>
    </row>
    <row r="735">
      <c r="A735" s="434"/>
      <c r="D735" s="38"/>
      <c r="F735" s="329"/>
      <c r="G735" s="329"/>
      <c r="H735" s="401"/>
    </row>
    <row r="736">
      <c r="A736" s="434"/>
      <c r="D736" s="38"/>
      <c r="F736" s="329"/>
      <c r="G736" s="329"/>
      <c r="H736" s="401"/>
    </row>
    <row r="737">
      <c r="A737" s="434"/>
      <c r="D737" s="38"/>
      <c r="F737" s="329"/>
      <c r="G737" s="329"/>
      <c r="H737" s="401"/>
    </row>
    <row r="738">
      <c r="A738" s="434"/>
      <c r="D738" s="38"/>
      <c r="F738" s="329"/>
      <c r="G738" s="329"/>
      <c r="H738" s="401"/>
    </row>
    <row r="739">
      <c r="A739" s="434"/>
      <c r="D739" s="38"/>
      <c r="F739" s="329"/>
      <c r="G739" s="329"/>
      <c r="H739" s="401"/>
    </row>
    <row r="740">
      <c r="A740" s="434"/>
      <c r="D740" s="38"/>
      <c r="F740" s="329"/>
      <c r="G740" s="329"/>
      <c r="H740" s="401"/>
    </row>
    <row r="741">
      <c r="A741" s="434"/>
      <c r="D741" s="38"/>
      <c r="F741" s="329"/>
      <c r="G741" s="329"/>
      <c r="H741" s="401"/>
    </row>
    <row r="742">
      <c r="A742" s="434"/>
      <c r="D742" s="38"/>
      <c r="F742" s="329"/>
      <c r="G742" s="329"/>
      <c r="H742" s="401"/>
    </row>
    <row r="743">
      <c r="A743" s="434"/>
      <c r="D743" s="38"/>
      <c r="F743" s="329"/>
      <c r="G743" s="329"/>
      <c r="H743" s="401"/>
    </row>
    <row r="744">
      <c r="A744" s="434"/>
      <c r="D744" s="38"/>
      <c r="F744" s="329"/>
      <c r="G744" s="329"/>
      <c r="H744" s="401"/>
    </row>
    <row r="745">
      <c r="A745" s="434"/>
      <c r="D745" s="38"/>
      <c r="F745" s="329"/>
      <c r="G745" s="329"/>
      <c r="H745" s="401"/>
    </row>
    <row r="746">
      <c r="A746" s="434"/>
      <c r="D746" s="38"/>
      <c r="F746" s="329"/>
      <c r="G746" s="329"/>
      <c r="H746" s="401"/>
    </row>
    <row r="747">
      <c r="A747" s="434"/>
      <c r="D747" s="38"/>
      <c r="F747" s="329"/>
      <c r="G747" s="329"/>
      <c r="H747" s="401"/>
    </row>
    <row r="748">
      <c r="A748" s="434"/>
      <c r="D748" s="38"/>
      <c r="F748" s="329"/>
      <c r="G748" s="329"/>
      <c r="H748" s="401"/>
    </row>
    <row r="749">
      <c r="A749" s="434"/>
      <c r="D749" s="38"/>
      <c r="F749" s="329"/>
      <c r="G749" s="329"/>
      <c r="H749" s="401"/>
    </row>
    <row r="750">
      <c r="A750" s="434"/>
      <c r="D750" s="38"/>
      <c r="F750" s="329"/>
      <c r="G750" s="329"/>
      <c r="H750" s="401"/>
    </row>
    <row r="751">
      <c r="A751" s="434"/>
      <c r="D751" s="38"/>
      <c r="F751" s="329"/>
      <c r="G751" s="329"/>
      <c r="H751" s="401"/>
    </row>
    <row r="752">
      <c r="A752" s="434"/>
      <c r="D752" s="38"/>
      <c r="F752" s="329"/>
      <c r="G752" s="329"/>
      <c r="H752" s="401"/>
    </row>
    <row r="753">
      <c r="A753" s="434"/>
      <c r="D753" s="38"/>
      <c r="F753" s="329"/>
      <c r="G753" s="329"/>
      <c r="H753" s="401"/>
    </row>
    <row r="754">
      <c r="A754" s="434"/>
      <c r="D754" s="38"/>
      <c r="F754" s="329"/>
      <c r="G754" s="329"/>
      <c r="H754" s="401"/>
    </row>
    <row r="755">
      <c r="A755" s="434"/>
      <c r="D755" s="38"/>
      <c r="F755" s="329"/>
      <c r="G755" s="329"/>
      <c r="H755" s="401"/>
    </row>
    <row r="756">
      <c r="A756" s="434"/>
      <c r="D756" s="38"/>
      <c r="F756" s="329"/>
      <c r="G756" s="329"/>
      <c r="H756" s="401"/>
    </row>
    <row r="757">
      <c r="A757" s="434"/>
      <c r="D757" s="38"/>
      <c r="F757" s="329"/>
      <c r="G757" s="329"/>
      <c r="H757" s="401"/>
    </row>
    <row r="758">
      <c r="A758" s="434"/>
      <c r="D758" s="38"/>
      <c r="F758" s="329"/>
      <c r="G758" s="329"/>
      <c r="H758" s="401"/>
    </row>
    <row r="759">
      <c r="A759" s="434"/>
      <c r="D759" s="38"/>
      <c r="F759" s="329"/>
      <c r="G759" s="329"/>
      <c r="H759" s="401"/>
    </row>
    <row r="760">
      <c r="A760" s="434"/>
      <c r="D760" s="38"/>
      <c r="F760" s="329"/>
      <c r="G760" s="329"/>
      <c r="H760" s="401"/>
    </row>
    <row r="761">
      <c r="A761" s="434"/>
      <c r="D761" s="38"/>
      <c r="F761" s="329"/>
      <c r="G761" s="329"/>
      <c r="H761" s="401"/>
    </row>
    <row r="762">
      <c r="A762" s="434"/>
      <c r="D762" s="38"/>
      <c r="F762" s="329"/>
      <c r="G762" s="329"/>
      <c r="H762" s="401"/>
    </row>
    <row r="763">
      <c r="A763" s="434"/>
      <c r="D763" s="38"/>
      <c r="F763" s="329"/>
      <c r="G763" s="329"/>
      <c r="H763" s="401"/>
    </row>
    <row r="764">
      <c r="A764" s="434"/>
      <c r="D764" s="38"/>
      <c r="F764" s="329"/>
      <c r="G764" s="329"/>
      <c r="H764" s="401"/>
    </row>
    <row r="765">
      <c r="A765" s="434"/>
      <c r="D765" s="38"/>
      <c r="F765" s="329"/>
      <c r="G765" s="329"/>
      <c r="H765" s="401"/>
    </row>
    <row r="766">
      <c r="A766" s="434"/>
      <c r="D766" s="38"/>
      <c r="F766" s="329"/>
      <c r="G766" s="329"/>
      <c r="H766" s="401"/>
    </row>
    <row r="767">
      <c r="A767" s="434"/>
      <c r="D767" s="38"/>
      <c r="F767" s="329"/>
      <c r="G767" s="329"/>
      <c r="H767" s="401"/>
    </row>
    <row r="768">
      <c r="A768" s="434"/>
      <c r="D768" s="38"/>
      <c r="F768" s="329"/>
      <c r="G768" s="329"/>
      <c r="H768" s="401"/>
    </row>
    <row r="769">
      <c r="A769" s="434"/>
      <c r="D769" s="38"/>
      <c r="F769" s="329"/>
      <c r="G769" s="329"/>
      <c r="H769" s="401"/>
    </row>
    <row r="770">
      <c r="A770" s="434"/>
      <c r="D770" s="38"/>
      <c r="F770" s="329"/>
      <c r="G770" s="329"/>
      <c r="H770" s="401"/>
    </row>
    <row r="771">
      <c r="A771" s="434"/>
      <c r="D771" s="38"/>
      <c r="F771" s="329"/>
      <c r="G771" s="329"/>
      <c r="H771" s="401"/>
    </row>
    <row r="772">
      <c r="A772" s="434"/>
      <c r="D772" s="38"/>
      <c r="F772" s="329"/>
      <c r="G772" s="329"/>
      <c r="H772" s="401"/>
    </row>
    <row r="773">
      <c r="A773" s="434"/>
      <c r="D773" s="38"/>
      <c r="F773" s="329"/>
      <c r="G773" s="329"/>
      <c r="H773" s="401"/>
    </row>
    <row r="774">
      <c r="A774" s="434"/>
      <c r="D774" s="38"/>
      <c r="F774" s="329"/>
      <c r="G774" s="329"/>
      <c r="H774" s="401"/>
    </row>
    <row r="775">
      <c r="A775" s="434"/>
      <c r="D775" s="38"/>
      <c r="F775" s="329"/>
      <c r="G775" s="329"/>
      <c r="H775" s="401"/>
    </row>
    <row r="776">
      <c r="A776" s="434"/>
      <c r="D776" s="38"/>
      <c r="F776" s="329"/>
      <c r="G776" s="329"/>
      <c r="H776" s="401"/>
    </row>
    <row r="777">
      <c r="A777" s="434"/>
      <c r="D777" s="38"/>
      <c r="F777" s="329"/>
      <c r="G777" s="329"/>
      <c r="H777" s="401"/>
    </row>
    <row r="778">
      <c r="A778" s="434"/>
      <c r="D778" s="38"/>
      <c r="F778" s="329"/>
      <c r="G778" s="329"/>
      <c r="H778" s="401"/>
    </row>
    <row r="779">
      <c r="A779" s="434"/>
      <c r="D779" s="38"/>
      <c r="F779" s="329"/>
      <c r="G779" s="329"/>
      <c r="H779" s="401"/>
    </row>
    <row r="780">
      <c r="A780" s="434"/>
      <c r="D780" s="38"/>
      <c r="F780" s="329"/>
      <c r="G780" s="329"/>
      <c r="H780" s="401"/>
    </row>
    <row r="781">
      <c r="A781" s="434"/>
      <c r="D781" s="38"/>
      <c r="F781" s="329"/>
      <c r="G781" s="329"/>
      <c r="H781" s="401"/>
    </row>
    <row r="782">
      <c r="A782" s="434"/>
      <c r="D782" s="38"/>
      <c r="F782" s="329"/>
      <c r="G782" s="329"/>
      <c r="H782" s="401"/>
    </row>
    <row r="783">
      <c r="A783" s="434"/>
      <c r="D783" s="38"/>
      <c r="F783" s="329"/>
      <c r="G783" s="329"/>
      <c r="H783" s="401"/>
    </row>
    <row r="784">
      <c r="A784" s="434"/>
      <c r="D784" s="38"/>
      <c r="F784" s="329"/>
      <c r="G784" s="329"/>
      <c r="H784" s="401"/>
    </row>
    <row r="785">
      <c r="A785" s="434"/>
      <c r="D785" s="38"/>
      <c r="F785" s="329"/>
      <c r="G785" s="329"/>
      <c r="H785" s="401"/>
    </row>
    <row r="786">
      <c r="A786" s="434"/>
      <c r="D786" s="38"/>
      <c r="F786" s="329"/>
      <c r="G786" s="329"/>
      <c r="H786" s="401"/>
    </row>
    <row r="787">
      <c r="A787" s="434"/>
      <c r="D787" s="38"/>
      <c r="F787" s="329"/>
      <c r="G787" s="329"/>
      <c r="H787" s="401"/>
    </row>
    <row r="788">
      <c r="A788" s="434"/>
      <c r="D788" s="38"/>
      <c r="F788" s="329"/>
      <c r="G788" s="329"/>
      <c r="H788" s="401"/>
    </row>
    <row r="789">
      <c r="A789" s="434"/>
      <c r="D789" s="38"/>
      <c r="F789" s="329"/>
      <c r="G789" s="329"/>
      <c r="H789" s="401"/>
    </row>
    <row r="790">
      <c r="A790" s="434"/>
      <c r="D790" s="38"/>
      <c r="F790" s="329"/>
      <c r="G790" s="329"/>
      <c r="H790" s="401"/>
    </row>
    <row r="791">
      <c r="A791" s="434"/>
      <c r="D791" s="38"/>
      <c r="F791" s="329"/>
      <c r="G791" s="329"/>
      <c r="H791" s="401"/>
    </row>
    <row r="792">
      <c r="A792" s="434"/>
      <c r="D792" s="38"/>
      <c r="F792" s="329"/>
      <c r="G792" s="329"/>
      <c r="H792" s="401"/>
    </row>
    <row r="793">
      <c r="A793" s="434"/>
      <c r="D793" s="38"/>
      <c r="F793" s="329"/>
      <c r="G793" s="329"/>
      <c r="H793" s="401"/>
    </row>
    <row r="794">
      <c r="A794" s="434"/>
      <c r="D794" s="38"/>
      <c r="F794" s="329"/>
      <c r="G794" s="329"/>
      <c r="H794" s="401"/>
    </row>
    <row r="795">
      <c r="A795" s="434"/>
      <c r="D795" s="38"/>
      <c r="F795" s="329"/>
      <c r="G795" s="329"/>
      <c r="H795" s="401"/>
    </row>
    <row r="796">
      <c r="A796" s="434"/>
      <c r="D796" s="38"/>
      <c r="F796" s="329"/>
      <c r="G796" s="329"/>
      <c r="H796" s="401"/>
    </row>
    <row r="797">
      <c r="A797" s="434"/>
      <c r="D797" s="38"/>
      <c r="F797" s="329"/>
      <c r="G797" s="329"/>
      <c r="H797" s="401"/>
    </row>
    <row r="798">
      <c r="A798" s="434"/>
      <c r="D798" s="38"/>
      <c r="F798" s="329"/>
      <c r="G798" s="329"/>
      <c r="H798" s="401"/>
    </row>
    <row r="799">
      <c r="A799" s="434"/>
      <c r="D799" s="38"/>
      <c r="F799" s="329"/>
      <c r="G799" s="329"/>
      <c r="H799" s="401"/>
    </row>
    <row r="800">
      <c r="A800" s="434"/>
      <c r="D800" s="38"/>
      <c r="F800" s="329"/>
      <c r="G800" s="329"/>
      <c r="H800" s="401"/>
    </row>
    <row r="801">
      <c r="A801" s="434"/>
      <c r="D801" s="38"/>
      <c r="F801" s="329"/>
      <c r="G801" s="329"/>
      <c r="H801" s="401"/>
    </row>
    <row r="802">
      <c r="A802" s="434"/>
      <c r="D802" s="38"/>
      <c r="F802" s="329"/>
      <c r="G802" s="329"/>
      <c r="H802" s="401"/>
    </row>
    <row r="803">
      <c r="A803" s="434"/>
      <c r="D803" s="38"/>
      <c r="F803" s="329"/>
      <c r="G803" s="329"/>
      <c r="H803" s="401"/>
    </row>
    <row r="804">
      <c r="A804" s="434"/>
      <c r="D804" s="38"/>
      <c r="F804" s="329"/>
      <c r="G804" s="329"/>
      <c r="H804" s="401"/>
    </row>
    <row r="805">
      <c r="A805" s="434"/>
      <c r="D805" s="38"/>
      <c r="F805" s="329"/>
      <c r="G805" s="329"/>
      <c r="H805" s="401"/>
    </row>
    <row r="806">
      <c r="A806" s="434"/>
      <c r="D806" s="38"/>
      <c r="F806" s="329"/>
      <c r="G806" s="329"/>
      <c r="H806" s="401"/>
    </row>
    <row r="807">
      <c r="A807" s="434"/>
      <c r="D807" s="38"/>
      <c r="F807" s="329"/>
      <c r="G807" s="329"/>
      <c r="H807" s="401"/>
    </row>
    <row r="808">
      <c r="A808" s="434"/>
      <c r="D808" s="38"/>
      <c r="F808" s="329"/>
      <c r="G808" s="329"/>
      <c r="H808" s="401"/>
    </row>
    <row r="809">
      <c r="A809" s="434"/>
      <c r="D809" s="38"/>
      <c r="F809" s="329"/>
      <c r="G809" s="329"/>
      <c r="H809" s="401"/>
    </row>
    <row r="810">
      <c r="A810" s="434"/>
      <c r="D810" s="38"/>
      <c r="F810" s="329"/>
      <c r="G810" s="329"/>
      <c r="H810" s="401"/>
    </row>
    <row r="811">
      <c r="A811" s="434"/>
      <c r="D811" s="38"/>
      <c r="F811" s="329"/>
      <c r="G811" s="329"/>
      <c r="H811" s="401"/>
    </row>
    <row r="812">
      <c r="A812" s="434"/>
      <c r="D812" s="38"/>
      <c r="F812" s="329"/>
      <c r="G812" s="329"/>
      <c r="H812" s="401"/>
    </row>
    <row r="813">
      <c r="A813" s="434"/>
      <c r="D813" s="38"/>
      <c r="F813" s="329"/>
      <c r="G813" s="329"/>
      <c r="H813" s="401"/>
    </row>
    <row r="814">
      <c r="A814" s="434"/>
      <c r="D814" s="38"/>
      <c r="F814" s="329"/>
      <c r="G814" s="329"/>
      <c r="H814" s="401"/>
    </row>
    <row r="815">
      <c r="A815" s="434"/>
      <c r="D815" s="38"/>
      <c r="F815" s="329"/>
      <c r="G815" s="329"/>
      <c r="H815" s="401"/>
    </row>
    <row r="816">
      <c r="A816" s="434"/>
      <c r="D816" s="38"/>
      <c r="F816" s="329"/>
      <c r="G816" s="329"/>
      <c r="H816" s="401"/>
    </row>
    <row r="817">
      <c r="A817" s="434"/>
      <c r="D817" s="38"/>
      <c r="F817" s="329"/>
      <c r="G817" s="329"/>
      <c r="H817" s="401"/>
    </row>
    <row r="818">
      <c r="A818" s="434"/>
      <c r="D818" s="38"/>
      <c r="F818" s="329"/>
      <c r="G818" s="329"/>
      <c r="H818" s="401"/>
    </row>
    <row r="819">
      <c r="A819" s="434"/>
      <c r="D819" s="38"/>
      <c r="F819" s="329"/>
      <c r="G819" s="329"/>
      <c r="H819" s="401"/>
    </row>
    <row r="820">
      <c r="A820" s="434"/>
      <c r="D820" s="38"/>
      <c r="F820" s="329"/>
      <c r="G820" s="329"/>
      <c r="H820" s="401"/>
    </row>
    <row r="821">
      <c r="A821" s="434"/>
      <c r="D821" s="38"/>
      <c r="F821" s="329"/>
      <c r="G821" s="329"/>
      <c r="H821" s="401"/>
    </row>
    <row r="822">
      <c r="A822" s="434"/>
      <c r="D822" s="38"/>
      <c r="F822" s="329"/>
      <c r="G822" s="329"/>
      <c r="H822" s="401"/>
    </row>
    <row r="823">
      <c r="A823" s="434"/>
      <c r="D823" s="38"/>
      <c r="F823" s="329"/>
      <c r="G823" s="329"/>
      <c r="H823" s="401"/>
    </row>
    <row r="824">
      <c r="A824" s="434"/>
      <c r="D824" s="38"/>
      <c r="F824" s="329"/>
      <c r="G824" s="329"/>
      <c r="H824" s="401"/>
    </row>
    <row r="825">
      <c r="A825" s="434"/>
      <c r="D825" s="38"/>
      <c r="F825" s="329"/>
      <c r="G825" s="329"/>
      <c r="H825" s="401"/>
    </row>
    <row r="826">
      <c r="A826" s="434"/>
      <c r="D826" s="38"/>
      <c r="F826" s="329"/>
      <c r="G826" s="329"/>
      <c r="H826" s="401"/>
    </row>
    <row r="827">
      <c r="A827" s="434"/>
      <c r="D827" s="38"/>
      <c r="F827" s="329"/>
      <c r="G827" s="329"/>
      <c r="H827" s="401"/>
    </row>
    <row r="828">
      <c r="A828" s="434"/>
      <c r="D828" s="38"/>
      <c r="F828" s="329"/>
      <c r="G828" s="329"/>
      <c r="H828" s="401"/>
    </row>
    <row r="829">
      <c r="A829" s="434"/>
      <c r="D829" s="38"/>
      <c r="F829" s="329"/>
      <c r="G829" s="329"/>
      <c r="H829" s="401"/>
    </row>
    <row r="830">
      <c r="A830" s="434"/>
      <c r="D830" s="38"/>
      <c r="F830" s="329"/>
      <c r="G830" s="329"/>
      <c r="H830" s="401"/>
    </row>
    <row r="831">
      <c r="A831" s="434"/>
      <c r="D831" s="38"/>
      <c r="F831" s="329"/>
      <c r="G831" s="329"/>
      <c r="H831" s="401"/>
    </row>
    <row r="832">
      <c r="A832" s="434"/>
      <c r="D832" s="38"/>
      <c r="F832" s="329"/>
      <c r="G832" s="329"/>
      <c r="H832" s="401"/>
    </row>
    <row r="833">
      <c r="A833" s="434"/>
      <c r="D833" s="38"/>
      <c r="F833" s="329"/>
      <c r="G833" s="329"/>
      <c r="H833" s="401"/>
    </row>
    <row r="834">
      <c r="A834" s="434"/>
      <c r="D834" s="38"/>
      <c r="F834" s="329"/>
      <c r="G834" s="329"/>
      <c r="H834" s="401"/>
    </row>
    <row r="835">
      <c r="A835" s="434"/>
      <c r="D835" s="38"/>
      <c r="F835" s="329"/>
      <c r="G835" s="329"/>
      <c r="H835" s="401"/>
    </row>
    <row r="836">
      <c r="A836" s="434"/>
      <c r="D836" s="38"/>
      <c r="F836" s="329"/>
      <c r="G836" s="329"/>
      <c r="H836" s="401"/>
    </row>
    <row r="837">
      <c r="A837" s="434"/>
      <c r="D837" s="38"/>
      <c r="F837" s="329"/>
      <c r="G837" s="329"/>
      <c r="H837" s="401"/>
    </row>
    <row r="838">
      <c r="A838" s="434"/>
      <c r="D838" s="38"/>
      <c r="F838" s="329"/>
      <c r="G838" s="329"/>
      <c r="H838" s="401"/>
    </row>
    <row r="839">
      <c r="A839" s="434"/>
      <c r="D839" s="38"/>
      <c r="F839" s="329"/>
      <c r="G839" s="329"/>
      <c r="H839" s="401"/>
    </row>
    <row r="840">
      <c r="A840" s="434"/>
      <c r="D840" s="38"/>
      <c r="F840" s="329"/>
      <c r="G840" s="329"/>
      <c r="H840" s="401"/>
    </row>
    <row r="841">
      <c r="A841" s="434"/>
      <c r="D841" s="38"/>
      <c r="F841" s="329"/>
      <c r="G841" s="329"/>
      <c r="H841" s="401"/>
    </row>
    <row r="842">
      <c r="A842" s="434"/>
      <c r="D842" s="38"/>
      <c r="F842" s="329"/>
      <c r="G842" s="329"/>
      <c r="H842" s="401"/>
    </row>
    <row r="843">
      <c r="A843" s="434"/>
      <c r="D843" s="38"/>
      <c r="F843" s="329"/>
      <c r="G843" s="329"/>
      <c r="H843" s="401"/>
    </row>
    <row r="844">
      <c r="A844" s="434"/>
      <c r="D844" s="38"/>
      <c r="F844" s="329"/>
      <c r="G844" s="329"/>
      <c r="H844" s="401"/>
    </row>
    <row r="845">
      <c r="A845" s="434"/>
      <c r="D845" s="38"/>
      <c r="F845" s="329"/>
      <c r="G845" s="329"/>
      <c r="H845" s="401"/>
    </row>
    <row r="846">
      <c r="A846" s="434"/>
      <c r="D846" s="38"/>
      <c r="F846" s="329"/>
      <c r="G846" s="329"/>
      <c r="H846" s="401"/>
    </row>
    <row r="847">
      <c r="A847" s="434"/>
      <c r="D847" s="38"/>
      <c r="F847" s="329"/>
      <c r="G847" s="329"/>
      <c r="H847" s="401"/>
    </row>
    <row r="848">
      <c r="A848" s="434"/>
      <c r="D848" s="38"/>
      <c r="F848" s="329"/>
      <c r="G848" s="329"/>
      <c r="H848" s="401"/>
    </row>
    <row r="849">
      <c r="A849" s="434"/>
      <c r="D849" s="38"/>
      <c r="F849" s="329"/>
      <c r="G849" s="329"/>
      <c r="H849" s="401"/>
    </row>
    <row r="850">
      <c r="A850" s="434"/>
      <c r="D850" s="38"/>
      <c r="F850" s="329"/>
      <c r="G850" s="329"/>
      <c r="H850" s="401"/>
    </row>
    <row r="851">
      <c r="A851" s="434"/>
      <c r="D851" s="38"/>
      <c r="F851" s="329"/>
      <c r="G851" s="329"/>
      <c r="H851" s="401"/>
    </row>
    <row r="852">
      <c r="A852" s="434"/>
      <c r="D852" s="38"/>
      <c r="F852" s="329"/>
      <c r="G852" s="329"/>
      <c r="H852" s="401"/>
    </row>
    <row r="853">
      <c r="A853" s="434"/>
      <c r="D853" s="38"/>
      <c r="F853" s="329"/>
      <c r="G853" s="329"/>
      <c r="H853" s="401"/>
    </row>
    <row r="854">
      <c r="A854" s="434"/>
      <c r="D854" s="38"/>
      <c r="F854" s="329"/>
      <c r="G854" s="329"/>
      <c r="H854" s="401"/>
    </row>
    <row r="855">
      <c r="A855" s="434"/>
      <c r="D855" s="38"/>
      <c r="F855" s="329"/>
      <c r="G855" s="329"/>
      <c r="H855" s="401"/>
    </row>
    <row r="856">
      <c r="A856" s="434"/>
      <c r="D856" s="38"/>
      <c r="F856" s="329"/>
      <c r="G856" s="329"/>
      <c r="H856" s="401"/>
    </row>
    <row r="857">
      <c r="A857" s="434"/>
      <c r="D857" s="38"/>
      <c r="F857" s="329"/>
      <c r="G857" s="329"/>
      <c r="H857" s="401"/>
    </row>
    <row r="858">
      <c r="A858" s="434"/>
      <c r="D858" s="38"/>
      <c r="F858" s="329"/>
      <c r="G858" s="329"/>
      <c r="H858" s="401"/>
    </row>
    <row r="859">
      <c r="A859" s="434"/>
      <c r="D859" s="38"/>
      <c r="F859" s="329"/>
      <c r="G859" s="329"/>
      <c r="H859" s="401"/>
    </row>
    <row r="860">
      <c r="A860" s="434"/>
      <c r="D860" s="38"/>
      <c r="F860" s="329"/>
      <c r="G860" s="329"/>
      <c r="H860" s="401"/>
    </row>
    <row r="861">
      <c r="A861" s="434"/>
      <c r="D861" s="38"/>
      <c r="F861" s="329"/>
      <c r="G861" s="329"/>
      <c r="H861" s="401"/>
    </row>
    <row r="862">
      <c r="A862" s="434"/>
      <c r="D862" s="38"/>
      <c r="F862" s="329"/>
      <c r="G862" s="329"/>
      <c r="H862" s="401"/>
    </row>
    <row r="863">
      <c r="A863" s="434"/>
      <c r="D863" s="38"/>
      <c r="F863" s="329"/>
      <c r="G863" s="329"/>
      <c r="H863" s="401"/>
    </row>
    <row r="864">
      <c r="A864" s="434"/>
      <c r="D864" s="38"/>
      <c r="F864" s="329"/>
      <c r="G864" s="329"/>
      <c r="H864" s="401"/>
    </row>
    <row r="865">
      <c r="A865" s="434"/>
      <c r="D865" s="38"/>
      <c r="F865" s="329"/>
      <c r="G865" s="329"/>
      <c r="H865" s="401"/>
    </row>
    <row r="866">
      <c r="A866" s="434"/>
      <c r="D866" s="38"/>
      <c r="F866" s="329"/>
      <c r="G866" s="329"/>
      <c r="H866" s="401"/>
    </row>
    <row r="867">
      <c r="A867" s="434"/>
      <c r="D867" s="38"/>
      <c r="F867" s="329"/>
      <c r="G867" s="329"/>
      <c r="H867" s="401"/>
    </row>
    <row r="868">
      <c r="A868" s="434"/>
      <c r="D868" s="38"/>
      <c r="F868" s="329"/>
      <c r="G868" s="329"/>
      <c r="H868" s="401"/>
    </row>
    <row r="869">
      <c r="A869" s="434"/>
      <c r="D869" s="38"/>
      <c r="F869" s="329"/>
      <c r="G869" s="329"/>
      <c r="H869" s="401"/>
    </row>
    <row r="870">
      <c r="A870" s="434"/>
      <c r="D870" s="38"/>
      <c r="F870" s="329"/>
      <c r="G870" s="329"/>
      <c r="H870" s="401"/>
    </row>
    <row r="871">
      <c r="A871" s="434"/>
      <c r="D871" s="38"/>
      <c r="F871" s="329"/>
      <c r="G871" s="329"/>
      <c r="H871" s="401"/>
    </row>
    <row r="872">
      <c r="A872" s="434"/>
      <c r="D872" s="38"/>
      <c r="F872" s="329"/>
      <c r="G872" s="329"/>
      <c r="H872" s="401"/>
    </row>
    <row r="873">
      <c r="A873" s="434"/>
      <c r="D873" s="38"/>
      <c r="F873" s="329"/>
      <c r="G873" s="329"/>
      <c r="H873" s="401"/>
    </row>
    <row r="874">
      <c r="A874" s="434"/>
      <c r="D874" s="38"/>
      <c r="F874" s="329"/>
      <c r="G874" s="329"/>
      <c r="H874" s="401"/>
    </row>
    <row r="875">
      <c r="A875" s="434"/>
      <c r="D875" s="38"/>
      <c r="F875" s="329"/>
      <c r="G875" s="329"/>
      <c r="H875" s="401"/>
    </row>
    <row r="876">
      <c r="A876" s="434"/>
      <c r="D876" s="38"/>
      <c r="F876" s="329"/>
      <c r="G876" s="329"/>
      <c r="H876" s="401"/>
    </row>
    <row r="877">
      <c r="A877" s="434"/>
      <c r="D877" s="38"/>
      <c r="F877" s="329"/>
      <c r="G877" s="329"/>
      <c r="H877" s="401"/>
    </row>
    <row r="878">
      <c r="A878" s="434"/>
      <c r="D878" s="38"/>
      <c r="F878" s="329"/>
      <c r="G878" s="329"/>
      <c r="H878" s="401"/>
    </row>
    <row r="879">
      <c r="A879" s="434"/>
      <c r="D879" s="38"/>
      <c r="F879" s="329"/>
      <c r="G879" s="329"/>
      <c r="H879" s="401"/>
    </row>
    <row r="880">
      <c r="A880" s="434"/>
      <c r="D880" s="38"/>
      <c r="F880" s="329"/>
      <c r="G880" s="329"/>
      <c r="H880" s="401"/>
    </row>
    <row r="881">
      <c r="A881" s="434"/>
      <c r="D881" s="38"/>
      <c r="F881" s="329"/>
      <c r="G881" s="329"/>
      <c r="H881" s="401"/>
    </row>
    <row r="882">
      <c r="A882" s="434"/>
      <c r="D882" s="38"/>
      <c r="F882" s="329"/>
      <c r="G882" s="329"/>
      <c r="H882" s="401"/>
    </row>
    <row r="883">
      <c r="A883" s="434"/>
      <c r="D883" s="38"/>
      <c r="F883" s="329"/>
      <c r="G883" s="329"/>
      <c r="H883" s="401"/>
    </row>
    <row r="884">
      <c r="A884" s="434"/>
      <c r="D884" s="38"/>
      <c r="F884" s="329"/>
      <c r="G884" s="329"/>
      <c r="H884" s="401"/>
    </row>
    <row r="885">
      <c r="A885" s="434"/>
      <c r="D885" s="38"/>
      <c r="F885" s="329"/>
      <c r="G885" s="329"/>
      <c r="H885" s="401"/>
    </row>
    <row r="886">
      <c r="A886" s="434"/>
      <c r="D886" s="38"/>
      <c r="F886" s="329"/>
      <c r="G886" s="329"/>
      <c r="H886" s="401"/>
    </row>
    <row r="887">
      <c r="A887" s="434"/>
      <c r="D887" s="38"/>
      <c r="F887" s="329"/>
      <c r="G887" s="329"/>
      <c r="H887" s="401"/>
    </row>
    <row r="888">
      <c r="A888" s="434"/>
      <c r="D888" s="38"/>
      <c r="F888" s="329"/>
      <c r="G888" s="329"/>
      <c r="H888" s="401"/>
    </row>
    <row r="889">
      <c r="A889" s="434"/>
      <c r="D889" s="38"/>
      <c r="F889" s="329"/>
      <c r="G889" s="329"/>
      <c r="H889" s="401"/>
    </row>
    <row r="890">
      <c r="A890" s="434"/>
      <c r="D890" s="38"/>
      <c r="F890" s="329"/>
      <c r="G890" s="329"/>
      <c r="H890" s="401"/>
    </row>
    <row r="891">
      <c r="A891" s="434"/>
      <c r="D891" s="38"/>
      <c r="F891" s="329"/>
      <c r="G891" s="329"/>
      <c r="H891" s="401"/>
    </row>
    <row r="892">
      <c r="A892" s="434"/>
      <c r="D892" s="38"/>
      <c r="F892" s="329"/>
      <c r="G892" s="329"/>
      <c r="H892" s="401"/>
    </row>
    <row r="893">
      <c r="A893" s="434"/>
      <c r="D893" s="38"/>
      <c r="F893" s="329"/>
      <c r="G893" s="329"/>
      <c r="H893" s="401"/>
    </row>
    <row r="894">
      <c r="A894" s="434"/>
      <c r="D894" s="38"/>
      <c r="F894" s="329"/>
      <c r="G894" s="329"/>
      <c r="H894" s="401"/>
    </row>
    <row r="895">
      <c r="A895" s="434"/>
      <c r="D895" s="38"/>
      <c r="F895" s="329"/>
      <c r="G895" s="329"/>
      <c r="H895" s="401"/>
    </row>
    <row r="896">
      <c r="A896" s="434"/>
      <c r="D896" s="38"/>
      <c r="F896" s="329"/>
      <c r="G896" s="329"/>
      <c r="H896" s="401"/>
    </row>
    <row r="897">
      <c r="A897" s="434"/>
      <c r="D897" s="38"/>
      <c r="F897" s="329"/>
      <c r="G897" s="329"/>
      <c r="H897" s="401"/>
    </row>
    <row r="898">
      <c r="A898" s="434"/>
      <c r="D898" s="38"/>
      <c r="F898" s="329"/>
      <c r="G898" s="329"/>
      <c r="H898" s="401"/>
    </row>
    <row r="899">
      <c r="A899" s="434"/>
      <c r="D899" s="38"/>
      <c r="F899" s="329"/>
      <c r="G899" s="329"/>
      <c r="H899" s="401"/>
    </row>
    <row r="900">
      <c r="A900" s="434"/>
      <c r="D900" s="38"/>
      <c r="F900" s="329"/>
      <c r="G900" s="329"/>
      <c r="H900" s="401"/>
    </row>
    <row r="901">
      <c r="A901" s="434"/>
      <c r="D901" s="38"/>
      <c r="F901" s="329"/>
      <c r="G901" s="329"/>
      <c r="H901" s="401"/>
    </row>
    <row r="902">
      <c r="A902" s="434"/>
      <c r="D902" s="38"/>
      <c r="F902" s="329"/>
      <c r="G902" s="329"/>
      <c r="H902" s="401"/>
    </row>
    <row r="903">
      <c r="A903" s="434"/>
      <c r="D903" s="38"/>
      <c r="F903" s="329"/>
      <c r="G903" s="329"/>
      <c r="H903" s="401"/>
    </row>
    <row r="904">
      <c r="A904" s="434"/>
      <c r="D904" s="38"/>
      <c r="F904" s="329"/>
      <c r="G904" s="329"/>
      <c r="H904" s="401"/>
    </row>
    <row r="905">
      <c r="A905" s="434"/>
      <c r="D905" s="38"/>
      <c r="F905" s="329"/>
      <c r="G905" s="329"/>
      <c r="H905" s="401"/>
    </row>
    <row r="906">
      <c r="A906" s="434"/>
      <c r="D906" s="38"/>
      <c r="F906" s="329"/>
      <c r="G906" s="329"/>
      <c r="H906" s="401"/>
    </row>
    <row r="907">
      <c r="A907" s="434"/>
      <c r="D907" s="38"/>
      <c r="F907" s="329"/>
      <c r="G907" s="329"/>
      <c r="H907" s="401"/>
    </row>
    <row r="908">
      <c r="A908" s="434"/>
      <c r="D908" s="38"/>
      <c r="F908" s="329"/>
      <c r="G908" s="329"/>
      <c r="H908" s="401"/>
    </row>
    <row r="909">
      <c r="A909" s="434"/>
      <c r="D909" s="38"/>
      <c r="F909" s="329"/>
      <c r="G909" s="329"/>
      <c r="H909" s="401"/>
    </row>
    <row r="910">
      <c r="A910" s="434"/>
      <c r="D910" s="38"/>
      <c r="F910" s="329"/>
      <c r="G910" s="329"/>
      <c r="H910" s="401"/>
    </row>
    <row r="911">
      <c r="A911" s="434"/>
      <c r="D911" s="38"/>
      <c r="F911" s="329"/>
      <c r="G911" s="329"/>
      <c r="H911" s="401"/>
    </row>
    <row r="912">
      <c r="A912" s="434"/>
      <c r="D912" s="38"/>
      <c r="F912" s="329"/>
      <c r="G912" s="329"/>
      <c r="H912" s="401"/>
    </row>
    <row r="913">
      <c r="A913" s="434"/>
      <c r="D913" s="38"/>
      <c r="F913" s="329"/>
      <c r="G913" s="329"/>
      <c r="H913" s="401"/>
    </row>
    <row r="914">
      <c r="A914" s="434"/>
      <c r="D914" s="38"/>
      <c r="F914" s="329"/>
      <c r="G914" s="329"/>
      <c r="H914" s="401"/>
    </row>
    <row r="915">
      <c r="A915" s="434"/>
      <c r="D915" s="38"/>
      <c r="F915" s="329"/>
      <c r="G915" s="329"/>
      <c r="H915" s="401"/>
    </row>
    <row r="916">
      <c r="A916" s="434"/>
      <c r="D916" s="38"/>
      <c r="F916" s="329"/>
      <c r="G916" s="329"/>
      <c r="H916" s="401"/>
    </row>
    <row r="917">
      <c r="A917" s="434"/>
      <c r="D917" s="38"/>
      <c r="F917" s="329"/>
      <c r="G917" s="329"/>
      <c r="H917" s="401"/>
    </row>
    <row r="918">
      <c r="A918" s="434"/>
      <c r="D918" s="38"/>
      <c r="F918" s="329"/>
      <c r="G918" s="329"/>
      <c r="H918" s="401"/>
    </row>
    <row r="919">
      <c r="A919" s="434"/>
      <c r="D919" s="38"/>
      <c r="F919" s="329"/>
      <c r="G919" s="329"/>
      <c r="H919" s="401"/>
    </row>
    <row r="920">
      <c r="A920" s="434"/>
      <c r="D920" s="38"/>
      <c r="F920" s="329"/>
      <c r="G920" s="329"/>
      <c r="H920" s="401"/>
    </row>
    <row r="921">
      <c r="A921" s="434"/>
      <c r="D921" s="38"/>
      <c r="F921" s="329"/>
      <c r="G921" s="329"/>
      <c r="H921" s="401"/>
    </row>
    <row r="922">
      <c r="A922" s="434"/>
      <c r="D922" s="38"/>
      <c r="F922" s="329"/>
      <c r="G922" s="329"/>
      <c r="H922" s="401"/>
    </row>
    <row r="923">
      <c r="A923" s="434"/>
      <c r="D923" s="38"/>
      <c r="F923" s="329"/>
      <c r="G923" s="329"/>
      <c r="H923" s="401"/>
    </row>
    <row r="924">
      <c r="A924" s="434"/>
      <c r="D924" s="38"/>
      <c r="F924" s="329"/>
      <c r="G924" s="329"/>
      <c r="H924" s="401"/>
    </row>
    <row r="925">
      <c r="A925" s="434"/>
      <c r="D925" s="38"/>
      <c r="F925" s="329"/>
      <c r="G925" s="329"/>
      <c r="H925" s="401"/>
    </row>
    <row r="926">
      <c r="A926" s="434"/>
      <c r="D926" s="38"/>
      <c r="F926" s="329"/>
      <c r="G926" s="329"/>
      <c r="H926" s="401"/>
    </row>
    <row r="927">
      <c r="A927" s="434"/>
      <c r="D927" s="38"/>
      <c r="F927" s="329"/>
      <c r="G927" s="329"/>
      <c r="H927" s="401"/>
    </row>
    <row r="928">
      <c r="A928" s="434"/>
      <c r="D928" s="38"/>
      <c r="F928" s="329"/>
      <c r="G928" s="329"/>
      <c r="H928" s="401"/>
    </row>
    <row r="929">
      <c r="A929" s="434"/>
      <c r="D929" s="38"/>
      <c r="F929" s="329"/>
      <c r="G929" s="329"/>
      <c r="H929" s="401"/>
    </row>
    <row r="930">
      <c r="A930" s="434"/>
      <c r="D930" s="38"/>
      <c r="F930" s="329"/>
      <c r="G930" s="329"/>
      <c r="H930" s="401"/>
    </row>
    <row r="931">
      <c r="A931" s="434"/>
      <c r="D931" s="38"/>
      <c r="F931" s="329"/>
      <c r="G931" s="329"/>
      <c r="H931" s="401"/>
    </row>
    <row r="932">
      <c r="A932" s="434"/>
      <c r="D932" s="38"/>
      <c r="F932" s="329"/>
      <c r="G932" s="329"/>
      <c r="H932" s="401"/>
    </row>
    <row r="933">
      <c r="A933" s="434"/>
      <c r="D933" s="38"/>
      <c r="F933" s="329"/>
      <c r="G933" s="329"/>
      <c r="H933" s="401"/>
    </row>
    <row r="934">
      <c r="A934" s="434"/>
      <c r="D934" s="38"/>
      <c r="F934" s="329"/>
      <c r="G934" s="329"/>
      <c r="H934" s="401"/>
    </row>
    <row r="935">
      <c r="A935" s="434"/>
      <c r="D935" s="38"/>
      <c r="F935" s="329"/>
      <c r="G935" s="329"/>
      <c r="H935" s="401"/>
    </row>
    <row r="936">
      <c r="A936" s="434"/>
      <c r="D936" s="38"/>
      <c r="F936" s="329"/>
      <c r="G936" s="329"/>
      <c r="H936" s="401"/>
    </row>
    <row r="937">
      <c r="A937" s="434"/>
      <c r="D937" s="38"/>
      <c r="F937" s="329"/>
      <c r="G937" s="329"/>
      <c r="H937" s="401"/>
    </row>
    <row r="938">
      <c r="A938" s="434"/>
      <c r="D938" s="38"/>
      <c r="F938" s="329"/>
      <c r="G938" s="329"/>
      <c r="H938" s="401"/>
    </row>
    <row r="939">
      <c r="A939" s="434"/>
      <c r="D939" s="38"/>
      <c r="F939" s="329"/>
      <c r="G939" s="329"/>
      <c r="H939" s="401"/>
    </row>
    <row r="940">
      <c r="A940" s="434"/>
      <c r="D940" s="38"/>
      <c r="F940" s="329"/>
      <c r="G940" s="329"/>
      <c r="H940" s="401"/>
    </row>
    <row r="941">
      <c r="A941" s="434"/>
      <c r="D941" s="38"/>
      <c r="F941" s="329"/>
      <c r="G941" s="329"/>
      <c r="H941" s="401"/>
    </row>
    <row r="942">
      <c r="A942" s="434"/>
      <c r="D942" s="38"/>
      <c r="F942" s="329"/>
      <c r="G942" s="329"/>
      <c r="H942" s="401"/>
    </row>
    <row r="943">
      <c r="A943" s="434"/>
      <c r="D943" s="38"/>
      <c r="F943" s="329"/>
      <c r="G943" s="329"/>
      <c r="H943" s="401"/>
    </row>
    <row r="944">
      <c r="A944" s="434"/>
      <c r="D944" s="38"/>
      <c r="F944" s="329"/>
      <c r="G944" s="329"/>
      <c r="H944" s="401"/>
    </row>
    <row r="945">
      <c r="A945" s="434"/>
      <c r="D945" s="38"/>
      <c r="F945" s="329"/>
      <c r="G945" s="329"/>
      <c r="H945" s="401"/>
    </row>
    <row r="946">
      <c r="A946" s="434"/>
      <c r="D946" s="38"/>
      <c r="F946" s="329"/>
      <c r="G946" s="329"/>
      <c r="H946" s="401"/>
    </row>
    <row r="947">
      <c r="A947" s="434"/>
      <c r="D947" s="38"/>
      <c r="F947" s="329"/>
      <c r="G947" s="329"/>
      <c r="H947" s="401"/>
    </row>
    <row r="948">
      <c r="A948" s="434"/>
      <c r="D948" s="38"/>
      <c r="F948" s="329"/>
      <c r="G948" s="329"/>
      <c r="H948" s="401"/>
    </row>
    <row r="949">
      <c r="A949" s="434"/>
      <c r="D949" s="38"/>
      <c r="F949" s="329"/>
      <c r="G949" s="329"/>
      <c r="H949" s="401"/>
    </row>
    <row r="950">
      <c r="A950" s="434"/>
      <c r="D950" s="38"/>
      <c r="F950" s="329"/>
      <c r="G950" s="329"/>
      <c r="H950" s="401"/>
    </row>
    <row r="951">
      <c r="A951" s="434"/>
      <c r="D951" s="38"/>
      <c r="F951" s="329"/>
      <c r="G951" s="329"/>
      <c r="H951" s="401"/>
    </row>
    <row r="952">
      <c r="A952" s="434"/>
      <c r="D952" s="38"/>
      <c r="F952" s="329"/>
      <c r="G952" s="329"/>
      <c r="H952" s="401"/>
    </row>
    <row r="953">
      <c r="A953" s="434"/>
      <c r="D953" s="38"/>
      <c r="F953" s="329"/>
      <c r="G953" s="329"/>
      <c r="H953" s="401"/>
    </row>
    <row r="954">
      <c r="A954" s="434"/>
      <c r="D954" s="38"/>
      <c r="F954" s="329"/>
      <c r="G954" s="329"/>
      <c r="H954" s="401"/>
    </row>
    <row r="955">
      <c r="A955" s="434"/>
      <c r="D955" s="38"/>
      <c r="F955" s="329"/>
      <c r="G955" s="329"/>
      <c r="H955" s="401"/>
    </row>
    <row r="956">
      <c r="A956" s="434"/>
      <c r="D956" s="38"/>
      <c r="F956" s="329"/>
      <c r="G956" s="329"/>
      <c r="H956" s="401"/>
    </row>
    <row r="957">
      <c r="A957" s="434"/>
      <c r="D957" s="38"/>
      <c r="F957" s="329"/>
      <c r="G957" s="329"/>
      <c r="H957" s="401"/>
    </row>
    <row r="958">
      <c r="A958" s="434"/>
      <c r="D958" s="38"/>
      <c r="F958" s="329"/>
      <c r="G958" s="329"/>
      <c r="H958" s="401"/>
    </row>
    <row r="959">
      <c r="A959" s="434"/>
      <c r="D959" s="38"/>
      <c r="F959" s="329"/>
      <c r="G959" s="329"/>
      <c r="H959" s="401"/>
    </row>
    <row r="960">
      <c r="A960" s="434"/>
      <c r="D960" s="38"/>
      <c r="F960" s="329"/>
      <c r="G960" s="329"/>
      <c r="H960" s="401"/>
    </row>
    <row r="961">
      <c r="A961" s="434"/>
      <c r="D961" s="38"/>
      <c r="F961" s="329"/>
      <c r="G961" s="329"/>
      <c r="H961" s="401"/>
    </row>
    <row r="962">
      <c r="A962" s="434"/>
      <c r="D962" s="38"/>
      <c r="F962" s="329"/>
      <c r="G962" s="329"/>
      <c r="H962" s="401"/>
    </row>
    <row r="963">
      <c r="A963" s="434"/>
      <c r="D963" s="38"/>
      <c r="F963" s="329"/>
      <c r="G963" s="329"/>
      <c r="H963" s="401"/>
    </row>
    <row r="964">
      <c r="A964" s="434"/>
      <c r="D964" s="38"/>
      <c r="F964" s="329"/>
      <c r="G964" s="329"/>
      <c r="H964" s="401"/>
    </row>
    <row r="965">
      <c r="A965" s="434"/>
      <c r="D965" s="38"/>
      <c r="F965" s="329"/>
      <c r="G965" s="329"/>
      <c r="H965" s="401"/>
    </row>
    <row r="966">
      <c r="A966" s="434"/>
      <c r="D966" s="38"/>
      <c r="F966" s="329"/>
      <c r="G966" s="329"/>
      <c r="H966" s="401"/>
    </row>
    <row r="967">
      <c r="A967" s="434"/>
      <c r="D967" s="38"/>
      <c r="F967" s="329"/>
      <c r="G967" s="329"/>
      <c r="H967" s="401"/>
    </row>
    <row r="968">
      <c r="A968" s="434"/>
      <c r="D968" s="38"/>
      <c r="F968" s="329"/>
      <c r="G968" s="329"/>
      <c r="H968" s="401"/>
    </row>
    <row r="969">
      <c r="A969" s="434"/>
      <c r="D969" s="38"/>
      <c r="F969" s="329"/>
      <c r="G969" s="329"/>
      <c r="H969" s="401"/>
    </row>
    <row r="970">
      <c r="A970" s="434"/>
      <c r="D970" s="38"/>
      <c r="F970" s="329"/>
      <c r="G970" s="329"/>
      <c r="H970" s="401"/>
    </row>
    <row r="971">
      <c r="A971" s="434"/>
      <c r="D971" s="38"/>
      <c r="F971" s="329"/>
      <c r="G971" s="329"/>
      <c r="H971" s="401"/>
    </row>
    <row r="972">
      <c r="A972" s="434"/>
      <c r="D972" s="38"/>
      <c r="F972" s="329"/>
      <c r="G972" s="329"/>
      <c r="H972" s="401"/>
    </row>
    <row r="973">
      <c r="A973" s="434"/>
      <c r="D973" s="38"/>
      <c r="F973" s="329"/>
      <c r="G973" s="329"/>
      <c r="H973" s="401"/>
    </row>
    <row r="974">
      <c r="A974" s="434"/>
      <c r="D974" s="38"/>
      <c r="F974" s="329"/>
      <c r="G974" s="329"/>
      <c r="H974" s="401"/>
    </row>
    <row r="975">
      <c r="A975" s="434"/>
      <c r="D975" s="38"/>
      <c r="F975" s="329"/>
      <c r="G975" s="329"/>
      <c r="H975" s="401"/>
    </row>
    <row r="976">
      <c r="A976" s="434"/>
      <c r="D976" s="38"/>
      <c r="F976" s="329"/>
      <c r="G976" s="329"/>
      <c r="H976" s="401"/>
    </row>
    <row r="977">
      <c r="A977" s="434"/>
      <c r="D977" s="38"/>
      <c r="F977" s="329"/>
      <c r="G977" s="329"/>
      <c r="H977" s="401"/>
    </row>
    <row r="978">
      <c r="A978" s="434"/>
      <c r="D978" s="38"/>
      <c r="F978" s="329"/>
      <c r="G978" s="329"/>
      <c r="H978" s="401"/>
    </row>
    <row r="979">
      <c r="A979" s="434"/>
      <c r="D979" s="38"/>
      <c r="F979" s="329"/>
      <c r="G979" s="329"/>
      <c r="H979" s="401"/>
    </row>
    <row r="980">
      <c r="A980" s="434"/>
      <c r="D980" s="38"/>
      <c r="F980" s="329"/>
      <c r="G980" s="329"/>
      <c r="H980" s="401"/>
    </row>
    <row r="981">
      <c r="A981" s="434"/>
      <c r="D981" s="38"/>
      <c r="F981" s="329"/>
      <c r="G981" s="329"/>
      <c r="H981" s="401"/>
    </row>
    <row r="982">
      <c r="A982" s="434"/>
      <c r="D982" s="38"/>
      <c r="F982" s="329"/>
      <c r="G982" s="329"/>
      <c r="H982" s="401"/>
    </row>
    <row r="983">
      <c r="A983" s="434"/>
      <c r="D983" s="38"/>
      <c r="F983" s="329"/>
      <c r="G983" s="329"/>
      <c r="H983" s="401"/>
    </row>
    <row r="984">
      <c r="A984" s="434"/>
      <c r="D984" s="38"/>
      <c r="F984" s="329"/>
      <c r="G984" s="329"/>
      <c r="H984" s="401"/>
    </row>
    <row r="985">
      <c r="A985" s="434"/>
      <c r="D985" s="38"/>
      <c r="F985" s="329"/>
      <c r="G985" s="329"/>
      <c r="H985" s="401"/>
    </row>
    <row r="986">
      <c r="A986" s="434"/>
      <c r="D986" s="38"/>
      <c r="F986" s="329"/>
      <c r="G986" s="329"/>
      <c r="H986" s="401"/>
    </row>
    <row r="987">
      <c r="A987" s="434"/>
      <c r="D987" s="38"/>
      <c r="F987" s="329"/>
      <c r="G987" s="329"/>
      <c r="H987" s="401"/>
    </row>
    <row r="988">
      <c r="A988" s="434"/>
      <c r="D988" s="38"/>
      <c r="F988" s="329"/>
      <c r="G988" s="329"/>
      <c r="H988" s="401"/>
    </row>
    <row r="989">
      <c r="A989" s="434"/>
      <c r="D989" s="38"/>
      <c r="F989" s="329"/>
      <c r="G989" s="329"/>
      <c r="H989" s="401"/>
    </row>
    <row r="990">
      <c r="A990" s="434"/>
      <c r="D990" s="38"/>
      <c r="F990" s="329"/>
      <c r="G990" s="329"/>
      <c r="H990" s="401"/>
    </row>
    <row r="991">
      <c r="A991" s="434"/>
      <c r="D991" s="38"/>
      <c r="F991" s="329"/>
      <c r="G991" s="329"/>
      <c r="H991" s="401"/>
    </row>
    <row r="992">
      <c r="A992" s="434"/>
      <c r="D992" s="38"/>
      <c r="F992" s="329"/>
      <c r="G992" s="329"/>
      <c r="H992" s="401"/>
    </row>
    <row r="993">
      <c r="A993" s="434"/>
      <c r="D993" s="38"/>
      <c r="F993" s="329"/>
      <c r="G993" s="329"/>
      <c r="H993" s="401"/>
    </row>
    <row r="994">
      <c r="A994" s="434"/>
      <c r="D994" s="38"/>
      <c r="F994" s="329"/>
      <c r="G994" s="329"/>
      <c r="H994" s="401"/>
    </row>
    <row r="995">
      <c r="A995" s="434"/>
      <c r="D995" s="38"/>
      <c r="F995" s="329"/>
      <c r="G995" s="329"/>
      <c r="H995" s="401"/>
    </row>
    <row r="996">
      <c r="A996" s="434"/>
      <c r="D996" s="38"/>
      <c r="F996" s="329"/>
      <c r="G996" s="329"/>
      <c r="H996" s="401"/>
    </row>
    <row r="997">
      <c r="A997" s="434"/>
      <c r="D997" s="38"/>
      <c r="F997" s="329"/>
      <c r="G997" s="329"/>
      <c r="H997" s="401"/>
    </row>
    <row r="998">
      <c r="A998" s="434"/>
      <c r="D998" s="38"/>
      <c r="F998" s="329"/>
      <c r="G998" s="329"/>
      <c r="H998" s="401"/>
    </row>
    <row r="999">
      <c r="A999" s="434"/>
      <c r="D999" s="38"/>
      <c r="F999" s="329"/>
      <c r="G999" s="329"/>
      <c r="H999" s="401"/>
    </row>
    <row r="1000">
      <c r="A1000" s="434"/>
      <c r="D1000" s="38"/>
      <c r="F1000" s="329"/>
      <c r="G1000" s="329"/>
      <c r="H1000" s="401"/>
    </row>
    <row r="1001">
      <c r="A1001" s="434"/>
      <c r="D1001" s="38"/>
      <c r="F1001" s="329"/>
      <c r="G1001" s="329"/>
      <c r="H1001" s="401"/>
    </row>
  </sheetData>
  <autoFilter ref="$D$1:$D$1001"/>
  <hyperlinks>
    <hyperlink r:id="rId1" ref="H3"/>
    <hyperlink r:id="rId2" ref="E4"/>
    <hyperlink r:id="rId3" ref="E6"/>
    <hyperlink r:id="rId4" ref="E8"/>
    <hyperlink r:id="rId5" ref="E10"/>
    <hyperlink r:id="rId6" ref="E12"/>
    <hyperlink r:id="rId7" ref="E13"/>
    <hyperlink r:id="rId8" ref="H13"/>
    <hyperlink r:id="rId9" ref="E15"/>
    <hyperlink r:id="rId10" ref="E17"/>
    <hyperlink r:id="rId11" ref="E19"/>
    <hyperlink r:id="rId12" ref="E21"/>
    <hyperlink r:id="rId13" ref="E23"/>
    <hyperlink r:id="rId14" ref="E24"/>
    <hyperlink r:id="rId15" ref="E26"/>
    <hyperlink r:id="rId16" ref="E29"/>
    <hyperlink r:id="rId17" ref="E30"/>
    <hyperlink r:id="rId18" ref="E31"/>
    <hyperlink r:id="rId19" ref="E32"/>
    <hyperlink r:id="rId20" ref="E34"/>
    <hyperlink r:id="rId21" ref="E35"/>
    <hyperlink r:id="rId22" ref="H35"/>
    <hyperlink r:id="rId23" ref="E39"/>
    <hyperlink r:id="rId24" ref="E40"/>
    <hyperlink r:id="rId25" ref="E42"/>
    <hyperlink r:id="rId26" ref="H42"/>
    <hyperlink r:id="rId27" ref="E43"/>
    <hyperlink r:id="rId28" ref="H43"/>
    <hyperlink r:id="rId29" ref="E45"/>
    <hyperlink r:id="rId30" ref="H45"/>
    <hyperlink r:id="rId31" ref="E46"/>
    <hyperlink r:id="rId32" ref="H46"/>
    <hyperlink r:id="rId33" ref="E47"/>
    <hyperlink r:id="rId34" ref="E48"/>
    <hyperlink r:id="rId35" ref="E50"/>
    <hyperlink r:id="rId36" ref="E51"/>
    <hyperlink r:id="rId37" ref="E53"/>
    <hyperlink r:id="rId38" ref="E54"/>
    <hyperlink r:id="rId39" ref="H54"/>
    <hyperlink r:id="rId40" ref="E57"/>
    <hyperlink r:id="rId41" ref="E58"/>
    <hyperlink r:id="rId42" ref="E59"/>
    <hyperlink r:id="rId43" ref="E61"/>
    <hyperlink r:id="rId44" ref="H61"/>
    <hyperlink r:id="rId45" ref="E62"/>
    <hyperlink r:id="rId46" ref="E63"/>
    <hyperlink r:id="rId47" ref="E64"/>
    <hyperlink r:id="rId48" ref="E66"/>
    <hyperlink r:id="rId49" ref="E67"/>
    <hyperlink r:id="rId50" ref="E69"/>
    <hyperlink r:id="rId51" ref="E70"/>
    <hyperlink r:id="rId52" ref="E71"/>
    <hyperlink r:id="rId53" ref="E72"/>
    <hyperlink r:id="rId54" ref="E73"/>
    <hyperlink r:id="rId55" ref="E74"/>
    <hyperlink r:id="rId56" ref="E75"/>
    <hyperlink r:id="rId57" ref="E76"/>
    <hyperlink r:id="rId58" ref="H76"/>
    <hyperlink r:id="rId59" ref="E77"/>
    <hyperlink r:id="rId60" ref="E79"/>
    <hyperlink r:id="rId61" ref="E80"/>
    <hyperlink r:id="rId62" ref="E82"/>
    <hyperlink r:id="rId63" ref="E83"/>
    <hyperlink r:id="rId64" ref="E86"/>
    <hyperlink r:id="rId65" ref="E88"/>
    <hyperlink r:id="rId66" ref="E89"/>
    <hyperlink r:id="rId67" ref="E91"/>
    <hyperlink r:id="rId68" ref="E92"/>
    <hyperlink r:id="rId69" ref="H92"/>
    <hyperlink r:id="rId70" ref="E93"/>
    <hyperlink r:id="rId71" ref="E94"/>
    <hyperlink r:id="rId72" ref="E95"/>
  </hyperlinks>
  <drawing r:id="rId7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3.71"/>
    <col customWidth="1" min="4" max="4" width="21.0"/>
    <col customWidth="1" min="5" max="5" width="27.0"/>
    <col customWidth="1" min="8" max="8" width="36.29"/>
  </cols>
  <sheetData>
    <row r="1">
      <c r="A1" s="385" t="s">
        <v>0</v>
      </c>
      <c r="B1" s="386" t="s">
        <v>1</v>
      </c>
      <c r="C1" s="386" t="s">
        <v>1817</v>
      </c>
      <c r="D1" s="431" t="s">
        <v>2</v>
      </c>
      <c r="E1" s="386" t="s">
        <v>3</v>
      </c>
      <c r="F1" s="386" t="s">
        <v>4</v>
      </c>
      <c r="G1" s="386" t="s">
        <v>6</v>
      </c>
      <c r="H1" s="387" t="s">
        <v>8</v>
      </c>
      <c r="I1" s="386" t="s">
        <v>9</v>
      </c>
      <c r="J1" s="391"/>
      <c r="K1" s="106"/>
      <c r="L1" s="106"/>
      <c r="M1" s="106"/>
      <c r="N1" s="106"/>
      <c r="O1" s="106"/>
      <c r="P1" s="106"/>
      <c r="Q1" s="106"/>
      <c r="R1" s="106"/>
      <c r="S1" s="106"/>
      <c r="T1" s="106"/>
      <c r="U1" s="106"/>
      <c r="V1" s="106"/>
      <c r="W1" s="106"/>
      <c r="X1" s="106"/>
      <c r="Y1" s="106"/>
      <c r="Z1" s="106"/>
      <c r="AA1" s="106"/>
      <c r="AB1" s="106"/>
      <c r="AC1" s="106"/>
      <c r="AD1" s="106"/>
      <c r="AE1" s="106"/>
      <c r="AF1" s="106"/>
    </row>
    <row r="2">
      <c r="A2" s="433">
        <v>43191.0</v>
      </c>
      <c r="B2" s="394"/>
      <c r="D2" s="19"/>
      <c r="E2" s="394"/>
      <c r="F2" s="291"/>
      <c r="G2" s="36"/>
      <c r="H2" s="437"/>
      <c r="I2" s="36"/>
    </row>
    <row r="3">
      <c r="A3" s="434"/>
      <c r="B3" s="394" t="s">
        <v>3457</v>
      </c>
      <c r="D3" s="75" t="s">
        <v>3458</v>
      </c>
      <c r="E3" s="398" t="s">
        <v>3459</v>
      </c>
      <c r="F3" s="291" t="s">
        <v>2283</v>
      </c>
      <c r="G3" s="36" t="s">
        <v>2284</v>
      </c>
      <c r="H3" s="437" t="s">
        <v>3460</v>
      </c>
      <c r="I3" s="36" t="s">
        <v>32</v>
      </c>
    </row>
    <row r="4">
      <c r="A4" s="434"/>
      <c r="D4" s="42" t="s">
        <v>3461</v>
      </c>
      <c r="F4" s="404" t="s">
        <v>2440</v>
      </c>
      <c r="G4" s="36" t="s">
        <v>2284</v>
      </c>
      <c r="H4" s="36" t="s">
        <v>3462</v>
      </c>
      <c r="I4" s="36" t="s">
        <v>362</v>
      </c>
    </row>
    <row r="5">
      <c r="A5" s="434"/>
      <c r="D5" s="42" t="s">
        <v>3463</v>
      </c>
      <c r="F5" s="329"/>
      <c r="G5" s="36" t="s">
        <v>2333</v>
      </c>
      <c r="H5" s="36" t="s">
        <v>3027</v>
      </c>
      <c r="I5" s="36" t="s">
        <v>2311</v>
      </c>
    </row>
    <row r="6">
      <c r="A6" s="434"/>
      <c r="D6" s="42" t="s">
        <v>3464</v>
      </c>
      <c r="F6" s="291" t="s">
        <v>2293</v>
      </c>
      <c r="G6" s="36" t="s">
        <v>2284</v>
      </c>
      <c r="H6" s="36" t="s">
        <v>3465</v>
      </c>
      <c r="J6" s="36" t="s">
        <v>3466</v>
      </c>
    </row>
    <row r="7">
      <c r="A7" s="434"/>
      <c r="B7" s="471" t="s">
        <v>3467</v>
      </c>
      <c r="D7" s="42" t="s">
        <v>3468</v>
      </c>
      <c r="E7" s="472" t="s">
        <v>3469</v>
      </c>
      <c r="F7" s="473" t="s">
        <v>2324</v>
      </c>
      <c r="G7" s="370" t="s">
        <v>2284</v>
      </c>
      <c r="H7" s="36" t="s">
        <v>3462</v>
      </c>
      <c r="I7" s="36" t="s">
        <v>158</v>
      </c>
    </row>
    <row r="8">
      <c r="A8" s="433">
        <v>43192.0</v>
      </c>
      <c r="D8" s="38"/>
      <c r="F8" s="329"/>
    </row>
    <row r="9">
      <c r="A9" s="434"/>
      <c r="B9" s="394" t="s">
        <v>3474</v>
      </c>
      <c r="D9" s="75" t="s">
        <v>3475</v>
      </c>
      <c r="E9" s="398" t="s">
        <v>3476</v>
      </c>
      <c r="F9" s="291" t="s">
        <v>2283</v>
      </c>
      <c r="G9" s="36" t="s">
        <v>2333</v>
      </c>
      <c r="H9" s="117" t="s">
        <v>3478</v>
      </c>
    </row>
    <row r="10">
      <c r="A10" s="434"/>
      <c r="B10" s="394" t="s">
        <v>3479</v>
      </c>
      <c r="D10" s="42" t="s">
        <v>3480</v>
      </c>
      <c r="E10" s="398" t="s">
        <v>3481</v>
      </c>
      <c r="F10" s="291" t="s">
        <v>2283</v>
      </c>
      <c r="G10" s="36" t="s">
        <v>2284</v>
      </c>
      <c r="H10" s="437" t="s">
        <v>2692</v>
      </c>
      <c r="I10" s="36" t="s">
        <v>32</v>
      </c>
    </row>
    <row r="11">
      <c r="A11" s="434"/>
      <c r="B11" s="394" t="s">
        <v>3485</v>
      </c>
      <c r="D11" s="75" t="s">
        <v>3486</v>
      </c>
      <c r="E11" s="398" t="s">
        <v>3488</v>
      </c>
      <c r="F11" s="291" t="s">
        <v>2283</v>
      </c>
      <c r="G11" s="36" t="s">
        <v>2333</v>
      </c>
      <c r="H11" s="437" t="s">
        <v>3489</v>
      </c>
    </row>
    <row r="12">
      <c r="A12" s="433">
        <v>43193.0</v>
      </c>
      <c r="D12" s="38"/>
      <c r="F12" s="329"/>
    </row>
    <row r="13">
      <c r="A13" s="434"/>
      <c r="B13" s="222" t="s">
        <v>3490</v>
      </c>
      <c r="D13" s="42" t="s">
        <v>3491</v>
      </c>
      <c r="E13" s="403" t="s">
        <v>3493</v>
      </c>
      <c r="F13" s="404" t="s">
        <v>2440</v>
      </c>
      <c r="G13" s="36" t="s">
        <v>2333</v>
      </c>
      <c r="H13" s="36" t="s">
        <v>2334</v>
      </c>
      <c r="J13" s="36" t="s">
        <v>3496</v>
      </c>
    </row>
    <row r="14">
      <c r="B14" s="394" t="s">
        <v>3497</v>
      </c>
      <c r="D14" s="75" t="s">
        <v>3498</v>
      </c>
      <c r="E14" s="398" t="s">
        <v>3499</v>
      </c>
      <c r="F14" s="36" t="s">
        <v>2283</v>
      </c>
      <c r="G14" s="36" t="s">
        <v>2284</v>
      </c>
      <c r="H14" s="362" t="s">
        <v>2639</v>
      </c>
      <c r="I14" s="36" t="s">
        <v>158</v>
      </c>
    </row>
    <row r="15">
      <c r="A15" s="434"/>
      <c r="B15" s="36" t="s">
        <v>3503</v>
      </c>
      <c r="D15" s="42" t="s">
        <v>3504</v>
      </c>
      <c r="F15" s="291" t="s">
        <v>2293</v>
      </c>
      <c r="G15" s="36" t="s">
        <v>2284</v>
      </c>
      <c r="H15" s="36" t="s">
        <v>3505</v>
      </c>
      <c r="J15" s="36" t="s">
        <v>3506</v>
      </c>
    </row>
    <row r="16">
      <c r="A16" s="433">
        <v>43194.0</v>
      </c>
      <c r="D16" s="38"/>
      <c r="F16" s="329"/>
    </row>
    <row r="17">
      <c r="A17" s="434"/>
      <c r="B17" s="299" t="s">
        <v>3507</v>
      </c>
      <c r="D17" s="474" t="s">
        <v>3508</v>
      </c>
      <c r="E17" s="253" t="s">
        <v>3509</v>
      </c>
      <c r="F17" s="473" t="s">
        <v>2324</v>
      </c>
      <c r="G17" s="370" t="s">
        <v>2284</v>
      </c>
      <c r="H17" s="36" t="s">
        <v>3510</v>
      </c>
      <c r="I17" s="36" t="s">
        <v>32</v>
      </c>
    </row>
    <row r="18">
      <c r="A18" s="434"/>
      <c r="B18" s="36" t="s">
        <v>3511</v>
      </c>
      <c r="D18" s="42" t="s">
        <v>3512</v>
      </c>
      <c r="E18" s="257" t="s">
        <v>3513</v>
      </c>
      <c r="F18" s="291" t="s">
        <v>2293</v>
      </c>
      <c r="G18" s="36" t="s">
        <v>2342</v>
      </c>
      <c r="H18" s="316" t="s">
        <v>3514</v>
      </c>
      <c r="I18" s="36" t="s">
        <v>3515</v>
      </c>
      <c r="J18" s="36" t="s">
        <v>3516</v>
      </c>
    </row>
    <row r="19">
      <c r="A19" s="434"/>
      <c r="B19" s="394" t="s">
        <v>3517</v>
      </c>
      <c r="D19" s="42" t="s">
        <v>3518</v>
      </c>
      <c r="E19" s="398" t="s">
        <v>3519</v>
      </c>
      <c r="F19" s="291" t="s">
        <v>2283</v>
      </c>
      <c r="G19" s="36" t="s">
        <v>2284</v>
      </c>
      <c r="H19" s="36" t="s">
        <v>3521</v>
      </c>
      <c r="I19" s="36" t="s">
        <v>32</v>
      </c>
    </row>
    <row r="20">
      <c r="A20" s="262">
        <v>43197.0</v>
      </c>
      <c r="D20" s="19"/>
      <c r="E20" s="36"/>
      <c r="F20" s="329"/>
    </row>
    <row r="21">
      <c r="A21" s="434"/>
      <c r="D21" s="42" t="s">
        <v>3525</v>
      </c>
      <c r="E21" s="403" t="s">
        <v>3526</v>
      </c>
      <c r="F21" s="329"/>
      <c r="H21" s="36" t="s">
        <v>3462</v>
      </c>
    </row>
    <row r="22">
      <c r="A22" s="434"/>
      <c r="D22" s="42" t="s">
        <v>3531</v>
      </c>
      <c r="F22" s="329"/>
    </row>
    <row r="23">
      <c r="A23" s="434"/>
      <c r="B23" s="394" t="s">
        <v>3535</v>
      </c>
      <c r="D23" s="42" t="s">
        <v>3536</v>
      </c>
      <c r="E23" s="398" t="s">
        <v>3537</v>
      </c>
      <c r="F23" s="329"/>
      <c r="H23" s="36" t="s">
        <v>1481</v>
      </c>
    </row>
    <row r="24">
      <c r="A24" s="433">
        <v>43198.0</v>
      </c>
      <c r="D24" s="38"/>
      <c r="F24" s="329"/>
    </row>
    <row r="25">
      <c r="A25" s="434"/>
      <c r="B25" s="394" t="s">
        <v>3542</v>
      </c>
      <c r="D25" s="42" t="s">
        <v>3543</v>
      </c>
      <c r="E25" s="398" t="s">
        <v>3544</v>
      </c>
      <c r="F25" s="291" t="s">
        <v>2283</v>
      </c>
      <c r="G25" s="36" t="s">
        <v>2284</v>
      </c>
      <c r="H25" s="117" t="s">
        <v>3546</v>
      </c>
      <c r="I25" s="36" t="s">
        <v>32</v>
      </c>
    </row>
    <row r="26">
      <c r="A26" s="434"/>
      <c r="B26" s="36" t="s">
        <v>3550</v>
      </c>
      <c r="D26" s="42" t="s">
        <v>3551</v>
      </c>
      <c r="F26" s="291" t="s">
        <v>2283</v>
      </c>
      <c r="G26" s="36" t="s">
        <v>2528</v>
      </c>
      <c r="H26" s="36" t="s">
        <v>3552</v>
      </c>
      <c r="I26" s="36" t="s">
        <v>32</v>
      </c>
    </row>
    <row r="27">
      <c r="A27" s="434"/>
      <c r="B27" s="394" t="s">
        <v>3553</v>
      </c>
      <c r="D27" s="42" t="s">
        <v>3554</v>
      </c>
      <c r="E27" s="398" t="s">
        <v>3555</v>
      </c>
      <c r="F27" s="291" t="s">
        <v>2283</v>
      </c>
      <c r="G27" s="36" t="s">
        <v>2284</v>
      </c>
      <c r="I27" s="36" t="s">
        <v>54</v>
      </c>
    </row>
    <row r="28">
      <c r="A28" s="433">
        <v>43199.0</v>
      </c>
      <c r="D28" s="38"/>
      <c r="F28" s="329"/>
    </row>
    <row r="29">
      <c r="A29" s="434"/>
      <c r="B29" s="394" t="s">
        <v>3556</v>
      </c>
      <c r="D29" s="42" t="s">
        <v>3557</v>
      </c>
      <c r="E29" s="398" t="s">
        <v>3558</v>
      </c>
      <c r="F29" s="291" t="s">
        <v>2283</v>
      </c>
      <c r="G29" s="36" t="s">
        <v>2284</v>
      </c>
      <c r="H29" s="36" t="s">
        <v>2949</v>
      </c>
      <c r="I29" s="36" t="s">
        <v>32</v>
      </c>
    </row>
    <row r="30">
      <c r="A30" s="434"/>
      <c r="B30" s="394" t="s">
        <v>1222</v>
      </c>
      <c r="D30" s="75" t="s">
        <v>551</v>
      </c>
      <c r="E30" s="398" t="s">
        <v>1224</v>
      </c>
      <c r="F30" s="291" t="s">
        <v>2283</v>
      </c>
      <c r="G30" s="36" t="s">
        <v>2284</v>
      </c>
      <c r="H30" s="117" t="s">
        <v>3546</v>
      </c>
      <c r="I30" s="36" t="s">
        <v>32</v>
      </c>
    </row>
    <row r="31">
      <c r="A31" s="434"/>
      <c r="B31" s="394" t="s">
        <v>3566</v>
      </c>
      <c r="D31" s="75" t="s">
        <v>3567</v>
      </c>
      <c r="E31" s="398" t="s">
        <v>3568</v>
      </c>
      <c r="F31" s="291" t="s">
        <v>2283</v>
      </c>
      <c r="G31" s="36" t="s">
        <v>2342</v>
      </c>
      <c r="H31" s="117" t="s">
        <v>3573</v>
      </c>
      <c r="I31" s="36" t="s">
        <v>2887</v>
      </c>
    </row>
    <row r="32">
      <c r="A32" s="434"/>
      <c r="B32" s="394" t="s">
        <v>3379</v>
      </c>
      <c r="D32" s="42" t="s">
        <v>3380</v>
      </c>
      <c r="E32" s="398" t="s">
        <v>3381</v>
      </c>
      <c r="F32" s="291" t="s">
        <v>2283</v>
      </c>
      <c r="H32" s="36" t="s">
        <v>3577</v>
      </c>
      <c r="I32" s="36" t="s">
        <v>2838</v>
      </c>
    </row>
    <row r="33">
      <c r="A33" s="434"/>
      <c r="B33" s="394" t="s">
        <v>3579</v>
      </c>
      <c r="D33" s="19">
        <v>5.64421528E8</v>
      </c>
      <c r="E33" s="398" t="s">
        <v>3580</v>
      </c>
      <c r="F33" s="291" t="s">
        <v>2283</v>
      </c>
      <c r="G33" s="36" t="s">
        <v>2333</v>
      </c>
      <c r="H33" s="36" t="s">
        <v>2334</v>
      </c>
      <c r="J33" s="36" t="s">
        <v>3496</v>
      </c>
    </row>
    <row r="34">
      <c r="A34" s="433">
        <v>43200.0</v>
      </c>
      <c r="D34" s="38"/>
      <c r="F34" s="329"/>
    </row>
    <row r="35">
      <c r="A35" s="434"/>
      <c r="B35" s="394" t="s">
        <v>3584</v>
      </c>
      <c r="D35" s="475">
        <f>+971558675323</f>
        <v>971558675323</v>
      </c>
      <c r="E35" s="398" t="s">
        <v>3588</v>
      </c>
      <c r="F35" s="291" t="s">
        <v>2283</v>
      </c>
      <c r="G35" s="36" t="s">
        <v>2284</v>
      </c>
      <c r="H35" s="437" t="s">
        <v>2582</v>
      </c>
      <c r="I35" s="36" t="s">
        <v>32</v>
      </c>
    </row>
    <row r="36">
      <c r="A36" s="434"/>
      <c r="B36" s="394" t="s">
        <v>3593</v>
      </c>
      <c r="D36" s="42" t="s">
        <v>3594</v>
      </c>
      <c r="E36" s="398" t="s">
        <v>3595</v>
      </c>
      <c r="F36" s="291" t="s">
        <v>2283</v>
      </c>
      <c r="G36" s="36" t="s">
        <v>2284</v>
      </c>
      <c r="H36" s="240" t="s">
        <v>3596</v>
      </c>
      <c r="I36" s="36" t="s">
        <v>32</v>
      </c>
    </row>
    <row r="37">
      <c r="A37" s="434"/>
      <c r="B37" s="394" t="s">
        <v>3598</v>
      </c>
      <c r="D37" s="42" t="s">
        <v>3599</v>
      </c>
      <c r="E37" s="398" t="s">
        <v>3600</v>
      </c>
      <c r="F37" s="291" t="s">
        <v>2283</v>
      </c>
      <c r="G37" s="36" t="s">
        <v>2284</v>
      </c>
      <c r="H37" s="36" t="s">
        <v>3447</v>
      </c>
      <c r="I37" s="36" t="s">
        <v>32</v>
      </c>
    </row>
    <row r="38">
      <c r="A38" s="433">
        <v>43201.0</v>
      </c>
      <c r="D38" s="38"/>
      <c r="F38" s="329"/>
    </row>
    <row r="39">
      <c r="A39" s="434"/>
      <c r="B39" s="222" t="s">
        <v>3607</v>
      </c>
      <c r="D39" s="75" t="s">
        <v>3608</v>
      </c>
      <c r="E39" s="403" t="s">
        <v>3608</v>
      </c>
      <c r="F39" s="404" t="s">
        <v>2440</v>
      </c>
      <c r="G39" s="364" t="s">
        <v>2342</v>
      </c>
      <c r="H39" s="36" t="s">
        <v>3609</v>
      </c>
    </row>
    <row r="40">
      <c r="A40" s="434"/>
      <c r="B40" s="36" t="s">
        <v>3610</v>
      </c>
      <c r="D40" s="477" t="s">
        <v>3611</v>
      </c>
      <c r="E40" s="398" t="s">
        <v>3611</v>
      </c>
      <c r="F40" s="478" t="s">
        <v>2283</v>
      </c>
      <c r="G40" s="63" t="s">
        <v>2284</v>
      </c>
      <c r="H40" s="36" t="s">
        <v>3620</v>
      </c>
      <c r="I40" s="36" t="s">
        <v>32</v>
      </c>
    </row>
    <row r="41">
      <c r="A41" s="434"/>
      <c r="B41" s="398" t="s">
        <v>3611</v>
      </c>
      <c r="D41" s="75" t="s">
        <v>3622</v>
      </c>
      <c r="E41" s="398" t="s">
        <v>3611</v>
      </c>
      <c r="F41" s="478" t="s">
        <v>2283</v>
      </c>
      <c r="G41" s="63" t="s">
        <v>2284</v>
      </c>
      <c r="H41" s="36" t="s">
        <v>3620</v>
      </c>
      <c r="I41" s="36" t="s">
        <v>32</v>
      </c>
    </row>
    <row r="42">
      <c r="A42" s="433">
        <v>43202.0</v>
      </c>
      <c r="D42" s="38"/>
      <c r="F42" s="329"/>
      <c r="I42" s="36"/>
    </row>
    <row r="43">
      <c r="A43" s="434"/>
      <c r="B43" s="394" t="s">
        <v>1222</v>
      </c>
      <c r="D43" s="75" t="s">
        <v>551</v>
      </c>
      <c r="E43" s="398" t="s">
        <v>1224</v>
      </c>
      <c r="F43" s="478" t="s">
        <v>2283</v>
      </c>
      <c r="G43" s="63" t="s">
        <v>2284</v>
      </c>
      <c r="H43" s="362" t="s">
        <v>3360</v>
      </c>
      <c r="I43" s="36" t="s">
        <v>32</v>
      </c>
    </row>
    <row r="44">
      <c r="A44" s="434"/>
      <c r="B44" s="394" t="s">
        <v>3623</v>
      </c>
      <c r="D44" s="42" t="s">
        <v>3624</v>
      </c>
      <c r="E44" s="398" t="s">
        <v>3625</v>
      </c>
      <c r="F44" s="291" t="s">
        <v>2283</v>
      </c>
      <c r="G44" s="36" t="s">
        <v>2956</v>
      </c>
      <c r="H44" s="36" t="s">
        <v>2334</v>
      </c>
      <c r="J44" s="36" t="s">
        <v>3496</v>
      </c>
    </row>
    <row r="45">
      <c r="A45" s="434"/>
      <c r="B45" s="36" t="s">
        <v>3626</v>
      </c>
      <c r="D45" s="42" t="s">
        <v>3628</v>
      </c>
      <c r="F45" s="329"/>
      <c r="G45" s="36" t="s">
        <v>2342</v>
      </c>
      <c r="H45" s="36" t="s">
        <v>3630</v>
      </c>
    </row>
    <row r="46">
      <c r="A46" s="434"/>
      <c r="B46" s="36" t="s">
        <v>3631</v>
      </c>
      <c r="D46" s="42" t="s">
        <v>3632</v>
      </c>
      <c r="F46" s="329"/>
      <c r="H46" s="36" t="s">
        <v>3633</v>
      </c>
    </row>
    <row r="47">
      <c r="A47" s="433">
        <v>43205.0</v>
      </c>
      <c r="D47" s="38"/>
      <c r="F47" s="329"/>
    </row>
    <row r="48">
      <c r="A48" s="434"/>
      <c r="B48" s="413" t="s">
        <v>3634</v>
      </c>
      <c r="D48" s="42" t="s">
        <v>3635</v>
      </c>
      <c r="E48" s="468" t="s">
        <v>3636</v>
      </c>
      <c r="F48" s="329"/>
      <c r="H48" s="413" t="s">
        <v>3641</v>
      </c>
      <c r="J48" s="36" t="s">
        <v>3496</v>
      </c>
    </row>
    <row r="49">
      <c r="A49" s="434"/>
      <c r="B49" s="117" t="s">
        <v>3642</v>
      </c>
      <c r="D49" s="42" t="s">
        <v>3643</v>
      </c>
      <c r="E49" s="257" t="s">
        <v>3644</v>
      </c>
      <c r="F49" s="329"/>
      <c r="H49" s="445" t="s">
        <v>3645</v>
      </c>
    </row>
    <row r="50">
      <c r="A50" s="434"/>
      <c r="B50" s="394" t="s">
        <v>3660</v>
      </c>
      <c r="D50" s="42" t="s">
        <v>3661</v>
      </c>
      <c r="E50" s="398" t="s">
        <v>3662</v>
      </c>
      <c r="F50" s="329"/>
      <c r="G50" s="63" t="s">
        <v>2284</v>
      </c>
      <c r="H50" s="240" t="s">
        <v>3460</v>
      </c>
      <c r="I50" s="36" t="s">
        <v>65</v>
      </c>
    </row>
    <row r="51">
      <c r="A51" s="434"/>
      <c r="B51" s="394" t="s">
        <v>3666</v>
      </c>
      <c r="D51" s="42" t="s">
        <v>3667</v>
      </c>
      <c r="E51" s="398" t="s">
        <v>3668</v>
      </c>
      <c r="F51" s="329"/>
      <c r="H51" s="36" t="s">
        <v>2334</v>
      </c>
      <c r="J51" s="36" t="s">
        <v>3496</v>
      </c>
    </row>
    <row r="52">
      <c r="A52" s="434"/>
      <c r="B52" s="117" t="s">
        <v>3673</v>
      </c>
      <c r="D52" s="42" t="s">
        <v>3674</v>
      </c>
      <c r="E52" s="257" t="s">
        <v>3675</v>
      </c>
      <c r="F52" s="329"/>
      <c r="H52" s="36" t="s">
        <v>3678</v>
      </c>
    </row>
    <row r="53">
      <c r="A53" s="434"/>
      <c r="B53" s="413" t="s">
        <v>3679</v>
      </c>
      <c r="D53" s="42" t="s">
        <v>3680</v>
      </c>
      <c r="F53" s="404" t="s">
        <v>2440</v>
      </c>
      <c r="G53" s="364" t="s">
        <v>2284</v>
      </c>
      <c r="H53" s="36" t="s">
        <v>3681</v>
      </c>
      <c r="I53" s="36" t="s">
        <v>158</v>
      </c>
    </row>
    <row r="54">
      <c r="A54" s="434"/>
      <c r="B54" s="36" t="s">
        <v>3682</v>
      </c>
      <c r="D54" s="42" t="s">
        <v>3683</v>
      </c>
      <c r="F54" s="329"/>
      <c r="G54" s="63" t="s">
        <v>2284</v>
      </c>
      <c r="H54" s="36" t="s">
        <v>3684</v>
      </c>
      <c r="I54" s="36" t="s">
        <v>362</v>
      </c>
    </row>
    <row r="55">
      <c r="A55" s="434"/>
      <c r="B55" s="36" t="s">
        <v>3686</v>
      </c>
      <c r="D55" s="42" t="s">
        <v>3687</v>
      </c>
      <c r="F55" s="329"/>
      <c r="G55" s="63" t="s">
        <v>2284</v>
      </c>
      <c r="H55" s="36" t="s">
        <v>3689</v>
      </c>
      <c r="I55" s="36" t="s">
        <v>65</v>
      </c>
    </row>
    <row r="56">
      <c r="A56" s="434"/>
      <c r="B56" s="36" t="s">
        <v>3691</v>
      </c>
      <c r="D56" s="42" t="s">
        <v>3692</v>
      </c>
      <c r="F56" s="329"/>
      <c r="G56" s="63" t="s">
        <v>2284</v>
      </c>
      <c r="H56" s="36" t="s">
        <v>3693</v>
      </c>
      <c r="I56" s="36" t="s">
        <v>803</v>
      </c>
    </row>
    <row r="57">
      <c r="A57" s="433">
        <v>43206.0</v>
      </c>
      <c r="D57" s="38"/>
      <c r="F57" s="329"/>
    </row>
    <row r="58">
      <c r="A58" s="434"/>
      <c r="B58" s="394" t="s">
        <v>3492</v>
      </c>
      <c r="D58" s="42" t="s">
        <v>3694</v>
      </c>
      <c r="E58" s="398" t="s">
        <v>3695</v>
      </c>
      <c r="F58" s="291" t="s">
        <v>2283</v>
      </c>
      <c r="G58" s="36" t="s">
        <v>2333</v>
      </c>
      <c r="H58" s="36" t="s">
        <v>3098</v>
      </c>
      <c r="I58" s="36" t="s">
        <v>3696</v>
      </c>
      <c r="J58" s="36" t="s">
        <v>3496</v>
      </c>
    </row>
    <row r="59">
      <c r="A59" s="434"/>
      <c r="B59" s="394" t="s">
        <v>3697</v>
      </c>
      <c r="D59" s="75" t="s">
        <v>3698</v>
      </c>
      <c r="E59" s="398" t="s">
        <v>3699</v>
      </c>
      <c r="F59" s="291" t="s">
        <v>2283</v>
      </c>
      <c r="G59" s="36" t="s">
        <v>2284</v>
      </c>
      <c r="H59" s="36" t="s">
        <v>417</v>
      </c>
      <c r="J59" s="36" t="s">
        <v>3700</v>
      </c>
    </row>
    <row r="60">
      <c r="A60" s="433">
        <v>43207.0</v>
      </c>
      <c r="D60" s="38"/>
      <c r="F60" s="329"/>
    </row>
    <row r="61">
      <c r="A61" s="434"/>
      <c r="B61" s="394" t="s">
        <v>3701</v>
      </c>
      <c r="D61" s="42" t="s">
        <v>3702</v>
      </c>
      <c r="E61" s="398" t="s">
        <v>3703</v>
      </c>
      <c r="F61" s="291" t="s">
        <v>2283</v>
      </c>
      <c r="G61" s="36" t="s">
        <v>2333</v>
      </c>
      <c r="H61" s="36" t="s">
        <v>2334</v>
      </c>
      <c r="J61" s="36" t="s">
        <v>3496</v>
      </c>
    </row>
    <row r="62">
      <c r="A62" s="434"/>
      <c r="B62" s="117" t="s">
        <v>3704</v>
      </c>
      <c r="D62" s="42" t="s">
        <v>3705</v>
      </c>
      <c r="E62" s="257" t="s">
        <v>3706</v>
      </c>
      <c r="F62" s="291" t="s">
        <v>2283</v>
      </c>
      <c r="G62" s="36" t="s">
        <v>2284</v>
      </c>
      <c r="H62" s="117" t="s">
        <v>3707</v>
      </c>
    </row>
    <row r="63">
      <c r="A63" s="434"/>
      <c r="B63" s="394" t="s">
        <v>1507</v>
      </c>
      <c r="D63" s="75" t="s">
        <v>3708</v>
      </c>
      <c r="E63" s="398" t="s">
        <v>3709</v>
      </c>
      <c r="F63" s="291" t="s">
        <v>2283</v>
      </c>
      <c r="G63" s="36" t="s">
        <v>2284</v>
      </c>
      <c r="H63" s="437" t="s">
        <v>3713</v>
      </c>
      <c r="I63" s="36" t="s">
        <v>32</v>
      </c>
    </row>
    <row r="64">
      <c r="A64" s="434"/>
      <c r="B64" s="394" t="s">
        <v>2888</v>
      </c>
      <c r="D64" s="75" t="s">
        <v>3714</v>
      </c>
      <c r="E64" s="398" t="s">
        <v>3715</v>
      </c>
      <c r="F64" s="291" t="s">
        <v>2283</v>
      </c>
      <c r="H64" s="36" t="s">
        <v>98</v>
      </c>
      <c r="I64" s="36" t="s">
        <v>84</v>
      </c>
    </row>
    <row r="65">
      <c r="A65" s="434"/>
      <c r="B65" s="394" t="s">
        <v>3719</v>
      </c>
      <c r="D65" s="42" t="s">
        <v>3397</v>
      </c>
      <c r="E65" s="398" t="s">
        <v>3398</v>
      </c>
      <c r="F65" s="291" t="s">
        <v>2283</v>
      </c>
      <c r="G65" s="36" t="s">
        <v>2342</v>
      </c>
      <c r="H65" s="36" t="s">
        <v>2932</v>
      </c>
      <c r="J65" s="36" t="s">
        <v>3496</v>
      </c>
    </row>
    <row r="66">
      <c r="A66" s="434"/>
      <c r="B66" s="36" t="s">
        <v>3722</v>
      </c>
      <c r="D66" s="42" t="s">
        <v>3724</v>
      </c>
      <c r="F66" s="291" t="s">
        <v>2283</v>
      </c>
      <c r="G66" s="36" t="s">
        <v>2284</v>
      </c>
      <c r="H66" s="36" t="s">
        <v>3725</v>
      </c>
      <c r="I66" s="36" t="s">
        <v>3726</v>
      </c>
    </row>
    <row r="67">
      <c r="A67" s="434"/>
      <c r="B67" s="36" t="s">
        <v>3727</v>
      </c>
      <c r="D67" s="42" t="s">
        <v>3728</v>
      </c>
      <c r="E67" s="257" t="s">
        <v>3729</v>
      </c>
      <c r="F67" s="291" t="s">
        <v>2293</v>
      </c>
      <c r="H67" s="484" t="s">
        <v>3730</v>
      </c>
      <c r="J67" s="36" t="s">
        <v>3496</v>
      </c>
    </row>
    <row r="68">
      <c r="A68" s="433">
        <v>43208.0</v>
      </c>
      <c r="B68" s="117"/>
      <c r="D68" s="38"/>
      <c r="E68" s="117"/>
      <c r="F68" s="291"/>
      <c r="H68" s="36"/>
    </row>
    <row r="69">
      <c r="A69" s="434"/>
      <c r="B69" s="117" t="s">
        <v>3731</v>
      </c>
      <c r="D69" s="38"/>
      <c r="E69" s="257" t="s">
        <v>3732</v>
      </c>
      <c r="F69" s="291" t="s">
        <v>2293</v>
      </c>
      <c r="H69" s="36" t="s">
        <v>3733</v>
      </c>
      <c r="I69" s="36" t="s">
        <v>3734</v>
      </c>
      <c r="J69" s="36" t="s">
        <v>3496</v>
      </c>
    </row>
    <row r="70">
      <c r="A70" s="434"/>
      <c r="B70" s="36" t="s">
        <v>2645</v>
      </c>
      <c r="D70" s="42" t="s">
        <v>3735</v>
      </c>
      <c r="F70" s="291" t="s">
        <v>2283</v>
      </c>
      <c r="G70" s="36" t="s">
        <v>2284</v>
      </c>
      <c r="H70" s="36" t="s">
        <v>3620</v>
      </c>
      <c r="I70" s="36" t="s">
        <v>3726</v>
      </c>
    </row>
    <row r="71">
      <c r="A71" s="433"/>
      <c r="B71" s="36" t="s">
        <v>3736</v>
      </c>
      <c r="D71" s="75" t="s">
        <v>3737</v>
      </c>
      <c r="F71" s="329"/>
      <c r="H71" s="36" t="s">
        <v>252</v>
      </c>
      <c r="I71" s="36" t="s">
        <v>3734</v>
      </c>
    </row>
    <row r="72">
      <c r="A72" s="433">
        <v>43209.0</v>
      </c>
      <c r="D72" s="38"/>
      <c r="F72" s="329"/>
    </row>
    <row r="73">
      <c r="A73" s="434"/>
      <c r="B73" s="394" t="s">
        <v>3738</v>
      </c>
      <c r="D73" s="75" t="s">
        <v>3739</v>
      </c>
      <c r="E73" s="398" t="s">
        <v>3740</v>
      </c>
      <c r="F73" s="291" t="s">
        <v>2283</v>
      </c>
      <c r="G73" s="36" t="s">
        <v>2333</v>
      </c>
      <c r="H73" s="36" t="s">
        <v>3741</v>
      </c>
      <c r="J73" s="36" t="s">
        <v>3496</v>
      </c>
    </row>
    <row r="74">
      <c r="A74" s="433">
        <v>43211.0</v>
      </c>
      <c r="D74" s="38"/>
      <c r="F74" s="329"/>
    </row>
    <row r="75">
      <c r="A75" s="434"/>
      <c r="B75" s="394" t="s">
        <v>3742</v>
      </c>
      <c r="D75" s="75" t="s">
        <v>3743</v>
      </c>
      <c r="E75" s="398" t="s">
        <v>3744</v>
      </c>
      <c r="F75" s="291" t="s">
        <v>2283</v>
      </c>
      <c r="G75" s="36" t="s">
        <v>2333</v>
      </c>
      <c r="H75" s="36" t="s">
        <v>1481</v>
      </c>
    </row>
    <row r="76">
      <c r="A76" s="434"/>
      <c r="B76" s="394" t="s">
        <v>3745</v>
      </c>
      <c r="D76" s="42" t="s">
        <v>3746</v>
      </c>
      <c r="E76" s="398" t="s">
        <v>3747</v>
      </c>
      <c r="F76" s="291" t="s">
        <v>2283</v>
      </c>
      <c r="G76" s="36" t="s">
        <v>2284</v>
      </c>
      <c r="H76" s="36" t="s">
        <v>3620</v>
      </c>
      <c r="I76" s="36" t="s">
        <v>3726</v>
      </c>
    </row>
    <row r="77">
      <c r="A77" s="434"/>
      <c r="B77" s="394" t="s">
        <v>3748</v>
      </c>
      <c r="D77" s="42" t="s">
        <v>3749</v>
      </c>
      <c r="E77" s="398" t="s">
        <v>3750</v>
      </c>
      <c r="F77" s="291" t="s">
        <v>2283</v>
      </c>
      <c r="G77" s="36" t="s">
        <v>2284</v>
      </c>
      <c r="H77" s="36" t="s">
        <v>3620</v>
      </c>
      <c r="I77" s="36" t="s">
        <v>3726</v>
      </c>
    </row>
    <row r="78">
      <c r="A78" s="434"/>
      <c r="B78" s="117" t="s">
        <v>3751</v>
      </c>
      <c r="D78" s="19">
        <v>5.27891987E8</v>
      </c>
      <c r="E78" s="257" t="s">
        <v>3752</v>
      </c>
      <c r="F78" s="291" t="s">
        <v>2293</v>
      </c>
      <c r="G78" s="36" t="s">
        <v>2528</v>
      </c>
      <c r="H78" s="36" t="s">
        <v>2821</v>
      </c>
      <c r="I78" s="36" t="s">
        <v>803</v>
      </c>
    </row>
    <row r="79">
      <c r="A79" s="434"/>
      <c r="B79" s="394" t="s">
        <v>3753</v>
      </c>
      <c r="D79" s="42" t="s">
        <v>3754</v>
      </c>
      <c r="E79" s="398" t="s">
        <v>3755</v>
      </c>
      <c r="F79" s="291" t="s">
        <v>2283</v>
      </c>
      <c r="G79" s="36" t="s">
        <v>2284</v>
      </c>
      <c r="H79" s="36" t="s">
        <v>3756</v>
      </c>
    </row>
    <row r="80">
      <c r="A80" s="433">
        <v>43212.0</v>
      </c>
      <c r="D80" s="38"/>
      <c r="F80" s="329"/>
    </row>
    <row r="81">
      <c r="A81" s="434"/>
      <c r="B81" s="117" t="s">
        <v>3757</v>
      </c>
      <c r="D81" s="75" t="s">
        <v>3758</v>
      </c>
      <c r="E81" s="257" t="s">
        <v>3759</v>
      </c>
      <c r="F81" s="291" t="s">
        <v>2283</v>
      </c>
      <c r="G81" s="36" t="s">
        <v>2284</v>
      </c>
      <c r="H81" s="36" t="s">
        <v>3760</v>
      </c>
    </row>
    <row r="82">
      <c r="A82" s="434"/>
      <c r="B82" s="299" t="s">
        <v>2992</v>
      </c>
      <c r="D82" s="75" t="s">
        <v>3761</v>
      </c>
      <c r="E82" s="253" t="s">
        <v>3762</v>
      </c>
      <c r="F82" s="473" t="s">
        <v>2324</v>
      </c>
      <c r="G82" s="370" t="s">
        <v>2284</v>
      </c>
      <c r="H82" s="36" t="s">
        <v>3763</v>
      </c>
      <c r="I82" s="36" t="s">
        <v>3726</v>
      </c>
    </row>
    <row r="83">
      <c r="A83" s="433">
        <v>43213.0</v>
      </c>
      <c r="D83" s="38"/>
      <c r="F83" s="329"/>
    </row>
    <row r="84">
      <c r="A84" s="434"/>
      <c r="B84" s="394" t="s">
        <v>3764</v>
      </c>
      <c r="D84" s="19">
        <v>5.07118549E8</v>
      </c>
      <c r="E84" s="398" t="s">
        <v>3765</v>
      </c>
      <c r="F84" s="291" t="s">
        <v>2283</v>
      </c>
      <c r="G84" s="36" t="s">
        <v>2375</v>
      </c>
      <c r="H84" s="36" t="s">
        <v>3766</v>
      </c>
      <c r="I84" s="36" t="s">
        <v>2838</v>
      </c>
    </row>
    <row r="85">
      <c r="A85" s="434"/>
      <c r="B85" s="117" t="s">
        <v>3767</v>
      </c>
      <c r="D85" s="42" t="s">
        <v>3768</v>
      </c>
      <c r="E85" s="257" t="s">
        <v>3769</v>
      </c>
      <c r="F85" s="291" t="s">
        <v>2293</v>
      </c>
      <c r="G85" s="36" t="s">
        <v>2333</v>
      </c>
      <c r="H85" s="36" t="s">
        <v>3770</v>
      </c>
    </row>
    <row r="86">
      <c r="A86" s="434"/>
      <c r="B86" s="299" t="s">
        <v>3771</v>
      </c>
      <c r="D86" s="42" t="s">
        <v>3772</v>
      </c>
      <c r="E86" s="253" t="s">
        <v>3773</v>
      </c>
      <c r="F86" s="473" t="s">
        <v>2324</v>
      </c>
      <c r="G86" s="370" t="s">
        <v>2284</v>
      </c>
      <c r="H86" s="36" t="s">
        <v>3763</v>
      </c>
      <c r="I86" s="36" t="s">
        <v>3726</v>
      </c>
    </row>
    <row r="87">
      <c r="A87" s="433">
        <v>43214.0</v>
      </c>
      <c r="D87" s="38"/>
      <c r="F87" s="329"/>
    </row>
    <row r="88">
      <c r="A88" s="434"/>
      <c r="B88" s="117" t="s">
        <v>3774</v>
      </c>
      <c r="D88" s="42" t="s">
        <v>3775</v>
      </c>
      <c r="E88" s="257" t="s">
        <v>3776</v>
      </c>
      <c r="F88" s="291" t="s">
        <v>2293</v>
      </c>
      <c r="G88" s="36" t="s">
        <v>2284</v>
      </c>
      <c r="H88" s="36" t="s">
        <v>2949</v>
      </c>
    </row>
    <row r="89">
      <c r="A89" s="434"/>
      <c r="B89" s="394" t="s">
        <v>2100</v>
      </c>
      <c r="D89" s="42" t="s">
        <v>3777</v>
      </c>
      <c r="E89" s="398" t="s">
        <v>3778</v>
      </c>
      <c r="F89" s="291" t="s">
        <v>2283</v>
      </c>
      <c r="G89" s="36" t="s">
        <v>2284</v>
      </c>
      <c r="H89" s="36" t="s">
        <v>3358</v>
      </c>
      <c r="I89" s="36" t="s">
        <v>54</v>
      </c>
    </row>
    <row r="90">
      <c r="A90" s="434"/>
      <c r="B90" s="36" t="s">
        <v>3779</v>
      </c>
      <c r="D90" s="42" t="s">
        <v>3780</v>
      </c>
      <c r="F90" s="291" t="s">
        <v>2293</v>
      </c>
      <c r="G90" s="36" t="s">
        <v>2284</v>
      </c>
      <c r="H90" s="36" t="s">
        <v>3781</v>
      </c>
      <c r="I90" s="36" t="s">
        <v>54</v>
      </c>
    </row>
    <row r="91">
      <c r="A91" s="433">
        <v>43216.0</v>
      </c>
      <c r="D91" s="38"/>
      <c r="F91" s="329"/>
    </row>
    <row r="92">
      <c r="A92" s="434"/>
      <c r="B92" s="394" t="s">
        <v>3782</v>
      </c>
      <c r="D92" s="42" t="s">
        <v>3783</v>
      </c>
      <c r="E92" s="36" t="s">
        <v>3784</v>
      </c>
      <c r="F92" s="291" t="s">
        <v>2283</v>
      </c>
      <c r="G92" s="36" t="s">
        <v>2284</v>
      </c>
      <c r="H92" s="36" t="s">
        <v>3620</v>
      </c>
    </row>
    <row r="93">
      <c r="A93" s="434"/>
      <c r="B93" s="394" t="s">
        <v>863</v>
      </c>
      <c r="D93" s="42" t="s">
        <v>3785</v>
      </c>
      <c r="E93" s="398" t="s">
        <v>3786</v>
      </c>
      <c r="F93" s="291" t="s">
        <v>2283</v>
      </c>
      <c r="G93" s="36" t="s">
        <v>2284</v>
      </c>
      <c r="H93" s="36" t="s">
        <v>2949</v>
      </c>
    </row>
    <row r="94">
      <c r="A94" s="434"/>
      <c r="B94" s="222" t="s">
        <v>3787</v>
      </c>
      <c r="C94" s="36"/>
      <c r="D94" s="42" t="s">
        <v>3788</v>
      </c>
      <c r="E94" s="403" t="s">
        <v>3773</v>
      </c>
      <c r="F94" s="404" t="s">
        <v>2440</v>
      </c>
      <c r="G94" s="364" t="s">
        <v>2284</v>
      </c>
      <c r="H94" s="36" t="s">
        <v>3789</v>
      </c>
    </row>
    <row r="95">
      <c r="A95" s="434"/>
      <c r="B95" s="117" t="s">
        <v>3790</v>
      </c>
      <c r="D95" s="19">
        <v>5.59186124E8</v>
      </c>
      <c r="E95" s="257" t="s">
        <v>3791</v>
      </c>
      <c r="F95" s="291" t="s">
        <v>2293</v>
      </c>
      <c r="G95" s="36" t="s">
        <v>2284</v>
      </c>
      <c r="H95" s="36" t="s">
        <v>3792</v>
      </c>
      <c r="I95" s="36" t="s">
        <v>803</v>
      </c>
    </row>
    <row r="96">
      <c r="A96" s="434"/>
      <c r="B96" s="394" t="s">
        <v>3793</v>
      </c>
      <c r="D96" s="42" t="s">
        <v>3794</v>
      </c>
      <c r="E96" s="36" t="s">
        <v>3795</v>
      </c>
      <c r="F96" s="291" t="s">
        <v>2283</v>
      </c>
      <c r="G96" s="36" t="s">
        <v>2528</v>
      </c>
      <c r="H96" s="36" t="s">
        <v>2686</v>
      </c>
    </row>
    <row r="97">
      <c r="A97" s="434"/>
      <c r="B97" s="394" t="s">
        <v>3796</v>
      </c>
      <c r="D97" s="75" t="s">
        <v>3797</v>
      </c>
      <c r="E97" s="398" t="s">
        <v>3798</v>
      </c>
      <c r="F97" s="291" t="s">
        <v>2283</v>
      </c>
      <c r="G97" s="36" t="s">
        <v>2284</v>
      </c>
      <c r="H97" s="36" t="s">
        <v>3620</v>
      </c>
    </row>
    <row r="98">
      <c r="A98" s="433">
        <v>43218.0</v>
      </c>
      <c r="D98" s="38"/>
      <c r="F98" s="329"/>
    </row>
    <row r="99">
      <c r="A99" s="434"/>
      <c r="B99" s="394" t="s">
        <v>1171</v>
      </c>
      <c r="D99" s="42" t="s">
        <v>3799</v>
      </c>
      <c r="E99" s="398" t="s">
        <v>3800</v>
      </c>
      <c r="F99" s="291" t="s">
        <v>2283</v>
      </c>
      <c r="G99" s="36" t="s">
        <v>2284</v>
      </c>
      <c r="H99" s="36" t="s">
        <v>3620</v>
      </c>
    </row>
    <row r="100">
      <c r="A100" s="434"/>
      <c r="B100" s="394" t="s">
        <v>3801</v>
      </c>
      <c r="C100" s="36"/>
      <c r="D100" s="42" t="s">
        <v>3802</v>
      </c>
      <c r="E100" s="398" t="s">
        <v>3803</v>
      </c>
      <c r="F100" s="291" t="s">
        <v>2283</v>
      </c>
      <c r="G100" s="36" t="s">
        <v>2284</v>
      </c>
      <c r="H100" s="36" t="s">
        <v>3620</v>
      </c>
    </row>
    <row r="101">
      <c r="A101" s="434"/>
      <c r="B101" s="394" t="s">
        <v>3804</v>
      </c>
      <c r="D101" s="42" t="s">
        <v>3518</v>
      </c>
      <c r="E101" s="398" t="s">
        <v>3805</v>
      </c>
      <c r="F101" s="291" t="s">
        <v>2283</v>
      </c>
      <c r="G101" s="36" t="s">
        <v>2284</v>
      </c>
      <c r="H101" s="36" t="s">
        <v>3806</v>
      </c>
      <c r="J101" s="36" t="s">
        <v>3807</v>
      </c>
    </row>
    <row r="102">
      <c r="A102" s="434"/>
      <c r="B102" s="36" t="s">
        <v>3808</v>
      </c>
      <c r="D102" s="75" t="s">
        <v>3809</v>
      </c>
      <c r="E102" s="398" t="s">
        <v>3810</v>
      </c>
      <c r="F102" s="291" t="s">
        <v>2283</v>
      </c>
      <c r="G102" s="36" t="s">
        <v>2342</v>
      </c>
      <c r="H102" s="117" t="s">
        <v>3811</v>
      </c>
    </row>
    <row r="103">
      <c r="A103" s="434"/>
      <c r="B103" s="394" t="s">
        <v>3812</v>
      </c>
      <c r="D103" s="42" t="s">
        <v>3813</v>
      </c>
      <c r="E103" s="398" t="s">
        <v>3814</v>
      </c>
      <c r="F103" s="291" t="s">
        <v>2283</v>
      </c>
      <c r="G103" s="36" t="s">
        <v>2333</v>
      </c>
      <c r="H103" s="36" t="s">
        <v>3027</v>
      </c>
    </row>
    <row r="104">
      <c r="A104" s="434"/>
      <c r="B104" s="394" t="s">
        <v>3815</v>
      </c>
      <c r="D104" s="42" t="s">
        <v>3816</v>
      </c>
      <c r="E104" s="398" t="s">
        <v>3817</v>
      </c>
      <c r="F104" s="291" t="s">
        <v>2283</v>
      </c>
      <c r="G104" s="36" t="s">
        <v>2333</v>
      </c>
      <c r="H104" s="36" t="s">
        <v>3818</v>
      </c>
    </row>
    <row r="105">
      <c r="A105" s="434"/>
      <c r="B105" s="394" t="s">
        <v>3819</v>
      </c>
      <c r="D105" s="75" t="s">
        <v>2595</v>
      </c>
      <c r="E105" s="398" t="s">
        <v>3820</v>
      </c>
      <c r="F105" s="291" t="s">
        <v>2283</v>
      </c>
      <c r="G105" s="36" t="s">
        <v>2342</v>
      </c>
      <c r="H105" s="36" t="s">
        <v>3821</v>
      </c>
    </row>
    <row r="106">
      <c r="A106" s="433">
        <v>43219.0</v>
      </c>
      <c r="D106" s="38"/>
      <c r="F106" s="329"/>
    </row>
    <row r="107">
      <c r="A107" s="434"/>
      <c r="B107" s="394" t="s">
        <v>3822</v>
      </c>
      <c r="D107" s="42" t="s">
        <v>3823</v>
      </c>
      <c r="E107" s="398" t="s">
        <v>3810</v>
      </c>
      <c r="F107" s="291" t="s">
        <v>2283</v>
      </c>
      <c r="G107" s="36" t="s">
        <v>2333</v>
      </c>
      <c r="H107" s="36" t="s">
        <v>3311</v>
      </c>
    </row>
    <row r="108">
      <c r="A108" s="433">
        <v>43220.0</v>
      </c>
      <c r="D108" s="38"/>
      <c r="F108" s="329"/>
    </row>
    <row r="109">
      <c r="A109" s="434"/>
      <c r="B109" s="437" t="s">
        <v>3824</v>
      </c>
      <c r="D109" s="75" t="s">
        <v>3825</v>
      </c>
      <c r="E109" s="398" t="s">
        <v>3826</v>
      </c>
      <c r="F109" s="291" t="s">
        <v>2283</v>
      </c>
      <c r="G109" s="36" t="s">
        <v>2342</v>
      </c>
      <c r="H109" s="362" t="s">
        <v>3249</v>
      </c>
      <c r="I109" s="36" t="s">
        <v>32</v>
      </c>
    </row>
    <row r="110">
      <c r="A110" s="434"/>
      <c r="B110" s="394" t="s">
        <v>3827</v>
      </c>
      <c r="D110" s="42" t="s">
        <v>3828</v>
      </c>
      <c r="E110" s="398" t="s">
        <v>3829</v>
      </c>
      <c r="F110" s="291" t="s">
        <v>2283</v>
      </c>
      <c r="G110" s="36" t="s">
        <v>2528</v>
      </c>
      <c r="H110" s="36" t="s">
        <v>3158</v>
      </c>
      <c r="I110" s="36" t="s">
        <v>803</v>
      </c>
    </row>
    <row r="111">
      <c r="A111" s="434"/>
      <c r="B111" s="394" t="s">
        <v>3830</v>
      </c>
      <c r="D111" s="42" t="s">
        <v>3831</v>
      </c>
      <c r="E111" s="398" t="s">
        <v>3832</v>
      </c>
      <c r="F111" s="291" t="s">
        <v>2283</v>
      </c>
      <c r="G111" s="36" t="s">
        <v>2284</v>
      </c>
      <c r="H111" s="36" t="s">
        <v>3620</v>
      </c>
      <c r="I111" s="36" t="s">
        <v>32</v>
      </c>
    </row>
    <row r="112">
      <c r="D112" s="38"/>
    </row>
    <row r="113">
      <c r="D113" s="38"/>
    </row>
    <row r="114">
      <c r="D114" s="38"/>
    </row>
    <row r="115">
      <c r="D115" s="38"/>
    </row>
    <row r="116">
      <c r="D116" s="38"/>
    </row>
    <row r="117">
      <c r="D117" s="38"/>
    </row>
    <row r="118">
      <c r="D118" s="38"/>
    </row>
    <row r="119">
      <c r="A119" s="434"/>
      <c r="D119" s="38"/>
      <c r="F119" s="329"/>
    </row>
    <row r="120">
      <c r="A120" s="434"/>
      <c r="D120" s="38"/>
      <c r="F120" s="329"/>
    </row>
    <row r="121">
      <c r="A121" s="434"/>
      <c r="D121" s="38"/>
      <c r="F121" s="329"/>
    </row>
    <row r="122">
      <c r="A122" s="434"/>
      <c r="D122" s="38"/>
      <c r="F122" s="329"/>
    </row>
    <row r="123">
      <c r="A123" s="434"/>
      <c r="D123" s="38"/>
      <c r="F123" s="329"/>
    </row>
    <row r="124">
      <c r="A124" s="434"/>
      <c r="D124" s="38"/>
      <c r="F124" s="329"/>
    </row>
    <row r="125">
      <c r="A125" s="434"/>
      <c r="D125" s="38"/>
      <c r="F125" s="329"/>
    </row>
    <row r="126">
      <c r="A126" s="434"/>
      <c r="D126" s="38"/>
      <c r="F126" s="329"/>
    </row>
    <row r="127">
      <c r="A127" s="434"/>
      <c r="D127" s="38"/>
      <c r="F127" s="329"/>
    </row>
    <row r="128">
      <c r="A128" s="434"/>
      <c r="D128" s="38"/>
      <c r="F128" s="329"/>
    </row>
    <row r="129">
      <c r="A129" s="434"/>
      <c r="D129" s="38"/>
      <c r="F129" s="329"/>
    </row>
    <row r="130">
      <c r="A130" s="434"/>
      <c r="D130" s="38"/>
      <c r="F130" s="329"/>
    </row>
    <row r="131">
      <c r="A131" s="434"/>
      <c r="D131" s="38"/>
      <c r="F131" s="329"/>
    </row>
    <row r="132">
      <c r="A132" s="434"/>
      <c r="D132" s="38"/>
      <c r="F132" s="329"/>
    </row>
    <row r="133">
      <c r="A133" s="434"/>
      <c r="D133" s="38"/>
      <c r="F133" s="329"/>
    </row>
    <row r="134">
      <c r="A134" s="434"/>
      <c r="D134" s="38"/>
      <c r="F134" s="329"/>
    </row>
    <row r="135">
      <c r="A135" s="434"/>
      <c r="D135" s="38"/>
      <c r="F135" s="329"/>
    </row>
    <row r="136">
      <c r="A136" s="434"/>
      <c r="D136" s="38"/>
      <c r="F136" s="329"/>
    </row>
    <row r="137">
      <c r="A137" s="434"/>
      <c r="D137" s="38"/>
      <c r="F137" s="329"/>
    </row>
    <row r="138">
      <c r="A138" s="434"/>
      <c r="D138" s="38"/>
      <c r="F138" s="329"/>
    </row>
    <row r="139">
      <c r="A139" s="434"/>
      <c r="D139" s="38"/>
      <c r="F139" s="329"/>
    </row>
    <row r="140">
      <c r="A140" s="434"/>
      <c r="D140" s="38"/>
      <c r="F140" s="329"/>
    </row>
    <row r="141">
      <c r="A141" s="434"/>
      <c r="D141" s="38"/>
      <c r="F141" s="329"/>
    </row>
    <row r="142">
      <c r="A142" s="434"/>
      <c r="D142" s="38"/>
      <c r="F142" s="329"/>
    </row>
    <row r="143">
      <c r="A143" s="434"/>
      <c r="D143" s="38"/>
      <c r="F143" s="329"/>
    </row>
    <row r="144">
      <c r="A144" s="434"/>
      <c r="D144" s="38"/>
      <c r="F144" s="329"/>
    </row>
    <row r="145">
      <c r="A145" s="434"/>
      <c r="D145" s="38"/>
      <c r="F145" s="329"/>
    </row>
    <row r="146">
      <c r="A146" s="434"/>
      <c r="D146" s="38"/>
      <c r="F146" s="329"/>
    </row>
    <row r="147">
      <c r="A147" s="434"/>
      <c r="D147" s="38"/>
      <c r="F147" s="329"/>
    </row>
    <row r="148">
      <c r="A148" s="434"/>
      <c r="D148" s="38"/>
      <c r="F148" s="329"/>
    </row>
    <row r="149">
      <c r="A149" s="434"/>
      <c r="D149" s="38"/>
      <c r="F149" s="329"/>
    </row>
    <row r="150">
      <c r="A150" s="434"/>
      <c r="D150" s="38"/>
      <c r="F150" s="329"/>
    </row>
    <row r="151">
      <c r="A151" s="434"/>
      <c r="D151" s="38"/>
      <c r="F151" s="329"/>
    </row>
    <row r="152">
      <c r="A152" s="434"/>
      <c r="D152" s="38"/>
      <c r="F152" s="329"/>
    </row>
    <row r="153">
      <c r="A153" s="434"/>
      <c r="D153" s="38"/>
      <c r="F153" s="329"/>
    </row>
    <row r="154">
      <c r="A154" s="434"/>
      <c r="D154" s="38"/>
      <c r="F154" s="329"/>
    </row>
    <row r="155">
      <c r="A155" s="434"/>
      <c r="D155" s="38"/>
      <c r="F155" s="329"/>
    </row>
    <row r="156">
      <c r="A156" s="434"/>
      <c r="D156" s="38"/>
      <c r="F156" s="329"/>
    </row>
    <row r="157">
      <c r="A157" s="434"/>
      <c r="D157" s="38"/>
      <c r="F157" s="329"/>
    </row>
    <row r="158">
      <c r="A158" s="434"/>
      <c r="D158" s="38"/>
      <c r="F158" s="329"/>
    </row>
    <row r="159">
      <c r="A159" s="434"/>
      <c r="D159" s="38"/>
      <c r="F159" s="329"/>
    </row>
    <row r="160">
      <c r="A160" s="434"/>
      <c r="D160" s="38"/>
      <c r="F160" s="329"/>
    </row>
    <row r="161">
      <c r="A161" s="434"/>
      <c r="D161" s="38"/>
      <c r="F161" s="329"/>
    </row>
    <row r="162">
      <c r="A162" s="434"/>
      <c r="D162" s="38"/>
      <c r="F162" s="329"/>
    </row>
    <row r="163">
      <c r="A163" s="434"/>
      <c r="D163" s="38"/>
      <c r="F163" s="329"/>
    </row>
    <row r="164">
      <c r="A164" s="434"/>
      <c r="D164" s="38"/>
      <c r="F164" s="329"/>
    </row>
    <row r="165">
      <c r="A165" s="434"/>
      <c r="D165" s="38"/>
      <c r="F165" s="329"/>
    </row>
    <row r="166">
      <c r="A166" s="434"/>
      <c r="D166" s="38"/>
      <c r="F166" s="329"/>
    </row>
    <row r="167">
      <c r="A167" s="434"/>
      <c r="D167" s="38"/>
      <c r="F167" s="329"/>
    </row>
    <row r="168">
      <c r="A168" s="434"/>
      <c r="D168" s="38"/>
      <c r="F168" s="329"/>
    </row>
    <row r="169">
      <c r="A169" s="434"/>
      <c r="D169" s="38"/>
      <c r="F169" s="329"/>
    </row>
    <row r="170">
      <c r="A170" s="434"/>
      <c r="D170" s="38"/>
      <c r="F170" s="329"/>
    </row>
    <row r="171">
      <c r="A171" s="434"/>
      <c r="D171" s="38"/>
      <c r="F171" s="329"/>
    </row>
    <row r="172">
      <c r="A172" s="434"/>
      <c r="D172" s="38"/>
      <c r="F172" s="329"/>
    </row>
    <row r="173">
      <c r="A173" s="434"/>
      <c r="D173" s="38"/>
      <c r="F173" s="329"/>
    </row>
    <row r="174">
      <c r="A174" s="434"/>
      <c r="D174" s="38"/>
      <c r="F174" s="329"/>
    </row>
    <row r="175">
      <c r="A175" s="434"/>
      <c r="D175" s="38"/>
      <c r="F175" s="329"/>
    </row>
    <row r="176">
      <c r="A176" s="434"/>
      <c r="D176" s="38"/>
      <c r="F176" s="329"/>
    </row>
    <row r="177">
      <c r="A177" s="434"/>
      <c r="D177" s="38"/>
      <c r="F177" s="329"/>
    </row>
    <row r="178">
      <c r="A178" s="434"/>
      <c r="D178" s="38"/>
      <c r="F178" s="329"/>
    </row>
    <row r="179">
      <c r="A179" s="434"/>
      <c r="D179" s="38"/>
      <c r="F179" s="329"/>
    </row>
    <row r="180">
      <c r="A180" s="434"/>
      <c r="D180" s="38"/>
      <c r="F180" s="329"/>
    </row>
    <row r="181">
      <c r="A181" s="434"/>
      <c r="D181" s="38"/>
      <c r="F181" s="329"/>
    </row>
    <row r="182">
      <c r="A182" s="434"/>
      <c r="D182" s="38"/>
      <c r="F182" s="329"/>
    </row>
    <row r="183">
      <c r="A183" s="434"/>
      <c r="D183" s="38"/>
      <c r="F183" s="329"/>
    </row>
    <row r="184">
      <c r="A184" s="434"/>
      <c r="D184" s="38"/>
      <c r="F184" s="329"/>
    </row>
    <row r="185">
      <c r="A185" s="434"/>
      <c r="D185" s="38"/>
      <c r="F185" s="329"/>
    </row>
    <row r="186">
      <c r="A186" s="434"/>
      <c r="D186" s="38"/>
      <c r="F186" s="329"/>
    </row>
    <row r="187">
      <c r="A187" s="434"/>
      <c r="D187" s="38"/>
      <c r="F187" s="329"/>
    </row>
    <row r="188">
      <c r="A188" s="434"/>
      <c r="D188" s="38"/>
      <c r="F188" s="329"/>
    </row>
    <row r="189">
      <c r="A189" s="434"/>
      <c r="D189" s="38"/>
      <c r="F189" s="329"/>
    </row>
    <row r="190">
      <c r="A190" s="434"/>
      <c r="D190" s="38"/>
      <c r="F190" s="329"/>
    </row>
    <row r="191">
      <c r="A191" s="434"/>
      <c r="D191" s="38"/>
      <c r="F191" s="329"/>
    </row>
    <row r="192">
      <c r="A192" s="434"/>
      <c r="D192" s="38"/>
      <c r="F192" s="329"/>
    </row>
    <row r="193">
      <c r="A193" s="434"/>
      <c r="D193" s="38"/>
      <c r="F193" s="329"/>
    </row>
    <row r="194">
      <c r="A194" s="434"/>
      <c r="D194" s="38"/>
      <c r="F194" s="329"/>
    </row>
    <row r="195">
      <c r="A195" s="434"/>
      <c r="D195" s="38"/>
      <c r="F195" s="329"/>
    </row>
    <row r="196">
      <c r="A196" s="434"/>
      <c r="D196" s="38"/>
      <c r="F196" s="329"/>
    </row>
    <row r="197">
      <c r="A197" s="434"/>
      <c r="D197" s="38"/>
      <c r="F197" s="329"/>
    </row>
    <row r="198">
      <c r="A198" s="434"/>
      <c r="D198" s="38"/>
      <c r="F198" s="329"/>
    </row>
    <row r="199">
      <c r="A199" s="434"/>
      <c r="D199" s="38"/>
      <c r="F199" s="329"/>
    </row>
    <row r="200">
      <c r="A200" s="434"/>
      <c r="D200" s="38"/>
      <c r="F200" s="329"/>
    </row>
    <row r="201">
      <c r="A201" s="434"/>
      <c r="D201" s="38"/>
      <c r="F201" s="329"/>
    </row>
    <row r="202">
      <c r="A202" s="434"/>
      <c r="D202" s="38"/>
      <c r="F202" s="329"/>
    </row>
    <row r="203">
      <c r="A203" s="434"/>
      <c r="D203" s="38"/>
      <c r="F203" s="329"/>
    </row>
    <row r="204">
      <c r="A204" s="434"/>
      <c r="D204" s="38"/>
      <c r="F204" s="329"/>
    </row>
    <row r="205">
      <c r="A205" s="434"/>
      <c r="D205" s="38"/>
      <c r="F205" s="329"/>
    </row>
    <row r="206">
      <c r="A206" s="434"/>
      <c r="D206" s="38"/>
      <c r="F206" s="329"/>
    </row>
    <row r="207">
      <c r="A207" s="434"/>
      <c r="D207" s="38"/>
      <c r="F207" s="329"/>
    </row>
    <row r="208">
      <c r="A208" s="434"/>
      <c r="D208" s="38"/>
      <c r="F208" s="329"/>
    </row>
    <row r="209">
      <c r="A209" s="434"/>
      <c r="D209" s="38"/>
      <c r="F209" s="329"/>
    </row>
    <row r="210">
      <c r="A210" s="434"/>
      <c r="D210" s="38"/>
      <c r="F210" s="329"/>
    </row>
    <row r="211">
      <c r="A211" s="434"/>
      <c r="D211" s="38"/>
      <c r="F211" s="329"/>
    </row>
    <row r="212">
      <c r="A212" s="434"/>
      <c r="D212" s="38"/>
      <c r="F212" s="329"/>
    </row>
    <row r="213">
      <c r="A213" s="434"/>
      <c r="D213" s="38"/>
      <c r="F213" s="329"/>
    </row>
    <row r="214">
      <c r="A214" s="434"/>
      <c r="D214" s="38"/>
      <c r="F214" s="329"/>
    </row>
    <row r="215">
      <c r="A215" s="434"/>
      <c r="D215" s="38"/>
      <c r="F215" s="329"/>
    </row>
    <row r="216">
      <c r="A216" s="434"/>
      <c r="D216" s="38"/>
      <c r="F216" s="329"/>
    </row>
    <row r="217">
      <c r="A217" s="434"/>
      <c r="D217" s="38"/>
      <c r="F217" s="329"/>
    </row>
    <row r="218">
      <c r="A218" s="434"/>
      <c r="D218" s="38"/>
      <c r="F218" s="329"/>
    </row>
    <row r="219">
      <c r="A219" s="434"/>
      <c r="D219" s="38"/>
      <c r="F219" s="329"/>
    </row>
    <row r="220">
      <c r="A220" s="434"/>
      <c r="D220" s="38"/>
      <c r="F220" s="329"/>
    </row>
    <row r="221">
      <c r="A221" s="434"/>
      <c r="D221" s="38"/>
      <c r="F221" s="329"/>
    </row>
    <row r="222">
      <c r="A222" s="434"/>
      <c r="D222" s="38"/>
      <c r="F222" s="329"/>
    </row>
    <row r="223">
      <c r="A223" s="434"/>
      <c r="D223" s="38"/>
      <c r="F223" s="329"/>
    </row>
    <row r="224">
      <c r="A224" s="434"/>
      <c r="D224" s="38"/>
      <c r="F224" s="329"/>
    </row>
    <row r="225">
      <c r="A225" s="434"/>
      <c r="D225" s="38"/>
      <c r="F225" s="329"/>
    </row>
    <row r="226">
      <c r="A226" s="434"/>
      <c r="D226" s="38"/>
      <c r="F226" s="329"/>
    </row>
    <row r="227">
      <c r="A227" s="434"/>
      <c r="D227" s="38"/>
      <c r="F227" s="329"/>
    </row>
    <row r="228">
      <c r="A228" s="434"/>
      <c r="D228" s="38"/>
      <c r="F228" s="329"/>
    </row>
    <row r="229">
      <c r="A229" s="434"/>
      <c r="D229" s="38"/>
      <c r="F229" s="329"/>
    </row>
    <row r="230">
      <c r="A230" s="434"/>
      <c r="D230" s="38"/>
      <c r="F230" s="329"/>
    </row>
    <row r="231">
      <c r="A231" s="434"/>
      <c r="D231" s="38"/>
      <c r="F231" s="329"/>
    </row>
    <row r="232">
      <c r="A232" s="434"/>
      <c r="D232" s="38"/>
      <c r="F232" s="329"/>
    </row>
    <row r="233">
      <c r="A233" s="434"/>
      <c r="D233" s="38"/>
      <c r="F233" s="329"/>
    </row>
    <row r="234">
      <c r="A234" s="434"/>
      <c r="D234" s="38"/>
      <c r="F234" s="329"/>
    </row>
    <row r="235">
      <c r="A235" s="434"/>
      <c r="D235" s="38"/>
      <c r="F235" s="329"/>
    </row>
    <row r="236">
      <c r="A236" s="434"/>
      <c r="D236" s="38"/>
      <c r="F236" s="329"/>
    </row>
    <row r="237">
      <c r="A237" s="434"/>
      <c r="D237" s="38"/>
      <c r="F237" s="329"/>
    </row>
    <row r="238">
      <c r="A238" s="434"/>
      <c r="D238" s="38"/>
      <c r="F238" s="329"/>
    </row>
    <row r="239">
      <c r="A239" s="434"/>
      <c r="D239" s="38"/>
      <c r="F239" s="329"/>
    </row>
    <row r="240">
      <c r="A240" s="434"/>
      <c r="D240" s="38"/>
      <c r="F240" s="329"/>
    </row>
    <row r="241">
      <c r="A241" s="434"/>
      <c r="D241" s="38"/>
      <c r="F241" s="329"/>
    </row>
    <row r="242">
      <c r="A242" s="434"/>
      <c r="D242" s="38"/>
      <c r="F242" s="329"/>
    </row>
    <row r="243">
      <c r="A243" s="434"/>
      <c r="D243" s="38"/>
      <c r="F243" s="329"/>
    </row>
    <row r="244">
      <c r="A244" s="434"/>
      <c r="D244" s="38"/>
      <c r="F244" s="329"/>
    </row>
    <row r="245">
      <c r="A245" s="434"/>
      <c r="D245" s="38"/>
      <c r="F245" s="329"/>
    </row>
    <row r="246">
      <c r="A246" s="434"/>
      <c r="D246" s="38"/>
      <c r="F246" s="329"/>
    </row>
    <row r="247">
      <c r="A247" s="434"/>
      <c r="D247" s="38"/>
      <c r="F247" s="329"/>
    </row>
    <row r="248">
      <c r="A248" s="434"/>
      <c r="D248" s="38"/>
      <c r="F248" s="329"/>
    </row>
    <row r="249">
      <c r="A249" s="434"/>
      <c r="D249" s="38"/>
      <c r="F249" s="329"/>
    </row>
    <row r="250">
      <c r="A250" s="434"/>
      <c r="D250" s="38"/>
      <c r="F250" s="329"/>
    </row>
    <row r="251">
      <c r="A251" s="434"/>
      <c r="D251" s="38"/>
      <c r="F251" s="329"/>
    </row>
    <row r="252">
      <c r="A252" s="434"/>
      <c r="D252" s="38"/>
      <c r="F252" s="329"/>
    </row>
    <row r="253">
      <c r="A253" s="434"/>
      <c r="D253" s="38"/>
      <c r="F253" s="329"/>
    </row>
    <row r="254">
      <c r="A254" s="434"/>
      <c r="D254" s="38"/>
      <c r="F254" s="329"/>
    </row>
    <row r="255">
      <c r="A255" s="434"/>
      <c r="D255" s="38"/>
      <c r="F255" s="329"/>
    </row>
    <row r="256">
      <c r="A256" s="434"/>
      <c r="D256" s="38"/>
      <c r="F256" s="329"/>
    </row>
    <row r="257">
      <c r="A257" s="434"/>
      <c r="D257" s="38"/>
      <c r="F257" s="329"/>
    </row>
    <row r="258">
      <c r="A258" s="434"/>
      <c r="D258" s="38"/>
      <c r="F258" s="329"/>
    </row>
    <row r="259">
      <c r="A259" s="434"/>
      <c r="D259" s="38"/>
      <c r="F259" s="329"/>
    </row>
    <row r="260">
      <c r="A260" s="434"/>
      <c r="D260" s="38"/>
      <c r="F260" s="329"/>
    </row>
    <row r="261">
      <c r="A261" s="434"/>
      <c r="D261" s="38"/>
      <c r="F261" s="329"/>
    </row>
    <row r="262">
      <c r="A262" s="434"/>
      <c r="D262" s="38"/>
      <c r="F262" s="329"/>
    </row>
    <row r="263">
      <c r="A263" s="434"/>
      <c r="D263" s="38"/>
      <c r="F263" s="329"/>
    </row>
    <row r="264">
      <c r="A264" s="434"/>
      <c r="D264" s="38"/>
      <c r="F264" s="329"/>
    </row>
    <row r="265">
      <c r="A265" s="434"/>
      <c r="D265" s="38"/>
      <c r="F265" s="329"/>
    </row>
    <row r="266">
      <c r="A266" s="434"/>
      <c r="D266" s="38"/>
      <c r="F266" s="329"/>
    </row>
    <row r="267">
      <c r="A267" s="434"/>
      <c r="D267" s="38"/>
      <c r="F267" s="329"/>
    </row>
    <row r="268">
      <c r="A268" s="434"/>
      <c r="D268" s="38"/>
      <c r="F268" s="329"/>
    </row>
    <row r="269">
      <c r="A269" s="434"/>
      <c r="D269" s="38"/>
      <c r="F269" s="329"/>
    </row>
    <row r="270">
      <c r="A270" s="434"/>
      <c r="D270" s="38"/>
      <c r="F270" s="329"/>
    </row>
    <row r="271">
      <c r="A271" s="434"/>
      <c r="D271" s="38"/>
      <c r="F271" s="329"/>
    </row>
    <row r="272">
      <c r="A272" s="434"/>
      <c r="D272" s="38"/>
      <c r="F272" s="329"/>
    </row>
    <row r="273">
      <c r="A273" s="434"/>
      <c r="D273" s="38"/>
      <c r="F273" s="329"/>
    </row>
    <row r="274">
      <c r="A274" s="434"/>
      <c r="D274" s="38"/>
      <c r="F274" s="329"/>
    </row>
    <row r="275">
      <c r="A275" s="434"/>
      <c r="D275" s="38"/>
      <c r="F275" s="329"/>
    </row>
    <row r="276">
      <c r="A276" s="434"/>
      <c r="D276" s="38"/>
      <c r="F276" s="329"/>
    </row>
    <row r="277">
      <c r="A277" s="434"/>
      <c r="D277" s="38"/>
      <c r="F277" s="329"/>
    </row>
    <row r="278">
      <c r="A278" s="434"/>
      <c r="D278" s="38"/>
      <c r="F278" s="329"/>
    </row>
    <row r="279">
      <c r="A279" s="434"/>
      <c r="D279" s="38"/>
      <c r="F279" s="329"/>
    </row>
    <row r="280">
      <c r="A280" s="434"/>
      <c r="D280" s="38"/>
      <c r="F280" s="329"/>
    </row>
    <row r="281">
      <c r="A281" s="434"/>
      <c r="D281" s="38"/>
      <c r="F281" s="329"/>
    </row>
    <row r="282">
      <c r="A282" s="434"/>
      <c r="D282" s="38"/>
      <c r="F282" s="329"/>
    </row>
    <row r="283">
      <c r="A283" s="434"/>
      <c r="D283" s="38"/>
      <c r="F283" s="329"/>
    </row>
    <row r="284">
      <c r="A284" s="434"/>
      <c r="D284" s="38"/>
      <c r="F284" s="329"/>
    </row>
    <row r="285">
      <c r="A285" s="434"/>
      <c r="D285" s="38"/>
      <c r="F285" s="329"/>
    </row>
    <row r="286">
      <c r="A286" s="434"/>
      <c r="D286" s="38"/>
      <c r="F286" s="329"/>
    </row>
    <row r="287">
      <c r="A287" s="434"/>
      <c r="D287" s="38"/>
      <c r="F287" s="329"/>
    </row>
    <row r="288">
      <c r="A288" s="434"/>
      <c r="D288" s="38"/>
      <c r="F288" s="329"/>
    </row>
    <row r="289">
      <c r="A289" s="434"/>
      <c r="D289" s="38"/>
      <c r="F289" s="329"/>
    </row>
    <row r="290">
      <c r="A290" s="434"/>
      <c r="D290" s="38"/>
      <c r="F290" s="329"/>
    </row>
    <row r="291">
      <c r="A291" s="434"/>
      <c r="D291" s="38"/>
      <c r="F291" s="329"/>
    </row>
    <row r="292">
      <c r="A292" s="434"/>
      <c r="D292" s="38"/>
      <c r="F292" s="329"/>
    </row>
    <row r="293">
      <c r="A293" s="434"/>
      <c r="D293" s="38"/>
      <c r="F293" s="329"/>
    </row>
    <row r="294">
      <c r="A294" s="434"/>
      <c r="D294" s="38"/>
      <c r="F294" s="329"/>
    </row>
    <row r="295">
      <c r="A295" s="434"/>
      <c r="D295" s="38"/>
      <c r="F295" s="329"/>
    </row>
    <row r="296">
      <c r="A296" s="434"/>
      <c r="D296" s="38"/>
      <c r="F296" s="329"/>
    </row>
    <row r="297">
      <c r="A297" s="434"/>
      <c r="D297" s="38"/>
      <c r="F297" s="329"/>
    </row>
    <row r="298">
      <c r="A298" s="434"/>
      <c r="D298" s="38"/>
      <c r="F298" s="329"/>
    </row>
    <row r="299">
      <c r="A299" s="434"/>
      <c r="D299" s="38"/>
      <c r="F299" s="329"/>
    </row>
    <row r="300">
      <c r="A300" s="434"/>
      <c r="D300" s="38"/>
      <c r="F300" s="329"/>
    </row>
    <row r="301">
      <c r="A301" s="434"/>
      <c r="D301" s="38"/>
      <c r="F301" s="329"/>
    </row>
    <row r="302">
      <c r="A302" s="434"/>
      <c r="D302" s="38"/>
      <c r="F302" s="329"/>
    </row>
    <row r="303">
      <c r="A303" s="434"/>
      <c r="D303" s="38"/>
      <c r="F303" s="329"/>
    </row>
    <row r="304">
      <c r="A304" s="434"/>
      <c r="D304" s="38"/>
      <c r="F304" s="329"/>
    </row>
    <row r="305">
      <c r="A305" s="434"/>
      <c r="D305" s="38"/>
      <c r="F305" s="329"/>
    </row>
    <row r="306">
      <c r="A306" s="434"/>
      <c r="D306" s="38"/>
      <c r="F306" s="329"/>
    </row>
    <row r="307">
      <c r="A307" s="434"/>
      <c r="D307" s="38"/>
      <c r="F307" s="329"/>
    </row>
    <row r="308">
      <c r="A308" s="434"/>
      <c r="D308" s="38"/>
      <c r="F308" s="329"/>
    </row>
    <row r="309">
      <c r="A309" s="434"/>
      <c r="D309" s="38"/>
      <c r="F309" s="329"/>
    </row>
    <row r="310">
      <c r="A310" s="434"/>
      <c r="D310" s="38"/>
      <c r="F310" s="329"/>
    </row>
    <row r="311">
      <c r="A311" s="434"/>
      <c r="D311" s="38"/>
      <c r="F311" s="329"/>
    </row>
    <row r="312">
      <c r="A312" s="434"/>
      <c r="D312" s="38"/>
      <c r="F312" s="329"/>
    </row>
    <row r="313">
      <c r="A313" s="434"/>
      <c r="D313" s="38"/>
      <c r="F313" s="329"/>
    </row>
    <row r="314">
      <c r="A314" s="434"/>
      <c r="D314" s="38"/>
      <c r="F314" s="329"/>
    </row>
    <row r="315">
      <c r="A315" s="434"/>
      <c r="D315" s="38"/>
      <c r="F315" s="329"/>
    </row>
    <row r="316">
      <c r="A316" s="434"/>
      <c r="D316" s="38"/>
      <c r="F316" s="329"/>
    </row>
    <row r="317">
      <c r="A317" s="434"/>
      <c r="D317" s="38"/>
      <c r="F317" s="329"/>
    </row>
    <row r="318">
      <c r="A318" s="434"/>
      <c r="D318" s="38"/>
      <c r="F318" s="329"/>
    </row>
    <row r="319">
      <c r="A319" s="434"/>
      <c r="D319" s="38"/>
      <c r="F319" s="329"/>
    </row>
    <row r="320">
      <c r="A320" s="434"/>
      <c r="D320" s="38"/>
      <c r="F320" s="329"/>
    </row>
    <row r="321">
      <c r="A321" s="434"/>
      <c r="D321" s="38"/>
      <c r="F321" s="329"/>
    </row>
    <row r="322">
      <c r="A322" s="434"/>
      <c r="D322" s="38"/>
      <c r="F322" s="329"/>
    </row>
    <row r="323">
      <c r="A323" s="434"/>
      <c r="D323" s="38"/>
      <c r="F323" s="329"/>
    </row>
    <row r="324">
      <c r="A324" s="434"/>
      <c r="D324" s="38"/>
      <c r="F324" s="329"/>
    </row>
    <row r="325">
      <c r="A325" s="434"/>
      <c r="D325" s="38"/>
      <c r="F325" s="329"/>
    </row>
    <row r="326">
      <c r="A326" s="434"/>
      <c r="D326" s="38"/>
      <c r="F326" s="329"/>
    </row>
    <row r="327">
      <c r="A327" s="434"/>
      <c r="D327" s="38"/>
      <c r="F327" s="329"/>
    </row>
    <row r="328">
      <c r="A328" s="434"/>
      <c r="D328" s="38"/>
      <c r="F328" s="329"/>
    </row>
    <row r="329">
      <c r="A329" s="434"/>
      <c r="D329" s="38"/>
      <c r="F329" s="329"/>
    </row>
    <row r="330">
      <c r="A330" s="434"/>
      <c r="D330" s="38"/>
      <c r="F330" s="329"/>
    </row>
    <row r="331">
      <c r="A331" s="434"/>
      <c r="D331" s="38"/>
      <c r="F331" s="329"/>
    </row>
    <row r="332">
      <c r="A332" s="434"/>
      <c r="D332" s="38"/>
      <c r="F332" s="329"/>
    </row>
    <row r="333">
      <c r="A333" s="434"/>
      <c r="D333" s="38"/>
      <c r="F333" s="329"/>
    </row>
    <row r="334">
      <c r="A334" s="434"/>
      <c r="D334" s="38"/>
      <c r="F334" s="329"/>
    </row>
    <row r="335">
      <c r="A335" s="434"/>
      <c r="D335" s="38"/>
      <c r="F335" s="329"/>
    </row>
    <row r="336">
      <c r="A336" s="434"/>
      <c r="D336" s="38"/>
      <c r="F336" s="329"/>
    </row>
    <row r="337">
      <c r="A337" s="434"/>
      <c r="D337" s="38"/>
      <c r="F337" s="329"/>
    </row>
    <row r="338">
      <c r="A338" s="434"/>
      <c r="D338" s="38"/>
      <c r="F338" s="329"/>
    </row>
    <row r="339">
      <c r="A339" s="434"/>
      <c r="D339" s="38"/>
      <c r="F339" s="329"/>
    </row>
    <row r="340">
      <c r="A340" s="434"/>
      <c r="D340" s="38"/>
      <c r="F340" s="329"/>
    </row>
    <row r="341">
      <c r="A341" s="434"/>
      <c r="D341" s="38"/>
      <c r="F341" s="329"/>
    </row>
    <row r="342">
      <c r="A342" s="434"/>
      <c r="D342" s="38"/>
      <c r="F342" s="329"/>
    </row>
    <row r="343">
      <c r="A343" s="434"/>
      <c r="D343" s="38"/>
      <c r="F343" s="329"/>
    </row>
    <row r="344">
      <c r="A344" s="434"/>
      <c r="D344" s="38"/>
      <c r="F344" s="329"/>
    </row>
    <row r="345">
      <c r="A345" s="434"/>
      <c r="D345" s="38"/>
      <c r="F345" s="329"/>
    </row>
    <row r="346">
      <c r="A346" s="434"/>
      <c r="D346" s="38"/>
      <c r="F346" s="329"/>
    </row>
    <row r="347">
      <c r="A347" s="434"/>
      <c r="D347" s="38"/>
      <c r="F347" s="329"/>
    </row>
    <row r="348">
      <c r="A348" s="434"/>
      <c r="D348" s="38"/>
      <c r="F348" s="329"/>
    </row>
    <row r="349">
      <c r="A349" s="434"/>
      <c r="D349" s="38"/>
      <c r="F349" s="329"/>
    </row>
    <row r="350">
      <c r="A350" s="434"/>
      <c r="D350" s="38"/>
      <c r="F350" s="329"/>
    </row>
    <row r="351">
      <c r="A351" s="434"/>
      <c r="D351" s="38"/>
      <c r="F351" s="329"/>
    </row>
    <row r="352">
      <c r="A352" s="434"/>
      <c r="D352" s="38"/>
      <c r="F352" s="329"/>
    </row>
    <row r="353">
      <c r="A353" s="434"/>
      <c r="D353" s="38"/>
      <c r="F353" s="329"/>
    </row>
    <row r="354">
      <c r="A354" s="434"/>
      <c r="D354" s="38"/>
      <c r="F354" s="329"/>
    </row>
    <row r="355">
      <c r="A355" s="434"/>
      <c r="D355" s="38"/>
      <c r="F355" s="329"/>
    </row>
    <row r="356">
      <c r="A356" s="434"/>
      <c r="D356" s="38"/>
      <c r="F356" s="329"/>
    </row>
    <row r="357">
      <c r="A357" s="434"/>
      <c r="D357" s="38"/>
      <c r="F357" s="329"/>
    </row>
    <row r="358">
      <c r="A358" s="434"/>
      <c r="D358" s="38"/>
      <c r="F358" s="329"/>
    </row>
    <row r="359">
      <c r="A359" s="434"/>
      <c r="D359" s="38"/>
      <c r="F359" s="329"/>
    </row>
    <row r="360">
      <c r="A360" s="434"/>
      <c r="D360" s="38"/>
      <c r="F360" s="329"/>
    </row>
    <row r="361">
      <c r="A361" s="434"/>
      <c r="D361" s="38"/>
      <c r="F361" s="329"/>
    </row>
    <row r="362">
      <c r="A362" s="434"/>
      <c r="D362" s="38"/>
      <c r="F362" s="329"/>
    </row>
    <row r="363">
      <c r="A363" s="434"/>
      <c r="D363" s="38"/>
      <c r="F363" s="329"/>
    </row>
    <row r="364">
      <c r="A364" s="434"/>
      <c r="D364" s="38"/>
      <c r="F364" s="329"/>
    </row>
    <row r="365">
      <c r="A365" s="434"/>
      <c r="D365" s="38"/>
      <c r="F365" s="329"/>
    </row>
    <row r="366">
      <c r="A366" s="434"/>
      <c r="D366" s="38"/>
      <c r="F366" s="329"/>
    </row>
    <row r="367">
      <c r="A367" s="434"/>
      <c r="D367" s="38"/>
      <c r="F367" s="329"/>
    </row>
    <row r="368">
      <c r="A368" s="434"/>
      <c r="D368" s="38"/>
      <c r="F368" s="329"/>
    </row>
    <row r="369">
      <c r="A369" s="434"/>
      <c r="D369" s="38"/>
      <c r="F369" s="329"/>
    </row>
    <row r="370">
      <c r="A370" s="434"/>
      <c r="D370" s="38"/>
      <c r="F370" s="329"/>
    </row>
    <row r="371">
      <c r="A371" s="434"/>
      <c r="D371" s="38"/>
      <c r="F371" s="329"/>
    </row>
    <row r="372">
      <c r="A372" s="434"/>
      <c r="D372" s="38"/>
      <c r="F372" s="329"/>
    </row>
    <row r="373">
      <c r="A373" s="434"/>
      <c r="D373" s="38"/>
      <c r="F373" s="329"/>
    </row>
    <row r="374">
      <c r="A374" s="434"/>
      <c r="D374" s="38"/>
      <c r="F374" s="329"/>
    </row>
    <row r="375">
      <c r="A375" s="434"/>
      <c r="D375" s="38"/>
      <c r="F375" s="329"/>
    </row>
    <row r="376">
      <c r="A376" s="434"/>
      <c r="D376" s="38"/>
      <c r="F376" s="329"/>
    </row>
    <row r="377">
      <c r="A377" s="434"/>
      <c r="D377" s="38"/>
      <c r="F377" s="329"/>
    </row>
    <row r="378">
      <c r="A378" s="434"/>
      <c r="D378" s="38"/>
      <c r="F378" s="329"/>
    </row>
    <row r="379">
      <c r="A379" s="434"/>
      <c r="D379" s="38"/>
      <c r="F379" s="329"/>
    </row>
    <row r="380">
      <c r="A380" s="434"/>
      <c r="D380" s="38"/>
      <c r="F380" s="329"/>
    </row>
    <row r="381">
      <c r="A381" s="434"/>
      <c r="D381" s="38"/>
      <c r="F381" s="329"/>
    </row>
    <row r="382">
      <c r="A382" s="434"/>
      <c r="D382" s="38"/>
      <c r="F382" s="329"/>
    </row>
    <row r="383">
      <c r="A383" s="434"/>
      <c r="D383" s="38"/>
      <c r="F383" s="329"/>
    </row>
    <row r="384">
      <c r="A384" s="434"/>
      <c r="D384" s="38"/>
      <c r="F384" s="329"/>
    </row>
    <row r="385">
      <c r="A385" s="434"/>
      <c r="D385" s="38"/>
      <c r="F385" s="329"/>
    </row>
    <row r="386">
      <c r="A386" s="434"/>
      <c r="D386" s="38"/>
      <c r="F386" s="329"/>
    </row>
    <row r="387">
      <c r="A387" s="434"/>
      <c r="D387" s="38"/>
      <c r="F387" s="329"/>
    </row>
    <row r="388">
      <c r="A388" s="434"/>
      <c r="D388" s="38"/>
      <c r="F388" s="329"/>
    </row>
    <row r="389">
      <c r="A389" s="434"/>
      <c r="D389" s="38"/>
      <c r="F389" s="329"/>
    </row>
    <row r="390">
      <c r="A390" s="434"/>
      <c r="D390" s="38"/>
      <c r="F390" s="329"/>
    </row>
    <row r="391">
      <c r="A391" s="434"/>
      <c r="D391" s="38"/>
      <c r="F391" s="329"/>
    </row>
    <row r="392">
      <c r="A392" s="434"/>
      <c r="D392" s="38"/>
      <c r="F392" s="329"/>
    </row>
    <row r="393">
      <c r="A393" s="434"/>
      <c r="D393" s="38"/>
      <c r="F393" s="329"/>
    </row>
    <row r="394">
      <c r="A394" s="434"/>
      <c r="D394" s="38"/>
      <c r="F394" s="329"/>
    </row>
    <row r="395">
      <c r="A395" s="434"/>
      <c r="D395" s="38"/>
      <c r="F395" s="329"/>
    </row>
    <row r="396">
      <c r="A396" s="434"/>
      <c r="D396" s="38"/>
      <c r="F396" s="329"/>
    </row>
    <row r="397">
      <c r="A397" s="434"/>
      <c r="D397" s="38"/>
      <c r="F397" s="329"/>
    </row>
    <row r="398">
      <c r="A398" s="434"/>
      <c r="D398" s="38"/>
      <c r="F398" s="329"/>
    </row>
    <row r="399">
      <c r="A399" s="434"/>
      <c r="D399" s="38"/>
      <c r="F399" s="329"/>
    </row>
    <row r="400">
      <c r="A400" s="434"/>
      <c r="D400" s="38"/>
      <c r="F400" s="329"/>
    </row>
    <row r="401">
      <c r="A401" s="434"/>
      <c r="D401" s="38"/>
      <c r="F401" s="329"/>
    </row>
    <row r="402">
      <c r="A402" s="434"/>
      <c r="D402" s="38"/>
      <c r="F402" s="329"/>
    </row>
    <row r="403">
      <c r="A403" s="434"/>
      <c r="D403" s="38"/>
      <c r="F403" s="329"/>
    </row>
    <row r="404">
      <c r="A404" s="434"/>
      <c r="D404" s="38"/>
      <c r="F404" s="329"/>
    </row>
    <row r="405">
      <c r="A405" s="434"/>
      <c r="D405" s="38"/>
      <c r="F405" s="329"/>
    </row>
    <row r="406">
      <c r="A406" s="434"/>
      <c r="D406" s="38"/>
      <c r="F406" s="329"/>
    </row>
    <row r="407">
      <c r="A407" s="434"/>
      <c r="D407" s="38"/>
      <c r="F407" s="329"/>
    </row>
    <row r="408">
      <c r="A408" s="434"/>
      <c r="D408" s="38"/>
      <c r="F408" s="329"/>
    </row>
    <row r="409">
      <c r="A409" s="434"/>
      <c r="D409" s="38"/>
      <c r="F409" s="329"/>
    </row>
    <row r="410">
      <c r="A410" s="434"/>
      <c r="D410" s="38"/>
      <c r="F410" s="329"/>
    </row>
    <row r="411">
      <c r="A411" s="434"/>
      <c r="D411" s="38"/>
      <c r="F411" s="329"/>
    </row>
    <row r="412">
      <c r="A412" s="434"/>
      <c r="D412" s="38"/>
      <c r="F412" s="329"/>
    </row>
    <row r="413">
      <c r="A413" s="434"/>
      <c r="D413" s="38"/>
      <c r="F413" s="329"/>
    </row>
    <row r="414">
      <c r="A414" s="434"/>
      <c r="D414" s="38"/>
      <c r="F414" s="329"/>
    </row>
    <row r="415">
      <c r="A415" s="434"/>
      <c r="D415" s="38"/>
      <c r="F415" s="329"/>
    </row>
    <row r="416">
      <c r="A416" s="434"/>
      <c r="D416" s="38"/>
      <c r="F416" s="329"/>
    </row>
    <row r="417">
      <c r="A417" s="434"/>
      <c r="D417" s="38"/>
      <c r="F417" s="329"/>
    </row>
    <row r="418">
      <c r="A418" s="434"/>
      <c r="D418" s="38"/>
      <c r="F418" s="329"/>
    </row>
    <row r="419">
      <c r="A419" s="434"/>
      <c r="D419" s="38"/>
      <c r="F419" s="329"/>
    </row>
    <row r="420">
      <c r="A420" s="434"/>
      <c r="D420" s="38"/>
      <c r="F420" s="329"/>
    </row>
    <row r="421">
      <c r="A421" s="434"/>
      <c r="D421" s="38"/>
      <c r="F421" s="329"/>
    </row>
    <row r="422">
      <c r="A422" s="434"/>
      <c r="D422" s="38"/>
      <c r="F422" s="329"/>
    </row>
    <row r="423">
      <c r="A423" s="434"/>
      <c r="D423" s="38"/>
      <c r="F423" s="329"/>
    </row>
    <row r="424">
      <c r="A424" s="434"/>
      <c r="D424" s="38"/>
      <c r="F424" s="329"/>
    </row>
    <row r="425">
      <c r="A425" s="434"/>
      <c r="D425" s="38"/>
      <c r="F425" s="329"/>
    </row>
    <row r="426">
      <c r="A426" s="434"/>
      <c r="D426" s="38"/>
      <c r="F426" s="329"/>
    </row>
    <row r="427">
      <c r="A427" s="434"/>
      <c r="D427" s="38"/>
      <c r="F427" s="329"/>
    </row>
    <row r="428">
      <c r="A428" s="434"/>
      <c r="D428" s="38"/>
      <c r="F428" s="329"/>
    </row>
    <row r="429">
      <c r="A429" s="434"/>
      <c r="D429" s="38"/>
      <c r="F429" s="329"/>
    </row>
    <row r="430">
      <c r="A430" s="434"/>
      <c r="D430" s="38"/>
      <c r="F430" s="329"/>
    </row>
    <row r="431">
      <c r="A431" s="434"/>
      <c r="D431" s="38"/>
      <c r="F431" s="329"/>
    </row>
    <row r="432">
      <c r="A432" s="434"/>
      <c r="D432" s="38"/>
      <c r="F432" s="329"/>
    </row>
    <row r="433">
      <c r="A433" s="434"/>
      <c r="D433" s="38"/>
      <c r="F433" s="329"/>
    </row>
    <row r="434">
      <c r="A434" s="434"/>
      <c r="D434" s="38"/>
      <c r="F434" s="329"/>
    </row>
    <row r="435">
      <c r="A435" s="434"/>
      <c r="D435" s="38"/>
      <c r="F435" s="329"/>
    </row>
    <row r="436">
      <c r="A436" s="434"/>
      <c r="D436" s="38"/>
      <c r="F436" s="329"/>
    </row>
    <row r="437">
      <c r="A437" s="434"/>
      <c r="D437" s="38"/>
      <c r="F437" s="329"/>
    </row>
    <row r="438">
      <c r="A438" s="434"/>
      <c r="D438" s="38"/>
      <c r="F438" s="329"/>
    </row>
    <row r="439">
      <c r="A439" s="434"/>
      <c r="D439" s="38"/>
      <c r="F439" s="329"/>
    </row>
    <row r="440">
      <c r="A440" s="434"/>
      <c r="D440" s="38"/>
      <c r="F440" s="329"/>
    </row>
    <row r="441">
      <c r="A441" s="434"/>
      <c r="D441" s="38"/>
      <c r="F441" s="329"/>
    </row>
    <row r="442">
      <c r="A442" s="434"/>
      <c r="D442" s="38"/>
      <c r="F442" s="329"/>
    </row>
    <row r="443">
      <c r="A443" s="434"/>
      <c r="D443" s="38"/>
      <c r="F443" s="329"/>
    </row>
    <row r="444">
      <c r="A444" s="434"/>
      <c r="D444" s="38"/>
      <c r="F444" s="329"/>
    </row>
    <row r="445">
      <c r="A445" s="434"/>
      <c r="D445" s="38"/>
      <c r="F445" s="329"/>
    </row>
    <row r="446">
      <c r="A446" s="434"/>
      <c r="D446" s="38"/>
      <c r="F446" s="329"/>
    </row>
    <row r="447">
      <c r="A447" s="434"/>
      <c r="D447" s="38"/>
      <c r="F447" s="329"/>
    </row>
    <row r="448">
      <c r="A448" s="434"/>
      <c r="D448" s="38"/>
      <c r="F448" s="329"/>
    </row>
    <row r="449">
      <c r="A449" s="434"/>
      <c r="D449" s="38"/>
      <c r="F449" s="329"/>
    </row>
    <row r="450">
      <c r="A450" s="434"/>
      <c r="D450" s="38"/>
      <c r="F450" s="329"/>
    </row>
    <row r="451">
      <c r="A451" s="434"/>
      <c r="D451" s="38"/>
      <c r="F451" s="329"/>
    </row>
    <row r="452">
      <c r="A452" s="434"/>
      <c r="D452" s="38"/>
      <c r="F452" s="329"/>
    </row>
    <row r="453">
      <c r="A453" s="434"/>
      <c r="D453" s="38"/>
      <c r="F453" s="329"/>
    </row>
    <row r="454">
      <c r="A454" s="434"/>
      <c r="D454" s="38"/>
      <c r="F454" s="329"/>
    </row>
    <row r="455">
      <c r="A455" s="434"/>
      <c r="D455" s="38"/>
      <c r="F455" s="329"/>
    </row>
    <row r="456">
      <c r="A456" s="434"/>
      <c r="D456" s="38"/>
      <c r="F456" s="329"/>
    </row>
    <row r="457">
      <c r="A457" s="434"/>
      <c r="D457" s="38"/>
      <c r="F457" s="329"/>
    </row>
    <row r="458">
      <c r="A458" s="434"/>
      <c r="D458" s="38"/>
      <c r="F458" s="329"/>
    </row>
    <row r="459">
      <c r="A459" s="434"/>
      <c r="D459" s="38"/>
      <c r="F459" s="329"/>
    </row>
    <row r="460">
      <c r="A460" s="434"/>
      <c r="D460" s="38"/>
      <c r="F460" s="329"/>
    </row>
    <row r="461">
      <c r="A461" s="434"/>
      <c r="D461" s="38"/>
      <c r="F461" s="329"/>
    </row>
    <row r="462">
      <c r="A462" s="434"/>
      <c r="D462" s="38"/>
      <c r="F462" s="329"/>
    </row>
    <row r="463">
      <c r="A463" s="434"/>
      <c r="D463" s="38"/>
      <c r="F463" s="329"/>
    </row>
    <row r="464">
      <c r="A464" s="434"/>
      <c r="D464" s="38"/>
      <c r="F464" s="329"/>
    </row>
    <row r="465">
      <c r="A465" s="434"/>
      <c r="D465" s="38"/>
      <c r="F465" s="329"/>
    </row>
    <row r="466">
      <c r="A466" s="434"/>
      <c r="D466" s="38"/>
      <c r="F466" s="329"/>
    </row>
    <row r="467">
      <c r="A467" s="434"/>
      <c r="D467" s="38"/>
      <c r="F467" s="329"/>
    </row>
    <row r="468">
      <c r="A468" s="434"/>
      <c r="D468" s="38"/>
      <c r="F468" s="329"/>
    </row>
    <row r="469">
      <c r="A469" s="434"/>
      <c r="D469" s="38"/>
      <c r="F469" s="329"/>
    </row>
    <row r="470">
      <c r="A470" s="434"/>
      <c r="D470" s="38"/>
      <c r="F470" s="329"/>
    </row>
    <row r="471">
      <c r="A471" s="434"/>
      <c r="D471" s="38"/>
      <c r="F471" s="329"/>
    </row>
    <row r="472">
      <c r="A472" s="434"/>
      <c r="D472" s="38"/>
      <c r="F472" s="329"/>
    </row>
    <row r="473">
      <c r="A473" s="434"/>
      <c r="D473" s="38"/>
      <c r="F473" s="329"/>
    </row>
    <row r="474">
      <c r="A474" s="434"/>
      <c r="D474" s="38"/>
      <c r="F474" s="329"/>
    </row>
    <row r="475">
      <c r="A475" s="434"/>
      <c r="D475" s="38"/>
      <c r="F475" s="329"/>
    </row>
    <row r="476">
      <c r="A476" s="434"/>
      <c r="D476" s="38"/>
      <c r="F476" s="329"/>
    </row>
    <row r="477">
      <c r="A477" s="434"/>
      <c r="D477" s="38"/>
      <c r="F477" s="329"/>
    </row>
    <row r="478">
      <c r="A478" s="434"/>
      <c r="D478" s="38"/>
      <c r="F478" s="329"/>
    </row>
    <row r="479">
      <c r="A479" s="434"/>
      <c r="D479" s="38"/>
      <c r="F479" s="329"/>
    </row>
    <row r="480">
      <c r="A480" s="434"/>
      <c r="D480" s="38"/>
      <c r="F480" s="329"/>
    </row>
    <row r="481">
      <c r="A481" s="434"/>
      <c r="D481" s="38"/>
      <c r="F481" s="329"/>
    </row>
    <row r="482">
      <c r="A482" s="434"/>
      <c r="D482" s="38"/>
      <c r="F482" s="329"/>
    </row>
    <row r="483">
      <c r="A483" s="434"/>
      <c r="D483" s="38"/>
      <c r="F483" s="329"/>
    </row>
    <row r="484">
      <c r="A484" s="434"/>
      <c r="D484" s="38"/>
      <c r="F484" s="329"/>
    </row>
    <row r="485">
      <c r="A485" s="434"/>
      <c r="D485" s="38"/>
      <c r="F485" s="329"/>
    </row>
    <row r="486">
      <c r="A486" s="434"/>
      <c r="D486" s="38"/>
      <c r="F486" s="329"/>
    </row>
    <row r="487">
      <c r="A487" s="434"/>
      <c r="D487" s="38"/>
      <c r="F487" s="329"/>
    </row>
    <row r="488">
      <c r="A488" s="434"/>
      <c r="D488" s="38"/>
      <c r="F488" s="329"/>
    </row>
    <row r="489">
      <c r="A489" s="434"/>
      <c r="D489" s="38"/>
      <c r="F489" s="329"/>
    </row>
    <row r="490">
      <c r="A490" s="434"/>
      <c r="D490" s="38"/>
      <c r="F490" s="329"/>
    </row>
    <row r="491">
      <c r="A491" s="434"/>
      <c r="D491" s="38"/>
      <c r="F491" s="329"/>
    </row>
    <row r="492">
      <c r="A492" s="434"/>
      <c r="D492" s="38"/>
      <c r="F492" s="329"/>
    </row>
    <row r="493">
      <c r="A493" s="434"/>
      <c r="D493" s="38"/>
      <c r="F493" s="329"/>
    </row>
    <row r="494">
      <c r="A494" s="434"/>
      <c r="D494" s="38"/>
      <c r="F494" s="329"/>
    </row>
    <row r="495">
      <c r="A495" s="434"/>
      <c r="D495" s="38"/>
      <c r="F495" s="329"/>
    </row>
    <row r="496">
      <c r="A496" s="434"/>
      <c r="D496" s="38"/>
      <c r="F496" s="329"/>
    </row>
    <row r="497">
      <c r="A497" s="434"/>
      <c r="D497" s="38"/>
      <c r="F497" s="329"/>
    </row>
    <row r="498">
      <c r="A498" s="434"/>
      <c r="D498" s="38"/>
      <c r="F498" s="329"/>
    </row>
    <row r="499">
      <c r="A499" s="434"/>
      <c r="D499" s="38"/>
      <c r="F499" s="329"/>
    </row>
    <row r="500">
      <c r="A500" s="434"/>
      <c r="D500" s="38"/>
      <c r="F500" s="329"/>
    </row>
    <row r="501">
      <c r="A501" s="434"/>
      <c r="D501" s="38"/>
      <c r="F501" s="329"/>
    </row>
    <row r="502">
      <c r="A502" s="434"/>
      <c r="D502" s="38"/>
      <c r="F502" s="329"/>
    </row>
    <row r="503">
      <c r="A503" s="434"/>
      <c r="D503" s="38"/>
      <c r="F503" s="329"/>
    </row>
    <row r="504">
      <c r="A504" s="434"/>
      <c r="D504" s="38"/>
      <c r="F504" s="329"/>
    </row>
    <row r="505">
      <c r="A505" s="434"/>
      <c r="D505" s="38"/>
      <c r="F505" s="329"/>
    </row>
    <row r="506">
      <c r="A506" s="434"/>
      <c r="D506" s="38"/>
      <c r="F506" s="329"/>
    </row>
    <row r="507">
      <c r="A507" s="434"/>
      <c r="D507" s="38"/>
      <c r="F507" s="329"/>
    </row>
    <row r="508">
      <c r="A508" s="434"/>
      <c r="D508" s="38"/>
      <c r="F508" s="329"/>
    </row>
    <row r="509">
      <c r="A509" s="434"/>
      <c r="D509" s="38"/>
      <c r="F509" s="329"/>
    </row>
    <row r="510">
      <c r="A510" s="434"/>
      <c r="D510" s="38"/>
      <c r="F510" s="329"/>
    </row>
    <row r="511">
      <c r="A511" s="434"/>
      <c r="D511" s="38"/>
      <c r="F511" s="329"/>
    </row>
    <row r="512">
      <c r="A512" s="434"/>
      <c r="D512" s="38"/>
      <c r="F512" s="329"/>
    </row>
    <row r="513">
      <c r="A513" s="434"/>
      <c r="D513" s="38"/>
      <c r="F513" s="329"/>
    </row>
    <row r="514">
      <c r="A514" s="434"/>
      <c r="D514" s="38"/>
      <c r="F514" s="329"/>
    </row>
    <row r="515">
      <c r="A515" s="434"/>
      <c r="D515" s="38"/>
      <c r="F515" s="329"/>
    </row>
    <row r="516">
      <c r="A516" s="434"/>
      <c r="D516" s="38"/>
      <c r="F516" s="329"/>
    </row>
    <row r="517">
      <c r="A517" s="434"/>
      <c r="D517" s="38"/>
      <c r="F517" s="329"/>
    </row>
    <row r="518">
      <c r="A518" s="434"/>
      <c r="D518" s="38"/>
      <c r="F518" s="329"/>
    </row>
    <row r="519">
      <c r="A519" s="434"/>
      <c r="D519" s="38"/>
      <c r="F519" s="329"/>
    </row>
    <row r="520">
      <c r="A520" s="434"/>
      <c r="D520" s="38"/>
      <c r="F520" s="329"/>
    </row>
    <row r="521">
      <c r="A521" s="434"/>
      <c r="D521" s="38"/>
      <c r="F521" s="329"/>
    </row>
    <row r="522">
      <c r="A522" s="434"/>
      <c r="D522" s="38"/>
      <c r="F522" s="329"/>
    </row>
    <row r="523">
      <c r="A523" s="434"/>
      <c r="D523" s="38"/>
      <c r="F523" s="329"/>
    </row>
    <row r="524">
      <c r="A524" s="434"/>
      <c r="D524" s="38"/>
      <c r="F524" s="329"/>
    </row>
    <row r="525">
      <c r="A525" s="434"/>
      <c r="D525" s="38"/>
      <c r="F525" s="329"/>
    </row>
    <row r="526">
      <c r="A526" s="434"/>
      <c r="D526" s="38"/>
      <c r="F526" s="329"/>
    </row>
    <row r="527">
      <c r="A527" s="434"/>
      <c r="D527" s="38"/>
      <c r="F527" s="329"/>
    </row>
    <row r="528">
      <c r="A528" s="434"/>
      <c r="D528" s="38"/>
      <c r="F528" s="329"/>
    </row>
    <row r="529">
      <c r="A529" s="434"/>
      <c r="D529" s="38"/>
      <c r="F529" s="329"/>
    </row>
    <row r="530">
      <c r="A530" s="434"/>
      <c r="D530" s="38"/>
      <c r="F530" s="329"/>
    </row>
    <row r="531">
      <c r="A531" s="434"/>
      <c r="D531" s="38"/>
      <c r="F531" s="329"/>
    </row>
    <row r="532">
      <c r="A532" s="434"/>
      <c r="D532" s="38"/>
      <c r="F532" s="329"/>
    </row>
    <row r="533">
      <c r="A533" s="434"/>
      <c r="D533" s="38"/>
      <c r="F533" s="329"/>
    </row>
    <row r="534">
      <c r="A534" s="434"/>
      <c r="D534" s="38"/>
      <c r="F534" s="329"/>
    </row>
    <row r="535">
      <c r="A535" s="434"/>
      <c r="D535" s="38"/>
      <c r="F535" s="329"/>
    </row>
    <row r="536">
      <c r="A536" s="434"/>
      <c r="D536" s="38"/>
      <c r="F536" s="329"/>
    </row>
    <row r="537">
      <c r="A537" s="434"/>
      <c r="D537" s="38"/>
      <c r="F537" s="329"/>
    </row>
    <row r="538">
      <c r="A538" s="434"/>
      <c r="D538" s="38"/>
      <c r="F538" s="329"/>
    </row>
    <row r="539">
      <c r="A539" s="434"/>
      <c r="D539" s="38"/>
      <c r="F539" s="329"/>
    </row>
    <row r="540">
      <c r="A540" s="434"/>
      <c r="D540" s="38"/>
      <c r="F540" s="329"/>
    </row>
    <row r="541">
      <c r="A541" s="434"/>
      <c r="D541" s="38"/>
      <c r="F541" s="329"/>
    </row>
    <row r="542">
      <c r="A542" s="434"/>
      <c r="D542" s="38"/>
      <c r="F542" s="329"/>
    </row>
    <row r="543">
      <c r="A543" s="434"/>
      <c r="D543" s="38"/>
      <c r="F543" s="329"/>
    </row>
    <row r="544">
      <c r="A544" s="434"/>
      <c r="D544" s="38"/>
      <c r="F544" s="329"/>
    </row>
    <row r="545">
      <c r="A545" s="434"/>
      <c r="D545" s="38"/>
      <c r="F545" s="329"/>
    </row>
    <row r="546">
      <c r="A546" s="434"/>
      <c r="D546" s="38"/>
      <c r="F546" s="329"/>
    </row>
    <row r="547">
      <c r="A547" s="434"/>
      <c r="D547" s="38"/>
      <c r="F547" s="329"/>
    </row>
    <row r="548">
      <c r="A548" s="434"/>
      <c r="D548" s="38"/>
      <c r="F548" s="329"/>
    </row>
    <row r="549">
      <c r="A549" s="434"/>
      <c r="D549" s="38"/>
      <c r="F549" s="329"/>
    </row>
    <row r="550">
      <c r="A550" s="434"/>
      <c r="D550" s="38"/>
      <c r="F550" s="329"/>
    </row>
    <row r="551">
      <c r="A551" s="434"/>
      <c r="D551" s="38"/>
      <c r="F551" s="329"/>
    </row>
    <row r="552">
      <c r="A552" s="434"/>
      <c r="D552" s="38"/>
      <c r="F552" s="329"/>
    </row>
    <row r="553">
      <c r="A553" s="434"/>
      <c r="D553" s="38"/>
      <c r="F553" s="329"/>
    </row>
    <row r="554">
      <c r="A554" s="434"/>
      <c r="D554" s="38"/>
      <c r="F554" s="329"/>
    </row>
    <row r="555">
      <c r="A555" s="434"/>
      <c r="D555" s="38"/>
      <c r="F555" s="329"/>
    </row>
    <row r="556">
      <c r="A556" s="434"/>
      <c r="D556" s="38"/>
      <c r="F556" s="329"/>
    </row>
    <row r="557">
      <c r="A557" s="434"/>
      <c r="D557" s="38"/>
      <c r="F557" s="329"/>
    </row>
    <row r="558">
      <c r="A558" s="434"/>
      <c r="D558" s="38"/>
      <c r="F558" s="329"/>
    </row>
    <row r="559">
      <c r="A559" s="434"/>
      <c r="D559" s="38"/>
      <c r="F559" s="329"/>
    </row>
    <row r="560">
      <c r="A560" s="434"/>
      <c r="D560" s="38"/>
      <c r="F560" s="329"/>
    </row>
    <row r="561">
      <c r="A561" s="434"/>
      <c r="D561" s="38"/>
      <c r="F561" s="329"/>
    </row>
    <row r="562">
      <c r="A562" s="434"/>
      <c r="D562" s="38"/>
      <c r="F562" s="329"/>
    </row>
    <row r="563">
      <c r="A563" s="434"/>
      <c r="D563" s="38"/>
      <c r="F563" s="329"/>
    </row>
    <row r="564">
      <c r="A564" s="434"/>
      <c r="D564" s="38"/>
      <c r="F564" s="329"/>
    </row>
    <row r="565">
      <c r="A565" s="434"/>
      <c r="D565" s="38"/>
      <c r="F565" s="329"/>
    </row>
    <row r="566">
      <c r="A566" s="434"/>
      <c r="D566" s="38"/>
      <c r="F566" s="329"/>
    </row>
    <row r="567">
      <c r="A567" s="434"/>
      <c r="D567" s="38"/>
      <c r="F567" s="329"/>
    </row>
    <row r="568">
      <c r="A568" s="434"/>
      <c r="D568" s="38"/>
      <c r="F568" s="329"/>
    </row>
    <row r="569">
      <c r="A569" s="434"/>
      <c r="D569" s="38"/>
      <c r="F569" s="329"/>
    </row>
    <row r="570">
      <c r="A570" s="434"/>
      <c r="D570" s="38"/>
      <c r="F570" s="329"/>
    </row>
    <row r="571">
      <c r="A571" s="434"/>
      <c r="D571" s="38"/>
      <c r="F571" s="329"/>
    </row>
    <row r="572">
      <c r="A572" s="434"/>
      <c r="D572" s="38"/>
      <c r="F572" s="329"/>
    </row>
    <row r="573">
      <c r="A573" s="434"/>
      <c r="D573" s="38"/>
      <c r="F573" s="329"/>
    </row>
    <row r="574">
      <c r="A574" s="434"/>
      <c r="D574" s="38"/>
      <c r="F574" s="329"/>
    </row>
    <row r="575">
      <c r="A575" s="434"/>
      <c r="D575" s="38"/>
      <c r="F575" s="329"/>
    </row>
    <row r="576">
      <c r="A576" s="434"/>
      <c r="D576" s="38"/>
      <c r="F576" s="329"/>
    </row>
    <row r="577">
      <c r="A577" s="434"/>
      <c r="D577" s="38"/>
      <c r="F577" s="329"/>
    </row>
    <row r="578">
      <c r="A578" s="434"/>
      <c r="D578" s="38"/>
      <c r="F578" s="329"/>
    </row>
    <row r="579">
      <c r="A579" s="434"/>
      <c r="D579" s="38"/>
      <c r="F579" s="329"/>
    </row>
    <row r="580">
      <c r="A580" s="434"/>
      <c r="D580" s="38"/>
      <c r="F580" s="329"/>
    </row>
    <row r="581">
      <c r="A581" s="434"/>
      <c r="D581" s="38"/>
      <c r="F581" s="329"/>
    </row>
    <row r="582">
      <c r="A582" s="434"/>
      <c r="D582" s="38"/>
      <c r="F582" s="329"/>
    </row>
    <row r="583">
      <c r="A583" s="434"/>
      <c r="D583" s="38"/>
      <c r="F583" s="329"/>
    </row>
    <row r="584">
      <c r="A584" s="434"/>
      <c r="D584" s="38"/>
      <c r="F584" s="329"/>
    </row>
    <row r="585">
      <c r="A585" s="434"/>
      <c r="D585" s="38"/>
      <c r="F585" s="329"/>
    </row>
    <row r="586">
      <c r="A586" s="434"/>
      <c r="D586" s="38"/>
      <c r="F586" s="329"/>
    </row>
    <row r="587">
      <c r="A587" s="434"/>
      <c r="D587" s="38"/>
      <c r="F587" s="329"/>
    </row>
    <row r="588">
      <c r="A588" s="434"/>
      <c r="D588" s="38"/>
      <c r="F588" s="329"/>
    </row>
    <row r="589">
      <c r="A589" s="434"/>
      <c r="D589" s="38"/>
      <c r="F589" s="329"/>
    </row>
    <row r="590">
      <c r="A590" s="434"/>
      <c r="D590" s="38"/>
      <c r="F590" s="329"/>
    </row>
    <row r="591">
      <c r="A591" s="434"/>
      <c r="D591" s="38"/>
      <c r="F591" s="329"/>
    </row>
    <row r="592">
      <c r="A592" s="434"/>
      <c r="D592" s="38"/>
      <c r="F592" s="329"/>
    </row>
    <row r="593">
      <c r="A593" s="434"/>
      <c r="D593" s="38"/>
      <c r="F593" s="329"/>
    </row>
    <row r="594">
      <c r="A594" s="434"/>
      <c r="D594" s="38"/>
      <c r="F594" s="329"/>
    </row>
    <row r="595">
      <c r="A595" s="434"/>
      <c r="D595" s="38"/>
      <c r="F595" s="329"/>
    </row>
    <row r="596">
      <c r="A596" s="434"/>
      <c r="D596" s="38"/>
      <c r="F596" s="329"/>
    </row>
    <row r="597">
      <c r="A597" s="434"/>
      <c r="D597" s="38"/>
      <c r="F597" s="329"/>
    </row>
    <row r="598">
      <c r="A598" s="434"/>
      <c r="D598" s="38"/>
      <c r="F598" s="329"/>
    </row>
    <row r="599">
      <c r="A599" s="434"/>
      <c r="D599" s="38"/>
      <c r="F599" s="329"/>
    </row>
    <row r="600">
      <c r="A600" s="434"/>
      <c r="D600" s="38"/>
      <c r="F600" s="329"/>
    </row>
    <row r="601">
      <c r="A601" s="434"/>
      <c r="D601" s="38"/>
      <c r="F601" s="329"/>
    </row>
    <row r="602">
      <c r="A602" s="434"/>
      <c r="D602" s="38"/>
      <c r="F602" s="329"/>
    </row>
    <row r="603">
      <c r="A603" s="434"/>
      <c r="D603" s="38"/>
      <c r="F603" s="329"/>
    </row>
    <row r="604">
      <c r="A604" s="434"/>
      <c r="D604" s="38"/>
      <c r="F604" s="329"/>
    </row>
    <row r="605">
      <c r="A605" s="434"/>
      <c r="D605" s="38"/>
      <c r="F605" s="329"/>
    </row>
    <row r="606">
      <c r="A606" s="434"/>
      <c r="D606" s="38"/>
      <c r="F606" s="329"/>
    </row>
    <row r="607">
      <c r="A607" s="434"/>
      <c r="D607" s="38"/>
      <c r="F607" s="329"/>
    </row>
    <row r="608">
      <c r="A608" s="434"/>
      <c r="D608" s="38"/>
      <c r="F608" s="329"/>
    </row>
    <row r="609">
      <c r="A609" s="434"/>
      <c r="D609" s="38"/>
      <c r="F609" s="329"/>
    </row>
    <row r="610">
      <c r="A610" s="434"/>
      <c r="D610" s="38"/>
      <c r="F610" s="329"/>
    </row>
    <row r="611">
      <c r="A611" s="434"/>
      <c r="D611" s="38"/>
      <c r="F611" s="329"/>
    </row>
    <row r="612">
      <c r="A612" s="434"/>
      <c r="D612" s="38"/>
      <c r="F612" s="329"/>
    </row>
    <row r="613">
      <c r="A613" s="434"/>
      <c r="D613" s="38"/>
      <c r="F613" s="329"/>
    </row>
    <row r="614">
      <c r="A614" s="434"/>
      <c r="D614" s="38"/>
      <c r="F614" s="329"/>
    </row>
    <row r="615">
      <c r="A615" s="434"/>
      <c r="D615" s="38"/>
      <c r="F615" s="329"/>
    </row>
    <row r="616">
      <c r="A616" s="434"/>
      <c r="D616" s="38"/>
      <c r="F616" s="329"/>
    </row>
    <row r="617">
      <c r="A617" s="434"/>
      <c r="D617" s="38"/>
      <c r="F617" s="329"/>
    </row>
    <row r="618">
      <c r="A618" s="434"/>
      <c r="D618" s="38"/>
      <c r="F618" s="329"/>
    </row>
    <row r="619">
      <c r="A619" s="434"/>
      <c r="D619" s="38"/>
      <c r="F619" s="329"/>
    </row>
    <row r="620">
      <c r="A620" s="434"/>
      <c r="D620" s="38"/>
      <c r="F620" s="329"/>
    </row>
    <row r="621">
      <c r="A621" s="434"/>
      <c r="D621" s="38"/>
      <c r="F621" s="329"/>
    </row>
    <row r="622">
      <c r="A622" s="434"/>
      <c r="D622" s="38"/>
      <c r="F622" s="329"/>
    </row>
    <row r="623">
      <c r="A623" s="434"/>
      <c r="D623" s="38"/>
      <c r="F623" s="329"/>
    </row>
    <row r="624">
      <c r="A624" s="434"/>
      <c r="D624" s="38"/>
      <c r="F624" s="329"/>
    </row>
    <row r="625">
      <c r="A625" s="434"/>
      <c r="D625" s="38"/>
      <c r="F625" s="329"/>
    </row>
    <row r="626">
      <c r="A626" s="434"/>
      <c r="D626" s="38"/>
      <c r="F626" s="329"/>
    </row>
    <row r="627">
      <c r="A627" s="434"/>
      <c r="D627" s="38"/>
      <c r="F627" s="329"/>
    </row>
    <row r="628">
      <c r="A628" s="434"/>
      <c r="D628" s="38"/>
      <c r="F628" s="329"/>
    </row>
    <row r="629">
      <c r="A629" s="434"/>
      <c r="D629" s="38"/>
      <c r="F629" s="329"/>
    </row>
    <row r="630">
      <c r="A630" s="434"/>
      <c r="D630" s="38"/>
      <c r="F630" s="329"/>
    </row>
    <row r="631">
      <c r="A631" s="434"/>
      <c r="D631" s="38"/>
      <c r="F631" s="329"/>
    </row>
    <row r="632">
      <c r="A632" s="434"/>
      <c r="D632" s="38"/>
      <c r="F632" s="329"/>
    </row>
    <row r="633">
      <c r="A633" s="434"/>
      <c r="D633" s="38"/>
      <c r="F633" s="329"/>
    </row>
    <row r="634">
      <c r="A634" s="434"/>
      <c r="D634" s="38"/>
      <c r="F634" s="329"/>
    </row>
    <row r="635">
      <c r="A635" s="434"/>
      <c r="D635" s="38"/>
      <c r="F635" s="329"/>
    </row>
    <row r="636">
      <c r="A636" s="434"/>
      <c r="D636" s="38"/>
      <c r="F636" s="329"/>
    </row>
    <row r="637">
      <c r="A637" s="434"/>
      <c r="D637" s="38"/>
      <c r="F637" s="329"/>
    </row>
    <row r="638">
      <c r="A638" s="434"/>
      <c r="D638" s="38"/>
      <c r="F638" s="329"/>
    </row>
    <row r="639">
      <c r="A639" s="434"/>
      <c r="D639" s="38"/>
      <c r="F639" s="329"/>
    </row>
    <row r="640">
      <c r="A640" s="434"/>
      <c r="D640" s="38"/>
      <c r="F640" s="329"/>
    </row>
    <row r="641">
      <c r="A641" s="434"/>
      <c r="D641" s="38"/>
      <c r="F641" s="329"/>
    </row>
    <row r="642">
      <c r="A642" s="434"/>
      <c r="D642" s="38"/>
      <c r="F642" s="329"/>
    </row>
    <row r="643">
      <c r="A643" s="434"/>
      <c r="D643" s="38"/>
      <c r="F643" s="329"/>
    </row>
    <row r="644">
      <c r="A644" s="434"/>
      <c r="D644" s="38"/>
      <c r="F644" s="329"/>
    </row>
    <row r="645">
      <c r="A645" s="434"/>
      <c r="D645" s="38"/>
      <c r="F645" s="329"/>
    </row>
    <row r="646">
      <c r="A646" s="434"/>
      <c r="D646" s="38"/>
      <c r="F646" s="329"/>
    </row>
    <row r="647">
      <c r="A647" s="434"/>
      <c r="D647" s="38"/>
      <c r="F647" s="329"/>
    </row>
    <row r="648">
      <c r="A648" s="434"/>
      <c r="D648" s="38"/>
      <c r="F648" s="329"/>
    </row>
    <row r="649">
      <c r="A649" s="434"/>
      <c r="D649" s="38"/>
      <c r="F649" s="329"/>
    </row>
    <row r="650">
      <c r="A650" s="434"/>
      <c r="D650" s="38"/>
      <c r="F650" s="329"/>
    </row>
    <row r="651">
      <c r="A651" s="434"/>
      <c r="D651" s="38"/>
      <c r="F651" s="329"/>
    </row>
    <row r="652">
      <c r="A652" s="434"/>
      <c r="D652" s="38"/>
      <c r="F652" s="329"/>
    </row>
    <row r="653">
      <c r="A653" s="434"/>
      <c r="D653" s="38"/>
      <c r="F653" s="329"/>
    </row>
    <row r="654">
      <c r="A654" s="434"/>
      <c r="D654" s="38"/>
      <c r="F654" s="329"/>
    </row>
    <row r="655">
      <c r="A655" s="434"/>
      <c r="D655" s="38"/>
      <c r="F655" s="329"/>
    </row>
    <row r="656">
      <c r="A656" s="434"/>
      <c r="D656" s="38"/>
      <c r="F656" s="329"/>
    </row>
    <row r="657">
      <c r="A657" s="434"/>
      <c r="D657" s="38"/>
      <c r="F657" s="329"/>
    </row>
    <row r="658">
      <c r="A658" s="434"/>
      <c r="D658" s="38"/>
      <c r="F658" s="329"/>
    </row>
    <row r="659">
      <c r="A659" s="434"/>
      <c r="D659" s="38"/>
      <c r="F659" s="329"/>
    </row>
    <row r="660">
      <c r="A660" s="434"/>
      <c r="D660" s="38"/>
      <c r="F660" s="329"/>
    </row>
    <row r="661">
      <c r="A661" s="434"/>
      <c r="D661" s="38"/>
      <c r="F661" s="329"/>
    </row>
    <row r="662">
      <c r="A662" s="434"/>
      <c r="D662" s="38"/>
      <c r="F662" s="329"/>
    </row>
    <row r="663">
      <c r="A663" s="434"/>
      <c r="D663" s="38"/>
      <c r="F663" s="329"/>
    </row>
    <row r="664">
      <c r="A664" s="434"/>
      <c r="D664" s="38"/>
      <c r="F664" s="329"/>
    </row>
    <row r="665">
      <c r="A665" s="434"/>
      <c r="D665" s="38"/>
      <c r="F665" s="329"/>
    </row>
    <row r="666">
      <c r="A666" s="434"/>
      <c r="D666" s="38"/>
      <c r="F666" s="329"/>
    </row>
    <row r="667">
      <c r="A667" s="434"/>
      <c r="D667" s="38"/>
      <c r="F667" s="329"/>
    </row>
    <row r="668">
      <c r="A668" s="434"/>
      <c r="D668" s="38"/>
      <c r="F668" s="329"/>
    </row>
    <row r="669">
      <c r="A669" s="434"/>
      <c r="D669" s="38"/>
      <c r="F669" s="329"/>
    </row>
    <row r="670">
      <c r="A670" s="434"/>
      <c r="D670" s="38"/>
      <c r="F670" s="329"/>
    </row>
    <row r="671">
      <c r="A671" s="434"/>
      <c r="D671" s="38"/>
      <c r="F671" s="329"/>
    </row>
    <row r="672">
      <c r="A672" s="434"/>
      <c r="D672" s="38"/>
      <c r="F672" s="329"/>
    </row>
    <row r="673">
      <c r="A673" s="434"/>
      <c r="D673" s="38"/>
      <c r="F673" s="329"/>
    </row>
    <row r="674">
      <c r="A674" s="434"/>
      <c r="D674" s="38"/>
      <c r="F674" s="329"/>
    </row>
    <row r="675">
      <c r="A675" s="434"/>
      <c r="D675" s="38"/>
      <c r="F675" s="329"/>
    </row>
    <row r="676">
      <c r="A676" s="434"/>
      <c r="D676" s="38"/>
      <c r="F676" s="329"/>
    </row>
    <row r="677">
      <c r="A677" s="434"/>
      <c r="D677" s="38"/>
      <c r="F677" s="329"/>
    </row>
    <row r="678">
      <c r="A678" s="434"/>
      <c r="D678" s="38"/>
      <c r="F678" s="329"/>
    </row>
    <row r="679">
      <c r="A679" s="434"/>
      <c r="D679" s="38"/>
      <c r="F679" s="329"/>
    </row>
    <row r="680">
      <c r="A680" s="434"/>
      <c r="D680" s="38"/>
      <c r="F680" s="329"/>
    </row>
    <row r="681">
      <c r="A681" s="434"/>
      <c r="D681" s="38"/>
      <c r="F681" s="329"/>
    </row>
    <row r="682">
      <c r="A682" s="434"/>
      <c r="D682" s="38"/>
      <c r="F682" s="329"/>
    </row>
    <row r="683">
      <c r="A683" s="434"/>
      <c r="D683" s="38"/>
      <c r="F683" s="329"/>
    </row>
    <row r="684">
      <c r="A684" s="434"/>
      <c r="D684" s="38"/>
      <c r="F684" s="329"/>
    </row>
    <row r="685">
      <c r="A685" s="434"/>
      <c r="D685" s="38"/>
      <c r="F685" s="329"/>
    </row>
    <row r="686">
      <c r="A686" s="434"/>
      <c r="D686" s="38"/>
      <c r="F686" s="329"/>
    </row>
    <row r="687">
      <c r="A687" s="434"/>
      <c r="D687" s="38"/>
      <c r="F687" s="329"/>
    </row>
    <row r="688">
      <c r="A688" s="434"/>
      <c r="D688" s="38"/>
      <c r="F688" s="329"/>
    </row>
    <row r="689">
      <c r="A689" s="434"/>
      <c r="D689" s="38"/>
      <c r="F689" s="329"/>
    </row>
    <row r="690">
      <c r="A690" s="434"/>
      <c r="D690" s="38"/>
      <c r="F690" s="329"/>
    </row>
    <row r="691">
      <c r="A691" s="434"/>
      <c r="D691" s="38"/>
      <c r="F691" s="329"/>
    </row>
    <row r="692">
      <c r="A692" s="434"/>
      <c r="D692" s="38"/>
      <c r="F692" s="329"/>
    </row>
    <row r="693">
      <c r="A693" s="434"/>
      <c r="D693" s="38"/>
      <c r="F693" s="329"/>
    </row>
    <row r="694">
      <c r="A694" s="434"/>
      <c r="D694" s="38"/>
      <c r="F694" s="329"/>
    </row>
    <row r="695">
      <c r="A695" s="434"/>
      <c r="D695" s="38"/>
      <c r="F695" s="329"/>
    </row>
    <row r="696">
      <c r="A696" s="434"/>
      <c r="D696" s="38"/>
      <c r="F696" s="329"/>
    </row>
    <row r="697">
      <c r="A697" s="434"/>
      <c r="D697" s="38"/>
      <c r="F697" s="329"/>
    </row>
    <row r="698">
      <c r="A698" s="434"/>
      <c r="D698" s="38"/>
      <c r="F698" s="329"/>
    </row>
    <row r="699">
      <c r="A699" s="434"/>
      <c r="D699" s="38"/>
      <c r="F699" s="329"/>
    </row>
    <row r="700">
      <c r="A700" s="434"/>
      <c r="D700" s="38"/>
      <c r="F700" s="329"/>
    </row>
    <row r="701">
      <c r="A701" s="434"/>
      <c r="D701" s="38"/>
      <c r="F701" s="329"/>
    </row>
    <row r="702">
      <c r="A702" s="434"/>
      <c r="D702" s="38"/>
      <c r="F702" s="329"/>
    </row>
    <row r="703">
      <c r="A703" s="434"/>
      <c r="D703" s="38"/>
      <c r="F703" s="329"/>
    </row>
    <row r="704">
      <c r="A704" s="434"/>
      <c r="D704" s="38"/>
      <c r="F704" s="329"/>
    </row>
    <row r="705">
      <c r="A705" s="434"/>
      <c r="D705" s="38"/>
      <c r="F705" s="329"/>
    </row>
    <row r="706">
      <c r="A706" s="434"/>
      <c r="D706" s="38"/>
      <c r="F706" s="329"/>
    </row>
    <row r="707">
      <c r="A707" s="434"/>
      <c r="D707" s="38"/>
      <c r="F707" s="329"/>
    </row>
    <row r="708">
      <c r="A708" s="434"/>
      <c r="D708" s="38"/>
      <c r="F708" s="329"/>
    </row>
    <row r="709">
      <c r="A709" s="434"/>
      <c r="D709" s="38"/>
      <c r="F709" s="329"/>
    </row>
    <row r="710">
      <c r="A710" s="434"/>
      <c r="D710" s="38"/>
      <c r="F710" s="329"/>
    </row>
    <row r="711">
      <c r="A711" s="434"/>
      <c r="D711" s="38"/>
      <c r="F711" s="329"/>
    </row>
    <row r="712">
      <c r="A712" s="434"/>
      <c r="D712" s="38"/>
      <c r="F712" s="329"/>
    </row>
    <row r="713">
      <c r="A713" s="434"/>
      <c r="D713" s="38"/>
      <c r="F713" s="329"/>
    </row>
    <row r="714">
      <c r="A714" s="434"/>
      <c r="D714" s="38"/>
      <c r="F714" s="329"/>
    </row>
    <row r="715">
      <c r="A715" s="434"/>
      <c r="D715" s="38"/>
      <c r="F715" s="329"/>
    </row>
    <row r="716">
      <c r="A716" s="434"/>
      <c r="D716" s="38"/>
      <c r="F716" s="329"/>
    </row>
    <row r="717">
      <c r="A717" s="434"/>
      <c r="D717" s="38"/>
      <c r="F717" s="329"/>
    </row>
    <row r="718">
      <c r="A718" s="434"/>
      <c r="D718" s="38"/>
      <c r="F718" s="329"/>
    </row>
    <row r="719">
      <c r="A719" s="434"/>
      <c r="D719" s="38"/>
      <c r="F719" s="329"/>
    </row>
    <row r="720">
      <c r="A720" s="434"/>
      <c r="D720" s="38"/>
      <c r="F720" s="329"/>
    </row>
    <row r="721">
      <c r="A721" s="434"/>
      <c r="D721" s="38"/>
      <c r="F721" s="329"/>
    </row>
    <row r="722">
      <c r="A722" s="434"/>
      <c r="D722" s="38"/>
      <c r="F722" s="329"/>
    </row>
    <row r="723">
      <c r="A723" s="434"/>
      <c r="D723" s="38"/>
      <c r="F723" s="329"/>
    </row>
    <row r="724">
      <c r="A724" s="434"/>
      <c r="D724" s="38"/>
      <c r="F724" s="329"/>
    </row>
    <row r="725">
      <c r="A725" s="434"/>
      <c r="D725" s="38"/>
      <c r="F725" s="329"/>
    </row>
    <row r="726">
      <c r="A726" s="434"/>
      <c r="D726" s="38"/>
      <c r="F726" s="329"/>
    </row>
    <row r="727">
      <c r="A727" s="434"/>
      <c r="D727" s="38"/>
      <c r="F727" s="329"/>
    </row>
    <row r="728">
      <c r="A728" s="434"/>
      <c r="D728" s="38"/>
      <c r="F728" s="329"/>
    </row>
    <row r="729">
      <c r="A729" s="434"/>
      <c r="D729" s="38"/>
      <c r="F729" s="329"/>
    </row>
    <row r="730">
      <c r="A730" s="434"/>
      <c r="D730" s="38"/>
      <c r="F730" s="329"/>
    </row>
    <row r="731">
      <c r="A731" s="434"/>
      <c r="D731" s="38"/>
      <c r="F731" s="329"/>
    </row>
    <row r="732">
      <c r="A732" s="434"/>
      <c r="D732" s="38"/>
      <c r="F732" s="329"/>
    </row>
    <row r="733">
      <c r="A733" s="434"/>
      <c r="D733" s="38"/>
      <c r="F733" s="329"/>
    </row>
    <row r="734">
      <c r="A734" s="434"/>
      <c r="D734" s="38"/>
      <c r="F734" s="329"/>
    </row>
    <row r="735">
      <c r="A735" s="434"/>
      <c r="D735" s="38"/>
      <c r="F735" s="329"/>
    </row>
    <row r="736">
      <c r="A736" s="434"/>
      <c r="D736" s="38"/>
      <c r="F736" s="329"/>
    </row>
    <row r="737">
      <c r="A737" s="434"/>
      <c r="D737" s="38"/>
      <c r="F737" s="329"/>
    </row>
    <row r="738">
      <c r="A738" s="434"/>
      <c r="D738" s="38"/>
      <c r="F738" s="329"/>
    </row>
    <row r="739">
      <c r="A739" s="434"/>
      <c r="D739" s="38"/>
      <c r="F739" s="329"/>
    </row>
    <row r="740">
      <c r="A740" s="434"/>
      <c r="D740" s="38"/>
      <c r="F740" s="329"/>
    </row>
    <row r="741">
      <c r="A741" s="434"/>
      <c r="D741" s="38"/>
      <c r="F741" s="329"/>
    </row>
    <row r="742">
      <c r="A742" s="434"/>
      <c r="D742" s="38"/>
      <c r="F742" s="329"/>
    </row>
    <row r="743">
      <c r="A743" s="434"/>
      <c r="D743" s="38"/>
      <c r="F743" s="329"/>
    </row>
    <row r="744">
      <c r="A744" s="434"/>
      <c r="D744" s="38"/>
      <c r="F744" s="329"/>
    </row>
    <row r="745">
      <c r="A745" s="434"/>
      <c r="D745" s="38"/>
      <c r="F745" s="329"/>
    </row>
    <row r="746">
      <c r="A746" s="434"/>
      <c r="D746" s="38"/>
      <c r="F746" s="329"/>
    </row>
    <row r="747">
      <c r="A747" s="434"/>
      <c r="D747" s="38"/>
      <c r="F747" s="329"/>
    </row>
    <row r="748">
      <c r="A748" s="434"/>
      <c r="D748" s="38"/>
      <c r="F748" s="329"/>
    </row>
    <row r="749">
      <c r="A749" s="434"/>
      <c r="D749" s="38"/>
      <c r="F749" s="329"/>
    </row>
    <row r="750">
      <c r="A750" s="434"/>
      <c r="D750" s="38"/>
      <c r="F750" s="329"/>
    </row>
    <row r="751">
      <c r="A751" s="434"/>
      <c r="D751" s="38"/>
      <c r="F751" s="329"/>
    </row>
    <row r="752">
      <c r="A752" s="434"/>
      <c r="D752" s="38"/>
      <c r="F752" s="329"/>
    </row>
    <row r="753">
      <c r="A753" s="434"/>
      <c r="D753" s="38"/>
      <c r="F753" s="329"/>
    </row>
    <row r="754">
      <c r="A754" s="434"/>
      <c r="D754" s="38"/>
      <c r="F754" s="329"/>
    </row>
    <row r="755">
      <c r="A755" s="434"/>
      <c r="D755" s="38"/>
      <c r="F755" s="329"/>
    </row>
    <row r="756">
      <c r="A756" s="434"/>
      <c r="D756" s="38"/>
      <c r="F756" s="329"/>
    </row>
    <row r="757">
      <c r="A757" s="434"/>
      <c r="D757" s="38"/>
      <c r="F757" s="329"/>
    </row>
    <row r="758">
      <c r="A758" s="434"/>
      <c r="D758" s="38"/>
      <c r="F758" s="329"/>
    </row>
    <row r="759">
      <c r="A759" s="434"/>
      <c r="D759" s="38"/>
      <c r="F759" s="329"/>
    </row>
    <row r="760">
      <c r="A760" s="434"/>
      <c r="D760" s="38"/>
      <c r="F760" s="329"/>
    </row>
    <row r="761">
      <c r="A761" s="434"/>
      <c r="D761" s="38"/>
      <c r="F761" s="329"/>
    </row>
    <row r="762">
      <c r="A762" s="434"/>
      <c r="D762" s="38"/>
      <c r="F762" s="329"/>
    </row>
    <row r="763">
      <c r="A763" s="434"/>
      <c r="D763" s="38"/>
      <c r="F763" s="329"/>
    </row>
    <row r="764">
      <c r="A764" s="434"/>
      <c r="D764" s="38"/>
      <c r="F764" s="329"/>
    </row>
    <row r="765">
      <c r="A765" s="434"/>
      <c r="D765" s="38"/>
      <c r="F765" s="329"/>
    </row>
    <row r="766">
      <c r="A766" s="434"/>
      <c r="D766" s="38"/>
      <c r="F766" s="329"/>
    </row>
    <row r="767">
      <c r="A767" s="434"/>
      <c r="D767" s="38"/>
      <c r="F767" s="329"/>
    </row>
    <row r="768">
      <c r="A768" s="434"/>
      <c r="D768" s="38"/>
      <c r="F768" s="329"/>
    </row>
    <row r="769">
      <c r="A769" s="434"/>
      <c r="D769" s="38"/>
      <c r="F769" s="329"/>
    </row>
    <row r="770">
      <c r="A770" s="434"/>
      <c r="D770" s="38"/>
      <c r="F770" s="329"/>
    </row>
    <row r="771">
      <c r="A771" s="434"/>
      <c r="D771" s="38"/>
      <c r="F771" s="329"/>
    </row>
    <row r="772">
      <c r="A772" s="434"/>
      <c r="D772" s="38"/>
      <c r="F772" s="329"/>
    </row>
    <row r="773">
      <c r="A773" s="434"/>
      <c r="D773" s="38"/>
      <c r="F773" s="329"/>
    </row>
    <row r="774">
      <c r="A774" s="434"/>
      <c r="D774" s="38"/>
      <c r="F774" s="329"/>
    </row>
    <row r="775">
      <c r="A775" s="434"/>
      <c r="D775" s="38"/>
      <c r="F775" s="329"/>
    </row>
    <row r="776">
      <c r="A776" s="434"/>
      <c r="D776" s="38"/>
      <c r="F776" s="329"/>
    </row>
    <row r="777">
      <c r="A777" s="434"/>
      <c r="D777" s="38"/>
      <c r="F777" s="329"/>
    </row>
    <row r="778">
      <c r="A778" s="434"/>
      <c r="D778" s="38"/>
      <c r="F778" s="329"/>
    </row>
    <row r="779">
      <c r="A779" s="434"/>
      <c r="D779" s="38"/>
      <c r="F779" s="329"/>
    </row>
    <row r="780">
      <c r="A780" s="434"/>
      <c r="D780" s="38"/>
      <c r="F780" s="329"/>
    </row>
    <row r="781">
      <c r="A781" s="434"/>
      <c r="D781" s="38"/>
      <c r="F781" s="329"/>
    </row>
    <row r="782">
      <c r="A782" s="434"/>
      <c r="D782" s="38"/>
      <c r="F782" s="329"/>
    </row>
    <row r="783">
      <c r="A783" s="434"/>
      <c r="D783" s="38"/>
      <c r="F783" s="329"/>
    </row>
    <row r="784">
      <c r="A784" s="434"/>
      <c r="D784" s="38"/>
      <c r="F784" s="329"/>
    </row>
    <row r="785">
      <c r="A785" s="434"/>
      <c r="D785" s="38"/>
      <c r="F785" s="329"/>
    </row>
    <row r="786">
      <c r="A786" s="434"/>
      <c r="D786" s="38"/>
      <c r="F786" s="329"/>
    </row>
    <row r="787">
      <c r="A787" s="434"/>
      <c r="D787" s="38"/>
      <c r="F787" s="329"/>
    </row>
    <row r="788">
      <c r="A788" s="434"/>
      <c r="D788" s="38"/>
      <c r="F788" s="329"/>
    </row>
    <row r="789">
      <c r="A789" s="434"/>
      <c r="D789" s="38"/>
      <c r="F789" s="329"/>
    </row>
    <row r="790">
      <c r="A790" s="434"/>
      <c r="D790" s="38"/>
      <c r="F790" s="329"/>
    </row>
    <row r="791">
      <c r="A791" s="434"/>
      <c r="D791" s="38"/>
      <c r="F791" s="329"/>
    </row>
    <row r="792">
      <c r="A792" s="434"/>
      <c r="D792" s="38"/>
      <c r="F792" s="329"/>
    </row>
    <row r="793">
      <c r="A793" s="434"/>
      <c r="D793" s="38"/>
      <c r="F793" s="329"/>
    </row>
    <row r="794">
      <c r="A794" s="434"/>
      <c r="D794" s="38"/>
      <c r="F794" s="329"/>
    </row>
    <row r="795">
      <c r="A795" s="434"/>
      <c r="D795" s="38"/>
      <c r="F795" s="329"/>
    </row>
    <row r="796">
      <c r="A796" s="434"/>
      <c r="D796" s="38"/>
      <c r="F796" s="329"/>
    </row>
    <row r="797">
      <c r="A797" s="434"/>
      <c r="D797" s="38"/>
      <c r="F797" s="329"/>
    </row>
    <row r="798">
      <c r="A798" s="434"/>
      <c r="D798" s="38"/>
      <c r="F798" s="329"/>
    </row>
    <row r="799">
      <c r="A799" s="434"/>
      <c r="D799" s="38"/>
      <c r="F799" s="329"/>
    </row>
    <row r="800">
      <c r="A800" s="434"/>
      <c r="D800" s="38"/>
      <c r="F800" s="329"/>
    </row>
    <row r="801">
      <c r="A801" s="434"/>
      <c r="D801" s="38"/>
      <c r="F801" s="329"/>
    </row>
    <row r="802">
      <c r="A802" s="434"/>
      <c r="D802" s="38"/>
      <c r="F802" s="329"/>
    </row>
    <row r="803">
      <c r="A803" s="434"/>
      <c r="D803" s="38"/>
      <c r="F803" s="329"/>
    </row>
    <row r="804">
      <c r="A804" s="434"/>
      <c r="D804" s="38"/>
      <c r="F804" s="329"/>
    </row>
    <row r="805">
      <c r="A805" s="434"/>
      <c r="D805" s="38"/>
      <c r="F805" s="329"/>
    </row>
    <row r="806">
      <c r="A806" s="434"/>
      <c r="D806" s="38"/>
      <c r="F806" s="329"/>
    </row>
    <row r="807">
      <c r="A807" s="434"/>
      <c r="D807" s="38"/>
      <c r="F807" s="329"/>
    </row>
    <row r="808">
      <c r="A808" s="434"/>
      <c r="D808" s="38"/>
      <c r="F808" s="329"/>
    </row>
    <row r="809">
      <c r="A809" s="434"/>
      <c r="D809" s="38"/>
      <c r="F809" s="329"/>
    </row>
    <row r="810">
      <c r="A810" s="434"/>
      <c r="D810" s="38"/>
      <c r="F810" s="329"/>
    </row>
    <row r="811">
      <c r="A811" s="434"/>
      <c r="D811" s="38"/>
      <c r="F811" s="329"/>
    </row>
    <row r="812">
      <c r="A812" s="434"/>
      <c r="D812" s="38"/>
      <c r="F812" s="329"/>
    </row>
    <row r="813">
      <c r="A813" s="434"/>
      <c r="D813" s="38"/>
      <c r="F813" s="329"/>
    </row>
    <row r="814">
      <c r="A814" s="434"/>
      <c r="D814" s="38"/>
      <c r="F814" s="329"/>
    </row>
    <row r="815">
      <c r="A815" s="434"/>
      <c r="D815" s="38"/>
      <c r="F815" s="329"/>
    </row>
    <row r="816">
      <c r="A816" s="434"/>
      <c r="D816" s="38"/>
      <c r="F816" s="329"/>
    </row>
    <row r="817">
      <c r="A817" s="434"/>
      <c r="D817" s="38"/>
      <c r="F817" s="329"/>
    </row>
    <row r="818">
      <c r="A818" s="434"/>
      <c r="D818" s="38"/>
      <c r="F818" s="329"/>
    </row>
    <row r="819">
      <c r="A819" s="434"/>
      <c r="D819" s="38"/>
      <c r="F819" s="329"/>
    </row>
    <row r="820">
      <c r="A820" s="434"/>
      <c r="D820" s="38"/>
      <c r="F820" s="329"/>
    </row>
    <row r="821">
      <c r="A821" s="434"/>
      <c r="D821" s="38"/>
      <c r="F821" s="329"/>
    </row>
    <row r="822">
      <c r="A822" s="434"/>
      <c r="D822" s="38"/>
      <c r="F822" s="329"/>
    </row>
    <row r="823">
      <c r="A823" s="434"/>
      <c r="D823" s="38"/>
      <c r="F823" s="329"/>
    </row>
    <row r="824">
      <c r="A824" s="434"/>
      <c r="D824" s="38"/>
      <c r="F824" s="329"/>
    </row>
    <row r="825">
      <c r="A825" s="434"/>
      <c r="D825" s="38"/>
      <c r="F825" s="329"/>
    </row>
    <row r="826">
      <c r="A826" s="434"/>
      <c r="D826" s="38"/>
      <c r="F826" s="329"/>
    </row>
    <row r="827">
      <c r="A827" s="434"/>
      <c r="D827" s="38"/>
      <c r="F827" s="329"/>
    </row>
    <row r="828">
      <c r="A828" s="434"/>
      <c r="D828" s="38"/>
      <c r="F828" s="329"/>
    </row>
    <row r="829">
      <c r="A829" s="434"/>
      <c r="D829" s="38"/>
      <c r="F829" s="329"/>
    </row>
    <row r="830">
      <c r="A830" s="434"/>
      <c r="D830" s="38"/>
      <c r="F830" s="329"/>
    </row>
    <row r="831">
      <c r="A831" s="434"/>
      <c r="D831" s="38"/>
      <c r="F831" s="329"/>
    </row>
    <row r="832">
      <c r="A832" s="434"/>
      <c r="D832" s="38"/>
      <c r="F832" s="329"/>
    </row>
    <row r="833">
      <c r="A833" s="434"/>
      <c r="D833" s="38"/>
      <c r="F833" s="329"/>
    </row>
    <row r="834">
      <c r="A834" s="434"/>
      <c r="D834" s="38"/>
      <c r="F834" s="329"/>
    </row>
    <row r="835">
      <c r="A835" s="434"/>
      <c r="D835" s="38"/>
      <c r="F835" s="329"/>
    </row>
    <row r="836">
      <c r="A836" s="434"/>
      <c r="D836" s="38"/>
      <c r="F836" s="329"/>
    </row>
    <row r="837">
      <c r="A837" s="434"/>
      <c r="D837" s="38"/>
      <c r="F837" s="329"/>
    </row>
    <row r="838">
      <c r="A838" s="434"/>
      <c r="D838" s="38"/>
      <c r="F838" s="329"/>
    </row>
    <row r="839">
      <c r="A839" s="434"/>
      <c r="D839" s="38"/>
      <c r="F839" s="329"/>
    </row>
    <row r="840">
      <c r="A840" s="434"/>
      <c r="D840" s="38"/>
      <c r="F840" s="329"/>
    </row>
    <row r="841">
      <c r="A841" s="434"/>
      <c r="D841" s="38"/>
      <c r="F841" s="329"/>
    </row>
    <row r="842">
      <c r="A842" s="434"/>
      <c r="D842" s="38"/>
      <c r="F842" s="329"/>
    </row>
    <row r="843">
      <c r="A843" s="434"/>
      <c r="D843" s="38"/>
      <c r="F843" s="329"/>
    </row>
    <row r="844">
      <c r="A844" s="434"/>
      <c r="D844" s="38"/>
      <c r="F844" s="329"/>
    </row>
    <row r="845">
      <c r="A845" s="434"/>
      <c r="D845" s="38"/>
      <c r="F845" s="329"/>
    </row>
    <row r="846">
      <c r="A846" s="434"/>
      <c r="D846" s="38"/>
      <c r="F846" s="329"/>
    </row>
    <row r="847">
      <c r="A847" s="434"/>
      <c r="D847" s="38"/>
      <c r="F847" s="329"/>
    </row>
    <row r="848">
      <c r="A848" s="434"/>
      <c r="D848" s="38"/>
      <c r="F848" s="329"/>
    </row>
    <row r="849">
      <c r="A849" s="434"/>
      <c r="D849" s="38"/>
      <c r="F849" s="329"/>
    </row>
    <row r="850">
      <c r="A850" s="434"/>
      <c r="D850" s="38"/>
      <c r="F850" s="329"/>
    </row>
    <row r="851">
      <c r="A851" s="434"/>
      <c r="D851" s="38"/>
      <c r="F851" s="329"/>
    </row>
    <row r="852">
      <c r="A852" s="434"/>
      <c r="D852" s="38"/>
      <c r="F852" s="329"/>
    </row>
    <row r="853">
      <c r="A853" s="434"/>
      <c r="D853" s="38"/>
      <c r="F853" s="329"/>
    </row>
    <row r="854">
      <c r="A854" s="434"/>
      <c r="D854" s="38"/>
      <c r="F854" s="329"/>
    </row>
    <row r="855">
      <c r="A855" s="434"/>
      <c r="D855" s="38"/>
      <c r="F855" s="329"/>
    </row>
    <row r="856">
      <c r="A856" s="434"/>
      <c r="D856" s="38"/>
      <c r="F856" s="329"/>
    </row>
    <row r="857">
      <c r="A857" s="434"/>
      <c r="D857" s="38"/>
      <c r="F857" s="329"/>
    </row>
    <row r="858">
      <c r="A858" s="434"/>
      <c r="D858" s="38"/>
      <c r="F858" s="329"/>
    </row>
    <row r="859">
      <c r="A859" s="434"/>
      <c r="D859" s="38"/>
      <c r="F859" s="329"/>
    </row>
    <row r="860">
      <c r="A860" s="434"/>
      <c r="D860" s="38"/>
      <c r="F860" s="329"/>
    </row>
    <row r="861">
      <c r="A861" s="434"/>
      <c r="D861" s="38"/>
      <c r="F861" s="329"/>
    </row>
    <row r="862">
      <c r="A862" s="434"/>
      <c r="D862" s="38"/>
      <c r="F862" s="329"/>
    </row>
    <row r="863">
      <c r="A863" s="434"/>
      <c r="D863" s="38"/>
      <c r="F863" s="329"/>
    </row>
    <row r="864">
      <c r="A864" s="434"/>
      <c r="D864" s="38"/>
      <c r="F864" s="329"/>
    </row>
    <row r="865">
      <c r="A865" s="434"/>
      <c r="D865" s="38"/>
      <c r="F865" s="329"/>
    </row>
    <row r="866">
      <c r="A866" s="434"/>
      <c r="D866" s="38"/>
      <c r="F866" s="329"/>
    </row>
    <row r="867">
      <c r="A867" s="434"/>
      <c r="D867" s="38"/>
      <c r="F867" s="329"/>
    </row>
    <row r="868">
      <c r="A868" s="434"/>
      <c r="D868" s="38"/>
      <c r="F868" s="329"/>
    </row>
    <row r="869">
      <c r="A869" s="434"/>
      <c r="D869" s="38"/>
      <c r="F869" s="329"/>
    </row>
    <row r="870">
      <c r="A870" s="434"/>
      <c r="D870" s="38"/>
      <c r="F870" s="329"/>
    </row>
    <row r="871">
      <c r="A871" s="434"/>
      <c r="D871" s="38"/>
      <c r="F871" s="329"/>
    </row>
    <row r="872">
      <c r="A872" s="434"/>
      <c r="D872" s="38"/>
      <c r="F872" s="329"/>
    </row>
    <row r="873">
      <c r="A873" s="434"/>
      <c r="D873" s="38"/>
      <c r="F873" s="329"/>
    </row>
    <row r="874">
      <c r="A874" s="434"/>
      <c r="D874" s="38"/>
      <c r="F874" s="329"/>
    </row>
    <row r="875">
      <c r="A875" s="434"/>
      <c r="D875" s="38"/>
      <c r="F875" s="329"/>
    </row>
    <row r="876">
      <c r="A876" s="434"/>
      <c r="D876" s="38"/>
      <c r="F876" s="329"/>
    </row>
    <row r="877">
      <c r="A877" s="434"/>
      <c r="D877" s="38"/>
      <c r="F877" s="329"/>
    </row>
    <row r="878">
      <c r="A878" s="434"/>
      <c r="D878" s="38"/>
      <c r="F878" s="329"/>
    </row>
    <row r="879">
      <c r="A879" s="434"/>
      <c r="D879" s="38"/>
      <c r="F879" s="329"/>
    </row>
    <row r="880">
      <c r="A880" s="434"/>
      <c r="D880" s="38"/>
      <c r="F880" s="329"/>
    </row>
    <row r="881">
      <c r="A881" s="434"/>
      <c r="D881" s="38"/>
      <c r="F881" s="329"/>
    </row>
    <row r="882">
      <c r="A882" s="434"/>
      <c r="D882" s="38"/>
      <c r="F882" s="329"/>
    </row>
    <row r="883">
      <c r="A883" s="434"/>
      <c r="D883" s="38"/>
      <c r="F883" s="329"/>
    </row>
    <row r="884">
      <c r="A884" s="434"/>
      <c r="D884" s="38"/>
      <c r="F884" s="329"/>
    </row>
    <row r="885">
      <c r="A885" s="434"/>
      <c r="D885" s="38"/>
      <c r="F885" s="329"/>
    </row>
    <row r="886">
      <c r="A886" s="434"/>
      <c r="D886" s="38"/>
      <c r="F886" s="329"/>
    </row>
    <row r="887">
      <c r="A887" s="434"/>
      <c r="D887" s="38"/>
      <c r="F887" s="329"/>
    </row>
    <row r="888">
      <c r="A888" s="434"/>
      <c r="D888" s="38"/>
      <c r="F888" s="329"/>
    </row>
    <row r="889">
      <c r="A889" s="434"/>
      <c r="D889" s="38"/>
      <c r="F889" s="329"/>
    </row>
    <row r="890">
      <c r="A890" s="434"/>
      <c r="D890" s="38"/>
      <c r="F890" s="329"/>
    </row>
    <row r="891">
      <c r="A891" s="434"/>
      <c r="D891" s="38"/>
      <c r="F891" s="329"/>
    </row>
    <row r="892">
      <c r="A892" s="434"/>
      <c r="D892" s="38"/>
      <c r="F892" s="329"/>
    </row>
    <row r="893">
      <c r="A893" s="434"/>
      <c r="D893" s="38"/>
      <c r="F893" s="329"/>
    </row>
    <row r="894">
      <c r="A894" s="434"/>
      <c r="D894" s="38"/>
      <c r="F894" s="329"/>
    </row>
    <row r="895">
      <c r="A895" s="434"/>
      <c r="D895" s="38"/>
      <c r="F895" s="329"/>
    </row>
    <row r="896">
      <c r="A896" s="434"/>
      <c r="D896" s="38"/>
      <c r="F896" s="329"/>
    </row>
    <row r="897">
      <c r="A897" s="434"/>
      <c r="D897" s="38"/>
      <c r="F897" s="329"/>
    </row>
    <row r="898">
      <c r="A898" s="434"/>
      <c r="D898" s="38"/>
      <c r="F898" s="329"/>
    </row>
    <row r="899">
      <c r="A899" s="434"/>
      <c r="D899" s="38"/>
      <c r="F899" s="329"/>
    </row>
    <row r="900">
      <c r="A900" s="434"/>
      <c r="D900" s="38"/>
      <c r="F900" s="329"/>
    </row>
    <row r="901">
      <c r="A901" s="434"/>
      <c r="D901" s="38"/>
      <c r="F901" s="329"/>
    </row>
    <row r="902">
      <c r="A902" s="434"/>
      <c r="D902" s="38"/>
      <c r="F902" s="329"/>
    </row>
    <row r="903">
      <c r="A903" s="434"/>
      <c r="D903" s="38"/>
      <c r="F903" s="329"/>
    </row>
    <row r="904">
      <c r="A904" s="434"/>
      <c r="D904" s="38"/>
      <c r="F904" s="329"/>
    </row>
    <row r="905">
      <c r="A905" s="434"/>
      <c r="D905" s="38"/>
      <c r="F905" s="329"/>
    </row>
    <row r="906">
      <c r="A906" s="434"/>
      <c r="D906" s="38"/>
      <c r="F906" s="329"/>
    </row>
    <row r="907">
      <c r="A907" s="434"/>
      <c r="D907" s="38"/>
      <c r="F907" s="329"/>
    </row>
    <row r="908">
      <c r="A908" s="434"/>
      <c r="D908" s="38"/>
      <c r="F908" s="329"/>
    </row>
    <row r="909">
      <c r="A909" s="434"/>
      <c r="D909" s="38"/>
      <c r="F909" s="329"/>
    </row>
    <row r="910">
      <c r="A910" s="434"/>
      <c r="D910" s="38"/>
      <c r="F910" s="329"/>
    </row>
    <row r="911">
      <c r="A911" s="434"/>
      <c r="D911" s="38"/>
      <c r="F911" s="329"/>
    </row>
    <row r="912">
      <c r="A912" s="434"/>
      <c r="D912" s="38"/>
      <c r="F912" s="329"/>
    </row>
    <row r="913">
      <c r="A913" s="434"/>
      <c r="D913" s="38"/>
      <c r="F913" s="329"/>
    </row>
    <row r="914">
      <c r="A914" s="434"/>
      <c r="D914" s="38"/>
      <c r="F914" s="329"/>
    </row>
    <row r="915">
      <c r="A915" s="434"/>
      <c r="D915" s="38"/>
      <c r="F915" s="329"/>
    </row>
    <row r="916">
      <c r="A916" s="434"/>
      <c r="D916" s="38"/>
      <c r="F916" s="329"/>
    </row>
    <row r="917">
      <c r="A917" s="434"/>
      <c r="D917" s="38"/>
      <c r="F917" s="329"/>
    </row>
    <row r="918">
      <c r="A918" s="434"/>
      <c r="D918" s="38"/>
      <c r="F918" s="329"/>
    </row>
    <row r="919">
      <c r="A919" s="434"/>
      <c r="D919" s="38"/>
      <c r="F919" s="329"/>
    </row>
    <row r="920">
      <c r="A920" s="434"/>
      <c r="D920" s="38"/>
      <c r="F920" s="329"/>
    </row>
    <row r="921">
      <c r="A921" s="434"/>
      <c r="D921" s="38"/>
      <c r="F921" s="329"/>
    </row>
    <row r="922">
      <c r="A922" s="434"/>
      <c r="D922" s="38"/>
      <c r="F922" s="329"/>
    </row>
    <row r="923">
      <c r="A923" s="434"/>
      <c r="D923" s="38"/>
      <c r="F923" s="329"/>
    </row>
    <row r="924">
      <c r="A924" s="434"/>
      <c r="D924" s="38"/>
      <c r="F924" s="329"/>
    </row>
    <row r="925">
      <c r="A925" s="434"/>
      <c r="D925" s="38"/>
      <c r="F925" s="329"/>
    </row>
    <row r="926">
      <c r="A926" s="434"/>
      <c r="D926" s="38"/>
      <c r="F926" s="329"/>
    </row>
    <row r="927">
      <c r="A927" s="434"/>
      <c r="D927" s="38"/>
      <c r="F927" s="329"/>
    </row>
    <row r="928">
      <c r="A928" s="434"/>
      <c r="D928" s="38"/>
      <c r="F928" s="329"/>
    </row>
    <row r="929">
      <c r="A929" s="434"/>
      <c r="D929" s="38"/>
      <c r="F929" s="329"/>
    </row>
    <row r="930">
      <c r="A930" s="434"/>
      <c r="D930" s="38"/>
      <c r="F930" s="329"/>
    </row>
    <row r="931">
      <c r="A931" s="434"/>
      <c r="D931" s="38"/>
      <c r="F931" s="329"/>
    </row>
    <row r="932">
      <c r="A932" s="434"/>
      <c r="D932" s="38"/>
      <c r="F932" s="329"/>
    </row>
    <row r="933">
      <c r="A933" s="434"/>
      <c r="D933" s="38"/>
      <c r="F933" s="329"/>
    </row>
    <row r="934">
      <c r="A934" s="434"/>
      <c r="D934" s="38"/>
      <c r="F934" s="329"/>
    </row>
    <row r="935">
      <c r="A935" s="434"/>
      <c r="D935" s="38"/>
      <c r="F935" s="329"/>
    </row>
    <row r="936">
      <c r="A936" s="434"/>
      <c r="D936" s="38"/>
      <c r="F936" s="329"/>
    </row>
    <row r="937">
      <c r="A937" s="434"/>
      <c r="D937" s="38"/>
      <c r="F937" s="329"/>
    </row>
    <row r="938">
      <c r="A938" s="434"/>
      <c r="D938" s="38"/>
      <c r="F938" s="329"/>
    </row>
    <row r="939">
      <c r="A939" s="434"/>
      <c r="D939" s="38"/>
      <c r="F939" s="329"/>
    </row>
    <row r="940">
      <c r="A940" s="434"/>
      <c r="D940" s="38"/>
      <c r="F940" s="329"/>
    </row>
    <row r="941">
      <c r="A941" s="434"/>
      <c r="D941" s="38"/>
      <c r="F941" s="329"/>
    </row>
    <row r="942">
      <c r="A942" s="434"/>
      <c r="D942" s="38"/>
      <c r="F942" s="329"/>
    </row>
    <row r="943">
      <c r="A943" s="434"/>
      <c r="D943" s="38"/>
      <c r="F943" s="329"/>
    </row>
    <row r="944">
      <c r="A944" s="434"/>
      <c r="D944" s="38"/>
      <c r="F944" s="329"/>
    </row>
    <row r="945">
      <c r="A945" s="434"/>
      <c r="D945" s="38"/>
      <c r="F945" s="329"/>
    </row>
    <row r="946">
      <c r="A946" s="434"/>
      <c r="D946" s="38"/>
      <c r="F946" s="329"/>
    </row>
    <row r="947">
      <c r="A947" s="434"/>
      <c r="D947" s="38"/>
      <c r="F947" s="329"/>
    </row>
    <row r="948">
      <c r="A948" s="434"/>
      <c r="D948" s="38"/>
      <c r="F948" s="329"/>
    </row>
    <row r="949">
      <c r="A949" s="434"/>
      <c r="D949" s="38"/>
      <c r="F949" s="329"/>
    </row>
    <row r="950">
      <c r="A950" s="434"/>
      <c r="D950" s="38"/>
      <c r="F950" s="329"/>
    </row>
    <row r="951">
      <c r="A951" s="434"/>
      <c r="D951" s="38"/>
      <c r="F951" s="329"/>
    </row>
    <row r="952">
      <c r="A952" s="434"/>
      <c r="D952" s="38"/>
      <c r="F952" s="329"/>
    </row>
    <row r="953">
      <c r="A953" s="434"/>
      <c r="D953" s="38"/>
      <c r="F953" s="329"/>
    </row>
    <row r="954">
      <c r="A954" s="434"/>
      <c r="D954" s="38"/>
      <c r="F954" s="329"/>
    </row>
    <row r="955">
      <c r="A955" s="434"/>
      <c r="D955" s="38"/>
      <c r="F955" s="329"/>
    </row>
    <row r="956">
      <c r="A956" s="434"/>
      <c r="D956" s="38"/>
      <c r="F956" s="329"/>
    </row>
    <row r="957">
      <c r="A957" s="434"/>
      <c r="D957" s="38"/>
      <c r="F957" s="329"/>
    </row>
    <row r="958">
      <c r="A958" s="434"/>
      <c r="D958" s="38"/>
      <c r="F958" s="329"/>
    </row>
    <row r="959">
      <c r="A959" s="434"/>
      <c r="D959" s="38"/>
      <c r="F959" s="329"/>
    </row>
    <row r="960">
      <c r="A960" s="434"/>
      <c r="D960" s="38"/>
      <c r="F960" s="329"/>
    </row>
    <row r="961">
      <c r="A961" s="434"/>
      <c r="D961" s="38"/>
      <c r="F961" s="329"/>
    </row>
    <row r="962">
      <c r="A962" s="434"/>
      <c r="D962" s="38"/>
      <c r="F962" s="329"/>
    </row>
    <row r="963">
      <c r="A963" s="434"/>
      <c r="D963" s="38"/>
      <c r="F963" s="329"/>
    </row>
    <row r="964">
      <c r="A964" s="434"/>
      <c r="D964" s="38"/>
      <c r="F964" s="329"/>
    </row>
    <row r="965">
      <c r="A965" s="434"/>
      <c r="D965" s="38"/>
      <c r="F965" s="329"/>
    </row>
    <row r="966">
      <c r="A966" s="434"/>
      <c r="D966" s="38"/>
      <c r="F966" s="329"/>
    </row>
    <row r="967">
      <c r="A967" s="434"/>
      <c r="D967" s="38"/>
      <c r="F967" s="329"/>
    </row>
    <row r="968">
      <c r="A968" s="434"/>
      <c r="D968" s="38"/>
      <c r="F968" s="329"/>
    </row>
    <row r="969">
      <c r="A969" s="434"/>
      <c r="D969" s="38"/>
      <c r="F969" s="329"/>
    </row>
    <row r="970">
      <c r="A970" s="434"/>
      <c r="D970" s="38"/>
      <c r="F970" s="329"/>
    </row>
    <row r="971">
      <c r="A971" s="434"/>
      <c r="D971" s="38"/>
      <c r="F971" s="329"/>
    </row>
    <row r="972">
      <c r="A972" s="434"/>
      <c r="D972" s="38"/>
      <c r="F972" s="329"/>
    </row>
    <row r="973">
      <c r="A973" s="434"/>
      <c r="D973" s="38"/>
      <c r="F973" s="329"/>
    </row>
    <row r="974">
      <c r="A974" s="434"/>
      <c r="D974" s="38"/>
      <c r="F974" s="329"/>
    </row>
    <row r="975">
      <c r="A975" s="434"/>
      <c r="D975" s="38"/>
      <c r="F975" s="329"/>
    </row>
    <row r="976">
      <c r="A976" s="434"/>
      <c r="D976" s="38"/>
      <c r="F976" s="329"/>
    </row>
    <row r="977">
      <c r="A977" s="434"/>
      <c r="D977" s="38"/>
      <c r="F977" s="329"/>
    </row>
    <row r="978">
      <c r="A978" s="434"/>
      <c r="D978" s="38"/>
      <c r="F978" s="329"/>
    </row>
    <row r="979">
      <c r="A979" s="434"/>
      <c r="D979" s="38"/>
      <c r="F979" s="329"/>
    </row>
    <row r="980">
      <c r="A980" s="434"/>
      <c r="D980" s="38"/>
      <c r="F980" s="329"/>
    </row>
    <row r="981">
      <c r="A981" s="434"/>
      <c r="D981" s="38"/>
      <c r="F981" s="329"/>
    </row>
    <row r="982">
      <c r="A982" s="434"/>
      <c r="D982" s="38"/>
      <c r="F982" s="329"/>
    </row>
    <row r="983">
      <c r="A983" s="434"/>
      <c r="D983" s="38"/>
      <c r="F983" s="329"/>
    </row>
    <row r="984">
      <c r="A984" s="434"/>
      <c r="D984" s="38"/>
      <c r="F984" s="329"/>
    </row>
    <row r="985">
      <c r="A985" s="434"/>
      <c r="D985" s="38"/>
      <c r="F985" s="329"/>
    </row>
    <row r="986">
      <c r="A986" s="434"/>
      <c r="D986" s="38"/>
      <c r="F986" s="329"/>
    </row>
    <row r="987">
      <c r="A987" s="434"/>
      <c r="D987" s="38"/>
      <c r="F987" s="329"/>
    </row>
    <row r="988">
      <c r="A988" s="434"/>
      <c r="D988" s="38"/>
      <c r="F988" s="329"/>
    </row>
    <row r="989">
      <c r="A989" s="434"/>
      <c r="D989" s="38"/>
      <c r="F989" s="329"/>
    </row>
    <row r="990">
      <c r="A990" s="434"/>
      <c r="D990" s="38"/>
      <c r="F990" s="329"/>
    </row>
    <row r="991">
      <c r="A991" s="434"/>
      <c r="D991" s="38"/>
      <c r="F991" s="329"/>
    </row>
    <row r="992">
      <c r="A992" s="434"/>
      <c r="D992" s="38"/>
      <c r="F992" s="329"/>
    </row>
    <row r="993">
      <c r="A993" s="434"/>
      <c r="D993" s="38"/>
      <c r="F993" s="329"/>
    </row>
    <row r="994">
      <c r="A994" s="434"/>
      <c r="D994" s="38"/>
      <c r="F994" s="329"/>
    </row>
    <row r="995">
      <c r="A995" s="434"/>
      <c r="D995" s="38"/>
      <c r="F995" s="329"/>
    </row>
    <row r="996">
      <c r="A996" s="434"/>
      <c r="D996" s="38"/>
      <c r="F996" s="329"/>
    </row>
    <row r="997">
      <c r="A997" s="434"/>
      <c r="D997" s="38"/>
      <c r="F997" s="329"/>
    </row>
    <row r="998">
      <c r="A998" s="434"/>
      <c r="D998" s="38"/>
      <c r="F998" s="329"/>
    </row>
    <row r="999">
      <c r="A999" s="434"/>
      <c r="D999" s="38"/>
      <c r="F999" s="329"/>
    </row>
    <row r="1000">
      <c r="A1000" s="434"/>
      <c r="D1000" s="38"/>
      <c r="F1000" s="329"/>
    </row>
    <row r="1001">
      <c r="A1001" s="434"/>
      <c r="D1001" s="38"/>
      <c r="F1001" s="329"/>
    </row>
    <row r="1002">
      <c r="A1002" s="434"/>
      <c r="D1002" s="38"/>
      <c r="F1002" s="329"/>
    </row>
    <row r="1003">
      <c r="A1003" s="434"/>
      <c r="D1003" s="38"/>
      <c r="F1003" s="329"/>
    </row>
    <row r="1004">
      <c r="A1004" s="434"/>
      <c r="D1004" s="38"/>
      <c r="F1004" s="329"/>
    </row>
    <row r="1005">
      <c r="A1005" s="434"/>
      <c r="D1005" s="38"/>
      <c r="F1005" s="329"/>
    </row>
  </sheetData>
  <autoFilter ref="$D$1:$D$1005"/>
  <hyperlinks>
    <hyperlink r:id="rId1" ref="E3"/>
    <hyperlink r:id="rId2" ref="E7"/>
    <hyperlink r:id="rId3" ref="E9"/>
    <hyperlink r:id="rId4" ref="E10"/>
    <hyperlink r:id="rId5" ref="E11"/>
    <hyperlink r:id="rId6" ref="E13"/>
    <hyperlink r:id="rId7" ref="E14"/>
    <hyperlink r:id="rId8" ref="H14"/>
    <hyperlink r:id="rId9" ref="E17"/>
    <hyperlink r:id="rId10" ref="E18"/>
    <hyperlink r:id="rId11" ref="E19"/>
    <hyperlink r:id="rId12" ref="E21"/>
    <hyperlink r:id="rId13" ref="E23"/>
    <hyperlink r:id="rId14" ref="E25"/>
    <hyperlink r:id="rId15" ref="E27"/>
    <hyperlink r:id="rId16" ref="E29"/>
    <hyperlink r:id="rId17" ref="E30"/>
    <hyperlink r:id="rId18" ref="E31"/>
    <hyperlink r:id="rId19" ref="E32"/>
    <hyperlink r:id="rId20" ref="E33"/>
    <hyperlink r:id="rId21" ref="E35"/>
    <hyperlink r:id="rId22" ref="E36"/>
    <hyperlink r:id="rId23" ref="E37"/>
    <hyperlink r:id="rId24" ref="E39"/>
    <hyperlink r:id="rId25" ref="D40"/>
    <hyperlink r:id="rId26" ref="E40"/>
    <hyperlink r:id="rId27" ref="B41"/>
    <hyperlink r:id="rId28" ref="E41"/>
    <hyperlink r:id="rId29" ref="E43"/>
    <hyperlink r:id="rId30" ref="H43"/>
    <hyperlink r:id="rId31" ref="E44"/>
    <hyperlink r:id="rId32" ref="E48"/>
    <hyperlink r:id="rId33" ref="E49"/>
    <hyperlink r:id="rId34" ref="H49"/>
    <hyperlink r:id="rId35" ref="E50"/>
    <hyperlink r:id="rId36" ref="E51"/>
    <hyperlink r:id="rId37" ref="E52"/>
    <hyperlink r:id="rId38" ref="E58"/>
    <hyperlink r:id="rId39" ref="E59"/>
    <hyperlink r:id="rId40" ref="E61"/>
    <hyperlink r:id="rId41" ref="E62"/>
    <hyperlink r:id="rId42" ref="E63"/>
    <hyperlink r:id="rId43" ref="E64"/>
    <hyperlink r:id="rId44" ref="E65"/>
    <hyperlink r:id="rId45" ref="E67"/>
    <hyperlink r:id="rId46" ref="E69"/>
    <hyperlink r:id="rId47" ref="E73"/>
    <hyperlink r:id="rId48" ref="E75"/>
    <hyperlink r:id="rId49" ref="E76"/>
    <hyperlink r:id="rId50" ref="E77"/>
    <hyperlink r:id="rId51" ref="E78"/>
    <hyperlink r:id="rId52" ref="E79"/>
    <hyperlink r:id="rId53" ref="E81"/>
    <hyperlink r:id="rId54" ref="E82"/>
    <hyperlink r:id="rId55" ref="E84"/>
    <hyperlink r:id="rId56" ref="E85"/>
    <hyperlink r:id="rId57" ref="E86"/>
    <hyperlink r:id="rId58" ref="E88"/>
    <hyperlink r:id="rId59" ref="E89"/>
    <hyperlink r:id="rId60" ref="E93"/>
    <hyperlink r:id="rId61" ref="E94"/>
    <hyperlink r:id="rId62" ref="E95"/>
    <hyperlink r:id="rId63" ref="E97"/>
    <hyperlink r:id="rId64" ref="E99"/>
    <hyperlink r:id="rId65" ref="E100"/>
    <hyperlink r:id="rId66" ref="E101"/>
    <hyperlink r:id="rId67" ref="E102"/>
    <hyperlink r:id="rId68" ref="E103"/>
    <hyperlink r:id="rId69" ref="E104"/>
    <hyperlink r:id="rId70" ref="E105"/>
    <hyperlink r:id="rId71" ref="E107"/>
    <hyperlink r:id="rId72" ref="E109"/>
    <hyperlink r:id="rId73" ref="H109"/>
    <hyperlink r:id="rId74" ref="E110"/>
    <hyperlink r:id="rId75" ref="E111"/>
  </hyperlinks>
  <drawing r:id="rId7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7.14"/>
    <col customWidth="1" min="2" max="2" width="20.14"/>
    <col customWidth="1" min="4" max="4" width="20.43"/>
    <col customWidth="1" min="5" max="5" width="32.43"/>
    <col customWidth="1" min="8" max="8" width="28.29"/>
  </cols>
  <sheetData>
    <row r="1">
      <c r="A1" s="385" t="s">
        <v>0</v>
      </c>
      <c r="B1" s="386" t="s">
        <v>1</v>
      </c>
      <c r="C1" s="386" t="s">
        <v>1817</v>
      </c>
      <c r="D1" s="431" t="s">
        <v>2</v>
      </c>
      <c r="E1" s="386" t="s">
        <v>3</v>
      </c>
      <c r="F1" s="386" t="s">
        <v>4</v>
      </c>
      <c r="G1" s="386" t="s">
        <v>6</v>
      </c>
      <c r="H1" s="387" t="s">
        <v>8</v>
      </c>
      <c r="I1" s="386" t="s">
        <v>9</v>
      </c>
      <c r="J1" s="391"/>
      <c r="K1" s="106"/>
      <c r="L1" s="106"/>
      <c r="M1" s="106"/>
      <c r="N1" s="106"/>
      <c r="O1" s="106"/>
      <c r="P1" s="106"/>
      <c r="Q1" s="106"/>
      <c r="R1" s="106"/>
      <c r="S1" s="106"/>
      <c r="T1" s="106"/>
      <c r="U1" s="106"/>
      <c r="V1" s="106"/>
      <c r="W1" s="106"/>
      <c r="X1" s="106"/>
      <c r="Y1" s="106"/>
      <c r="Z1" s="106"/>
      <c r="AA1" s="106"/>
      <c r="AB1" s="106"/>
      <c r="AC1" s="106"/>
      <c r="AD1" s="106"/>
      <c r="AE1" s="106"/>
      <c r="AF1" s="106"/>
    </row>
    <row r="2">
      <c r="A2" s="433">
        <v>43160.0</v>
      </c>
      <c r="D2" s="38"/>
    </row>
    <row r="3">
      <c r="A3" s="434"/>
      <c r="B3" s="394" t="s">
        <v>3833</v>
      </c>
      <c r="D3" s="75" t="s">
        <v>3834</v>
      </c>
      <c r="E3" s="398" t="s">
        <v>3662</v>
      </c>
      <c r="F3" s="36" t="s">
        <v>2283</v>
      </c>
      <c r="G3" s="36" t="s">
        <v>2284</v>
      </c>
      <c r="H3" s="36" t="s">
        <v>3835</v>
      </c>
      <c r="I3" s="36" t="s">
        <v>32</v>
      </c>
    </row>
    <row r="4">
      <c r="A4" s="434"/>
      <c r="B4" s="394" t="s">
        <v>188</v>
      </c>
      <c r="D4" s="42" t="s">
        <v>3836</v>
      </c>
      <c r="E4" s="398" t="s">
        <v>3837</v>
      </c>
      <c r="F4" s="36" t="s">
        <v>2283</v>
      </c>
      <c r="G4" s="36" t="s">
        <v>2284</v>
      </c>
      <c r="H4" s="36" t="s">
        <v>3838</v>
      </c>
      <c r="I4" s="36" t="s">
        <v>32</v>
      </c>
    </row>
    <row r="5">
      <c r="A5" s="434"/>
      <c r="D5" s="42" t="s">
        <v>3839</v>
      </c>
      <c r="G5" s="36" t="s">
        <v>2284</v>
      </c>
      <c r="H5" s="36" t="s">
        <v>2769</v>
      </c>
      <c r="J5" s="36" t="s">
        <v>3840</v>
      </c>
    </row>
    <row r="6">
      <c r="A6" s="433">
        <v>43162.0</v>
      </c>
      <c r="D6" s="38"/>
    </row>
    <row r="7">
      <c r="A7" s="434"/>
      <c r="D7" s="38"/>
    </row>
    <row r="8">
      <c r="A8" s="434"/>
      <c r="B8" s="394" t="s">
        <v>3841</v>
      </c>
      <c r="D8" s="42" t="s">
        <v>3842</v>
      </c>
      <c r="E8" s="398" t="s">
        <v>3843</v>
      </c>
      <c r="F8" s="36" t="s">
        <v>2283</v>
      </c>
      <c r="G8" s="36" t="s">
        <v>2284</v>
      </c>
      <c r="H8" s="437" t="s">
        <v>3460</v>
      </c>
      <c r="I8" s="36" t="s">
        <v>32</v>
      </c>
    </row>
    <row r="9">
      <c r="A9" s="434"/>
      <c r="B9" s="394" t="s">
        <v>3844</v>
      </c>
      <c r="D9" s="42" t="s">
        <v>3845</v>
      </c>
      <c r="E9" s="398" t="s">
        <v>3846</v>
      </c>
      <c r="F9" s="36" t="s">
        <v>2283</v>
      </c>
      <c r="G9" s="36" t="s">
        <v>2284</v>
      </c>
      <c r="H9" s="437" t="s">
        <v>3460</v>
      </c>
      <c r="I9" s="36" t="s">
        <v>32</v>
      </c>
    </row>
    <row r="10">
      <c r="A10" s="434"/>
      <c r="B10" s="394" t="s">
        <v>3847</v>
      </c>
      <c r="D10" s="42" t="s">
        <v>3848</v>
      </c>
      <c r="E10" s="398" t="s">
        <v>3849</v>
      </c>
      <c r="F10" s="36" t="s">
        <v>2283</v>
      </c>
      <c r="G10" s="36" t="s">
        <v>2333</v>
      </c>
      <c r="H10" s="36" t="s">
        <v>3098</v>
      </c>
    </row>
    <row r="11">
      <c r="A11" s="434"/>
      <c r="B11" s="485" t="s">
        <v>3850</v>
      </c>
      <c r="D11" s="38"/>
      <c r="E11" s="36" t="s">
        <v>3851</v>
      </c>
      <c r="H11" s="36" t="s">
        <v>3852</v>
      </c>
    </row>
    <row r="12">
      <c r="A12" s="434"/>
      <c r="B12" s="394" t="s">
        <v>3853</v>
      </c>
      <c r="D12" s="42" t="s">
        <v>3854</v>
      </c>
      <c r="E12" s="398" t="s">
        <v>3855</v>
      </c>
      <c r="F12" s="36" t="s">
        <v>2283</v>
      </c>
      <c r="G12" s="36" t="s">
        <v>2284</v>
      </c>
      <c r="H12" s="437" t="s">
        <v>3856</v>
      </c>
    </row>
    <row r="13">
      <c r="A13" s="433">
        <v>43163.0</v>
      </c>
      <c r="D13" s="38"/>
    </row>
    <row r="14">
      <c r="A14" s="434"/>
      <c r="B14" s="36" t="s">
        <v>3779</v>
      </c>
      <c r="D14" s="42" t="s">
        <v>3857</v>
      </c>
      <c r="F14" s="36" t="s">
        <v>2293</v>
      </c>
      <c r="G14" s="36" t="s">
        <v>2284</v>
      </c>
      <c r="H14" s="36" t="s">
        <v>3858</v>
      </c>
      <c r="I14" s="36" t="s">
        <v>158</v>
      </c>
    </row>
    <row r="15">
      <c r="A15" s="434"/>
      <c r="B15" s="36" t="s">
        <v>3859</v>
      </c>
      <c r="D15" s="42" t="s">
        <v>3860</v>
      </c>
      <c r="G15" s="36" t="s">
        <v>2284</v>
      </c>
      <c r="H15" s="36" t="s">
        <v>3861</v>
      </c>
      <c r="J15" s="36" t="s">
        <v>3862</v>
      </c>
      <c r="K15" s="36" t="s">
        <v>3863</v>
      </c>
    </row>
    <row r="16">
      <c r="A16" s="434"/>
      <c r="B16" s="36" t="s">
        <v>3864</v>
      </c>
      <c r="D16" s="42" t="s">
        <v>3865</v>
      </c>
      <c r="H16" s="36" t="s">
        <v>3866</v>
      </c>
      <c r="I16" s="36" t="s">
        <v>3867</v>
      </c>
    </row>
    <row r="17">
      <c r="A17" s="433">
        <v>43164.0</v>
      </c>
      <c r="D17" s="38"/>
    </row>
    <row r="18">
      <c r="A18" s="434"/>
      <c r="B18" s="36" t="s">
        <v>3868</v>
      </c>
      <c r="D18" s="42" t="s">
        <v>3869</v>
      </c>
      <c r="G18" s="36" t="s">
        <v>2284</v>
      </c>
      <c r="H18" s="36" t="s">
        <v>3870</v>
      </c>
      <c r="I18" s="36" t="s">
        <v>32</v>
      </c>
    </row>
    <row r="19">
      <c r="A19" s="433">
        <v>43165.0</v>
      </c>
      <c r="D19" s="38"/>
    </row>
    <row r="20">
      <c r="A20" s="434"/>
      <c r="B20" s="394" t="s">
        <v>3853</v>
      </c>
      <c r="D20" s="42" t="s">
        <v>3871</v>
      </c>
      <c r="E20" s="398" t="s">
        <v>3855</v>
      </c>
      <c r="F20" s="36" t="s">
        <v>2283</v>
      </c>
      <c r="G20" s="36" t="s">
        <v>2342</v>
      </c>
      <c r="H20" s="437" t="s">
        <v>3856</v>
      </c>
    </row>
    <row r="21">
      <c r="A21" s="434"/>
      <c r="B21" s="394" t="s">
        <v>3872</v>
      </c>
      <c r="D21" s="42" t="s">
        <v>3873</v>
      </c>
      <c r="E21" s="398" t="s">
        <v>3874</v>
      </c>
      <c r="F21" s="36" t="s">
        <v>2283</v>
      </c>
      <c r="G21" s="36" t="s">
        <v>2333</v>
      </c>
      <c r="H21" s="36" t="s">
        <v>3875</v>
      </c>
    </row>
    <row r="22">
      <c r="A22" s="433">
        <v>43166.0</v>
      </c>
      <c r="D22" s="38"/>
    </row>
    <row r="23">
      <c r="A23" s="433"/>
      <c r="B23" s="394" t="s">
        <v>3876</v>
      </c>
      <c r="D23" s="42" t="s">
        <v>3877</v>
      </c>
      <c r="E23" s="398" t="s">
        <v>3878</v>
      </c>
      <c r="F23" s="36" t="s">
        <v>2283</v>
      </c>
      <c r="G23" s="36" t="s">
        <v>2284</v>
      </c>
      <c r="H23" s="437" t="s">
        <v>2582</v>
      </c>
      <c r="I23" s="36" t="s">
        <v>32</v>
      </c>
    </row>
    <row r="24">
      <c r="A24" s="434"/>
      <c r="B24" s="394" t="s">
        <v>1222</v>
      </c>
      <c r="D24" s="75" t="s">
        <v>3879</v>
      </c>
      <c r="E24" s="398" t="s">
        <v>1224</v>
      </c>
      <c r="G24" s="36" t="s">
        <v>2284</v>
      </c>
      <c r="H24" s="437" t="s">
        <v>3880</v>
      </c>
      <c r="I24" s="36" t="s">
        <v>32</v>
      </c>
    </row>
    <row r="25">
      <c r="A25" s="434"/>
      <c r="B25" s="36" t="s">
        <v>3881</v>
      </c>
      <c r="D25" s="42" t="s">
        <v>3882</v>
      </c>
      <c r="G25" s="36" t="s">
        <v>2284</v>
      </c>
      <c r="H25" s="36" t="s">
        <v>3883</v>
      </c>
    </row>
    <row r="26">
      <c r="A26" s="433">
        <v>43169.0</v>
      </c>
      <c r="D26" s="38"/>
    </row>
    <row r="27">
      <c r="A27" s="434"/>
      <c r="B27" s="394" t="s">
        <v>3884</v>
      </c>
      <c r="D27" s="42" t="s">
        <v>3885</v>
      </c>
      <c r="E27" s="398" t="s">
        <v>3886</v>
      </c>
      <c r="F27" s="36" t="s">
        <v>2283</v>
      </c>
      <c r="G27" s="36" t="s">
        <v>2342</v>
      </c>
      <c r="H27" s="36" t="s">
        <v>3887</v>
      </c>
    </row>
    <row r="28">
      <c r="A28" s="434"/>
      <c r="B28" s="394" t="s">
        <v>3888</v>
      </c>
      <c r="D28" s="42" t="s">
        <v>3889</v>
      </c>
      <c r="E28" s="398" t="s">
        <v>3890</v>
      </c>
      <c r="F28" s="36" t="s">
        <v>2283</v>
      </c>
      <c r="G28" s="36" t="s">
        <v>2284</v>
      </c>
      <c r="H28" s="36" t="s">
        <v>3620</v>
      </c>
      <c r="I28" s="36" t="s">
        <v>32</v>
      </c>
    </row>
    <row r="29">
      <c r="A29" s="434"/>
      <c r="B29" s="394" t="s">
        <v>3891</v>
      </c>
      <c r="D29" s="75" t="s">
        <v>3892</v>
      </c>
      <c r="E29" s="398" t="s">
        <v>3893</v>
      </c>
      <c r="F29" s="36" t="s">
        <v>2283</v>
      </c>
      <c r="G29" s="36" t="s">
        <v>2333</v>
      </c>
      <c r="H29" s="36" t="s">
        <v>1481</v>
      </c>
      <c r="I29" s="36" t="s">
        <v>32</v>
      </c>
    </row>
    <row r="30">
      <c r="A30" s="434"/>
      <c r="B30" s="394" t="s">
        <v>3894</v>
      </c>
      <c r="D30" s="42" t="s">
        <v>3895</v>
      </c>
      <c r="E30" s="398" t="s">
        <v>3896</v>
      </c>
      <c r="F30" s="36" t="s">
        <v>2283</v>
      </c>
      <c r="G30" s="36" t="s">
        <v>2333</v>
      </c>
      <c r="H30" s="36" t="s">
        <v>3897</v>
      </c>
    </row>
    <row r="31">
      <c r="A31" s="434"/>
      <c r="B31" s="394" t="s">
        <v>3898</v>
      </c>
      <c r="D31" s="19">
        <v>9.292209489E9</v>
      </c>
      <c r="E31" s="398" t="s">
        <v>3899</v>
      </c>
      <c r="F31" s="36" t="s">
        <v>2283</v>
      </c>
      <c r="G31" s="36" t="s">
        <v>2333</v>
      </c>
      <c r="H31" s="36" t="s">
        <v>3900</v>
      </c>
    </row>
    <row r="32">
      <c r="A32" s="434"/>
      <c r="B32" s="394" t="s">
        <v>3898</v>
      </c>
      <c r="D32" s="75" t="s">
        <v>3901</v>
      </c>
      <c r="E32" s="398" t="s">
        <v>3899</v>
      </c>
      <c r="F32" s="36" t="s">
        <v>2283</v>
      </c>
      <c r="G32" s="36" t="s">
        <v>2333</v>
      </c>
      <c r="H32" s="36" t="s">
        <v>3902</v>
      </c>
      <c r="I32" s="36" t="s">
        <v>32</v>
      </c>
    </row>
    <row r="33">
      <c r="A33" s="433">
        <v>43170.0</v>
      </c>
      <c r="D33" s="38"/>
    </row>
    <row r="34">
      <c r="A34" s="434"/>
      <c r="B34" s="394" t="s">
        <v>1222</v>
      </c>
      <c r="D34" s="75" t="s">
        <v>3879</v>
      </c>
      <c r="E34" s="36" t="s">
        <v>3903</v>
      </c>
      <c r="F34" s="36" t="s">
        <v>2283</v>
      </c>
      <c r="G34" s="36" t="s">
        <v>2284</v>
      </c>
      <c r="H34" s="362" t="s">
        <v>3904</v>
      </c>
      <c r="I34" s="36" t="s">
        <v>32</v>
      </c>
    </row>
    <row r="35">
      <c r="A35" s="434"/>
      <c r="B35" s="222" t="s">
        <v>3905</v>
      </c>
      <c r="D35" s="42" t="s">
        <v>3906</v>
      </c>
      <c r="E35" s="36" t="s">
        <v>3907</v>
      </c>
      <c r="F35" s="364" t="s">
        <v>2440</v>
      </c>
      <c r="G35" s="364" t="s">
        <v>2284</v>
      </c>
      <c r="H35" s="222" t="s">
        <v>3908</v>
      </c>
    </row>
    <row r="36">
      <c r="A36" s="434"/>
      <c r="D36" s="42" t="s">
        <v>3909</v>
      </c>
      <c r="G36" s="36" t="s">
        <v>2284</v>
      </c>
      <c r="H36" s="36" t="s">
        <v>3910</v>
      </c>
    </row>
    <row r="37">
      <c r="A37" s="433">
        <v>43171.0</v>
      </c>
      <c r="B37" s="394"/>
      <c r="D37" s="19"/>
      <c r="E37" s="394"/>
      <c r="F37" s="36"/>
      <c r="G37" s="36"/>
      <c r="H37" s="36"/>
    </row>
    <row r="38">
      <c r="A38" s="434"/>
      <c r="B38" s="394" t="s">
        <v>3911</v>
      </c>
      <c r="D38" s="42" t="s">
        <v>3912</v>
      </c>
      <c r="E38" s="398" t="s">
        <v>3913</v>
      </c>
      <c r="F38" s="36" t="s">
        <v>2283</v>
      </c>
      <c r="G38" s="36" t="s">
        <v>2333</v>
      </c>
      <c r="H38" s="36" t="s">
        <v>3897</v>
      </c>
    </row>
    <row r="39">
      <c r="A39" s="434"/>
      <c r="B39" s="394" t="s">
        <v>3914</v>
      </c>
      <c r="D39" s="42" t="s">
        <v>3915</v>
      </c>
      <c r="E39" s="398" t="s">
        <v>3916</v>
      </c>
      <c r="F39" s="36" t="s">
        <v>2283</v>
      </c>
      <c r="G39" s="36" t="s">
        <v>2284</v>
      </c>
      <c r="H39" s="486" t="s">
        <v>3917</v>
      </c>
      <c r="I39" s="36" t="s">
        <v>32</v>
      </c>
    </row>
    <row r="40">
      <c r="A40" s="433">
        <v>43173.0</v>
      </c>
      <c r="D40" s="38"/>
    </row>
    <row r="41">
      <c r="A41" s="434"/>
      <c r="B41" s="394" t="s">
        <v>3918</v>
      </c>
      <c r="D41" s="42" t="s">
        <v>3919</v>
      </c>
      <c r="E41" s="398" t="s">
        <v>3920</v>
      </c>
      <c r="F41" s="36" t="s">
        <v>2283</v>
      </c>
      <c r="G41" s="36" t="s">
        <v>2284</v>
      </c>
      <c r="H41" s="36" t="s">
        <v>3921</v>
      </c>
      <c r="I41" s="36" t="s">
        <v>65</v>
      </c>
    </row>
    <row r="42">
      <c r="A42" s="434"/>
      <c r="B42" s="394" t="s">
        <v>3922</v>
      </c>
      <c r="D42" s="42" t="s">
        <v>3923</v>
      </c>
      <c r="E42" s="398" t="s">
        <v>3924</v>
      </c>
      <c r="F42" s="36" t="s">
        <v>2283</v>
      </c>
      <c r="G42" s="36" t="s">
        <v>2284</v>
      </c>
      <c r="H42" s="36" t="s">
        <v>3921</v>
      </c>
    </row>
    <row r="43">
      <c r="A43" s="433">
        <v>43176.0</v>
      </c>
      <c r="D43" s="38"/>
    </row>
    <row r="44">
      <c r="A44" s="434"/>
      <c r="B44" s="394" t="s">
        <v>3925</v>
      </c>
      <c r="D44" s="42" t="s">
        <v>3926</v>
      </c>
      <c r="E44" s="398" t="s">
        <v>3927</v>
      </c>
      <c r="F44" s="36" t="s">
        <v>2283</v>
      </c>
      <c r="G44" s="36" t="s">
        <v>2284</v>
      </c>
      <c r="H44" s="36" t="s">
        <v>3928</v>
      </c>
    </row>
    <row r="45">
      <c r="A45" s="433">
        <v>43178.0</v>
      </c>
      <c r="D45" s="38"/>
    </row>
    <row r="46">
      <c r="A46" s="434"/>
      <c r="B46" s="394" t="s">
        <v>3929</v>
      </c>
      <c r="D46" s="75" t="s">
        <v>3930</v>
      </c>
      <c r="E46" s="398" t="s">
        <v>3931</v>
      </c>
      <c r="F46" s="36" t="s">
        <v>2283</v>
      </c>
      <c r="G46" s="36" t="s">
        <v>2956</v>
      </c>
      <c r="H46" s="36" t="s">
        <v>3932</v>
      </c>
    </row>
    <row r="47">
      <c r="A47" s="434"/>
      <c r="B47" s="117" t="s">
        <v>3933</v>
      </c>
      <c r="D47" s="75" t="s">
        <v>3934</v>
      </c>
      <c r="E47" s="257" t="s">
        <v>3935</v>
      </c>
      <c r="F47" s="36" t="s">
        <v>2293</v>
      </c>
      <c r="G47" s="36" t="s">
        <v>2956</v>
      </c>
      <c r="H47" s="36" t="s">
        <v>3875</v>
      </c>
      <c r="I47" s="36" t="s">
        <v>998</v>
      </c>
    </row>
    <row r="48">
      <c r="A48" s="433">
        <v>43151.0</v>
      </c>
      <c r="D48" s="38"/>
    </row>
    <row r="49">
      <c r="A49" s="434"/>
      <c r="B49" s="394" t="s">
        <v>3936</v>
      </c>
      <c r="D49" s="42" t="s">
        <v>3937</v>
      </c>
      <c r="E49" s="398" t="s">
        <v>3938</v>
      </c>
      <c r="F49" s="36" t="s">
        <v>2283</v>
      </c>
      <c r="G49" s="36" t="s">
        <v>2956</v>
      </c>
      <c r="H49" s="36" t="s">
        <v>3027</v>
      </c>
    </row>
    <row r="50">
      <c r="A50" s="433">
        <v>43180.0</v>
      </c>
      <c r="B50" s="394"/>
      <c r="D50" s="38"/>
    </row>
    <row r="51">
      <c r="A51" s="434"/>
      <c r="B51" s="394" t="s">
        <v>3939</v>
      </c>
      <c r="D51" s="75" t="s">
        <v>3940</v>
      </c>
      <c r="E51" s="398" t="s">
        <v>3941</v>
      </c>
      <c r="F51" s="36" t="s">
        <v>2283</v>
      </c>
      <c r="H51" s="394" t="s">
        <v>3140</v>
      </c>
      <c r="I51" s="36" t="s">
        <v>2838</v>
      </c>
    </row>
    <row r="52">
      <c r="A52" s="434"/>
      <c r="B52" s="394" t="s">
        <v>3847</v>
      </c>
      <c r="D52" s="42" t="s">
        <v>3942</v>
      </c>
      <c r="E52" s="398" t="s">
        <v>3849</v>
      </c>
      <c r="F52" s="36" t="s">
        <v>2283</v>
      </c>
      <c r="G52" s="36" t="s">
        <v>2956</v>
      </c>
      <c r="H52" s="36" t="s">
        <v>3943</v>
      </c>
      <c r="I52" s="36" t="s">
        <v>32</v>
      </c>
    </row>
    <row r="53">
      <c r="A53" s="433">
        <v>43181.0</v>
      </c>
      <c r="D53" s="38"/>
    </row>
    <row r="54">
      <c r="A54" s="434"/>
      <c r="B54" s="394" t="s">
        <v>3944</v>
      </c>
      <c r="D54" s="475">
        <f>+971554264264</f>
        <v>971554264264</v>
      </c>
      <c r="E54" s="398" t="s">
        <v>3945</v>
      </c>
      <c r="F54" s="36" t="s">
        <v>2283</v>
      </c>
      <c r="H54" s="117" t="s">
        <v>3946</v>
      </c>
      <c r="I54" s="36" t="s">
        <v>32</v>
      </c>
    </row>
    <row r="55">
      <c r="A55" s="434"/>
      <c r="B55" s="394" t="s">
        <v>3185</v>
      </c>
      <c r="D55" s="42" t="s">
        <v>3947</v>
      </c>
      <c r="E55" s="398" t="s">
        <v>3948</v>
      </c>
      <c r="F55" s="36" t="s">
        <v>2283</v>
      </c>
      <c r="H55" s="117" t="s">
        <v>3946</v>
      </c>
      <c r="I55" s="36" t="s">
        <v>32</v>
      </c>
    </row>
    <row r="56">
      <c r="A56" s="434"/>
      <c r="B56" s="117" t="s">
        <v>3949</v>
      </c>
      <c r="D56" s="75" t="s">
        <v>3950</v>
      </c>
      <c r="E56" s="257" t="s">
        <v>3951</v>
      </c>
      <c r="F56" s="370" t="s">
        <v>2324</v>
      </c>
      <c r="G56" s="370" t="s">
        <v>2956</v>
      </c>
      <c r="H56" s="36" t="s">
        <v>3952</v>
      </c>
      <c r="I56" s="36" t="s">
        <v>3953</v>
      </c>
    </row>
    <row r="57">
      <c r="A57" s="434"/>
      <c r="B57" s="394" t="s">
        <v>3954</v>
      </c>
      <c r="D57" s="42" t="s">
        <v>3955</v>
      </c>
      <c r="E57" s="398" t="s">
        <v>3956</v>
      </c>
      <c r="F57" s="36" t="s">
        <v>2283</v>
      </c>
      <c r="H57" s="362" t="s">
        <v>2639</v>
      </c>
      <c r="I57" s="36" t="s">
        <v>3957</v>
      </c>
    </row>
    <row r="58">
      <c r="A58" s="433">
        <v>43183.0</v>
      </c>
      <c r="D58" s="38"/>
    </row>
    <row r="59">
      <c r="A59" s="434"/>
      <c r="B59" s="394" t="s">
        <v>3958</v>
      </c>
      <c r="D59" s="75" t="s">
        <v>3959</v>
      </c>
      <c r="E59" s="398" t="s">
        <v>3960</v>
      </c>
      <c r="F59" s="36" t="s">
        <v>2283</v>
      </c>
      <c r="H59" s="362" t="s">
        <v>3904</v>
      </c>
      <c r="I59" s="36" t="s">
        <v>32</v>
      </c>
    </row>
    <row r="60">
      <c r="A60" s="433">
        <v>43184.0</v>
      </c>
      <c r="D60" s="19"/>
      <c r="E60" s="117"/>
      <c r="F60" s="36"/>
      <c r="G60" s="36"/>
      <c r="H60" s="36"/>
      <c r="I60" s="36"/>
    </row>
    <row r="61">
      <c r="A61" s="434"/>
      <c r="D61" s="75" t="s">
        <v>3961</v>
      </c>
      <c r="E61" s="257" t="s">
        <v>3962</v>
      </c>
      <c r="F61" s="36" t="s">
        <v>2293</v>
      </c>
      <c r="G61" s="36" t="s">
        <v>2284</v>
      </c>
      <c r="H61" s="36" t="s">
        <v>3963</v>
      </c>
      <c r="I61" s="36" t="s">
        <v>32</v>
      </c>
    </row>
    <row r="62">
      <c r="A62" s="433">
        <v>43185.0</v>
      </c>
      <c r="D62" s="38"/>
    </row>
    <row r="63">
      <c r="A63" s="434"/>
      <c r="B63" s="394" t="s">
        <v>3964</v>
      </c>
      <c r="D63" s="75" t="s">
        <v>3965</v>
      </c>
      <c r="E63" s="398" t="s">
        <v>3966</v>
      </c>
      <c r="F63" s="36" t="s">
        <v>2283</v>
      </c>
      <c r="H63" s="394" t="s">
        <v>3967</v>
      </c>
    </row>
    <row r="64">
      <c r="A64" s="433">
        <v>43186.0</v>
      </c>
      <c r="D64" s="38"/>
    </row>
    <row r="65">
      <c r="A65" s="434"/>
      <c r="B65" s="299" t="s">
        <v>3968</v>
      </c>
      <c r="D65" s="42" t="s">
        <v>3969</v>
      </c>
      <c r="E65" s="253" t="s">
        <v>3970</v>
      </c>
      <c r="F65" s="370" t="s">
        <v>2324</v>
      </c>
      <c r="G65" s="370" t="s">
        <v>2284</v>
      </c>
      <c r="H65" s="36" t="s">
        <v>3971</v>
      </c>
    </row>
    <row r="66">
      <c r="A66" s="433"/>
      <c r="B66" s="394" t="s">
        <v>3972</v>
      </c>
      <c r="D66" s="75" t="s">
        <v>3973</v>
      </c>
      <c r="E66" s="398" t="s">
        <v>3974</v>
      </c>
      <c r="F66" s="36" t="s">
        <v>2283</v>
      </c>
      <c r="G66" s="36" t="s">
        <v>2284</v>
      </c>
      <c r="H66" s="362" t="s">
        <v>3360</v>
      </c>
      <c r="I66" s="36" t="s">
        <v>32</v>
      </c>
    </row>
    <row r="67">
      <c r="A67" s="433"/>
      <c r="D67" s="38"/>
      <c r="H67" s="362" t="s">
        <v>3904</v>
      </c>
    </row>
    <row r="68">
      <c r="A68" s="433">
        <v>43187.0</v>
      </c>
      <c r="D68" s="38"/>
    </row>
    <row r="69">
      <c r="A69" s="434"/>
      <c r="B69" s="394" t="s">
        <v>3980</v>
      </c>
      <c r="D69" s="75" t="s">
        <v>3981</v>
      </c>
      <c r="E69" s="398" t="s">
        <v>3982</v>
      </c>
      <c r="F69" s="36" t="s">
        <v>2283</v>
      </c>
      <c r="G69" s="36" t="s">
        <v>2284</v>
      </c>
      <c r="H69" s="362" t="s">
        <v>3986</v>
      </c>
      <c r="I69" s="36" t="s">
        <v>32</v>
      </c>
    </row>
    <row r="70">
      <c r="A70" s="434"/>
      <c r="B70" s="491" t="s">
        <v>3988</v>
      </c>
      <c r="D70" s="492" t="s">
        <v>3989</v>
      </c>
      <c r="E70" s="438" t="s">
        <v>3990</v>
      </c>
      <c r="F70" s="36" t="s">
        <v>2283</v>
      </c>
      <c r="G70" s="36" t="s">
        <v>2333</v>
      </c>
      <c r="H70" s="36" t="s">
        <v>3098</v>
      </c>
    </row>
    <row r="71">
      <c r="A71" s="433">
        <v>43188.0</v>
      </c>
      <c r="D71" s="38"/>
    </row>
    <row r="72">
      <c r="A72" s="434"/>
      <c r="B72" s="394" t="s">
        <v>3991</v>
      </c>
      <c r="D72" s="75" t="s">
        <v>3992</v>
      </c>
      <c r="E72" s="398" t="s">
        <v>3993</v>
      </c>
      <c r="F72" s="36" t="s">
        <v>2283</v>
      </c>
      <c r="G72" s="36" t="s">
        <v>2333</v>
      </c>
      <c r="H72" s="437" t="s">
        <v>3489</v>
      </c>
    </row>
    <row r="73">
      <c r="A73" s="434"/>
      <c r="B73" s="394" t="s">
        <v>3994</v>
      </c>
      <c r="D73" s="42" t="s">
        <v>3995</v>
      </c>
      <c r="E73" s="36" t="s">
        <v>3996</v>
      </c>
      <c r="F73" s="36" t="s">
        <v>2283</v>
      </c>
      <c r="G73" s="36" t="s">
        <v>2528</v>
      </c>
      <c r="H73" s="437" t="s">
        <v>3997</v>
      </c>
      <c r="I73" s="36" t="s">
        <v>2838</v>
      </c>
    </row>
    <row r="74">
      <c r="A74" s="434"/>
      <c r="B74" s="36" t="s">
        <v>4000</v>
      </c>
      <c r="D74" s="42" t="s">
        <v>4001</v>
      </c>
      <c r="E74" s="403" t="s">
        <v>4002</v>
      </c>
      <c r="F74" s="494" t="s">
        <v>2440</v>
      </c>
      <c r="G74" s="36" t="s">
        <v>2342</v>
      </c>
      <c r="H74" s="36" t="s">
        <v>4004</v>
      </c>
      <c r="I74" s="36" t="s">
        <v>32</v>
      </c>
    </row>
    <row r="75">
      <c r="A75" s="433">
        <v>43190.0</v>
      </c>
      <c r="D75" s="38"/>
    </row>
    <row r="76">
      <c r="A76" s="434"/>
      <c r="B76" s="222" t="s">
        <v>4005</v>
      </c>
      <c r="D76" s="42" t="s">
        <v>4006</v>
      </c>
      <c r="E76" s="403" t="s">
        <v>4007</v>
      </c>
      <c r="F76" s="494" t="s">
        <v>2440</v>
      </c>
      <c r="G76" s="36" t="s">
        <v>2333</v>
      </c>
      <c r="H76" s="36" t="s">
        <v>3098</v>
      </c>
    </row>
    <row r="77">
      <c r="A77" s="434"/>
      <c r="B77" s="394" t="s">
        <v>4009</v>
      </c>
      <c r="D77" s="42" t="s">
        <v>4010</v>
      </c>
      <c r="E77" s="398" t="s">
        <v>4011</v>
      </c>
      <c r="F77" s="36" t="s">
        <v>2283</v>
      </c>
      <c r="G77" s="36" t="s">
        <v>2284</v>
      </c>
      <c r="H77" s="36" t="s">
        <v>2582</v>
      </c>
      <c r="I77" s="36" t="s">
        <v>32</v>
      </c>
    </row>
    <row r="78">
      <c r="A78" s="434"/>
      <c r="B78" s="394" t="s">
        <v>3972</v>
      </c>
      <c r="D78" s="75" t="s">
        <v>4012</v>
      </c>
      <c r="E78" s="398" t="s">
        <v>4013</v>
      </c>
      <c r="F78" s="36" t="s">
        <v>2283</v>
      </c>
      <c r="G78" s="36" t="s">
        <v>2284</v>
      </c>
      <c r="H78" s="362" t="s">
        <v>3904</v>
      </c>
      <c r="I78" s="36" t="s">
        <v>32</v>
      </c>
    </row>
    <row r="79">
      <c r="A79" s="434"/>
      <c r="D79" s="42" t="s">
        <v>4014</v>
      </c>
      <c r="E79" s="403" t="s">
        <v>4015</v>
      </c>
      <c r="F79" s="494" t="s">
        <v>2440</v>
      </c>
      <c r="G79" s="36" t="s">
        <v>2284</v>
      </c>
      <c r="H79" s="222" t="s">
        <v>4016</v>
      </c>
      <c r="I79" s="36" t="s">
        <v>32</v>
      </c>
    </row>
    <row r="80">
      <c r="A80" s="434"/>
      <c r="B80" s="394" t="s">
        <v>4017</v>
      </c>
      <c r="D80" s="75" t="s">
        <v>4018</v>
      </c>
      <c r="E80" s="398" t="s">
        <v>4019</v>
      </c>
      <c r="G80" s="36" t="s">
        <v>2284</v>
      </c>
      <c r="H80" s="362" t="s">
        <v>3904</v>
      </c>
    </row>
    <row r="81">
      <c r="A81" s="434"/>
      <c r="B81" s="36" t="s">
        <v>4025</v>
      </c>
      <c r="D81" s="42" t="s">
        <v>4026</v>
      </c>
      <c r="F81" s="36" t="s">
        <v>2283</v>
      </c>
      <c r="G81" s="36" t="s">
        <v>2284</v>
      </c>
      <c r="H81" s="36" t="s">
        <v>3806</v>
      </c>
      <c r="J81" s="36" t="s">
        <v>4027</v>
      </c>
    </row>
    <row r="82">
      <c r="A82" s="434"/>
      <c r="B82" s="36" t="s">
        <v>4028</v>
      </c>
      <c r="D82" s="75" t="s">
        <v>4029</v>
      </c>
      <c r="F82" s="36" t="s">
        <v>2283</v>
      </c>
      <c r="G82" s="36" t="s">
        <v>2284</v>
      </c>
      <c r="H82" s="36" t="s">
        <v>3806</v>
      </c>
      <c r="J82" s="36" t="s">
        <v>4030</v>
      </c>
    </row>
    <row r="83">
      <c r="A83" s="434"/>
      <c r="D83" s="38"/>
    </row>
    <row r="84">
      <c r="A84" s="434"/>
      <c r="D84" s="38"/>
    </row>
    <row r="85">
      <c r="A85" s="434"/>
      <c r="D85" s="38"/>
    </row>
    <row r="86">
      <c r="A86" s="434"/>
      <c r="D86" s="38"/>
    </row>
    <row r="87">
      <c r="A87" s="434"/>
      <c r="D87" s="38"/>
    </row>
    <row r="88">
      <c r="A88" s="434"/>
      <c r="D88" s="38"/>
    </row>
    <row r="89">
      <c r="A89" s="434"/>
      <c r="D89" s="38"/>
    </row>
    <row r="90">
      <c r="A90" s="434"/>
      <c r="D90" s="38"/>
    </row>
    <row r="91">
      <c r="A91" s="434"/>
      <c r="D91" s="38"/>
    </row>
    <row r="92">
      <c r="A92" s="434"/>
      <c r="D92" s="38"/>
    </row>
    <row r="93">
      <c r="A93" s="434"/>
      <c r="D93" s="38"/>
    </row>
    <row r="94">
      <c r="A94" s="434"/>
      <c r="D94" s="38"/>
    </row>
    <row r="95">
      <c r="A95" s="434"/>
      <c r="D95" s="38"/>
    </row>
    <row r="96">
      <c r="A96" s="434"/>
      <c r="D96" s="38"/>
    </row>
    <row r="97">
      <c r="A97" s="434"/>
      <c r="D97" s="38"/>
    </row>
    <row r="98">
      <c r="A98" s="434"/>
      <c r="D98" s="38"/>
    </row>
    <row r="99">
      <c r="A99" s="434"/>
      <c r="D99" s="38"/>
    </row>
    <row r="100">
      <c r="A100" s="434"/>
      <c r="D100" s="38"/>
    </row>
    <row r="101">
      <c r="A101" s="434"/>
      <c r="D101" s="38"/>
    </row>
    <row r="102">
      <c r="A102" s="434"/>
      <c r="D102" s="38"/>
    </row>
    <row r="103">
      <c r="A103" s="434"/>
      <c r="D103" s="38"/>
    </row>
    <row r="104">
      <c r="A104" s="434"/>
      <c r="D104" s="38"/>
    </row>
    <row r="105">
      <c r="A105" s="434"/>
      <c r="D105" s="38"/>
    </row>
    <row r="106">
      <c r="A106" s="434"/>
      <c r="D106" s="38"/>
    </row>
    <row r="107">
      <c r="A107" s="434"/>
      <c r="D107" s="38"/>
    </row>
    <row r="108">
      <c r="A108" s="434"/>
      <c r="D108" s="38"/>
    </row>
    <row r="109">
      <c r="A109" s="434"/>
      <c r="D109" s="38"/>
    </row>
    <row r="110">
      <c r="A110" s="434"/>
      <c r="D110" s="38"/>
    </row>
    <row r="111">
      <c r="A111" s="434"/>
      <c r="D111" s="38"/>
    </row>
    <row r="112">
      <c r="A112" s="434"/>
      <c r="D112" s="38"/>
    </row>
    <row r="113">
      <c r="A113" s="434"/>
      <c r="D113" s="38"/>
    </row>
    <row r="114">
      <c r="A114" s="434"/>
      <c r="D114" s="38"/>
    </row>
    <row r="115">
      <c r="A115" s="434"/>
      <c r="D115" s="38"/>
    </row>
    <row r="116">
      <c r="A116" s="434"/>
      <c r="D116" s="38"/>
    </row>
    <row r="117">
      <c r="A117" s="434"/>
      <c r="D117" s="38"/>
    </row>
    <row r="118">
      <c r="A118" s="434"/>
      <c r="D118" s="38"/>
    </row>
    <row r="119">
      <c r="A119" s="434"/>
      <c r="D119" s="38"/>
    </row>
    <row r="120">
      <c r="A120" s="434"/>
      <c r="D120" s="38"/>
    </row>
    <row r="121">
      <c r="A121" s="434"/>
      <c r="D121" s="38"/>
    </row>
    <row r="122">
      <c r="A122" s="434"/>
      <c r="D122" s="38"/>
    </row>
    <row r="123">
      <c r="A123" s="434"/>
      <c r="D123" s="38"/>
    </row>
    <row r="124">
      <c r="A124" s="434"/>
      <c r="D124" s="38"/>
    </row>
    <row r="125">
      <c r="A125" s="434"/>
      <c r="D125" s="38"/>
    </row>
    <row r="126">
      <c r="A126" s="434"/>
      <c r="D126" s="38"/>
    </row>
    <row r="127">
      <c r="A127" s="434"/>
      <c r="D127" s="38"/>
    </row>
    <row r="128">
      <c r="A128" s="434"/>
      <c r="D128" s="38"/>
    </row>
    <row r="129">
      <c r="A129" s="434"/>
      <c r="D129" s="38"/>
    </row>
    <row r="130">
      <c r="A130" s="434"/>
      <c r="D130" s="38"/>
    </row>
    <row r="131">
      <c r="A131" s="434"/>
      <c r="D131" s="38"/>
    </row>
    <row r="132">
      <c r="A132" s="434"/>
      <c r="D132" s="38"/>
    </row>
    <row r="133">
      <c r="A133" s="434"/>
      <c r="D133" s="38"/>
    </row>
    <row r="134">
      <c r="A134" s="434"/>
      <c r="D134" s="38"/>
    </row>
    <row r="135">
      <c r="A135" s="434"/>
      <c r="D135" s="38"/>
    </row>
    <row r="136">
      <c r="A136" s="434"/>
      <c r="D136" s="38"/>
    </row>
    <row r="137">
      <c r="A137" s="434"/>
      <c r="D137" s="38"/>
    </row>
    <row r="138">
      <c r="A138" s="434"/>
      <c r="D138" s="38"/>
    </row>
    <row r="139">
      <c r="A139" s="434"/>
      <c r="D139" s="38"/>
    </row>
    <row r="140">
      <c r="A140" s="434"/>
      <c r="D140" s="38"/>
    </row>
    <row r="141">
      <c r="A141" s="434"/>
      <c r="D141" s="38"/>
    </row>
    <row r="142">
      <c r="A142" s="434"/>
      <c r="D142" s="38"/>
    </row>
    <row r="143">
      <c r="A143" s="434"/>
      <c r="D143" s="38"/>
    </row>
    <row r="144">
      <c r="A144" s="434"/>
      <c r="D144" s="38"/>
    </row>
    <row r="145">
      <c r="A145" s="434"/>
      <c r="D145" s="38"/>
    </row>
    <row r="146">
      <c r="A146" s="434"/>
      <c r="D146" s="38"/>
    </row>
    <row r="147">
      <c r="A147" s="434"/>
      <c r="D147" s="38"/>
    </row>
    <row r="148">
      <c r="A148" s="434"/>
      <c r="D148" s="38"/>
    </row>
    <row r="149">
      <c r="A149" s="434"/>
      <c r="D149" s="38"/>
    </row>
    <row r="150">
      <c r="A150" s="434"/>
      <c r="D150" s="38"/>
    </row>
    <row r="151">
      <c r="A151" s="434"/>
      <c r="D151" s="38"/>
    </row>
    <row r="152">
      <c r="A152" s="434"/>
      <c r="D152" s="38"/>
    </row>
    <row r="153">
      <c r="A153" s="434"/>
      <c r="D153" s="38"/>
    </row>
    <row r="154">
      <c r="A154" s="434"/>
      <c r="D154" s="38"/>
    </row>
    <row r="155">
      <c r="A155" s="434"/>
      <c r="D155" s="38"/>
    </row>
    <row r="156">
      <c r="A156" s="434"/>
      <c r="D156" s="38"/>
    </row>
    <row r="157">
      <c r="A157" s="434"/>
      <c r="D157" s="38"/>
    </row>
    <row r="158">
      <c r="A158" s="434"/>
      <c r="D158" s="38"/>
    </row>
    <row r="159">
      <c r="A159" s="434"/>
      <c r="D159" s="38"/>
    </row>
    <row r="160">
      <c r="A160" s="434"/>
      <c r="D160" s="38"/>
    </row>
    <row r="161">
      <c r="A161" s="434"/>
      <c r="D161" s="38"/>
    </row>
    <row r="162">
      <c r="A162" s="434"/>
      <c r="D162" s="38"/>
    </row>
    <row r="163">
      <c r="A163" s="434"/>
      <c r="D163" s="38"/>
    </row>
    <row r="164">
      <c r="A164" s="434"/>
      <c r="D164" s="38"/>
    </row>
    <row r="165">
      <c r="A165" s="434"/>
      <c r="D165" s="38"/>
    </row>
    <row r="166">
      <c r="A166" s="434"/>
      <c r="D166" s="38"/>
    </row>
    <row r="167">
      <c r="A167" s="434"/>
      <c r="D167" s="38"/>
    </row>
    <row r="168">
      <c r="A168" s="434"/>
      <c r="D168" s="38"/>
    </row>
    <row r="169">
      <c r="A169" s="434"/>
      <c r="D169" s="38"/>
    </row>
    <row r="170">
      <c r="A170" s="434"/>
      <c r="D170" s="38"/>
    </row>
    <row r="171">
      <c r="A171" s="434"/>
      <c r="D171" s="38"/>
    </row>
    <row r="172">
      <c r="A172" s="434"/>
      <c r="D172" s="38"/>
    </row>
    <row r="173">
      <c r="A173" s="434"/>
      <c r="D173" s="38"/>
    </row>
    <row r="174">
      <c r="A174" s="434"/>
      <c r="D174" s="38"/>
    </row>
    <row r="175">
      <c r="A175" s="434"/>
      <c r="D175" s="38"/>
    </row>
    <row r="176">
      <c r="A176" s="434"/>
      <c r="D176" s="38"/>
    </row>
    <row r="177">
      <c r="A177" s="434"/>
      <c r="D177" s="38"/>
    </row>
    <row r="178">
      <c r="A178" s="434"/>
      <c r="D178" s="38"/>
    </row>
    <row r="179">
      <c r="A179" s="434"/>
      <c r="D179" s="38"/>
    </row>
    <row r="180">
      <c r="A180" s="434"/>
      <c r="D180" s="38"/>
    </row>
    <row r="181">
      <c r="A181" s="434"/>
      <c r="D181" s="38"/>
    </row>
    <row r="182">
      <c r="A182" s="434"/>
      <c r="D182" s="38"/>
    </row>
    <row r="183">
      <c r="A183" s="434"/>
      <c r="D183" s="38"/>
    </row>
    <row r="184">
      <c r="A184" s="434"/>
      <c r="D184" s="38"/>
    </row>
    <row r="185">
      <c r="A185" s="434"/>
      <c r="D185" s="38"/>
    </row>
    <row r="186">
      <c r="A186" s="434"/>
      <c r="D186" s="38"/>
    </row>
    <row r="187">
      <c r="A187" s="434"/>
      <c r="D187" s="38"/>
    </row>
    <row r="188">
      <c r="A188" s="434"/>
      <c r="D188" s="38"/>
    </row>
    <row r="189">
      <c r="A189" s="434"/>
      <c r="D189" s="38"/>
    </row>
    <row r="190">
      <c r="A190" s="434"/>
      <c r="D190" s="38"/>
    </row>
    <row r="191">
      <c r="A191" s="434"/>
      <c r="D191" s="38"/>
    </row>
    <row r="192">
      <c r="A192" s="434"/>
      <c r="D192" s="38"/>
    </row>
    <row r="193">
      <c r="A193" s="434"/>
      <c r="D193" s="38"/>
    </row>
    <row r="194">
      <c r="A194" s="434"/>
      <c r="D194" s="38"/>
    </row>
    <row r="195">
      <c r="A195" s="434"/>
      <c r="D195" s="38"/>
    </row>
    <row r="196">
      <c r="A196" s="434"/>
      <c r="D196" s="38"/>
    </row>
    <row r="197">
      <c r="A197" s="434"/>
      <c r="D197" s="38"/>
    </row>
    <row r="198">
      <c r="A198" s="434"/>
      <c r="D198" s="38"/>
    </row>
    <row r="199">
      <c r="A199" s="434"/>
      <c r="D199" s="38"/>
    </row>
    <row r="200">
      <c r="A200" s="434"/>
      <c r="D200" s="38"/>
    </row>
    <row r="201">
      <c r="A201" s="434"/>
      <c r="D201" s="38"/>
    </row>
    <row r="202">
      <c r="A202" s="434"/>
      <c r="D202" s="38"/>
    </row>
    <row r="203">
      <c r="A203" s="434"/>
      <c r="D203" s="38"/>
    </row>
    <row r="204">
      <c r="A204" s="434"/>
      <c r="D204" s="38"/>
    </row>
    <row r="205">
      <c r="A205" s="434"/>
      <c r="D205" s="38"/>
    </row>
    <row r="206">
      <c r="A206" s="434"/>
      <c r="D206" s="38"/>
    </row>
    <row r="207">
      <c r="A207" s="434"/>
      <c r="D207" s="38"/>
    </row>
    <row r="208">
      <c r="A208" s="434"/>
      <c r="D208" s="38"/>
    </row>
    <row r="209">
      <c r="A209" s="434"/>
      <c r="D209" s="38"/>
    </row>
    <row r="210">
      <c r="A210" s="434"/>
      <c r="D210" s="38"/>
    </row>
    <row r="211">
      <c r="A211" s="434"/>
      <c r="D211" s="38"/>
    </row>
    <row r="212">
      <c r="A212" s="434"/>
      <c r="D212" s="38"/>
    </row>
    <row r="213">
      <c r="A213" s="434"/>
      <c r="D213" s="38"/>
    </row>
    <row r="214">
      <c r="A214" s="434"/>
      <c r="D214" s="38"/>
    </row>
    <row r="215">
      <c r="A215" s="434"/>
      <c r="D215" s="38"/>
    </row>
    <row r="216">
      <c r="A216" s="434"/>
      <c r="D216" s="38"/>
    </row>
    <row r="217">
      <c r="A217" s="434"/>
      <c r="D217" s="38"/>
    </row>
    <row r="218">
      <c r="A218" s="434"/>
      <c r="D218" s="38"/>
    </row>
    <row r="219">
      <c r="A219" s="434"/>
      <c r="D219" s="38"/>
    </row>
    <row r="220">
      <c r="A220" s="434"/>
      <c r="D220" s="38"/>
    </row>
    <row r="221">
      <c r="A221" s="434"/>
      <c r="D221" s="38"/>
    </row>
    <row r="222">
      <c r="A222" s="434"/>
      <c r="D222" s="38"/>
    </row>
    <row r="223">
      <c r="A223" s="434"/>
      <c r="D223" s="38"/>
    </row>
    <row r="224">
      <c r="A224" s="434"/>
      <c r="D224" s="38"/>
    </row>
    <row r="225">
      <c r="A225" s="434"/>
      <c r="D225" s="38"/>
    </row>
    <row r="226">
      <c r="A226" s="434"/>
      <c r="D226" s="38"/>
    </row>
    <row r="227">
      <c r="A227" s="434"/>
      <c r="D227" s="38"/>
    </row>
    <row r="228">
      <c r="A228" s="434"/>
      <c r="D228" s="38"/>
    </row>
    <row r="229">
      <c r="A229" s="434"/>
      <c r="D229" s="38"/>
    </row>
    <row r="230">
      <c r="A230" s="434"/>
      <c r="D230" s="38"/>
    </row>
    <row r="231">
      <c r="A231" s="434"/>
      <c r="D231" s="38"/>
    </row>
    <row r="232">
      <c r="A232" s="434"/>
      <c r="D232" s="38"/>
    </row>
    <row r="233">
      <c r="A233" s="434"/>
      <c r="D233" s="38"/>
    </row>
    <row r="234">
      <c r="A234" s="434"/>
      <c r="D234" s="38"/>
    </row>
    <row r="235">
      <c r="A235" s="434"/>
      <c r="D235" s="38"/>
    </row>
    <row r="236">
      <c r="A236" s="434"/>
      <c r="D236" s="38"/>
    </row>
    <row r="237">
      <c r="A237" s="434"/>
      <c r="D237" s="38"/>
    </row>
    <row r="238">
      <c r="A238" s="434"/>
      <c r="D238" s="38"/>
    </row>
    <row r="239">
      <c r="A239" s="434"/>
      <c r="D239" s="38"/>
    </row>
    <row r="240">
      <c r="A240" s="434"/>
      <c r="D240" s="38"/>
    </row>
    <row r="241">
      <c r="A241" s="434"/>
      <c r="D241" s="38"/>
    </row>
    <row r="242">
      <c r="A242" s="434"/>
      <c r="D242" s="38"/>
    </row>
    <row r="243">
      <c r="A243" s="434"/>
      <c r="D243" s="38"/>
    </row>
    <row r="244">
      <c r="A244" s="434"/>
      <c r="D244" s="38"/>
    </row>
    <row r="245">
      <c r="A245" s="434"/>
      <c r="D245" s="38"/>
    </row>
    <row r="246">
      <c r="A246" s="434"/>
      <c r="D246" s="38"/>
    </row>
    <row r="247">
      <c r="A247" s="434"/>
      <c r="D247" s="38"/>
    </row>
    <row r="248">
      <c r="A248" s="434"/>
      <c r="D248" s="38"/>
    </row>
    <row r="249">
      <c r="A249" s="434"/>
      <c r="D249" s="38"/>
    </row>
    <row r="250">
      <c r="A250" s="434"/>
      <c r="D250" s="38"/>
    </row>
    <row r="251">
      <c r="A251" s="434"/>
      <c r="D251" s="38"/>
    </row>
    <row r="252">
      <c r="A252" s="434"/>
      <c r="D252" s="38"/>
    </row>
    <row r="253">
      <c r="A253" s="434"/>
      <c r="D253" s="38"/>
    </row>
    <row r="254">
      <c r="A254" s="434"/>
      <c r="D254" s="38"/>
    </row>
    <row r="255">
      <c r="A255" s="434"/>
      <c r="D255" s="38"/>
    </row>
    <row r="256">
      <c r="A256" s="434"/>
      <c r="D256" s="38"/>
    </row>
    <row r="257">
      <c r="A257" s="434"/>
      <c r="D257" s="38"/>
    </row>
    <row r="258">
      <c r="A258" s="434"/>
      <c r="D258" s="38"/>
    </row>
    <row r="259">
      <c r="A259" s="434"/>
      <c r="D259" s="38"/>
    </row>
    <row r="260">
      <c r="A260" s="434"/>
      <c r="D260" s="38"/>
    </row>
    <row r="261">
      <c r="A261" s="434"/>
      <c r="D261" s="38"/>
    </row>
    <row r="262">
      <c r="A262" s="434"/>
      <c r="D262" s="38"/>
    </row>
    <row r="263">
      <c r="A263" s="434"/>
      <c r="D263" s="38"/>
    </row>
    <row r="264">
      <c r="A264" s="434"/>
      <c r="D264" s="38"/>
    </row>
    <row r="265">
      <c r="A265" s="434"/>
      <c r="D265" s="38"/>
    </row>
    <row r="266">
      <c r="A266" s="434"/>
      <c r="D266" s="38"/>
    </row>
    <row r="267">
      <c r="A267" s="434"/>
      <c r="D267" s="38"/>
    </row>
    <row r="268">
      <c r="A268" s="434"/>
      <c r="D268" s="38"/>
    </row>
    <row r="269">
      <c r="A269" s="434"/>
      <c r="D269" s="38"/>
    </row>
    <row r="270">
      <c r="A270" s="434"/>
      <c r="D270" s="38"/>
    </row>
    <row r="271">
      <c r="A271" s="434"/>
      <c r="D271" s="38"/>
    </row>
    <row r="272">
      <c r="A272" s="434"/>
      <c r="D272" s="38"/>
    </row>
    <row r="273">
      <c r="A273" s="434"/>
      <c r="D273" s="38"/>
    </row>
    <row r="274">
      <c r="A274" s="434"/>
      <c r="D274" s="38"/>
    </row>
    <row r="275">
      <c r="A275" s="434"/>
      <c r="D275" s="38"/>
    </row>
    <row r="276">
      <c r="A276" s="434"/>
      <c r="D276" s="38"/>
    </row>
    <row r="277">
      <c r="A277" s="434"/>
      <c r="D277" s="38"/>
    </row>
    <row r="278">
      <c r="A278" s="434"/>
      <c r="D278" s="38"/>
    </row>
    <row r="279">
      <c r="A279" s="434"/>
      <c r="D279" s="38"/>
    </row>
    <row r="280">
      <c r="A280" s="434"/>
      <c r="D280" s="38"/>
    </row>
    <row r="281">
      <c r="A281" s="434"/>
      <c r="D281" s="38"/>
    </row>
    <row r="282">
      <c r="A282" s="434"/>
      <c r="D282" s="38"/>
    </row>
    <row r="283">
      <c r="A283" s="434"/>
      <c r="D283" s="38"/>
    </row>
    <row r="284">
      <c r="A284" s="434"/>
      <c r="D284" s="38"/>
    </row>
    <row r="285">
      <c r="A285" s="434"/>
      <c r="D285" s="38"/>
    </row>
    <row r="286">
      <c r="A286" s="434"/>
      <c r="D286" s="38"/>
    </row>
    <row r="287">
      <c r="A287" s="434"/>
      <c r="D287" s="38"/>
    </row>
    <row r="288">
      <c r="A288" s="434"/>
      <c r="D288" s="38"/>
    </row>
    <row r="289">
      <c r="A289" s="434"/>
      <c r="D289" s="38"/>
    </row>
    <row r="290">
      <c r="A290" s="434"/>
      <c r="D290" s="38"/>
    </row>
    <row r="291">
      <c r="A291" s="434"/>
      <c r="D291" s="38"/>
    </row>
    <row r="292">
      <c r="A292" s="434"/>
      <c r="D292" s="38"/>
    </row>
    <row r="293">
      <c r="A293" s="434"/>
      <c r="D293" s="38"/>
    </row>
    <row r="294">
      <c r="A294" s="434"/>
      <c r="D294" s="38"/>
    </row>
    <row r="295">
      <c r="A295" s="434"/>
      <c r="D295" s="38"/>
    </row>
    <row r="296">
      <c r="A296" s="434"/>
      <c r="D296" s="38"/>
    </row>
    <row r="297">
      <c r="A297" s="434"/>
      <c r="D297" s="38"/>
    </row>
    <row r="298">
      <c r="A298" s="434"/>
      <c r="D298" s="38"/>
    </row>
    <row r="299">
      <c r="A299" s="434"/>
      <c r="D299" s="38"/>
    </row>
    <row r="300">
      <c r="A300" s="434"/>
      <c r="D300" s="38"/>
    </row>
    <row r="301">
      <c r="A301" s="434"/>
      <c r="D301" s="38"/>
    </row>
    <row r="302">
      <c r="A302" s="434"/>
      <c r="D302" s="38"/>
    </row>
    <row r="303">
      <c r="A303" s="434"/>
      <c r="D303" s="38"/>
    </row>
    <row r="304">
      <c r="A304" s="434"/>
      <c r="D304" s="38"/>
    </row>
    <row r="305">
      <c r="A305" s="434"/>
      <c r="D305" s="38"/>
    </row>
    <row r="306">
      <c r="A306" s="434"/>
      <c r="D306" s="38"/>
    </row>
    <row r="307">
      <c r="A307" s="434"/>
      <c r="D307" s="38"/>
    </row>
    <row r="308">
      <c r="A308" s="434"/>
      <c r="D308" s="38"/>
    </row>
    <row r="309">
      <c r="A309" s="434"/>
      <c r="D309" s="38"/>
    </row>
    <row r="310">
      <c r="A310" s="434"/>
      <c r="D310" s="38"/>
    </row>
    <row r="311">
      <c r="A311" s="434"/>
      <c r="D311" s="38"/>
    </row>
    <row r="312">
      <c r="A312" s="434"/>
      <c r="D312" s="38"/>
    </row>
    <row r="313">
      <c r="A313" s="434"/>
      <c r="D313" s="38"/>
    </row>
    <row r="314">
      <c r="A314" s="434"/>
      <c r="D314" s="38"/>
    </row>
    <row r="315">
      <c r="A315" s="434"/>
      <c r="D315" s="38"/>
    </row>
    <row r="316">
      <c r="A316" s="434"/>
      <c r="D316" s="38"/>
    </row>
    <row r="317">
      <c r="A317" s="434"/>
      <c r="D317" s="38"/>
    </row>
    <row r="318">
      <c r="A318" s="434"/>
      <c r="D318" s="38"/>
    </row>
    <row r="319">
      <c r="A319" s="434"/>
      <c r="D319" s="38"/>
    </row>
    <row r="320">
      <c r="A320" s="434"/>
      <c r="D320" s="38"/>
    </row>
    <row r="321">
      <c r="A321" s="434"/>
      <c r="D321" s="38"/>
    </row>
    <row r="322">
      <c r="A322" s="434"/>
      <c r="D322" s="38"/>
    </row>
    <row r="323">
      <c r="A323" s="434"/>
      <c r="D323" s="38"/>
    </row>
    <row r="324">
      <c r="A324" s="434"/>
      <c r="D324" s="38"/>
    </row>
    <row r="325">
      <c r="A325" s="434"/>
      <c r="D325" s="38"/>
    </row>
    <row r="326">
      <c r="A326" s="434"/>
      <c r="D326" s="38"/>
    </row>
    <row r="327">
      <c r="A327" s="434"/>
      <c r="D327" s="38"/>
    </row>
    <row r="328">
      <c r="A328" s="434"/>
      <c r="D328" s="38"/>
    </row>
    <row r="329">
      <c r="A329" s="434"/>
      <c r="D329" s="38"/>
    </row>
    <row r="330">
      <c r="A330" s="434"/>
      <c r="D330" s="38"/>
    </row>
    <row r="331">
      <c r="A331" s="434"/>
      <c r="D331" s="38"/>
    </row>
    <row r="332">
      <c r="A332" s="434"/>
      <c r="D332" s="38"/>
    </row>
    <row r="333">
      <c r="A333" s="434"/>
      <c r="D333" s="38"/>
    </row>
    <row r="334">
      <c r="A334" s="434"/>
      <c r="D334" s="38"/>
    </row>
    <row r="335">
      <c r="A335" s="434"/>
      <c r="D335" s="38"/>
    </row>
    <row r="336">
      <c r="A336" s="434"/>
      <c r="D336" s="38"/>
    </row>
    <row r="337">
      <c r="A337" s="434"/>
      <c r="D337" s="38"/>
    </row>
    <row r="338">
      <c r="A338" s="434"/>
      <c r="D338" s="38"/>
    </row>
    <row r="339">
      <c r="A339" s="434"/>
      <c r="D339" s="38"/>
    </row>
    <row r="340">
      <c r="A340" s="434"/>
      <c r="D340" s="38"/>
    </row>
    <row r="341">
      <c r="A341" s="434"/>
      <c r="D341" s="38"/>
    </row>
    <row r="342">
      <c r="A342" s="434"/>
      <c r="D342" s="38"/>
    </row>
    <row r="343">
      <c r="A343" s="434"/>
      <c r="D343" s="38"/>
    </row>
    <row r="344">
      <c r="A344" s="434"/>
      <c r="D344" s="38"/>
    </row>
    <row r="345">
      <c r="A345" s="434"/>
      <c r="D345" s="38"/>
    </row>
    <row r="346">
      <c r="A346" s="434"/>
      <c r="D346" s="38"/>
    </row>
    <row r="347">
      <c r="A347" s="434"/>
      <c r="D347" s="38"/>
    </row>
    <row r="348">
      <c r="A348" s="434"/>
      <c r="D348" s="38"/>
    </row>
    <row r="349">
      <c r="A349" s="434"/>
      <c r="D349" s="38"/>
    </row>
    <row r="350">
      <c r="A350" s="434"/>
      <c r="D350" s="38"/>
    </row>
    <row r="351">
      <c r="A351" s="434"/>
      <c r="D351" s="38"/>
    </row>
    <row r="352">
      <c r="A352" s="434"/>
      <c r="D352" s="38"/>
    </row>
    <row r="353">
      <c r="A353" s="434"/>
      <c r="D353" s="38"/>
    </row>
    <row r="354">
      <c r="A354" s="434"/>
      <c r="D354" s="38"/>
    </row>
    <row r="355">
      <c r="A355" s="434"/>
      <c r="D355" s="38"/>
    </row>
    <row r="356">
      <c r="A356" s="434"/>
      <c r="D356" s="38"/>
    </row>
    <row r="357">
      <c r="A357" s="434"/>
      <c r="D357" s="38"/>
    </row>
    <row r="358">
      <c r="A358" s="434"/>
      <c r="D358" s="38"/>
    </row>
    <row r="359">
      <c r="A359" s="434"/>
      <c r="D359" s="38"/>
    </row>
    <row r="360">
      <c r="A360" s="434"/>
      <c r="D360" s="38"/>
    </row>
    <row r="361">
      <c r="A361" s="434"/>
      <c r="D361" s="38"/>
    </row>
    <row r="362">
      <c r="A362" s="434"/>
      <c r="D362" s="38"/>
    </row>
    <row r="363">
      <c r="A363" s="434"/>
      <c r="D363" s="38"/>
    </row>
    <row r="364">
      <c r="A364" s="434"/>
      <c r="D364" s="38"/>
    </row>
    <row r="365">
      <c r="A365" s="434"/>
      <c r="D365" s="38"/>
    </row>
    <row r="366">
      <c r="A366" s="434"/>
      <c r="D366" s="38"/>
    </row>
    <row r="367">
      <c r="A367" s="434"/>
      <c r="D367" s="38"/>
    </row>
    <row r="368">
      <c r="A368" s="434"/>
      <c r="D368" s="38"/>
    </row>
    <row r="369">
      <c r="A369" s="434"/>
      <c r="D369" s="38"/>
    </row>
    <row r="370">
      <c r="A370" s="434"/>
      <c r="D370" s="38"/>
    </row>
    <row r="371">
      <c r="A371" s="434"/>
      <c r="D371" s="38"/>
    </row>
    <row r="372">
      <c r="A372" s="434"/>
      <c r="D372" s="38"/>
    </row>
    <row r="373">
      <c r="A373" s="434"/>
      <c r="D373" s="38"/>
    </row>
    <row r="374">
      <c r="A374" s="434"/>
      <c r="D374" s="38"/>
    </row>
    <row r="375">
      <c r="A375" s="434"/>
      <c r="D375" s="38"/>
    </row>
    <row r="376">
      <c r="A376" s="434"/>
      <c r="D376" s="38"/>
    </row>
    <row r="377">
      <c r="A377" s="434"/>
      <c r="D377" s="38"/>
    </row>
    <row r="378">
      <c r="A378" s="434"/>
      <c r="D378" s="38"/>
    </row>
    <row r="379">
      <c r="A379" s="434"/>
      <c r="D379" s="38"/>
    </row>
    <row r="380">
      <c r="A380" s="434"/>
      <c r="D380" s="38"/>
    </row>
    <row r="381">
      <c r="A381" s="434"/>
      <c r="D381" s="38"/>
    </row>
    <row r="382">
      <c r="A382" s="434"/>
      <c r="D382" s="38"/>
    </row>
    <row r="383">
      <c r="A383" s="434"/>
      <c r="D383" s="38"/>
    </row>
    <row r="384">
      <c r="A384" s="434"/>
      <c r="D384" s="38"/>
    </row>
    <row r="385">
      <c r="A385" s="434"/>
      <c r="D385" s="38"/>
    </row>
    <row r="386">
      <c r="A386" s="434"/>
      <c r="D386" s="38"/>
    </row>
    <row r="387">
      <c r="A387" s="434"/>
      <c r="D387" s="38"/>
    </row>
    <row r="388">
      <c r="A388" s="434"/>
      <c r="D388" s="38"/>
    </row>
    <row r="389">
      <c r="A389" s="434"/>
      <c r="D389" s="38"/>
    </row>
    <row r="390">
      <c r="A390" s="434"/>
      <c r="D390" s="38"/>
    </row>
    <row r="391">
      <c r="A391" s="434"/>
      <c r="D391" s="38"/>
    </row>
    <row r="392">
      <c r="A392" s="434"/>
      <c r="D392" s="38"/>
    </row>
    <row r="393">
      <c r="A393" s="434"/>
      <c r="D393" s="38"/>
    </row>
    <row r="394">
      <c r="A394" s="434"/>
      <c r="D394" s="38"/>
    </row>
    <row r="395">
      <c r="A395" s="434"/>
      <c r="D395" s="38"/>
    </row>
    <row r="396">
      <c r="A396" s="434"/>
      <c r="D396" s="38"/>
    </row>
    <row r="397">
      <c r="A397" s="434"/>
      <c r="D397" s="38"/>
    </row>
    <row r="398">
      <c r="A398" s="434"/>
      <c r="D398" s="38"/>
    </row>
    <row r="399">
      <c r="A399" s="434"/>
      <c r="D399" s="38"/>
    </row>
    <row r="400">
      <c r="A400" s="434"/>
      <c r="D400" s="38"/>
    </row>
    <row r="401">
      <c r="A401" s="434"/>
      <c r="D401" s="38"/>
    </row>
    <row r="402">
      <c r="A402" s="434"/>
      <c r="D402" s="38"/>
    </row>
    <row r="403">
      <c r="A403" s="434"/>
      <c r="D403" s="38"/>
    </row>
    <row r="404">
      <c r="A404" s="434"/>
      <c r="D404" s="38"/>
    </row>
    <row r="405">
      <c r="A405" s="434"/>
      <c r="D405" s="38"/>
    </row>
    <row r="406">
      <c r="A406" s="434"/>
      <c r="D406" s="38"/>
    </row>
    <row r="407">
      <c r="A407" s="434"/>
      <c r="D407" s="38"/>
    </row>
    <row r="408">
      <c r="A408" s="434"/>
      <c r="D408" s="38"/>
    </row>
    <row r="409">
      <c r="A409" s="434"/>
      <c r="D409" s="38"/>
    </row>
    <row r="410">
      <c r="A410" s="434"/>
      <c r="D410" s="38"/>
    </row>
    <row r="411">
      <c r="A411" s="434"/>
      <c r="D411" s="38"/>
    </row>
    <row r="412">
      <c r="A412" s="434"/>
      <c r="D412" s="38"/>
    </row>
    <row r="413">
      <c r="A413" s="434"/>
      <c r="D413" s="38"/>
    </row>
    <row r="414">
      <c r="A414" s="434"/>
      <c r="D414" s="38"/>
    </row>
    <row r="415">
      <c r="A415" s="434"/>
      <c r="D415" s="38"/>
    </row>
    <row r="416">
      <c r="A416" s="434"/>
      <c r="D416" s="38"/>
    </row>
    <row r="417">
      <c r="A417" s="434"/>
      <c r="D417" s="38"/>
    </row>
    <row r="418">
      <c r="A418" s="434"/>
      <c r="D418" s="38"/>
    </row>
    <row r="419">
      <c r="A419" s="434"/>
      <c r="D419" s="38"/>
    </row>
    <row r="420">
      <c r="A420" s="434"/>
      <c r="D420" s="38"/>
    </row>
    <row r="421">
      <c r="A421" s="434"/>
      <c r="D421" s="38"/>
    </row>
    <row r="422">
      <c r="A422" s="434"/>
      <c r="D422" s="38"/>
    </row>
    <row r="423">
      <c r="A423" s="434"/>
      <c r="D423" s="38"/>
    </row>
    <row r="424">
      <c r="A424" s="434"/>
      <c r="D424" s="38"/>
    </row>
    <row r="425">
      <c r="A425" s="434"/>
      <c r="D425" s="38"/>
    </row>
    <row r="426">
      <c r="A426" s="434"/>
      <c r="D426" s="38"/>
    </row>
    <row r="427">
      <c r="A427" s="434"/>
      <c r="D427" s="38"/>
    </row>
    <row r="428">
      <c r="A428" s="434"/>
      <c r="D428" s="38"/>
    </row>
    <row r="429">
      <c r="A429" s="434"/>
      <c r="D429" s="38"/>
    </row>
    <row r="430">
      <c r="A430" s="434"/>
      <c r="D430" s="38"/>
    </row>
    <row r="431">
      <c r="A431" s="434"/>
      <c r="D431" s="38"/>
    </row>
    <row r="432">
      <c r="A432" s="434"/>
      <c r="D432" s="38"/>
    </row>
    <row r="433">
      <c r="A433" s="434"/>
      <c r="D433" s="38"/>
    </row>
    <row r="434">
      <c r="A434" s="434"/>
      <c r="D434" s="38"/>
    </row>
    <row r="435">
      <c r="A435" s="434"/>
      <c r="D435" s="38"/>
    </row>
    <row r="436">
      <c r="A436" s="434"/>
      <c r="D436" s="38"/>
    </row>
    <row r="437">
      <c r="A437" s="434"/>
      <c r="D437" s="38"/>
    </row>
    <row r="438">
      <c r="A438" s="434"/>
      <c r="D438" s="38"/>
    </row>
    <row r="439">
      <c r="A439" s="434"/>
      <c r="D439" s="38"/>
    </row>
    <row r="440">
      <c r="A440" s="434"/>
      <c r="D440" s="38"/>
    </row>
    <row r="441">
      <c r="A441" s="434"/>
      <c r="D441" s="38"/>
    </row>
    <row r="442">
      <c r="A442" s="434"/>
      <c r="D442" s="38"/>
    </row>
    <row r="443">
      <c r="A443" s="434"/>
      <c r="D443" s="38"/>
    </row>
    <row r="444">
      <c r="A444" s="434"/>
      <c r="D444" s="38"/>
    </row>
    <row r="445">
      <c r="A445" s="434"/>
      <c r="D445" s="38"/>
    </row>
    <row r="446">
      <c r="A446" s="434"/>
      <c r="D446" s="38"/>
    </row>
    <row r="447">
      <c r="A447" s="434"/>
      <c r="D447" s="38"/>
    </row>
    <row r="448">
      <c r="A448" s="434"/>
      <c r="D448" s="38"/>
    </row>
    <row r="449">
      <c r="A449" s="434"/>
      <c r="D449" s="38"/>
    </row>
    <row r="450">
      <c r="A450" s="434"/>
      <c r="D450" s="38"/>
    </row>
    <row r="451">
      <c r="A451" s="434"/>
      <c r="D451" s="38"/>
    </row>
    <row r="452">
      <c r="A452" s="434"/>
      <c r="D452" s="38"/>
    </row>
    <row r="453">
      <c r="A453" s="434"/>
      <c r="D453" s="38"/>
    </row>
    <row r="454">
      <c r="A454" s="434"/>
      <c r="D454" s="38"/>
    </row>
    <row r="455">
      <c r="A455" s="434"/>
      <c r="D455" s="38"/>
    </row>
    <row r="456">
      <c r="A456" s="434"/>
      <c r="D456" s="38"/>
    </row>
    <row r="457">
      <c r="A457" s="434"/>
      <c r="D457" s="38"/>
    </row>
    <row r="458">
      <c r="A458" s="434"/>
      <c r="D458" s="38"/>
    </row>
    <row r="459">
      <c r="A459" s="434"/>
      <c r="D459" s="38"/>
    </row>
    <row r="460">
      <c r="A460" s="434"/>
      <c r="D460" s="38"/>
    </row>
    <row r="461">
      <c r="A461" s="434"/>
      <c r="D461" s="38"/>
    </row>
    <row r="462">
      <c r="A462" s="434"/>
      <c r="D462" s="38"/>
    </row>
    <row r="463">
      <c r="A463" s="434"/>
      <c r="D463" s="38"/>
    </row>
    <row r="464">
      <c r="A464" s="434"/>
      <c r="D464" s="38"/>
    </row>
    <row r="465">
      <c r="A465" s="434"/>
      <c r="D465" s="38"/>
    </row>
    <row r="466">
      <c r="A466" s="434"/>
      <c r="D466" s="38"/>
    </row>
    <row r="467">
      <c r="A467" s="434"/>
      <c r="D467" s="38"/>
    </row>
    <row r="468">
      <c r="A468" s="434"/>
      <c r="D468" s="38"/>
    </row>
    <row r="469">
      <c r="A469" s="434"/>
      <c r="D469" s="38"/>
    </row>
    <row r="470">
      <c r="A470" s="434"/>
      <c r="D470" s="38"/>
    </row>
    <row r="471">
      <c r="A471" s="434"/>
      <c r="D471" s="38"/>
    </row>
    <row r="472">
      <c r="A472" s="434"/>
      <c r="D472" s="38"/>
    </row>
    <row r="473">
      <c r="A473" s="434"/>
      <c r="D473" s="38"/>
    </row>
    <row r="474">
      <c r="A474" s="434"/>
      <c r="D474" s="38"/>
    </row>
    <row r="475">
      <c r="A475" s="434"/>
      <c r="D475" s="38"/>
    </row>
    <row r="476">
      <c r="A476" s="434"/>
      <c r="D476" s="38"/>
    </row>
    <row r="477">
      <c r="A477" s="434"/>
      <c r="D477" s="38"/>
    </row>
    <row r="478">
      <c r="A478" s="434"/>
      <c r="D478" s="38"/>
    </row>
    <row r="479">
      <c r="A479" s="434"/>
      <c r="D479" s="38"/>
    </row>
    <row r="480">
      <c r="A480" s="434"/>
      <c r="D480" s="38"/>
    </row>
    <row r="481">
      <c r="A481" s="434"/>
      <c r="D481" s="38"/>
    </row>
    <row r="482">
      <c r="A482" s="434"/>
      <c r="D482" s="38"/>
    </row>
    <row r="483">
      <c r="A483" s="434"/>
      <c r="D483" s="38"/>
    </row>
    <row r="484">
      <c r="A484" s="434"/>
      <c r="D484" s="38"/>
    </row>
    <row r="485">
      <c r="A485" s="434"/>
      <c r="D485" s="38"/>
    </row>
    <row r="486">
      <c r="A486" s="434"/>
      <c r="D486" s="38"/>
    </row>
    <row r="487">
      <c r="A487" s="434"/>
      <c r="D487" s="38"/>
    </row>
    <row r="488">
      <c r="A488" s="434"/>
      <c r="D488" s="38"/>
    </row>
    <row r="489">
      <c r="A489" s="434"/>
      <c r="D489" s="38"/>
    </row>
    <row r="490">
      <c r="A490" s="434"/>
      <c r="D490" s="38"/>
    </row>
    <row r="491">
      <c r="A491" s="434"/>
      <c r="D491" s="38"/>
    </row>
    <row r="492">
      <c r="A492" s="434"/>
      <c r="D492" s="38"/>
    </row>
    <row r="493">
      <c r="A493" s="434"/>
      <c r="D493" s="38"/>
    </row>
    <row r="494">
      <c r="A494" s="434"/>
      <c r="D494" s="38"/>
    </row>
    <row r="495">
      <c r="A495" s="434"/>
      <c r="D495" s="38"/>
    </row>
    <row r="496">
      <c r="A496" s="434"/>
      <c r="D496" s="38"/>
    </row>
    <row r="497">
      <c r="A497" s="434"/>
      <c r="D497" s="38"/>
    </row>
    <row r="498">
      <c r="A498" s="434"/>
      <c r="D498" s="38"/>
    </row>
    <row r="499">
      <c r="A499" s="434"/>
      <c r="D499" s="38"/>
    </row>
    <row r="500">
      <c r="A500" s="434"/>
      <c r="D500" s="38"/>
    </row>
    <row r="501">
      <c r="A501" s="434"/>
      <c r="D501" s="38"/>
    </row>
    <row r="502">
      <c r="A502" s="434"/>
      <c r="D502" s="38"/>
    </row>
    <row r="503">
      <c r="A503" s="434"/>
      <c r="D503" s="38"/>
    </row>
    <row r="504">
      <c r="A504" s="434"/>
      <c r="D504" s="38"/>
    </row>
    <row r="505">
      <c r="A505" s="434"/>
      <c r="D505" s="38"/>
    </row>
    <row r="506">
      <c r="A506" s="434"/>
      <c r="D506" s="38"/>
    </row>
    <row r="507">
      <c r="A507" s="434"/>
      <c r="D507" s="38"/>
    </row>
    <row r="508">
      <c r="A508" s="434"/>
      <c r="D508" s="38"/>
    </row>
    <row r="509">
      <c r="A509" s="434"/>
      <c r="D509" s="38"/>
    </row>
    <row r="510">
      <c r="A510" s="434"/>
      <c r="D510" s="38"/>
    </row>
    <row r="511">
      <c r="A511" s="434"/>
      <c r="D511" s="38"/>
    </row>
    <row r="512">
      <c r="A512" s="434"/>
      <c r="D512" s="38"/>
    </row>
    <row r="513">
      <c r="A513" s="434"/>
      <c r="D513" s="38"/>
    </row>
    <row r="514">
      <c r="A514" s="434"/>
      <c r="D514" s="38"/>
    </row>
    <row r="515">
      <c r="A515" s="434"/>
      <c r="D515" s="38"/>
    </row>
    <row r="516">
      <c r="A516" s="434"/>
      <c r="D516" s="38"/>
    </row>
    <row r="517">
      <c r="A517" s="434"/>
      <c r="D517" s="38"/>
    </row>
    <row r="518">
      <c r="A518" s="434"/>
      <c r="D518" s="38"/>
    </row>
    <row r="519">
      <c r="A519" s="434"/>
      <c r="D519" s="38"/>
    </row>
    <row r="520">
      <c r="A520" s="434"/>
      <c r="D520" s="38"/>
    </row>
    <row r="521">
      <c r="A521" s="434"/>
      <c r="D521" s="38"/>
    </row>
    <row r="522">
      <c r="A522" s="434"/>
      <c r="D522" s="38"/>
    </row>
    <row r="523">
      <c r="A523" s="434"/>
      <c r="D523" s="38"/>
    </row>
    <row r="524">
      <c r="A524" s="434"/>
      <c r="D524" s="38"/>
    </row>
    <row r="525">
      <c r="A525" s="434"/>
      <c r="D525" s="38"/>
    </row>
    <row r="526">
      <c r="A526" s="434"/>
      <c r="D526" s="38"/>
    </row>
    <row r="527">
      <c r="A527" s="434"/>
      <c r="D527" s="38"/>
    </row>
    <row r="528">
      <c r="A528" s="434"/>
      <c r="D528" s="38"/>
    </row>
    <row r="529">
      <c r="A529" s="434"/>
      <c r="D529" s="38"/>
    </row>
    <row r="530">
      <c r="A530" s="434"/>
      <c r="D530" s="38"/>
    </row>
    <row r="531">
      <c r="A531" s="434"/>
      <c r="D531" s="38"/>
    </row>
    <row r="532">
      <c r="A532" s="434"/>
      <c r="D532" s="38"/>
    </row>
    <row r="533">
      <c r="A533" s="434"/>
      <c r="D533" s="38"/>
    </row>
    <row r="534">
      <c r="A534" s="434"/>
      <c r="D534" s="38"/>
    </row>
    <row r="535">
      <c r="A535" s="434"/>
      <c r="D535" s="38"/>
    </row>
    <row r="536">
      <c r="A536" s="434"/>
      <c r="D536" s="38"/>
    </row>
    <row r="537">
      <c r="A537" s="434"/>
      <c r="D537" s="38"/>
    </row>
    <row r="538">
      <c r="A538" s="434"/>
      <c r="D538" s="38"/>
    </row>
    <row r="539">
      <c r="A539" s="434"/>
      <c r="D539" s="38"/>
    </row>
    <row r="540">
      <c r="A540" s="434"/>
      <c r="D540" s="38"/>
    </row>
    <row r="541">
      <c r="A541" s="434"/>
      <c r="D541" s="38"/>
    </row>
    <row r="542">
      <c r="A542" s="434"/>
      <c r="D542" s="38"/>
    </row>
    <row r="543">
      <c r="A543" s="434"/>
      <c r="D543" s="38"/>
    </row>
    <row r="544">
      <c r="A544" s="434"/>
      <c r="D544" s="38"/>
    </row>
    <row r="545">
      <c r="A545" s="434"/>
      <c r="D545" s="38"/>
    </row>
    <row r="546">
      <c r="A546" s="434"/>
      <c r="D546" s="38"/>
    </row>
    <row r="547">
      <c r="A547" s="434"/>
      <c r="D547" s="38"/>
    </row>
    <row r="548">
      <c r="A548" s="434"/>
      <c r="D548" s="38"/>
    </row>
    <row r="549">
      <c r="A549" s="434"/>
      <c r="D549" s="38"/>
    </row>
    <row r="550">
      <c r="A550" s="434"/>
      <c r="D550" s="38"/>
    </row>
    <row r="551">
      <c r="A551" s="434"/>
      <c r="D551" s="38"/>
    </row>
    <row r="552">
      <c r="A552" s="434"/>
      <c r="D552" s="38"/>
    </row>
    <row r="553">
      <c r="A553" s="434"/>
      <c r="D553" s="38"/>
    </row>
    <row r="554">
      <c r="A554" s="434"/>
      <c r="D554" s="38"/>
    </row>
    <row r="555">
      <c r="A555" s="434"/>
      <c r="D555" s="38"/>
    </row>
    <row r="556">
      <c r="A556" s="434"/>
      <c r="D556" s="38"/>
    </row>
    <row r="557">
      <c r="A557" s="434"/>
      <c r="D557" s="38"/>
    </row>
    <row r="558">
      <c r="A558" s="434"/>
      <c r="D558" s="38"/>
    </row>
    <row r="559">
      <c r="A559" s="434"/>
      <c r="D559" s="38"/>
    </row>
    <row r="560">
      <c r="A560" s="434"/>
      <c r="D560" s="38"/>
    </row>
    <row r="561">
      <c r="A561" s="434"/>
      <c r="D561" s="38"/>
    </row>
    <row r="562">
      <c r="A562" s="434"/>
      <c r="D562" s="38"/>
    </row>
    <row r="563">
      <c r="A563" s="434"/>
      <c r="D563" s="38"/>
    </row>
    <row r="564">
      <c r="A564" s="434"/>
      <c r="D564" s="38"/>
    </row>
    <row r="565">
      <c r="A565" s="434"/>
      <c r="D565" s="38"/>
    </row>
    <row r="566">
      <c r="A566" s="434"/>
      <c r="D566" s="38"/>
    </row>
    <row r="567">
      <c r="A567" s="434"/>
      <c r="D567" s="38"/>
    </row>
    <row r="568">
      <c r="A568" s="434"/>
      <c r="D568" s="38"/>
    </row>
    <row r="569">
      <c r="A569" s="434"/>
      <c r="D569" s="38"/>
    </row>
    <row r="570">
      <c r="A570" s="434"/>
      <c r="D570" s="38"/>
    </row>
    <row r="571">
      <c r="A571" s="434"/>
      <c r="D571" s="38"/>
    </row>
    <row r="572">
      <c r="A572" s="434"/>
      <c r="D572" s="38"/>
    </row>
    <row r="573">
      <c r="A573" s="434"/>
      <c r="D573" s="38"/>
    </row>
    <row r="574">
      <c r="A574" s="434"/>
      <c r="D574" s="38"/>
    </row>
    <row r="575">
      <c r="A575" s="434"/>
      <c r="D575" s="38"/>
    </row>
    <row r="576">
      <c r="A576" s="434"/>
      <c r="D576" s="38"/>
    </row>
    <row r="577">
      <c r="A577" s="434"/>
      <c r="D577" s="38"/>
    </row>
    <row r="578">
      <c r="A578" s="434"/>
      <c r="D578" s="38"/>
    </row>
    <row r="579">
      <c r="A579" s="434"/>
      <c r="D579" s="38"/>
    </row>
    <row r="580">
      <c r="A580" s="434"/>
      <c r="D580" s="38"/>
    </row>
    <row r="581">
      <c r="A581" s="434"/>
      <c r="D581" s="38"/>
    </row>
    <row r="582">
      <c r="A582" s="434"/>
      <c r="D582" s="38"/>
    </row>
    <row r="583">
      <c r="A583" s="434"/>
      <c r="D583" s="38"/>
    </row>
    <row r="584">
      <c r="A584" s="434"/>
      <c r="D584" s="38"/>
    </row>
    <row r="585">
      <c r="A585" s="434"/>
      <c r="D585" s="38"/>
    </row>
    <row r="586">
      <c r="A586" s="434"/>
      <c r="D586" s="38"/>
    </row>
    <row r="587">
      <c r="A587" s="434"/>
      <c r="D587" s="38"/>
    </row>
    <row r="588">
      <c r="A588" s="434"/>
      <c r="D588" s="38"/>
    </row>
    <row r="589">
      <c r="A589" s="434"/>
      <c r="D589" s="38"/>
    </row>
    <row r="590">
      <c r="A590" s="434"/>
      <c r="D590" s="38"/>
    </row>
    <row r="591">
      <c r="A591" s="434"/>
      <c r="D591" s="38"/>
    </row>
    <row r="592">
      <c r="A592" s="434"/>
      <c r="D592" s="38"/>
    </row>
    <row r="593">
      <c r="A593" s="434"/>
      <c r="D593" s="38"/>
    </row>
    <row r="594">
      <c r="A594" s="434"/>
      <c r="D594" s="38"/>
    </row>
    <row r="595">
      <c r="A595" s="434"/>
      <c r="D595" s="38"/>
    </row>
    <row r="596">
      <c r="A596" s="434"/>
      <c r="D596" s="38"/>
    </row>
    <row r="597">
      <c r="A597" s="434"/>
      <c r="D597" s="38"/>
    </row>
    <row r="598">
      <c r="A598" s="434"/>
      <c r="D598" s="38"/>
    </row>
    <row r="599">
      <c r="A599" s="434"/>
      <c r="D599" s="38"/>
    </row>
    <row r="600">
      <c r="A600" s="434"/>
      <c r="D600" s="38"/>
    </row>
    <row r="601">
      <c r="A601" s="434"/>
      <c r="D601" s="38"/>
    </row>
    <row r="602">
      <c r="A602" s="434"/>
      <c r="D602" s="38"/>
    </row>
    <row r="603">
      <c r="A603" s="434"/>
      <c r="D603" s="38"/>
    </row>
    <row r="604">
      <c r="A604" s="434"/>
      <c r="D604" s="38"/>
    </row>
    <row r="605">
      <c r="A605" s="434"/>
      <c r="D605" s="38"/>
    </row>
    <row r="606">
      <c r="A606" s="434"/>
      <c r="D606" s="38"/>
    </row>
    <row r="607">
      <c r="A607" s="434"/>
      <c r="D607" s="38"/>
    </row>
    <row r="608">
      <c r="A608" s="434"/>
      <c r="D608" s="38"/>
    </row>
    <row r="609">
      <c r="A609" s="434"/>
      <c r="D609" s="38"/>
    </row>
    <row r="610">
      <c r="A610" s="434"/>
      <c r="D610" s="38"/>
    </row>
    <row r="611">
      <c r="A611" s="434"/>
      <c r="D611" s="38"/>
    </row>
    <row r="612">
      <c r="A612" s="434"/>
      <c r="D612" s="38"/>
    </row>
    <row r="613">
      <c r="A613" s="434"/>
      <c r="D613" s="38"/>
    </row>
    <row r="614">
      <c r="A614" s="434"/>
      <c r="D614" s="38"/>
    </row>
    <row r="615">
      <c r="A615" s="434"/>
      <c r="D615" s="38"/>
    </row>
    <row r="616">
      <c r="A616" s="434"/>
      <c r="D616" s="38"/>
    </row>
    <row r="617">
      <c r="A617" s="434"/>
      <c r="D617" s="38"/>
    </row>
    <row r="618">
      <c r="A618" s="434"/>
      <c r="D618" s="38"/>
    </row>
    <row r="619">
      <c r="A619" s="434"/>
      <c r="D619" s="38"/>
    </row>
    <row r="620">
      <c r="A620" s="434"/>
      <c r="D620" s="38"/>
    </row>
    <row r="621">
      <c r="A621" s="434"/>
      <c r="D621" s="38"/>
    </row>
    <row r="622">
      <c r="A622" s="434"/>
      <c r="D622" s="38"/>
    </row>
    <row r="623">
      <c r="A623" s="434"/>
      <c r="D623" s="38"/>
    </row>
    <row r="624">
      <c r="A624" s="434"/>
      <c r="D624" s="38"/>
    </row>
    <row r="625">
      <c r="A625" s="434"/>
      <c r="D625" s="38"/>
    </row>
    <row r="626">
      <c r="A626" s="434"/>
      <c r="D626" s="38"/>
    </row>
    <row r="627">
      <c r="A627" s="434"/>
      <c r="D627" s="38"/>
    </row>
    <row r="628">
      <c r="A628" s="434"/>
      <c r="D628" s="38"/>
    </row>
    <row r="629">
      <c r="A629" s="434"/>
      <c r="D629" s="38"/>
    </row>
    <row r="630">
      <c r="A630" s="434"/>
      <c r="D630" s="38"/>
    </row>
    <row r="631">
      <c r="A631" s="434"/>
      <c r="D631" s="38"/>
    </row>
    <row r="632">
      <c r="A632" s="434"/>
      <c r="D632" s="38"/>
    </row>
    <row r="633">
      <c r="A633" s="434"/>
      <c r="D633" s="38"/>
    </row>
    <row r="634">
      <c r="A634" s="434"/>
      <c r="D634" s="38"/>
    </row>
    <row r="635">
      <c r="A635" s="434"/>
      <c r="D635" s="38"/>
    </row>
    <row r="636">
      <c r="A636" s="434"/>
      <c r="D636" s="38"/>
    </row>
    <row r="637">
      <c r="A637" s="434"/>
      <c r="D637" s="38"/>
    </row>
    <row r="638">
      <c r="A638" s="434"/>
      <c r="D638" s="38"/>
    </row>
    <row r="639">
      <c r="A639" s="434"/>
      <c r="D639" s="38"/>
    </row>
    <row r="640">
      <c r="A640" s="434"/>
      <c r="D640" s="38"/>
    </row>
    <row r="641">
      <c r="A641" s="434"/>
      <c r="D641" s="38"/>
    </row>
    <row r="642">
      <c r="A642" s="434"/>
      <c r="D642" s="38"/>
    </row>
    <row r="643">
      <c r="A643" s="434"/>
      <c r="D643" s="38"/>
    </row>
    <row r="644">
      <c r="A644" s="434"/>
      <c r="D644" s="38"/>
    </row>
    <row r="645">
      <c r="A645" s="434"/>
      <c r="D645" s="38"/>
    </row>
    <row r="646">
      <c r="A646" s="434"/>
      <c r="D646" s="38"/>
    </row>
    <row r="647">
      <c r="A647" s="434"/>
      <c r="D647" s="38"/>
    </row>
    <row r="648">
      <c r="A648" s="434"/>
      <c r="D648" s="38"/>
    </row>
    <row r="649">
      <c r="A649" s="434"/>
      <c r="D649" s="38"/>
    </row>
    <row r="650">
      <c r="A650" s="434"/>
      <c r="D650" s="38"/>
    </row>
    <row r="651">
      <c r="A651" s="434"/>
      <c r="D651" s="38"/>
    </row>
    <row r="652">
      <c r="A652" s="434"/>
      <c r="D652" s="38"/>
    </row>
    <row r="653">
      <c r="A653" s="434"/>
      <c r="D653" s="38"/>
    </row>
    <row r="654">
      <c r="A654" s="434"/>
      <c r="D654" s="38"/>
    </row>
    <row r="655">
      <c r="A655" s="434"/>
      <c r="D655" s="38"/>
    </row>
    <row r="656">
      <c r="A656" s="434"/>
      <c r="D656" s="38"/>
    </row>
    <row r="657">
      <c r="A657" s="434"/>
      <c r="D657" s="38"/>
    </row>
    <row r="658">
      <c r="A658" s="434"/>
      <c r="D658" s="38"/>
    </row>
    <row r="659">
      <c r="A659" s="434"/>
      <c r="D659" s="38"/>
    </row>
    <row r="660">
      <c r="A660" s="434"/>
      <c r="D660" s="38"/>
    </row>
    <row r="661">
      <c r="A661" s="434"/>
      <c r="D661" s="38"/>
    </row>
    <row r="662">
      <c r="A662" s="434"/>
      <c r="D662" s="38"/>
    </row>
    <row r="663">
      <c r="A663" s="434"/>
      <c r="D663" s="38"/>
    </row>
    <row r="664">
      <c r="A664" s="434"/>
      <c r="D664" s="38"/>
    </row>
    <row r="665">
      <c r="A665" s="434"/>
      <c r="D665" s="38"/>
    </row>
    <row r="666">
      <c r="A666" s="434"/>
      <c r="D666" s="38"/>
    </row>
    <row r="667">
      <c r="A667" s="434"/>
      <c r="D667" s="38"/>
    </row>
    <row r="668">
      <c r="A668" s="434"/>
      <c r="D668" s="38"/>
    </row>
    <row r="669">
      <c r="A669" s="434"/>
      <c r="D669" s="38"/>
    </row>
    <row r="670">
      <c r="A670" s="434"/>
      <c r="D670" s="38"/>
    </row>
    <row r="671">
      <c r="A671" s="434"/>
      <c r="D671" s="38"/>
    </row>
    <row r="672">
      <c r="A672" s="434"/>
      <c r="D672" s="38"/>
    </row>
    <row r="673">
      <c r="A673" s="434"/>
      <c r="D673" s="38"/>
    </row>
    <row r="674">
      <c r="A674" s="434"/>
      <c r="D674" s="38"/>
    </row>
    <row r="675">
      <c r="A675" s="434"/>
      <c r="D675" s="38"/>
    </row>
    <row r="676">
      <c r="A676" s="434"/>
      <c r="D676" s="38"/>
    </row>
    <row r="677">
      <c r="A677" s="434"/>
      <c r="D677" s="38"/>
    </row>
    <row r="678">
      <c r="A678" s="434"/>
      <c r="D678" s="38"/>
    </row>
    <row r="679">
      <c r="A679" s="434"/>
      <c r="D679" s="38"/>
    </row>
    <row r="680">
      <c r="A680" s="434"/>
      <c r="D680" s="38"/>
    </row>
    <row r="681">
      <c r="A681" s="434"/>
      <c r="D681" s="38"/>
    </row>
    <row r="682">
      <c r="A682" s="434"/>
      <c r="D682" s="38"/>
    </row>
    <row r="683">
      <c r="A683" s="434"/>
      <c r="D683" s="38"/>
    </row>
    <row r="684">
      <c r="A684" s="434"/>
      <c r="D684" s="38"/>
    </row>
    <row r="685">
      <c r="A685" s="434"/>
      <c r="D685" s="38"/>
    </row>
    <row r="686">
      <c r="A686" s="434"/>
      <c r="D686" s="38"/>
    </row>
    <row r="687">
      <c r="A687" s="434"/>
      <c r="D687" s="38"/>
    </row>
    <row r="688">
      <c r="A688" s="434"/>
      <c r="D688" s="38"/>
    </row>
    <row r="689">
      <c r="A689" s="434"/>
      <c r="D689" s="38"/>
    </row>
    <row r="690">
      <c r="A690" s="434"/>
      <c r="D690" s="38"/>
    </row>
    <row r="691">
      <c r="A691" s="434"/>
      <c r="D691" s="38"/>
    </row>
    <row r="692">
      <c r="A692" s="434"/>
      <c r="D692" s="38"/>
    </row>
    <row r="693">
      <c r="A693" s="434"/>
      <c r="D693" s="38"/>
    </row>
    <row r="694">
      <c r="A694" s="434"/>
      <c r="D694" s="38"/>
    </row>
    <row r="695">
      <c r="A695" s="434"/>
      <c r="D695" s="38"/>
    </row>
    <row r="696">
      <c r="A696" s="434"/>
      <c r="D696" s="38"/>
    </row>
    <row r="697">
      <c r="A697" s="434"/>
      <c r="D697" s="38"/>
    </row>
    <row r="698">
      <c r="A698" s="434"/>
      <c r="D698" s="38"/>
    </row>
    <row r="699">
      <c r="A699" s="434"/>
      <c r="D699" s="38"/>
    </row>
    <row r="700">
      <c r="A700" s="434"/>
      <c r="D700" s="38"/>
    </row>
    <row r="701">
      <c r="A701" s="434"/>
      <c r="D701" s="38"/>
    </row>
    <row r="702">
      <c r="A702" s="434"/>
      <c r="D702" s="38"/>
    </row>
    <row r="703">
      <c r="A703" s="434"/>
      <c r="D703" s="38"/>
    </row>
    <row r="704">
      <c r="A704" s="434"/>
      <c r="D704" s="38"/>
    </row>
    <row r="705">
      <c r="A705" s="434"/>
      <c r="D705" s="38"/>
    </row>
    <row r="706">
      <c r="A706" s="434"/>
      <c r="D706" s="38"/>
    </row>
    <row r="707">
      <c r="A707" s="434"/>
      <c r="D707" s="38"/>
    </row>
    <row r="708">
      <c r="A708" s="434"/>
      <c r="D708" s="38"/>
    </row>
    <row r="709">
      <c r="A709" s="434"/>
      <c r="D709" s="38"/>
    </row>
    <row r="710">
      <c r="A710" s="434"/>
      <c r="D710" s="38"/>
    </row>
    <row r="711">
      <c r="A711" s="434"/>
      <c r="D711" s="38"/>
    </row>
    <row r="712">
      <c r="A712" s="434"/>
      <c r="D712" s="38"/>
    </row>
    <row r="713">
      <c r="A713" s="434"/>
      <c r="D713" s="38"/>
    </row>
    <row r="714">
      <c r="A714" s="434"/>
      <c r="D714" s="38"/>
    </row>
    <row r="715">
      <c r="A715" s="434"/>
      <c r="D715" s="38"/>
    </row>
    <row r="716">
      <c r="A716" s="434"/>
      <c r="D716" s="38"/>
    </row>
    <row r="717">
      <c r="A717" s="434"/>
      <c r="D717" s="38"/>
    </row>
    <row r="718">
      <c r="A718" s="434"/>
      <c r="D718" s="38"/>
    </row>
    <row r="719">
      <c r="A719" s="434"/>
      <c r="D719" s="38"/>
    </row>
    <row r="720">
      <c r="A720" s="434"/>
      <c r="D720" s="38"/>
    </row>
    <row r="721">
      <c r="A721" s="434"/>
      <c r="D721" s="38"/>
    </row>
    <row r="722">
      <c r="A722" s="434"/>
      <c r="D722" s="38"/>
    </row>
    <row r="723">
      <c r="A723" s="434"/>
      <c r="D723" s="38"/>
    </row>
    <row r="724">
      <c r="A724" s="434"/>
      <c r="D724" s="38"/>
    </row>
    <row r="725">
      <c r="A725" s="434"/>
      <c r="D725" s="38"/>
    </row>
    <row r="726">
      <c r="A726" s="434"/>
      <c r="D726" s="38"/>
    </row>
    <row r="727">
      <c r="A727" s="434"/>
      <c r="D727" s="38"/>
    </row>
    <row r="728">
      <c r="A728" s="434"/>
      <c r="D728" s="38"/>
    </row>
    <row r="729">
      <c r="A729" s="434"/>
      <c r="D729" s="38"/>
    </row>
    <row r="730">
      <c r="A730" s="434"/>
      <c r="D730" s="38"/>
    </row>
    <row r="731">
      <c r="A731" s="434"/>
      <c r="D731" s="38"/>
    </row>
    <row r="732">
      <c r="A732" s="434"/>
      <c r="D732" s="38"/>
    </row>
    <row r="733">
      <c r="A733" s="434"/>
      <c r="D733" s="38"/>
    </row>
    <row r="734">
      <c r="A734" s="434"/>
      <c r="D734" s="38"/>
    </row>
    <row r="735">
      <c r="A735" s="434"/>
      <c r="D735" s="38"/>
    </row>
    <row r="736">
      <c r="A736" s="434"/>
      <c r="D736" s="38"/>
    </row>
    <row r="737">
      <c r="A737" s="434"/>
      <c r="D737" s="38"/>
    </row>
    <row r="738">
      <c r="A738" s="434"/>
      <c r="D738" s="38"/>
    </row>
    <row r="739">
      <c r="A739" s="434"/>
      <c r="D739" s="38"/>
    </row>
    <row r="740">
      <c r="A740" s="434"/>
      <c r="D740" s="38"/>
    </row>
    <row r="741">
      <c r="A741" s="434"/>
      <c r="D741" s="38"/>
    </row>
    <row r="742">
      <c r="A742" s="434"/>
      <c r="D742" s="38"/>
    </row>
    <row r="743">
      <c r="A743" s="434"/>
      <c r="D743" s="38"/>
    </row>
    <row r="744">
      <c r="A744" s="434"/>
      <c r="D744" s="38"/>
    </row>
    <row r="745">
      <c r="A745" s="434"/>
      <c r="D745" s="38"/>
    </row>
    <row r="746">
      <c r="A746" s="434"/>
      <c r="D746" s="38"/>
    </row>
    <row r="747">
      <c r="A747" s="434"/>
      <c r="D747" s="38"/>
    </row>
    <row r="748">
      <c r="A748" s="434"/>
      <c r="D748" s="38"/>
    </row>
    <row r="749">
      <c r="A749" s="434"/>
      <c r="D749" s="38"/>
    </row>
    <row r="750">
      <c r="A750" s="434"/>
      <c r="D750" s="38"/>
    </row>
    <row r="751">
      <c r="A751" s="434"/>
      <c r="D751" s="38"/>
    </row>
    <row r="752">
      <c r="A752" s="434"/>
      <c r="D752" s="38"/>
    </row>
    <row r="753">
      <c r="A753" s="434"/>
      <c r="D753" s="38"/>
    </row>
    <row r="754">
      <c r="A754" s="434"/>
      <c r="D754" s="38"/>
    </row>
    <row r="755">
      <c r="A755" s="434"/>
      <c r="D755" s="38"/>
    </row>
    <row r="756">
      <c r="A756" s="434"/>
      <c r="D756" s="38"/>
    </row>
    <row r="757">
      <c r="A757" s="434"/>
      <c r="D757" s="38"/>
    </row>
    <row r="758">
      <c r="A758" s="434"/>
      <c r="D758" s="38"/>
    </row>
    <row r="759">
      <c r="A759" s="434"/>
      <c r="D759" s="38"/>
    </row>
    <row r="760">
      <c r="A760" s="434"/>
      <c r="D760" s="38"/>
    </row>
    <row r="761">
      <c r="A761" s="434"/>
      <c r="D761" s="38"/>
    </row>
    <row r="762">
      <c r="A762" s="434"/>
      <c r="D762" s="38"/>
    </row>
    <row r="763">
      <c r="A763" s="434"/>
      <c r="D763" s="38"/>
    </row>
    <row r="764">
      <c r="A764" s="434"/>
      <c r="D764" s="38"/>
    </row>
    <row r="765">
      <c r="A765" s="434"/>
      <c r="D765" s="38"/>
    </row>
    <row r="766">
      <c r="A766" s="434"/>
      <c r="D766" s="38"/>
    </row>
    <row r="767">
      <c r="A767" s="434"/>
      <c r="D767" s="38"/>
    </row>
    <row r="768">
      <c r="A768" s="434"/>
      <c r="D768" s="38"/>
    </row>
    <row r="769">
      <c r="A769" s="434"/>
      <c r="D769" s="38"/>
    </row>
    <row r="770">
      <c r="A770" s="434"/>
      <c r="D770" s="38"/>
    </row>
    <row r="771">
      <c r="A771" s="434"/>
      <c r="D771" s="38"/>
    </row>
    <row r="772">
      <c r="A772" s="434"/>
      <c r="D772" s="38"/>
    </row>
    <row r="773">
      <c r="A773" s="434"/>
      <c r="D773" s="38"/>
    </row>
    <row r="774">
      <c r="A774" s="434"/>
      <c r="D774" s="38"/>
    </row>
    <row r="775">
      <c r="A775" s="434"/>
      <c r="D775" s="38"/>
    </row>
    <row r="776">
      <c r="A776" s="434"/>
      <c r="D776" s="38"/>
    </row>
    <row r="777">
      <c r="A777" s="434"/>
      <c r="D777" s="38"/>
    </row>
    <row r="778">
      <c r="A778" s="434"/>
      <c r="D778" s="38"/>
    </row>
    <row r="779">
      <c r="A779" s="434"/>
      <c r="D779" s="38"/>
    </row>
    <row r="780">
      <c r="A780" s="434"/>
      <c r="D780" s="38"/>
    </row>
    <row r="781">
      <c r="A781" s="434"/>
      <c r="D781" s="38"/>
    </row>
    <row r="782">
      <c r="A782" s="434"/>
      <c r="D782" s="38"/>
    </row>
    <row r="783">
      <c r="A783" s="434"/>
      <c r="D783" s="38"/>
    </row>
    <row r="784">
      <c r="A784" s="434"/>
      <c r="D784" s="38"/>
    </row>
    <row r="785">
      <c r="A785" s="434"/>
      <c r="D785" s="38"/>
    </row>
    <row r="786">
      <c r="A786" s="434"/>
      <c r="D786" s="38"/>
    </row>
    <row r="787">
      <c r="A787" s="434"/>
      <c r="D787" s="38"/>
    </row>
    <row r="788">
      <c r="A788" s="434"/>
      <c r="D788" s="38"/>
    </row>
    <row r="789">
      <c r="A789" s="434"/>
      <c r="D789" s="38"/>
    </row>
    <row r="790">
      <c r="A790" s="434"/>
      <c r="D790" s="38"/>
    </row>
    <row r="791">
      <c r="A791" s="434"/>
      <c r="D791" s="38"/>
    </row>
    <row r="792">
      <c r="A792" s="434"/>
      <c r="D792" s="38"/>
    </row>
    <row r="793">
      <c r="A793" s="434"/>
      <c r="D793" s="38"/>
    </row>
    <row r="794">
      <c r="A794" s="434"/>
      <c r="D794" s="38"/>
    </row>
    <row r="795">
      <c r="A795" s="434"/>
      <c r="D795" s="38"/>
    </row>
    <row r="796">
      <c r="A796" s="434"/>
      <c r="D796" s="38"/>
    </row>
    <row r="797">
      <c r="A797" s="434"/>
      <c r="D797" s="38"/>
    </row>
    <row r="798">
      <c r="A798" s="434"/>
      <c r="D798" s="38"/>
    </row>
    <row r="799">
      <c r="A799" s="434"/>
      <c r="D799" s="38"/>
    </row>
    <row r="800">
      <c r="A800" s="434"/>
      <c r="D800" s="38"/>
    </row>
    <row r="801">
      <c r="A801" s="434"/>
      <c r="D801" s="38"/>
    </row>
    <row r="802">
      <c r="A802" s="434"/>
      <c r="D802" s="38"/>
    </row>
    <row r="803">
      <c r="A803" s="434"/>
      <c r="D803" s="38"/>
    </row>
    <row r="804">
      <c r="A804" s="434"/>
      <c r="D804" s="38"/>
    </row>
    <row r="805">
      <c r="A805" s="434"/>
      <c r="D805" s="38"/>
    </row>
    <row r="806">
      <c r="A806" s="434"/>
      <c r="D806" s="38"/>
    </row>
    <row r="807">
      <c r="A807" s="434"/>
      <c r="D807" s="38"/>
    </row>
    <row r="808">
      <c r="A808" s="434"/>
      <c r="D808" s="38"/>
    </row>
    <row r="809">
      <c r="A809" s="434"/>
      <c r="D809" s="38"/>
    </row>
    <row r="810">
      <c r="A810" s="434"/>
      <c r="D810" s="38"/>
    </row>
    <row r="811">
      <c r="A811" s="434"/>
      <c r="D811" s="38"/>
    </row>
    <row r="812">
      <c r="A812" s="434"/>
      <c r="D812" s="38"/>
    </row>
    <row r="813">
      <c r="A813" s="434"/>
      <c r="D813" s="38"/>
    </row>
    <row r="814">
      <c r="A814" s="434"/>
      <c r="D814" s="38"/>
    </row>
    <row r="815">
      <c r="A815" s="434"/>
      <c r="D815" s="38"/>
    </row>
    <row r="816">
      <c r="A816" s="434"/>
      <c r="D816" s="38"/>
    </row>
    <row r="817">
      <c r="A817" s="434"/>
      <c r="D817" s="38"/>
    </row>
    <row r="818">
      <c r="A818" s="434"/>
      <c r="D818" s="38"/>
    </row>
    <row r="819">
      <c r="A819" s="434"/>
      <c r="D819" s="38"/>
    </row>
    <row r="820">
      <c r="A820" s="434"/>
      <c r="D820" s="38"/>
    </row>
    <row r="821">
      <c r="A821" s="434"/>
      <c r="D821" s="38"/>
    </row>
    <row r="822">
      <c r="A822" s="434"/>
      <c r="D822" s="38"/>
    </row>
    <row r="823">
      <c r="A823" s="434"/>
      <c r="D823" s="38"/>
    </row>
    <row r="824">
      <c r="A824" s="434"/>
      <c r="D824" s="38"/>
    </row>
    <row r="825">
      <c r="A825" s="434"/>
      <c r="D825" s="38"/>
    </row>
    <row r="826">
      <c r="A826" s="434"/>
      <c r="D826" s="38"/>
    </row>
    <row r="827">
      <c r="A827" s="434"/>
      <c r="D827" s="38"/>
    </row>
    <row r="828">
      <c r="A828" s="434"/>
      <c r="D828" s="38"/>
    </row>
    <row r="829">
      <c r="A829" s="434"/>
      <c r="D829" s="38"/>
    </row>
    <row r="830">
      <c r="A830" s="434"/>
      <c r="D830" s="38"/>
    </row>
    <row r="831">
      <c r="A831" s="434"/>
      <c r="D831" s="38"/>
    </row>
    <row r="832">
      <c r="A832" s="434"/>
      <c r="D832" s="38"/>
    </row>
    <row r="833">
      <c r="A833" s="434"/>
      <c r="D833" s="38"/>
    </row>
    <row r="834">
      <c r="A834" s="434"/>
      <c r="D834" s="38"/>
    </row>
    <row r="835">
      <c r="A835" s="434"/>
      <c r="D835" s="38"/>
    </row>
    <row r="836">
      <c r="A836" s="434"/>
      <c r="D836" s="38"/>
    </row>
    <row r="837">
      <c r="A837" s="434"/>
      <c r="D837" s="38"/>
    </row>
    <row r="838">
      <c r="A838" s="434"/>
      <c r="D838" s="38"/>
    </row>
    <row r="839">
      <c r="A839" s="434"/>
      <c r="D839" s="38"/>
    </row>
    <row r="840">
      <c r="A840" s="434"/>
      <c r="D840" s="38"/>
    </row>
    <row r="841">
      <c r="A841" s="434"/>
      <c r="D841" s="38"/>
    </row>
    <row r="842">
      <c r="A842" s="434"/>
      <c r="D842" s="38"/>
    </row>
    <row r="843">
      <c r="A843" s="434"/>
      <c r="D843" s="38"/>
    </row>
    <row r="844">
      <c r="A844" s="434"/>
      <c r="D844" s="38"/>
    </row>
    <row r="845">
      <c r="A845" s="434"/>
      <c r="D845" s="38"/>
    </row>
    <row r="846">
      <c r="A846" s="434"/>
      <c r="D846" s="38"/>
    </row>
    <row r="847">
      <c r="A847" s="434"/>
      <c r="D847" s="38"/>
    </row>
    <row r="848">
      <c r="A848" s="434"/>
      <c r="D848" s="38"/>
    </row>
    <row r="849">
      <c r="A849" s="434"/>
      <c r="D849" s="38"/>
    </row>
    <row r="850">
      <c r="A850" s="434"/>
      <c r="D850" s="38"/>
    </row>
    <row r="851">
      <c r="A851" s="434"/>
      <c r="D851" s="38"/>
    </row>
    <row r="852">
      <c r="A852" s="434"/>
      <c r="D852" s="38"/>
    </row>
    <row r="853">
      <c r="A853" s="434"/>
      <c r="D853" s="38"/>
    </row>
    <row r="854">
      <c r="A854" s="434"/>
      <c r="D854" s="38"/>
    </row>
    <row r="855">
      <c r="A855" s="434"/>
      <c r="D855" s="38"/>
    </row>
    <row r="856">
      <c r="A856" s="434"/>
      <c r="D856" s="38"/>
    </row>
    <row r="857">
      <c r="A857" s="434"/>
      <c r="D857" s="38"/>
    </row>
    <row r="858">
      <c r="A858" s="434"/>
      <c r="D858" s="38"/>
    </row>
    <row r="859">
      <c r="A859" s="434"/>
      <c r="D859" s="38"/>
    </row>
    <row r="860">
      <c r="A860" s="434"/>
      <c r="D860" s="38"/>
    </row>
    <row r="861">
      <c r="A861" s="434"/>
      <c r="D861" s="38"/>
    </row>
    <row r="862">
      <c r="A862" s="434"/>
      <c r="D862" s="38"/>
    </row>
    <row r="863">
      <c r="A863" s="434"/>
      <c r="D863" s="38"/>
    </row>
    <row r="864">
      <c r="A864" s="434"/>
      <c r="D864" s="38"/>
    </row>
    <row r="865">
      <c r="A865" s="434"/>
      <c r="D865" s="38"/>
    </row>
    <row r="866">
      <c r="A866" s="434"/>
      <c r="D866" s="38"/>
    </row>
    <row r="867">
      <c r="A867" s="434"/>
      <c r="D867" s="38"/>
    </row>
    <row r="868">
      <c r="A868" s="434"/>
      <c r="D868" s="38"/>
    </row>
    <row r="869">
      <c r="A869" s="434"/>
      <c r="D869" s="38"/>
    </row>
    <row r="870">
      <c r="A870" s="434"/>
      <c r="D870" s="38"/>
    </row>
    <row r="871">
      <c r="A871" s="434"/>
      <c r="D871" s="38"/>
    </row>
    <row r="872">
      <c r="A872" s="434"/>
      <c r="D872" s="38"/>
    </row>
    <row r="873">
      <c r="A873" s="434"/>
      <c r="D873" s="38"/>
    </row>
    <row r="874">
      <c r="A874" s="434"/>
      <c r="D874" s="38"/>
    </row>
    <row r="875">
      <c r="A875" s="434"/>
      <c r="D875" s="38"/>
    </row>
    <row r="876">
      <c r="A876" s="434"/>
      <c r="D876" s="38"/>
    </row>
    <row r="877">
      <c r="A877" s="434"/>
      <c r="D877" s="38"/>
    </row>
    <row r="878">
      <c r="A878" s="434"/>
      <c r="D878" s="38"/>
    </row>
    <row r="879">
      <c r="A879" s="434"/>
      <c r="D879" s="38"/>
    </row>
    <row r="880">
      <c r="A880" s="434"/>
      <c r="D880" s="38"/>
    </row>
    <row r="881">
      <c r="A881" s="434"/>
      <c r="D881" s="38"/>
    </row>
    <row r="882">
      <c r="A882" s="434"/>
      <c r="D882" s="38"/>
    </row>
    <row r="883">
      <c r="A883" s="434"/>
      <c r="D883" s="38"/>
    </row>
    <row r="884">
      <c r="A884" s="434"/>
      <c r="D884" s="38"/>
    </row>
    <row r="885">
      <c r="A885" s="434"/>
      <c r="D885" s="38"/>
    </row>
    <row r="886">
      <c r="A886" s="434"/>
      <c r="D886" s="38"/>
    </row>
    <row r="887">
      <c r="A887" s="434"/>
      <c r="D887" s="38"/>
    </row>
    <row r="888">
      <c r="A888" s="434"/>
      <c r="D888" s="38"/>
    </row>
    <row r="889">
      <c r="A889" s="434"/>
      <c r="D889" s="38"/>
    </row>
    <row r="890">
      <c r="A890" s="434"/>
      <c r="D890" s="38"/>
    </row>
    <row r="891">
      <c r="A891" s="434"/>
      <c r="D891" s="38"/>
    </row>
    <row r="892">
      <c r="A892" s="434"/>
      <c r="D892" s="38"/>
    </row>
    <row r="893">
      <c r="A893" s="434"/>
      <c r="D893" s="38"/>
    </row>
    <row r="894">
      <c r="A894" s="434"/>
      <c r="D894" s="38"/>
    </row>
    <row r="895">
      <c r="A895" s="434"/>
      <c r="D895" s="38"/>
    </row>
    <row r="896">
      <c r="A896" s="434"/>
      <c r="D896" s="38"/>
    </row>
    <row r="897">
      <c r="A897" s="434"/>
      <c r="D897" s="38"/>
    </row>
    <row r="898">
      <c r="A898" s="434"/>
      <c r="D898" s="38"/>
    </row>
    <row r="899">
      <c r="A899" s="434"/>
      <c r="D899" s="38"/>
    </row>
    <row r="900">
      <c r="A900" s="434"/>
      <c r="D900" s="38"/>
    </row>
    <row r="901">
      <c r="A901" s="434"/>
      <c r="D901" s="38"/>
    </row>
    <row r="902">
      <c r="A902" s="434"/>
      <c r="D902" s="38"/>
    </row>
    <row r="903">
      <c r="A903" s="434"/>
      <c r="D903" s="38"/>
    </row>
    <row r="904">
      <c r="A904" s="434"/>
      <c r="D904" s="38"/>
    </row>
    <row r="905">
      <c r="A905" s="434"/>
      <c r="D905" s="38"/>
    </row>
    <row r="906">
      <c r="A906" s="434"/>
      <c r="D906" s="38"/>
    </row>
    <row r="907">
      <c r="A907" s="434"/>
      <c r="D907" s="38"/>
    </row>
    <row r="908">
      <c r="A908" s="434"/>
      <c r="D908" s="38"/>
    </row>
    <row r="909">
      <c r="A909" s="434"/>
      <c r="D909" s="38"/>
    </row>
    <row r="910">
      <c r="A910" s="434"/>
      <c r="D910" s="38"/>
    </row>
    <row r="911">
      <c r="A911" s="434"/>
      <c r="D911" s="38"/>
    </row>
    <row r="912">
      <c r="A912" s="434"/>
      <c r="D912" s="38"/>
    </row>
    <row r="913">
      <c r="A913" s="434"/>
      <c r="D913" s="38"/>
    </row>
    <row r="914">
      <c r="A914" s="434"/>
      <c r="D914" s="38"/>
    </row>
    <row r="915">
      <c r="A915" s="434"/>
      <c r="D915" s="38"/>
    </row>
    <row r="916">
      <c r="A916" s="434"/>
      <c r="D916" s="38"/>
    </row>
    <row r="917">
      <c r="A917" s="434"/>
      <c r="D917" s="38"/>
    </row>
    <row r="918">
      <c r="A918" s="434"/>
      <c r="D918" s="38"/>
    </row>
    <row r="919">
      <c r="A919" s="434"/>
      <c r="D919" s="38"/>
    </row>
    <row r="920">
      <c r="A920" s="434"/>
      <c r="D920" s="38"/>
    </row>
    <row r="921">
      <c r="A921" s="434"/>
      <c r="D921" s="38"/>
    </row>
    <row r="922">
      <c r="A922" s="434"/>
      <c r="D922" s="38"/>
    </row>
    <row r="923">
      <c r="A923" s="434"/>
      <c r="D923" s="38"/>
    </row>
    <row r="924">
      <c r="A924" s="434"/>
      <c r="D924" s="38"/>
    </row>
    <row r="925">
      <c r="A925" s="434"/>
      <c r="D925" s="38"/>
    </row>
    <row r="926">
      <c r="A926" s="434"/>
      <c r="D926" s="38"/>
    </row>
    <row r="927">
      <c r="A927" s="434"/>
      <c r="D927" s="38"/>
    </row>
    <row r="928">
      <c r="A928" s="434"/>
      <c r="D928" s="38"/>
    </row>
    <row r="929">
      <c r="A929" s="434"/>
      <c r="D929" s="38"/>
    </row>
    <row r="930">
      <c r="A930" s="434"/>
      <c r="D930" s="38"/>
    </row>
    <row r="931">
      <c r="A931" s="434"/>
      <c r="D931" s="38"/>
    </row>
    <row r="932">
      <c r="A932" s="434"/>
      <c r="D932" s="38"/>
    </row>
    <row r="933">
      <c r="A933" s="434"/>
      <c r="D933" s="38"/>
    </row>
    <row r="934">
      <c r="A934" s="434"/>
      <c r="D934" s="38"/>
    </row>
    <row r="935">
      <c r="A935" s="434"/>
      <c r="D935" s="38"/>
    </row>
    <row r="936">
      <c r="A936" s="434"/>
      <c r="D936" s="38"/>
    </row>
    <row r="937">
      <c r="A937" s="434"/>
      <c r="D937" s="38"/>
    </row>
    <row r="938">
      <c r="A938" s="434"/>
      <c r="D938" s="38"/>
    </row>
    <row r="939">
      <c r="A939" s="434"/>
      <c r="D939" s="38"/>
    </row>
    <row r="940">
      <c r="A940" s="434"/>
      <c r="D940" s="38"/>
    </row>
    <row r="941">
      <c r="A941" s="434"/>
      <c r="D941" s="38"/>
    </row>
    <row r="942">
      <c r="A942" s="434"/>
      <c r="D942" s="38"/>
    </row>
    <row r="943">
      <c r="A943" s="434"/>
      <c r="D943" s="38"/>
    </row>
    <row r="944">
      <c r="A944" s="434"/>
      <c r="D944" s="38"/>
    </row>
    <row r="945">
      <c r="A945" s="434"/>
      <c r="D945" s="38"/>
    </row>
    <row r="946">
      <c r="A946" s="434"/>
      <c r="D946" s="38"/>
    </row>
    <row r="947">
      <c r="A947" s="434"/>
      <c r="D947" s="38"/>
    </row>
    <row r="948">
      <c r="A948" s="434"/>
      <c r="D948" s="38"/>
    </row>
    <row r="949">
      <c r="A949" s="434"/>
      <c r="D949" s="38"/>
    </row>
    <row r="950">
      <c r="A950" s="434"/>
      <c r="D950" s="38"/>
    </row>
    <row r="951">
      <c r="A951" s="434"/>
      <c r="D951" s="38"/>
    </row>
    <row r="952">
      <c r="A952" s="434"/>
      <c r="D952" s="38"/>
    </row>
    <row r="953">
      <c r="A953" s="434"/>
      <c r="D953" s="38"/>
    </row>
    <row r="954">
      <c r="A954" s="434"/>
      <c r="D954" s="38"/>
    </row>
    <row r="955">
      <c r="A955" s="434"/>
      <c r="D955" s="38"/>
    </row>
    <row r="956">
      <c r="A956" s="434"/>
      <c r="D956" s="38"/>
    </row>
    <row r="957">
      <c r="A957" s="434"/>
      <c r="D957" s="38"/>
    </row>
    <row r="958">
      <c r="A958" s="434"/>
      <c r="D958" s="38"/>
    </row>
    <row r="959">
      <c r="A959" s="434"/>
      <c r="D959" s="38"/>
    </row>
    <row r="960">
      <c r="A960" s="434"/>
      <c r="D960" s="38"/>
    </row>
    <row r="961">
      <c r="A961" s="434"/>
      <c r="D961" s="38"/>
    </row>
    <row r="962">
      <c r="A962" s="434"/>
      <c r="D962" s="38"/>
    </row>
    <row r="963">
      <c r="A963" s="434"/>
      <c r="D963" s="38"/>
    </row>
    <row r="964">
      <c r="A964" s="434"/>
      <c r="D964" s="38"/>
    </row>
    <row r="965">
      <c r="A965" s="434"/>
      <c r="D965" s="38"/>
    </row>
    <row r="966">
      <c r="A966" s="434"/>
      <c r="D966" s="38"/>
    </row>
    <row r="967">
      <c r="A967" s="434"/>
      <c r="D967" s="38"/>
    </row>
    <row r="968">
      <c r="A968" s="434"/>
      <c r="D968" s="38"/>
    </row>
    <row r="969">
      <c r="A969" s="434"/>
      <c r="D969" s="38"/>
    </row>
    <row r="970">
      <c r="A970" s="434"/>
      <c r="D970" s="38"/>
    </row>
    <row r="971">
      <c r="A971" s="434"/>
      <c r="D971" s="38"/>
    </row>
    <row r="972">
      <c r="A972" s="434"/>
      <c r="D972" s="38"/>
    </row>
    <row r="973">
      <c r="A973" s="434"/>
      <c r="D973" s="38"/>
    </row>
    <row r="974">
      <c r="A974" s="434"/>
      <c r="D974" s="38"/>
    </row>
    <row r="975">
      <c r="A975" s="434"/>
      <c r="D975" s="38"/>
    </row>
    <row r="976">
      <c r="A976" s="434"/>
      <c r="D976" s="38"/>
    </row>
    <row r="977">
      <c r="A977" s="434"/>
      <c r="D977" s="38"/>
    </row>
    <row r="978">
      <c r="A978" s="434"/>
      <c r="D978" s="38"/>
    </row>
    <row r="979">
      <c r="A979" s="434"/>
      <c r="D979" s="38"/>
    </row>
    <row r="980">
      <c r="A980" s="434"/>
      <c r="D980" s="38"/>
    </row>
    <row r="981">
      <c r="A981" s="434"/>
      <c r="D981" s="38"/>
    </row>
    <row r="982">
      <c r="A982" s="434"/>
      <c r="D982" s="38"/>
    </row>
    <row r="983">
      <c r="A983" s="434"/>
      <c r="D983" s="38"/>
    </row>
    <row r="984">
      <c r="A984" s="434"/>
      <c r="D984" s="38"/>
    </row>
    <row r="985">
      <c r="A985" s="434"/>
      <c r="D985" s="38"/>
    </row>
    <row r="986">
      <c r="A986" s="434"/>
      <c r="D986" s="38"/>
    </row>
    <row r="987">
      <c r="A987" s="434"/>
      <c r="D987" s="38"/>
    </row>
    <row r="988">
      <c r="A988" s="434"/>
      <c r="D988" s="38"/>
    </row>
    <row r="989">
      <c r="A989" s="434"/>
      <c r="D989" s="38"/>
    </row>
    <row r="990">
      <c r="A990" s="434"/>
      <c r="D990" s="38"/>
    </row>
    <row r="991">
      <c r="A991" s="434"/>
      <c r="D991" s="38"/>
    </row>
    <row r="992">
      <c r="A992" s="434"/>
      <c r="D992" s="38"/>
    </row>
    <row r="993">
      <c r="A993" s="434"/>
      <c r="D993" s="38"/>
    </row>
    <row r="994">
      <c r="A994" s="434"/>
      <c r="D994" s="38"/>
    </row>
    <row r="995">
      <c r="A995" s="434"/>
      <c r="D995" s="38"/>
    </row>
    <row r="996">
      <c r="A996" s="434"/>
      <c r="D996" s="38"/>
    </row>
    <row r="997">
      <c r="A997" s="434"/>
      <c r="D997" s="38"/>
    </row>
    <row r="998">
      <c r="A998" s="434"/>
      <c r="D998" s="38"/>
    </row>
    <row r="999">
      <c r="A999" s="434"/>
      <c r="D999" s="38"/>
    </row>
    <row r="1000">
      <c r="A1000" s="434"/>
      <c r="D1000" s="38"/>
    </row>
    <row r="1001">
      <c r="A1001" s="434"/>
      <c r="D1001" s="38"/>
    </row>
    <row r="1002">
      <c r="A1002" s="434"/>
      <c r="D1002" s="38"/>
    </row>
    <row r="1003">
      <c r="A1003" s="434"/>
      <c r="D1003" s="38"/>
    </row>
    <row r="1004">
      <c r="A1004" s="434"/>
      <c r="D1004" s="38"/>
    </row>
    <row r="1005">
      <c r="A1005" s="434"/>
      <c r="D1005" s="38"/>
    </row>
  </sheetData>
  <customSheetViews>
    <customSheetView guid="{9D2F5B4C-BA7D-479C-B7FF-4F2FBA79609E}" filter="1" showAutoFilter="1">
      <autoFilter ref="$D$1:$D$1005"/>
    </customSheetView>
  </customSheetViews>
  <hyperlinks>
    <hyperlink r:id="rId1" ref="E3"/>
    <hyperlink r:id="rId2" ref="E4"/>
    <hyperlink r:id="rId3" ref="E8"/>
    <hyperlink r:id="rId4" ref="E9"/>
    <hyperlink r:id="rId5" ref="E10"/>
    <hyperlink r:id="rId6" ref="E12"/>
    <hyperlink r:id="rId7" ref="E20"/>
    <hyperlink r:id="rId8" ref="E21"/>
    <hyperlink r:id="rId9" ref="E23"/>
    <hyperlink r:id="rId10" ref="E24"/>
    <hyperlink r:id="rId11" ref="E27"/>
    <hyperlink r:id="rId12" ref="E28"/>
    <hyperlink r:id="rId13" ref="E29"/>
    <hyperlink r:id="rId14" ref="E30"/>
    <hyperlink r:id="rId15" ref="E31"/>
    <hyperlink r:id="rId16" ref="E32"/>
    <hyperlink r:id="rId17" ref="H34"/>
    <hyperlink r:id="rId18" ref="E38"/>
    <hyperlink r:id="rId19" ref="E39"/>
    <hyperlink r:id="rId20" ref="E41"/>
    <hyperlink r:id="rId21" ref="E42"/>
    <hyperlink r:id="rId22" ref="E44"/>
    <hyperlink r:id="rId23" ref="E46"/>
    <hyperlink r:id="rId24" ref="E47"/>
    <hyperlink r:id="rId25" ref="E49"/>
    <hyperlink r:id="rId26" ref="E51"/>
    <hyperlink r:id="rId27" ref="E52"/>
    <hyperlink r:id="rId28" ref="E54"/>
    <hyperlink r:id="rId29" ref="E55"/>
    <hyperlink r:id="rId30" ref="E56"/>
    <hyperlink r:id="rId31" ref="E57"/>
    <hyperlink r:id="rId32" ref="H57"/>
    <hyperlink r:id="rId33" ref="E59"/>
    <hyperlink r:id="rId34" ref="H59"/>
    <hyperlink r:id="rId35" ref="E61"/>
    <hyperlink r:id="rId36" ref="E63"/>
    <hyperlink r:id="rId37" ref="E65"/>
    <hyperlink r:id="rId38" ref="E66"/>
    <hyperlink r:id="rId39" ref="H66"/>
    <hyperlink r:id="rId40" ref="H67"/>
    <hyperlink r:id="rId41" ref="E69"/>
    <hyperlink r:id="rId42" ref="H69"/>
    <hyperlink r:id="rId43" ref="E70"/>
    <hyperlink r:id="rId44" ref="E72"/>
    <hyperlink r:id="rId45" ref="E74"/>
    <hyperlink r:id="rId46" ref="E76"/>
    <hyperlink r:id="rId47" ref="E77"/>
    <hyperlink r:id="rId48" ref="E78"/>
    <hyperlink r:id="rId49" ref="H78"/>
    <hyperlink r:id="rId50" ref="E79"/>
    <hyperlink r:id="rId51" ref="E80"/>
    <hyperlink r:id="rId52" ref="H80"/>
  </hyperlinks>
  <drawing r:id="rId5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36.57"/>
    <col customWidth="1" min="7" max="7" width="8.0"/>
    <col customWidth="1" min="9" max="9" width="34.71"/>
  </cols>
  <sheetData>
    <row r="1">
      <c r="A1" s="487" t="s">
        <v>0</v>
      </c>
      <c r="B1" s="488" t="s">
        <v>1</v>
      </c>
      <c r="C1" s="488" t="s">
        <v>1817</v>
      </c>
      <c r="D1" s="488" t="s">
        <v>2</v>
      </c>
      <c r="E1" s="488" t="s">
        <v>3</v>
      </c>
      <c r="F1" s="488" t="s">
        <v>4</v>
      </c>
      <c r="G1" s="488" t="s">
        <v>6</v>
      </c>
      <c r="H1" s="489" t="s">
        <v>8</v>
      </c>
      <c r="I1" s="488" t="s">
        <v>9</v>
      </c>
      <c r="J1" s="228"/>
      <c r="K1" s="9"/>
      <c r="L1" s="9"/>
      <c r="M1" s="9"/>
      <c r="N1" s="9"/>
      <c r="O1" s="9"/>
      <c r="P1" s="9"/>
      <c r="Q1" s="9"/>
      <c r="R1" s="9"/>
      <c r="S1" s="9"/>
      <c r="T1" s="9"/>
      <c r="U1" s="9"/>
      <c r="V1" s="9"/>
      <c r="W1" s="9"/>
      <c r="X1" s="9"/>
      <c r="Y1" s="9"/>
      <c r="Z1" s="9"/>
      <c r="AA1" s="9"/>
      <c r="AB1" s="9"/>
      <c r="AC1" s="9"/>
      <c r="AD1" s="9"/>
      <c r="AE1" s="9"/>
      <c r="AF1" s="9"/>
    </row>
    <row r="2" hidden="1">
      <c r="A2" s="388">
        <v>43132.0</v>
      </c>
      <c r="B2" s="389"/>
      <c r="C2" s="389"/>
      <c r="D2" s="389"/>
      <c r="E2" s="389"/>
      <c r="F2" s="392"/>
      <c r="G2" s="392"/>
      <c r="H2" s="389"/>
      <c r="I2" s="389"/>
      <c r="J2" s="389"/>
      <c r="K2" s="389"/>
      <c r="L2" s="389"/>
      <c r="M2" s="389"/>
      <c r="N2" s="389"/>
      <c r="O2" s="389"/>
      <c r="P2" s="389"/>
      <c r="Q2" s="389"/>
      <c r="R2" s="389"/>
      <c r="S2" s="389"/>
      <c r="T2" s="389"/>
      <c r="U2" s="389"/>
      <c r="V2" s="389"/>
      <c r="W2" s="389"/>
      <c r="X2" s="389"/>
      <c r="Y2" s="389"/>
      <c r="Z2" s="389"/>
      <c r="AA2" s="389"/>
      <c r="AB2" s="389"/>
      <c r="AC2" s="389"/>
      <c r="AD2" s="389"/>
      <c r="AE2" s="389"/>
      <c r="AF2" s="389"/>
    </row>
    <row r="3">
      <c r="A3" s="389"/>
      <c r="B3" s="408" t="s">
        <v>3975</v>
      </c>
      <c r="C3" s="389"/>
      <c r="D3" s="490" t="s">
        <v>3976</v>
      </c>
      <c r="E3" s="409" t="s">
        <v>3977</v>
      </c>
      <c r="F3" s="399" t="s">
        <v>2283</v>
      </c>
      <c r="G3" s="399" t="s">
        <v>2283</v>
      </c>
      <c r="H3" s="400" t="s">
        <v>3978</v>
      </c>
      <c r="I3" s="400" t="s">
        <v>3979</v>
      </c>
      <c r="J3" s="389"/>
      <c r="K3" s="389"/>
      <c r="L3" s="389"/>
      <c r="M3" s="389"/>
      <c r="N3" s="389"/>
      <c r="O3" s="389"/>
      <c r="P3" s="389"/>
      <c r="Q3" s="389"/>
      <c r="R3" s="389"/>
      <c r="S3" s="389"/>
      <c r="T3" s="389"/>
      <c r="U3" s="389"/>
      <c r="V3" s="389"/>
      <c r="W3" s="389"/>
      <c r="X3" s="389"/>
      <c r="Y3" s="389"/>
      <c r="Z3" s="389"/>
      <c r="AA3" s="389"/>
      <c r="AB3" s="389"/>
      <c r="AC3" s="389"/>
      <c r="AD3" s="389"/>
      <c r="AE3" s="389"/>
      <c r="AF3" s="389"/>
    </row>
    <row r="4" hidden="1">
      <c r="A4" s="388">
        <v>43154.0</v>
      </c>
      <c r="B4" s="389"/>
      <c r="C4" s="389"/>
      <c r="D4" s="389"/>
      <c r="E4" s="389"/>
      <c r="F4" s="392"/>
      <c r="G4" s="392"/>
      <c r="H4" s="389"/>
      <c r="I4" s="389"/>
      <c r="J4" s="389"/>
      <c r="K4" s="389"/>
      <c r="L4" s="389"/>
      <c r="M4" s="389"/>
      <c r="N4" s="389"/>
      <c r="O4" s="389"/>
      <c r="P4" s="389"/>
      <c r="Q4" s="389"/>
      <c r="R4" s="389"/>
      <c r="S4" s="389"/>
      <c r="T4" s="389"/>
      <c r="U4" s="389"/>
      <c r="V4" s="389"/>
      <c r="W4" s="389"/>
      <c r="X4" s="389"/>
      <c r="Y4" s="389"/>
      <c r="Z4" s="389"/>
      <c r="AA4" s="389"/>
      <c r="AB4" s="389"/>
      <c r="AC4" s="389"/>
      <c r="AD4" s="389"/>
      <c r="AE4" s="389"/>
      <c r="AF4" s="389"/>
    </row>
    <row r="5">
      <c r="A5" s="389"/>
      <c r="B5" s="400" t="s">
        <v>3983</v>
      </c>
      <c r="C5" s="389"/>
      <c r="D5" s="490" t="s">
        <v>3984</v>
      </c>
      <c r="E5" s="406" t="s">
        <v>3985</v>
      </c>
      <c r="F5" s="392"/>
      <c r="G5" s="399" t="s">
        <v>2293</v>
      </c>
      <c r="H5" s="389"/>
      <c r="I5" s="451" t="s">
        <v>3987</v>
      </c>
      <c r="J5" s="400" t="s">
        <v>32</v>
      </c>
      <c r="K5" s="389"/>
      <c r="L5" s="389"/>
      <c r="M5" s="389"/>
      <c r="N5" s="389"/>
      <c r="O5" s="389"/>
      <c r="P5" s="389"/>
      <c r="Q5" s="389"/>
      <c r="R5" s="389"/>
      <c r="S5" s="389"/>
      <c r="T5" s="389"/>
      <c r="U5" s="389"/>
      <c r="V5" s="389"/>
      <c r="W5" s="389"/>
      <c r="X5" s="389"/>
      <c r="Y5" s="389"/>
      <c r="Z5" s="389"/>
      <c r="AA5" s="389"/>
      <c r="AB5" s="389"/>
      <c r="AC5" s="389"/>
      <c r="AD5" s="389"/>
      <c r="AE5" s="389"/>
      <c r="AF5" s="389"/>
    </row>
    <row r="6" hidden="1">
      <c r="A6" s="389"/>
      <c r="B6" s="408" t="s">
        <v>3998</v>
      </c>
      <c r="C6" s="389"/>
      <c r="D6" s="493" t="s">
        <v>3999</v>
      </c>
      <c r="E6" s="409" t="s">
        <v>4003</v>
      </c>
      <c r="F6" s="392"/>
      <c r="G6" s="399" t="s">
        <v>2283</v>
      </c>
      <c r="H6" s="389"/>
      <c r="I6" s="463" t="s">
        <v>4008</v>
      </c>
      <c r="J6" s="400" t="s">
        <v>4020</v>
      </c>
      <c r="K6" s="389"/>
      <c r="L6" s="389"/>
      <c r="M6" s="389"/>
      <c r="N6" s="389"/>
      <c r="O6" s="389"/>
      <c r="P6" s="389"/>
      <c r="Q6" s="389"/>
      <c r="R6" s="389"/>
      <c r="S6" s="389"/>
      <c r="T6" s="389"/>
      <c r="U6" s="389"/>
      <c r="V6" s="389"/>
      <c r="W6" s="389"/>
      <c r="X6" s="389"/>
      <c r="Y6" s="389"/>
      <c r="Z6" s="389"/>
      <c r="AA6" s="389"/>
      <c r="AB6" s="389"/>
      <c r="AC6" s="389"/>
      <c r="AD6" s="389"/>
      <c r="AE6" s="389"/>
      <c r="AF6" s="389"/>
    </row>
    <row r="7">
      <c r="A7" s="389"/>
      <c r="B7" s="408" t="s">
        <v>4021</v>
      </c>
      <c r="C7" s="389"/>
      <c r="D7" s="490" t="s">
        <v>4022</v>
      </c>
      <c r="E7" s="409" t="s">
        <v>4023</v>
      </c>
      <c r="F7" s="392"/>
      <c r="G7" s="399" t="s">
        <v>2283</v>
      </c>
      <c r="H7" s="389"/>
      <c r="I7" s="400" t="s">
        <v>4024</v>
      </c>
      <c r="J7" s="400" t="s">
        <v>32</v>
      </c>
      <c r="K7" s="389"/>
      <c r="L7" s="389"/>
      <c r="M7" s="389"/>
      <c r="N7" s="389"/>
      <c r="O7" s="389"/>
      <c r="P7" s="389"/>
      <c r="Q7" s="389"/>
      <c r="R7" s="389"/>
      <c r="S7" s="389"/>
      <c r="T7" s="389"/>
      <c r="U7" s="389"/>
      <c r="V7" s="389"/>
      <c r="W7" s="389"/>
      <c r="X7" s="389"/>
      <c r="Y7" s="389"/>
      <c r="Z7" s="389"/>
      <c r="AA7" s="389"/>
      <c r="AB7" s="389"/>
      <c r="AC7" s="389"/>
      <c r="AD7" s="389"/>
      <c r="AE7" s="389"/>
      <c r="AF7" s="389"/>
    </row>
    <row r="8">
      <c r="A8" s="389"/>
      <c r="B8" s="408" t="s">
        <v>4031</v>
      </c>
      <c r="C8" s="389"/>
      <c r="D8" s="490" t="s">
        <v>4032</v>
      </c>
      <c r="E8" s="409" t="s">
        <v>4033</v>
      </c>
      <c r="F8" s="392"/>
      <c r="G8" s="399" t="s">
        <v>2283</v>
      </c>
      <c r="H8" s="389"/>
      <c r="I8" s="400" t="s">
        <v>4024</v>
      </c>
      <c r="J8" s="400" t="s">
        <v>32</v>
      </c>
      <c r="K8" s="389"/>
      <c r="L8" s="389"/>
      <c r="M8" s="389"/>
      <c r="N8" s="389"/>
      <c r="O8" s="389"/>
      <c r="P8" s="389"/>
      <c r="Q8" s="389"/>
      <c r="R8" s="389"/>
      <c r="S8" s="389"/>
      <c r="T8" s="389"/>
      <c r="U8" s="389"/>
      <c r="V8" s="389"/>
      <c r="W8" s="389"/>
      <c r="X8" s="389"/>
      <c r="Y8" s="389"/>
      <c r="Z8" s="389"/>
      <c r="AA8" s="389"/>
      <c r="AB8" s="389"/>
      <c r="AC8" s="389"/>
      <c r="AD8" s="389"/>
      <c r="AE8" s="389"/>
      <c r="AF8" s="389"/>
    </row>
    <row r="9" hidden="1">
      <c r="A9" s="389"/>
      <c r="B9" s="400" t="s">
        <v>2653</v>
      </c>
      <c r="C9" s="389"/>
      <c r="D9" s="493" t="s">
        <v>4034</v>
      </c>
      <c r="E9" s="406" t="s">
        <v>4035</v>
      </c>
      <c r="F9" s="392"/>
      <c r="G9" s="399" t="s">
        <v>2293</v>
      </c>
      <c r="H9" s="389"/>
      <c r="I9" s="400" t="s">
        <v>4036</v>
      </c>
      <c r="J9" s="400" t="s">
        <v>4020</v>
      </c>
      <c r="K9" s="389"/>
      <c r="L9" s="389"/>
      <c r="M9" s="389"/>
      <c r="N9" s="389"/>
      <c r="O9" s="389"/>
      <c r="P9" s="389"/>
      <c r="Q9" s="389"/>
      <c r="R9" s="389"/>
      <c r="S9" s="389"/>
      <c r="T9" s="389"/>
      <c r="U9" s="389"/>
      <c r="V9" s="389"/>
      <c r="W9" s="389"/>
      <c r="X9" s="389"/>
      <c r="Y9" s="389"/>
      <c r="Z9" s="389"/>
      <c r="AA9" s="389"/>
      <c r="AB9" s="389"/>
      <c r="AC9" s="389"/>
      <c r="AD9" s="389"/>
      <c r="AE9" s="389"/>
      <c r="AF9" s="389"/>
    </row>
    <row r="10">
      <c r="A10" s="389"/>
      <c r="B10" s="400" t="s">
        <v>4037</v>
      </c>
      <c r="C10" s="400" t="s">
        <v>9</v>
      </c>
      <c r="D10" s="490" t="s">
        <v>4038</v>
      </c>
      <c r="E10" s="389"/>
      <c r="F10" s="392"/>
      <c r="G10" s="399" t="s">
        <v>2283</v>
      </c>
      <c r="H10" s="389"/>
      <c r="I10" s="400" t="s">
        <v>4039</v>
      </c>
      <c r="J10" s="389"/>
      <c r="K10" s="402" t="s">
        <v>4040</v>
      </c>
      <c r="L10" s="389"/>
      <c r="M10" s="389"/>
      <c r="N10" s="389"/>
      <c r="O10" s="389"/>
      <c r="P10" s="389"/>
      <c r="Q10" s="389"/>
      <c r="R10" s="389"/>
      <c r="S10" s="389"/>
      <c r="T10" s="389"/>
      <c r="U10" s="389"/>
      <c r="V10" s="389"/>
      <c r="W10" s="389"/>
      <c r="X10" s="389"/>
      <c r="Y10" s="389"/>
      <c r="Z10" s="389"/>
      <c r="AA10" s="389"/>
      <c r="AB10" s="389"/>
      <c r="AC10" s="389"/>
      <c r="AD10" s="389"/>
      <c r="AE10" s="389"/>
      <c r="AF10" s="389"/>
    </row>
    <row r="11" hidden="1">
      <c r="A11" s="388">
        <v>43135.0</v>
      </c>
      <c r="B11" s="389"/>
      <c r="C11" s="389"/>
      <c r="D11" s="389"/>
      <c r="E11" s="389"/>
      <c r="F11" s="392"/>
      <c r="G11" s="392"/>
      <c r="H11" s="389"/>
      <c r="I11" s="389"/>
      <c r="J11" s="389"/>
      <c r="K11" s="389"/>
      <c r="L11" s="389"/>
      <c r="M11" s="389"/>
      <c r="N11" s="389"/>
      <c r="O11" s="389"/>
      <c r="P11" s="389"/>
      <c r="Q11" s="389"/>
      <c r="R11" s="389"/>
      <c r="S11" s="389"/>
      <c r="T11" s="389"/>
      <c r="U11" s="389"/>
      <c r="V11" s="389"/>
      <c r="W11" s="389"/>
      <c r="X11" s="389"/>
      <c r="Y11" s="389"/>
      <c r="Z11" s="389"/>
      <c r="AA11" s="389"/>
      <c r="AB11" s="389"/>
      <c r="AC11" s="389"/>
      <c r="AD11" s="389"/>
      <c r="AE11" s="389"/>
      <c r="AF11" s="389"/>
    </row>
    <row r="12">
      <c r="A12" s="389"/>
      <c r="B12" s="408" t="s">
        <v>4041</v>
      </c>
      <c r="C12" s="389"/>
      <c r="D12" s="490" t="s">
        <v>4042</v>
      </c>
      <c r="E12" s="409" t="s">
        <v>4043</v>
      </c>
      <c r="F12" s="392"/>
      <c r="G12" s="399" t="s">
        <v>2283</v>
      </c>
      <c r="H12" s="389"/>
      <c r="I12" s="400" t="s">
        <v>4046</v>
      </c>
      <c r="J12" s="400" t="s">
        <v>803</v>
      </c>
      <c r="K12" s="389"/>
      <c r="L12" s="389"/>
      <c r="M12" s="389"/>
      <c r="N12" s="389"/>
      <c r="O12" s="389"/>
      <c r="P12" s="389"/>
      <c r="Q12" s="389"/>
      <c r="R12" s="389"/>
      <c r="S12" s="389"/>
      <c r="T12" s="389"/>
      <c r="U12" s="389"/>
      <c r="V12" s="389"/>
      <c r="W12" s="389"/>
      <c r="X12" s="389"/>
      <c r="Y12" s="389"/>
      <c r="Z12" s="389"/>
      <c r="AA12" s="389"/>
      <c r="AB12" s="389"/>
      <c r="AC12" s="389"/>
      <c r="AD12" s="389"/>
      <c r="AE12" s="389"/>
      <c r="AF12" s="389"/>
    </row>
    <row r="13" hidden="1">
      <c r="A13" s="389"/>
      <c r="B13" s="498" t="s">
        <v>2653</v>
      </c>
      <c r="C13" s="228"/>
      <c r="D13" s="500" t="s">
        <v>4048</v>
      </c>
      <c r="E13" s="389"/>
      <c r="F13" s="392"/>
      <c r="G13" s="399" t="s">
        <v>2293</v>
      </c>
      <c r="H13" s="389"/>
      <c r="I13" s="400" t="s">
        <v>4050</v>
      </c>
      <c r="J13" s="400" t="s">
        <v>4051</v>
      </c>
      <c r="K13" s="389"/>
      <c r="L13" s="389"/>
      <c r="M13" s="389"/>
      <c r="N13" s="389"/>
      <c r="O13" s="389"/>
      <c r="P13" s="389"/>
      <c r="Q13" s="389"/>
      <c r="R13" s="389"/>
      <c r="S13" s="389"/>
      <c r="T13" s="389"/>
      <c r="U13" s="389"/>
      <c r="V13" s="389"/>
      <c r="W13" s="389"/>
      <c r="X13" s="389"/>
      <c r="Y13" s="389"/>
      <c r="Z13" s="389"/>
      <c r="AA13" s="389"/>
      <c r="AB13" s="389"/>
      <c r="AC13" s="389"/>
      <c r="AD13" s="389"/>
      <c r="AE13" s="389"/>
      <c r="AF13" s="389"/>
    </row>
    <row r="14" hidden="1">
      <c r="A14" s="388">
        <v>43136.0</v>
      </c>
      <c r="B14" s="389"/>
      <c r="C14" s="389"/>
      <c r="D14" s="389"/>
      <c r="E14" s="389"/>
      <c r="F14" s="392"/>
      <c r="G14" s="392"/>
      <c r="H14" s="389"/>
      <c r="I14" s="389"/>
      <c r="J14" s="389"/>
      <c r="K14" s="389"/>
      <c r="L14" s="389"/>
      <c r="M14" s="389"/>
      <c r="N14" s="389"/>
      <c r="O14" s="389"/>
      <c r="P14" s="389"/>
      <c r="Q14" s="389"/>
      <c r="R14" s="389"/>
      <c r="S14" s="389"/>
      <c r="T14" s="389"/>
      <c r="U14" s="389"/>
      <c r="V14" s="389"/>
      <c r="W14" s="389"/>
      <c r="X14" s="389"/>
      <c r="Y14" s="389"/>
      <c r="Z14" s="389"/>
      <c r="AA14" s="389"/>
      <c r="AB14" s="389"/>
      <c r="AC14" s="389"/>
      <c r="AD14" s="389"/>
      <c r="AE14" s="389"/>
      <c r="AF14" s="389"/>
    </row>
    <row r="15">
      <c r="A15" s="389"/>
      <c r="B15" s="408" t="s">
        <v>4058</v>
      </c>
      <c r="C15" s="389"/>
      <c r="D15" s="490" t="s">
        <v>4060</v>
      </c>
      <c r="E15" s="409" t="s">
        <v>4061</v>
      </c>
      <c r="F15" s="392"/>
      <c r="G15" s="399" t="s">
        <v>2283</v>
      </c>
      <c r="H15" s="389"/>
      <c r="I15" s="400" t="s">
        <v>4063</v>
      </c>
      <c r="J15" s="400" t="s">
        <v>32</v>
      </c>
      <c r="K15" s="389"/>
      <c r="L15" s="389"/>
      <c r="M15" s="389"/>
      <c r="N15" s="389"/>
      <c r="O15" s="389"/>
      <c r="P15" s="389"/>
      <c r="Q15" s="389"/>
      <c r="R15" s="389"/>
      <c r="S15" s="389"/>
      <c r="T15" s="389"/>
      <c r="U15" s="389"/>
      <c r="V15" s="389"/>
      <c r="W15" s="389"/>
      <c r="X15" s="389"/>
      <c r="Y15" s="389"/>
      <c r="Z15" s="389"/>
      <c r="AA15" s="389"/>
      <c r="AB15" s="389"/>
      <c r="AC15" s="389"/>
      <c r="AD15" s="389"/>
      <c r="AE15" s="389"/>
      <c r="AF15" s="389"/>
    </row>
    <row r="16">
      <c r="A16" s="389"/>
      <c r="B16" s="400" t="s">
        <v>4065</v>
      </c>
      <c r="C16" s="389"/>
      <c r="D16" s="490" t="s">
        <v>4066</v>
      </c>
      <c r="E16" s="406" t="s">
        <v>4067</v>
      </c>
      <c r="F16" s="392"/>
      <c r="G16" s="399" t="s">
        <v>2293</v>
      </c>
      <c r="H16" s="389"/>
      <c r="I16" s="506" t="s">
        <v>4070</v>
      </c>
      <c r="J16" s="400" t="s">
        <v>32</v>
      </c>
      <c r="K16" s="389"/>
      <c r="L16" s="389"/>
      <c r="M16" s="389"/>
      <c r="N16" s="389"/>
      <c r="O16" s="389"/>
      <c r="P16" s="389"/>
      <c r="Q16" s="389"/>
      <c r="R16" s="389"/>
      <c r="S16" s="389"/>
      <c r="T16" s="389"/>
      <c r="U16" s="389"/>
      <c r="V16" s="389"/>
      <c r="W16" s="389"/>
      <c r="X16" s="389"/>
      <c r="Y16" s="389"/>
      <c r="Z16" s="389"/>
      <c r="AA16" s="389"/>
      <c r="AB16" s="389"/>
      <c r="AC16" s="389"/>
      <c r="AD16" s="389"/>
      <c r="AE16" s="389"/>
      <c r="AF16" s="389"/>
    </row>
    <row r="17" hidden="1">
      <c r="A17" s="388">
        <v>43137.0</v>
      </c>
      <c r="B17" s="389"/>
      <c r="C17" s="389"/>
      <c r="D17" s="389"/>
      <c r="E17" s="389"/>
      <c r="F17" s="392"/>
      <c r="G17" s="392"/>
      <c r="H17" s="389"/>
      <c r="I17" s="389"/>
      <c r="J17" s="389"/>
      <c r="K17" s="389"/>
      <c r="L17" s="389"/>
      <c r="M17" s="389"/>
      <c r="N17" s="389"/>
      <c r="O17" s="389"/>
      <c r="P17" s="389"/>
      <c r="Q17" s="389"/>
      <c r="R17" s="389"/>
      <c r="S17" s="389"/>
      <c r="T17" s="389"/>
      <c r="U17" s="389"/>
      <c r="V17" s="389"/>
      <c r="W17" s="389"/>
      <c r="X17" s="389"/>
      <c r="Y17" s="389"/>
      <c r="Z17" s="389"/>
      <c r="AA17" s="389"/>
      <c r="AB17" s="389"/>
      <c r="AC17" s="389"/>
      <c r="AD17" s="389"/>
      <c r="AE17" s="389"/>
      <c r="AF17" s="389"/>
    </row>
    <row r="18">
      <c r="A18" s="389"/>
      <c r="B18" s="408" t="s">
        <v>4076</v>
      </c>
      <c r="C18" s="389"/>
      <c r="D18" s="490" t="s">
        <v>4077</v>
      </c>
      <c r="E18" s="409" t="s">
        <v>4078</v>
      </c>
      <c r="F18" s="392"/>
      <c r="G18" s="392"/>
      <c r="H18" s="389"/>
      <c r="I18" s="447" t="s">
        <v>4085</v>
      </c>
      <c r="J18" s="400" t="s">
        <v>32</v>
      </c>
      <c r="K18" s="389"/>
      <c r="L18" s="389"/>
      <c r="M18" s="389"/>
      <c r="N18" s="389"/>
      <c r="O18" s="389"/>
      <c r="P18" s="389"/>
      <c r="Q18" s="389"/>
      <c r="R18" s="389"/>
      <c r="S18" s="389"/>
      <c r="T18" s="389"/>
      <c r="U18" s="389"/>
      <c r="V18" s="389"/>
      <c r="W18" s="389"/>
      <c r="X18" s="389"/>
      <c r="Y18" s="389"/>
      <c r="Z18" s="389"/>
      <c r="AA18" s="389"/>
      <c r="AB18" s="389"/>
      <c r="AC18" s="389"/>
      <c r="AD18" s="389"/>
      <c r="AE18" s="389"/>
      <c r="AF18" s="389"/>
    </row>
    <row r="19" hidden="1">
      <c r="A19" s="388">
        <v>43138.0</v>
      </c>
      <c r="B19" s="389"/>
      <c r="C19" s="389"/>
      <c r="D19" s="389"/>
      <c r="E19" s="389"/>
      <c r="F19" s="392"/>
      <c r="G19" s="392"/>
      <c r="H19" s="389"/>
      <c r="I19" s="389"/>
      <c r="J19" s="389"/>
      <c r="K19" s="389"/>
      <c r="L19" s="389"/>
      <c r="M19" s="389"/>
      <c r="N19" s="389"/>
      <c r="O19" s="389"/>
      <c r="P19" s="389"/>
      <c r="Q19" s="389"/>
      <c r="R19" s="389"/>
      <c r="S19" s="389"/>
      <c r="T19" s="389"/>
      <c r="U19" s="389"/>
      <c r="V19" s="389"/>
      <c r="W19" s="389"/>
      <c r="X19" s="389"/>
      <c r="Y19" s="389"/>
      <c r="Z19" s="389"/>
      <c r="AA19" s="389"/>
      <c r="AB19" s="389"/>
      <c r="AC19" s="389"/>
      <c r="AD19" s="389"/>
      <c r="AE19" s="389"/>
      <c r="AF19" s="389"/>
    </row>
    <row r="20">
      <c r="A20" s="389"/>
      <c r="B20" s="408" t="s">
        <v>4089</v>
      </c>
      <c r="C20" s="389"/>
      <c r="D20" s="490" t="s">
        <v>4090</v>
      </c>
      <c r="E20" s="409" t="s">
        <v>4091</v>
      </c>
      <c r="F20" s="392"/>
      <c r="G20" s="399" t="s">
        <v>2283</v>
      </c>
      <c r="H20" s="389"/>
      <c r="I20" s="400" t="s">
        <v>4095</v>
      </c>
      <c r="J20" s="389"/>
      <c r="K20" s="389"/>
      <c r="L20" s="389"/>
      <c r="M20" s="389"/>
      <c r="N20" s="389"/>
      <c r="O20" s="389"/>
      <c r="P20" s="389"/>
      <c r="Q20" s="389"/>
      <c r="R20" s="389"/>
      <c r="S20" s="389"/>
      <c r="T20" s="389"/>
      <c r="U20" s="389"/>
      <c r="V20" s="389"/>
      <c r="W20" s="389"/>
      <c r="X20" s="389"/>
      <c r="Y20" s="389"/>
      <c r="Z20" s="389"/>
      <c r="AA20" s="389"/>
      <c r="AB20" s="389"/>
      <c r="AC20" s="389"/>
      <c r="AD20" s="389"/>
      <c r="AE20" s="389"/>
      <c r="AF20" s="389"/>
    </row>
    <row r="21" hidden="1">
      <c r="A21" s="388">
        <v>43139.0</v>
      </c>
      <c r="B21" s="389"/>
      <c r="C21" s="389"/>
      <c r="D21" s="389"/>
      <c r="E21" s="389"/>
      <c r="F21" s="392"/>
      <c r="G21" s="392"/>
      <c r="H21" s="389"/>
      <c r="I21" s="389"/>
      <c r="J21" s="389"/>
      <c r="K21" s="389"/>
      <c r="L21" s="389"/>
      <c r="M21" s="389"/>
      <c r="N21" s="389"/>
      <c r="O21" s="389"/>
      <c r="P21" s="389"/>
      <c r="Q21" s="389"/>
      <c r="R21" s="389"/>
      <c r="S21" s="389"/>
      <c r="T21" s="389"/>
      <c r="U21" s="389"/>
      <c r="V21" s="389"/>
      <c r="W21" s="389"/>
      <c r="X21" s="389"/>
      <c r="Y21" s="389"/>
      <c r="Z21" s="389"/>
      <c r="AA21" s="389"/>
      <c r="AB21" s="389"/>
      <c r="AC21" s="389"/>
      <c r="AD21" s="389"/>
      <c r="AE21" s="389"/>
      <c r="AF21" s="389"/>
    </row>
    <row r="22" hidden="1">
      <c r="A22" s="389"/>
      <c r="B22" s="400" t="s">
        <v>4099</v>
      </c>
      <c r="C22" s="389"/>
      <c r="D22" s="493" t="s">
        <v>4100</v>
      </c>
      <c r="E22" s="406" t="s">
        <v>4101</v>
      </c>
      <c r="F22" s="392"/>
      <c r="G22" s="399" t="s">
        <v>2293</v>
      </c>
      <c r="H22" s="389"/>
      <c r="I22" s="400" t="s">
        <v>4104</v>
      </c>
      <c r="J22" s="389"/>
      <c r="K22" s="389"/>
      <c r="L22" s="389"/>
      <c r="M22" s="389"/>
      <c r="N22" s="389"/>
      <c r="O22" s="389"/>
      <c r="P22" s="389"/>
      <c r="Q22" s="389"/>
      <c r="R22" s="389"/>
      <c r="S22" s="389"/>
      <c r="T22" s="389"/>
      <c r="U22" s="389"/>
      <c r="V22" s="389"/>
      <c r="W22" s="389"/>
      <c r="X22" s="389"/>
      <c r="Y22" s="389"/>
      <c r="Z22" s="389"/>
      <c r="AA22" s="389"/>
      <c r="AB22" s="389"/>
      <c r="AC22" s="389"/>
      <c r="AD22" s="389"/>
      <c r="AE22" s="389"/>
      <c r="AF22" s="389"/>
    </row>
    <row r="23" hidden="1">
      <c r="A23" s="388">
        <v>43141.0</v>
      </c>
      <c r="B23" s="389"/>
      <c r="C23" s="389"/>
      <c r="D23" s="389"/>
      <c r="E23" s="389"/>
      <c r="F23" s="392"/>
      <c r="G23" s="392"/>
      <c r="H23" s="389"/>
      <c r="I23" s="389"/>
      <c r="J23" s="389"/>
      <c r="K23" s="389"/>
      <c r="L23" s="389"/>
      <c r="M23" s="389"/>
      <c r="N23" s="389"/>
      <c r="O23" s="389"/>
      <c r="P23" s="389"/>
      <c r="Q23" s="389"/>
      <c r="R23" s="389"/>
      <c r="S23" s="389"/>
      <c r="T23" s="389"/>
      <c r="U23" s="389"/>
      <c r="V23" s="389"/>
      <c r="W23" s="389"/>
      <c r="X23" s="389"/>
      <c r="Y23" s="389"/>
      <c r="Z23" s="389"/>
      <c r="AA23" s="389"/>
      <c r="AB23" s="389"/>
      <c r="AC23" s="389"/>
      <c r="AD23" s="389"/>
      <c r="AE23" s="389"/>
      <c r="AF23" s="389"/>
    </row>
    <row r="24" hidden="1">
      <c r="A24" s="389"/>
      <c r="B24" s="408" t="s">
        <v>4111</v>
      </c>
      <c r="C24" s="389"/>
      <c r="D24" s="493" t="s">
        <v>4112</v>
      </c>
      <c r="E24" s="409" t="s">
        <v>4114</v>
      </c>
      <c r="F24" s="392"/>
      <c r="G24" s="399" t="s">
        <v>2283</v>
      </c>
      <c r="H24" s="389"/>
      <c r="I24" s="463" t="s">
        <v>4115</v>
      </c>
      <c r="J24" s="400" t="s">
        <v>32</v>
      </c>
      <c r="K24" s="389"/>
      <c r="L24" s="389"/>
      <c r="M24" s="389"/>
      <c r="N24" s="389"/>
      <c r="O24" s="389"/>
      <c r="P24" s="389"/>
      <c r="Q24" s="389"/>
      <c r="R24" s="389"/>
      <c r="S24" s="389"/>
      <c r="T24" s="389"/>
      <c r="U24" s="389"/>
      <c r="V24" s="389"/>
      <c r="W24" s="389"/>
      <c r="X24" s="389"/>
      <c r="Y24" s="389"/>
      <c r="Z24" s="389"/>
      <c r="AA24" s="389"/>
      <c r="AB24" s="389"/>
      <c r="AC24" s="389"/>
      <c r="AD24" s="389"/>
      <c r="AE24" s="389"/>
      <c r="AF24" s="389"/>
    </row>
    <row r="25">
      <c r="A25" s="389"/>
      <c r="B25" s="408" t="s">
        <v>4116</v>
      </c>
      <c r="C25" s="389"/>
      <c r="D25" s="490" t="s">
        <v>4117</v>
      </c>
      <c r="E25" s="400" t="s">
        <v>4119</v>
      </c>
      <c r="F25" s="392"/>
      <c r="G25" s="399" t="s">
        <v>2283</v>
      </c>
      <c r="H25" s="389"/>
      <c r="I25" s="507" t="s">
        <v>4122</v>
      </c>
      <c r="J25" s="389"/>
      <c r="K25" s="389"/>
      <c r="L25" s="389"/>
      <c r="M25" s="389"/>
      <c r="N25" s="389"/>
      <c r="O25" s="389"/>
      <c r="P25" s="389"/>
      <c r="Q25" s="389"/>
      <c r="R25" s="389"/>
      <c r="S25" s="389"/>
      <c r="T25" s="389"/>
      <c r="U25" s="389"/>
      <c r="V25" s="389"/>
      <c r="W25" s="389"/>
      <c r="X25" s="389"/>
      <c r="Y25" s="389"/>
      <c r="Z25" s="389"/>
      <c r="AA25" s="389"/>
      <c r="AB25" s="389"/>
      <c r="AC25" s="389"/>
      <c r="AD25" s="389"/>
      <c r="AE25" s="389"/>
      <c r="AF25" s="389"/>
    </row>
    <row r="26">
      <c r="A26" s="389"/>
      <c r="B26" s="408" t="s">
        <v>4123</v>
      </c>
      <c r="C26" s="389"/>
      <c r="D26" s="490" t="s">
        <v>4124</v>
      </c>
      <c r="E26" s="409" t="s">
        <v>4125</v>
      </c>
      <c r="F26" s="392"/>
      <c r="G26" s="399" t="s">
        <v>2283</v>
      </c>
      <c r="H26" s="389"/>
      <c r="I26" s="463" t="s">
        <v>4127</v>
      </c>
      <c r="J26" s="389"/>
      <c r="K26" s="389"/>
      <c r="L26" s="389"/>
      <c r="M26" s="389"/>
      <c r="N26" s="389"/>
      <c r="O26" s="389"/>
      <c r="P26" s="389"/>
      <c r="Q26" s="389"/>
      <c r="R26" s="389"/>
      <c r="S26" s="389"/>
      <c r="T26" s="389"/>
      <c r="U26" s="389"/>
      <c r="V26" s="389"/>
      <c r="W26" s="389"/>
      <c r="X26" s="389"/>
      <c r="Y26" s="389"/>
      <c r="Z26" s="389"/>
      <c r="AA26" s="389"/>
      <c r="AB26" s="389"/>
      <c r="AC26" s="389"/>
      <c r="AD26" s="389"/>
      <c r="AE26" s="389"/>
      <c r="AF26" s="389"/>
    </row>
    <row r="27" hidden="1">
      <c r="A27" s="389"/>
      <c r="B27" s="400" t="s">
        <v>4129</v>
      </c>
      <c r="C27" s="389"/>
      <c r="D27" s="389"/>
      <c r="E27" s="400" t="s">
        <v>4130</v>
      </c>
      <c r="F27" s="392"/>
      <c r="G27" s="392"/>
      <c r="H27" s="389"/>
      <c r="I27" s="400" t="s">
        <v>4131</v>
      </c>
      <c r="J27" s="400" t="s">
        <v>2887</v>
      </c>
      <c r="K27" s="389"/>
      <c r="L27" s="389"/>
      <c r="M27" s="389"/>
      <c r="N27" s="389"/>
      <c r="O27" s="389"/>
      <c r="P27" s="389"/>
      <c r="Q27" s="389"/>
      <c r="R27" s="389"/>
      <c r="S27" s="389"/>
      <c r="T27" s="389"/>
      <c r="U27" s="389"/>
      <c r="V27" s="389"/>
      <c r="W27" s="389"/>
      <c r="X27" s="389"/>
      <c r="Y27" s="389"/>
      <c r="Z27" s="389"/>
      <c r="AA27" s="389"/>
      <c r="AB27" s="389"/>
      <c r="AC27" s="389"/>
      <c r="AD27" s="389"/>
      <c r="AE27" s="389"/>
      <c r="AF27" s="389"/>
    </row>
    <row r="28" hidden="1">
      <c r="A28" s="388">
        <v>43142.0</v>
      </c>
      <c r="B28" s="389"/>
      <c r="C28" s="389"/>
      <c r="D28" s="389"/>
      <c r="E28" s="389"/>
      <c r="F28" s="392"/>
      <c r="G28" s="392"/>
      <c r="H28" s="389"/>
      <c r="I28" s="389"/>
      <c r="J28" s="389"/>
      <c r="K28" s="389"/>
      <c r="L28" s="389"/>
      <c r="M28" s="389"/>
      <c r="N28" s="389"/>
      <c r="O28" s="389"/>
      <c r="P28" s="389"/>
      <c r="Q28" s="389"/>
      <c r="R28" s="389"/>
      <c r="S28" s="389"/>
      <c r="T28" s="389"/>
      <c r="U28" s="389"/>
      <c r="V28" s="389"/>
      <c r="W28" s="389"/>
      <c r="X28" s="389"/>
      <c r="Y28" s="389"/>
      <c r="Z28" s="389"/>
      <c r="AA28" s="389"/>
      <c r="AB28" s="389"/>
      <c r="AC28" s="389"/>
      <c r="AD28" s="389"/>
      <c r="AE28" s="389"/>
      <c r="AF28" s="389"/>
    </row>
    <row r="29" hidden="1">
      <c r="A29" s="389"/>
      <c r="B29" s="408" t="s">
        <v>4132</v>
      </c>
      <c r="C29" s="389"/>
      <c r="D29" s="493" t="s">
        <v>4133</v>
      </c>
      <c r="E29" s="409" t="s">
        <v>4134</v>
      </c>
      <c r="F29" s="392"/>
      <c r="G29" s="399" t="s">
        <v>2283</v>
      </c>
      <c r="H29" s="400" t="s">
        <v>2284</v>
      </c>
      <c r="I29" s="400" t="s">
        <v>4138</v>
      </c>
      <c r="J29" s="400" t="s">
        <v>65</v>
      </c>
      <c r="K29" s="389"/>
      <c r="L29" s="389"/>
      <c r="M29" s="389"/>
      <c r="N29" s="389"/>
      <c r="O29" s="389"/>
      <c r="P29" s="389"/>
      <c r="Q29" s="389"/>
      <c r="R29" s="389"/>
      <c r="S29" s="389"/>
      <c r="T29" s="389"/>
      <c r="U29" s="389"/>
      <c r="V29" s="389"/>
      <c r="W29" s="389"/>
      <c r="X29" s="389"/>
      <c r="Y29" s="389"/>
      <c r="Z29" s="389"/>
      <c r="AA29" s="389"/>
      <c r="AB29" s="389"/>
      <c r="AC29" s="389"/>
      <c r="AD29" s="389"/>
      <c r="AE29" s="389"/>
      <c r="AF29" s="389"/>
    </row>
    <row r="30" hidden="1">
      <c r="A30" s="389"/>
      <c r="B30" s="408" t="s">
        <v>4139</v>
      </c>
      <c r="C30" s="389"/>
      <c r="D30" s="493" t="s">
        <v>4140</v>
      </c>
      <c r="E30" s="409" t="s">
        <v>4142</v>
      </c>
      <c r="F30" s="399" t="s">
        <v>3496</v>
      </c>
      <c r="G30" s="399" t="s">
        <v>2283</v>
      </c>
      <c r="H30" s="400" t="s">
        <v>2333</v>
      </c>
      <c r="I30" s="447" t="s">
        <v>3489</v>
      </c>
      <c r="J30" s="389"/>
      <c r="K30" s="389"/>
      <c r="L30" s="389"/>
      <c r="M30" s="389"/>
      <c r="N30" s="389"/>
      <c r="O30" s="389"/>
      <c r="P30" s="389"/>
      <c r="Q30" s="389"/>
      <c r="R30" s="389"/>
      <c r="S30" s="389"/>
      <c r="T30" s="389"/>
      <c r="U30" s="389"/>
      <c r="V30" s="389"/>
      <c r="W30" s="389"/>
      <c r="X30" s="389"/>
      <c r="Y30" s="389"/>
      <c r="Z30" s="389"/>
      <c r="AA30" s="389"/>
      <c r="AB30" s="389"/>
      <c r="AC30" s="389"/>
      <c r="AD30" s="389"/>
      <c r="AE30" s="389"/>
      <c r="AF30" s="389"/>
    </row>
    <row r="31" hidden="1">
      <c r="A31" s="388">
        <v>43144.0</v>
      </c>
      <c r="B31" s="389"/>
      <c r="C31" s="389"/>
      <c r="D31" s="389"/>
      <c r="E31" s="389"/>
      <c r="F31" s="392"/>
      <c r="G31" s="392"/>
      <c r="H31" s="389"/>
      <c r="I31" s="389"/>
      <c r="J31" s="389"/>
      <c r="K31" s="389"/>
      <c r="L31" s="389"/>
      <c r="M31" s="389"/>
      <c r="N31" s="389"/>
      <c r="O31" s="389"/>
      <c r="P31" s="389"/>
      <c r="Q31" s="389"/>
      <c r="R31" s="389"/>
      <c r="S31" s="389"/>
      <c r="T31" s="389"/>
      <c r="U31" s="389"/>
      <c r="V31" s="389"/>
      <c r="W31" s="389"/>
      <c r="X31" s="389"/>
      <c r="Y31" s="389"/>
      <c r="Z31" s="389"/>
      <c r="AA31" s="389"/>
      <c r="AB31" s="389"/>
      <c r="AC31" s="389"/>
      <c r="AD31" s="389"/>
      <c r="AE31" s="389"/>
      <c r="AF31" s="389"/>
    </row>
    <row r="32" hidden="1">
      <c r="A32" s="389"/>
      <c r="B32" s="400" t="s">
        <v>4149</v>
      </c>
      <c r="C32" s="389"/>
      <c r="D32" s="493" t="s">
        <v>4150</v>
      </c>
      <c r="E32" s="388">
        <v>43144.0</v>
      </c>
      <c r="F32" s="399" t="s">
        <v>4151</v>
      </c>
      <c r="G32" s="399" t="s">
        <v>2283</v>
      </c>
      <c r="H32" s="400" t="s">
        <v>2284</v>
      </c>
      <c r="I32" s="400" t="s">
        <v>4153</v>
      </c>
      <c r="J32" s="389"/>
      <c r="K32" s="389"/>
      <c r="L32" s="389"/>
      <c r="M32" s="389"/>
      <c r="N32" s="389"/>
      <c r="O32" s="389"/>
      <c r="P32" s="389"/>
      <c r="Q32" s="389"/>
      <c r="R32" s="389"/>
      <c r="S32" s="389"/>
      <c r="T32" s="389"/>
      <c r="U32" s="389"/>
      <c r="V32" s="389"/>
      <c r="W32" s="389"/>
      <c r="X32" s="389"/>
      <c r="Y32" s="389"/>
      <c r="Z32" s="389"/>
      <c r="AA32" s="389"/>
      <c r="AB32" s="389"/>
      <c r="AC32" s="389"/>
      <c r="AD32" s="389"/>
      <c r="AE32" s="389"/>
      <c r="AF32" s="389"/>
    </row>
    <row r="33">
      <c r="A33" s="389"/>
      <c r="B33" s="400" t="s">
        <v>4157</v>
      </c>
      <c r="C33" s="389"/>
      <c r="D33" s="490" t="s">
        <v>4158</v>
      </c>
      <c r="E33" s="388">
        <v>43144.0</v>
      </c>
      <c r="F33" s="399" t="s">
        <v>4151</v>
      </c>
      <c r="G33" s="399" t="s">
        <v>2283</v>
      </c>
      <c r="H33" s="400" t="s">
        <v>2342</v>
      </c>
      <c r="I33" s="400" t="s">
        <v>4159</v>
      </c>
      <c r="J33" s="389"/>
      <c r="K33" s="389"/>
      <c r="L33" s="389"/>
      <c r="M33" s="389"/>
      <c r="N33" s="389"/>
      <c r="O33" s="389"/>
      <c r="P33" s="389"/>
      <c r="Q33" s="389"/>
      <c r="R33" s="389"/>
      <c r="S33" s="389"/>
      <c r="T33" s="389"/>
      <c r="U33" s="389"/>
      <c r="V33" s="389"/>
      <c r="W33" s="389"/>
      <c r="X33" s="389"/>
      <c r="Y33" s="389"/>
      <c r="Z33" s="389"/>
      <c r="AA33" s="389"/>
      <c r="AB33" s="389"/>
      <c r="AC33" s="389"/>
      <c r="AD33" s="389"/>
      <c r="AE33" s="389"/>
      <c r="AF33" s="389"/>
    </row>
    <row r="34" hidden="1">
      <c r="A34" s="389"/>
      <c r="B34" s="400" t="s">
        <v>4160</v>
      </c>
      <c r="C34" s="389"/>
      <c r="D34" s="493" t="s">
        <v>4161</v>
      </c>
      <c r="E34" s="388">
        <v>43143.0</v>
      </c>
      <c r="F34" s="399" t="s">
        <v>4151</v>
      </c>
      <c r="G34" s="399" t="s">
        <v>2283</v>
      </c>
      <c r="H34" s="400" t="s">
        <v>2284</v>
      </c>
      <c r="I34" s="400" t="s">
        <v>4163</v>
      </c>
      <c r="J34" s="389"/>
      <c r="K34" s="389"/>
      <c r="L34" s="389"/>
      <c r="M34" s="389"/>
      <c r="N34" s="389"/>
      <c r="O34" s="389"/>
      <c r="P34" s="389"/>
      <c r="Q34" s="389"/>
      <c r="R34" s="389"/>
      <c r="S34" s="389"/>
      <c r="T34" s="389"/>
      <c r="U34" s="389"/>
      <c r="V34" s="389"/>
      <c r="W34" s="389"/>
      <c r="X34" s="389"/>
      <c r="Y34" s="389"/>
      <c r="Z34" s="389"/>
      <c r="AA34" s="389"/>
      <c r="AB34" s="389"/>
      <c r="AC34" s="389"/>
      <c r="AD34" s="389"/>
      <c r="AE34" s="389"/>
      <c r="AF34" s="389"/>
    </row>
    <row r="35" hidden="1">
      <c r="A35" s="389"/>
      <c r="B35" s="400" t="s">
        <v>4167</v>
      </c>
      <c r="C35" s="389"/>
      <c r="D35" s="493" t="s">
        <v>4168</v>
      </c>
      <c r="E35" s="388">
        <v>43142.0</v>
      </c>
      <c r="F35" s="399" t="s">
        <v>4151</v>
      </c>
      <c r="G35" s="399" t="s">
        <v>2283</v>
      </c>
      <c r="H35" s="400" t="s">
        <v>2342</v>
      </c>
      <c r="I35" s="400" t="s">
        <v>4170</v>
      </c>
      <c r="J35" s="400" t="s">
        <v>803</v>
      </c>
      <c r="K35" s="389"/>
      <c r="L35" s="389"/>
      <c r="M35" s="389"/>
      <c r="N35" s="389"/>
      <c r="O35" s="389"/>
      <c r="P35" s="389"/>
      <c r="Q35" s="389"/>
      <c r="R35" s="389"/>
      <c r="S35" s="389"/>
      <c r="T35" s="389"/>
      <c r="U35" s="389"/>
      <c r="V35" s="389"/>
      <c r="W35" s="389"/>
      <c r="X35" s="389"/>
      <c r="Y35" s="389"/>
      <c r="Z35" s="389"/>
      <c r="AA35" s="389"/>
      <c r="AB35" s="389"/>
      <c r="AC35" s="389"/>
      <c r="AD35" s="389"/>
      <c r="AE35" s="389"/>
      <c r="AF35" s="389"/>
    </row>
    <row r="36" hidden="1">
      <c r="A36" s="389"/>
      <c r="B36" s="400" t="s">
        <v>2981</v>
      </c>
      <c r="C36" s="389"/>
      <c r="D36" s="493" t="s">
        <v>4174</v>
      </c>
      <c r="E36" s="389"/>
      <c r="F36" s="399" t="s">
        <v>4151</v>
      </c>
      <c r="G36" s="399" t="s">
        <v>2283</v>
      </c>
      <c r="H36" s="400" t="s">
        <v>2342</v>
      </c>
      <c r="I36" s="400" t="s">
        <v>4175</v>
      </c>
      <c r="J36" s="400" t="s">
        <v>4084</v>
      </c>
      <c r="K36" s="389"/>
      <c r="L36" s="389"/>
      <c r="M36" s="389"/>
      <c r="N36" s="389"/>
      <c r="O36" s="389"/>
      <c r="P36" s="389"/>
      <c r="Q36" s="389"/>
      <c r="R36" s="389"/>
      <c r="S36" s="389"/>
      <c r="T36" s="389"/>
      <c r="U36" s="389"/>
      <c r="V36" s="389"/>
      <c r="W36" s="389"/>
      <c r="X36" s="389"/>
      <c r="Y36" s="389"/>
      <c r="Z36" s="389"/>
      <c r="AA36" s="389"/>
      <c r="AB36" s="389"/>
      <c r="AC36" s="389"/>
      <c r="AD36" s="389"/>
      <c r="AE36" s="389"/>
      <c r="AF36" s="389"/>
    </row>
    <row r="37" hidden="1">
      <c r="A37" s="389"/>
      <c r="B37" s="400" t="s">
        <v>4176</v>
      </c>
      <c r="C37" s="389"/>
      <c r="D37" s="493" t="s">
        <v>4177</v>
      </c>
      <c r="E37" s="389"/>
      <c r="F37" s="392"/>
      <c r="G37" s="392"/>
      <c r="H37" s="400" t="s">
        <v>2284</v>
      </c>
      <c r="I37" s="400" t="s">
        <v>3347</v>
      </c>
      <c r="J37" s="389"/>
      <c r="K37" s="389"/>
      <c r="L37" s="389"/>
      <c r="M37" s="389"/>
      <c r="N37" s="389"/>
      <c r="O37" s="389"/>
      <c r="P37" s="389"/>
      <c r="Q37" s="389"/>
      <c r="R37" s="389"/>
      <c r="S37" s="389"/>
      <c r="T37" s="389"/>
      <c r="U37" s="389"/>
      <c r="V37" s="389"/>
      <c r="W37" s="389"/>
      <c r="X37" s="389"/>
      <c r="Y37" s="389"/>
      <c r="Z37" s="389"/>
      <c r="AA37" s="389"/>
      <c r="AB37" s="389"/>
      <c r="AC37" s="389"/>
      <c r="AD37" s="389"/>
      <c r="AE37" s="389"/>
      <c r="AF37" s="389"/>
    </row>
    <row r="38" hidden="1">
      <c r="A38" s="388">
        <v>43145.0</v>
      </c>
      <c r="B38" s="389"/>
      <c r="C38" s="389"/>
      <c r="D38" s="389"/>
      <c r="E38" s="389"/>
      <c r="F38" s="392"/>
      <c r="G38" s="392"/>
      <c r="H38" s="389"/>
      <c r="I38" s="389"/>
      <c r="J38" s="389"/>
      <c r="K38" s="389"/>
      <c r="L38" s="389"/>
      <c r="M38" s="389"/>
      <c r="N38" s="389"/>
      <c r="O38" s="389"/>
      <c r="P38" s="389"/>
      <c r="Q38" s="389"/>
      <c r="R38" s="389"/>
      <c r="S38" s="389"/>
      <c r="T38" s="389"/>
      <c r="U38" s="389"/>
      <c r="V38" s="389"/>
      <c r="W38" s="389"/>
      <c r="X38" s="389"/>
      <c r="Y38" s="389"/>
      <c r="Z38" s="389"/>
      <c r="AA38" s="389"/>
      <c r="AB38" s="389"/>
      <c r="AC38" s="389"/>
      <c r="AD38" s="389"/>
      <c r="AE38" s="389"/>
      <c r="AF38" s="389"/>
    </row>
    <row r="39">
      <c r="A39" s="9"/>
      <c r="B39" s="508" t="s">
        <v>4182</v>
      </c>
      <c r="C39" s="509"/>
      <c r="D39" s="510" t="s">
        <v>4184</v>
      </c>
      <c r="E39" s="509" t="s">
        <v>4188</v>
      </c>
      <c r="F39" s="511"/>
      <c r="G39" s="512" t="s">
        <v>2283</v>
      </c>
      <c r="H39" s="513" t="s">
        <v>2342</v>
      </c>
      <c r="I39" s="447" t="s">
        <v>4194</v>
      </c>
      <c r="J39" s="9"/>
      <c r="K39" s="9"/>
      <c r="L39" s="9"/>
      <c r="M39" s="9"/>
      <c r="N39" s="9"/>
      <c r="O39" s="9"/>
      <c r="P39" s="9"/>
      <c r="Q39" s="9"/>
      <c r="R39" s="9"/>
      <c r="S39" s="9"/>
      <c r="T39" s="9"/>
      <c r="U39" s="9"/>
      <c r="V39" s="9"/>
      <c r="W39" s="9"/>
      <c r="X39" s="9"/>
      <c r="Y39" s="9"/>
      <c r="Z39" s="9"/>
      <c r="AA39" s="9"/>
      <c r="AB39" s="389"/>
      <c r="AC39" s="389"/>
      <c r="AD39" s="389"/>
      <c r="AE39" s="389"/>
      <c r="AF39" s="389"/>
    </row>
    <row r="40" hidden="1">
      <c r="A40" s="389"/>
      <c r="B40" s="514" t="s">
        <v>4196</v>
      </c>
      <c r="C40" s="389"/>
      <c r="D40" s="515" t="s">
        <v>4200</v>
      </c>
      <c r="E40" s="516" t="s">
        <v>4201</v>
      </c>
      <c r="F40" s="399" t="s">
        <v>3496</v>
      </c>
      <c r="G40" s="399" t="s">
        <v>2283</v>
      </c>
      <c r="H40" s="400" t="s">
        <v>2333</v>
      </c>
      <c r="I40" s="400" t="s">
        <v>3098</v>
      </c>
      <c r="J40" s="389"/>
      <c r="K40" s="389"/>
      <c r="L40" s="389"/>
      <c r="M40" s="389"/>
      <c r="N40" s="389"/>
      <c r="O40" s="389"/>
      <c r="P40" s="389"/>
      <c r="Q40" s="389"/>
      <c r="R40" s="389"/>
      <c r="S40" s="389"/>
      <c r="T40" s="389"/>
      <c r="U40" s="389"/>
      <c r="V40" s="389"/>
      <c r="W40" s="389"/>
      <c r="X40" s="389"/>
      <c r="Y40" s="389"/>
      <c r="Z40" s="389"/>
      <c r="AA40" s="389"/>
      <c r="AB40" s="389"/>
      <c r="AC40" s="389"/>
      <c r="AD40" s="389"/>
      <c r="AE40" s="389"/>
      <c r="AF40" s="389"/>
    </row>
    <row r="41" hidden="1">
      <c r="A41" s="389"/>
      <c r="B41" s="400" t="s">
        <v>4202</v>
      </c>
      <c r="C41" s="389"/>
      <c r="D41" s="493" t="s">
        <v>4203</v>
      </c>
      <c r="E41" s="406" t="s">
        <v>4204</v>
      </c>
      <c r="F41" s="399" t="s">
        <v>3496</v>
      </c>
      <c r="G41" s="399" t="s">
        <v>2293</v>
      </c>
      <c r="H41" s="400" t="s">
        <v>2333</v>
      </c>
      <c r="I41" s="400" t="s">
        <v>4205</v>
      </c>
      <c r="J41" s="389"/>
      <c r="K41" s="389"/>
      <c r="L41" s="389"/>
      <c r="M41" s="389"/>
      <c r="N41" s="389"/>
      <c r="O41" s="389"/>
      <c r="P41" s="389"/>
      <c r="Q41" s="389"/>
      <c r="R41" s="389"/>
      <c r="S41" s="389"/>
      <c r="T41" s="389"/>
      <c r="U41" s="389"/>
      <c r="V41" s="389"/>
      <c r="W41" s="389"/>
      <c r="X41" s="389"/>
      <c r="Y41" s="389"/>
      <c r="Z41" s="389"/>
      <c r="AA41" s="389"/>
      <c r="AB41" s="389"/>
      <c r="AC41" s="389"/>
      <c r="AD41" s="389"/>
      <c r="AE41" s="389"/>
      <c r="AF41" s="389"/>
    </row>
    <row r="42">
      <c r="A42" s="389"/>
      <c r="B42" s="408" t="s">
        <v>4206</v>
      </c>
      <c r="C42" s="389"/>
      <c r="D42" s="490" t="s">
        <v>4207</v>
      </c>
      <c r="E42" s="409" t="s">
        <v>4208</v>
      </c>
      <c r="F42" s="392"/>
      <c r="G42" s="399" t="s">
        <v>2283</v>
      </c>
      <c r="H42" s="389"/>
      <c r="I42" s="400" t="s">
        <v>4209</v>
      </c>
      <c r="J42" s="389"/>
      <c r="K42" s="389"/>
      <c r="L42" s="389"/>
      <c r="M42" s="389"/>
      <c r="N42" s="389"/>
      <c r="O42" s="389"/>
      <c r="P42" s="389"/>
      <c r="Q42" s="389"/>
      <c r="R42" s="389"/>
      <c r="S42" s="389"/>
      <c r="T42" s="389"/>
      <c r="U42" s="389"/>
      <c r="V42" s="389"/>
      <c r="W42" s="389"/>
      <c r="X42" s="389"/>
      <c r="Y42" s="389"/>
      <c r="Z42" s="389"/>
      <c r="AA42" s="389"/>
      <c r="AB42" s="389"/>
      <c r="AC42" s="389"/>
      <c r="AD42" s="389"/>
      <c r="AE42" s="389"/>
      <c r="AF42" s="389"/>
    </row>
    <row r="43" hidden="1">
      <c r="A43" s="388">
        <v>43146.0</v>
      </c>
      <c r="B43" s="389"/>
      <c r="C43" s="389"/>
      <c r="D43" s="389"/>
      <c r="E43" s="389"/>
      <c r="F43" s="392"/>
      <c r="G43" s="392"/>
      <c r="H43" s="389"/>
      <c r="I43" s="389"/>
      <c r="J43" s="389"/>
      <c r="K43" s="389"/>
      <c r="L43" s="389"/>
      <c r="M43" s="389"/>
      <c r="N43" s="389"/>
      <c r="O43" s="389"/>
      <c r="P43" s="389"/>
      <c r="Q43" s="389"/>
      <c r="R43" s="389"/>
      <c r="S43" s="389"/>
      <c r="T43" s="389"/>
      <c r="U43" s="389"/>
      <c r="V43" s="389"/>
      <c r="W43" s="389"/>
      <c r="X43" s="389"/>
      <c r="Y43" s="389"/>
      <c r="Z43" s="389"/>
      <c r="AA43" s="389"/>
      <c r="AB43" s="389"/>
      <c r="AC43" s="389"/>
      <c r="AD43" s="389"/>
      <c r="AE43" s="389"/>
      <c r="AF43" s="389"/>
    </row>
    <row r="44" hidden="1">
      <c r="A44" s="389"/>
      <c r="B44" s="408" t="s">
        <v>4210</v>
      </c>
      <c r="C44" s="389"/>
      <c r="D44" s="493" t="s">
        <v>4211</v>
      </c>
      <c r="E44" s="409" t="s">
        <v>4212</v>
      </c>
      <c r="F44" s="392"/>
      <c r="G44" s="399" t="s">
        <v>2283</v>
      </c>
      <c r="H44" s="400" t="s">
        <v>2284</v>
      </c>
      <c r="I44" s="400" t="s">
        <v>4213</v>
      </c>
      <c r="J44" s="389"/>
      <c r="K44" s="389"/>
      <c r="L44" s="389"/>
      <c r="M44" s="389"/>
      <c r="N44" s="389"/>
      <c r="O44" s="389"/>
      <c r="P44" s="389"/>
      <c r="Q44" s="389"/>
      <c r="R44" s="389"/>
      <c r="S44" s="389"/>
      <c r="T44" s="389"/>
      <c r="U44" s="389"/>
      <c r="V44" s="389"/>
      <c r="W44" s="389"/>
      <c r="X44" s="389"/>
      <c r="Y44" s="389"/>
      <c r="Z44" s="389"/>
      <c r="AA44" s="389"/>
      <c r="AB44" s="389"/>
      <c r="AC44" s="389"/>
      <c r="AD44" s="389"/>
      <c r="AE44" s="389"/>
      <c r="AF44" s="389"/>
    </row>
    <row r="45" hidden="1">
      <c r="A45" s="388">
        <v>43148.0</v>
      </c>
      <c r="B45" s="389"/>
      <c r="C45" s="389"/>
      <c r="D45" s="389"/>
      <c r="E45" s="389"/>
      <c r="F45" s="392"/>
      <c r="G45" s="399"/>
      <c r="H45" s="400"/>
      <c r="I45" s="447"/>
      <c r="J45" s="389"/>
      <c r="K45" s="389"/>
      <c r="L45" s="389"/>
      <c r="M45" s="389"/>
      <c r="N45" s="389"/>
      <c r="O45" s="389"/>
      <c r="P45" s="389"/>
      <c r="Q45" s="389"/>
      <c r="R45" s="389"/>
      <c r="S45" s="389"/>
      <c r="T45" s="389"/>
      <c r="U45" s="389"/>
      <c r="V45" s="389"/>
      <c r="W45" s="389"/>
      <c r="X45" s="389"/>
      <c r="Y45" s="389"/>
      <c r="Z45" s="389"/>
      <c r="AA45" s="389"/>
      <c r="AB45" s="389"/>
      <c r="AC45" s="389"/>
      <c r="AD45" s="389"/>
      <c r="AE45" s="389"/>
      <c r="AF45" s="389"/>
    </row>
    <row r="46" hidden="1">
      <c r="A46" s="389"/>
      <c r="B46" s="408" t="s">
        <v>4214</v>
      </c>
      <c r="C46" s="389"/>
      <c r="D46" s="493" t="s">
        <v>4215</v>
      </c>
      <c r="E46" s="409" t="s">
        <v>4216</v>
      </c>
      <c r="F46" s="392"/>
      <c r="G46" s="399" t="s">
        <v>2283</v>
      </c>
      <c r="H46" s="400" t="s">
        <v>2284</v>
      </c>
      <c r="I46" s="447" t="s">
        <v>4217</v>
      </c>
      <c r="J46" s="400" t="s">
        <v>32</v>
      </c>
      <c r="K46" s="389"/>
      <c r="L46" s="389"/>
      <c r="M46" s="389"/>
      <c r="N46" s="389"/>
      <c r="O46" s="389"/>
      <c r="P46" s="389"/>
      <c r="Q46" s="389"/>
      <c r="R46" s="389"/>
      <c r="S46" s="389"/>
      <c r="T46" s="389"/>
      <c r="U46" s="389"/>
      <c r="V46" s="389"/>
      <c r="W46" s="389"/>
      <c r="X46" s="389"/>
      <c r="Y46" s="389"/>
      <c r="Z46" s="389"/>
      <c r="AA46" s="389"/>
      <c r="AB46" s="389"/>
      <c r="AC46" s="389"/>
      <c r="AD46" s="389"/>
      <c r="AE46" s="389"/>
      <c r="AF46" s="389"/>
    </row>
    <row r="47" hidden="1">
      <c r="A47" s="389"/>
      <c r="B47" s="408" t="s">
        <v>4218</v>
      </c>
      <c r="C47" s="389"/>
      <c r="D47" s="493" t="s">
        <v>4219</v>
      </c>
      <c r="E47" s="409" t="s">
        <v>4220</v>
      </c>
      <c r="F47" s="392"/>
      <c r="G47" s="399" t="s">
        <v>2283</v>
      </c>
      <c r="H47" s="400" t="s">
        <v>2284</v>
      </c>
      <c r="I47" s="400" t="s">
        <v>4221</v>
      </c>
      <c r="J47" s="389"/>
      <c r="K47" s="400" t="s">
        <v>3807</v>
      </c>
      <c r="L47" s="389"/>
      <c r="M47" s="389"/>
      <c r="N47" s="389"/>
      <c r="O47" s="389"/>
      <c r="P47" s="389"/>
      <c r="Q47" s="389"/>
      <c r="R47" s="389"/>
      <c r="S47" s="389"/>
      <c r="T47" s="389"/>
      <c r="U47" s="389"/>
      <c r="V47" s="389"/>
      <c r="W47" s="389"/>
      <c r="X47" s="389"/>
      <c r="Y47" s="389"/>
      <c r="Z47" s="389"/>
      <c r="AA47" s="389"/>
      <c r="AB47" s="389"/>
      <c r="AC47" s="389"/>
      <c r="AD47" s="389"/>
      <c r="AE47" s="389"/>
      <c r="AF47" s="389"/>
    </row>
    <row r="48" hidden="1">
      <c r="A48" s="389"/>
      <c r="B48" s="408" t="s">
        <v>4222</v>
      </c>
      <c r="C48" s="389"/>
      <c r="D48" s="493" t="s">
        <v>4223</v>
      </c>
      <c r="E48" s="409" t="s">
        <v>4224</v>
      </c>
      <c r="F48" s="392"/>
      <c r="G48" s="399" t="s">
        <v>2283</v>
      </c>
      <c r="H48" s="400" t="s">
        <v>2284</v>
      </c>
      <c r="I48" s="447" t="s">
        <v>4225</v>
      </c>
      <c r="J48" s="400" t="s">
        <v>32</v>
      </c>
      <c r="K48" s="389"/>
      <c r="L48" s="389"/>
      <c r="M48" s="389"/>
      <c r="N48" s="389"/>
      <c r="O48" s="389"/>
      <c r="P48" s="389"/>
      <c r="Q48" s="389"/>
      <c r="R48" s="389"/>
      <c r="S48" s="389"/>
      <c r="T48" s="389"/>
      <c r="U48" s="389"/>
      <c r="V48" s="389"/>
      <c r="W48" s="389"/>
      <c r="X48" s="389"/>
      <c r="Y48" s="389"/>
      <c r="Z48" s="389"/>
      <c r="AA48" s="389"/>
      <c r="AB48" s="389"/>
      <c r="AC48" s="389"/>
      <c r="AD48" s="389"/>
      <c r="AE48" s="389"/>
      <c r="AF48" s="389"/>
    </row>
    <row r="49">
      <c r="A49" s="389"/>
      <c r="B49" s="408" t="s">
        <v>4226</v>
      </c>
      <c r="C49" s="389"/>
      <c r="D49" s="490" t="s">
        <v>4227</v>
      </c>
      <c r="E49" s="409" t="s">
        <v>4228</v>
      </c>
      <c r="F49" s="399" t="s">
        <v>3496</v>
      </c>
      <c r="G49" s="399" t="s">
        <v>2283</v>
      </c>
      <c r="H49" s="400" t="s">
        <v>2333</v>
      </c>
      <c r="I49" s="400" t="s">
        <v>3038</v>
      </c>
      <c r="J49" s="389"/>
      <c r="K49" s="389"/>
      <c r="L49" s="389"/>
      <c r="M49" s="389"/>
      <c r="N49" s="389"/>
      <c r="O49" s="389"/>
      <c r="P49" s="389"/>
      <c r="Q49" s="389"/>
      <c r="R49" s="389"/>
      <c r="S49" s="389"/>
      <c r="T49" s="389"/>
      <c r="U49" s="389"/>
      <c r="V49" s="389"/>
      <c r="W49" s="389"/>
      <c r="X49" s="389"/>
      <c r="Y49" s="389"/>
      <c r="Z49" s="389"/>
      <c r="AA49" s="389"/>
      <c r="AB49" s="389"/>
      <c r="AC49" s="389"/>
      <c r="AD49" s="389"/>
      <c r="AE49" s="389"/>
      <c r="AF49" s="389"/>
    </row>
    <row r="50">
      <c r="A50" s="389"/>
      <c r="B50" s="400" t="s">
        <v>4229</v>
      </c>
      <c r="C50" s="389"/>
      <c r="D50" s="490" t="s">
        <v>4230</v>
      </c>
      <c r="E50" s="406" t="s">
        <v>4231</v>
      </c>
      <c r="F50" s="392"/>
      <c r="G50" s="399" t="s">
        <v>2293</v>
      </c>
      <c r="H50" s="389"/>
      <c r="I50" s="451" t="s">
        <v>4232</v>
      </c>
      <c r="J50" s="400" t="s">
        <v>158</v>
      </c>
      <c r="K50" s="389"/>
      <c r="L50" s="389"/>
      <c r="M50" s="389"/>
      <c r="N50" s="389"/>
      <c r="O50" s="389"/>
      <c r="P50" s="389"/>
      <c r="Q50" s="389"/>
      <c r="R50" s="389"/>
      <c r="S50" s="389"/>
      <c r="T50" s="389"/>
      <c r="U50" s="389"/>
      <c r="V50" s="389"/>
      <c r="W50" s="389"/>
      <c r="X50" s="389"/>
      <c r="Y50" s="389"/>
      <c r="Z50" s="389"/>
      <c r="AA50" s="389"/>
      <c r="AB50" s="389"/>
      <c r="AC50" s="389"/>
      <c r="AD50" s="389"/>
      <c r="AE50" s="389"/>
      <c r="AF50" s="389"/>
    </row>
    <row r="51">
      <c r="A51" s="389"/>
      <c r="B51" s="408" t="s">
        <v>1512</v>
      </c>
      <c r="C51" s="389"/>
      <c r="D51" s="490" t="s">
        <v>4233</v>
      </c>
      <c r="E51" s="409" t="s">
        <v>4234</v>
      </c>
      <c r="F51" s="392"/>
      <c r="G51" s="399" t="s">
        <v>2283</v>
      </c>
      <c r="H51" s="400" t="s">
        <v>2284</v>
      </c>
      <c r="I51" s="400" t="s">
        <v>4235</v>
      </c>
      <c r="J51" s="389"/>
      <c r="K51" s="389"/>
      <c r="L51" s="389"/>
      <c r="M51" s="389"/>
      <c r="N51" s="389"/>
      <c r="O51" s="389"/>
      <c r="P51" s="389"/>
      <c r="Q51" s="389"/>
      <c r="R51" s="389"/>
      <c r="S51" s="389"/>
      <c r="T51" s="389"/>
      <c r="U51" s="389"/>
      <c r="V51" s="389"/>
      <c r="W51" s="389"/>
      <c r="X51" s="389"/>
      <c r="Y51" s="389"/>
      <c r="Z51" s="389"/>
      <c r="AA51" s="389"/>
      <c r="AB51" s="389"/>
      <c r="AC51" s="389"/>
      <c r="AD51" s="389"/>
      <c r="AE51" s="389"/>
      <c r="AF51" s="389"/>
    </row>
    <row r="52" hidden="1">
      <c r="A52" s="388">
        <v>43150.0</v>
      </c>
      <c r="B52" s="389"/>
      <c r="C52" s="389"/>
      <c r="D52" s="389"/>
      <c r="E52" s="389"/>
      <c r="F52" s="392"/>
      <c r="G52" s="392"/>
      <c r="H52" s="389"/>
      <c r="I52" s="389"/>
      <c r="J52" s="389"/>
      <c r="K52" s="389"/>
      <c r="L52" s="389"/>
      <c r="M52" s="389"/>
      <c r="N52" s="389"/>
      <c r="O52" s="389"/>
      <c r="P52" s="389"/>
      <c r="Q52" s="389"/>
      <c r="R52" s="389"/>
      <c r="S52" s="389"/>
      <c r="T52" s="389"/>
      <c r="U52" s="389"/>
      <c r="V52" s="389"/>
      <c r="W52" s="389"/>
      <c r="X52" s="389"/>
      <c r="Y52" s="389"/>
      <c r="Z52" s="389"/>
      <c r="AA52" s="389"/>
      <c r="AB52" s="389"/>
      <c r="AC52" s="389"/>
      <c r="AD52" s="389"/>
      <c r="AE52" s="389"/>
      <c r="AF52" s="389"/>
    </row>
    <row r="53" hidden="1">
      <c r="A53" s="389"/>
      <c r="B53" s="389"/>
      <c r="C53" s="389"/>
      <c r="D53" s="517" t="s">
        <v>4236</v>
      </c>
      <c r="E53" s="389"/>
      <c r="F53" s="399" t="s">
        <v>3496</v>
      </c>
      <c r="G53" s="399" t="s">
        <v>2283</v>
      </c>
      <c r="H53" s="400" t="s">
        <v>2333</v>
      </c>
      <c r="I53" s="518" t="s">
        <v>2756</v>
      </c>
      <c r="J53" s="389"/>
      <c r="K53" s="389"/>
      <c r="L53" s="389"/>
      <c r="M53" s="389"/>
      <c r="N53" s="389"/>
      <c r="O53" s="389"/>
      <c r="P53" s="389"/>
      <c r="Q53" s="389"/>
      <c r="R53" s="389"/>
      <c r="S53" s="389"/>
      <c r="T53" s="389"/>
      <c r="U53" s="389"/>
      <c r="V53" s="389"/>
      <c r="W53" s="389"/>
      <c r="X53" s="389"/>
      <c r="Y53" s="389"/>
      <c r="Z53" s="389"/>
      <c r="AA53" s="389"/>
      <c r="AB53" s="389"/>
      <c r="AC53" s="389"/>
      <c r="AD53" s="389"/>
      <c r="AE53" s="389"/>
      <c r="AF53" s="389"/>
    </row>
    <row r="54">
      <c r="A54" s="389"/>
      <c r="B54" s="400" t="s">
        <v>4237</v>
      </c>
      <c r="C54" s="389"/>
      <c r="D54" s="490" t="s">
        <v>4238</v>
      </c>
      <c r="E54" s="389"/>
      <c r="F54" s="399" t="s">
        <v>4151</v>
      </c>
      <c r="G54" s="399" t="s">
        <v>2283</v>
      </c>
      <c r="H54" s="389"/>
      <c r="I54" s="389"/>
      <c r="J54" s="389"/>
      <c r="K54" s="389"/>
      <c r="L54" s="389"/>
      <c r="M54" s="389"/>
      <c r="N54" s="389"/>
      <c r="O54" s="389"/>
      <c r="P54" s="389"/>
      <c r="Q54" s="389"/>
      <c r="R54" s="389"/>
      <c r="S54" s="389"/>
      <c r="T54" s="389"/>
      <c r="U54" s="389"/>
      <c r="V54" s="389"/>
      <c r="W54" s="389"/>
      <c r="X54" s="389"/>
      <c r="Y54" s="389"/>
      <c r="Z54" s="389"/>
      <c r="AA54" s="389"/>
      <c r="AB54" s="389"/>
      <c r="AC54" s="389"/>
      <c r="AD54" s="389"/>
      <c r="AE54" s="389"/>
      <c r="AF54" s="389"/>
    </row>
    <row r="55" hidden="1">
      <c r="A55" s="388">
        <v>43151.0</v>
      </c>
      <c r="B55" s="389"/>
      <c r="C55" s="389"/>
      <c r="D55" s="389"/>
      <c r="E55" s="389"/>
      <c r="F55" s="392"/>
      <c r="G55" s="392"/>
      <c r="H55" s="389"/>
      <c r="I55" s="389"/>
      <c r="J55" s="389"/>
      <c r="K55" s="389"/>
      <c r="L55" s="389"/>
      <c r="M55" s="389"/>
      <c r="N55" s="389"/>
      <c r="O55" s="389"/>
      <c r="P55" s="389"/>
      <c r="Q55" s="389"/>
      <c r="R55" s="389"/>
      <c r="S55" s="389"/>
      <c r="T55" s="389"/>
      <c r="U55" s="389"/>
      <c r="V55" s="389"/>
      <c r="W55" s="389"/>
      <c r="X55" s="389"/>
      <c r="Y55" s="389"/>
      <c r="Z55" s="389"/>
      <c r="AA55" s="389"/>
      <c r="AB55" s="389"/>
      <c r="AC55" s="389"/>
      <c r="AD55" s="389"/>
      <c r="AE55" s="389"/>
      <c r="AF55" s="389"/>
    </row>
    <row r="56" hidden="1">
      <c r="A56" s="389"/>
      <c r="B56" s="400" t="s">
        <v>4239</v>
      </c>
      <c r="C56" s="389"/>
      <c r="D56" s="493" t="s">
        <v>4240</v>
      </c>
      <c r="E56" s="406" t="s">
        <v>4241</v>
      </c>
      <c r="F56" s="392"/>
      <c r="G56" s="399" t="s">
        <v>2293</v>
      </c>
      <c r="H56" s="389"/>
      <c r="I56" s="400" t="s">
        <v>4242</v>
      </c>
      <c r="J56" s="389"/>
      <c r="K56" s="389"/>
      <c r="L56" s="389"/>
      <c r="M56" s="389"/>
      <c r="N56" s="389"/>
      <c r="O56" s="389"/>
      <c r="P56" s="389"/>
      <c r="Q56" s="389"/>
      <c r="R56" s="389"/>
      <c r="S56" s="389"/>
      <c r="T56" s="389"/>
      <c r="U56" s="389"/>
      <c r="V56" s="389"/>
      <c r="W56" s="389"/>
      <c r="X56" s="389"/>
      <c r="Y56" s="389"/>
      <c r="Z56" s="389"/>
      <c r="AA56" s="389"/>
      <c r="AB56" s="389"/>
      <c r="AC56" s="389"/>
      <c r="AD56" s="389"/>
      <c r="AE56" s="389"/>
      <c r="AF56" s="389"/>
    </row>
    <row r="57" hidden="1">
      <c r="A57" s="389"/>
      <c r="B57" s="408" t="s">
        <v>4243</v>
      </c>
      <c r="C57" s="389"/>
      <c r="D57" s="493" t="s">
        <v>4244</v>
      </c>
      <c r="E57" s="409" t="s">
        <v>4245</v>
      </c>
      <c r="F57" s="392"/>
      <c r="G57" s="399" t="s">
        <v>2283</v>
      </c>
      <c r="H57" s="389"/>
      <c r="I57" s="463" t="s">
        <v>4016</v>
      </c>
      <c r="J57" s="400" t="s">
        <v>32</v>
      </c>
      <c r="K57" s="389"/>
      <c r="L57" s="389"/>
      <c r="M57" s="389"/>
      <c r="N57" s="389"/>
      <c r="O57" s="389"/>
      <c r="P57" s="389"/>
      <c r="Q57" s="389"/>
      <c r="R57" s="389"/>
      <c r="S57" s="389"/>
      <c r="T57" s="389"/>
      <c r="U57" s="389"/>
      <c r="V57" s="389"/>
      <c r="W57" s="389"/>
      <c r="X57" s="389"/>
      <c r="Y57" s="389"/>
      <c r="Z57" s="389"/>
      <c r="AA57" s="389"/>
      <c r="AB57" s="389"/>
      <c r="AC57" s="389"/>
      <c r="AD57" s="389"/>
      <c r="AE57" s="389"/>
      <c r="AF57" s="389"/>
    </row>
    <row r="58" hidden="1">
      <c r="A58" s="389"/>
      <c r="B58" s="400" t="s">
        <v>4246</v>
      </c>
      <c r="C58" s="389"/>
      <c r="D58" s="493" t="s">
        <v>4247</v>
      </c>
      <c r="E58" s="389"/>
      <c r="F58" s="392"/>
      <c r="G58" s="399" t="s">
        <v>2283</v>
      </c>
      <c r="H58" s="400" t="s">
        <v>2284</v>
      </c>
      <c r="I58" s="447" t="s">
        <v>2769</v>
      </c>
      <c r="J58" s="400"/>
      <c r="K58" s="389"/>
      <c r="L58" s="389"/>
      <c r="M58" s="389"/>
      <c r="N58" s="389"/>
      <c r="O58" s="389"/>
      <c r="P58" s="389"/>
      <c r="Q58" s="389"/>
      <c r="R58" s="389"/>
      <c r="S58" s="389"/>
      <c r="T58" s="389"/>
      <c r="U58" s="389"/>
      <c r="V58" s="389"/>
      <c r="W58" s="389"/>
      <c r="X58" s="389"/>
      <c r="Y58" s="389"/>
      <c r="Z58" s="389"/>
      <c r="AA58" s="389"/>
      <c r="AB58" s="389"/>
      <c r="AC58" s="389"/>
      <c r="AD58" s="389"/>
      <c r="AE58" s="389"/>
      <c r="AF58" s="389"/>
    </row>
    <row r="59" hidden="1">
      <c r="A59" s="388">
        <v>43152.0</v>
      </c>
      <c r="B59" s="389"/>
      <c r="C59" s="389"/>
      <c r="D59" s="389"/>
      <c r="E59" s="389"/>
      <c r="F59" s="392"/>
      <c r="G59" s="392"/>
      <c r="H59" s="389"/>
      <c r="I59" s="389"/>
      <c r="J59" s="389"/>
      <c r="K59" s="389"/>
      <c r="L59" s="389"/>
      <c r="M59" s="389"/>
      <c r="N59" s="389"/>
      <c r="O59" s="389"/>
      <c r="P59" s="389"/>
      <c r="Q59" s="389"/>
      <c r="R59" s="389"/>
      <c r="S59" s="389"/>
      <c r="T59" s="389"/>
      <c r="U59" s="389"/>
      <c r="V59" s="389"/>
      <c r="W59" s="389"/>
      <c r="X59" s="389"/>
      <c r="Y59" s="389"/>
      <c r="Z59" s="389"/>
      <c r="AA59" s="389"/>
      <c r="AB59" s="389"/>
      <c r="AC59" s="389"/>
      <c r="AD59" s="389"/>
      <c r="AE59" s="389"/>
      <c r="AF59" s="389"/>
    </row>
    <row r="60">
      <c r="A60" s="389"/>
      <c r="B60" s="426" t="s">
        <v>4248</v>
      </c>
      <c r="C60" s="389"/>
      <c r="D60" s="490" t="s">
        <v>4249</v>
      </c>
      <c r="E60" s="427" t="s">
        <v>4250</v>
      </c>
      <c r="F60" s="392"/>
      <c r="G60" s="428" t="s">
        <v>2440</v>
      </c>
      <c r="H60" s="430" t="s">
        <v>4251</v>
      </c>
      <c r="I60" s="519" t="s">
        <v>4252</v>
      </c>
      <c r="J60" s="400" t="s">
        <v>158</v>
      </c>
      <c r="K60" s="389"/>
      <c r="L60" s="389"/>
      <c r="M60" s="389"/>
      <c r="N60" s="389"/>
      <c r="O60" s="389"/>
      <c r="P60" s="389"/>
      <c r="Q60" s="389"/>
      <c r="R60" s="389"/>
      <c r="S60" s="389"/>
      <c r="T60" s="389"/>
      <c r="U60" s="389"/>
      <c r="V60" s="389"/>
      <c r="W60" s="389"/>
      <c r="X60" s="389"/>
      <c r="Y60" s="389"/>
      <c r="Z60" s="389"/>
      <c r="AA60" s="389"/>
      <c r="AB60" s="389"/>
      <c r="AC60" s="389"/>
      <c r="AD60" s="389"/>
      <c r="AE60" s="389"/>
      <c r="AF60" s="389"/>
    </row>
    <row r="61" hidden="1">
      <c r="A61" s="389"/>
      <c r="B61" s="400" t="s">
        <v>4253</v>
      </c>
      <c r="C61" s="389"/>
      <c r="D61" s="389"/>
      <c r="E61" s="400" t="s">
        <v>4254</v>
      </c>
      <c r="F61" s="392"/>
      <c r="G61" s="392"/>
      <c r="H61" s="389"/>
      <c r="I61" s="400" t="s">
        <v>4255</v>
      </c>
      <c r="J61" s="389"/>
      <c r="K61" s="389"/>
      <c r="L61" s="389"/>
      <c r="M61" s="389"/>
      <c r="N61" s="389"/>
      <c r="O61" s="389"/>
      <c r="P61" s="389"/>
      <c r="Q61" s="389"/>
      <c r="R61" s="389"/>
      <c r="S61" s="389"/>
      <c r="T61" s="389"/>
      <c r="U61" s="389"/>
      <c r="V61" s="389"/>
      <c r="W61" s="389"/>
      <c r="X61" s="389"/>
      <c r="Y61" s="389"/>
      <c r="Z61" s="389"/>
      <c r="AA61" s="389"/>
      <c r="AB61" s="389"/>
      <c r="AC61" s="389"/>
      <c r="AD61" s="389"/>
      <c r="AE61" s="389"/>
      <c r="AF61" s="389"/>
    </row>
    <row r="62" hidden="1">
      <c r="A62" s="389"/>
      <c r="B62" s="400" t="s">
        <v>4256</v>
      </c>
      <c r="C62" s="389"/>
      <c r="D62" s="493" t="s">
        <v>4257</v>
      </c>
      <c r="E62" s="389"/>
      <c r="F62" s="392"/>
      <c r="G62" s="399" t="s">
        <v>2283</v>
      </c>
      <c r="H62" s="400" t="s">
        <v>2333</v>
      </c>
      <c r="I62" s="400" t="s">
        <v>4258</v>
      </c>
      <c r="J62" s="389"/>
      <c r="K62" s="389"/>
      <c r="L62" s="389"/>
      <c r="M62" s="389"/>
      <c r="N62" s="389"/>
      <c r="O62" s="389"/>
      <c r="P62" s="389"/>
      <c r="Q62" s="389"/>
      <c r="R62" s="389"/>
      <c r="S62" s="389"/>
      <c r="T62" s="389"/>
      <c r="U62" s="389"/>
      <c r="V62" s="389"/>
      <c r="W62" s="389"/>
      <c r="X62" s="389"/>
      <c r="Y62" s="389"/>
      <c r="Z62" s="389"/>
      <c r="AA62" s="389"/>
      <c r="AB62" s="389"/>
      <c r="AC62" s="389"/>
      <c r="AD62" s="389"/>
      <c r="AE62" s="389"/>
      <c r="AF62" s="389"/>
    </row>
    <row r="63" hidden="1">
      <c r="A63" s="388">
        <v>43153.0</v>
      </c>
      <c r="B63" s="389"/>
      <c r="C63" s="389"/>
      <c r="D63" s="389"/>
      <c r="E63" s="389"/>
      <c r="F63" s="392"/>
      <c r="G63" s="392"/>
      <c r="H63" s="389"/>
      <c r="I63" s="389"/>
      <c r="J63" s="389"/>
      <c r="K63" s="389"/>
      <c r="L63" s="389"/>
      <c r="M63" s="389"/>
      <c r="N63" s="389"/>
      <c r="O63" s="389"/>
      <c r="P63" s="389"/>
      <c r="Q63" s="389"/>
      <c r="R63" s="389"/>
      <c r="S63" s="389"/>
      <c r="T63" s="389"/>
      <c r="U63" s="389"/>
      <c r="V63" s="389"/>
      <c r="W63" s="389"/>
      <c r="X63" s="389"/>
      <c r="Y63" s="389"/>
      <c r="Z63" s="389"/>
      <c r="AA63" s="389"/>
      <c r="AB63" s="389"/>
      <c r="AC63" s="389"/>
      <c r="AD63" s="389"/>
      <c r="AE63" s="389"/>
      <c r="AF63" s="389"/>
    </row>
    <row r="64" hidden="1">
      <c r="A64" s="388"/>
      <c r="B64" s="408" t="s">
        <v>4259</v>
      </c>
      <c r="C64" s="389"/>
      <c r="D64" s="493" t="s">
        <v>4260</v>
      </c>
      <c r="E64" s="409" t="s">
        <v>4261</v>
      </c>
      <c r="F64" s="392"/>
      <c r="G64" s="399" t="s">
        <v>2283</v>
      </c>
      <c r="H64" s="400" t="s">
        <v>2284</v>
      </c>
      <c r="I64" s="447" t="s">
        <v>2582</v>
      </c>
      <c r="J64" s="400" t="s">
        <v>32</v>
      </c>
      <c r="K64" s="389"/>
      <c r="L64" s="389"/>
      <c r="M64" s="389"/>
      <c r="N64" s="389"/>
      <c r="O64" s="389"/>
      <c r="P64" s="389"/>
      <c r="Q64" s="389"/>
      <c r="R64" s="389"/>
      <c r="S64" s="389"/>
      <c r="T64" s="389"/>
      <c r="U64" s="389"/>
      <c r="V64" s="389"/>
      <c r="W64" s="389"/>
      <c r="X64" s="389"/>
      <c r="Y64" s="389"/>
      <c r="Z64" s="389"/>
      <c r="AA64" s="389"/>
      <c r="AB64" s="389"/>
      <c r="AC64" s="389"/>
      <c r="AD64" s="389"/>
      <c r="AE64" s="389"/>
      <c r="AF64" s="389"/>
    </row>
    <row r="65" hidden="1">
      <c r="A65" s="388">
        <v>43155.0</v>
      </c>
      <c r="B65" s="389"/>
      <c r="C65" s="389"/>
      <c r="D65" s="389"/>
      <c r="E65" s="389"/>
      <c r="F65" s="392"/>
      <c r="G65" s="392"/>
      <c r="H65" s="389"/>
      <c r="I65" s="389"/>
      <c r="J65" s="389"/>
      <c r="K65" s="389"/>
      <c r="L65" s="389"/>
      <c r="M65" s="389"/>
      <c r="N65" s="389"/>
      <c r="O65" s="389"/>
      <c r="P65" s="389"/>
      <c r="Q65" s="389"/>
      <c r="R65" s="389"/>
      <c r="S65" s="389"/>
      <c r="T65" s="389"/>
      <c r="U65" s="389"/>
      <c r="V65" s="389"/>
      <c r="W65" s="389"/>
      <c r="X65" s="389"/>
      <c r="Y65" s="389"/>
      <c r="Z65" s="389"/>
      <c r="AA65" s="389"/>
      <c r="AB65" s="389"/>
      <c r="AC65" s="389"/>
      <c r="AD65" s="389"/>
      <c r="AE65" s="389"/>
      <c r="AF65" s="389"/>
    </row>
    <row r="66">
      <c r="A66" s="388"/>
      <c r="B66" s="408" t="s">
        <v>4262</v>
      </c>
      <c r="C66" s="389"/>
      <c r="D66" s="458">
        <v>5.24224969E8</v>
      </c>
      <c r="E66" s="409" t="s">
        <v>4263</v>
      </c>
      <c r="F66" s="392"/>
      <c r="G66" s="399" t="s">
        <v>2283</v>
      </c>
      <c r="H66" s="400" t="s">
        <v>2284</v>
      </c>
      <c r="I66" s="463" t="s">
        <v>4016</v>
      </c>
      <c r="J66" s="400" t="s">
        <v>32</v>
      </c>
      <c r="K66" s="389"/>
      <c r="L66" s="389"/>
      <c r="M66" s="389"/>
      <c r="N66" s="389"/>
      <c r="O66" s="389"/>
      <c r="P66" s="389"/>
      <c r="Q66" s="389"/>
      <c r="R66" s="389"/>
      <c r="S66" s="389"/>
      <c r="T66" s="389"/>
      <c r="U66" s="389"/>
      <c r="V66" s="389"/>
      <c r="W66" s="389"/>
      <c r="X66" s="389"/>
      <c r="Y66" s="389"/>
      <c r="Z66" s="389"/>
      <c r="AA66" s="389"/>
      <c r="AB66" s="389"/>
      <c r="AC66" s="389"/>
      <c r="AD66" s="389"/>
      <c r="AE66" s="389"/>
      <c r="AF66" s="389"/>
    </row>
    <row r="67" hidden="1">
      <c r="A67" s="388">
        <v>43156.0</v>
      </c>
      <c r="B67" s="389"/>
      <c r="C67" s="389"/>
      <c r="D67" s="389"/>
      <c r="E67" s="389"/>
      <c r="F67" s="392"/>
      <c r="G67" s="392"/>
      <c r="H67" s="389"/>
      <c r="I67" s="389"/>
      <c r="J67" s="389"/>
      <c r="K67" s="389"/>
      <c r="L67" s="389"/>
      <c r="M67" s="389"/>
      <c r="N67" s="389"/>
      <c r="O67" s="389"/>
      <c r="P67" s="389"/>
      <c r="Q67" s="389"/>
      <c r="R67" s="389"/>
      <c r="S67" s="389"/>
      <c r="T67" s="389"/>
      <c r="U67" s="389"/>
      <c r="V67" s="389"/>
      <c r="W67" s="389"/>
      <c r="X67" s="389"/>
      <c r="Y67" s="389"/>
      <c r="Z67" s="389"/>
      <c r="AA67" s="389"/>
      <c r="AB67" s="389"/>
      <c r="AC67" s="389"/>
      <c r="AD67" s="389"/>
      <c r="AE67" s="389"/>
      <c r="AF67" s="389"/>
    </row>
    <row r="68" hidden="1">
      <c r="A68" s="388"/>
      <c r="B68" s="408" t="s">
        <v>4264</v>
      </c>
      <c r="C68" s="389"/>
      <c r="D68" s="493" t="s">
        <v>4265</v>
      </c>
      <c r="E68" s="409" t="s">
        <v>4266</v>
      </c>
      <c r="F68" s="392"/>
      <c r="G68" s="399" t="s">
        <v>2283</v>
      </c>
      <c r="H68" s="400" t="s">
        <v>2333</v>
      </c>
      <c r="I68" s="400" t="s">
        <v>3098</v>
      </c>
      <c r="J68" s="389"/>
      <c r="K68" s="389"/>
      <c r="L68" s="389"/>
      <c r="M68" s="389"/>
      <c r="N68" s="389"/>
      <c r="O68" s="389"/>
      <c r="P68" s="389"/>
      <c r="Q68" s="389"/>
      <c r="R68" s="389"/>
      <c r="S68" s="389"/>
      <c r="T68" s="389"/>
      <c r="U68" s="389"/>
      <c r="V68" s="389"/>
      <c r="W68" s="389"/>
      <c r="X68" s="389"/>
      <c r="Y68" s="389"/>
      <c r="Z68" s="389"/>
      <c r="AA68" s="389"/>
      <c r="AB68" s="389"/>
      <c r="AC68" s="389"/>
      <c r="AD68" s="389"/>
      <c r="AE68" s="389"/>
      <c r="AF68" s="389"/>
    </row>
    <row r="69" hidden="1">
      <c r="A69" s="388">
        <v>43158.0</v>
      </c>
      <c r="B69" s="389"/>
      <c r="C69" s="389"/>
      <c r="D69" s="389"/>
      <c r="E69" s="389"/>
      <c r="F69" s="392"/>
      <c r="G69" s="392"/>
      <c r="H69" s="389"/>
      <c r="I69" s="389"/>
      <c r="J69" s="389"/>
      <c r="K69" s="389"/>
      <c r="L69" s="389"/>
      <c r="M69" s="389"/>
      <c r="N69" s="389"/>
      <c r="O69" s="389"/>
      <c r="P69" s="389"/>
      <c r="Q69" s="389"/>
      <c r="R69" s="389"/>
      <c r="S69" s="389"/>
      <c r="T69" s="389"/>
      <c r="U69" s="389"/>
      <c r="V69" s="389"/>
      <c r="W69" s="389"/>
      <c r="X69" s="389"/>
      <c r="Y69" s="389"/>
      <c r="Z69" s="389"/>
      <c r="AA69" s="389"/>
      <c r="AB69" s="389"/>
      <c r="AC69" s="389"/>
      <c r="AD69" s="389"/>
      <c r="AE69" s="389"/>
      <c r="AF69" s="389"/>
    </row>
    <row r="70">
      <c r="A70" s="389"/>
      <c r="B70" s="408" t="s">
        <v>556</v>
      </c>
      <c r="C70" s="389"/>
      <c r="D70" s="490" t="s">
        <v>4267</v>
      </c>
      <c r="E70" s="409" t="s">
        <v>4268</v>
      </c>
      <c r="F70" s="392"/>
      <c r="G70" s="399" t="s">
        <v>2283</v>
      </c>
      <c r="H70" s="400" t="s">
        <v>2333</v>
      </c>
      <c r="I70" s="400" t="s">
        <v>3027</v>
      </c>
      <c r="J70" s="389"/>
      <c r="K70" s="389"/>
      <c r="L70" s="389"/>
      <c r="M70" s="389"/>
      <c r="N70" s="389"/>
      <c r="O70" s="389"/>
      <c r="P70" s="389"/>
      <c r="Q70" s="389"/>
      <c r="R70" s="389"/>
      <c r="S70" s="389"/>
      <c r="T70" s="389"/>
      <c r="U70" s="389"/>
      <c r="V70" s="389"/>
      <c r="W70" s="389"/>
      <c r="X70" s="389"/>
      <c r="Y70" s="389"/>
      <c r="Z70" s="389"/>
      <c r="AA70" s="389"/>
      <c r="AB70" s="389"/>
      <c r="AC70" s="389"/>
      <c r="AD70" s="389"/>
      <c r="AE70" s="389"/>
      <c r="AF70" s="389"/>
    </row>
    <row r="71">
      <c r="A71" s="389"/>
      <c r="B71" s="426" t="s">
        <v>4269</v>
      </c>
      <c r="C71" s="389"/>
      <c r="D71" s="490" t="s">
        <v>4270</v>
      </c>
      <c r="E71" s="427" t="s">
        <v>4271</v>
      </c>
      <c r="F71" s="392"/>
      <c r="G71" s="428" t="s">
        <v>2440</v>
      </c>
      <c r="H71" s="430" t="s">
        <v>2333</v>
      </c>
      <c r="I71" s="430" t="s">
        <v>2334</v>
      </c>
      <c r="J71" s="389"/>
      <c r="K71" s="389"/>
      <c r="L71" s="389"/>
      <c r="M71" s="389"/>
      <c r="N71" s="389"/>
      <c r="O71" s="389"/>
      <c r="P71" s="389"/>
      <c r="Q71" s="389"/>
      <c r="R71" s="389"/>
      <c r="S71" s="389"/>
      <c r="T71" s="389"/>
      <c r="U71" s="389"/>
      <c r="V71" s="389"/>
      <c r="W71" s="389"/>
      <c r="X71" s="389"/>
      <c r="Y71" s="389"/>
      <c r="Z71" s="389"/>
      <c r="AA71" s="389"/>
      <c r="AB71" s="389"/>
      <c r="AC71" s="389"/>
      <c r="AD71" s="389"/>
      <c r="AE71" s="389"/>
      <c r="AF71" s="389"/>
    </row>
    <row r="72">
      <c r="A72" s="389"/>
      <c r="B72" s="408" t="s">
        <v>4272</v>
      </c>
      <c r="C72" s="389"/>
      <c r="D72" s="490" t="s">
        <v>4273</v>
      </c>
      <c r="E72" s="409" t="s">
        <v>4274</v>
      </c>
      <c r="F72" s="392"/>
      <c r="G72" s="399" t="s">
        <v>2283</v>
      </c>
      <c r="H72" s="400" t="s">
        <v>2333</v>
      </c>
      <c r="I72" s="447" t="s">
        <v>4275</v>
      </c>
      <c r="J72" s="400"/>
      <c r="K72" s="389"/>
      <c r="L72" s="389"/>
      <c r="M72" s="389"/>
      <c r="N72" s="389"/>
      <c r="O72" s="389"/>
      <c r="P72" s="389"/>
      <c r="Q72" s="389"/>
      <c r="R72" s="389"/>
      <c r="S72" s="389"/>
      <c r="T72" s="389"/>
      <c r="U72" s="389"/>
      <c r="V72" s="389"/>
      <c r="W72" s="389"/>
      <c r="X72" s="389"/>
      <c r="Y72" s="389"/>
      <c r="Z72" s="389"/>
      <c r="AA72" s="389"/>
      <c r="AB72" s="389"/>
      <c r="AC72" s="389"/>
      <c r="AD72" s="389"/>
      <c r="AE72" s="389"/>
      <c r="AF72" s="389"/>
    </row>
    <row r="73" hidden="1">
      <c r="A73" s="389"/>
      <c r="B73" s="408" t="s">
        <v>4276</v>
      </c>
      <c r="C73" s="389"/>
      <c r="D73" s="493" t="s">
        <v>4277</v>
      </c>
      <c r="E73" s="409" t="s">
        <v>4278</v>
      </c>
      <c r="F73" s="392"/>
      <c r="G73" s="392"/>
      <c r="H73" s="400" t="s">
        <v>2284</v>
      </c>
      <c r="I73" s="447" t="s">
        <v>4279</v>
      </c>
      <c r="J73" s="400" t="s">
        <v>32</v>
      </c>
      <c r="K73" s="389"/>
      <c r="L73" s="389"/>
      <c r="M73" s="389"/>
      <c r="N73" s="389"/>
      <c r="O73" s="389"/>
      <c r="P73" s="389"/>
      <c r="Q73" s="389"/>
      <c r="R73" s="389"/>
      <c r="S73" s="389"/>
      <c r="T73" s="389"/>
      <c r="U73" s="389"/>
      <c r="V73" s="389"/>
      <c r="W73" s="389"/>
      <c r="X73" s="389"/>
      <c r="Y73" s="389"/>
      <c r="Z73" s="389"/>
      <c r="AA73" s="389"/>
      <c r="AB73" s="389"/>
      <c r="AC73" s="389"/>
      <c r="AD73" s="389"/>
      <c r="AE73" s="389"/>
      <c r="AF73" s="389"/>
    </row>
    <row r="74" hidden="1">
      <c r="A74" s="389"/>
      <c r="B74" s="400" t="s">
        <v>4280</v>
      </c>
      <c r="C74" s="389"/>
      <c r="D74" s="493" t="s">
        <v>4281</v>
      </c>
      <c r="E74" s="389"/>
      <c r="F74" s="392"/>
      <c r="G74" s="392"/>
      <c r="H74" s="400" t="s">
        <v>2284</v>
      </c>
      <c r="I74" s="400" t="s">
        <v>4282</v>
      </c>
      <c r="J74" s="389"/>
      <c r="K74" s="400" t="s">
        <v>4283</v>
      </c>
      <c r="L74" s="389"/>
      <c r="M74" s="389"/>
      <c r="N74" s="389"/>
      <c r="O74" s="389"/>
      <c r="P74" s="389"/>
      <c r="Q74" s="389"/>
      <c r="R74" s="389"/>
      <c r="S74" s="389"/>
      <c r="T74" s="389"/>
      <c r="U74" s="389"/>
      <c r="V74" s="389"/>
      <c r="W74" s="389"/>
      <c r="X74" s="389"/>
      <c r="Y74" s="389"/>
      <c r="Z74" s="389"/>
      <c r="AA74" s="389"/>
      <c r="AB74" s="389"/>
      <c r="AC74" s="389"/>
      <c r="AD74" s="389"/>
      <c r="AE74" s="389"/>
      <c r="AF74" s="389"/>
    </row>
    <row r="75" hidden="1">
      <c r="A75" s="389"/>
      <c r="B75" s="400" t="s">
        <v>4284</v>
      </c>
      <c r="C75" s="389"/>
      <c r="D75" s="493" t="s">
        <v>4285</v>
      </c>
      <c r="E75" s="389"/>
      <c r="F75" s="392"/>
      <c r="G75" s="399" t="s">
        <v>2283</v>
      </c>
      <c r="H75" s="400" t="s">
        <v>2284</v>
      </c>
      <c r="I75" s="400" t="s">
        <v>4282</v>
      </c>
      <c r="J75" s="389"/>
      <c r="K75" s="389"/>
      <c r="L75" s="389"/>
      <c r="M75" s="389"/>
      <c r="N75" s="389"/>
      <c r="O75" s="389"/>
      <c r="P75" s="389"/>
      <c r="Q75" s="389"/>
      <c r="R75" s="389"/>
      <c r="S75" s="389"/>
      <c r="T75" s="389"/>
      <c r="U75" s="389"/>
      <c r="V75" s="389"/>
      <c r="W75" s="389"/>
      <c r="X75" s="389"/>
      <c r="Y75" s="389"/>
      <c r="Z75" s="389"/>
      <c r="AA75" s="389"/>
      <c r="AB75" s="389"/>
      <c r="AC75" s="389"/>
      <c r="AD75" s="389"/>
      <c r="AE75" s="389"/>
      <c r="AF75" s="389"/>
    </row>
    <row r="76" hidden="1">
      <c r="A76" s="388"/>
      <c r="B76" s="408" t="s">
        <v>4286</v>
      </c>
      <c r="C76" s="389"/>
      <c r="D76" s="493" t="s">
        <v>4287</v>
      </c>
      <c r="E76" s="409" t="s">
        <v>4288</v>
      </c>
      <c r="F76" s="392"/>
      <c r="G76" s="399" t="s">
        <v>2283</v>
      </c>
      <c r="H76" s="400" t="s">
        <v>2284</v>
      </c>
      <c r="I76" s="400" t="s">
        <v>4279</v>
      </c>
      <c r="J76" s="400" t="s">
        <v>32</v>
      </c>
      <c r="K76" s="389"/>
      <c r="L76" s="389"/>
      <c r="M76" s="389"/>
      <c r="N76" s="389"/>
      <c r="O76" s="389"/>
      <c r="P76" s="389"/>
      <c r="Q76" s="389"/>
      <c r="R76" s="389"/>
      <c r="S76" s="389"/>
      <c r="T76" s="389"/>
      <c r="U76" s="389"/>
      <c r="V76" s="389"/>
      <c r="W76" s="389"/>
      <c r="X76" s="389"/>
      <c r="Y76" s="389"/>
      <c r="Z76" s="389"/>
      <c r="AA76" s="389"/>
      <c r="AB76" s="389"/>
      <c r="AC76" s="389"/>
      <c r="AD76" s="389"/>
      <c r="AE76" s="389"/>
      <c r="AF76" s="389"/>
    </row>
    <row r="77">
      <c r="A77" s="388"/>
      <c r="B77" s="408" t="s">
        <v>4289</v>
      </c>
      <c r="C77" s="389"/>
      <c r="D77" s="490" t="s">
        <v>4290</v>
      </c>
      <c r="E77" s="409" t="s">
        <v>4291</v>
      </c>
      <c r="F77" s="392"/>
      <c r="G77" s="399" t="s">
        <v>2283</v>
      </c>
      <c r="H77" s="400" t="s">
        <v>2284</v>
      </c>
      <c r="I77" s="400" t="s">
        <v>4282</v>
      </c>
      <c r="J77" s="389"/>
      <c r="K77" s="389"/>
      <c r="L77" s="389"/>
      <c r="M77" s="389"/>
      <c r="N77" s="389"/>
      <c r="O77" s="389"/>
      <c r="P77" s="389"/>
      <c r="Q77" s="389"/>
      <c r="R77" s="389"/>
      <c r="S77" s="389"/>
      <c r="T77" s="389"/>
      <c r="U77" s="389"/>
      <c r="V77" s="389"/>
      <c r="W77" s="389"/>
      <c r="X77" s="389"/>
      <c r="Y77" s="389"/>
      <c r="Z77" s="389"/>
      <c r="AA77" s="389"/>
      <c r="AB77" s="389"/>
      <c r="AC77" s="389"/>
      <c r="AD77" s="389"/>
      <c r="AE77" s="389"/>
      <c r="AF77" s="389"/>
    </row>
    <row r="78" hidden="1">
      <c r="A78" s="388">
        <v>43159.0</v>
      </c>
      <c r="B78" s="389"/>
      <c r="C78" s="389"/>
      <c r="D78" s="389"/>
      <c r="E78" s="389"/>
      <c r="F78" s="392"/>
      <c r="G78" s="392"/>
      <c r="H78" s="389"/>
      <c r="I78" s="389"/>
      <c r="J78" s="389"/>
      <c r="K78" s="389"/>
      <c r="L78" s="389"/>
      <c r="M78" s="389"/>
      <c r="N78" s="389"/>
      <c r="O78" s="389"/>
      <c r="P78" s="389"/>
      <c r="Q78" s="389"/>
      <c r="R78" s="389"/>
      <c r="S78" s="389"/>
      <c r="T78" s="389"/>
      <c r="U78" s="389"/>
      <c r="V78" s="389"/>
      <c r="W78" s="389"/>
      <c r="X78" s="389"/>
      <c r="Y78" s="389"/>
      <c r="Z78" s="389"/>
      <c r="AA78" s="389"/>
      <c r="AB78" s="389"/>
      <c r="AC78" s="389"/>
      <c r="AD78" s="389"/>
      <c r="AE78" s="389"/>
      <c r="AF78" s="389"/>
    </row>
    <row r="79">
      <c r="A79" s="389"/>
      <c r="B79" s="408" t="s">
        <v>4292</v>
      </c>
      <c r="C79" s="389"/>
      <c r="D79" s="490" t="s">
        <v>4293</v>
      </c>
      <c r="E79" s="409" t="s">
        <v>4294</v>
      </c>
      <c r="F79" s="392"/>
      <c r="G79" s="399" t="s">
        <v>2283</v>
      </c>
      <c r="H79" s="400" t="s">
        <v>2284</v>
      </c>
      <c r="I79" s="463" t="s">
        <v>4016</v>
      </c>
      <c r="J79" s="400" t="s">
        <v>32</v>
      </c>
      <c r="K79" s="389"/>
      <c r="L79" s="389"/>
      <c r="M79" s="389"/>
      <c r="N79" s="389"/>
      <c r="O79" s="389"/>
      <c r="P79" s="389"/>
      <c r="Q79" s="389"/>
      <c r="R79" s="389"/>
      <c r="S79" s="389"/>
      <c r="T79" s="389"/>
      <c r="U79" s="389"/>
      <c r="V79" s="389"/>
      <c r="W79" s="389"/>
      <c r="X79" s="389"/>
      <c r="Y79" s="389"/>
      <c r="Z79" s="389"/>
      <c r="AA79" s="389"/>
      <c r="AB79" s="389"/>
      <c r="AC79" s="389"/>
      <c r="AD79" s="389"/>
      <c r="AE79" s="389"/>
      <c r="AF79" s="389"/>
    </row>
    <row r="80" hidden="1">
      <c r="A80" s="389"/>
      <c r="B80" s="394" t="s">
        <v>4295</v>
      </c>
      <c r="C80" s="389"/>
      <c r="D80" s="493" t="s">
        <v>4296</v>
      </c>
      <c r="E80" s="398" t="s">
        <v>4297</v>
      </c>
      <c r="F80" s="392"/>
      <c r="G80" s="399" t="s">
        <v>2283</v>
      </c>
      <c r="H80" s="400" t="s">
        <v>2284</v>
      </c>
      <c r="I80" s="437" t="s">
        <v>4298</v>
      </c>
      <c r="J80" s="400" t="s">
        <v>32</v>
      </c>
      <c r="K80" s="389"/>
      <c r="L80" s="389"/>
      <c r="M80" s="389"/>
      <c r="N80" s="389"/>
      <c r="O80" s="389"/>
      <c r="P80" s="389"/>
      <c r="Q80" s="389"/>
      <c r="R80" s="389"/>
      <c r="S80" s="389"/>
      <c r="T80" s="389"/>
      <c r="U80" s="389"/>
      <c r="V80" s="389"/>
      <c r="W80" s="389"/>
      <c r="X80" s="389"/>
      <c r="Y80" s="389"/>
      <c r="Z80" s="389"/>
      <c r="AA80" s="389"/>
      <c r="AB80" s="389"/>
      <c r="AC80" s="389"/>
      <c r="AD80" s="389"/>
      <c r="AE80" s="389"/>
      <c r="AF80" s="389"/>
    </row>
    <row r="81" hidden="1">
      <c r="A81" s="389"/>
      <c r="B81" s="394" t="s">
        <v>4299</v>
      </c>
      <c r="C81" s="389"/>
      <c r="D81" s="493" t="s">
        <v>4300</v>
      </c>
      <c r="E81" s="398" t="s">
        <v>4301</v>
      </c>
      <c r="F81" s="392"/>
      <c r="G81" s="399" t="s">
        <v>2283</v>
      </c>
      <c r="H81" s="400" t="s">
        <v>2342</v>
      </c>
      <c r="I81" s="400" t="s">
        <v>3678</v>
      </c>
      <c r="J81" s="400" t="s">
        <v>32</v>
      </c>
      <c r="K81" s="389"/>
      <c r="L81" s="389"/>
      <c r="M81" s="389"/>
      <c r="N81" s="389"/>
      <c r="O81" s="389"/>
      <c r="P81" s="389"/>
      <c r="Q81" s="389"/>
      <c r="R81" s="389"/>
      <c r="S81" s="389"/>
      <c r="T81" s="389"/>
      <c r="U81" s="389"/>
      <c r="V81" s="389"/>
      <c r="W81" s="389"/>
      <c r="X81" s="389"/>
      <c r="Y81" s="389"/>
      <c r="Z81" s="389"/>
      <c r="AA81" s="389"/>
      <c r="AB81" s="389"/>
      <c r="AC81" s="389"/>
      <c r="AD81" s="389"/>
      <c r="AE81" s="389"/>
      <c r="AF81" s="389"/>
    </row>
    <row r="82" hidden="1">
      <c r="A82" s="389"/>
      <c r="B82" s="389"/>
      <c r="C82" s="389"/>
      <c r="D82" s="389"/>
      <c r="E82" s="389"/>
      <c r="F82" s="392"/>
      <c r="G82" s="392"/>
      <c r="H82" s="389"/>
      <c r="I82" s="389"/>
      <c r="J82" s="389"/>
      <c r="K82" s="389"/>
      <c r="L82" s="389"/>
      <c r="M82" s="389"/>
      <c r="N82" s="389"/>
      <c r="O82" s="389"/>
      <c r="P82" s="389"/>
      <c r="Q82" s="389"/>
      <c r="R82" s="389"/>
      <c r="S82" s="389"/>
      <c r="T82" s="389"/>
      <c r="U82" s="389"/>
      <c r="V82" s="389"/>
      <c r="W82" s="389"/>
      <c r="X82" s="389"/>
      <c r="Y82" s="389"/>
      <c r="Z82" s="389"/>
      <c r="AA82" s="389"/>
      <c r="AB82" s="389"/>
      <c r="AC82" s="389"/>
      <c r="AD82" s="389"/>
      <c r="AE82" s="389"/>
      <c r="AF82" s="389"/>
    </row>
    <row r="83" hidden="1">
      <c r="A83" s="389"/>
      <c r="B83" s="389"/>
      <c r="C83" s="389"/>
      <c r="D83" s="389"/>
      <c r="E83" s="389"/>
      <c r="F83" s="392"/>
      <c r="G83" s="392"/>
      <c r="H83" s="389"/>
      <c r="I83" s="389"/>
      <c r="J83" s="389"/>
      <c r="K83" s="389"/>
      <c r="L83" s="389"/>
      <c r="M83" s="389"/>
      <c r="N83" s="389"/>
      <c r="O83" s="389"/>
      <c r="P83" s="389"/>
      <c r="Q83" s="389"/>
      <c r="R83" s="389"/>
      <c r="S83" s="389"/>
      <c r="T83" s="389"/>
      <c r="U83" s="389"/>
      <c r="V83" s="389"/>
      <c r="W83" s="389"/>
      <c r="X83" s="389"/>
      <c r="Y83" s="389"/>
      <c r="Z83" s="389"/>
      <c r="AA83" s="389"/>
      <c r="AB83" s="389"/>
      <c r="AC83" s="389"/>
      <c r="AD83" s="389"/>
      <c r="AE83" s="389"/>
      <c r="AF83" s="389"/>
    </row>
    <row r="84" hidden="1">
      <c r="A84" s="389"/>
      <c r="B84" s="389"/>
      <c r="C84" s="389"/>
      <c r="D84" s="389"/>
      <c r="E84" s="389"/>
      <c r="F84" s="392"/>
      <c r="G84" s="392"/>
      <c r="H84" s="389"/>
      <c r="I84" s="389"/>
      <c r="J84" s="389"/>
      <c r="K84" s="389"/>
      <c r="L84" s="389"/>
      <c r="M84" s="389"/>
      <c r="N84" s="389"/>
      <c r="O84" s="389"/>
      <c r="P84" s="389"/>
      <c r="Q84" s="389"/>
      <c r="R84" s="389"/>
      <c r="S84" s="389"/>
      <c r="T84" s="389"/>
      <c r="U84" s="389"/>
      <c r="V84" s="389"/>
      <c r="W84" s="389"/>
      <c r="X84" s="389"/>
      <c r="Y84" s="389"/>
      <c r="Z84" s="389"/>
      <c r="AA84" s="389"/>
      <c r="AB84" s="389"/>
      <c r="AC84" s="389"/>
      <c r="AD84" s="389"/>
      <c r="AE84" s="389"/>
      <c r="AF84" s="389"/>
    </row>
    <row r="85" hidden="1">
      <c r="A85" s="389"/>
      <c r="B85" s="389"/>
      <c r="C85" s="389"/>
      <c r="D85" s="389"/>
      <c r="E85" s="389"/>
      <c r="F85" s="392"/>
      <c r="G85" s="392"/>
      <c r="H85" s="389"/>
      <c r="I85" s="389"/>
      <c r="J85" s="389"/>
      <c r="K85" s="389"/>
      <c r="L85" s="389"/>
      <c r="M85" s="389"/>
      <c r="N85" s="389"/>
      <c r="O85" s="389"/>
      <c r="P85" s="389"/>
      <c r="Q85" s="389"/>
      <c r="R85" s="389"/>
      <c r="S85" s="389"/>
      <c r="T85" s="389"/>
      <c r="U85" s="389"/>
      <c r="V85" s="389"/>
      <c r="W85" s="389"/>
      <c r="X85" s="389"/>
      <c r="Y85" s="389"/>
      <c r="Z85" s="389"/>
      <c r="AA85" s="389"/>
      <c r="AB85" s="389"/>
      <c r="AC85" s="389"/>
      <c r="AD85" s="389"/>
      <c r="AE85" s="389"/>
      <c r="AF85" s="389"/>
    </row>
    <row r="86" hidden="1">
      <c r="A86" s="389"/>
      <c r="B86" s="389"/>
      <c r="C86" s="389"/>
      <c r="D86" s="389"/>
      <c r="E86" s="389"/>
      <c r="F86" s="392"/>
      <c r="G86" s="392"/>
      <c r="H86" s="389"/>
      <c r="I86" s="389"/>
      <c r="J86" s="389"/>
      <c r="K86" s="389"/>
      <c r="L86" s="389"/>
      <c r="M86" s="389"/>
      <c r="N86" s="389"/>
      <c r="O86" s="389"/>
      <c r="P86" s="389"/>
      <c r="Q86" s="389"/>
      <c r="R86" s="389"/>
      <c r="S86" s="389"/>
      <c r="T86" s="389"/>
      <c r="U86" s="389"/>
      <c r="V86" s="389"/>
      <c r="W86" s="389"/>
      <c r="X86" s="389"/>
      <c r="Y86" s="389"/>
      <c r="Z86" s="389"/>
      <c r="AA86" s="389"/>
      <c r="AB86" s="389"/>
      <c r="AC86" s="389"/>
      <c r="AD86" s="389"/>
      <c r="AE86" s="389"/>
      <c r="AF86" s="389"/>
    </row>
    <row r="87" hidden="1">
      <c r="A87" s="389"/>
      <c r="B87" s="389"/>
      <c r="C87" s="389"/>
      <c r="D87" s="389"/>
      <c r="E87" s="389"/>
      <c r="F87" s="392"/>
      <c r="G87" s="392"/>
      <c r="H87" s="389"/>
      <c r="I87" s="389"/>
      <c r="J87" s="389"/>
      <c r="K87" s="389"/>
      <c r="L87" s="389"/>
      <c r="M87" s="389"/>
      <c r="N87" s="389"/>
      <c r="O87" s="389"/>
      <c r="P87" s="389"/>
      <c r="Q87" s="389"/>
      <c r="R87" s="389"/>
      <c r="S87" s="389"/>
      <c r="T87" s="389"/>
      <c r="U87" s="389"/>
      <c r="V87" s="389"/>
      <c r="W87" s="389"/>
      <c r="X87" s="389"/>
      <c r="Y87" s="389"/>
      <c r="Z87" s="389"/>
      <c r="AA87" s="389"/>
      <c r="AB87" s="389"/>
      <c r="AC87" s="389"/>
      <c r="AD87" s="389"/>
      <c r="AE87" s="389"/>
      <c r="AF87" s="389"/>
    </row>
    <row r="88" hidden="1">
      <c r="A88" s="389"/>
      <c r="B88" s="389"/>
      <c r="C88" s="389"/>
      <c r="D88" s="389"/>
      <c r="E88" s="389"/>
      <c r="F88" s="392"/>
      <c r="G88" s="392"/>
      <c r="H88" s="389"/>
      <c r="I88" s="389"/>
      <c r="J88" s="389"/>
      <c r="K88" s="389"/>
      <c r="L88" s="389"/>
      <c r="M88" s="389"/>
      <c r="N88" s="389"/>
      <c r="O88" s="389"/>
      <c r="P88" s="389"/>
      <c r="Q88" s="389"/>
      <c r="R88" s="389"/>
      <c r="S88" s="389"/>
      <c r="T88" s="389"/>
      <c r="U88" s="389"/>
      <c r="V88" s="389"/>
      <c r="W88" s="389"/>
      <c r="X88" s="389"/>
      <c r="Y88" s="389"/>
      <c r="Z88" s="389"/>
      <c r="AA88" s="389"/>
      <c r="AB88" s="389"/>
      <c r="AC88" s="389"/>
      <c r="AD88" s="389"/>
      <c r="AE88" s="389"/>
      <c r="AF88" s="389"/>
    </row>
    <row r="89" hidden="1">
      <c r="A89" s="389"/>
      <c r="B89" s="389"/>
      <c r="C89" s="389"/>
      <c r="D89" s="389"/>
      <c r="E89" s="389"/>
      <c r="F89" s="392"/>
      <c r="G89" s="392"/>
      <c r="H89" s="389"/>
      <c r="I89" s="389"/>
      <c r="J89" s="389"/>
      <c r="K89" s="389"/>
      <c r="L89" s="389"/>
      <c r="M89" s="389"/>
      <c r="N89" s="389"/>
      <c r="O89" s="389"/>
      <c r="P89" s="389"/>
      <c r="Q89" s="389"/>
      <c r="R89" s="389"/>
      <c r="S89" s="389"/>
      <c r="T89" s="389"/>
      <c r="U89" s="389"/>
      <c r="V89" s="389"/>
      <c r="W89" s="389"/>
      <c r="X89" s="389"/>
      <c r="Y89" s="389"/>
      <c r="Z89" s="389"/>
      <c r="AA89" s="389"/>
      <c r="AB89" s="389"/>
      <c r="AC89" s="389"/>
      <c r="AD89" s="389"/>
      <c r="AE89" s="389"/>
      <c r="AF89" s="389"/>
    </row>
    <row r="90" hidden="1">
      <c r="A90" s="389"/>
      <c r="B90" s="389"/>
      <c r="C90" s="389"/>
      <c r="D90" s="389"/>
      <c r="E90" s="389"/>
      <c r="F90" s="392"/>
      <c r="G90" s="392"/>
      <c r="H90" s="389"/>
      <c r="I90" s="389"/>
      <c r="J90" s="389"/>
      <c r="K90" s="389"/>
      <c r="L90" s="389"/>
      <c r="M90" s="389"/>
      <c r="N90" s="389"/>
      <c r="O90" s="389"/>
      <c r="P90" s="389"/>
      <c r="Q90" s="389"/>
      <c r="R90" s="389"/>
      <c r="S90" s="389"/>
      <c r="T90" s="389"/>
      <c r="U90" s="389"/>
      <c r="V90" s="389"/>
      <c r="W90" s="389"/>
      <c r="X90" s="389"/>
      <c r="Y90" s="389"/>
      <c r="Z90" s="389"/>
      <c r="AA90" s="389"/>
      <c r="AB90" s="389"/>
      <c r="AC90" s="389"/>
      <c r="AD90" s="389"/>
      <c r="AE90" s="389"/>
      <c r="AF90" s="389"/>
    </row>
    <row r="91" hidden="1">
      <c r="A91" s="389"/>
      <c r="B91" s="389"/>
      <c r="C91" s="389"/>
      <c r="D91" s="389"/>
      <c r="E91" s="389"/>
      <c r="F91" s="392"/>
      <c r="G91" s="392"/>
      <c r="H91" s="389"/>
      <c r="I91" s="389"/>
      <c r="J91" s="389"/>
      <c r="K91" s="389"/>
      <c r="L91" s="389"/>
      <c r="M91" s="389"/>
      <c r="N91" s="389"/>
      <c r="O91" s="389"/>
      <c r="P91" s="389"/>
      <c r="Q91" s="389"/>
      <c r="R91" s="389"/>
      <c r="S91" s="389"/>
      <c r="T91" s="389"/>
      <c r="U91" s="389"/>
      <c r="V91" s="389"/>
      <c r="W91" s="389"/>
      <c r="X91" s="389"/>
      <c r="Y91" s="389"/>
      <c r="Z91" s="389"/>
      <c r="AA91" s="389"/>
      <c r="AB91" s="389"/>
      <c r="AC91" s="389"/>
      <c r="AD91" s="389"/>
      <c r="AE91" s="389"/>
      <c r="AF91" s="389"/>
    </row>
    <row r="92" hidden="1">
      <c r="A92" s="389"/>
      <c r="B92" s="389"/>
      <c r="C92" s="389"/>
      <c r="D92" s="389"/>
      <c r="E92" s="389"/>
      <c r="F92" s="392"/>
      <c r="G92" s="392"/>
      <c r="H92" s="389"/>
      <c r="I92" s="389"/>
      <c r="J92" s="389"/>
      <c r="K92" s="389"/>
      <c r="L92" s="389"/>
      <c r="M92" s="389"/>
      <c r="N92" s="389"/>
      <c r="O92" s="389"/>
      <c r="P92" s="389"/>
      <c r="Q92" s="389"/>
      <c r="R92" s="389"/>
      <c r="S92" s="389"/>
      <c r="T92" s="389"/>
      <c r="U92" s="389"/>
      <c r="V92" s="389"/>
      <c r="W92" s="389"/>
      <c r="X92" s="389"/>
      <c r="Y92" s="389"/>
      <c r="Z92" s="389"/>
      <c r="AA92" s="389"/>
      <c r="AB92" s="389"/>
      <c r="AC92" s="389"/>
      <c r="AD92" s="389"/>
      <c r="AE92" s="389"/>
      <c r="AF92" s="389"/>
    </row>
    <row r="93" hidden="1">
      <c r="A93" s="389"/>
      <c r="B93" s="389"/>
      <c r="C93" s="389"/>
      <c r="D93" s="389"/>
      <c r="E93" s="389"/>
      <c r="F93" s="392"/>
      <c r="G93" s="392"/>
      <c r="H93" s="389"/>
      <c r="I93" s="389"/>
      <c r="J93" s="389"/>
      <c r="K93" s="389"/>
      <c r="L93" s="389"/>
      <c r="M93" s="389"/>
      <c r="N93" s="389"/>
      <c r="O93" s="389"/>
      <c r="P93" s="389"/>
      <c r="Q93" s="389"/>
      <c r="R93" s="389"/>
      <c r="S93" s="389"/>
      <c r="T93" s="389"/>
      <c r="U93" s="389"/>
      <c r="V93" s="389"/>
      <c r="W93" s="389"/>
      <c r="X93" s="389"/>
      <c r="Y93" s="389"/>
      <c r="Z93" s="389"/>
      <c r="AA93" s="389"/>
      <c r="AB93" s="389"/>
      <c r="AC93" s="389"/>
      <c r="AD93" s="389"/>
      <c r="AE93" s="389"/>
      <c r="AF93" s="389"/>
    </row>
    <row r="94" hidden="1">
      <c r="A94" s="389"/>
      <c r="B94" s="389"/>
      <c r="C94" s="389"/>
      <c r="D94" s="389"/>
      <c r="E94" s="389"/>
      <c r="F94" s="392"/>
      <c r="G94" s="392"/>
      <c r="H94" s="389"/>
      <c r="I94" s="389"/>
      <c r="J94" s="389"/>
      <c r="K94" s="389"/>
      <c r="L94" s="389"/>
      <c r="M94" s="389"/>
      <c r="N94" s="389"/>
      <c r="O94" s="389"/>
      <c r="P94" s="389"/>
      <c r="Q94" s="389"/>
      <c r="R94" s="389"/>
      <c r="S94" s="389"/>
      <c r="T94" s="389"/>
      <c r="U94" s="389"/>
      <c r="V94" s="389"/>
      <c r="W94" s="389"/>
      <c r="X94" s="389"/>
      <c r="Y94" s="389"/>
      <c r="Z94" s="389"/>
      <c r="AA94" s="389"/>
      <c r="AB94" s="389"/>
      <c r="AC94" s="389"/>
      <c r="AD94" s="389"/>
      <c r="AE94" s="389"/>
      <c r="AF94" s="389"/>
    </row>
    <row r="95" hidden="1">
      <c r="A95" s="389"/>
      <c r="B95" s="389"/>
      <c r="C95" s="389"/>
      <c r="D95" s="389"/>
      <c r="E95" s="389"/>
      <c r="F95" s="392"/>
      <c r="G95" s="392"/>
      <c r="H95" s="389"/>
      <c r="I95" s="389"/>
      <c r="J95" s="389"/>
      <c r="K95" s="389"/>
      <c r="L95" s="389"/>
      <c r="M95" s="389"/>
      <c r="N95" s="389"/>
      <c r="O95" s="389"/>
      <c r="P95" s="389"/>
      <c r="Q95" s="389"/>
      <c r="R95" s="389"/>
      <c r="S95" s="389"/>
      <c r="T95" s="389"/>
      <c r="U95" s="389"/>
      <c r="V95" s="389"/>
      <c r="W95" s="389"/>
      <c r="X95" s="389"/>
      <c r="Y95" s="389"/>
      <c r="Z95" s="389"/>
      <c r="AA95" s="389"/>
      <c r="AB95" s="389"/>
      <c r="AC95" s="389"/>
      <c r="AD95" s="389"/>
      <c r="AE95" s="389"/>
      <c r="AF95" s="389"/>
    </row>
    <row r="96" hidden="1">
      <c r="A96" s="389"/>
      <c r="B96" s="389"/>
      <c r="C96" s="389"/>
      <c r="D96" s="389"/>
      <c r="E96" s="389"/>
      <c r="F96" s="392"/>
      <c r="G96" s="392"/>
      <c r="H96" s="389"/>
      <c r="I96" s="389"/>
      <c r="J96" s="389"/>
      <c r="K96" s="389"/>
      <c r="L96" s="389"/>
      <c r="M96" s="389"/>
      <c r="N96" s="389"/>
      <c r="O96" s="389"/>
      <c r="P96" s="389"/>
      <c r="Q96" s="389"/>
      <c r="R96" s="389"/>
      <c r="S96" s="389"/>
      <c r="T96" s="389"/>
      <c r="U96" s="389"/>
      <c r="V96" s="389"/>
      <c r="W96" s="389"/>
      <c r="X96" s="389"/>
      <c r="Y96" s="389"/>
      <c r="Z96" s="389"/>
      <c r="AA96" s="389"/>
      <c r="AB96" s="389"/>
      <c r="AC96" s="389"/>
      <c r="AD96" s="389"/>
      <c r="AE96" s="389"/>
      <c r="AF96" s="389"/>
    </row>
    <row r="97" hidden="1">
      <c r="A97" s="389"/>
      <c r="B97" s="389"/>
      <c r="C97" s="389"/>
      <c r="D97" s="389"/>
      <c r="E97" s="389"/>
      <c r="F97" s="392"/>
      <c r="G97" s="392"/>
      <c r="H97" s="389"/>
      <c r="I97" s="389"/>
      <c r="J97" s="389"/>
      <c r="K97" s="389"/>
      <c r="L97" s="389"/>
      <c r="M97" s="389"/>
      <c r="N97" s="389"/>
      <c r="O97" s="389"/>
      <c r="P97" s="389"/>
      <c r="Q97" s="389"/>
      <c r="R97" s="389"/>
      <c r="S97" s="389"/>
      <c r="T97" s="389"/>
      <c r="U97" s="389"/>
      <c r="V97" s="389"/>
      <c r="W97" s="389"/>
      <c r="X97" s="389"/>
      <c r="Y97" s="389"/>
      <c r="Z97" s="389"/>
      <c r="AA97" s="389"/>
      <c r="AB97" s="389"/>
      <c r="AC97" s="389"/>
      <c r="AD97" s="389"/>
      <c r="AE97" s="389"/>
      <c r="AF97" s="389"/>
    </row>
    <row r="98" hidden="1">
      <c r="A98" s="389"/>
      <c r="B98" s="389"/>
      <c r="C98" s="389"/>
      <c r="D98" s="389"/>
      <c r="E98" s="389"/>
      <c r="F98" s="392"/>
      <c r="G98" s="392"/>
      <c r="H98" s="389"/>
      <c r="I98" s="389"/>
      <c r="J98" s="389"/>
      <c r="K98" s="389"/>
      <c r="L98" s="389"/>
      <c r="M98" s="389"/>
      <c r="N98" s="389"/>
      <c r="O98" s="389"/>
      <c r="P98" s="389"/>
      <c r="Q98" s="389"/>
      <c r="R98" s="389"/>
      <c r="S98" s="389"/>
      <c r="T98" s="389"/>
      <c r="U98" s="389"/>
      <c r="V98" s="389"/>
      <c r="W98" s="389"/>
      <c r="X98" s="389"/>
      <c r="Y98" s="389"/>
      <c r="Z98" s="389"/>
      <c r="AA98" s="389"/>
      <c r="AB98" s="389"/>
      <c r="AC98" s="389"/>
      <c r="AD98" s="389"/>
      <c r="AE98" s="389"/>
      <c r="AF98" s="389"/>
    </row>
    <row r="99" hidden="1">
      <c r="A99" s="389"/>
      <c r="B99" s="389"/>
      <c r="C99" s="389"/>
      <c r="D99" s="389"/>
      <c r="E99" s="389"/>
      <c r="F99" s="392"/>
      <c r="G99" s="392"/>
      <c r="H99" s="389"/>
      <c r="I99" s="389"/>
      <c r="J99" s="389"/>
      <c r="K99" s="389"/>
      <c r="L99" s="389"/>
      <c r="M99" s="389"/>
      <c r="N99" s="389"/>
      <c r="O99" s="389"/>
      <c r="P99" s="389"/>
      <c r="Q99" s="389"/>
      <c r="R99" s="389"/>
      <c r="S99" s="389"/>
      <c r="T99" s="389"/>
      <c r="U99" s="389"/>
      <c r="V99" s="389"/>
      <c r="W99" s="389"/>
      <c r="X99" s="389"/>
      <c r="Y99" s="389"/>
      <c r="Z99" s="389"/>
      <c r="AA99" s="389"/>
      <c r="AB99" s="389"/>
      <c r="AC99" s="389"/>
      <c r="AD99" s="389"/>
      <c r="AE99" s="389"/>
      <c r="AF99" s="389"/>
    </row>
    <row r="100" hidden="1">
      <c r="A100" s="389"/>
      <c r="B100" s="389"/>
      <c r="C100" s="389"/>
      <c r="D100" s="389"/>
      <c r="E100" s="389"/>
      <c r="F100" s="392"/>
      <c r="G100" s="392"/>
      <c r="H100" s="389"/>
      <c r="I100" s="389"/>
      <c r="J100" s="389"/>
      <c r="K100" s="389"/>
      <c r="L100" s="389"/>
      <c r="M100" s="389"/>
      <c r="N100" s="389"/>
      <c r="O100" s="389"/>
      <c r="P100" s="389"/>
      <c r="Q100" s="389"/>
      <c r="R100" s="389"/>
      <c r="S100" s="389"/>
      <c r="T100" s="389"/>
      <c r="U100" s="389"/>
      <c r="V100" s="389"/>
      <c r="W100" s="389"/>
      <c r="X100" s="389"/>
      <c r="Y100" s="389"/>
      <c r="Z100" s="389"/>
      <c r="AA100" s="389"/>
      <c r="AB100" s="389"/>
      <c r="AC100" s="389"/>
      <c r="AD100" s="389"/>
      <c r="AE100" s="389"/>
      <c r="AF100" s="389"/>
    </row>
    <row r="101" hidden="1">
      <c r="A101" s="389"/>
      <c r="B101" s="389"/>
      <c r="C101" s="389"/>
      <c r="D101" s="389"/>
      <c r="E101" s="389"/>
      <c r="F101" s="392"/>
      <c r="G101" s="392"/>
      <c r="H101" s="389"/>
      <c r="I101" s="389"/>
      <c r="J101" s="389"/>
      <c r="K101" s="389"/>
      <c r="L101" s="389"/>
      <c r="M101" s="389"/>
      <c r="N101" s="389"/>
      <c r="O101" s="389"/>
      <c r="P101" s="389"/>
      <c r="Q101" s="389"/>
      <c r="R101" s="389"/>
      <c r="S101" s="389"/>
      <c r="T101" s="389"/>
      <c r="U101" s="389"/>
      <c r="V101" s="389"/>
      <c r="W101" s="389"/>
      <c r="X101" s="389"/>
      <c r="Y101" s="389"/>
      <c r="Z101" s="389"/>
      <c r="AA101" s="389"/>
      <c r="AB101" s="389"/>
      <c r="AC101" s="389"/>
      <c r="AD101" s="389"/>
      <c r="AE101" s="389"/>
      <c r="AF101" s="389"/>
    </row>
    <row r="102" hidden="1">
      <c r="A102" s="389"/>
      <c r="B102" s="389"/>
      <c r="C102" s="389"/>
      <c r="D102" s="389"/>
      <c r="E102" s="389"/>
      <c r="F102" s="392"/>
      <c r="G102" s="392"/>
      <c r="H102" s="389"/>
      <c r="I102" s="389"/>
      <c r="J102" s="389"/>
      <c r="K102" s="389"/>
      <c r="L102" s="389"/>
      <c r="M102" s="389"/>
      <c r="N102" s="389"/>
      <c r="O102" s="389"/>
      <c r="P102" s="389"/>
      <c r="Q102" s="389"/>
      <c r="R102" s="389"/>
      <c r="S102" s="389"/>
      <c r="T102" s="389"/>
      <c r="U102" s="389"/>
      <c r="V102" s="389"/>
      <c r="W102" s="389"/>
      <c r="X102" s="389"/>
      <c r="Y102" s="389"/>
      <c r="Z102" s="389"/>
      <c r="AA102" s="389"/>
      <c r="AB102" s="389"/>
      <c r="AC102" s="389"/>
      <c r="AD102" s="389"/>
      <c r="AE102" s="389"/>
      <c r="AF102" s="389"/>
    </row>
    <row r="103" hidden="1">
      <c r="A103" s="389"/>
      <c r="B103" s="389"/>
      <c r="C103" s="389"/>
      <c r="D103" s="389"/>
      <c r="E103" s="389"/>
      <c r="F103" s="392"/>
      <c r="G103" s="392"/>
      <c r="H103" s="389"/>
      <c r="I103" s="389"/>
      <c r="J103" s="389"/>
      <c r="K103" s="389"/>
      <c r="L103" s="389"/>
      <c r="M103" s="389"/>
      <c r="N103" s="389"/>
      <c r="O103" s="389"/>
      <c r="P103" s="389"/>
      <c r="Q103" s="389"/>
      <c r="R103" s="389"/>
      <c r="S103" s="389"/>
      <c r="T103" s="389"/>
      <c r="U103" s="389"/>
      <c r="V103" s="389"/>
      <c r="W103" s="389"/>
      <c r="X103" s="389"/>
      <c r="Y103" s="389"/>
      <c r="Z103" s="389"/>
      <c r="AA103" s="389"/>
      <c r="AB103" s="389"/>
      <c r="AC103" s="389"/>
      <c r="AD103" s="389"/>
      <c r="AE103" s="389"/>
      <c r="AF103" s="389"/>
    </row>
    <row r="104" hidden="1">
      <c r="A104" s="389"/>
      <c r="B104" s="389"/>
      <c r="C104" s="389"/>
      <c r="D104" s="389"/>
      <c r="E104" s="389"/>
      <c r="F104" s="392"/>
      <c r="G104" s="392"/>
      <c r="H104" s="389"/>
      <c r="I104" s="389"/>
      <c r="J104" s="389"/>
      <c r="K104" s="389"/>
      <c r="L104" s="389"/>
      <c r="M104" s="389"/>
      <c r="N104" s="389"/>
      <c r="O104" s="389"/>
      <c r="P104" s="389"/>
      <c r="Q104" s="389"/>
      <c r="R104" s="389"/>
      <c r="S104" s="389"/>
      <c r="T104" s="389"/>
      <c r="U104" s="389"/>
      <c r="V104" s="389"/>
      <c r="W104" s="389"/>
      <c r="X104" s="389"/>
      <c r="Y104" s="389"/>
      <c r="Z104" s="389"/>
      <c r="AA104" s="389"/>
      <c r="AB104" s="389"/>
      <c r="AC104" s="389"/>
      <c r="AD104" s="389"/>
      <c r="AE104" s="389"/>
      <c r="AF104" s="389"/>
    </row>
    <row r="105" hidden="1">
      <c r="A105" s="389"/>
      <c r="B105" s="389"/>
      <c r="C105" s="389"/>
      <c r="D105" s="389"/>
      <c r="E105" s="389"/>
      <c r="F105" s="392"/>
      <c r="G105" s="392"/>
      <c r="H105" s="389"/>
      <c r="I105" s="389"/>
      <c r="J105" s="389"/>
      <c r="K105" s="389"/>
      <c r="L105" s="389"/>
      <c r="M105" s="389"/>
      <c r="N105" s="389"/>
      <c r="O105" s="389"/>
      <c r="P105" s="389"/>
      <c r="Q105" s="389"/>
      <c r="R105" s="389"/>
      <c r="S105" s="389"/>
      <c r="T105" s="389"/>
      <c r="U105" s="389"/>
      <c r="V105" s="389"/>
      <c r="W105" s="389"/>
      <c r="X105" s="389"/>
      <c r="Y105" s="389"/>
      <c r="Z105" s="389"/>
      <c r="AA105" s="389"/>
      <c r="AB105" s="389"/>
      <c r="AC105" s="389"/>
      <c r="AD105" s="389"/>
      <c r="AE105" s="389"/>
      <c r="AF105" s="389"/>
    </row>
    <row r="106" hidden="1">
      <c r="A106" s="389"/>
      <c r="B106" s="389"/>
      <c r="C106" s="389"/>
      <c r="D106" s="389"/>
      <c r="E106" s="389"/>
      <c r="F106" s="392"/>
      <c r="G106" s="392"/>
      <c r="H106" s="389"/>
      <c r="I106" s="389"/>
      <c r="J106" s="389"/>
      <c r="K106" s="389"/>
      <c r="L106" s="389"/>
      <c r="M106" s="389"/>
      <c r="N106" s="389"/>
      <c r="O106" s="389"/>
      <c r="P106" s="389"/>
      <c r="Q106" s="389"/>
      <c r="R106" s="389"/>
      <c r="S106" s="389"/>
      <c r="T106" s="389"/>
      <c r="U106" s="389"/>
      <c r="V106" s="389"/>
      <c r="W106" s="389"/>
      <c r="X106" s="389"/>
      <c r="Y106" s="389"/>
      <c r="Z106" s="389"/>
      <c r="AA106" s="389"/>
      <c r="AB106" s="389"/>
      <c r="AC106" s="389"/>
      <c r="AD106" s="389"/>
      <c r="AE106" s="389"/>
      <c r="AF106" s="389"/>
    </row>
    <row r="107" hidden="1">
      <c r="A107" s="389"/>
      <c r="B107" s="389"/>
      <c r="C107" s="389"/>
      <c r="D107" s="389"/>
      <c r="E107" s="389"/>
      <c r="F107" s="392"/>
      <c r="G107" s="392"/>
      <c r="H107" s="389"/>
      <c r="I107" s="389"/>
      <c r="J107" s="389"/>
      <c r="K107" s="389"/>
      <c r="L107" s="389"/>
      <c r="M107" s="389"/>
      <c r="N107" s="389"/>
      <c r="O107" s="389"/>
      <c r="P107" s="389"/>
      <c r="Q107" s="389"/>
      <c r="R107" s="389"/>
      <c r="S107" s="389"/>
      <c r="T107" s="389"/>
      <c r="U107" s="389"/>
      <c r="V107" s="389"/>
      <c r="W107" s="389"/>
      <c r="X107" s="389"/>
      <c r="Y107" s="389"/>
      <c r="Z107" s="389"/>
      <c r="AA107" s="389"/>
      <c r="AB107" s="389"/>
      <c r="AC107" s="389"/>
      <c r="AD107" s="389"/>
      <c r="AE107" s="389"/>
      <c r="AF107" s="389"/>
    </row>
    <row r="108" hidden="1">
      <c r="A108" s="389"/>
      <c r="B108" s="389"/>
      <c r="C108" s="389"/>
      <c r="D108" s="389"/>
      <c r="E108" s="389"/>
      <c r="F108" s="392"/>
      <c r="G108" s="392"/>
      <c r="H108" s="389"/>
      <c r="I108" s="389"/>
      <c r="J108" s="389"/>
      <c r="K108" s="389"/>
      <c r="L108" s="389"/>
      <c r="M108" s="389"/>
      <c r="N108" s="389"/>
      <c r="O108" s="389"/>
      <c r="P108" s="389"/>
      <c r="Q108" s="389"/>
      <c r="R108" s="389"/>
      <c r="S108" s="389"/>
      <c r="T108" s="389"/>
      <c r="U108" s="389"/>
      <c r="V108" s="389"/>
      <c r="W108" s="389"/>
      <c r="X108" s="389"/>
      <c r="Y108" s="389"/>
      <c r="Z108" s="389"/>
      <c r="AA108" s="389"/>
      <c r="AB108" s="389"/>
      <c r="AC108" s="389"/>
      <c r="AD108" s="389"/>
      <c r="AE108" s="389"/>
      <c r="AF108" s="389"/>
    </row>
    <row r="109" hidden="1">
      <c r="A109" s="389"/>
      <c r="B109" s="389"/>
      <c r="C109" s="389"/>
      <c r="D109" s="389"/>
      <c r="E109" s="389"/>
      <c r="F109" s="392"/>
      <c r="G109" s="392"/>
      <c r="H109" s="389"/>
      <c r="I109" s="389"/>
      <c r="J109" s="389"/>
      <c r="K109" s="389"/>
      <c r="L109" s="389"/>
      <c r="M109" s="389"/>
      <c r="N109" s="389"/>
      <c r="O109" s="389"/>
      <c r="P109" s="389"/>
      <c r="Q109" s="389"/>
      <c r="R109" s="389"/>
      <c r="S109" s="389"/>
      <c r="T109" s="389"/>
      <c r="U109" s="389"/>
      <c r="V109" s="389"/>
      <c r="W109" s="389"/>
      <c r="X109" s="389"/>
      <c r="Y109" s="389"/>
      <c r="Z109" s="389"/>
      <c r="AA109" s="389"/>
      <c r="AB109" s="389"/>
      <c r="AC109" s="389"/>
      <c r="AD109" s="389"/>
      <c r="AE109" s="389"/>
      <c r="AF109" s="389"/>
    </row>
    <row r="110" hidden="1">
      <c r="A110" s="389"/>
      <c r="B110" s="389"/>
      <c r="C110" s="389"/>
      <c r="D110" s="389"/>
      <c r="E110" s="389"/>
      <c r="F110" s="392"/>
      <c r="G110" s="392"/>
      <c r="H110" s="389"/>
      <c r="I110" s="389"/>
      <c r="J110" s="389"/>
      <c r="K110" s="389"/>
      <c r="L110" s="389"/>
      <c r="M110" s="389"/>
      <c r="N110" s="389"/>
      <c r="O110" s="389"/>
      <c r="P110" s="389"/>
      <c r="Q110" s="389"/>
      <c r="R110" s="389"/>
      <c r="S110" s="389"/>
      <c r="T110" s="389"/>
      <c r="U110" s="389"/>
      <c r="V110" s="389"/>
      <c r="W110" s="389"/>
      <c r="X110" s="389"/>
      <c r="Y110" s="389"/>
      <c r="Z110" s="389"/>
      <c r="AA110" s="389"/>
      <c r="AB110" s="389"/>
      <c r="AC110" s="389"/>
      <c r="AD110" s="389"/>
      <c r="AE110" s="389"/>
      <c r="AF110" s="389"/>
    </row>
    <row r="111" hidden="1">
      <c r="A111" s="389"/>
      <c r="B111" s="389"/>
      <c r="C111" s="389"/>
      <c r="D111" s="389"/>
      <c r="E111" s="389"/>
      <c r="F111" s="392"/>
      <c r="G111" s="392"/>
      <c r="H111" s="389"/>
      <c r="I111" s="389"/>
      <c r="J111" s="389"/>
      <c r="K111" s="389"/>
      <c r="L111" s="389"/>
      <c r="M111" s="389"/>
      <c r="N111" s="389"/>
      <c r="O111" s="389"/>
      <c r="P111" s="389"/>
      <c r="Q111" s="389"/>
      <c r="R111" s="389"/>
      <c r="S111" s="389"/>
      <c r="T111" s="389"/>
      <c r="U111" s="389"/>
      <c r="V111" s="389"/>
      <c r="W111" s="389"/>
      <c r="X111" s="389"/>
      <c r="Y111" s="389"/>
      <c r="Z111" s="389"/>
      <c r="AA111" s="389"/>
      <c r="AB111" s="389"/>
      <c r="AC111" s="389"/>
      <c r="AD111" s="389"/>
      <c r="AE111" s="389"/>
      <c r="AF111" s="389"/>
    </row>
    <row r="112" hidden="1">
      <c r="A112" s="389"/>
      <c r="B112" s="389"/>
      <c r="C112" s="389"/>
      <c r="D112" s="389"/>
      <c r="E112" s="389"/>
      <c r="F112" s="392"/>
      <c r="G112" s="392"/>
      <c r="H112" s="389"/>
      <c r="I112" s="389"/>
      <c r="J112" s="389"/>
      <c r="K112" s="389"/>
      <c r="L112" s="389"/>
      <c r="M112" s="389"/>
      <c r="N112" s="389"/>
      <c r="O112" s="389"/>
      <c r="P112" s="389"/>
      <c r="Q112" s="389"/>
      <c r="R112" s="389"/>
      <c r="S112" s="389"/>
      <c r="T112" s="389"/>
      <c r="U112" s="389"/>
      <c r="V112" s="389"/>
      <c r="W112" s="389"/>
      <c r="X112" s="389"/>
      <c r="Y112" s="389"/>
      <c r="Z112" s="389"/>
      <c r="AA112" s="389"/>
      <c r="AB112" s="389"/>
      <c r="AC112" s="389"/>
      <c r="AD112" s="389"/>
      <c r="AE112" s="389"/>
      <c r="AF112" s="389"/>
    </row>
    <row r="113" hidden="1">
      <c r="A113" s="389"/>
      <c r="B113" s="389"/>
      <c r="C113" s="389"/>
      <c r="D113" s="389"/>
      <c r="E113" s="389"/>
      <c r="F113" s="392"/>
      <c r="G113" s="392"/>
      <c r="H113" s="389"/>
      <c r="I113" s="389"/>
      <c r="J113" s="389"/>
      <c r="K113" s="389"/>
      <c r="L113" s="389"/>
      <c r="M113" s="389"/>
      <c r="N113" s="389"/>
      <c r="O113" s="389"/>
      <c r="P113" s="389"/>
      <c r="Q113" s="389"/>
      <c r="R113" s="389"/>
      <c r="S113" s="389"/>
      <c r="T113" s="389"/>
      <c r="U113" s="389"/>
      <c r="V113" s="389"/>
      <c r="W113" s="389"/>
      <c r="X113" s="389"/>
      <c r="Y113" s="389"/>
      <c r="Z113" s="389"/>
      <c r="AA113" s="389"/>
      <c r="AB113" s="389"/>
      <c r="AC113" s="389"/>
      <c r="AD113" s="389"/>
      <c r="AE113" s="389"/>
      <c r="AF113" s="389"/>
    </row>
    <row r="114" hidden="1">
      <c r="A114" s="389"/>
      <c r="B114" s="389"/>
      <c r="C114" s="389"/>
      <c r="D114" s="389"/>
      <c r="E114" s="389"/>
      <c r="F114" s="392"/>
      <c r="G114" s="392"/>
      <c r="H114" s="389"/>
      <c r="I114" s="389"/>
      <c r="J114" s="389"/>
      <c r="K114" s="389"/>
      <c r="L114" s="389"/>
      <c r="M114" s="389"/>
      <c r="N114" s="389"/>
      <c r="O114" s="389"/>
      <c r="P114" s="389"/>
      <c r="Q114" s="389"/>
      <c r="R114" s="389"/>
      <c r="S114" s="389"/>
      <c r="T114" s="389"/>
      <c r="U114" s="389"/>
      <c r="V114" s="389"/>
      <c r="W114" s="389"/>
      <c r="X114" s="389"/>
      <c r="Y114" s="389"/>
      <c r="Z114" s="389"/>
      <c r="AA114" s="389"/>
      <c r="AB114" s="389"/>
      <c r="AC114" s="389"/>
      <c r="AD114" s="389"/>
      <c r="AE114" s="389"/>
      <c r="AF114" s="389"/>
    </row>
    <row r="115" hidden="1">
      <c r="A115" s="389"/>
      <c r="B115" s="389"/>
      <c r="C115" s="389"/>
      <c r="D115" s="389"/>
      <c r="E115" s="389"/>
      <c r="F115" s="392"/>
      <c r="G115" s="392"/>
      <c r="H115" s="389"/>
      <c r="I115" s="389"/>
      <c r="J115" s="389"/>
      <c r="K115" s="389"/>
      <c r="L115" s="389"/>
      <c r="M115" s="389"/>
      <c r="N115" s="389"/>
      <c r="O115" s="389"/>
      <c r="P115" s="389"/>
      <c r="Q115" s="389"/>
      <c r="R115" s="389"/>
      <c r="S115" s="389"/>
      <c r="T115" s="389"/>
      <c r="U115" s="389"/>
      <c r="V115" s="389"/>
      <c r="W115" s="389"/>
      <c r="X115" s="389"/>
      <c r="Y115" s="389"/>
      <c r="Z115" s="389"/>
      <c r="AA115" s="389"/>
      <c r="AB115" s="389"/>
      <c r="AC115" s="389"/>
      <c r="AD115" s="389"/>
      <c r="AE115" s="389"/>
      <c r="AF115" s="389"/>
    </row>
    <row r="116" hidden="1">
      <c r="A116" s="389"/>
      <c r="B116" s="389"/>
      <c r="C116" s="389"/>
      <c r="D116" s="389"/>
      <c r="E116" s="389"/>
      <c r="F116" s="392"/>
      <c r="G116" s="392"/>
      <c r="H116" s="389"/>
      <c r="I116" s="389"/>
      <c r="J116" s="389"/>
      <c r="K116" s="389"/>
      <c r="L116" s="389"/>
      <c r="M116" s="389"/>
      <c r="N116" s="389"/>
      <c r="O116" s="389"/>
      <c r="P116" s="389"/>
      <c r="Q116" s="389"/>
      <c r="R116" s="389"/>
      <c r="S116" s="389"/>
      <c r="T116" s="389"/>
      <c r="U116" s="389"/>
      <c r="V116" s="389"/>
      <c r="W116" s="389"/>
      <c r="X116" s="389"/>
      <c r="Y116" s="389"/>
      <c r="Z116" s="389"/>
      <c r="AA116" s="389"/>
      <c r="AB116" s="389"/>
      <c r="AC116" s="389"/>
      <c r="AD116" s="389"/>
      <c r="AE116" s="389"/>
      <c r="AF116" s="389"/>
    </row>
    <row r="117" hidden="1">
      <c r="A117" s="389"/>
      <c r="B117" s="389"/>
      <c r="C117" s="389"/>
      <c r="D117" s="389"/>
      <c r="E117" s="389"/>
      <c r="F117" s="392"/>
      <c r="G117" s="392"/>
      <c r="H117" s="389"/>
      <c r="I117" s="389"/>
      <c r="J117" s="389"/>
      <c r="K117" s="389"/>
      <c r="L117" s="389"/>
      <c r="M117" s="389"/>
      <c r="N117" s="389"/>
      <c r="O117" s="389"/>
      <c r="P117" s="389"/>
      <c r="Q117" s="389"/>
      <c r="R117" s="389"/>
      <c r="S117" s="389"/>
      <c r="T117" s="389"/>
      <c r="U117" s="389"/>
      <c r="V117" s="389"/>
      <c r="W117" s="389"/>
      <c r="X117" s="389"/>
      <c r="Y117" s="389"/>
      <c r="Z117" s="389"/>
      <c r="AA117" s="389"/>
      <c r="AB117" s="389"/>
      <c r="AC117" s="389"/>
      <c r="AD117" s="389"/>
      <c r="AE117" s="389"/>
      <c r="AF117" s="389"/>
    </row>
    <row r="118" hidden="1">
      <c r="A118" s="389"/>
      <c r="B118" s="389"/>
      <c r="C118" s="389"/>
      <c r="D118" s="389"/>
      <c r="E118" s="389"/>
      <c r="F118" s="392"/>
      <c r="G118" s="392"/>
      <c r="H118" s="389"/>
      <c r="I118" s="389"/>
      <c r="J118" s="389"/>
      <c r="K118" s="389"/>
      <c r="L118" s="389"/>
      <c r="M118" s="389"/>
      <c r="N118" s="389"/>
      <c r="O118" s="389"/>
      <c r="P118" s="389"/>
      <c r="Q118" s="389"/>
      <c r="R118" s="389"/>
      <c r="S118" s="389"/>
      <c r="T118" s="389"/>
      <c r="U118" s="389"/>
      <c r="V118" s="389"/>
      <c r="W118" s="389"/>
      <c r="X118" s="389"/>
      <c r="Y118" s="389"/>
      <c r="Z118" s="389"/>
      <c r="AA118" s="389"/>
      <c r="AB118" s="389"/>
      <c r="AC118" s="389"/>
      <c r="AD118" s="389"/>
      <c r="AE118" s="389"/>
      <c r="AF118" s="389"/>
    </row>
    <row r="119" hidden="1">
      <c r="A119" s="389"/>
      <c r="B119" s="389"/>
      <c r="C119" s="389"/>
      <c r="D119" s="389"/>
      <c r="E119" s="389"/>
      <c r="F119" s="392"/>
      <c r="G119" s="392"/>
      <c r="H119" s="389"/>
      <c r="I119" s="389"/>
      <c r="J119" s="389"/>
      <c r="K119" s="389"/>
      <c r="L119" s="389"/>
      <c r="M119" s="389"/>
      <c r="N119" s="389"/>
      <c r="O119" s="389"/>
      <c r="P119" s="389"/>
      <c r="Q119" s="389"/>
      <c r="R119" s="389"/>
      <c r="S119" s="389"/>
      <c r="T119" s="389"/>
      <c r="U119" s="389"/>
      <c r="V119" s="389"/>
      <c r="W119" s="389"/>
      <c r="X119" s="389"/>
      <c r="Y119" s="389"/>
      <c r="Z119" s="389"/>
      <c r="AA119" s="389"/>
      <c r="AB119" s="389"/>
      <c r="AC119" s="389"/>
      <c r="AD119" s="389"/>
      <c r="AE119" s="389"/>
      <c r="AF119" s="389"/>
    </row>
    <row r="120" hidden="1">
      <c r="A120" s="389"/>
      <c r="B120" s="389"/>
      <c r="C120" s="389"/>
      <c r="D120" s="389"/>
      <c r="E120" s="389"/>
      <c r="F120" s="392"/>
      <c r="G120" s="392"/>
      <c r="H120" s="389"/>
      <c r="I120" s="389"/>
      <c r="J120" s="389"/>
      <c r="K120" s="389"/>
      <c r="L120" s="389"/>
      <c r="M120" s="389"/>
      <c r="N120" s="389"/>
      <c r="O120" s="389"/>
      <c r="P120" s="389"/>
      <c r="Q120" s="389"/>
      <c r="R120" s="389"/>
      <c r="S120" s="389"/>
      <c r="T120" s="389"/>
      <c r="U120" s="389"/>
      <c r="V120" s="389"/>
      <c r="W120" s="389"/>
      <c r="X120" s="389"/>
      <c r="Y120" s="389"/>
      <c r="Z120" s="389"/>
      <c r="AA120" s="389"/>
      <c r="AB120" s="389"/>
      <c r="AC120" s="389"/>
      <c r="AD120" s="389"/>
      <c r="AE120" s="389"/>
      <c r="AF120" s="389"/>
    </row>
    <row r="121" hidden="1">
      <c r="A121" s="389"/>
      <c r="B121" s="389"/>
      <c r="C121" s="389"/>
      <c r="D121" s="389"/>
      <c r="E121" s="389"/>
      <c r="F121" s="392"/>
      <c r="G121" s="392"/>
      <c r="H121" s="389"/>
      <c r="I121" s="389"/>
      <c r="J121" s="389"/>
      <c r="K121" s="389"/>
      <c r="L121" s="389"/>
      <c r="M121" s="389"/>
      <c r="N121" s="389"/>
      <c r="O121" s="389"/>
      <c r="P121" s="389"/>
      <c r="Q121" s="389"/>
      <c r="R121" s="389"/>
      <c r="S121" s="389"/>
      <c r="T121" s="389"/>
      <c r="U121" s="389"/>
      <c r="V121" s="389"/>
      <c r="W121" s="389"/>
      <c r="X121" s="389"/>
      <c r="Y121" s="389"/>
      <c r="Z121" s="389"/>
      <c r="AA121" s="389"/>
      <c r="AB121" s="389"/>
      <c r="AC121" s="389"/>
      <c r="AD121" s="389"/>
      <c r="AE121" s="389"/>
      <c r="AF121" s="389"/>
    </row>
    <row r="122" hidden="1">
      <c r="A122" s="389"/>
      <c r="B122" s="389"/>
      <c r="C122" s="389"/>
      <c r="D122" s="389"/>
      <c r="E122" s="389"/>
      <c r="F122" s="392"/>
      <c r="G122" s="392"/>
      <c r="H122" s="389"/>
      <c r="I122" s="389"/>
      <c r="J122" s="389"/>
      <c r="K122" s="389"/>
      <c r="L122" s="389"/>
      <c r="M122" s="389"/>
      <c r="N122" s="389"/>
      <c r="O122" s="389"/>
      <c r="P122" s="389"/>
      <c r="Q122" s="389"/>
      <c r="R122" s="389"/>
      <c r="S122" s="389"/>
      <c r="T122" s="389"/>
      <c r="U122" s="389"/>
      <c r="V122" s="389"/>
      <c r="W122" s="389"/>
      <c r="X122" s="389"/>
      <c r="Y122" s="389"/>
      <c r="Z122" s="389"/>
      <c r="AA122" s="389"/>
      <c r="AB122" s="389"/>
      <c r="AC122" s="389"/>
      <c r="AD122" s="389"/>
      <c r="AE122" s="389"/>
      <c r="AF122" s="389"/>
    </row>
    <row r="123" hidden="1">
      <c r="A123" s="389"/>
      <c r="B123" s="389"/>
      <c r="C123" s="389"/>
      <c r="D123" s="389"/>
      <c r="E123" s="389"/>
      <c r="F123" s="392"/>
      <c r="G123" s="392"/>
      <c r="H123" s="389"/>
      <c r="I123" s="389"/>
      <c r="J123" s="389"/>
      <c r="K123" s="389"/>
      <c r="L123" s="389"/>
      <c r="M123" s="389"/>
      <c r="N123" s="389"/>
      <c r="O123" s="389"/>
      <c r="P123" s="389"/>
      <c r="Q123" s="389"/>
      <c r="R123" s="389"/>
      <c r="S123" s="389"/>
      <c r="T123" s="389"/>
      <c r="U123" s="389"/>
      <c r="V123" s="389"/>
      <c r="W123" s="389"/>
      <c r="X123" s="389"/>
      <c r="Y123" s="389"/>
      <c r="Z123" s="389"/>
      <c r="AA123" s="389"/>
      <c r="AB123" s="389"/>
      <c r="AC123" s="389"/>
      <c r="AD123" s="389"/>
      <c r="AE123" s="389"/>
      <c r="AF123" s="389"/>
    </row>
    <row r="124" hidden="1">
      <c r="A124" s="389"/>
      <c r="B124" s="389"/>
      <c r="C124" s="389"/>
      <c r="D124" s="389"/>
      <c r="E124" s="389"/>
      <c r="F124" s="392"/>
      <c r="G124" s="392"/>
      <c r="H124" s="389"/>
      <c r="I124" s="389"/>
      <c r="J124" s="389"/>
      <c r="K124" s="389"/>
      <c r="L124" s="389"/>
      <c r="M124" s="389"/>
      <c r="N124" s="389"/>
      <c r="O124" s="389"/>
      <c r="P124" s="389"/>
      <c r="Q124" s="389"/>
      <c r="R124" s="389"/>
      <c r="S124" s="389"/>
      <c r="T124" s="389"/>
      <c r="U124" s="389"/>
      <c r="V124" s="389"/>
      <c r="W124" s="389"/>
      <c r="X124" s="389"/>
      <c r="Y124" s="389"/>
      <c r="Z124" s="389"/>
      <c r="AA124" s="389"/>
      <c r="AB124" s="389"/>
      <c r="AC124" s="389"/>
      <c r="AD124" s="389"/>
      <c r="AE124" s="389"/>
      <c r="AF124" s="389"/>
    </row>
    <row r="125" hidden="1">
      <c r="A125" s="389"/>
      <c r="B125" s="389"/>
      <c r="C125" s="389"/>
      <c r="D125" s="389"/>
      <c r="E125" s="389"/>
      <c r="F125" s="392"/>
      <c r="G125" s="392"/>
      <c r="H125" s="389"/>
      <c r="I125" s="389"/>
      <c r="J125" s="389"/>
      <c r="K125" s="389"/>
      <c r="L125" s="389"/>
      <c r="M125" s="389"/>
      <c r="N125" s="389"/>
      <c r="O125" s="389"/>
      <c r="P125" s="389"/>
      <c r="Q125" s="389"/>
      <c r="R125" s="389"/>
      <c r="S125" s="389"/>
      <c r="T125" s="389"/>
      <c r="U125" s="389"/>
      <c r="V125" s="389"/>
      <c r="W125" s="389"/>
      <c r="X125" s="389"/>
      <c r="Y125" s="389"/>
      <c r="Z125" s="389"/>
      <c r="AA125" s="389"/>
      <c r="AB125" s="389"/>
      <c r="AC125" s="389"/>
      <c r="AD125" s="389"/>
      <c r="AE125" s="389"/>
      <c r="AF125" s="389"/>
    </row>
    <row r="126" hidden="1">
      <c r="A126" s="389"/>
      <c r="B126" s="389"/>
      <c r="C126" s="389"/>
      <c r="D126" s="389"/>
      <c r="E126" s="389"/>
      <c r="F126" s="392"/>
      <c r="G126" s="392"/>
      <c r="H126" s="389"/>
      <c r="I126" s="389"/>
      <c r="J126" s="389"/>
      <c r="K126" s="389"/>
      <c r="L126" s="389"/>
      <c r="M126" s="389"/>
      <c r="N126" s="389"/>
      <c r="O126" s="389"/>
      <c r="P126" s="389"/>
      <c r="Q126" s="389"/>
      <c r="R126" s="389"/>
      <c r="S126" s="389"/>
      <c r="T126" s="389"/>
      <c r="U126" s="389"/>
      <c r="V126" s="389"/>
      <c r="W126" s="389"/>
      <c r="X126" s="389"/>
      <c r="Y126" s="389"/>
      <c r="Z126" s="389"/>
      <c r="AA126" s="389"/>
      <c r="AB126" s="389"/>
      <c r="AC126" s="389"/>
      <c r="AD126" s="389"/>
      <c r="AE126" s="389"/>
      <c r="AF126" s="389"/>
    </row>
    <row r="127" hidden="1">
      <c r="A127" s="389"/>
      <c r="B127" s="389"/>
      <c r="C127" s="389"/>
      <c r="D127" s="389"/>
      <c r="E127" s="389"/>
      <c r="F127" s="392"/>
      <c r="G127" s="392"/>
      <c r="H127" s="389"/>
      <c r="I127" s="389"/>
      <c r="J127" s="389"/>
      <c r="K127" s="389"/>
      <c r="L127" s="389"/>
      <c r="M127" s="389"/>
      <c r="N127" s="389"/>
      <c r="O127" s="389"/>
      <c r="P127" s="389"/>
      <c r="Q127" s="389"/>
      <c r="R127" s="389"/>
      <c r="S127" s="389"/>
      <c r="T127" s="389"/>
      <c r="U127" s="389"/>
      <c r="V127" s="389"/>
      <c r="W127" s="389"/>
      <c r="X127" s="389"/>
      <c r="Y127" s="389"/>
      <c r="Z127" s="389"/>
      <c r="AA127" s="389"/>
      <c r="AB127" s="389"/>
      <c r="AC127" s="389"/>
      <c r="AD127" s="389"/>
      <c r="AE127" s="389"/>
      <c r="AF127" s="389"/>
    </row>
    <row r="128" hidden="1">
      <c r="A128" s="389"/>
      <c r="B128" s="389"/>
      <c r="C128" s="389"/>
      <c r="D128" s="389"/>
      <c r="E128" s="389"/>
      <c r="F128" s="392"/>
      <c r="G128" s="392"/>
      <c r="H128" s="389"/>
      <c r="I128" s="389"/>
      <c r="J128" s="389"/>
      <c r="K128" s="389"/>
      <c r="L128" s="389"/>
      <c r="M128" s="389"/>
      <c r="N128" s="389"/>
      <c r="O128" s="389"/>
      <c r="P128" s="389"/>
      <c r="Q128" s="389"/>
      <c r="R128" s="389"/>
      <c r="S128" s="389"/>
      <c r="T128" s="389"/>
      <c r="U128" s="389"/>
      <c r="V128" s="389"/>
      <c r="W128" s="389"/>
      <c r="X128" s="389"/>
      <c r="Y128" s="389"/>
      <c r="Z128" s="389"/>
      <c r="AA128" s="389"/>
      <c r="AB128" s="389"/>
      <c r="AC128" s="389"/>
      <c r="AD128" s="389"/>
      <c r="AE128" s="389"/>
      <c r="AF128" s="389"/>
    </row>
    <row r="129" hidden="1">
      <c r="A129" s="389"/>
      <c r="B129" s="389"/>
      <c r="C129" s="389"/>
      <c r="D129" s="389"/>
      <c r="E129" s="389"/>
      <c r="F129" s="392"/>
      <c r="G129" s="392"/>
      <c r="H129" s="389"/>
      <c r="I129" s="389"/>
      <c r="J129" s="389"/>
      <c r="K129" s="389"/>
      <c r="L129" s="389"/>
      <c r="M129" s="389"/>
      <c r="N129" s="389"/>
      <c r="O129" s="389"/>
      <c r="P129" s="389"/>
      <c r="Q129" s="389"/>
      <c r="R129" s="389"/>
      <c r="S129" s="389"/>
      <c r="T129" s="389"/>
      <c r="U129" s="389"/>
      <c r="V129" s="389"/>
      <c r="W129" s="389"/>
      <c r="X129" s="389"/>
      <c r="Y129" s="389"/>
      <c r="Z129" s="389"/>
      <c r="AA129" s="389"/>
      <c r="AB129" s="389"/>
      <c r="AC129" s="389"/>
      <c r="AD129" s="389"/>
      <c r="AE129" s="389"/>
      <c r="AF129" s="389"/>
    </row>
    <row r="130" hidden="1">
      <c r="A130" s="389"/>
      <c r="B130" s="389"/>
      <c r="C130" s="389"/>
      <c r="D130" s="389"/>
      <c r="E130" s="389"/>
      <c r="F130" s="392"/>
      <c r="G130" s="392"/>
      <c r="H130" s="389"/>
      <c r="I130" s="389"/>
      <c r="J130" s="389"/>
      <c r="K130" s="389"/>
      <c r="L130" s="389"/>
      <c r="M130" s="389"/>
      <c r="N130" s="389"/>
      <c r="O130" s="389"/>
      <c r="P130" s="389"/>
      <c r="Q130" s="389"/>
      <c r="R130" s="389"/>
      <c r="S130" s="389"/>
      <c r="T130" s="389"/>
      <c r="U130" s="389"/>
      <c r="V130" s="389"/>
      <c r="W130" s="389"/>
      <c r="X130" s="389"/>
      <c r="Y130" s="389"/>
      <c r="Z130" s="389"/>
      <c r="AA130" s="389"/>
      <c r="AB130" s="389"/>
      <c r="AC130" s="389"/>
      <c r="AD130" s="389"/>
      <c r="AE130" s="389"/>
      <c r="AF130" s="389"/>
    </row>
    <row r="131" hidden="1">
      <c r="A131" s="389"/>
      <c r="B131" s="389"/>
      <c r="C131" s="389"/>
      <c r="D131" s="389"/>
      <c r="E131" s="389"/>
      <c r="F131" s="392"/>
      <c r="G131" s="392"/>
      <c r="H131" s="389"/>
      <c r="I131" s="389"/>
      <c r="J131" s="389"/>
      <c r="K131" s="389"/>
      <c r="L131" s="389"/>
      <c r="M131" s="389"/>
      <c r="N131" s="389"/>
      <c r="O131" s="389"/>
      <c r="P131" s="389"/>
      <c r="Q131" s="389"/>
      <c r="R131" s="389"/>
      <c r="S131" s="389"/>
      <c r="T131" s="389"/>
      <c r="U131" s="389"/>
      <c r="V131" s="389"/>
      <c r="W131" s="389"/>
      <c r="X131" s="389"/>
      <c r="Y131" s="389"/>
      <c r="Z131" s="389"/>
      <c r="AA131" s="389"/>
      <c r="AB131" s="389"/>
      <c r="AC131" s="389"/>
      <c r="AD131" s="389"/>
      <c r="AE131" s="389"/>
      <c r="AF131" s="389"/>
    </row>
    <row r="132" hidden="1">
      <c r="A132" s="389"/>
      <c r="B132" s="389"/>
      <c r="C132" s="389"/>
      <c r="D132" s="389"/>
      <c r="E132" s="389"/>
      <c r="F132" s="392"/>
      <c r="G132" s="392"/>
      <c r="H132" s="389"/>
      <c r="I132" s="389"/>
      <c r="J132" s="389"/>
      <c r="K132" s="389"/>
      <c r="L132" s="389"/>
      <c r="M132" s="389"/>
      <c r="N132" s="389"/>
      <c r="O132" s="389"/>
      <c r="P132" s="389"/>
      <c r="Q132" s="389"/>
      <c r="R132" s="389"/>
      <c r="S132" s="389"/>
      <c r="T132" s="389"/>
      <c r="U132" s="389"/>
      <c r="V132" s="389"/>
      <c r="W132" s="389"/>
      <c r="X132" s="389"/>
      <c r="Y132" s="389"/>
      <c r="Z132" s="389"/>
      <c r="AA132" s="389"/>
      <c r="AB132" s="389"/>
      <c r="AC132" s="389"/>
      <c r="AD132" s="389"/>
      <c r="AE132" s="389"/>
      <c r="AF132" s="389"/>
    </row>
    <row r="133" hidden="1">
      <c r="A133" s="389"/>
      <c r="B133" s="389"/>
      <c r="C133" s="389"/>
      <c r="D133" s="389"/>
      <c r="E133" s="389"/>
      <c r="F133" s="392"/>
      <c r="G133" s="392"/>
      <c r="H133" s="389"/>
      <c r="I133" s="389"/>
      <c r="J133" s="389"/>
      <c r="K133" s="389"/>
      <c r="L133" s="389"/>
      <c r="M133" s="389"/>
      <c r="N133" s="389"/>
      <c r="O133" s="389"/>
      <c r="P133" s="389"/>
      <c r="Q133" s="389"/>
      <c r="R133" s="389"/>
      <c r="S133" s="389"/>
      <c r="T133" s="389"/>
      <c r="U133" s="389"/>
      <c r="V133" s="389"/>
      <c r="W133" s="389"/>
      <c r="X133" s="389"/>
      <c r="Y133" s="389"/>
      <c r="Z133" s="389"/>
      <c r="AA133" s="389"/>
      <c r="AB133" s="389"/>
      <c r="AC133" s="389"/>
      <c r="AD133" s="389"/>
      <c r="AE133" s="389"/>
      <c r="AF133" s="389"/>
    </row>
    <row r="134" hidden="1">
      <c r="A134" s="389"/>
      <c r="B134" s="389"/>
      <c r="C134" s="389"/>
      <c r="D134" s="389"/>
      <c r="E134" s="389"/>
      <c r="F134" s="392"/>
      <c r="G134" s="392"/>
      <c r="H134" s="389"/>
      <c r="I134" s="389"/>
      <c r="J134" s="389"/>
      <c r="K134" s="389"/>
      <c r="L134" s="389"/>
      <c r="M134" s="389"/>
      <c r="N134" s="389"/>
      <c r="O134" s="389"/>
      <c r="P134" s="389"/>
      <c r="Q134" s="389"/>
      <c r="R134" s="389"/>
      <c r="S134" s="389"/>
      <c r="T134" s="389"/>
      <c r="U134" s="389"/>
      <c r="V134" s="389"/>
      <c r="W134" s="389"/>
      <c r="X134" s="389"/>
      <c r="Y134" s="389"/>
      <c r="Z134" s="389"/>
      <c r="AA134" s="389"/>
      <c r="AB134" s="389"/>
      <c r="AC134" s="389"/>
      <c r="AD134" s="389"/>
      <c r="AE134" s="389"/>
      <c r="AF134" s="389"/>
    </row>
    <row r="135" hidden="1">
      <c r="A135" s="389"/>
      <c r="B135" s="389"/>
      <c r="C135" s="389"/>
      <c r="D135" s="389"/>
      <c r="E135" s="389"/>
      <c r="F135" s="392"/>
      <c r="G135" s="392"/>
      <c r="H135" s="389"/>
      <c r="I135" s="389"/>
      <c r="J135" s="389"/>
      <c r="K135" s="389"/>
      <c r="L135" s="389"/>
      <c r="M135" s="389"/>
      <c r="N135" s="389"/>
      <c r="O135" s="389"/>
      <c r="P135" s="389"/>
      <c r="Q135" s="389"/>
      <c r="R135" s="389"/>
      <c r="S135" s="389"/>
      <c r="T135" s="389"/>
      <c r="U135" s="389"/>
      <c r="V135" s="389"/>
      <c r="W135" s="389"/>
      <c r="X135" s="389"/>
      <c r="Y135" s="389"/>
      <c r="Z135" s="389"/>
      <c r="AA135" s="389"/>
      <c r="AB135" s="389"/>
      <c r="AC135" s="389"/>
      <c r="AD135" s="389"/>
      <c r="AE135" s="389"/>
      <c r="AF135" s="389"/>
    </row>
    <row r="136" hidden="1">
      <c r="A136" s="389"/>
      <c r="B136" s="389"/>
      <c r="C136" s="389"/>
      <c r="D136" s="389"/>
      <c r="E136" s="389"/>
      <c r="F136" s="392"/>
      <c r="G136" s="392"/>
      <c r="H136" s="389"/>
      <c r="I136" s="389"/>
      <c r="J136" s="389"/>
      <c r="K136" s="389"/>
      <c r="L136" s="389"/>
      <c r="M136" s="389"/>
      <c r="N136" s="389"/>
      <c r="O136" s="389"/>
      <c r="P136" s="389"/>
      <c r="Q136" s="389"/>
      <c r="R136" s="389"/>
      <c r="S136" s="389"/>
      <c r="T136" s="389"/>
      <c r="U136" s="389"/>
      <c r="V136" s="389"/>
      <c r="W136" s="389"/>
      <c r="X136" s="389"/>
      <c r="Y136" s="389"/>
      <c r="Z136" s="389"/>
      <c r="AA136" s="389"/>
      <c r="AB136" s="389"/>
      <c r="AC136" s="389"/>
      <c r="AD136" s="389"/>
      <c r="AE136" s="389"/>
      <c r="AF136" s="389"/>
    </row>
    <row r="137" hidden="1">
      <c r="A137" s="389"/>
      <c r="B137" s="389"/>
      <c r="C137" s="389"/>
      <c r="D137" s="389"/>
      <c r="E137" s="389"/>
      <c r="F137" s="392"/>
      <c r="G137" s="392"/>
      <c r="H137" s="389"/>
      <c r="I137" s="389"/>
      <c r="J137" s="389"/>
      <c r="K137" s="389"/>
      <c r="L137" s="389"/>
      <c r="M137" s="389"/>
      <c r="N137" s="389"/>
      <c r="O137" s="389"/>
      <c r="P137" s="389"/>
      <c r="Q137" s="389"/>
      <c r="R137" s="389"/>
      <c r="S137" s="389"/>
      <c r="T137" s="389"/>
      <c r="U137" s="389"/>
      <c r="V137" s="389"/>
      <c r="W137" s="389"/>
      <c r="X137" s="389"/>
      <c r="Y137" s="389"/>
      <c r="Z137" s="389"/>
      <c r="AA137" s="389"/>
      <c r="AB137" s="389"/>
      <c r="AC137" s="389"/>
      <c r="AD137" s="389"/>
      <c r="AE137" s="389"/>
      <c r="AF137" s="389"/>
    </row>
    <row r="138" hidden="1">
      <c r="A138" s="389"/>
      <c r="B138" s="389"/>
      <c r="C138" s="389"/>
      <c r="D138" s="389"/>
      <c r="E138" s="389"/>
      <c r="F138" s="392"/>
      <c r="G138" s="392"/>
      <c r="H138" s="389"/>
      <c r="I138" s="389"/>
      <c r="J138" s="389"/>
      <c r="K138" s="389"/>
      <c r="L138" s="389"/>
      <c r="M138" s="389"/>
      <c r="N138" s="389"/>
      <c r="O138" s="389"/>
      <c r="P138" s="389"/>
      <c r="Q138" s="389"/>
      <c r="R138" s="389"/>
      <c r="S138" s="389"/>
      <c r="T138" s="389"/>
      <c r="U138" s="389"/>
      <c r="V138" s="389"/>
      <c r="W138" s="389"/>
      <c r="X138" s="389"/>
      <c r="Y138" s="389"/>
      <c r="Z138" s="389"/>
      <c r="AA138" s="389"/>
      <c r="AB138" s="389"/>
      <c r="AC138" s="389"/>
      <c r="AD138" s="389"/>
      <c r="AE138" s="389"/>
      <c r="AF138" s="389"/>
    </row>
    <row r="139" hidden="1">
      <c r="A139" s="389"/>
      <c r="B139" s="389"/>
      <c r="C139" s="389"/>
      <c r="D139" s="389"/>
      <c r="E139" s="389"/>
      <c r="F139" s="392"/>
      <c r="G139" s="392"/>
      <c r="H139" s="389"/>
      <c r="I139" s="389"/>
      <c r="J139" s="389"/>
      <c r="K139" s="389"/>
      <c r="L139" s="389"/>
      <c r="M139" s="389"/>
      <c r="N139" s="389"/>
      <c r="O139" s="389"/>
      <c r="P139" s="389"/>
      <c r="Q139" s="389"/>
      <c r="R139" s="389"/>
      <c r="S139" s="389"/>
      <c r="T139" s="389"/>
      <c r="U139" s="389"/>
      <c r="V139" s="389"/>
      <c r="W139" s="389"/>
      <c r="X139" s="389"/>
      <c r="Y139" s="389"/>
      <c r="Z139" s="389"/>
      <c r="AA139" s="389"/>
      <c r="AB139" s="389"/>
      <c r="AC139" s="389"/>
      <c r="AD139" s="389"/>
      <c r="AE139" s="389"/>
      <c r="AF139" s="389"/>
    </row>
    <row r="140" hidden="1">
      <c r="A140" s="389"/>
      <c r="B140" s="389"/>
      <c r="C140" s="389"/>
      <c r="D140" s="389"/>
      <c r="E140" s="389"/>
      <c r="F140" s="392"/>
      <c r="G140" s="392"/>
      <c r="H140" s="389"/>
      <c r="I140" s="389"/>
      <c r="J140" s="389"/>
      <c r="K140" s="389"/>
      <c r="L140" s="389"/>
      <c r="M140" s="389"/>
      <c r="N140" s="389"/>
      <c r="O140" s="389"/>
      <c r="P140" s="389"/>
      <c r="Q140" s="389"/>
      <c r="R140" s="389"/>
      <c r="S140" s="389"/>
      <c r="T140" s="389"/>
      <c r="U140" s="389"/>
      <c r="V140" s="389"/>
      <c r="W140" s="389"/>
      <c r="X140" s="389"/>
      <c r="Y140" s="389"/>
      <c r="Z140" s="389"/>
      <c r="AA140" s="389"/>
      <c r="AB140" s="389"/>
      <c r="AC140" s="389"/>
      <c r="AD140" s="389"/>
      <c r="AE140" s="389"/>
      <c r="AF140" s="389"/>
    </row>
    <row r="141" hidden="1">
      <c r="A141" s="389"/>
      <c r="B141" s="389"/>
      <c r="C141" s="389"/>
      <c r="D141" s="389"/>
      <c r="E141" s="389"/>
      <c r="F141" s="392"/>
      <c r="G141" s="392"/>
      <c r="H141" s="389"/>
      <c r="I141" s="389"/>
      <c r="J141" s="389"/>
      <c r="K141" s="389"/>
      <c r="L141" s="389"/>
      <c r="M141" s="389"/>
      <c r="N141" s="389"/>
      <c r="O141" s="389"/>
      <c r="P141" s="389"/>
      <c r="Q141" s="389"/>
      <c r="R141" s="389"/>
      <c r="S141" s="389"/>
      <c r="T141" s="389"/>
      <c r="U141" s="389"/>
      <c r="V141" s="389"/>
      <c r="W141" s="389"/>
      <c r="X141" s="389"/>
      <c r="Y141" s="389"/>
      <c r="Z141" s="389"/>
      <c r="AA141" s="389"/>
      <c r="AB141" s="389"/>
      <c r="AC141" s="389"/>
      <c r="AD141" s="389"/>
      <c r="AE141" s="389"/>
      <c r="AF141" s="389"/>
    </row>
    <row r="142" hidden="1">
      <c r="A142" s="389"/>
      <c r="B142" s="389"/>
      <c r="C142" s="389"/>
      <c r="D142" s="389"/>
      <c r="E142" s="389"/>
      <c r="F142" s="392"/>
      <c r="G142" s="392"/>
      <c r="H142" s="389"/>
      <c r="I142" s="389"/>
      <c r="J142" s="389"/>
      <c r="K142" s="389"/>
      <c r="L142" s="389"/>
      <c r="M142" s="389"/>
      <c r="N142" s="389"/>
      <c r="O142" s="389"/>
      <c r="P142" s="389"/>
      <c r="Q142" s="389"/>
      <c r="R142" s="389"/>
      <c r="S142" s="389"/>
      <c r="T142" s="389"/>
      <c r="U142" s="389"/>
      <c r="V142" s="389"/>
      <c r="W142" s="389"/>
      <c r="X142" s="389"/>
      <c r="Y142" s="389"/>
      <c r="Z142" s="389"/>
      <c r="AA142" s="389"/>
      <c r="AB142" s="389"/>
      <c r="AC142" s="389"/>
      <c r="AD142" s="389"/>
      <c r="AE142" s="389"/>
      <c r="AF142" s="389"/>
    </row>
    <row r="143" hidden="1">
      <c r="A143" s="389"/>
      <c r="B143" s="389"/>
      <c r="C143" s="389"/>
      <c r="D143" s="389"/>
      <c r="E143" s="389"/>
      <c r="F143" s="392"/>
      <c r="G143" s="392"/>
      <c r="H143" s="389"/>
      <c r="I143" s="389"/>
      <c r="J143" s="389"/>
      <c r="K143" s="389"/>
      <c r="L143" s="389"/>
      <c r="M143" s="389"/>
      <c r="N143" s="389"/>
      <c r="O143" s="389"/>
      <c r="P143" s="389"/>
      <c r="Q143" s="389"/>
      <c r="R143" s="389"/>
      <c r="S143" s="389"/>
      <c r="T143" s="389"/>
      <c r="U143" s="389"/>
      <c r="V143" s="389"/>
      <c r="W143" s="389"/>
      <c r="X143" s="389"/>
      <c r="Y143" s="389"/>
      <c r="Z143" s="389"/>
      <c r="AA143" s="389"/>
      <c r="AB143" s="389"/>
      <c r="AC143" s="389"/>
      <c r="AD143" s="389"/>
      <c r="AE143" s="389"/>
      <c r="AF143" s="389"/>
    </row>
    <row r="144" hidden="1">
      <c r="A144" s="389"/>
      <c r="B144" s="389"/>
      <c r="C144" s="389"/>
      <c r="D144" s="389"/>
      <c r="E144" s="389"/>
      <c r="F144" s="392"/>
      <c r="G144" s="392"/>
      <c r="H144" s="389"/>
      <c r="I144" s="389"/>
      <c r="J144" s="389"/>
      <c r="K144" s="389"/>
      <c r="L144" s="389"/>
      <c r="M144" s="389"/>
      <c r="N144" s="389"/>
      <c r="O144" s="389"/>
      <c r="P144" s="389"/>
      <c r="Q144" s="389"/>
      <c r="R144" s="389"/>
      <c r="S144" s="389"/>
      <c r="T144" s="389"/>
      <c r="U144" s="389"/>
      <c r="V144" s="389"/>
      <c r="W144" s="389"/>
      <c r="X144" s="389"/>
      <c r="Y144" s="389"/>
      <c r="Z144" s="389"/>
      <c r="AA144" s="389"/>
      <c r="AB144" s="389"/>
      <c r="AC144" s="389"/>
      <c r="AD144" s="389"/>
      <c r="AE144" s="389"/>
      <c r="AF144" s="389"/>
    </row>
    <row r="145" hidden="1">
      <c r="A145" s="389"/>
      <c r="B145" s="389"/>
      <c r="C145" s="389"/>
      <c r="D145" s="389"/>
      <c r="E145" s="389"/>
      <c r="F145" s="392"/>
      <c r="G145" s="392"/>
      <c r="H145" s="389"/>
      <c r="I145" s="389"/>
      <c r="J145" s="389"/>
      <c r="K145" s="389"/>
      <c r="L145" s="389"/>
      <c r="M145" s="389"/>
      <c r="N145" s="389"/>
      <c r="O145" s="389"/>
      <c r="P145" s="389"/>
      <c r="Q145" s="389"/>
      <c r="R145" s="389"/>
      <c r="S145" s="389"/>
      <c r="T145" s="389"/>
      <c r="U145" s="389"/>
      <c r="V145" s="389"/>
      <c r="W145" s="389"/>
      <c r="X145" s="389"/>
      <c r="Y145" s="389"/>
      <c r="Z145" s="389"/>
      <c r="AA145" s="389"/>
      <c r="AB145" s="389"/>
      <c r="AC145" s="389"/>
      <c r="AD145" s="389"/>
      <c r="AE145" s="389"/>
      <c r="AF145" s="389"/>
    </row>
    <row r="146" hidden="1">
      <c r="A146" s="389"/>
      <c r="B146" s="389"/>
      <c r="C146" s="389"/>
      <c r="D146" s="389"/>
      <c r="E146" s="389"/>
      <c r="F146" s="392"/>
      <c r="G146" s="392"/>
      <c r="H146" s="389"/>
      <c r="I146" s="389"/>
      <c r="J146" s="389"/>
      <c r="K146" s="389"/>
      <c r="L146" s="389"/>
      <c r="M146" s="389"/>
      <c r="N146" s="389"/>
      <c r="O146" s="389"/>
      <c r="P146" s="389"/>
      <c r="Q146" s="389"/>
      <c r="R146" s="389"/>
      <c r="S146" s="389"/>
      <c r="T146" s="389"/>
      <c r="U146" s="389"/>
      <c r="V146" s="389"/>
      <c r="W146" s="389"/>
      <c r="X146" s="389"/>
      <c r="Y146" s="389"/>
      <c r="Z146" s="389"/>
      <c r="AA146" s="389"/>
      <c r="AB146" s="389"/>
      <c r="AC146" s="389"/>
      <c r="AD146" s="389"/>
      <c r="AE146" s="389"/>
      <c r="AF146" s="389"/>
    </row>
    <row r="147" hidden="1">
      <c r="A147" s="389"/>
      <c r="B147" s="389"/>
      <c r="C147" s="389"/>
      <c r="D147" s="389"/>
      <c r="E147" s="389"/>
      <c r="F147" s="392"/>
      <c r="G147" s="392"/>
      <c r="H147" s="389"/>
      <c r="I147" s="389"/>
      <c r="J147" s="389"/>
      <c r="K147" s="389"/>
      <c r="L147" s="389"/>
      <c r="M147" s="389"/>
      <c r="N147" s="389"/>
      <c r="O147" s="389"/>
      <c r="P147" s="389"/>
      <c r="Q147" s="389"/>
      <c r="R147" s="389"/>
      <c r="S147" s="389"/>
      <c r="T147" s="389"/>
      <c r="U147" s="389"/>
      <c r="V147" s="389"/>
      <c r="W147" s="389"/>
      <c r="X147" s="389"/>
      <c r="Y147" s="389"/>
      <c r="Z147" s="389"/>
      <c r="AA147" s="389"/>
      <c r="AB147" s="389"/>
      <c r="AC147" s="389"/>
      <c r="AD147" s="389"/>
      <c r="AE147" s="389"/>
      <c r="AF147" s="389"/>
    </row>
    <row r="148" hidden="1">
      <c r="A148" s="389"/>
      <c r="B148" s="389"/>
      <c r="C148" s="389"/>
      <c r="D148" s="389"/>
      <c r="E148" s="389"/>
      <c r="F148" s="392"/>
      <c r="G148" s="392"/>
      <c r="H148" s="389"/>
      <c r="I148" s="389"/>
      <c r="J148" s="389"/>
      <c r="K148" s="389"/>
      <c r="L148" s="389"/>
      <c r="M148" s="389"/>
      <c r="N148" s="389"/>
      <c r="O148" s="389"/>
      <c r="P148" s="389"/>
      <c r="Q148" s="389"/>
      <c r="R148" s="389"/>
      <c r="S148" s="389"/>
      <c r="T148" s="389"/>
      <c r="U148" s="389"/>
      <c r="V148" s="389"/>
      <c r="W148" s="389"/>
      <c r="X148" s="389"/>
      <c r="Y148" s="389"/>
      <c r="Z148" s="389"/>
      <c r="AA148" s="389"/>
      <c r="AB148" s="389"/>
      <c r="AC148" s="389"/>
      <c r="AD148" s="389"/>
      <c r="AE148" s="389"/>
      <c r="AF148" s="389"/>
    </row>
    <row r="149" hidden="1">
      <c r="A149" s="389"/>
      <c r="B149" s="389"/>
      <c r="C149" s="389"/>
      <c r="D149" s="389"/>
      <c r="E149" s="389"/>
      <c r="F149" s="392"/>
      <c r="G149" s="392"/>
      <c r="H149" s="389"/>
      <c r="I149" s="389"/>
      <c r="J149" s="389"/>
      <c r="K149" s="389"/>
      <c r="L149" s="389"/>
      <c r="M149" s="389"/>
      <c r="N149" s="389"/>
      <c r="O149" s="389"/>
      <c r="P149" s="389"/>
      <c r="Q149" s="389"/>
      <c r="R149" s="389"/>
      <c r="S149" s="389"/>
      <c r="T149" s="389"/>
      <c r="U149" s="389"/>
      <c r="V149" s="389"/>
      <c r="W149" s="389"/>
      <c r="X149" s="389"/>
      <c r="Y149" s="389"/>
      <c r="Z149" s="389"/>
      <c r="AA149" s="389"/>
      <c r="AB149" s="389"/>
      <c r="AC149" s="389"/>
      <c r="AD149" s="389"/>
      <c r="AE149" s="389"/>
      <c r="AF149" s="389"/>
    </row>
    <row r="150" hidden="1">
      <c r="A150" s="389"/>
      <c r="B150" s="389"/>
      <c r="C150" s="389"/>
      <c r="D150" s="389"/>
      <c r="E150" s="389"/>
      <c r="F150" s="392"/>
      <c r="G150" s="392"/>
      <c r="H150" s="389"/>
      <c r="I150" s="389"/>
      <c r="J150" s="389"/>
      <c r="K150" s="389"/>
      <c r="L150" s="389"/>
      <c r="M150" s="389"/>
      <c r="N150" s="389"/>
      <c r="O150" s="389"/>
      <c r="P150" s="389"/>
      <c r="Q150" s="389"/>
      <c r="R150" s="389"/>
      <c r="S150" s="389"/>
      <c r="T150" s="389"/>
      <c r="U150" s="389"/>
      <c r="V150" s="389"/>
      <c r="W150" s="389"/>
      <c r="X150" s="389"/>
      <c r="Y150" s="389"/>
      <c r="Z150" s="389"/>
      <c r="AA150" s="389"/>
      <c r="AB150" s="389"/>
      <c r="AC150" s="389"/>
      <c r="AD150" s="389"/>
      <c r="AE150" s="389"/>
      <c r="AF150" s="389"/>
    </row>
    <row r="151" hidden="1">
      <c r="A151" s="389"/>
      <c r="B151" s="389"/>
      <c r="C151" s="389"/>
      <c r="D151" s="389"/>
      <c r="E151" s="389"/>
      <c r="F151" s="392"/>
      <c r="G151" s="392"/>
      <c r="H151" s="389"/>
      <c r="I151" s="389"/>
      <c r="J151" s="389"/>
      <c r="K151" s="389"/>
      <c r="L151" s="389"/>
      <c r="M151" s="389"/>
      <c r="N151" s="389"/>
      <c r="O151" s="389"/>
      <c r="P151" s="389"/>
      <c r="Q151" s="389"/>
      <c r="R151" s="389"/>
      <c r="S151" s="389"/>
      <c r="T151" s="389"/>
      <c r="U151" s="389"/>
      <c r="V151" s="389"/>
      <c r="W151" s="389"/>
      <c r="X151" s="389"/>
      <c r="Y151" s="389"/>
      <c r="Z151" s="389"/>
      <c r="AA151" s="389"/>
      <c r="AB151" s="389"/>
      <c r="AC151" s="389"/>
      <c r="AD151" s="389"/>
      <c r="AE151" s="389"/>
      <c r="AF151" s="389"/>
    </row>
    <row r="152" hidden="1">
      <c r="A152" s="389"/>
      <c r="B152" s="389"/>
      <c r="C152" s="389"/>
      <c r="D152" s="389"/>
      <c r="E152" s="389"/>
      <c r="F152" s="392"/>
      <c r="G152" s="392"/>
      <c r="H152" s="389"/>
      <c r="I152" s="389"/>
      <c r="J152" s="389"/>
      <c r="K152" s="389"/>
      <c r="L152" s="389"/>
      <c r="M152" s="389"/>
      <c r="N152" s="389"/>
      <c r="O152" s="389"/>
      <c r="P152" s="389"/>
      <c r="Q152" s="389"/>
      <c r="R152" s="389"/>
      <c r="S152" s="389"/>
      <c r="T152" s="389"/>
      <c r="U152" s="389"/>
      <c r="V152" s="389"/>
      <c r="W152" s="389"/>
      <c r="X152" s="389"/>
      <c r="Y152" s="389"/>
      <c r="Z152" s="389"/>
      <c r="AA152" s="389"/>
      <c r="AB152" s="389"/>
      <c r="AC152" s="389"/>
      <c r="AD152" s="389"/>
      <c r="AE152" s="389"/>
      <c r="AF152" s="389"/>
    </row>
    <row r="153" hidden="1">
      <c r="A153" s="389"/>
      <c r="B153" s="389"/>
      <c r="C153" s="389"/>
      <c r="D153" s="389"/>
      <c r="E153" s="389"/>
      <c r="F153" s="392"/>
      <c r="G153" s="392"/>
      <c r="H153" s="389"/>
      <c r="I153" s="389"/>
      <c r="J153" s="389"/>
      <c r="K153" s="389"/>
      <c r="L153" s="389"/>
      <c r="M153" s="389"/>
      <c r="N153" s="389"/>
      <c r="O153" s="389"/>
      <c r="P153" s="389"/>
      <c r="Q153" s="389"/>
      <c r="R153" s="389"/>
      <c r="S153" s="389"/>
      <c r="T153" s="389"/>
      <c r="U153" s="389"/>
      <c r="V153" s="389"/>
      <c r="W153" s="389"/>
      <c r="X153" s="389"/>
      <c r="Y153" s="389"/>
      <c r="Z153" s="389"/>
      <c r="AA153" s="389"/>
      <c r="AB153" s="389"/>
      <c r="AC153" s="389"/>
      <c r="AD153" s="389"/>
      <c r="AE153" s="389"/>
      <c r="AF153" s="389"/>
    </row>
    <row r="154" hidden="1">
      <c r="A154" s="389"/>
      <c r="B154" s="389"/>
      <c r="C154" s="389"/>
      <c r="D154" s="389"/>
      <c r="E154" s="389"/>
      <c r="F154" s="392"/>
      <c r="G154" s="392"/>
      <c r="H154" s="389"/>
      <c r="I154" s="389"/>
      <c r="J154" s="389"/>
      <c r="K154" s="389"/>
      <c r="L154" s="389"/>
      <c r="M154" s="389"/>
      <c r="N154" s="389"/>
      <c r="O154" s="389"/>
      <c r="P154" s="389"/>
      <c r="Q154" s="389"/>
      <c r="R154" s="389"/>
      <c r="S154" s="389"/>
      <c r="T154" s="389"/>
      <c r="U154" s="389"/>
      <c r="V154" s="389"/>
      <c r="W154" s="389"/>
      <c r="X154" s="389"/>
      <c r="Y154" s="389"/>
      <c r="Z154" s="389"/>
      <c r="AA154" s="389"/>
      <c r="AB154" s="389"/>
      <c r="AC154" s="389"/>
      <c r="AD154" s="389"/>
      <c r="AE154" s="389"/>
      <c r="AF154" s="389"/>
    </row>
    <row r="155" hidden="1">
      <c r="A155" s="389"/>
      <c r="B155" s="389"/>
      <c r="C155" s="389"/>
      <c r="D155" s="389"/>
      <c r="E155" s="389"/>
      <c r="F155" s="392"/>
      <c r="G155" s="392"/>
      <c r="H155" s="389"/>
      <c r="I155" s="389"/>
      <c r="J155" s="389"/>
      <c r="K155" s="389"/>
      <c r="L155" s="389"/>
      <c r="M155" s="389"/>
      <c r="N155" s="389"/>
      <c r="O155" s="389"/>
      <c r="P155" s="389"/>
      <c r="Q155" s="389"/>
      <c r="R155" s="389"/>
      <c r="S155" s="389"/>
      <c r="T155" s="389"/>
      <c r="U155" s="389"/>
      <c r="V155" s="389"/>
      <c r="W155" s="389"/>
      <c r="X155" s="389"/>
      <c r="Y155" s="389"/>
      <c r="Z155" s="389"/>
      <c r="AA155" s="389"/>
      <c r="AB155" s="389"/>
      <c r="AC155" s="389"/>
      <c r="AD155" s="389"/>
      <c r="AE155" s="389"/>
      <c r="AF155" s="389"/>
    </row>
    <row r="156" hidden="1">
      <c r="A156" s="389"/>
      <c r="B156" s="389"/>
      <c r="C156" s="389"/>
      <c r="D156" s="389"/>
      <c r="E156" s="389"/>
      <c r="F156" s="392"/>
      <c r="G156" s="392"/>
      <c r="H156" s="389"/>
      <c r="I156" s="389"/>
      <c r="J156" s="389"/>
      <c r="K156" s="389"/>
      <c r="L156" s="389"/>
      <c r="M156" s="389"/>
      <c r="N156" s="389"/>
      <c r="O156" s="389"/>
      <c r="P156" s="389"/>
      <c r="Q156" s="389"/>
      <c r="R156" s="389"/>
      <c r="S156" s="389"/>
      <c r="T156" s="389"/>
      <c r="U156" s="389"/>
      <c r="V156" s="389"/>
      <c r="W156" s="389"/>
      <c r="X156" s="389"/>
      <c r="Y156" s="389"/>
      <c r="Z156" s="389"/>
      <c r="AA156" s="389"/>
      <c r="AB156" s="389"/>
      <c r="AC156" s="389"/>
      <c r="AD156" s="389"/>
      <c r="AE156" s="389"/>
      <c r="AF156" s="389"/>
    </row>
    <row r="157" hidden="1">
      <c r="A157" s="389"/>
      <c r="B157" s="389"/>
      <c r="C157" s="389"/>
      <c r="D157" s="389"/>
      <c r="E157" s="389"/>
      <c r="F157" s="392"/>
      <c r="G157" s="392"/>
      <c r="H157" s="389"/>
      <c r="I157" s="389"/>
      <c r="J157" s="389"/>
      <c r="K157" s="389"/>
      <c r="L157" s="389"/>
      <c r="M157" s="389"/>
      <c r="N157" s="389"/>
      <c r="O157" s="389"/>
      <c r="P157" s="389"/>
      <c r="Q157" s="389"/>
      <c r="R157" s="389"/>
      <c r="S157" s="389"/>
      <c r="T157" s="389"/>
      <c r="U157" s="389"/>
      <c r="V157" s="389"/>
      <c r="W157" s="389"/>
      <c r="X157" s="389"/>
      <c r="Y157" s="389"/>
      <c r="Z157" s="389"/>
      <c r="AA157" s="389"/>
      <c r="AB157" s="389"/>
      <c r="AC157" s="389"/>
      <c r="AD157" s="389"/>
      <c r="AE157" s="389"/>
      <c r="AF157" s="389"/>
    </row>
    <row r="158" hidden="1">
      <c r="A158" s="389"/>
      <c r="B158" s="389"/>
      <c r="C158" s="389"/>
      <c r="D158" s="389"/>
      <c r="E158" s="389"/>
      <c r="F158" s="392"/>
      <c r="G158" s="392"/>
      <c r="H158" s="389"/>
      <c r="I158" s="389"/>
      <c r="J158" s="389"/>
      <c r="K158" s="389"/>
      <c r="L158" s="389"/>
      <c r="M158" s="389"/>
      <c r="N158" s="389"/>
      <c r="O158" s="389"/>
      <c r="P158" s="389"/>
      <c r="Q158" s="389"/>
      <c r="R158" s="389"/>
      <c r="S158" s="389"/>
      <c r="T158" s="389"/>
      <c r="U158" s="389"/>
      <c r="V158" s="389"/>
      <c r="W158" s="389"/>
      <c r="X158" s="389"/>
      <c r="Y158" s="389"/>
      <c r="Z158" s="389"/>
      <c r="AA158" s="389"/>
      <c r="AB158" s="389"/>
      <c r="AC158" s="389"/>
      <c r="AD158" s="389"/>
      <c r="AE158" s="389"/>
      <c r="AF158" s="389"/>
    </row>
    <row r="159" hidden="1">
      <c r="A159" s="389"/>
      <c r="B159" s="389"/>
      <c r="C159" s="389"/>
      <c r="D159" s="389"/>
      <c r="E159" s="389"/>
      <c r="F159" s="392"/>
      <c r="G159" s="392"/>
      <c r="H159" s="389"/>
      <c r="I159" s="389"/>
      <c r="J159" s="389"/>
      <c r="K159" s="389"/>
      <c r="L159" s="389"/>
      <c r="M159" s="389"/>
      <c r="N159" s="389"/>
      <c r="O159" s="389"/>
      <c r="P159" s="389"/>
      <c r="Q159" s="389"/>
      <c r="R159" s="389"/>
      <c r="S159" s="389"/>
      <c r="T159" s="389"/>
      <c r="U159" s="389"/>
      <c r="V159" s="389"/>
      <c r="W159" s="389"/>
      <c r="X159" s="389"/>
      <c r="Y159" s="389"/>
      <c r="Z159" s="389"/>
      <c r="AA159" s="389"/>
      <c r="AB159" s="389"/>
      <c r="AC159" s="389"/>
      <c r="AD159" s="389"/>
      <c r="AE159" s="389"/>
      <c r="AF159" s="389"/>
    </row>
    <row r="160" hidden="1">
      <c r="A160" s="389"/>
      <c r="B160" s="389"/>
      <c r="C160" s="389"/>
      <c r="D160" s="389"/>
      <c r="E160" s="389"/>
      <c r="F160" s="392"/>
      <c r="G160" s="392"/>
      <c r="H160" s="389"/>
      <c r="I160" s="389"/>
      <c r="J160" s="389"/>
      <c r="K160" s="389"/>
      <c r="L160" s="389"/>
      <c r="M160" s="389"/>
      <c r="N160" s="389"/>
      <c r="O160" s="389"/>
      <c r="P160" s="389"/>
      <c r="Q160" s="389"/>
      <c r="R160" s="389"/>
      <c r="S160" s="389"/>
      <c r="T160" s="389"/>
      <c r="U160" s="389"/>
      <c r="V160" s="389"/>
      <c r="W160" s="389"/>
      <c r="X160" s="389"/>
      <c r="Y160" s="389"/>
      <c r="Z160" s="389"/>
      <c r="AA160" s="389"/>
      <c r="AB160" s="389"/>
      <c r="AC160" s="389"/>
      <c r="AD160" s="389"/>
      <c r="AE160" s="389"/>
      <c r="AF160" s="389"/>
    </row>
    <row r="161" hidden="1">
      <c r="A161" s="389"/>
      <c r="B161" s="389"/>
      <c r="C161" s="389"/>
      <c r="D161" s="389"/>
      <c r="E161" s="389"/>
      <c r="F161" s="392"/>
      <c r="G161" s="392"/>
      <c r="H161" s="389"/>
      <c r="I161" s="389"/>
      <c r="J161" s="389"/>
      <c r="K161" s="389"/>
      <c r="L161" s="389"/>
      <c r="M161" s="389"/>
      <c r="N161" s="389"/>
      <c r="O161" s="389"/>
      <c r="P161" s="389"/>
      <c r="Q161" s="389"/>
      <c r="R161" s="389"/>
      <c r="S161" s="389"/>
      <c r="T161" s="389"/>
      <c r="U161" s="389"/>
      <c r="V161" s="389"/>
      <c r="W161" s="389"/>
      <c r="X161" s="389"/>
      <c r="Y161" s="389"/>
      <c r="Z161" s="389"/>
      <c r="AA161" s="389"/>
      <c r="AB161" s="389"/>
      <c r="AC161" s="389"/>
      <c r="AD161" s="389"/>
      <c r="AE161" s="389"/>
      <c r="AF161" s="389"/>
    </row>
    <row r="162" hidden="1">
      <c r="A162" s="389"/>
      <c r="B162" s="389"/>
      <c r="C162" s="389"/>
      <c r="D162" s="389"/>
      <c r="E162" s="389"/>
      <c r="F162" s="392"/>
      <c r="G162" s="392"/>
      <c r="H162" s="389"/>
      <c r="I162" s="389"/>
      <c r="J162" s="389"/>
      <c r="K162" s="389"/>
      <c r="L162" s="389"/>
      <c r="M162" s="389"/>
      <c r="N162" s="389"/>
      <c r="O162" s="389"/>
      <c r="P162" s="389"/>
      <c r="Q162" s="389"/>
      <c r="R162" s="389"/>
      <c r="S162" s="389"/>
      <c r="T162" s="389"/>
      <c r="U162" s="389"/>
      <c r="V162" s="389"/>
      <c r="W162" s="389"/>
      <c r="X162" s="389"/>
      <c r="Y162" s="389"/>
      <c r="Z162" s="389"/>
      <c r="AA162" s="389"/>
      <c r="AB162" s="389"/>
      <c r="AC162" s="389"/>
      <c r="AD162" s="389"/>
      <c r="AE162" s="389"/>
      <c r="AF162" s="389"/>
    </row>
    <row r="163" hidden="1">
      <c r="A163" s="389"/>
      <c r="B163" s="389"/>
      <c r="C163" s="389"/>
      <c r="D163" s="389"/>
      <c r="E163" s="389"/>
      <c r="F163" s="392"/>
      <c r="G163" s="392"/>
      <c r="H163" s="389"/>
      <c r="I163" s="389"/>
      <c r="J163" s="389"/>
      <c r="K163" s="389"/>
      <c r="L163" s="389"/>
      <c r="M163" s="389"/>
      <c r="N163" s="389"/>
      <c r="O163" s="389"/>
      <c r="P163" s="389"/>
      <c r="Q163" s="389"/>
      <c r="R163" s="389"/>
      <c r="S163" s="389"/>
      <c r="T163" s="389"/>
      <c r="U163" s="389"/>
      <c r="V163" s="389"/>
      <c r="W163" s="389"/>
      <c r="X163" s="389"/>
      <c r="Y163" s="389"/>
      <c r="Z163" s="389"/>
      <c r="AA163" s="389"/>
      <c r="AB163" s="389"/>
      <c r="AC163" s="389"/>
      <c r="AD163" s="389"/>
      <c r="AE163" s="389"/>
      <c r="AF163" s="389"/>
    </row>
    <row r="164" hidden="1">
      <c r="A164" s="389"/>
      <c r="B164" s="389"/>
      <c r="C164" s="389"/>
      <c r="D164" s="389"/>
      <c r="E164" s="389"/>
      <c r="F164" s="392"/>
      <c r="G164" s="392"/>
      <c r="H164" s="389"/>
      <c r="I164" s="389"/>
      <c r="J164" s="389"/>
      <c r="K164" s="389"/>
      <c r="L164" s="389"/>
      <c r="M164" s="389"/>
      <c r="N164" s="389"/>
      <c r="O164" s="389"/>
      <c r="P164" s="389"/>
      <c r="Q164" s="389"/>
      <c r="R164" s="389"/>
      <c r="S164" s="389"/>
      <c r="T164" s="389"/>
      <c r="U164" s="389"/>
      <c r="V164" s="389"/>
      <c r="W164" s="389"/>
      <c r="X164" s="389"/>
      <c r="Y164" s="389"/>
      <c r="Z164" s="389"/>
      <c r="AA164" s="389"/>
      <c r="AB164" s="389"/>
      <c r="AC164" s="389"/>
      <c r="AD164" s="389"/>
      <c r="AE164" s="389"/>
      <c r="AF164" s="389"/>
    </row>
    <row r="165" hidden="1">
      <c r="A165" s="389"/>
      <c r="B165" s="389"/>
      <c r="C165" s="389"/>
      <c r="D165" s="389"/>
      <c r="E165" s="389"/>
      <c r="F165" s="392"/>
      <c r="G165" s="392"/>
      <c r="H165" s="389"/>
      <c r="I165" s="389"/>
      <c r="J165" s="389"/>
      <c r="K165" s="389"/>
      <c r="L165" s="389"/>
      <c r="M165" s="389"/>
      <c r="N165" s="389"/>
      <c r="O165" s="389"/>
      <c r="P165" s="389"/>
      <c r="Q165" s="389"/>
      <c r="R165" s="389"/>
      <c r="S165" s="389"/>
      <c r="T165" s="389"/>
      <c r="U165" s="389"/>
      <c r="V165" s="389"/>
      <c r="W165" s="389"/>
      <c r="X165" s="389"/>
      <c r="Y165" s="389"/>
      <c r="Z165" s="389"/>
      <c r="AA165" s="389"/>
      <c r="AB165" s="389"/>
      <c r="AC165" s="389"/>
      <c r="AD165" s="389"/>
      <c r="AE165" s="389"/>
      <c r="AF165" s="389"/>
    </row>
    <row r="166" hidden="1">
      <c r="A166" s="389"/>
      <c r="B166" s="389"/>
      <c r="C166" s="389"/>
      <c r="D166" s="389"/>
      <c r="E166" s="389"/>
      <c r="F166" s="392"/>
      <c r="G166" s="392"/>
      <c r="H166" s="389"/>
      <c r="I166" s="389"/>
      <c r="J166" s="389"/>
      <c r="K166" s="389"/>
      <c r="L166" s="389"/>
      <c r="M166" s="389"/>
      <c r="N166" s="389"/>
      <c r="O166" s="389"/>
      <c r="P166" s="389"/>
      <c r="Q166" s="389"/>
      <c r="R166" s="389"/>
      <c r="S166" s="389"/>
      <c r="T166" s="389"/>
      <c r="U166" s="389"/>
      <c r="V166" s="389"/>
      <c r="W166" s="389"/>
      <c r="X166" s="389"/>
      <c r="Y166" s="389"/>
      <c r="Z166" s="389"/>
      <c r="AA166" s="389"/>
      <c r="AB166" s="389"/>
      <c r="AC166" s="389"/>
      <c r="AD166" s="389"/>
      <c r="AE166" s="389"/>
      <c r="AF166" s="389"/>
    </row>
    <row r="167" hidden="1">
      <c r="A167" s="389"/>
      <c r="B167" s="389"/>
      <c r="C167" s="389"/>
      <c r="D167" s="389"/>
      <c r="E167" s="389"/>
      <c r="F167" s="392"/>
      <c r="G167" s="392"/>
      <c r="H167" s="389"/>
      <c r="I167" s="389"/>
      <c r="J167" s="389"/>
      <c r="K167" s="389"/>
      <c r="L167" s="389"/>
      <c r="M167" s="389"/>
      <c r="N167" s="389"/>
      <c r="O167" s="389"/>
      <c r="P167" s="389"/>
      <c r="Q167" s="389"/>
      <c r="R167" s="389"/>
      <c r="S167" s="389"/>
      <c r="T167" s="389"/>
      <c r="U167" s="389"/>
      <c r="V167" s="389"/>
      <c r="W167" s="389"/>
      <c r="X167" s="389"/>
      <c r="Y167" s="389"/>
      <c r="Z167" s="389"/>
      <c r="AA167" s="389"/>
      <c r="AB167" s="389"/>
      <c r="AC167" s="389"/>
      <c r="AD167" s="389"/>
      <c r="AE167" s="389"/>
      <c r="AF167" s="389"/>
    </row>
    <row r="168" hidden="1">
      <c r="A168" s="389"/>
      <c r="B168" s="389"/>
      <c r="C168" s="389"/>
      <c r="D168" s="389"/>
      <c r="E168" s="389"/>
      <c r="F168" s="392"/>
      <c r="G168" s="392"/>
      <c r="H168" s="389"/>
      <c r="I168" s="389"/>
      <c r="J168" s="389"/>
      <c r="K168" s="389"/>
      <c r="L168" s="389"/>
      <c r="M168" s="389"/>
      <c r="N168" s="389"/>
      <c r="O168" s="389"/>
      <c r="P168" s="389"/>
      <c r="Q168" s="389"/>
      <c r="R168" s="389"/>
      <c r="S168" s="389"/>
      <c r="T168" s="389"/>
      <c r="U168" s="389"/>
      <c r="V168" s="389"/>
      <c r="W168" s="389"/>
      <c r="X168" s="389"/>
      <c r="Y168" s="389"/>
      <c r="Z168" s="389"/>
      <c r="AA168" s="389"/>
      <c r="AB168" s="389"/>
      <c r="AC168" s="389"/>
      <c r="AD168" s="389"/>
      <c r="AE168" s="389"/>
      <c r="AF168" s="389"/>
    </row>
    <row r="169" hidden="1">
      <c r="A169" s="389"/>
      <c r="B169" s="389"/>
      <c r="C169" s="389"/>
      <c r="D169" s="389"/>
      <c r="E169" s="389"/>
      <c r="F169" s="392"/>
      <c r="G169" s="392"/>
      <c r="H169" s="389"/>
      <c r="I169" s="389"/>
      <c r="J169" s="389"/>
      <c r="K169" s="389"/>
      <c r="L169" s="389"/>
      <c r="M169" s="389"/>
      <c r="N169" s="389"/>
      <c r="O169" s="389"/>
      <c r="P169" s="389"/>
      <c r="Q169" s="389"/>
      <c r="R169" s="389"/>
      <c r="S169" s="389"/>
      <c r="T169" s="389"/>
      <c r="U169" s="389"/>
      <c r="V169" s="389"/>
      <c r="W169" s="389"/>
      <c r="X169" s="389"/>
      <c r="Y169" s="389"/>
      <c r="Z169" s="389"/>
      <c r="AA169" s="389"/>
      <c r="AB169" s="389"/>
      <c r="AC169" s="389"/>
      <c r="AD169" s="389"/>
      <c r="AE169" s="389"/>
      <c r="AF169" s="389"/>
    </row>
    <row r="170" hidden="1">
      <c r="A170" s="389"/>
      <c r="B170" s="389"/>
      <c r="C170" s="389"/>
      <c r="D170" s="389"/>
      <c r="E170" s="389"/>
      <c r="F170" s="392"/>
      <c r="G170" s="392"/>
      <c r="H170" s="389"/>
      <c r="I170" s="389"/>
      <c r="J170" s="389"/>
      <c r="K170" s="389"/>
      <c r="L170" s="389"/>
      <c r="M170" s="389"/>
      <c r="N170" s="389"/>
      <c r="O170" s="389"/>
      <c r="P170" s="389"/>
      <c r="Q170" s="389"/>
      <c r="R170" s="389"/>
      <c r="S170" s="389"/>
      <c r="T170" s="389"/>
      <c r="U170" s="389"/>
      <c r="V170" s="389"/>
      <c r="W170" s="389"/>
      <c r="X170" s="389"/>
      <c r="Y170" s="389"/>
      <c r="Z170" s="389"/>
      <c r="AA170" s="389"/>
      <c r="AB170" s="389"/>
      <c r="AC170" s="389"/>
      <c r="AD170" s="389"/>
      <c r="AE170" s="389"/>
      <c r="AF170" s="389"/>
    </row>
    <row r="171" hidden="1">
      <c r="A171" s="389"/>
      <c r="B171" s="389"/>
      <c r="C171" s="389"/>
      <c r="D171" s="389"/>
      <c r="E171" s="389"/>
      <c r="F171" s="392"/>
      <c r="G171" s="392"/>
      <c r="H171" s="389"/>
      <c r="I171" s="389"/>
      <c r="J171" s="389"/>
      <c r="K171" s="389"/>
      <c r="L171" s="389"/>
      <c r="M171" s="389"/>
      <c r="N171" s="389"/>
      <c r="O171" s="389"/>
      <c r="P171" s="389"/>
      <c r="Q171" s="389"/>
      <c r="R171" s="389"/>
      <c r="S171" s="389"/>
      <c r="T171" s="389"/>
      <c r="U171" s="389"/>
      <c r="V171" s="389"/>
      <c r="W171" s="389"/>
      <c r="X171" s="389"/>
      <c r="Y171" s="389"/>
      <c r="Z171" s="389"/>
      <c r="AA171" s="389"/>
      <c r="AB171" s="389"/>
      <c r="AC171" s="389"/>
      <c r="AD171" s="389"/>
      <c r="AE171" s="389"/>
      <c r="AF171" s="389"/>
    </row>
    <row r="172" hidden="1">
      <c r="A172" s="389"/>
      <c r="B172" s="389"/>
      <c r="C172" s="389"/>
      <c r="D172" s="389"/>
      <c r="E172" s="389"/>
      <c r="F172" s="392"/>
      <c r="G172" s="392"/>
      <c r="H172" s="389"/>
      <c r="I172" s="389"/>
      <c r="J172" s="389"/>
      <c r="K172" s="389"/>
      <c r="L172" s="389"/>
      <c r="M172" s="389"/>
      <c r="N172" s="389"/>
      <c r="O172" s="389"/>
      <c r="P172" s="389"/>
      <c r="Q172" s="389"/>
      <c r="R172" s="389"/>
      <c r="S172" s="389"/>
      <c r="T172" s="389"/>
      <c r="U172" s="389"/>
      <c r="V172" s="389"/>
      <c r="W172" s="389"/>
      <c r="X172" s="389"/>
      <c r="Y172" s="389"/>
      <c r="Z172" s="389"/>
      <c r="AA172" s="389"/>
      <c r="AB172" s="389"/>
      <c r="AC172" s="389"/>
      <c r="AD172" s="389"/>
      <c r="AE172" s="389"/>
      <c r="AF172" s="389"/>
    </row>
    <row r="173" hidden="1">
      <c r="A173" s="389"/>
      <c r="B173" s="389"/>
      <c r="C173" s="389"/>
      <c r="D173" s="389"/>
      <c r="E173" s="389"/>
      <c r="F173" s="392"/>
      <c r="G173" s="392"/>
      <c r="H173" s="389"/>
      <c r="I173" s="389"/>
      <c r="J173" s="389"/>
      <c r="K173" s="389"/>
      <c r="L173" s="389"/>
      <c r="M173" s="389"/>
      <c r="N173" s="389"/>
      <c r="O173" s="389"/>
      <c r="P173" s="389"/>
      <c r="Q173" s="389"/>
      <c r="R173" s="389"/>
      <c r="S173" s="389"/>
      <c r="T173" s="389"/>
      <c r="U173" s="389"/>
      <c r="V173" s="389"/>
      <c r="W173" s="389"/>
      <c r="X173" s="389"/>
      <c r="Y173" s="389"/>
      <c r="Z173" s="389"/>
      <c r="AA173" s="389"/>
      <c r="AB173" s="389"/>
      <c r="AC173" s="389"/>
      <c r="AD173" s="389"/>
      <c r="AE173" s="389"/>
      <c r="AF173" s="389"/>
    </row>
    <row r="174" hidden="1">
      <c r="A174" s="389"/>
      <c r="B174" s="389"/>
      <c r="C174" s="389"/>
      <c r="D174" s="389"/>
      <c r="E174" s="389"/>
      <c r="F174" s="392"/>
      <c r="G174" s="392"/>
      <c r="H174" s="389"/>
      <c r="I174" s="389"/>
      <c r="J174" s="389"/>
      <c r="K174" s="389"/>
      <c r="L174" s="389"/>
      <c r="M174" s="389"/>
      <c r="N174" s="389"/>
      <c r="O174" s="389"/>
      <c r="P174" s="389"/>
      <c r="Q174" s="389"/>
      <c r="R174" s="389"/>
      <c r="S174" s="389"/>
      <c r="T174" s="389"/>
      <c r="U174" s="389"/>
      <c r="V174" s="389"/>
      <c r="W174" s="389"/>
      <c r="X174" s="389"/>
      <c r="Y174" s="389"/>
      <c r="Z174" s="389"/>
      <c r="AA174" s="389"/>
      <c r="AB174" s="389"/>
      <c r="AC174" s="389"/>
      <c r="AD174" s="389"/>
      <c r="AE174" s="389"/>
      <c r="AF174" s="389"/>
    </row>
    <row r="175" hidden="1">
      <c r="A175" s="389"/>
      <c r="B175" s="389"/>
      <c r="C175" s="389"/>
      <c r="D175" s="389"/>
      <c r="E175" s="389"/>
      <c r="F175" s="392"/>
      <c r="G175" s="392"/>
      <c r="H175" s="389"/>
      <c r="I175" s="389"/>
      <c r="J175" s="389"/>
      <c r="K175" s="389"/>
      <c r="L175" s="389"/>
      <c r="M175" s="389"/>
      <c r="N175" s="389"/>
      <c r="O175" s="389"/>
      <c r="P175" s="389"/>
      <c r="Q175" s="389"/>
      <c r="R175" s="389"/>
      <c r="S175" s="389"/>
      <c r="T175" s="389"/>
      <c r="U175" s="389"/>
      <c r="V175" s="389"/>
      <c r="W175" s="389"/>
      <c r="X175" s="389"/>
      <c r="Y175" s="389"/>
      <c r="Z175" s="389"/>
      <c r="AA175" s="389"/>
      <c r="AB175" s="389"/>
      <c r="AC175" s="389"/>
      <c r="AD175" s="389"/>
      <c r="AE175" s="389"/>
      <c r="AF175" s="389"/>
    </row>
    <row r="176" hidden="1">
      <c r="A176" s="389"/>
      <c r="B176" s="389"/>
      <c r="C176" s="389"/>
      <c r="D176" s="389"/>
      <c r="E176" s="389"/>
      <c r="F176" s="392"/>
      <c r="G176" s="392"/>
      <c r="H176" s="389"/>
      <c r="I176" s="389"/>
      <c r="J176" s="389"/>
      <c r="K176" s="389"/>
      <c r="L176" s="389"/>
      <c r="M176" s="389"/>
      <c r="N176" s="389"/>
      <c r="O176" s="389"/>
      <c r="P176" s="389"/>
      <c r="Q176" s="389"/>
      <c r="R176" s="389"/>
      <c r="S176" s="389"/>
      <c r="T176" s="389"/>
      <c r="U176" s="389"/>
      <c r="V176" s="389"/>
      <c r="W176" s="389"/>
      <c r="X176" s="389"/>
      <c r="Y176" s="389"/>
      <c r="Z176" s="389"/>
      <c r="AA176" s="389"/>
      <c r="AB176" s="389"/>
      <c r="AC176" s="389"/>
      <c r="AD176" s="389"/>
      <c r="AE176" s="389"/>
      <c r="AF176" s="389"/>
    </row>
    <row r="177" hidden="1">
      <c r="A177" s="389"/>
      <c r="B177" s="389"/>
      <c r="C177" s="389"/>
      <c r="D177" s="389"/>
      <c r="E177" s="389"/>
      <c r="F177" s="392"/>
      <c r="G177" s="392"/>
      <c r="H177" s="389"/>
      <c r="I177" s="389"/>
      <c r="J177" s="389"/>
      <c r="K177" s="389"/>
      <c r="L177" s="389"/>
      <c r="M177" s="389"/>
      <c r="N177" s="389"/>
      <c r="O177" s="389"/>
      <c r="P177" s="389"/>
      <c r="Q177" s="389"/>
      <c r="R177" s="389"/>
      <c r="S177" s="389"/>
      <c r="T177" s="389"/>
      <c r="U177" s="389"/>
      <c r="V177" s="389"/>
      <c r="W177" s="389"/>
      <c r="X177" s="389"/>
      <c r="Y177" s="389"/>
      <c r="Z177" s="389"/>
      <c r="AA177" s="389"/>
      <c r="AB177" s="389"/>
      <c r="AC177" s="389"/>
      <c r="AD177" s="389"/>
      <c r="AE177" s="389"/>
      <c r="AF177" s="389"/>
    </row>
    <row r="178" hidden="1">
      <c r="A178" s="389"/>
      <c r="B178" s="389"/>
      <c r="C178" s="389"/>
      <c r="D178" s="389"/>
      <c r="E178" s="389"/>
      <c r="F178" s="392"/>
      <c r="G178" s="392"/>
      <c r="H178" s="389"/>
      <c r="I178" s="389"/>
      <c r="J178" s="389"/>
      <c r="K178" s="389"/>
      <c r="L178" s="389"/>
      <c r="M178" s="389"/>
      <c r="N178" s="389"/>
      <c r="O178" s="389"/>
      <c r="P178" s="389"/>
      <c r="Q178" s="389"/>
      <c r="R178" s="389"/>
      <c r="S178" s="389"/>
      <c r="T178" s="389"/>
      <c r="U178" s="389"/>
      <c r="V178" s="389"/>
      <c r="W178" s="389"/>
      <c r="X178" s="389"/>
      <c r="Y178" s="389"/>
      <c r="Z178" s="389"/>
      <c r="AA178" s="389"/>
      <c r="AB178" s="389"/>
      <c r="AC178" s="389"/>
      <c r="AD178" s="389"/>
      <c r="AE178" s="389"/>
      <c r="AF178" s="389"/>
    </row>
    <row r="179" hidden="1">
      <c r="A179" s="389"/>
      <c r="B179" s="389"/>
      <c r="C179" s="389"/>
      <c r="D179" s="389"/>
      <c r="E179" s="389"/>
      <c r="F179" s="392"/>
      <c r="G179" s="392"/>
      <c r="H179" s="389"/>
      <c r="I179" s="389"/>
      <c r="J179" s="389"/>
      <c r="K179" s="389"/>
      <c r="L179" s="389"/>
      <c r="M179" s="389"/>
      <c r="N179" s="389"/>
      <c r="O179" s="389"/>
      <c r="P179" s="389"/>
      <c r="Q179" s="389"/>
      <c r="R179" s="389"/>
      <c r="S179" s="389"/>
      <c r="T179" s="389"/>
      <c r="U179" s="389"/>
      <c r="V179" s="389"/>
      <c r="W179" s="389"/>
      <c r="X179" s="389"/>
      <c r="Y179" s="389"/>
      <c r="Z179" s="389"/>
      <c r="AA179" s="389"/>
      <c r="AB179" s="389"/>
      <c r="AC179" s="389"/>
      <c r="AD179" s="389"/>
      <c r="AE179" s="389"/>
      <c r="AF179" s="389"/>
    </row>
    <row r="180" hidden="1">
      <c r="A180" s="389"/>
      <c r="B180" s="389"/>
      <c r="C180" s="389"/>
      <c r="D180" s="389"/>
      <c r="E180" s="389"/>
      <c r="F180" s="392"/>
      <c r="G180" s="392"/>
      <c r="H180" s="389"/>
      <c r="I180" s="389"/>
      <c r="J180" s="389"/>
      <c r="K180" s="389"/>
      <c r="L180" s="389"/>
      <c r="M180" s="389"/>
      <c r="N180" s="389"/>
      <c r="O180" s="389"/>
      <c r="P180" s="389"/>
      <c r="Q180" s="389"/>
      <c r="R180" s="389"/>
      <c r="S180" s="389"/>
      <c r="T180" s="389"/>
      <c r="U180" s="389"/>
      <c r="V180" s="389"/>
      <c r="W180" s="389"/>
      <c r="X180" s="389"/>
      <c r="Y180" s="389"/>
      <c r="Z180" s="389"/>
      <c r="AA180" s="389"/>
      <c r="AB180" s="389"/>
      <c r="AC180" s="389"/>
      <c r="AD180" s="389"/>
      <c r="AE180" s="389"/>
      <c r="AF180" s="389"/>
    </row>
    <row r="181" hidden="1">
      <c r="A181" s="389"/>
      <c r="B181" s="389"/>
      <c r="C181" s="389"/>
      <c r="D181" s="389"/>
      <c r="E181" s="389"/>
      <c r="F181" s="392"/>
      <c r="G181" s="392"/>
      <c r="H181" s="389"/>
      <c r="I181" s="389"/>
      <c r="J181" s="389"/>
      <c r="K181" s="389"/>
      <c r="L181" s="389"/>
      <c r="M181" s="389"/>
      <c r="N181" s="389"/>
      <c r="O181" s="389"/>
      <c r="P181" s="389"/>
      <c r="Q181" s="389"/>
      <c r="R181" s="389"/>
      <c r="S181" s="389"/>
      <c r="T181" s="389"/>
      <c r="U181" s="389"/>
      <c r="V181" s="389"/>
      <c r="W181" s="389"/>
      <c r="X181" s="389"/>
      <c r="Y181" s="389"/>
      <c r="Z181" s="389"/>
      <c r="AA181" s="389"/>
      <c r="AB181" s="389"/>
      <c r="AC181" s="389"/>
      <c r="AD181" s="389"/>
      <c r="AE181" s="389"/>
      <c r="AF181" s="389"/>
    </row>
    <row r="182" hidden="1">
      <c r="A182" s="389"/>
      <c r="B182" s="389"/>
      <c r="C182" s="389"/>
      <c r="D182" s="389"/>
      <c r="E182" s="389"/>
      <c r="F182" s="392"/>
      <c r="G182" s="392"/>
      <c r="H182" s="389"/>
      <c r="I182" s="389"/>
      <c r="J182" s="389"/>
      <c r="K182" s="389"/>
      <c r="L182" s="389"/>
      <c r="M182" s="389"/>
      <c r="N182" s="389"/>
      <c r="O182" s="389"/>
      <c r="P182" s="389"/>
      <c r="Q182" s="389"/>
      <c r="R182" s="389"/>
      <c r="S182" s="389"/>
      <c r="T182" s="389"/>
      <c r="U182" s="389"/>
      <c r="V182" s="389"/>
      <c r="W182" s="389"/>
      <c r="X182" s="389"/>
      <c r="Y182" s="389"/>
      <c r="Z182" s="389"/>
      <c r="AA182" s="389"/>
      <c r="AB182" s="389"/>
      <c r="AC182" s="389"/>
      <c r="AD182" s="389"/>
      <c r="AE182" s="389"/>
      <c r="AF182" s="389"/>
    </row>
    <row r="183" hidden="1">
      <c r="A183" s="389"/>
      <c r="B183" s="389"/>
      <c r="C183" s="389"/>
      <c r="D183" s="389"/>
      <c r="E183" s="389"/>
      <c r="F183" s="392"/>
      <c r="G183" s="392"/>
      <c r="H183" s="389"/>
      <c r="I183" s="389"/>
      <c r="J183" s="389"/>
      <c r="K183" s="389"/>
      <c r="L183" s="389"/>
      <c r="M183" s="389"/>
      <c r="N183" s="389"/>
      <c r="O183" s="389"/>
      <c r="P183" s="389"/>
      <c r="Q183" s="389"/>
      <c r="R183" s="389"/>
      <c r="S183" s="389"/>
      <c r="T183" s="389"/>
      <c r="U183" s="389"/>
      <c r="V183" s="389"/>
      <c r="W183" s="389"/>
      <c r="X183" s="389"/>
      <c r="Y183" s="389"/>
      <c r="Z183" s="389"/>
      <c r="AA183" s="389"/>
      <c r="AB183" s="389"/>
      <c r="AC183" s="389"/>
      <c r="AD183" s="389"/>
      <c r="AE183" s="389"/>
      <c r="AF183" s="389"/>
    </row>
    <row r="184" hidden="1">
      <c r="A184" s="389"/>
      <c r="B184" s="389"/>
      <c r="C184" s="389"/>
      <c r="D184" s="389"/>
      <c r="E184" s="389"/>
      <c r="F184" s="392"/>
      <c r="G184" s="392"/>
      <c r="H184" s="389"/>
      <c r="I184" s="389"/>
      <c r="J184" s="389"/>
      <c r="K184" s="389"/>
      <c r="L184" s="389"/>
      <c r="M184" s="389"/>
      <c r="N184" s="389"/>
      <c r="O184" s="389"/>
      <c r="P184" s="389"/>
      <c r="Q184" s="389"/>
      <c r="R184" s="389"/>
      <c r="S184" s="389"/>
      <c r="T184" s="389"/>
      <c r="U184" s="389"/>
      <c r="V184" s="389"/>
      <c r="W184" s="389"/>
      <c r="X184" s="389"/>
      <c r="Y184" s="389"/>
      <c r="Z184" s="389"/>
      <c r="AA184" s="389"/>
      <c r="AB184" s="389"/>
      <c r="AC184" s="389"/>
      <c r="AD184" s="389"/>
      <c r="AE184" s="389"/>
      <c r="AF184" s="389"/>
    </row>
    <row r="185" hidden="1">
      <c r="A185" s="389"/>
      <c r="B185" s="389"/>
      <c r="C185" s="389"/>
      <c r="D185" s="389"/>
      <c r="E185" s="389"/>
      <c r="F185" s="392"/>
      <c r="G185" s="392"/>
      <c r="H185" s="389"/>
      <c r="I185" s="389"/>
      <c r="J185" s="389"/>
      <c r="K185" s="389"/>
      <c r="L185" s="389"/>
      <c r="M185" s="389"/>
      <c r="N185" s="389"/>
      <c r="O185" s="389"/>
      <c r="P185" s="389"/>
      <c r="Q185" s="389"/>
      <c r="R185" s="389"/>
      <c r="S185" s="389"/>
      <c r="T185" s="389"/>
      <c r="U185" s="389"/>
      <c r="V185" s="389"/>
      <c r="W185" s="389"/>
      <c r="X185" s="389"/>
      <c r="Y185" s="389"/>
      <c r="Z185" s="389"/>
      <c r="AA185" s="389"/>
      <c r="AB185" s="389"/>
      <c r="AC185" s="389"/>
      <c r="AD185" s="389"/>
      <c r="AE185" s="389"/>
      <c r="AF185" s="389"/>
    </row>
    <row r="186" hidden="1">
      <c r="A186" s="389"/>
      <c r="B186" s="389"/>
      <c r="C186" s="389"/>
      <c r="D186" s="389"/>
      <c r="E186" s="389"/>
      <c r="F186" s="392"/>
      <c r="G186" s="392"/>
      <c r="H186" s="389"/>
      <c r="I186" s="389"/>
      <c r="J186" s="389"/>
      <c r="K186" s="389"/>
      <c r="L186" s="389"/>
      <c r="M186" s="389"/>
      <c r="N186" s="389"/>
      <c r="O186" s="389"/>
      <c r="P186" s="389"/>
      <c r="Q186" s="389"/>
      <c r="R186" s="389"/>
      <c r="S186" s="389"/>
      <c r="T186" s="389"/>
      <c r="U186" s="389"/>
      <c r="V186" s="389"/>
      <c r="W186" s="389"/>
      <c r="X186" s="389"/>
      <c r="Y186" s="389"/>
      <c r="Z186" s="389"/>
      <c r="AA186" s="389"/>
      <c r="AB186" s="389"/>
      <c r="AC186" s="389"/>
      <c r="AD186" s="389"/>
      <c r="AE186" s="389"/>
      <c r="AF186" s="389"/>
    </row>
    <row r="187" hidden="1">
      <c r="A187" s="389"/>
      <c r="B187" s="389"/>
      <c r="C187" s="389"/>
      <c r="D187" s="389"/>
      <c r="E187" s="389"/>
      <c r="F187" s="392"/>
      <c r="G187" s="392"/>
      <c r="H187" s="389"/>
      <c r="I187" s="389"/>
      <c r="J187" s="389"/>
      <c r="K187" s="389"/>
      <c r="L187" s="389"/>
      <c r="M187" s="389"/>
      <c r="N187" s="389"/>
      <c r="O187" s="389"/>
      <c r="P187" s="389"/>
      <c r="Q187" s="389"/>
      <c r="R187" s="389"/>
      <c r="S187" s="389"/>
      <c r="T187" s="389"/>
      <c r="U187" s="389"/>
      <c r="V187" s="389"/>
      <c r="W187" s="389"/>
      <c r="X187" s="389"/>
      <c r="Y187" s="389"/>
      <c r="Z187" s="389"/>
      <c r="AA187" s="389"/>
      <c r="AB187" s="389"/>
      <c r="AC187" s="389"/>
      <c r="AD187" s="389"/>
      <c r="AE187" s="389"/>
      <c r="AF187" s="389"/>
    </row>
    <row r="188" hidden="1">
      <c r="A188" s="389"/>
      <c r="B188" s="389"/>
      <c r="C188" s="389"/>
      <c r="D188" s="389"/>
      <c r="E188" s="389"/>
      <c r="F188" s="392"/>
      <c r="G188" s="392"/>
      <c r="H188" s="389"/>
      <c r="I188" s="389"/>
      <c r="J188" s="389"/>
      <c r="K188" s="389"/>
      <c r="L188" s="389"/>
      <c r="M188" s="389"/>
      <c r="N188" s="389"/>
      <c r="O188" s="389"/>
      <c r="P188" s="389"/>
      <c r="Q188" s="389"/>
      <c r="R188" s="389"/>
      <c r="S188" s="389"/>
      <c r="T188" s="389"/>
      <c r="U188" s="389"/>
      <c r="V188" s="389"/>
      <c r="W188" s="389"/>
      <c r="X188" s="389"/>
      <c r="Y188" s="389"/>
      <c r="Z188" s="389"/>
      <c r="AA188" s="389"/>
      <c r="AB188" s="389"/>
      <c r="AC188" s="389"/>
      <c r="AD188" s="389"/>
      <c r="AE188" s="389"/>
      <c r="AF188" s="389"/>
    </row>
    <row r="189" hidden="1">
      <c r="A189" s="389"/>
      <c r="B189" s="389"/>
      <c r="C189" s="389"/>
      <c r="D189" s="389"/>
      <c r="E189" s="389"/>
      <c r="F189" s="392"/>
      <c r="G189" s="392"/>
      <c r="H189" s="389"/>
      <c r="I189" s="389"/>
      <c r="J189" s="389"/>
      <c r="K189" s="389"/>
      <c r="L189" s="389"/>
      <c r="M189" s="389"/>
      <c r="N189" s="389"/>
      <c r="O189" s="389"/>
      <c r="P189" s="389"/>
      <c r="Q189" s="389"/>
      <c r="R189" s="389"/>
      <c r="S189" s="389"/>
      <c r="T189" s="389"/>
      <c r="U189" s="389"/>
      <c r="V189" s="389"/>
      <c r="W189" s="389"/>
      <c r="X189" s="389"/>
      <c r="Y189" s="389"/>
      <c r="Z189" s="389"/>
      <c r="AA189" s="389"/>
      <c r="AB189" s="389"/>
      <c r="AC189" s="389"/>
      <c r="AD189" s="389"/>
      <c r="AE189" s="389"/>
      <c r="AF189" s="389"/>
    </row>
    <row r="190" hidden="1">
      <c r="A190" s="389"/>
      <c r="B190" s="389"/>
      <c r="C190" s="389"/>
      <c r="D190" s="389"/>
      <c r="E190" s="389"/>
      <c r="F190" s="392"/>
      <c r="G190" s="392"/>
      <c r="H190" s="389"/>
      <c r="I190" s="389"/>
      <c r="J190" s="389"/>
      <c r="K190" s="389"/>
      <c r="L190" s="389"/>
      <c r="M190" s="389"/>
      <c r="N190" s="389"/>
      <c r="O190" s="389"/>
      <c r="P190" s="389"/>
      <c r="Q190" s="389"/>
      <c r="R190" s="389"/>
      <c r="S190" s="389"/>
      <c r="T190" s="389"/>
      <c r="U190" s="389"/>
      <c r="V190" s="389"/>
      <c r="W190" s="389"/>
      <c r="X190" s="389"/>
      <c r="Y190" s="389"/>
      <c r="Z190" s="389"/>
      <c r="AA190" s="389"/>
      <c r="AB190" s="389"/>
      <c r="AC190" s="389"/>
      <c r="AD190" s="389"/>
      <c r="AE190" s="389"/>
      <c r="AF190" s="389"/>
    </row>
    <row r="191" hidden="1">
      <c r="A191" s="389"/>
      <c r="B191" s="389"/>
      <c r="C191" s="389"/>
      <c r="D191" s="389"/>
      <c r="E191" s="389"/>
      <c r="F191" s="392"/>
      <c r="G191" s="392"/>
      <c r="H191" s="389"/>
      <c r="I191" s="389"/>
      <c r="J191" s="389"/>
      <c r="K191" s="389"/>
      <c r="L191" s="389"/>
      <c r="M191" s="389"/>
      <c r="N191" s="389"/>
      <c r="O191" s="389"/>
      <c r="P191" s="389"/>
      <c r="Q191" s="389"/>
      <c r="R191" s="389"/>
      <c r="S191" s="389"/>
      <c r="T191" s="389"/>
      <c r="U191" s="389"/>
      <c r="V191" s="389"/>
      <c r="W191" s="389"/>
      <c r="X191" s="389"/>
      <c r="Y191" s="389"/>
      <c r="Z191" s="389"/>
      <c r="AA191" s="389"/>
      <c r="AB191" s="389"/>
      <c r="AC191" s="389"/>
      <c r="AD191" s="389"/>
      <c r="AE191" s="389"/>
      <c r="AF191" s="389"/>
    </row>
    <row r="192" hidden="1">
      <c r="A192" s="389"/>
      <c r="B192" s="389"/>
      <c r="C192" s="389"/>
      <c r="D192" s="389"/>
      <c r="E192" s="389"/>
      <c r="F192" s="392"/>
      <c r="G192" s="392"/>
      <c r="H192" s="389"/>
      <c r="I192" s="389"/>
      <c r="J192" s="389"/>
      <c r="K192" s="389"/>
      <c r="L192" s="389"/>
      <c r="M192" s="389"/>
      <c r="N192" s="389"/>
      <c r="O192" s="389"/>
      <c r="P192" s="389"/>
      <c r="Q192" s="389"/>
      <c r="R192" s="389"/>
      <c r="S192" s="389"/>
      <c r="T192" s="389"/>
      <c r="U192" s="389"/>
      <c r="V192" s="389"/>
      <c r="W192" s="389"/>
      <c r="X192" s="389"/>
      <c r="Y192" s="389"/>
      <c r="Z192" s="389"/>
      <c r="AA192" s="389"/>
      <c r="AB192" s="389"/>
      <c r="AC192" s="389"/>
      <c r="AD192" s="389"/>
      <c r="AE192" s="389"/>
      <c r="AF192" s="389"/>
    </row>
    <row r="193" hidden="1">
      <c r="A193" s="389"/>
      <c r="B193" s="389"/>
      <c r="C193" s="389"/>
      <c r="D193" s="389"/>
      <c r="E193" s="389"/>
      <c r="F193" s="392"/>
      <c r="G193" s="392"/>
      <c r="H193" s="389"/>
      <c r="I193" s="389"/>
      <c r="J193" s="389"/>
      <c r="K193" s="389"/>
      <c r="L193" s="389"/>
      <c r="M193" s="389"/>
      <c r="N193" s="389"/>
      <c r="O193" s="389"/>
      <c r="P193" s="389"/>
      <c r="Q193" s="389"/>
      <c r="R193" s="389"/>
      <c r="S193" s="389"/>
      <c r="T193" s="389"/>
      <c r="U193" s="389"/>
      <c r="V193" s="389"/>
      <c r="W193" s="389"/>
      <c r="X193" s="389"/>
      <c r="Y193" s="389"/>
      <c r="Z193" s="389"/>
      <c r="AA193" s="389"/>
      <c r="AB193" s="389"/>
      <c r="AC193" s="389"/>
      <c r="AD193" s="389"/>
      <c r="AE193" s="389"/>
      <c r="AF193" s="389"/>
    </row>
    <row r="194" hidden="1">
      <c r="A194" s="389"/>
      <c r="B194" s="389"/>
      <c r="C194" s="389"/>
      <c r="D194" s="389"/>
      <c r="E194" s="389"/>
      <c r="F194" s="392"/>
      <c r="G194" s="392"/>
      <c r="H194" s="389"/>
      <c r="I194" s="389"/>
      <c r="J194" s="389"/>
      <c r="K194" s="389"/>
      <c r="L194" s="389"/>
      <c r="M194" s="389"/>
      <c r="N194" s="389"/>
      <c r="O194" s="389"/>
      <c r="P194" s="389"/>
      <c r="Q194" s="389"/>
      <c r="R194" s="389"/>
      <c r="S194" s="389"/>
      <c r="T194" s="389"/>
      <c r="U194" s="389"/>
      <c r="V194" s="389"/>
      <c r="W194" s="389"/>
      <c r="X194" s="389"/>
      <c r="Y194" s="389"/>
      <c r="Z194" s="389"/>
      <c r="AA194" s="389"/>
      <c r="AB194" s="389"/>
      <c r="AC194" s="389"/>
      <c r="AD194" s="389"/>
      <c r="AE194" s="389"/>
      <c r="AF194" s="389"/>
    </row>
    <row r="195" hidden="1">
      <c r="A195" s="389"/>
      <c r="B195" s="389"/>
      <c r="C195" s="389"/>
      <c r="D195" s="389"/>
      <c r="E195" s="389"/>
      <c r="F195" s="392"/>
      <c r="G195" s="392"/>
      <c r="H195" s="389"/>
      <c r="I195" s="389"/>
      <c r="J195" s="389"/>
      <c r="K195" s="389"/>
      <c r="L195" s="389"/>
      <c r="M195" s="389"/>
      <c r="N195" s="389"/>
      <c r="O195" s="389"/>
      <c r="P195" s="389"/>
      <c r="Q195" s="389"/>
      <c r="R195" s="389"/>
      <c r="S195" s="389"/>
      <c r="T195" s="389"/>
      <c r="U195" s="389"/>
      <c r="V195" s="389"/>
      <c r="W195" s="389"/>
      <c r="X195" s="389"/>
      <c r="Y195" s="389"/>
      <c r="Z195" s="389"/>
      <c r="AA195" s="389"/>
      <c r="AB195" s="389"/>
      <c r="AC195" s="389"/>
      <c r="AD195" s="389"/>
      <c r="AE195" s="389"/>
      <c r="AF195" s="389"/>
    </row>
    <row r="196" hidden="1">
      <c r="A196" s="389"/>
      <c r="B196" s="389"/>
      <c r="C196" s="389"/>
      <c r="D196" s="389"/>
      <c r="E196" s="389"/>
      <c r="F196" s="392"/>
      <c r="G196" s="392"/>
      <c r="H196" s="389"/>
      <c r="I196" s="389"/>
      <c r="J196" s="389"/>
      <c r="K196" s="389"/>
      <c r="L196" s="389"/>
      <c r="M196" s="389"/>
      <c r="N196" s="389"/>
      <c r="O196" s="389"/>
      <c r="P196" s="389"/>
      <c r="Q196" s="389"/>
      <c r="R196" s="389"/>
      <c r="S196" s="389"/>
      <c r="T196" s="389"/>
      <c r="U196" s="389"/>
      <c r="V196" s="389"/>
      <c r="W196" s="389"/>
      <c r="X196" s="389"/>
      <c r="Y196" s="389"/>
      <c r="Z196" s="389"/>
      <c r="AA196" s="389"/>
      <c r="AB196" s="389"/>
      <c r="AC196" s="389"/>
      <c r="AD196" s="389"/>
      <c r="AE196" s="389"/>
      <c r="AF196" s="389"/>
    </row>
    <row r="197" hidden="1">
      <c r="A197" s="389"/>
      <c r="B197" s="389"/>
      <c r="C197" s="389"/>
      <c r="D197" s="389"/>
      <c r="E197" s="389"/>
      <c r="F197" s="392"/>
      <c r="G197" s="392"/>
      <c r="H197" s="389"/>
      <c r="I197" s="389"/>
      <c r="J197" s="389"/>
      <c r="K197" s="389"/>
      <c r="L197" s="389"/>
      <c r="M197" s="389"/>
      <c r="N197" s="389"/>
      <c r="O197" s="389"/>
      <c r="P197" s="389"/>
      <c r="Q197" s="389"/>
      <c r="R197" s="389"/>
      <c r="S197" s="389"/>
      <c r="T197" s="389"/>
      <c r="U197" s="389"/>
      <c r="V197" s="389"/>
      <c r="W197" s="389"/>
      <c r="X197" s="389"/>
      <c r="Y197" s="389"/>
      <c r="Z197" s="389"/>
      <c r="AA197" s="389"/>
      <c r="AB197" s="389"/>
      <c r="AC197" s="389"/>
      <c r="AD197" s="389"/>
      <c r="AE197" s="389"/>
      <c r="AF197" s="389"/>
    </row>
    <row r="198" hidden="1">
      <c r="A198" s="389"/>
      <c r="B198" s="389"/>
      <c r="C198" s="389"/>
      <c r="D198" s="389"/>
      <c r="E198" s="389"/>
      <c r="F198" s="392"/>
      <c r="G198" s="392"/>
      <c r="H198" s="389"/>
      <c r="I198" s="389"/>
      <c r="J198" s="389"/>
      <c r="K198" s="389"/>
      <c r="L198" s="389"/>
      <c r="M198" s="389"/>
      <c r="N198" s="389"/>
      <c r="O198" s="389"/>
      <c r="P198" s="389"/>
      <c r="Q198" s="389"/>
      <c r="R198" s="389"/>
      <c r="S198" s="389"/>
      <c r="T198" s="389"/>
      <c r="U198" s="389"/>
      <c r="V198" s="389"/>
      <c r="W198" s="389"/>
      <c r="X198" s="389"/>
      <c r="Y198" s="389"/>
      <c r="Z198" s="389"/>
      <c r="AA198" s="389"/>
      <c r="AB198" s="389"/>
      <c r="AC198" s="389"/>
      <c r="AD198" s="389"/>
      <c r="AE198" s="389"/>
      <c r="AF198" s="389"/>
    </row>
    <row r="199" hidden="1">
      <c r="A199" s="389"/>
      <c r="B199" s="389"/>
      <c r="C199" s="389"/>
      <c r="D199" s="389"/>
      <c r="E199" s="389"/>
      <c r="F199" s="392"/>
      <c r="G199" s="392"/>
      <c r="H199" s="389"/>
      <c r="I199" s="389"/>
      <c r="J199" s="389"/>
      <c r="K199" s="389"/>
      <c r="L199" s="389"/>
      <c r="M199" s="389"/>
      <c r="N199" s="389"/>
      <c r="O199" s="389"/>
      <c r="P199" s="389"/>
      <c r="Q199" s="389"/>
      <c r="R199" s="389"/>
      <c r="S199" s="389"/>
      <c r="T199" s="389"/>
      <c r="U199" s="389"/>
      <c r="V199" s="389"/>
      <c r="W199" s="389"/>
      <c r="X199" s="389"/>
      <c r="Y199" s="389"/>
      <c r="Z199" s="389"/>
      <c r="AA199" s="389"/>
      <c r="AB199" s="389"/>
      <c r="AC199" s="389"/>
      <c r="AD199" s="389"/>
      <c r="AE199" s="389"/>
      <c r="AF199" s="389"/>
    </row>
    <row r="200" hidden="1">
      <c r="A200" s="389"/>
      <c r="B200" s="389"/>
      <c r="C200" s="389"/>
      <c r="D200" s="389"/>
      <c r="E200" s="389"/>
      <c r="F200" s="392"/>
      <c r="G200" s="392"/>
      <c r="H200" s="389"/>
      <c r="I200" s="389"/>
      <c r="J200" s="389"/>
      <c r="K200" s="389"/>
      <c r="L200" s="389"/>
      <c r="M200" s="389"/>
      <c r="N200" s="389"/>
      <c r="O200" s="389"/>
      <c r="P200" s="389"/>
      <c r="Q200" s="389"/>
      <c r="R200" s="389"/>
      <c r="S200" s="389"/>
      <c r="T200" s="389"/>
      <c r="U200" s="389"/>
      <c r="V200" s="389"/>
      <c r="W200" s="389"/>
      <c r="X200" s="389"/>
      <c r="Y200" s="389"/>
      <c r="Z200" s="389"/>
      <c r="AA200" s="389"/>
      <c r="AB200" s="389"/>
      <c r="AC200" s="389"/>
      <c r="AD200" s="389"/>
      <c r="AE200" s="389"/>
      <c r="AF200" s="389"/>
    </row>
    <row r="201" hidden="1">
      <c r="A201" s="389"/>
      <c r="B201" s="389"/>
      <c r="C201" s="389"/>
      <c r="D201" s="389"/>
      <c r="E201" s="389"/>
      <c r="F201" s="392"/>
      <c r="G201" s="392"/>
      <c r="H201" s="389"/>
      <c r="I201" s="389"/>
      <c r="J201" s="389"/>
      <c r="K201" s="389"/>
      <c r="L201" s="389"/>
      <c r="M201" s="389"/>
      <c r="N201" s="389"/>
      <c r="O201" s="389"/>
      <c r="P201" s="389"/>
      <c r="Q201" s="389"/>
      <c r="R201" s="389"/>
      <c r="S201" s="389"/>
      <c r="T201" s="389"/>
      <c r="U201" s="389"/>
      <c r="V201" s="389"/>
      <c r="W201" s="389"/>
      <c r="X201" s="389"/>
      <c r="Y201" s="389"/>
      <c r="Z201" s="389"/>
      <c r="AA201" s="389"/>
      <c r="AB201" s="389"/>
      <c r="AC201" s="389"/>
      <c r="AD201" s="389"/>
      <c r="AE201" s="389"/>
      <c r="AF201" s="389"/>
    </row>
    <row r="202" hidden="1">
      <c r="A202" s="389"/>
      <c r="B202" s="389"/>
      <c r="C202" s="389"/>
      <c r="D202" s="389"/>
      <c r="E202" s="389"/>
      <c r="F202" s="392"/>
      <c r="G202" s="392"/>
      <c r="H202" s="389"/>
      <c r="I202" s="389"/>
      <c r="J202" s="389"/>
      <c r="K202" s="389"/>
      <c r="L202" s="389"/>
      <c r="M202" s="389"/>
      <c r="N202" s="389"/>
      <c r="O202" s="389"/>
      <c r="P202" s="389"/>
      <c r="Q202" s="389"/>
      <c r="R202" s="389"/>
      <c r="S202" s="389"/>
      <c r="T202" s="389"/>
      <c r="U202" s="389"/>
      <c r="V202" s="389"/>
      <c r="W202" s="389"/>
      <c r="X202" s="389"/>
      <c r="Y202" s="389"/>
      <c r="Z202" s="389"/>
      <c r="AA202" s="389"/>
      <c r="AB202" s="389"/>
      <c r="AC202" s="389"/>
      <c r="AD202" s="389"/>
      <c r="AE202" s="389"/>
      <c r="AF202" s="389"/>
    </row>
    <row r="203" hidden="1">
      <c r="A203" s="389"/>
      <c r="B203" s="389"/>
      <c r="C203" s="389"/>
      <c r="D203" s="389"/>
      <c r="E203" s="389"/>
      <c r="F203" s="392"/>
      <c r="G203" s="392"/>
      <c r="H203" s="389"/>
      <c r="I203" s="389"/>
      <c r="J203" s="389"/>
      <c r="K203" s="389"/>
      <c r="L203" s="389"/>
      <c r="M203" s="389"/>
      <c r="N203" s="389"/>
      <c r="O203" s="389"/>
      <c r="P203" s="389"/>
      <c r="Q203" s="389"/>
      <c r="R203" s="389"/>
      <c r="S203" s="389"/>
      <c r="T203" s="389"/>
      <c r="U203" s="389"/>
      <c r="V203" s="389"/>
      <c r="W203" s="389"/>
      <c r="X203" s="389"/>
      <c r="Y203" s="389"/>
      <c r="Z203" s="389"/>
      <c r="AA203" s="389"/>
      <c r="AB203" s="389"/>
      <c r="AC203" s="389"/>
      <c r="AD203" s="389"/>
      <c r="AE203" s="389"/>
      <c r="AF203" s="389"/>
    </row>
    <row r="204" hidden="1">
      <c r="A204" s="389"/>
      <c r="B204" s="389"/>
      <c r="C204" s="389"/>
      <c r="D204" s="389"/>
      <c r="E204" s="389"/>
      <c r="F204" s="392"/>
      <c r="G204" s="392"/>
      <c r="H204" s="389"/>
      <c r="I204" s="389"/>
      <c r="J204" s="389"/>
      <c r="K204" s="389"/>
      <c r="L204" s="389"/>
      <c r="M204" s="389"/>
      <c r="N204" s="389"/>
      <c r="O204" s="389"/>
      <c r="P204" s="389"/>
      <c r="Q204" s="389"/>
      <c r="R204" s="389"/>
      <c r="S204" s="389"/>
      <c r="T204" s="389"/>
      <c r="U204" s="389"/>
      <c r="V204" s="389"/>
      <c r="W204" s="389"/>
      <c r="X204" s="389"/>
      <c r="Y204" s="389"/>
      <c r="Z204" s="389"/>
      <c r="AA204" s="389"/>
      <c r="AB204" s="389"/>
      <c r="AC204" s="389"/>
      <c r="AD204" s="389"/>
      <c r="AE204" s="389"/>
      <c r="AF204" s="389"/>
    </row>
    <row r="205" hidden="1">
      <c r="A205" s="389"/>
      <c r="B205" s="389"/>
      <c r="C205" s="389"/>
      <c r="D205" s="389"/>
      <c r="E205" s="389"/>
      <c r="F205" s="392"/>
      <c r="G205" s="392"/>
      <c r="H205" s="389"/>
      <c r="I205" s="389"/>
      <c r="J205" s="389"/>
      <c r="K205" s="389"/>
      <c r="L205" s="389"/>
      <c r="M205" s="389"/>
      <c r="N205" s="389"/>
      <c r="O205" s="389"/>
      <c r="P205" s="389"/>
      <c r="Q205" s="389"/>
      <c r="R205" s="389"/>
      <c r="S205" s="389"/>
      <c r="T205" s="389"/>
      <c r="U205" s="389"/>
      <c r="V205" s="389"/>
      <c r="W205" s="389"/>
      <c r="X205" s="389"/>
      <c r="Y205" s="389"/>
      <c r="Z205" s="389"/>
      <c r="AA205" s="389"/>
      <c r="AB205" s="389"/>
      <c r="AC205" s="389"/>
      <c r="AD205" s="389"/>
      <c r="AE205" s="389"/>
      <c r="AF205" s="389"/>
    </row>
    <row r="206" hidden="1">
      <c r="A206" s="389"/>
      <c r="B206" s="389"/>
      <c r="C206" s="389"/>
      <c r="D206" s="389"/>
      <c r="E206" s="389"/>
      <c r="F206" s="392"/>
      <c r="G206" s="392"/>
      <c r="H206" s="389"/>
      <c r="I206" s="389"/>
      <c r="J206" s="389"/>
      <c r="K206" s="389"/>
      <c r="L206" s="389"/>
      <c r="M206" s="389"/>
      <c r="N206" s="389"/>
      <c r="O206" s="389"/>
      <c r="P206" s="389"/>
      <c r="Q206" s="389"/>
      <c r="R206" s="389"/>
      <c r="S206" s="389"/>
      <c r="T206" s="389"/>
      <c r="U206" s="389"/>
      <c r="V206" s="389"/>
      <c r="W206" s="389"/>
      <c r="X206" s="389"/>
      <c r="Y206" s="389"/>
      <c r="Z206" s="389"/>
      <c r="AA206" s="389"/>
      <c r="AB206" s="389"/>
      <c r="AC206" s="389"/>
      <c r="AD206" s="389"/>
      <c r="AE206" s="389"/>
      <c r="AF206" s="389"/>
    </row>
    <row r="207" hidden="1">
      <c r="A207" s="389"/>
      <c r="B207" s="389"/>
      <c r="C207" s="389"/>
      <c r="D207" s="389"/>
      <c r="E207" s="389"/>
      <c r="F207" s="392"/>
      <c r="G207" s="392"/>
      <c r="H207" s="389"/>
      <c r="I207" s="389"/>
      <c r="J207" s="389"/>
      <c r="K207" s="389"/>
      <c r="L207" s="389"/>
      <c r="M207" s="389"/>
      <c r="N207" s="389"/>
      <c r="O207" s="389"/>
      <c r="P207" s="389"/>
      <c r="Q207" s="389"/>
      <c r="R207" s="389"/>
      <c r="S207" s="389"/>
      <c r="T207" s="389"/>
      <c r="U207" s="389"/>
      <c r="V207" s="389"/>
      <c r="W207" s="389"/>
      <c r="X207" s="389"/>
      <c r="Y207" s="389"/>
      <c r="Z207" s="389"/>
      <c r="AA207" s="389"/>
      <c r="AB207" s="389"/>
      <c r="AC207" s="389"/>
      <c r="AD207" s="389"/>
      <c r="AE207" s="389"/>
      <c r="AF207" s="389"/>
    </row>
    <row r="208" hidden="1">
      <c r="A208" s="389"/>
      <c r="B208" s="389"/>
      <c r="C208" s="389"/>
      <c r="D208" s="389"/>
      <c r="E208" s="389"/>
      <c r="F208" s="392"/>
      <c r="G208" s="392"/>
      <c r="H208" s="389"/>
      <c r="I208" s="389"/>
      <c r="J208" s="389"/>
      <c r="K208" s="389"/>
      <c r="L208" s="389"/>
      <c r="M208" s="389"/>
      <c r="N208" s="389"/>
      <c r="O208" s="389"/>
      <c r="P208" s="389"/>
      <c r="Q208" s="389"/>
      <c r="R208" s="389"/>
      <c r="S208" s="389"/>
      <c r="T208" s="389"/>
      <c r="U208" s="389"/>
      <c r="V208" s="389"/>
      <c r="W208" s="389"/>
      <c r="X208" s="389"/>
      <c r="Y208" s="389"/>
      <c r="Z208" s="389"/>
      <c r="AA208" s="389"/>
      <c r="AB208" s="389"/>
      <c r="AC208" s="389"/>
      <c r="AD208" s="389"/>
      <c r="AE208" s="389"/>
      <c r="AF208" s="389"/>
    </row>
    <row r="209" hidden="1">
      <c r="A209" s="389"/>
      <c r="B209" s="389"/>
      <c r="C209" s="389"/>
      <c r="D209" s="389"/>
      <c r="E209" s="389"/>
      <c r="F209" s="392"/>
      <c r="G209" s="392"/>
      <c r="H209" s="389"/>
      <c r="I209" s="389"/>
      <c r="J209" s="389"/>
      <c r="K209" s="389"/>
      <c r="L209" s="389"/>
      <c r="M209" s="389"/>
      <c r="N209" s="389"/>
      <c r="O209" s="389"/>
      <c r="P209" s="389"/>
      <c r="Q209" s="389"/>
      <c r="R209" s="389"/>
      <c r="S209" s="389"/>
      <c r="T209" s="389"/>
      <c r="U209" s="389"/>
      <c r="V209" s="389"/>
      <c r="W209" s="389"/>
      <c r="X209" s="389"/>
      <c r="Y209" s="389"/>
      <c r="Z209" s="389"/>
      <c r="AA209" s="389"/>
      <c r="AB209" s="389"/>
      <c r="AC209" s="389"/>
      <c r="AD209" s="389"/>
      <c r="AE209" s="389"/>
      <c r="AF209" s="389"/>
    </row>
    <row r="210" hidden="1">
      <c r="A210" s="389"/>
      <c r="B210" s="389"/>
      <c r="C210" s="389"/>
      <c r="D210" s="389"/>
      <c r="E210" s="389"/>
      <c r="F210" s="392"/>
      <c r="G210" s="392"/>
      <c r="H210" s="389"/>
      <c r="I210" s="389"/>
      <c r="J210" s="389"/>
      <c r="K210" s="389"/>
      <c r="L210" s="389"/>
      <c r="M210" s="389"/>
      <c r="N210" s="389"/>
      <c r="O210" s="389"/>
      <c r="P210" s="389"/>
      <c r="Q210" s="389"/>
      <c r="R210" s="389"/>
      <c r="S210" s="389"/>
      <c r="T210" s="389"/>
      <c r="U210" s="389"/>
      <c r="V210" s="389"/>
      <c r="W210" s="389"/>
      <c r="X210" s="389"/>
      <c r="Y210" s="389"/>
      <c r="Z210" s="389"/>
      <c r="AA210" s="389"/>
      <c r="AB210" s="389"/>
      <c r="AC210" s="389"/>
      <c r="AD210" s="389"/>
      <c r="AE210" s="389"/>
      <c r="AF210" s="389"/>
    </row>
    <row r="211" hidden="1">
      <c r="A211" s="389"/>
      <c r="B211" s="389"/>
      <c r="C211" s="389"/>
      <c r="D211" s="389"/>
      <c r="E211" s="389"/>
      <c r="F211" s="392"/>
      <c r="G211" s="392"/>
      <c r="H211" s="389"/>
      <c r="I211" s="389"/>
      <c r="J211" s="389"/>
      <c r="K211" s="389"/>
      <c r="L211" s="389"/>
      <c r="M211" s="389"/>
      <c r="N211" s="389"/>
      <c r="O211" s="389"/>
      <c r="P211" s="389"/>
      <c r="Q211" s="389"/>
      <c r="R211" s="389"/>
      <c r="S211" s="389"/>
      <c r="T211" s="389"/>
      <c r="U211" s="389"/>
      <c r="V211" s="389"/>
      <c r="W211" s="389"/>
      <c r="X211" s="389"/>
      <c r="Y211" s="389"/>
      <c r="Z211" s="389"/>
      <c r="AA211" s="389"/>
      <c r="AB211" s="389"/>
      <c r="AC211" s="389"/>
      <c r="AD211" s="389"/>
      <c r="AE211" s="389"/>
      <c r="AF211" s="389"/>
    </row>
    <row r="212" hidden="1">
      <c r="A212" s="389"/>
      <c r="B212" s="389"/>
      <c r="C212" s="389"/>
      <c r="D212" s="389"/>
      <c r="E212" s="389"/>
      <c r="F212" s="392"/>
      <c r="G212" s="392"/>
      <c r="H212" s="389"/>
      <c r="I212" s="389"/>
      <c r="J212" s="389"/>
      <c r="K212" s="389"/>
      <c r="L212" s="389"/>
      <c r="M212" s="389"/>
      <c r="N212" s="389"/>
      <c r="O212" s="389"/>
      <c r="P212" s="389"/>
      <c r="Q212" s="389"/>
      <c r="R212" s="389"/>
      <c r="S212" s="389"/>
      <c r="T212" s="389"/>
      <c r="U212" s="389"/>
      <c r="V212" s="389"/>
      <c r="W212" s="389"/>
      <c r="X212" s="389"/>
      <c r="Y212" s="389"/>
      <c r="Z212" s="389"/>
      <c r="AA212" s="389"/>
      <c r="AB212" s="389"/>
      <c r="AC212" s="389"/>
      <c r="AD212" s="389"/>
      <c r="AE212" s="389"/>
      <c r="AF212" s="389"/>
    </row>
    <row r="213" hidden="1">
      <c r="A213" s="389"/>
      <c r="B213" s="389"/>
      <c r="C213" s="389"/>
      <c r="D213" s="389"/>
      <c r="E213" s="389"/>
      <c r="F213" s="392"/>
      <c r="G213" s="392"/>
      <c r="H213" s="389"/>
      <c r="I213" s="389"/>
      <c r="J213" s="389"/>
      <c r="K213" s="389"/>
      <c r="L213" s="389"/>
      <c r="M213" s="389"/>
      <c r="N213" s="389"/>
      <c r="O213" s="389"/>
      <c r="P213" s="389"/>
      <c r="Q213" s="389"/>
      <c r="R213" s="389"/>
      <c r="S213" s="389"/>
      <c r="T213" s="389"/>
      <c r="U213" s="389"/>
      <c r="V213" s="389"/>
      <c r="W213" s="389"/>
      <c r="X213" s="389"/>
      <c r="Y213" s="389"/>
      <c r="Z213" s="389"/>
      <c r="AA213" s="389"/>
      <c r="AB213" s="389"/>
      <c r="AC213" s="389"/>
      <c r="AD213" s="389"/>
      <c r="AE213" s="389"/>
      <c r="AF213" s="389"/>
    </row>
    <row r="214" hidden="1">
      <c r="A214" s="389"/>
      <c r="B214" s="389"/>
      <c r="C214" s="389"/>
      <c r="D214" s="389"/>
      <c r="E214" s="389"/>
      <c r="F214" s="392"/>
      <c r="G214" s="392"/>
      <c r="H214" s="389"/>
      <c r="I214" s="389"/>
      <c r="J214" s="389"/>
      <c r="K214" s="389"/>
      <c r="L214" s="389"/>
      <c r="M214" s="389"/>
      <c r="N214" s="389"/>
      <c r="O214" s="389"/>
      <c r="P214" s="389"/>
      <c r="Q214" s="389"/>
      <c r="R214" s="389"/>
      <c r="S214" s="389"/>
      <c r="T214" s="389"/>
      <c r="U214" s="389"/>
      <c r="V214" s="389"/>
      <c r="W214" s="389"/>
      <c r="X214" s="389"/>
      <c r="Y214" s="389"/>
      <c r="Z214" s="389"/>
      <c r="AA214" s="389"/>
      <c r="AB214" s="389"/>
      <c r="AC214" s="389"/>
      <c r="AD214" s="389"/>
      <c r="AE214" s="389"/>
      <c r="AF214" s="389"/>
    </row>
    <row r="215" hidden="1">
      <c r="A215" s="389"/>
      <c r="B215" s="389"/>
      <c r="C215" s="389"/>
      <c r="D215" s="389"/>
      <c r="E215" s="389"/>
      <c r="F215" s="392"/>
      <c r="G215" s="392"/>
      <c r="H215" s="389"/>
      <c r="I215" s="389"/>
      <c r="J215" s="389"/>
      <c r="K215" s="389"/>
      <c r="L215" s="389"/>
      <c r="M215" s="389"/>
      <c r="N215" s="389"/>
      <c r="O215" s="389"/>
      <c r="P215" s="389"/>
      <c r="Q215" s="389"/>
      <c r="R215" s="389"/>
      <c r="S215" s="389"/>
      <c r="T215" s="389"/>
      <c r="U215" s="389"/>
      <c r="V215" s="389"/>
      <c r="W215" s="389"/>
      <c r="X215" s="389"/>
      <c r="Y215" s="389"/>
      <c r="Z215" s="389"/>
      <c r="AA215" s="389"/>
      <c r="AB215" s="389"/>
      <c r="AC215" s="389"/>
      <c r="AD215" s="389"/>
      <c r="AE215" s="389"/>
      <c r="AF215" s="389"/>
    </row>
    <row r="216" hidden="1">
      <c r="A216" s="389"/>
      <c r="B216" s="389"/>
      <c r="C216" s="389"/>
      <c r="D216" s="389"/>
      <c r="E216" s="389"/>
      <c r="F216" s="392"/>
      <c r="G216" s="392"/>
      <c r="H216" s="389"/>
      <c r="I216" s="389"/>
      <c r="J216" s="389"/>
      <c r="K216" s="389"/>
      <c r="L216" s="389"/>
      <c r="M216" s="389"/>
      <c r="N216" s="389"/>
      <c r="O216" s="389"/>
      <c r="P216" s="389"/>
      <c r="Q216" s="389"/>
      <c r="R216" s="389"/>
      <c r="S216" s="389"/>
      <c r="T216" s="389"/>
      <c r="U216" s="389"/>
      <c r="V216" s="389"/>
      <c r="W216" s="389"/>
      <c r="X216" s="389"/>
      <c r="Y216" s="389"/>
      <c r="Z216" s="389"/>
      <c r="AA216" s="389"/>
      <c r="AB216" s="389"/>
      <c r="AC216" s="389"/>
      <c r="AD216" s="389"/>
      <c r="AE216" s="389"/>
      <c r="AF216" s="389"/>
    </row>
    <row r="217" hidden="1">
      <c r="A217" s="389"/>
      <c r="B217" s="389"/>
      <c r="C217" s="389"/>
      <c r="D217" s="389"/>
      <c r="E217" s="389"/>
      <c r="F217" s="392"/>
      <c r="G217" s="392"/>
      <c r="H217" s="389"/>
      <c r="I217" s="389"/>
      <c r="J217" s="389"/>
      <c r="K217" s="389"/>
      <c r="L217" s="389"/>
      <c r="M217" s="389"/>
      <c r="N217" s="389"/>
      <c r="O217" s="389"/>
      <c r="P217" s="389"/>
      <c r="Q217" s="389"/>
      <c r="R217" s="389"/>
      <c r="S217" s="389"/>
      <c r="T217" s="389"/>
      <c r="U217" s="389"/>
      <c r="V217" s="389"/>
      <c r="W217" s="389"/>
      <c r="X217" s="389"/>
      <c r="Y217" s="389"/>
      <c r="Z217" s="389"/>
      <c r="AA217" s="389"/>
      <c r="AB217" s="389"/>
      <c r="AC217" s="389"/>
      <c r="AD217" s="389"/>
      <c r="AE217" s="389"/>
      <c r="AF217" s="389"/>
    </row>
    <row r="218" hidden="1">
      <c r="A218" s="389"/>
      <c r="B218" s="389"/>
      <c r="C218" s="389"/>
      <c r="D218" s="389"/>
      <c r="E218" s="389"/>
      <c r="F218" s="392"/>
      <c r="G218" s="392"/>
      <c r="H218" s="389"/>
      <c r="I218" s="389"/>
      <c r="J218" s="389"/>
      <c r="K218" s="389"/>
      <c r="L218" s="389"/>
      <c r="M218" s="389"/>
      <c r="N218" s="389"/>
      <c r="O218" s="389"/>
      <c r="P218" s="389"/>
      <c r="Q218" s="389"/>
      <c r="R218" s="389"/>
      <c r="S218" s="389"/>
      <c r="T218" s="389"/>
      <c r="U218" s="389"/>
      <c r="V218" s="389"/>
      <c r="W218" s="389"/>
      <c r="X218" s="389"/>
      <c r="Y218" s="389"/>
      <c r="Z218" s="389"/>
      <c r="AA218" s="389"/>
      <c r="AB218" s="389"/>
      <c r="AC218" s="389"/>
      <c r="AD218" s="389"/>
      <c r="AE218" s="389"/>
      <c r="AF218" s="389"/>
    </row>
    <row r="219" hidden="1">
      <c r="A219" s="389"/>
      <c r="B219" s="389"/>
      <c r="C219" s="389"/>
      <c r="D219" s="389"/>
      <c r="E219" s="389"/>
      <c r="F219" s="392"/>
      <c r="G219" s="392"/>
      <c r="H219" s="389"/>
      <c r="I219" s="389"/>
      <c r="J219" s="389"/>
      <c r="K219" s="389"/>
      <c r="L219" s="389"/>
      <c r="M219" s="389"/>
      <c r="N219" s="389"/>
      <c r="O219" s="389"/>
      <c r="P219" s="389"/>
      <c r="Q219" s="389"/>
      <c r="R219" s="389"/>
      <c r="S219" s="389"/>
      <c r="T219" s="389"/>
      <c r="U219" s="389"/>
      <c r="V219" s="389"/>
      <c r="W219" s="389"/>
      <c r="X219" s="389"/>
      <c r="Y219" s="389"/>
      <c r="Z219" s="389"/>
      <c r="AA219" s="389"/>
      <c r="AB219" s="389"/>
      <c r="AC219" s="389"/>
      <c r="AD219" s="389"/>
      <c r="AE219" s="389"/>
      <c r="AF219" s="389"/>
    </row>
    <row r="220" hidden="1">
      <c r="A220" s="389"/>
      <c r="B220" s="389"/>
      <c r="C220" s="389"/>
      <c r="D220" s="389"/>
      <c r="E220" s="389"/>
      <c r="F220" s="392"/>
      <c r="G220" s="392"/>
      <c r="H220" s="389"/>
      <c r="I220" s="389"/>
      <c r="J220" s="389"/>
      <c r="K220" s="389"/>
      <c r="L220" s="389"/>
      <c r="M220" s="389"/>
      <c r="N220" s="389"/>
      <c r="O220" s="389"/>
      <c r="P220" s="389"/>
      <c r="Q220" s="389"/>
      <c r="R220" s="389"/>
      <c r="S220" s="389"/>
      <c r="T220" s="389"/>
      <c r="U220" s="389"/>
      <c r="V220" s="389"/>
      <c r="W220" s="389"/>
      <c r="X220" s="389"/>
      <c r="Y220" s="389"/>
      <c r="Z220" s="389"/>
      <c r="AA220" s="389"/>
      <c r="AB220" s="389"/>
      <c r="AC220" s="389"/>
      <c r="AD220" s="389"/>
      <c r="AE220" s="389"/>
      <c r="AF220" s="389"/>
    </row>
    <row r="221" hidden="1">
      <c r="A221" s="389"/>
      <c r="B221" s="389"/>
      <c r="C221" s="389"/>
      <c r="D221" s="389"/>
      <c r="E221" s="389"/>
      <c r="F221" s="392"/>
      <c r="G221" s="392"/>
      <c r="H221" s="389"/>
      <c r="I221" s="389"/>
      <c r="J221" s="389"/>
      <c r="K221" s="389"/>
      <c r="L221" s="389"/>
      <c r="M221" s="389"/>
      <c r="N221" s="389"/>
      <c r="O221" s="389"/>
      <c r="P221" s="389"/>
      <c r="Q221" s="389"/>
      <c r="R221" s="389"/>
      <c r="S221" s="389"/>
      <c r="T221" s="389"/>
      <c r="U221" s="389"/>
      <c r="V221" s="389"/>
      <c r="W221" s="389"/>
      <c r="X221" s="389"/>
      <c r="Y221" s="389"/>
      <c r="Z221" s="389"/>
      <c r="AA221" s="389"/>
      <c r="AB221" s="389"/>
      <c r="AC221" s="389"/>
      <c r="AD221" s="389"/>
      <c r="AE221" s="389"/>
      <c r="AF221" s="389"/>
    </row>
    <row r="222" hidden="1">
      <c r="A222" s="389"/>
      <c r="B222" s="389"/>
      <c r="C222" s="389"/>
      <c r="D222" s="389"/>
      <c r="E222" s="389"/>
      <c r="F222" s="392"/>
      <c r="G222" s="392"/>
      <c r="H222" s="389"/>
      <c r="I222" s="389"/>
      <c r="J222" s="389"/>
      <c r="K222" s="389"/>
      <c r="L222" s="389"/>
      <c r="M222" s="389"/>
      <c r="N222" s="389"/>
      <c r="O222" s="389"/>
      <c r="P222" s="389"/>
      <c r="Q222" s="389"/>
      <c r="R222" s="389"/>
      <c r="S222" s="389"/>
      <c r="T222" s="389"/>
      <c r="U222" s="389"/>
      <c r="V222" s="389"/>
      <c r="W222" s="389"/>
      <c r="X222" s="389"/>
      <c r="Y222" s="389"/>
      <c r="Z222" s="389"/>
      <c r="AA222" s="389"/>
      <c r="AB222" s="389"/>
      <c r="AC222" s="389"/>
      <c r="AD222" s="389"/>
      <c r="AE222" s="389"/>
      <c r="AF222" s="389"/>
    </row>
    <row r="223" hidden="1">
      <c r="A223" s="389"/>
      <c r="B223" s="389"/>
      <c r="C223" s="389"/>
      <c r="D223" s="389"/>
      <c r="E223" s="389"/>
      <c r="F223" s="392"/>
      <c r="G223" s="392"/>
      <c r="H223" s="389"/>
      <c r="I223" s="389"/>
      <c r="J223" s="389"/>
      <c r="K223" s="389"/>
      <c r="L223" s="389"/>
      <c r="M223" s="389"/>
      <c r="N223" s="389"/>
      <c r="O223" s="389"/>
      <c r="P223" s="389"/>
      <c r="Q223" s="389"/>
      <c r="R223" s="389"/>
      <c r="S223" s="389"/>
      <c r="T223" s="389"/>
      <c r="U223" s="389"/>
      <c r="V223" s="389"/>
      <c r="W223" s="389"/>
      <c r="X223" s="389"/>
      <c r="Y223" s="389"/>
      <c r="Z223" s="389"/>
      <c r="AA223" s="389"/>
      <c r="AB223" s="389"/>
      <c r="AC223" s="389"/>
      <c r="AD223" s="389"/>
      <c r="AE223" s="389"/>
      <c r="AF223" s="389"/>
    </row>
    <row r="224" hidden="1">
      <c r="A224" s="389"/>
      <c r="B224" s="389"/>
      <c r="C224" s="389"/>
      <c r="D224" s="389"/>
      <c r="E224" s="389"/>
      <c r="F224" s="392"/>
      <c r="G224" s="392"/>
      <c r="H224" s="389"/>
      <c r="I224" s="389"/>
      <c r="J224" s="389"/>
      <c r="K224" s="389"/>
      <c r="L224" s="389"/>
      <c r="M224" s="389"/>
      <c r="N224" s="389"/>
      <c r="O224" s="389"/>
      <c r="P224" s="389"/>
      <c r="Q224" s="389"/>
      <c r="R224" s="389"/>
      <c r="S224" s="389"/>
      <c r="T224" s="389"/>
      <c r="U224" s="389"/>
      <c r="V224" s="389"/>
      <c r="W224" s="389"/>
      <c r="X224" s="389"/>
      <c r="Y224" s="389"/>
      <c r="Z224" s="389"/>
      <c r="AA224" s="389"/>
      <c r="AB224" s="389"/>
      <c r="AC224" s="389"/>
      <c r="AD224" s="389"/>
      <c r="AE224" s="389"/>
      <c r="AF224" s="389"/>
    </row>
    <row r="225" hidden="1">
      <c r="A225" s="389"/>
      <c r="B225" s="389"/>
      <c r="C225" s="389"/>
      <c r="D225" s="389"/>
      <c r="E225" s="389"/>
      <c r="F225" s="392"/>
      <c r="G225" s="392"/>
      <c r="H225" s="389"/>
      <c r="I225" s="389"/>
      <c r="J225" s="389"/>
      <c r="K225" s="389"/>
      <c r="L225" s="389"/>
      <c r="M225" s="389"/>
      <c r="N225" s="389"/>
      <c r="O225" s="389"/>
      <c r="P225" s="389"/>
      <c r="Q225" s="389"/>
      <c r="R225" s="389"/>
      <c r="S225" s="389"/>
      <c r="T225" s="389"/>
      <c r="U225" s="389"/>
      <c r="V225" s="389"/>
      <c r="W225" s="389"/>
      <c r="X225" s="389"/>
      <c r="Y225" s="389"/>
      <c r="Z225" s="389"/>
      <c r="AA225" s="389"/>
      <c r="AB225" s="389"/>
      <c r="AC225" s="389"/>
      <c r="AD225" s="389"/>
      <c r="AE225" s="389"/>
      <c r="AF225" s="389"/>
    </row>
    <row r="226" hidden="1">
      <c r="A226" s="389"/>
      <c r="B226" s="389"/>
      <c r="C226" s="389"/>
      <c r="D226" s="389"/>
      <c r="E226" s="389"/>
      <c r="F226" s="392"/>
      <c r="G226" s="392"/>
      <c r="H226" s="389"/>
      <c r="I226" s="389"/>
      <c r="J226" s="389"/>
      <c r="K226" s="389"/>
      <c r="L226" s="389"/>
      <c r="M226" s="389"/>
      <c r="N226" s="389"/>
      <c r="O226" s="389"/>
      <c r="P226" s="389"/>
      <c r="Q226" s="389"/>
      <c r="R226" s="389"/>
      <c r="S226" s="389"/>
      <c r="T226" s="389"/>
      <c r="U226" s="389"/>
      <c r="V226" s="389"/>
      <c r="W226" s="389"/>
      <c r="X226" s="389"/>
      <c r="Y226" s="389"/>
      <c r="Z226" s="389"/>
      <c r="AA226" s="389"/>
      <c r="AB226" s="389"/>
      <c r="AC226" s="389"/>
      <c r="AD226" s="389"/>
      <c r="AE226" s="389"/>
      <c r="AF226" s="389"/>
    </row>
    <row r="227" hidden="1">
      <c r="A227" s="389"/>
      <c r="B227" s="389"/>
      <c r="C227" s="389"/>
      <c r="D227" s="389"/>
      <c r="E227" s="389"/>
      <c r="F227" s="392"/>
      <c r="G227" s="392"/>
      <c r="H227" s="389"/>
      <c r="I227" s="389"/>
      <c r="J227" s="389"/>
      <c r="K227" s="389"/>
      <c r="L227" s="389"/>
      <c r="M227" s="389"/>
      <c r="N227" s="389"/>
      <c r="O227" s="389"/>
      <c r="P227" s="389"/>
      <c r="Q227" s="389"/>
      <c r="R227" s="389"/>
      <c r="S227" s="389"/>
      <c r="T227" s="389"/>
      <c r="U227" s="389"/>
      <c r="V227" s="389"/>
      <c r="W227" s="389"/>
      <c r="X227" s="389"/>
      <c r="Y227" s="389"/>
      <c r="Z227" s="389"/>
      <c r="AA227" s="389"/>
      <c r="AB227" s="389"/>
      <c r="AC227" s="389"/>
      <c r="AD227" s="389"/>
      <c r="AE227" s="389"/>
      <c r="AF227" s="389"/>
    </row>
    <row r="228" hidden="1">
      <c r="A228" s="389"/>
      <c r="B228" s="389"/>
      <c r="C228" s="389"/>
      <c r="D228" s="389"/>
      <c r="E228" s="389"/>
      <c r="F228" s="392"/>
      <c r="G228" s="392"/>
      <c r="H228" s="389"/>
      <c r="I228" s="389"/>
      <c r="J228" s="389"/>
      <c r="K228" s="389"/>
      <c r="L228" s="389"/>
      <c r="M228" s="389"/>
      <c r="N228" s="389"/>
      <c r="O228" s="389"/>
      <c r="P228" s="389"/>
      <c r="Q228" s="389"/>
      <c r="R228" s="389"/>
      <c r="S228" s="389"/>
      <c r="T228" s="389"/>
      <c r="U228" s="389"/>
      <c r="V228" s="389"/>
      <c r="W228" s="389"/>
      <c r="X228" s="389"/>
      <c r="Y228" s="389"/>
      <c r="Z228" s="389"/>
      <c r="AA228" s="389"/>
      <c r="AB228" s="389"/>
      <c r="AC228" s="389"/>
      <c r="AD228" s="389"/>
      <c r="AE228" s="389"/>
      <c r="AF228" s="389"/>
    </row>
    <row r="229" hidden="1">
      <c r="A229" s="389"/>
      <c r="B229" s="389"/>
      <c r="C229" s="389"/>
      <c r="D229" s="389"/>
      <c r="E229" s="389"/>
      <c r="F229" s="392"/>
      <c r="G229" s="392"/>
      <c r="H229" s="389"/>
      <c r="I229" s="389"/>
      <c r="J229" s="389"/>
      <c r="K229" s="389"/>
      <c r="L229" s="389"/>
      <c r="M229" s="389"/>
      <c r="N229" s="389"/>
      <c r="O229" s="389"/>
      <c r="P229" s="389"/>
      <c r="Q229" s="389"/>
      <c r="R229" s="389"/>
      <c r="S229" s="389"/>
      <c r="T229" s="389"/>
      <c r="U229" s="389"/>
      <c r="V229" s="389"/>
      <c r="W229" s="389"/>
      <c r="X229" s="389"/>
      <c r="Y229" s="389"/>
      <c r="Z229" s="389"/>
      <c r="AA229" s="389"/>
      <c r="AB229" s="389"/>
      <c r="AC229" s="389"/>
      <c r="AD229" s="389"/>
      <c r="AE229" s="389"/>
      <c r="AF229" s="389"/>
    </row>
    <row r="230" hidden="1">
      <c r="A230" s="389"/>
      <c r="B230" s="389"/>
      <c r="C230" s="389"/>
      <c r="D230" s="389"/>
      <c r="E230" s="389"/>
      <c r="F230" s="392"/>
      <c r="G230" s="392"/>
      <c r="H230" s="389"/>
      <c r="I230" s="389"/>
      <c r="J230" s="389"/>
      <c r="K230" s="389"/>
      <c r="L230" s="389"/>
      <c r="M230" s="389"/>
      <c r="N230" s="389"/>
      <c r="O230" s="389"/>
      <c r="P230" s="389"/>
      <c r="Q230" s="389"/>
      <c r="R230" s="389"/>
      <c r="S230" s="389"/>
      <c r="T230" s="389"/>
      <c r="U230" s="389"/>
      <c r="V230" s="389"/>
      <c r="W230" s="389"/>
      <c r="X230" s="389"/>
      <c r="Y230" s="389"/>
      <c r="Z230" s="389"/>
      <c r="AA230" s="389"/>
      <c r="AB230" s="389"/>
      <c r="AC230" s="389"/>
      <c r="AD230" s="389"/>
      <c r="AE230" s="389"/>
      <c r="AF230" s="389"/>
    </row>
    <row r="231" hidden="1">
      <c r="A231" s="389"/>
      <c r="B231" s="389"/>
      <c r="C231" s="389"/>
      <c r="D231" s="389"/>
      <c r="E231" s="389"/>
      <c r="F231" s="392"/>
      <c r="G231" s="392"/>
      <c r="H231" s="389"/>
      <c r="I231" s="389"/>
      <c r="J231" s="389"/>
      <c r="K231" s="389"/>
      <c r="L231" s="389"/>
      <c r="M231" s="389"/>
      <c r="N231" s="389"/>
      <c r="O231" s="389"/>
      <c r="P231" s="389"/>
      <c r="Q231" s="389"/>
      <c r="R231" s="389"/>
      <c r="S231" s="389"/>
      <c r="T231" s="389"/>
      <c r="U231" s="389"/>
      <c r="V231" s="389"/>
      <c r="W231" s="389"/>
      <c r="X231" s="389"/>
      <c r="Y231" s="389"/>
      <c r="Z231" s="389"/>
      <c r="AA231" s="389"/>
      <c r="AB231" s="389"/>
      <c r="AC231" s="389"/>
      <c r="AD231" s="389"/>
      <c r="AE231" s="389"/>
      <c r="AF231" s="389"/>
    </row>
    <row r="232" hidden="1">
      <c r="A232" s="389"/>
      <c r="B232" s="389"/>
      <c r="C232" s="389"/>
      <c r="D232" s="389"/>
      <c r="E232" s="389"/>
      <c r="F232" s="392"/>
      <c r="G232" s="392"/>
      <c r="H232" s="389"/>
      <c r="I232" s="389"/>
      <c r="J232" s="389"/>
      <c r="K232" s="389"/>
      <c r="L232" s="389"/>
      <c r="M232" s="389"/>
      <c r="N232" s="389"/>
      <c r="O232" s="389"/>
      <c r="P232" s="389"/>
      <c r="Q232" s="389"/>
      <c r="R232" s="389"/>
      <c r="S232" s="389"/>
      <c r="T232" s="389"/>
      <c r="U232" s="389"/>
      <c r="V232" s="389"/>
      <c r="W232" s="389"/>
      <c r="X232" s="389"/>
      <c r="Y232" s="389"/>
      <c r="Z232" s="389"/>
      <c r="AA232" s="389"/>
      <c r="AB232" s="389"/>
      <c r="AC232" s="389"/>
      <c r="AD232" s="389"/>
      <c r="AE232" s="389"/>
      <c r="AF232" s="389"/>
    </row>
    <row r="233" hidden="1">
      <c r="A233" s="389"/>
      <c r="B233" s="389"/>
      <c r="C233" s="389"/>
      <c r="D233" s="389"/>
      <c r="E233" s="389"/>
      <c r="F233" s="392"/>
      <c r="G233" s="392"/>
      <c r="H233" s="389"/>
      <c r="I233" s="389"/>
      <c r="J233" s="389"/>
      <c r="K233" s="389"/>
      <c r="L233" s="389"/>
      <c r="M233" s="389"/>
      <c r="N233" s="389"/>
      <c r="O233" s="389"/>
      <c r="P233" s="389"/>
      <c r="Q233" s="389"/>
      <c r="R233" s="389"/>
      <c r="S233" s="389"/>
      <c r="T233" s="389"/>
      <c r="U233" s="389"/>
      <c r="V233" s="389"/>
      <c r="W233" s="389"/>
      <c r="X233" s="389"/>
      <c r="Y233" s="389"/>
      <c r="Z233" s="389"/>
      <c r="AA233" s="389"/>
      <c r="AB233" s="389"/>
      <c r="AC233" s="389"/>
      <c r="AD233" s="389"/>
      <c r="AE233" s="389"/>
      <c r="AF233" s="389"/>
    </row>
    <row r="234" hidden="1">
      <c r="A234" s="389"/>
      <c r="B234" s="389"/>
      <c r="C234" s="389"/>
      <c r="D234" s="389"/>
      <c r="E234" s="389"/>
      <c r="F234" s="392"/>
      <c r="G234" s="392"/>
      <c r="H234" s="389"/>
      <c r="I234" s="389"/>
      <c r="J234" s="389"/>
      <c r="K234" s="389"/>
      <c r="L234" s="389"/>
      <c r="M234" s="389"/>
      <c r="N234" s="389"/>
      <c r="O234" s="389"/>
      <c r="P234" s="389"/>
      <c r="Q234" s="389"/>
      <c r="R234" s="389"/>
      <c r="S234" s="389"/>
      <c r="T234" s="389"/>
      <c r="U234" s="389"/>
      <c r="V234" s="389"/>
      <c r="W234" s="389"/>
      <c r="X234" s="389"/>
      <c r="Y234" s="389"/>
      <c r="Z234" s="389"/>
      <c r="AA234" s="389"/>
      <c r="AB234" s="389"/>
      <c r="AC234" s="389"/>
      <c r="AD234" s="389"/>
      <c r="AE234" s="389"/>
      <c r="AF234" s="389"/>
    </row>
    <row r="235" hidden="1">
      <c r="A235" s="389"/>
      <c r="B235" s="389"/>
      <c r="C235" s="389"/>
      <c r="D235" s="389"/>
      <c r="E235" s="389"/>
      <c r="F235" s="392"/>
      <c r="G235" s="392"/>
      <c r="H235" s="389"/>
      <c r="I235" s="389"/>
      <c r="J235" s="389"/>
      <c r="K235" s="389"/>
      <c r="L235" s="389"/>
      <c r="M235" s="389"/>
      <c r="N235" s="389"/>
      <c r="O235" s="389"/>
      <c r="P235" s="389"/>
      <c r="Q235" s="389"/>
      <c r="R235" s="389"/>
      <c r="S235" s="389"/>
      <c r="T235" s="389"/>
      <c r="U235" s="389"/>
      <c r="V235" s="389"/>
      <c r="W235" s="389"/>
      <c r="X235" s="389"/>
      <c r="Y235" s="389"/>
      <c r="Z235" s="389"/>
      <c r="AA235" s="389"/>
      <c r="AB235" s="389"/>
      <c r="AC235" s="389"/>
      <c r="AD235" s="389"/>
      <c r="AE235" s="389"/>
      <c r="AF235" s="389"/>
    </row>
    <row r="236" hidden="1">
      <c r="A236" s="389"/>
      <c r="B236" s="389"/>
      <c r="C236" s="389"/>
      <c r="D236" s="389"/>
      <c r="E236" s="389"/>
      <c r="F236" s="392"/>
      <c r="G236" s="392"/>
      <c r="H236" s="389"/>
      <c r="I236" s="389"/>
      <c r="J236" s="389"/>
      <c r="K236" s="389"/>
      <c r="L236" s="389"/>
      <c r="M236" s="389"/>
      <c r="N236" s="389"/>
      <c r="O236" s="389"/>
      <c r="P236" s="389"/>
      <c r="Q236" s="389"/>
      <c r="R236" s="389"/>
      <c r="S236" s="389"/>
      <c r="T236" s="389"/>
      <c r="U236" s="389"/>
      <c r="V236" s="389"/>
      <c r="W236" s="389"/>
      <c r="X236" s="389"/>
      <c r="Y236" s="389"/>
      <c r="Z236" s="389"/>
      <c r="AA236" s="389"/>
      <c r="AB236" s="389"/>
      <c r="AC236" s="389"/>
      <c r="AD236" s="389"/>
      <c r="AE236" s="389"/>
      <c r="AF236" s="389"/>
    </row>
    <row r="237" hidden="1">
      <c r="A237" s="389"/>
      <c r="B237" s="389"/>
      <c r="C237" s="389"/>
      <c r="D237" s="389"/>
      <c r="E237" s="389"/>
      <c r="F237" s="392"/>
      <c r="G237" s="392"/>
      <c r="H237" s="389"/>
      <c r="I237" s="389"/>
      <c r="J237" s="389"/>
      <c r="K237" s="389"/>
      <c r="L237" s="389"/>
      <c r="M237" s="389"/>
      <c r="N237" s="389"/>
      <c r="O237" s="389"/>
      <c r="P237" s="389"/>
      <c r="Q237" s="389"/>
      <c r="R237" s="389"/>
      <c r="S237" s="389"/>
      <c r="T237" s="389"/>
      <c r="U237" s="389"/>
      <c r="V237" s="389"/>
      <c r="W237" s="389"/>
      <c r="X237" s="389"/>
      <c r="Y237" s="389"/>
      <c r="Z237" s="389"/>
      <c r="AA237" s="389"/>
      <c r="AB237" s="389"/>
      <c r="AC237" s="389"/>
      <c r="AD237" s="389"/>
      <c r="AE237" s="389"/>
      <c r="AF237" s="389"/>
    </row>
    <row r="238" hidden="1">
      <c r="A238" s="389"/>
      <c r="B238" s="389"/>
      <c r="C238" s="389"/>
      <c r="D238" s="389"/>
      <c r="E238" s="389"/>
      <c r="F238" s="392"/>
      <c r="G238" s="392"/>
      <c r="H238" s="389"/>
      <c r="I238" s="389"/>
      <c r="J238" s="389"/>
      <c r="K238" s="389"/>
      <c r="L238" s="389"/>
      <c r="M238" s="389"/>
      <c r="N238" s="389"/>
      <c r="O238" s="389"/>
      <c r="P238" s="389"/>
      <c r="Q238" s="389"/>
      <c r="R238" s="389"/>
      <c r="S238" s="389"/>
      <c r="T238" s="389"/>
      <c r="U238" s="389"/>
      <c r="V238" s="389"/>
      <c r="W238" s="389"/>
      <c r="X238" s="389"/>
      <c r="Y238" s="389"/>
      <c r="Z238" s="389"/>
      <c r="AA238" s="389"/>
      <c r="AB238" s="389"/>
      <c r="AC238" s="389"/>
      <c r="AD238" s="389"/>
      <c r="AE238" s="389"/>
      <c r="AF238" s="389"/>
    </row>
    <row r="239" hidden="1">
      <c r="A239" s="389"/>
      <c r="B239" s="389"/>
      <c r="C239" s="389"/>
      <c r="D239" s="389"/>
      <c r="E239" s="389"/>
      <c r="F239" s="392"/>
      <c r="G239" s="392"/>
      <c r="H239" s="389"/>
      <c r="I239" s="389"/>
      <c r="J239" s="389"/>
      <c r="K239" s="389"/>
      <c r="L239" s="389"/>
      <c r="M239" s="389"/>
      <c r="N239" s="389"/>
      <c r="O239" s="389"/>
      <c r="P239" s="389"/>
      <c r="Q239" s="389"/>
      <c r="R239" s="389"/>
      <c r="S239" s="389"/>
      <c r="T239" s="389"/>
      <c r="U239" s="389"/>
      <c r="V239" s="389"/>
      <c r="W239" s="389"/>
      <c r="X239" s="389"/>
      <c r="Y239" s="389"/>
      <c r="Z239" s="389"/>
      <c r="AA239" s="389"/>
      <c r="AB239" s="389"/>
      <c r="AC239" s="389"/>
      <c r="AD239" s="389"/>
      <c r="AE239" s="389"/>
      <c r="AF239" s="389"/>
    </row>
    <row r="240" hidden="1">
      <c r="A240" s="389"/>
      <c r="B240" s="389"/>
      <c r="C240" s="389"/>
      <c r="D240" s="389"/>
      <c r="E240" s="389"/>
      <c r="F240" s="392"/>
      <c r="G240" s="392"/>
      <c r="H240" s="389"/>
      <c r="I240" s="389"/>
      <c r="J240" s="389"/>
      <c r="K240" s="389"/>
      <c r="L240" s="389"/>
      <c r="M240" s="389"/>
      <c r="N240" s="389"/>
      <c r="O240" s="389"/>
      <c r="P240" s="389"/>
      <c r="Q240" s="389"/>
      <c r="R240" s="389"/>
      <c r="S240" s="389"/>
      <c r="T240" s="389"/>
      <c r="U240" s="389"/>
      <c r="V240" s="389"/>
      <c r="W240" s="389"/>
      <c r="X240" s="389"/>
      <c r="Y240" s="389"/>
      <c r="Z240" s="389"/>
      <c r="AA240" s="389"/>
      <c r="AB240" s="389"/>
      <c r="AC240" s="389"/>
      <c r="AD240" s="389"/>
      <c r="AE240" s="389"/>
      <c r="AF240" s="389"/>
    </row>
    <row r="241" hidden="1">
      <c r="A241" s="389"/>
      <c r="B241" s="389"/>
      <c r="C241" s="389"/>
      <c r="D241" s="389"/>
      <c r="E241" s="389"/>
      <c r="F241" s="392"/>
      <c r="G241" s="392"/>
      <c r="H241" s="389"/>
      <c r="I241" s="389"/>
      <c r="J241" s="389"/>
      <c r="K241" s="389"/>
      <c r="L241" s="389"/>
      <c r="M241" s="389"/>
      <c r="N241" s="389"/>
      <c r="O241" s="389"/>
      <c r="P241" s="389"/>
      <c r="Q241" s="389"/>
      <c r="R241" s="389"/>
      <c r="S241" s="389"/>
      <c r="T241" s="389"/>
      <c r="U241" s="389"/>
      <c r="V241" s="389"/>
      <c r="W241" s="389"/>
      <c r="X241" s="389"/>
      <c r="Y241" s="389"/>
      <c r="Z241" s="389"/>
      <c r="AA241" s="389"/>
      <c r="AB241" s="389"/>
      <c r="AC241" s="389"/>
      <c r="AD241" s="389"/>
      <c r="AE241" s="389"/>
      <c r="AF241" s="389"/>
    </row>
    <row r="242" hidden="1">
      <c r="A242" s="389"/>
      <c r="B242" s="389"/>
      <c r="C242" s="389"/>
      <c r="D242" s="389"/>
      <c r="E242" s="389"/>
      <c r="F242" s="392"/>
      <c r="G242" s="392"/>
      <c r="H242" s="389"/>
      <c r="I242" s="389"/>
      <c r="J242" s="389"/>
      <c r="K242" s="389"/>
      <c r="L242" s="389"/>
      <c r="M242" s="389"/>
      <c r="N242" s="389"/>
      <c r="O242" s="389"/>
      <c r="P242" s="389"/>
      <c r="Q242" s="389"/>
      <c r="R242" s="389"/>
      <c r="S242" s="389"/>
      <c r="T242" s="389"/>
      <c r="U242" s="389"/>
      <c r="V242" s="389"/>
      <c r="W242" s="389"/>
      <c r="X242" s="389"/>
      <c r="Y242" s="389"/>
      <c r="Z242" s="389"/>
      <c r="AA242" s="389"/>
      <c r="AB242" s="389"/>
      <c r="AC242" s="389"/>
      <c r="AD242" s="389"/>
      <c r="AE242" s="389"/>
      <c r="AF242" s="389"/>
    </row>
    <row r="243" hidden="1">
      <c r="A243" s="389"/>
      <c r="B243" s="389"/>
      <c r="C243" s="389"/>
      <c r="D243" s="389"/>
      <c r="E243" s="389"/>
      <c r="F243" s="392"/>
      <c r="G243" s="392"/>
      <c r="H243" s="389"/>
      <c r="I243" s="389"/>
      <c r="J243" s="389"/>
      <c r="K243" s="389"/>
      <c r="L243" s="389"/>
      <c r="M243" s="389"/>
      <c r="N243" s="389"/>
      <c r="O243" s="389"/>
      <c r="P243" s="389"/>
      <c r="Q243" s="389"/>
      <c r="R243" s="389"/>
      <c r="S243" s="389"/>
      <c r="T243" s="389"/>
      <c r="U243" s="389"/>
      <c r="V243" s="389"/>
      <c r="W243" s="389"/>
      <c r="X243" s="389"/>
      <c r="Y243" s="389"/>
      <c r="Z243" s="389"/>
      <c r="AA243" s="389"/>
      <c r="AB243" s="389"/>
      <c r="AC243" s="389"/>
      <c r="AD243" s="389"/>
      <c r="AE243" s="389"/>
      <c r="AF243" s="389"/>
    </row>
    <row r="244" hidden="1">
      <c r="A244" s="389"/>
      <c r="B244" s="389"/>
      <c r="C244" s="389"/>
      <c r="D244" s="389"/>
      <c r="E244" s="389"/>
      <c r="F244" s="392"/>
      <c r="G244" s="392"/>
      <c r="H244" s="389"/>
      <c r="I244" s="389"/>
      <c r="J244" s="389"/>
      <c r="K244" s="389"/>
      <c r="L244" s="389"/>
      <c r="M244" s="389"/>
      <c r="N244" s="389"/>
      <c r="O244" s="389"/>
      <c r="P244" s="389"/>
      <c r="Q244" s="389"/>
      <c r="R244" s="389"/>
      <c r="S244" s="389"/>
      <c r="T244" s="389"/>
      <c r="U244" s="389"/>
      <c r="V244" s="389"/>
      <c r="W244" s="389"/>
      <c r="X244" s="389"/>
      <c r="Y244" s="389"/>
      <c r="Z244" s="389"/>
      <c r="AA244" s="389"/>
      <c r="AB244" s="389"/>
      <c r="AC244" s="389"/>
      <c r="AD244" s="389"/>
      <c r="AE244" s="389"/>
      <c r="AF244" s="389"/>
    </row>
    <row r="245" hidden="1">
      <c r="A245" s="389"/>
      <c r="B245" s="389"/>
      <c r="C245" s="389"/>
      <c r="D245" s="389"/>
      <c r="E245" s="389"/>
      <c r="F245" s="392"/>
      <c r="G245" s="392"/>
      <c r="H245" s="389"/>
      <c r="I245" s="389"/>
      <c r="J245" s="389"/>
      <c r="K245" s="389"/>
      <c r="L245" s="389"/>
      <c r="M245" s="389"/>
      <c r="N245" s="389"/>
      <c r="O245" s="389"/>
      <c r="P245" s="389"/>
      <c r="Q245" s="389"/>
      <c r="R245" s="389"/>
      <c r="S245" s="389"/>
      <c r="T245" s="389"/>
      <c r="U245" s="389"/>
      <c r="V245" s="389"/>
      <c r="W245" s="389"/>
      <c r="X245" s="389"/>
      <c r="Y245" s="389"/>
      <c r="Z245" s="389"/>
      <c r="AA245" s="389"/>
      <c r="AB245" s="389"/>
      <c r="AC245" s="389"/>
      <c r="AD245" s="389"/>
      <c r="AE245" s="389"/>
      <c r="AF245" s="389"/>
    </row>
    <row r="246" hidden="1">
      <c r="A246" s="389"/>
      <c r="B246" s="389"/>
      <c r="C246" s="389"/>
      <c r="D246" s="389"/>
      <c r="E246" s="389"/>
      <c r="F246" s="392"/>
      <c r="G246" s="392"/>
      <c r="H246" s="389"/>
      <c r="I246" s="389"/>
      <c r="J246" s="389"/>
      <c r="K246" s="389"/>
      <c r="L246" s="389"/>
      <c r="M246" s="389"/>
      <c r="N246" s="389"/>
      <c r="O246" s="389"/>
      <c r="P246" s="389"/>
      <c r="Q246" s="389"/>
      <c r="R246" s="389"/>
      <c r="S246" s="389"/>
      <c r="T246" s="389"/>
      <c r="U246" s="389"/>
      <c r="V246" s="389"/>
      <c r="W246" s="389"/>
      <c r="X246" s="389"/>
      <c r="Y246" s="389"/>
      <c r="Z246" s="389"/>
      <c r="AA246" s="389"/>
      <c r="AB246" s="389"/>
      <c r="AC246" s="389"/>
      <c r="AD246" s="389"/>
      <c r="AE246" s="389"/>
      <c r="AF246" s="389"/>
    </row>
    <row r="247" hidden="1">
      <c r="A247" s="389"/>
      <c r="B247" s="389"/>
      <c r="C247" s="389"/>
      <c r="D247" s="389"/>
      <c r="E247" s="389"/>
      <c r="F247" s="392"/>
      <c r="G247" s="392"/>
      <c r="H247" s="389"/>
      <c r="I247" s="389"/>
      <c r="J247" s="389"/>
      <c r="K247" s="389"/>
      <c r="L247" s="389"/>
      <c r="M247" s="389"/>
      <c r="N247" s="389"/>
      <c r="O247" s="389"/>
      <c r="P247" s="389"/>
      <c r="Q247" s="389"/>
      <c r="R247" s="389"/>
      <c r="S247" s="389"/>
      <c r="T247" s="389"/>
      <c r="U247" s="389"/>
      <c r="V247" s="389"/>
      <c r="W247" s="389"/>
      <c r="X247" s="389"/>
      <c r="Y247" s="389"/>
      <c r="Z247" s="389"/>
      <c r="AA247" s="389"/>
      <c r="AB247" s="389"/>
      <c r="AC247" s="389"/>
      <c r="AD247" s="389"/>
      <c r="AE247" s="389"/>
      <c r="AF247" s="389"/>
    </row>
    <row r="248" hidden="1">
      <c r="A248" s="389"/>
      <c r="B248" s="389"/>
      <c r="C248" s="389"/>
      <c r="D248" s="389"/>
      <c r="E248" s="389"/>
      <c r="F248" s="392"/>
      <c r="G248" s="392"/>
      <c r="H248" s="389"/>
      <c r="I248" s="389"/>
      <c r="J248" s="389"/>
      <c r="K248" s="389"/>
      <c r="L248" s="389"/>
      <c r="M248" s="389"/>
      <c r="N248" s="389"/>
      <c r="O248" s="389"/>
      <c r="P248" s="389"/>
      <c r="Q248" s="389"/>
      <c r="R248" s="389"/>
      <c r="S248" s="389"/>
      <c r="T248" s="389"/>
      <c r="U248" s="389"/>
      <c r="V248" s="389"/>
      <c r="W248" s="389"/>
      <c r="X248" s="389"/>
      <c r="Y248" s="389"/>
      <c r="Z248" s="389"/>
      <c r="AA248" s="389"/>
      <c r="AB248" s="389"/>
      <c r="AC248" s="389"/>
      <c r="AD248" s="389"/>
      <c r="AE248" s="389"/>
      <c r="AF248" s="389"/>
    </row>
    <row r="249" hidden="1">
      <c r="A249" s="389"/>
      <c r="B249" s="389"/>
      <c r="C249" s="389"/>
      <c r="D249" s="389"/>
      <c r="E249" s="389"/>
      <c r="F249" s="392"/>
      <c r="G249" s="392"/>
      <c r="H249" s="389"/>
      <c r="I249" s="389"/>
      <c r="J249" s="389"/>
      <c r="K249" s="389"/>
      <c r="L249" s="389"/>
      <c r="M249" s="389"/>
      <c r="N249" s="389"/>
      <c r="O249" s="389"/>
      <c r="P249" s="389"/>
      <c r="Q249" s="389"/>
      <c r="R249" s="389"/>
      <c r="S249" s="389"/>
      <c r="T249" s="389"/>
      <c r="U249" s="389"/>
      <c r="V249" s="389"/>
      <c r="W249" s="389"/>
      <c r="X249" s="389"/>
      <c r="Y249" s="389"/>
      <c r="Z249" s="389"/>
      <c r="AA249" s="389"/>
      <c r="AB249" s="389"/>
      <c r="AC249" s="389"/>
      <c r="AD249" s="389"/>
      <c r="AE249" s="389"/>
      <c r="AF249" s="389"/>
    </row>
    <row r="250" hidden="1">
      <c r="A250" s="389"/>
      <c r="B250" s="389"/>
      <c r="C250" s="389"/>
      <c r="D250" s="389"/>
      <c r="E250" s="389"/>
      <c r="F250" s="392"/>
      <c r="G250" s="392"/>
      <c r="H250" s="389"/>
      <c r="I250" s="389"/>
      <c r="J250" s="389"/>
      <c r="K250" s="389"/>
      <c r="L250" s="389"/>
      <c r="M250" s="389"/>
      <c r="N250" s="389"/>
      <c r="O250" s="389"/>
      <c r="P250" s="389"/>
      <c r="Q250" s="389"/>
      <c r="R250" s="389"/>
      <c r="S250" s="389"/>
      <c r="T250" s="389"/>
      <c r="U250" s="389"/>
      <c r="V250" s="389"/>
      <c r="W250" s="389"/>
      <c r="X250" s="389"/>
      <c r="Y250" s="389"/>
      <c r="Z250" s="389"/>
      <c r="AA250" s="389"/>
      <c r="AB250" s="389"/>
      <c r="AC250" s="389"/>
      <c r="AD250" s="389"/>
      <c r="AE250" s="389"/>
      <c r="AF250" s="389"/>
    </row>
    <row r="251" hidden="1">
      <c r="A251" s="389"/>
      <c r="B251" s="389"/>
      <c r="C251" s="389"/>
      <c r="D251" s="389"/>
      <c r="E251" s="389"/>
      <c r="F251" s="392"/>
      <c r="G251" s="392"/>
      <c r="H251" s="389"/>
      <c r="I251" s="389"/>
      <c r="J251" s="389"/>
      <c r="K251" s="389"/>
      <c r="L251" s="389"/>
      <c r="M251" s="389"/>
      <c r="N251" s="389"/>
      <c r="O251" s="389"/>
      <c r="P251" s="389"/>
      <c r="Q251" s="389"/>
      <c r="R251" s="389"/>
      <c r="S251" s="389"/>
      <c r="T251" s="389"/>
      <c r="U251" s="389"/>
      <c r="V251" s="389"/>
      <c r="W251" s="389"/>
      <c r="X251" s="389"/>
      <c r="Y251" s="389"/>
      <c r="Z251" s="389"/>
      <c r="AA251" s="389"/>
      <c r="AB251" s="389"/>
      <c r="AC251" s="389"/>
      <c r="AD251" s="389"/>
      <c r="AE251" s="389"/>
      <c r="AF251" s="389"/>
    </row>
    <row r="252" hidden="1">
      <c r="A252" s="389"/>
      <c r="B252" s="389"/>
      <c r="C252" s="389"/>
      <c r="D252" s="389"/>
      <c r="E252" s="389"/>
      <c r="F252" s="392"/>
      <c r="G252" s="392"/>
      <c r="H252" s="389"/>
      <c r="I252" s="389"/>
      <c r="J252" s="389"/>
      <c r="K252" s="389"/>
      <c r="L252" s="389"/>
      <c r="M252" s="389"/>
      <c r="N252" s="389"/>
      <c r="O252" s="389"/>
      <c r="P252" s="389"/>
      <c r="Q252" s="389"/>
      <c r="R252" s="389"/>
      <c r="S252" s="389"/>
      <c r="T252" s="389"/>
      <c r="U252" s="389"/>
      <c r="V252" s="389"/>
      <c r="W252" s="389"/>
      <c r="X252" s="389"/>
      <c r="Y252" s="389"/>
      <c r="Z252" s="389"/>
      <c r="AA252" s="389"/>
      <c r="AB252" s="389"/>
      <c r="AC252" s="389"/>
      <c r="AD252" s="389"/>
      <c r="AE252" s="389"/>
      <c r="AF252" s="389"/>
    </row>
    <row r="253" hidden="1">
      <c r="A253" s="389"/>
      <c r="B253" s="389"/>
      <c r="C253" s="389"/>
      <c r="D253" s="389"/>
      <c r="E253" s="389"/>
      <c r="F253" s="392"/>
      <c r="G253" s="392"/>
      <c r="H253" s="389"/>
      <c r="I253" s="389"/>
      <c r="J253" s="389"/>
      <c r="K253" s="389"/>
      <c r="L253" s="389"/>
      <c r="M253" s="389"/>
      <c r="N253" s="389"/>
      <c r="O253" s="389"/>
      <c r="P253" s="389"/>
      <c r="Q253" s="389"/>
      <c r="R253" s="389"/>
      <c r="S253" s="389"/>
      <c r="T253" s="389"/>
      <c r="U253" s="389"/>
      <c r="V253" s="389"/>
      <c r="W253" s="389"/>
      <c r="X253" s="389"/>
      <c r="Y253" s="389"/>
      <c r="Z253" s="389"/>
      <c r="AA253" s="389"/>
      <c r="AB253" s="389"/>
      <c r="AC253" s="389"/>
      <c r="AD253" s="389"/>
      <c r="AE253" s="389"/>
      <c r="AF253" s="389"/>
    </row>
    <row r="254" hidden="1">
      <c r="A254" s="389"/>
      <c r="B254" s="389"/>
      <c r="C254" s="389"/>
      <c r="D254" s="389"/>
      <c r="E254" s="389"/>
      <c r="F254" s="392"/>
      <c r="G254" s="392"/>
      <c r="H254" s="389"/>
      <c r="I254" s="389"/>
      <c r="J254" s="389"/>
      <c r="K254" s="389"/>
      <c r="L254" s="389"/>
      <c r="M254" s="389"/>
      <c r="N254" s="389"/>
      <c r="O254" s="389"/>
      <c r="P254" s="389"/>
      <c r="Q254" s="389"/>
      <c r="R254" s="389"/>
      <c r="S254" s="389"/>
      <c r="T254" s="389"/>
      <c r="U254" s="389"/>
      <c r="V254" s="389"/>
      <c r="W254" s="389"/>
      <c r="X254" s="389"/>
      <c r="Y254" s="389"/>
      <c r="Z254" s="389"/>
      <c r="AA254" s="389"/>
      <c r="AB254" s="389"/>
      <c r="AC254" s="389"/>
      <c r="AD254" s="389"/>
      <c r="AE254" s="389"/>
      <c r="AF254" s="389"/>
    </row>
    <row r="255" hidden="1">
      <c r="A255" s="389"/>
      <c r="B255" s="389"/>
      <c r="C255" s="389"/>
      <c r="D255" s="389"/>
      <c r="E255" s="389"/>
      <c r="F255" s="392"/>
      <c r="G255" s="392"/>
      <c r="H255" s="389"/>
      <c r="I255" s="389"/>
      <c r="J255" s="389"/>
      <c r="K255" s="389"/>
      <c r="L255" s="389"/>
      <c r="M255" s="389"/>
      <c r="N255" s="389"/>
      <c r="O255" s="389"/>
      <c r="P255" s="389"/>
      <c r="Q255" s="389"/>
      <c r="R255" s="389"/>
      <c r="S255" s="389"/>
      <c r="T255" s="389"/>
      <c r="U255" s="389"/>
      <c r="V255" s="389"/>
      <c r="W255" s="389"/>
      <c r="X255" s="389"/>
      <c r="Y255" s="389"/>
      <c r="Z255" s="389"/>
      <c r="AA255" s="389"/>
      <c r="AB255" s="389"/>
      <c r="AC255" s="389"/>
      <c r="AD255" s="389"/>
      <c r="AE255" s="389"/>
      <c r="AF255" s="389"/>
    </row>
    <row r="256" hidden="1">
      <c r="A256" s="389"/>
      <c r="B256" s="389"/>
      <c r="C256" s="389"/>
      <c r="D256" s="389"/>
      <c r="E256" s="389"/>
      <c r="F256" s="392"/>
      <c r="G256" s="392"/>
      <c r="H256" s="389"/>
      <c r="I256" s="389"/>
      <c r="J256" s="389"/>
      <c r="K256" s="389"/>
      <c r="L256" s="389"/>
      <c r="M256" s="389"/>
      <c r="N256" s="389"/>
      <c r="O256" s="389"/>
      <c r="P256" s="389"/>
      <c r="Q256" s="389"/>
      <c r="R256" s="389"/>
      <c r="S256" s="389"/>
      <c r="T256" s="389"/>
      <c r="U256" s="389"/>
      <c r="V256" s="389"/>
      <c r="W256" s="389"/>
      <c r="X256" s="389"/>
      <c r="Y256" s="389"/>
      <c r="Z256" s="389"/>
      <c r="AA256" s="389"/>
      <c r="AB256" s="389"/>
      <c r="AC256" s="389"/>
      <c r="AD256" s="389"/>
      <c r="AE256" s="389"/>
      <c r="AF256" s="389"/>
    </row>
    <row r="257" hidden="1">
      <c r="A257" s="389"/>
      <c r="B257" s="389"/>
      <c r="C257" s="389"/>
      <c r="D257" s="389"/>
      <c r="E257" s="389"/>
      <c r="F257" s="392"/>
      <c r="G257" s="392"/>
      <c r="H257" s="389"/>
      <c r="I257" s="389"/>
      <c r="J257" s="389"/>
      <c r="K257" s="389"/>
      <c r="L257" s="389"/>
      <c r="M257" s="389"/>
      <c r="N257" s="389"/>
      <c r="O257" s="389"/>
      <c r="P257" s="389"/>
      <c r="Q257" s="389"/>
      <c r="R257" s="389"/>
      <c r="S257" s="389"/>
      <c r="T257" s="389"/>
      <c r="U257" s="389"/>
      <c r="V257" s="389"/>
      <c r="W257" s="389"/>
      <c r="X257" s="389"/>
      <c r="Y257" s="389"/>
      <c r="Z257" s="389"/>
      <c r="AA257" s="389"/>
      <c r="AB257" s="389"/>
      <c r="AC257" s="389"/>
      <c r="AD257" s="389"/>
      <c r="AE257" s="389"/>
      <c r="AF257" s="389"/>
    </row>
    <row r="258" hidden="1">
      <c r="A258" s="389"/>
      <c r="B258" s="389"/>
      <c r="C258" s="389"/>
      <c r="D258" s="389"/>
      <c r="E258" s="389"/>
      <c r="F258" s="392"/>
      <c r="G258" s="392"/>
      <c r="H258" s="389"/>
      <c r="I258" s="389"/>
      <c r="J258" s="389"/>
      <c r="K258" s="389"/>
      <c r="L258" s="389"/>
      <c r="M258" s="389"/>
      <c r="N258" s="389"/>
      <c r="O258" s="389"/>
      <c r="P258" s="389"/>
      <c r="Q258" s="389"/>
      <c r="R258" s="389"/>
      <c r="S258" s="389"/>
      <c r="T258" s="389"/>
      <c r="U258" s="389"/>
      <c r="V258" s="389"/>
      <c r="W258" s="389"/>
      <c r="X258" s="389"/>
      <c r="Y258" s="389"/>
      <c r="Z258" s="389"/>
      <c r="AA258" s="389"/>
      <c r="AB258" s="389"/>
      <c r="AC258" s="389"/>
      <c r="AD258" s="389"/>
      <c r="AE258" s="389"/>
      <c r="AF258" s="389"/>
    </row>
    <row r="259" hidden="1">
      <c r="A259" s="389"/>
      <c r="B259" s="389"/>
      <c r="C259" s="389"/>
      <c r="D259" s="389"/>
      <c r="E259" s="389"/>
      <c r="F259" s="392"/>
      <c r="G259" s="392"/>
      <c r="H259" s="389"/>
      <c r="I259" s="389"/>
      <c r="J259" s="389"/>
      <c r="K259" s="389"/>
      <c r="L259" s="389"/>
      <c r="M259" s="389"/>
      <c r="N259" s="389"/>
      <c r="O259" s="389"/>
      <c r="P259" s="389"/>
      <c r="Q259" s="389"/>
      <c r="R259" s="389"/>
      <c r="S259" s="389"/>
      <c r="T259" s="389"/>
      <c r="U259" s="389"/>
      <c r="V259" s="389"/>
      <c r="W259" s="389"/>
      <c r="X259" s="389"/>
      <c r="Y259" s="389"/>
      <c r="Z259" s="389"/>
      <c r="AA259" s="389"/>
      <c r="AB259" s="389"/>
      <c r="AC259" s="389"/>
      <c r="AD259" s="389"/>
      <c r="AE259" s="389"/>
      <c r="AF259" s="389"/>
    </row>
    <row r="260" hidden="1">
      <c r="A260" s="389"/>
      <c r="B260" s="389"/>
      <c r="C260" s="389"/>
      <c r="D260" s="389"/>
      <c r="E260" s="389"/>
      <c r="F260" s="392"/>
      <c r="G260" s="392"/>
      <c r="H260" s="389"/>
      <c r="I260" s="389"/>
      <c r="J260" s="389"/>
      <c r="K260" s="389"/>
      <c r="L260" s="389"/>
      <c r="M260" s="389"/>
      <c r="N260" s="389"/>
      <c r="O260" s="389"/>
      <c r="P260" s="389"/>
      <c r="Q260" s="389"/>
      <c r="R260" s="389"/>
      <c r="S260" s="389"/>
      <c r="T260" s="389"/>
      <c r="U260" s="389"/>
      <c r="V260" s="389"/>
      <c r="W260" s="389"/>
      <c r="X260" s="389"/>
      <c r="Y260" s="389"/>
      <c r="Z260" s="389"/>
      <c r="AA260" s="389"/>
      <c r="AB260" s="389"/>
      <c r="AC260" s="389"/>
      <c r="AD260" s="389"/>
      <c r="AE260" s="389"/>
      <c r="AF260" s="389"/>
    </row>
    <row r="261" hidden="1">
      <c r="A261" s="389"/>
      <c r="B261" s="389"/>
      <c r="C261" s="389"/>
      <c r="D261" s="389"/>
      <c r="E261" s="389"/>
      <c r="F261" s="392"/>
      <c r="G261" s="392"/>
      <c r="H261" s="389"/>
      <c r="I261" s="389"/>
      <c r="J261" s="389"/>
      <c r="K261" s="389"/>
      <c r="L261" s="389"/>
      <c r="M261" s="389"/>
      <c r="N261" s="389"/>
      <c r="O261" s="389"/>
      <c r="P261" s="389"/>
      <c r="Q261" s="389"/>
      <c r="R261" s="389"/>
      <c r="S261" s="389"/>
      <c r="T261" s="389"/>
      <c r="U261" s="389"/>
      <c r="V261" s="389"/>
      <c r="W261" s="389"/>
      <c r="X261" s="389"/>
      <c r="Y261" s="389"/>
      <c r="Z261" s="389"/>
      <c r="AA261" s="389"/>
      <c r="AB261" s="389"/>
      <c r="AC261" s="389"/>
      <c r="AD261" s="389"/>
      <c r="AE261" s="389"/>
      <c r="AF261" s="389"/>
    </row>
    <row r="262" hidden="1">
      <c r="A262" s="389"/>
      <c r="B262" s="389"/>
      <c r="C262" s="389"/>
      <c r="D262" s="389"/>
      <c r="E262" s="389"/>
      <c r="F262" s="392"/>
      <c r="G262" s="392"/>
      <c r="H262" s="389"/>
      <c r="I262" s="389"/>
      <c r="J262" s="389"/>
      <c r="K262" s="389"/>
      <c r="L262" s="389"/>
      <c r="M262" s="389"/>
      <c r="N262" s="389"/>
      <c r="O262" s="389"/>
      <c r="P262" s="389"/>
      <c r="Q262" s="389"/>
      <c r="R262" s="389"/>
      <c r="S262" s="389"/>
      <c r="T262" s="389"/>
      <c r="U262" s="389"/>
      <c r="V262" s="389"/>
      <c r="W262" s="389"/>
      <c r="X262" s="389"/>
      <c r="Y262" s="389"/>
      <c r="Z262" s="389"/>
      <c r="AA262" s="389"/>
      <c r="AB262" s="389"/>
      <c r="AC262" s="389"/>
      <c r="AD262" s="389"/>
      <c r="AE262" s="389"/>
      <c r="AF262" s="389"/>
    </row>
    <row r="263" hidden="1">
      <c r="A263" s="389"/>
      <c r="B263" s="389"/>
      <c r="C263" s="389"/>
      <c r="D263" s="389"/>
      <c r="E263" s="389"/>
      <c r="F263" s="392"/>
      <c r="G263" s="392"/>
      <c r="H263" s="389"/>
      <c r="I263" s="389"/>
      <c r="J263" s="389"/>
      <c r="K263" s="389"/>
      <c r="L263" s="389"/>
      <c r="M263" s="389"/>
      <c r="N263" s="389"/>
      <c r="O263" s="389"/>
      <c r="P263" s="389"/>
      <c r="Q263" s="389"/>
      <c r="R263" s="389"/>
      <c r="S263" s="389"/>
      <c r="T263" s="389"/>
      <c r="U263" s="389"/>
      <c r="V263" s="389"/>
      <c r="W263" s="389"/>
      <c r="X263" s="389"/>
      <c r="Y263" s="389"/>
      <c r="Z263" s="389"/>
      <c r="AA263" s="389"/>
      <c r="AB263" s="389"/>
      <c r="AC263" s="389"/>
      <c r="AD263" s="389"/>
      <c r="AE263" s="389"/>
      <c r="AF263" s="389"/>
    </row>
    <row r="264" hidden="1">
      <c r="A264" s="389"/>
      <c r="B264" s="389"/>
      <c r="C264" s="389"/>
      <c r="D264" s="389"/>
      <c r="E264" s="389"/>
      <c r="F264" s="392"/>
      <c r="G264" s="392"/>
      <c r="H264" s="389"/>
      <c r="I264" s="389"/>
      <c r="J264" s="389"/>
      <c r="K264" s="389"/>
      <c r="L264" s="389"/>
      <c r="M264" s="389"/>
      <c r="N264" s="389"/>
      <c r="O264" s="389"/>
      <c r="P264" s="389"/>
      <c r="Q264" s="389"/>
      <c r="R264" s="389"/>
      <c r="S264" s="389"/>
      <c r="T264" s="389"/>
      <c r="U264" s="389"/>
      <c r="V264" s="389"/>
      <c r="W264" s="389"/>
      <c r="X264" s="389"/>
      <c r="Y264" s="389"/>
      <c r="Z264" s="389"/>
      <c r="AA264" s="389"/>
      <c r="AB264" s="389"/>
      <c r="AC264" s="389"/>
      <c r="AD264" s="389"/>
      <c r="AE264" s="389"/>
      <c r="AF264" s="389"/>
    </row>
    <row r="265" hidden="1">
      <c r="A265" s="389"/>
      <c r="B265" s="389"/>
      <c r="C265" s="389"/>
      <c r="D265" s="389"/>
      <c r="E265" s="389"/>
      <c r="F265" s="392"/>
      <c r="G265" s="392"/>
      <c r="H265" s="389"/>
      <c r="I265" s="389"/>
      <c r="J265" s="389"/>
      <c r="K265" s="389"/>
      <c r="L265" s="389"/>
      <c r="M265" s="389"/>
      <c r="N265" s="389"/>
      <c r="O265" s="389"/>
      <c r="P265" s="389"/>
      <c r="Q265" s="389"/>
      <c r="R265" s="389"/>
      <c r="S265" s="389"/>
      <c r="T265" s="389"/>
      <c r="U265" s="389"/>
      <c r="V265" s="389"/>
      <c r="W265" s="389"/>
      <c r="X265" s="389"/>
      <c r="Y265" s="389"/>
      <c r="Z265" s="389"/>
      <c r="AA265" s="389"/>
      <c r="AB265" s="389"/>
      <c r="AC265" s="389"/>
      <c r="AD265" s="389"/>
      <c r="AE265" s="389"/>
      <c r="AF265" s="389"/>
    </row>
    <row r="266" hidden="1">
      <c r="A266" s="389"/>
      <c r="B266" s="389"/>
      <c r="C266" s="389"/>
      <c r="D266" s="389"/>
      <c r="E266" s="389"/>
      <c r="F266" s="392"/>
      <c r="G266" s="392"/>
      <c r="H266" s="389"/>
      <c r="I266" s="389"/>
      <c r="J266" s="389"/>
      <c r="K266" s="389"/>
      <c r="L266" s="389"/>
      <c r="M266" s="389"/>
      <c r="N266" s="389"/>
      <c r="O266" s="389"/>
      <c r="P266" s="389"/>
      <c r="Q266" s="389"/>
      <c r="R266" s="389"/>
      <c r="S266" s="389"/>
      <c r="T266" s="389"/>
      <c r="U266" s="389"/>
      <c r="V266" s="389"/>
      <c r="W266" s="389"/>
      <c r="X266" s="389"/>
      <c r="Y266" s="389"/>
      <c r="Z266" s="389"/>
      <c r="AA266" s="389"/>
      <c r="AB266" s="389"/>
      <c r="AC266" s="389"/>
      <c r="AD266" s="389"/>
      <c r="AE266" s="389"/>
      <c r="AF266" s="389"/>
    </row>
    <row r="267" hidden="1">
      <c r="A267" s="389"/>
      <c r="B267" s="389"/>
      <c r="C267" s="389"/>
      <c r="D267" s="389"/>
      <c r="E267" s="389"/>
      <c r="F267" s="392"/>
      <c r="G267" s="392"/>
      <c r="H267" s="389"/>
      <c r="I267" s="389"/>
      <c r="J267" s="389"/>
      <c r="K267" s="389"/>
      <c r="L267" s="389"/>
      <c r="M267" s="389"/>
      <c r="N267" s="389"/>
      <c r="O267" s="389"/>
      <c r="P267" s="389"/>
      <c r="Q267" s="389"/>
      <c r="R267" s="389"/>
      <c r="S267" s="389"/>
      <c r="T267" s="389"/>
      <c r="U267" s="389"/>
      <c r="V267" s="389"/>
      <c r="W267" s="389"/>
      <c r="X267" s="389"/>
      <c r="Y267" s="389"/>
      <c r="Z267" s="389"/>
      <c r="AA267" s="389"/>
      <c r="AB267" s="389"/>
      <c r="AC267" s="389"/>
      <c r="AD267" s="389"/>
      <c r="AE267" s="389"/>
      <c r="AF267" s="389"/>
    </row>
    <row r="268" hidden="1">
      <c r="A268" s="389"/>
      <c r="B268" s="389"/>
      <c r="C268" s="389"/>
      <c r="D268" s="389"/>
      <c r="E268" s="389"/>
      <c r="F268" s="392"/>
      <c r="G268" s="392"/>
      <c r="H268" s="389"/>
      <c r="I268" s="389"/>
      <c r="J268" s="389"/>
      <c r="K268" s="389"/>
      <c r="L268" s="389"/>
      <c r="M268" s="389"/>
      <c r="N268" s="389"/>
      <c r="O268" s="389"/>
      <c r="P268" s="389"/>
      <c r="Q268" s="389"/>
      <c r="R268" s="389"/>
      <c r="S268" s="389"/>
      <c r="T268" s="389"/>
      <c r="U268" s="389"/>
      <c r="V268" s="389"/>
      <c r="W268" s="389"/>
      <c r="X268" s="389"/>
      <c r="Y268" s="389"/>
      <c r="Z268" s="389"/>
      <c r="AA268" s="389"/>
      <c r="AB268" s="389"/>
      <c r="AC268" s="389"/>
      <c r="AD268" s="389"/>
      <c r="AE268" s="389"/>
      <c r="AF268" s="389"/>
    </row>
    <row r="269" hidden="1">
      <c r="A269" s="389"/>
      <c r="B269" s="389"/>
      <c r="C269" s="389"/>
      <c r="D269" s="389"/>
      <c r="E269" s="389"/>
      <c r="F269" s="392"/>
      <c r="G269" s="392"/>
      <c r="H269" s="389"/>
      <c r="I269" s="389"/>
      <c r="J269" s="389"/>
      <c r="K269" s="389"/>
      <c r="L269" s="389"/>
      <c r="M269" s="389"/>
      <c r="N269" s="389"/>
      <c r="O269" s="389"/>
      <c r="P269" s="389"/>
      <c r="Q269" s="389"/>
      <c r="R269" s="389"/>
      <c r="S269" s="389"/>
      <c r="T269" s="389"/>
      <c r="U269" s="389"/>
      <c r="V269" s="389"/>
      <c r="W269" s="389"/>
      <c r="X269" s="389"/>
      <c r="Y269" s="389"/>
      <c r="Z269" s="389"/>
      <c r="AA269" s="389"/>
      <c r="AB269" s="389"/>
      <c r="AC269" s="389"/>
      <c r="AD269" s="389"/>
      <c r="AE269" s="389"/>
      <c r="AF269" s="389"/>
    </row>
    <row r="270" hidden="1">
      <c r="A270" s="389"/>
      <c r="B270" s="389"/>
      <c r="C270" s="389"/>
      <c r="D270" s="389"/>
      <c r="E270" s="389"/>
      <c r="F270" s="392"/>
      <c r="G270" s="392"/>
      <c r="H270" s="389"/>
      <c r="I270" s="389"/>
      <c r="J270" s="389"/>
      <c r="K270" s="389"/>
      <c r="L270" s="389"/>
      <c r="M270" s="389"/>
      <c r="N270" s="389"/>
      <c r="O270" s="389"/>
      <c r="P270" s="389"/>
      <c r="Q270" s="389"/>
      <c r="R270" s="389"/>
      <c r="S270" s="389"/>
      <c r="T270" s="389"/>
      <c r="U270" s="389"/>
      <c r="V270" s="389"/>
      <c r="W270" s="389"/>
      <c r="X270" s="389"/>
      <c r="Y270" s="389"/>
      <c r="Z270" s="389"/>
      <c r="AA270" s="389"/>
      <c r="AB270" s="389"/>
      <c r="AC270" s="389"/>
      <c r="AD270" s="389"/>
      <c r="AE270" s="389"/>
      <c r="AF270" s="389"/>
    </row>
    <row r="271" hidden="1">
      <c r="A271" s="389"/>
      <c r="B271" s="389"/>
      <c r="C271" s="389"/>
      <c r="D271" s="389"/>
      <c r="E271" s="389"/>
      <c r="F271" s="392"/>
      <c r="G271" s="392"/>
      <c r="H271" s="389"/>
      <c r="I271" s="389"/>
      <c r="J271" s="389"/>
      <c r="K271" s="389"/>
      <c r="L271" s="389"/>
      <c r="M271" s="389"/>
      <c r="N271" s="389"/>
      <c r="O271" s="389"/>
      <c r="P271" s="389"/>
      <c r="Q271" s="389"/>
      <c r="R271" s="389"/>
      <c r="S271" s="389"/>
      <c r="T271" s="389"/>
      <c r="U271" s="389"/>
      <c r="V271" s="389"/>
      <c r="W271" s="389"/>
      <c r="X271" s="389"/>
      <c r="Y271" s="389"/>
      <c r="Z271" s="389"/>
      <c r="AA271" s="389"/>
      <c r="AB271" s="389"/>
      <c r="AC271" s="389"/>
      <c r="AD271" s="389"/>
      <c r="AE271" s="389"/>
      <c r="AF271" s="389"/>
    </row>
    <row r="272" hidden="1">
      <c r="A272" s="389"/>
      <c r="B272" s="389"/>
      <c r="C272" s="389"/>
      <c r="D272" s="389"/>
      <c r="E272" s="389"/>
      <c r="F272" s="392"/>
      <c r="G272" s="392"/>
      <c r="H272" s="389"/>
      <c r="I272" s="389"/>
      <c r="J272" s="389"/>
      <c r="K272" s="389"/>
      <c r="L272" s="389"/>
      <c r="M272" s="389"/>
      <c r="N272" s="389"/>
      <c r="O272" s="389"/>
      <c r="P272" s="389"/>
      <c r="Q272" s="389"/>
      <c r="R272" s="389"/>
      <c r="S272" s="389"/>
      <c r="T272" s="389"/>
      <c r="U272" s="389"/>
      <c r="V272" s="389"/>
      <c r="W272" s="389"/>
      <c r="X272" s="389"/>
      <c r="Y272" s="389"/>
      <c r="Z272" s="389"/>
      <c r="AA272" s="389"/>
      <c r="AB272" s="389"/>
      <c r="AC272" s="389"/>
      <c r="AD272" s="389"/>
      <c r="AE272" s="389"/>
      <c r="AF272" s="389"/>
    </row>
    <row r="273" hidden="1">
      <c r="A273" s="389"/>
      <c r="B273" s="389"/>
      <c r="C273" s="389"/>
      <c r="D273" s="389"/>
      <c r="E273" s="389"/>
      <c r="F273" s="392"/>
      <c r="G273" s="392"/>
      <c r="H273" s="389"/>
      <c r="I273" s="389"/>
      <c r="J273" s="389"/>
      <c r="K273" s="389"/>
      <c r="L273" s="389"/>
      <c r="M273" s="389"/>
      <c r="N273" s="389"/>
      <c r="O273" s="389"/>
      <c r="P273" s="389"/>
      <c r="Q273" s="389"/>
      <c r="R273" s="389"/>
      <c r="S273" s="389"/>
      <c r="T273" s="389"/>
      <c r="U273" s="389"/>
      <c r="V273" s="389"/>
      <c r="W273" s="389"/>
      <c r="X273" s="389"/>
      <c r="Y273" s="389"/>
      <c r="Z273" s="389"/>
      <c r="AA273" s="389"/>
      <c r="AB273" s="389"/>
      <c r="AC273" s="389"/>
      <c r="AD273" s="389"/>
      <c r="AE273" s="389"/>
      <c r="AF273" s="389"/>
    </row>
    <row r="274" hidden="1">
      <c r="A274" s="389"/>
      <c r="B274" s="389"/>
      <c r="C274" s="389"/>
      <c r="D274" s="389"/>
      <c r="E274" s="389"/>
      <c r="F274" s="392"/>
      <c r="G274" s="392"/>
      <c r="H274" s="389"/>
      <c r="I274" s="389"/>
      <c r="J274" s="389"/>
      <c r="K274" s="389"/>
      <c r="L274" s="389"/>
      <c r="M274" s="389"/>
      <c r="N274" s="389"/>
      <c r="O274" s="389"/>
      <c r="P274" s="389"/>
      <c r="Q274" s="389"/>
      <c r="R274" s="389"/>
      <c r="S274" s="389"/>
      <c r="T274" s="389"/>
      <c r="U274" s="389"/>
      <c r="V274" s="389"/>
      <c r="W274" s="389"/>
      <c r="X274" s="389"/>
      <c r="Y274" s="389"/>
      <c r="Z274" s="389"/>
      <c r="AA274" s="389"/>
      <c r="AB274" s="389"/>
      <c r="AC274" s="389"/>
      <c r="AD274" s="389"/>
      <c r="AE274" s="389"/>
      <c r="AF274" s="389"/>
    </row>
    <row r="275" hidden="1">
      <c r="A275" s="389"/>
      <c r="B275" s="389"/>
      <c r="C275" s="389"/>
      <c r="D275" s="389"/>
      <c r="E275" s="389"/>
      <c r="F275" s="392"/>
      <c r="G275" s="392"/>
      <c r="H275" s="389"/>
      <c r="I275" s="389"/>
      <c r="J275" s="389"/>
      <c r="K275" s="389"/>
      <c r="L275" s="389"/>
      <c r="M275" s="389"/>
      <c r="N275" s="389"/>
      <c r="O275" s="389"/>
      <c r="P275" s="389"/>
      <c r="Q275" s="389"/>
      <c r="R275" s="389"/>
      <c r="S275" s="389"/>
      <c r="T275" s="389"/>
      <c r="U275" s="389"/>
      <c r="V275" s="389"/>
      <c r="W275" s="389"/>
      <c r="X275" s="389"/>
      <c r="Y275" s="389"/>
      <c r="Z275" s="389"/>
      <c r="AA275" s="389"/>
      <c r="AB275" s="389"/>
      <c r="AC275" s="389"/>
      <c r="AD275" s="389"/>
      <c r="AE275" s="389"/>
      <c r="AF275" s="389"/>
    </row>
    <row r="276" hidden="1">
      <c r="A276" s="389"/>
      <c r="B276" s="389"/>
      <c r="C276" s="389"/>
      <c r="D276" s="389"/>
      <c r="E276" s="389"/>
      <c r="F276" s="392"/>
      <c r="G276" s="392"/>
      <c r="H276" s="389"/>
      <c r="I276" s="389"/>
      <c r="J276" s="389"/>
      <c r="K276" s="389"/>
      <c r="L276" s="389"/>
      <c r="M276" s="389"/>
      <c r="N276" s="389"/>
      <c r="O276" s="389"/>
      <c r="P276" s="389"/>
      <c r="Q276" s="389"/>
      <c r="R276" s="389"/>
      <c r="S276" s="389"/>
      <c r="T276" s="389"/>
      <c r="U276" s="389"/>
      <c r="V276" s="389"/>
      <c r="W276" s="389"/>
      <c r="X276" s="389"/>
      <c r="Y276" s="389"/>
      <c r="Z276" s="389"/>
      <c r="AA276" s="389"/>
      <c r="AB276" s="389"/>
      <c r="AC276" s="389"/>
      <c r="AD276" s="389"/>
      <c r="AE276" s="389"/>
      <c r="AF276" s="389"/>
    </row>
    <row r="277" hidden="1">
      <c r="A277" s="389"/>
      <c r="B277" s="389"/>
      <c r="C277" s="389"/>
      <c r="D277" s="389"/>
      <c r="E277" s="389"/>
      <c r="F277" s="392"/>
      <c r="G277" s="392"/>
      <c r="H277" s="389"/>
      <c r="I277" s="389"/>
      <c r="J277" s="389"/>
      <c r="K277" s="389"/>
      <c r="L277" s="389"/>
      <c r="M277" s="389"/>
      <c r="N277" s="389"/>
      <c r="O277" s="389"/>
      <c r="P277" s="389"/>
      <c r="Q277" s="389"/>
      <c r="R277" s="389"/>
      <c r="S277" s="389"/>
      <c r="T277" s="389"/>
      <c r="U277" s="389"/>
      <c r="V277" s="389"/>
      <c r="W277" s="389"/>
      <c r="X277" s="389"/>
      <c r="Y277" s="389"/>
      <c r="Z277" s="389"/>
      <c r="AA277" s="389"/>
      <c r="AB277" s="389"/>
      <c r="AC277" s="389"/>
      <c r="AD277" s="389"/>
      <c r="AE277" s="389"/>
      <c r="AF277" s="389"/>
    </row>
    <row r="278" hidden="1">
      <c r="A278" s="389"/>
      <c r="B278" s="389"/>
      <c r="C278" s="389"/>
      <c r="D278" s="389"/>
      <c r="E278" s="389"/>
      <c r="F278" s="392"/>
      <c r="G278" s="392"/>
      <c r="H278" s="389"/>
      <c r="I278" s="389"/>
      <c r="J278" s="389"/>
      <c r="K278" s="389"/>
      <c r="L278" s="389"/>
      <c r="M278" s="389"/>
      <c r="N278" s="389"/>
      <c r="O278" s="389"/>
      <c r="P278" s="389"/>
      <c r="Q278" s="389"/>
      <c r="R278" s="389"/>
      <c r="S278" s="389"/>
      <c r="T278" s="389"/>
      <c r="U278" s="389"/>
      <c r="V278" s="389"/>
      <c r="W278" s="389"/>
      <c r="X278" s="389"/>
      <c r="Y278" s="389"/>
      <c r="Z278" s="389"/>
      <c r="AA278" s="389"/>
      <c r="AB278" s="389"/>
      <c r="AC278" s="389"/>
      <c r="AD278" s="389"/>
      <c r="AE278" s="389"/>
      <c r="AF278" s="389"/>
    </row>
    <row r="279" hidden="1">
      <c r="A279" s="389"/>
      <c r="B279" s="389"/>
      <c r="C279" s="389"/>
      <c r="D279" s="389"/>
      <c r="E279" s="389"/>
      <c r="F279" s="392"/>
      <c r="G279" s="392"/>
      <c r="H279" s="389"/>
      <c r="I279" s="389"/>
      <c r="J279" s="389"/>
      <c r="K279" s="389"/>
      <c r="L279" s="389"/>
      <c r="M279" s="389"/>
      <c r="N279" s="389"/>
      <c r="O279" s="389"/>
      <c r="P279" s="389"/>
      <c r="Q279" s="389"/>
      <c r="R279" s="389"/>
      <c r="S279" s="389"/>
      <c r="T279" s="389"/>
      <c r="U279" s="389"/>
      <c r="V279" s="389"/>
      <c r="W279" s="389"/>
      <c r="X279" s="389"/>
      <c r="Y279" s="389"/>
      <c r="Z279" s="389"/>
      <c r="AA279" s="389"/>
      <c r="AB279" s="389"/>
      <c r="AC279" s="389"/>
      <c r="AD279" s="389"/>
      <c r="AE279" s="389"/>
      <c r="AF279" s="389"/>
    </row>
    <row r="280" hidden="1">
      <c r="A280" s="389"/>
      <c r="B280" s="389"/>
      <c r="C280" s="389"/>
      <c r="D280" s="389"/>
      <c r="E280" s="389"/>
      <c r="F280" s="392"/>
      <c r="G280" s="392"/>
      <c r="H280" s="389"/>
      <c r="I280" s="389"/>
      <c r="J280" s="389"/>
      <c r="K280" s="389"/>
      <c r="L280" s="389"/>
      <c r="M280" s="389"/>
      <c r="N280" s="389"/>
      <c r="O280" s="389"/>
      <c r="P280" s="389"/>
      <c r="Q280" s="389"/>
      <c r="R280" s="389"/>
      <c r="S280" s="389"/>
      <c r="T280" s="389"/>
      <c r="U280" s="389"/>
      <c r="V280" s="389"/>
      <c r="W280" s="389"/>
      <c r="X280" s="389"/>
      <c r="Y280" s="389"/>
      <c r="Z280" s="389"/>
      <c r="AA280" s="389"/>
      <c r="AB280" s="389"/>
      <c r="AC280" s="389"/>
      <c r="AD280" s="389"/>
      <c r="AE280" s="389"/>
      <c r="AF280" s="389"/>
    </row>
    <row r="281" hidden="1">
      <c r="A281" s="389"/>
      <c r="B281" s="389"/>
      <c r="C281" s="389"/>
      <c r="D281" s="389"/>
      <c r="E281" s="389"/>
      <c r="F281" s="392"/>
      <c r="G281" s="392"/>
      <c r="H281" s="389"/>
      <c r="I281" s="389"/>
      <c r="J281" s="389"/>
      <c r="K281" s="389"/>
      <c r="L281" s="389"/>
      <c r="M281" s="389"/>
      <c r="N281" s="389"/>
      <c r="O281" s="389"/>
      <c r="P281" s="389"/>
      <c r="Q281" s="389"/>
      <c r="R281" s="389"/>
      <c r="S281" s="389"/>
      <c r="T281" s="389"/>
      <c r="U281" s="389"/>
      <c r="V281" s="389"/>
      <c r="W281" s="389"/>
      <c r="X281" s="389"/>
      <c r="Y281" s="389"/>
      <c r="Z281" s="389"/>
      <c r="AA281" s="389"/>
      <c r="AB281" s="389"/>
      <c r="AC281" s="389"/>
      <c r="AD281" s="389"/>
      <c r="AE281" s="389"/>
      <c r="AF281" s="389"/>
    </row>
    <row r="282" hidden="1">
      <c r="A282" s="389"/>
      <c r="B282" s="389"/>
      <c r="C282" s="389"/>
      <c r="D282" s="389"/>
      <c r="E282" s="389"/>
      <c r="F282" s="392"/>
      <c r="G282" s="392"/>
      <c r="H282" s="389"/>
      <c r="I282" s="389"/>
      <c r="J282" s="389"/>
      <c r="K282" s="389"/>
      <c r="L282" s="389"/>
      <c r="M282" s="389"/>
      <c r="N282" s="389"/>
      <c r="O282" s="389"/>
      <c r="P282" s="389"/>
      <c r="Q282" s="389"/>
      <c r="R282" s="389"/>
      <c r="S282" s="389"/>
      <c r="T282" s="389"/>
      <c r="U282" s="389"/>
      <c r="V282" s="389"/>
      <c r="W282" s="389"/>
      <c r="X282" s="389"/>
      <c r="Y282" s="389"/>
      <c r="Z282" s="389"/>
      <c r="AA282" s="389"/>
      <c r="AB282" s="389"/>
      <c r="AC282" s="389"/>
      <c r="AD282" s="389"/>
      <c r="AE282" s="389"/>
      <c r="AF282" s="389"/>
    </row>
    <row r="283" hidden="1">
      <c r="A283" s="389"/>
      <c r="B283" s="389"/>
      <c r="C283" s="389"/>
      <c r="D283" s="389"/>
      <c r="E283" s="389"/>
      <c r="F283" s="392"/>
      <c r="G283" s="392"/>
      <c r="H283" s="389"/>
      <c r="I283" s="389"/>
      <c r="J283" s="389"/>
      <c r="K283" s="389"/>
      <c r="L283" s="389"/>
      <c r="M283" s="389"/>
      <c r="N283" s="389"/>
      <c r="O283" s="389"/>
      <c r="P283" s="389"/>
      <c r="Q283" s="389"/>
      <c r="R283" s="389"/>
      <c r="S283" s="389"/>
      <c r="T283" s="389"/>
      <c r="U283" s="389"/>
      <c r="V283" s="389"/>
      <c r="W283" s="389"/>
      <c r="X283" s="389"/>
      <c r="Y283" s="389"/>
      <c r="Z283" s="389"/>
      <c r="AA283" s="389"/>
      <c r="AB283" s="389"/>
      <c r="AC283" s="389"/>
      <c r="AD283" s="389"/>
      <c r="AE283" s="389"/>
      <c r="AF283" s="389"/>
    </row>
    <row r="284" hidden="1">
      <c r="A284" s="389"/>
      <c r="B284" s="389"/>
      <c r="C284" s="389"/>
      <c r="D284" s="389"/>
      <c r="E284" s="389"/>
      <c r="F284" s="392"/>
      <c r="G284" s="392"/>
      <c r="H284" s="389"/>
      <c r="I284" s="389"/>
      <c r="J284" s="389"/>
      <c r="K284" s="389"/>
      <c r="L284" s="389"/>
      <c r="M284" s="389"/>
      <c r="N284" s="389"/>
      <c r="O284" s="389"/>
      <c r="P284" s="389"/>
      <c r="Q284" s="389"/>
      <c r="R284" s="389"/>
      <c r="S284" s="389"/>
      <c r="T284" s="389"/>
      <c r="U284" s="389"/>
      <c r="V284" s="389"/>
      <c r="W284" s="389"/>
      <c r="X284" s="389"/>
      <c r="Y284" s="389"/>
      <c r="Z284" s="389"/>
      <c r="AA284" s="389"/>
      <c r="AB284" s="389"/>
      <c r="AC284" s="389"/>
      <c r="AD284" s="389"/>
      <c r="AE284" s="389"/>
      <c r="AF284" s="389"/>
    </row>
    <row r="285" hidden="1">
      <c r="A285" s="389"/>
      <c r="B285" s="389"/>
      <c r="C285" s="389"/>
      <c r="D285" s="389"/>
      <c r="E285" s="389"/>
      <c r="F285" s="392"/>
      <c r="G285" s="392"/>
      <c r="H285" s="389"/>
      <c r="I285" s="389"/>
      <c r="J285" s="389"/>
      <c r="K285" s="389"/>
      <c r="L285" s="389"/>
      <c r="M285" s="389"/>
      <c r="N285" s="389"/>
      <c r="O285" s="389"/>
      <c r="P285" s="389"/>
      <c r="Q285" s="389"/>
      <c r="R285" s="389"/>
      <c r="S285" s="389"/>
      <c r="T285" s="389"/>
      <c r="U285" s="389"/>
      <c r="V285" s="389"/>
      <c r="W285" s="389"/>
      <c r="X285" s="389"/>
      <c r="Y285" s="389"/>
      <c r="Z285" s="389"/>
      <c r="AA285" s="389"/>
      <c r="AB285" s="389"/>
      <c r="AC285" s="389"/>
      <c r="AD285" s="389"/>
      <c r="AE285" s="389"/>
      <c r="AF285" s="389"/>
    </row>
    <row r="286" hidden="1">
      <c r="A286" s="389"/>
      <c r="B286" s="389"/>
      <c r="C286" s="389"/>
      <c r="D286" s="389"/>
      <c r="E286" s="389"/>
      <c r="F286" s="392"/>
      <c r="G286" s="392"/>
      <c r="H286" s="389"/>
      <c r="I286" s="389"/>
      <c r="J286" s="389"/>
      <c r="K286" s="389"/>
      <c r="L286" s="389"/>
      <c r="M286" s="389"/>
      <c r="N286" s="389"/>
      <c r="O286" s="389"/>
      <c r="P286" s="389"/>
      <c r="Q286" s="389"/>
      <c r="R286" s="389"/>
      <c r="S286" s="389"/>
      <c r="T286" s="389"/>
      <c r="U286" s="389"/>
      <c r="V286" s="389"/>
      <c r="W286" s="389"/>
      <c r="X286" s="389"/>
      <c r="Y286" s="389"/>
      <c r="Z286" s="389"/>
      <c r="AA286" s="389"/>
      <c r="AB286" s="389"/>
      <c r="AC286" s="389"/>
      <c r="AD286" s="389"/>
      <c r="AE286" s="389"/>
      <c r="AF286" s="389"/>
    </row>
    <row r="287" hidden="1">
      <c r="A287" s="389"/>
      <c r="B287" s="389"/>
      <c r="C287" s="389"/>
      <c r="D287" s="389"/>
      <c r="E287" s="389"/>
      <c r="F287" s="392"/>
      <c r="G287" s="392"/>
      <c r="H287" s="389"/>
      <c r="I287" s="389"/>
      <c r="J287" s="389"/>
      <c r="K287" s="389"/>
      <c r="L287" s="389"/>
      <c r="M287" s="389"/>
      <c r="N287" s="389"/>
      <c r="O287" s="389"/>
      <c r="P287" s="389"/>
      <c r="Q287" s="389"/>
      <c r="R287" s="389"/>
      <c r="S287" s="389"/>
      <c r="T287" s="389"/>
      <c r="U287" s="389"/>
      <c r="V287" s="389"/>
      <c r="W287" s="389"/>
      <c r="X287" s="389"/>
      <c r="Y287" s="389"/>
      <c r="Z287" s="389"/>
      <c r="AA287" s="389"/>
      <c r="AB287" s="389"/>
      <c r="AC287" s="389"/>
      <c r="AD287" s="389"/>
      <c r="AE287" s="389"/>
      <c r="AF287" s="389"/>
    </row>
    <row r="288" hidden="1">
      <c r="A288" s="389"/>
      <c r="B288" s="389"/>
      <c r="C288" s="389"/>
      <c r="D288" s="389"/>
      <c r="E288" s="389"/>
      <c r="F288" s="392"/>
      <c r="G288" s="392"/>
      <c r="H288" s="389"/>
      <c r="I288" s="389"/>
      <c r="J288" s="389"/>
      <c r="K288" s="389"/>
      <c r="L288" s="389"/>
      <c r="M288" s="389"/>
      <c r="N288" s="389"/>
      <c r="O288" s="389"/>
      <c r="P288" s="389"/>
      <c r="Q288" s="389"/>
      <c r="R288" s="389"/>
      <c r="S288" s="389"/>
      <c r="T288" s="389"/>
      <c r="U288" s="389"/>
      <c r="V288" s="389"/>
      <c r="W288" s="389"/>
      <c r="X288" s="389"/>
      <c r="Y288" s="389"/>
      <c r="Z288" s="389"/>
      <c r="AA288" s="389"/>
      <c r="AB288" s="389"/>
      <c r="AC288" s="389"/>
      <c r="AD288" s="389"/>
      <c r="AE288" s="389"/>
      <c r="AF288" s="389"/>
    </row>
    <row r="289" hidden="1">
      <c r="A289" s="389"/>
      <c r="B289" s="389"/>
      <c r="C289" s="389"/>
      <c r="D289" s="389"/>
      <c r="E289" s="389"/>
      <c r="F289" s="392"/>
      <c r="G289" s="392"/>
      <c r="H289" s="389"/>
      <c r="I289" s="389"/>
      <c r="J289" s="389"/>
      <c r="K289" s="389"/>
      <c r="L289" s="389"/>
      <c r="M289" s="389"/>
      <c r="N289" s="389"/>
      <c r="O289" s="389"/>
      <c r="P289" s="389"/>
      <c r="Q289" s="389"/>
      <c r="R289" s="389"/>
      <c r="S289" s="389"/>
      <c r="T289" s="389"/>
      <c r="U289" s="389"/>
      <c r="V289" s="389"/>
      <c r="W289" s="389"/>
      <c r="X289" s="389"/>
      <c r="Y289" s="389"/>
      <c r="Z289" s="389"/>
      <c r="AA289" s="389"/>
      <c r="AB289" s="389"/>
      <c r="AC289" s="389"/>
      <c r="AD289" s="389"/>
      <c r="AE289" s="389"/>
      <c r="AF289" s="389"/>
    </row>
    <row r="290" hidden="1">
      <c r="A290" s="389"/>
      <c r="B290" s="389"/>
      <c r="C290" s="389"/>
      <c r="D290" s="389"/>
      <c r="E290" s="389"/>
      <c r="F290" s="392"/>
      <c r="G290" s="392"/>
      <c r="H290" s="389"/>
      <c r="I290" s="389"/>
      <c r="J290" s="389"/>
      <c r="K290" s="389"/>
      <c r="L290" s="389"/>
      <c r="M290" s="389"/>
      <c r="N290" s="389"/>
      <c r="O290" s="389"/>
      <c r="P290" s="389"/>
      <c r="Q290" s="389"/>
      <c r="R290" s="389"/>
      <c r="S290" s="389"/>
      <c r="T290" s="389"/>
      <c r="U290" s="389"/>
      <c r="V290" s="389"/>
      <c r="W290" s="389"/>
      <c r="X290" s="389"/>
      <c r="Y290" s="389"/>
      <c r="Z290" s="389"/>
      <c r="AA290" s="389"/>
      <c r="AB290" s="389"/>
      <c r="AC290" s="389"/>
      <c r="AD290" s="389"/>
      <c r="AE290" s="389"/>
      <c r="AF290" s="389"/>
    </row>
    <row r="291" hidden="1">
      <c r="A291" s="389"/>
      <c r="B291" s="389"/>
      <c r="C291" s="389"/>
      <c r="D291" s="389"/>
      <c r="E291" s="389"/>
      <c r="F291" s="392"/>
      <c r="G291" s="392"/>
      <c r="H291" s="389"/>
      <c r="I291" s="389"/>
      <c r="J291" s="389"/>
      <c r="K291" s="389"/>
      <c r="L291" s="389"/>
      <c r="M291" s="389"/>
      <c r="N291" s="389"/>
      <c r="O291" s="389"/>
      <c r="P291" s="389"/>
      <c r="Q291" s="389"/>
      <c r="R291" s="389"/>
      <c r="S291" s="389"/>
      <c r="T291" s="389"/>
      <c r="U291" s="389"/>
      <c r="V291" s="389"/>
      <c r="W291" s="389"/>
      <c r="X291" s="389"/>
      <c r="Y291" s="389"/>
      <c r="Z291" s="389"/>
      <c r="AA291" s="389"/>
      <c r="AB291" s="389"/>
      <c r="AC291" s="389"/>
      <c r="AD291" s="389"/>
      <c r="AE291" s="389"/>
      <c r="AF291" s="389"/>
    </row>
    <row r="292" hidden="1">
      <c r="A292" s="389"/>
      <c r="B292" s="389"/>
      <c r="C292" s="389"/>
      <c r="D292" s="389"/>
      <c r="E292" s="389"/>
      <c r="F292" s="392"/>
      <c r="G292" s="392"/>
      <c r="H292" s="389"/>
      <c r="I292" s="389"/>
      <c r="J292" s="389"/>
      <c r="K292" s="389"/>
      <c r="L292" s="389"/>
      <c r="M292" s="389"/>
      <c r="N292" s="389"/>
      <c r="O292" s="389"/>
      <c r="P292" s="389"/>
      <c r="Q292" s="389"/>
      <c r="R292" s="389"/>
      <c r="S292" s="389"/>
      <c r="T292" s="389"/>
      <c r="U292" s="389"/>
      <c r="V292" s="389"/>
      <c r="W292" s="389"/>
      <c r="X292" s="389"/>
      <c r="Y292" s="389"/>
      <c r="Z292" s="389"/>
      <c r="AA292" s="389"/>
      <c r="AB292" s="389"/>
      <c r="AC292" s="389"/>
      <c r="AD292" s="389"/>
      <c r="AE292" s="389"/>
      <c r="AF292" s="389"/>
    </row>
    <row r="293" hidden="1">
      <c r="A293" s="389"/>
      <c r="B293" s="389"/>
      <c r="C293" s="389"/>
      <c r="D293" s="389"/>
      <c r="E293" s="389"/>
      <c r="F293" s="392"/>
      <c r="G293" s="392"/>
      <c r="H293" s="389"/>
      <c r="I293" s="389"/>
      <c r="J293" s="389"/>
      <c r="K293" s="389"/>
      <c r="L293" s="389"/>
      <c r="M293" s="389"/>
      <c r="N293" s="389"/>
      <c r="O293" s="389"/>
      <c r="P293" s="389"/>
      <c r="Q293" s="389"/>
      <c r="R293" s="389"/>
      <c r="S293" s="389"/>
      <c r="T293" s="389"/>
      <c r="U293" s="389"/>
      <c r="V293" s="389"/>
      <c r="W293" s="389"/>
      <c r="X293" s="389"/>
      <c r="Y293" s="389"/>
      <c r="Z293" s="389"/>
      <c r="AA293" s="389"/>
      <c r="AB293" s="389"/>
      <c r="AC293" s="389"/>
      <c r="AD293" s="389"/>
      <c r="AE293" s="389"/>
      <c r="AF293" s="389"/>
    </row>
    <row r="294" hidden="1">
      <c r="A294" s="389"/>
      <c r="B294" s="389"/>
      <c r="C294" s="389"/>
      <c r="D294" s="389"/>
      <c r="E294" s="389"/>
      <c r="F294" s="392"/>
      <c r="G294" s="392"/>
      <c r="H294" s="389"/>
      <c r="I294" s="389"/>
      <c r="J294" s="389"/>
      <c r="K294" s="389"/>
      <c r="L294" s="389"/>
      <c r="M294" s="389"/>
      <c r="N294" s="389"/>
      <c r="O294" s="389"/>
      <c r="P294" s="389"/>
      <c r="Q294" s="389"/>
      <c r="R294" s="389"/>
      <c r="S294" s="389"/>
      <c r="T294" s="389"/>
      <c r="U294" s="389"/>
      <c r="V294" s="389"/>
      <c r="W294" s="389"/>
      <c r="X294" s="389"/>
      <c r="Y294" s="389"/>
      <c r="Z294" s="389"/>
      <c r="AA294" s="389"/>
      <c r="AB294" s="389"/>
      <c r="AC294" s="389"/>
      <c r="AD294" s="389"/>
      <c r="AE294" s="389"/>
      <c r="AF294" s="389"/>
    </row>
    <row r="295" hidden="1">
      <c r="A295" s="389"/>
      <c r="B295" s="389"/>
      <c r="C295" s="389"/>
      <c r="D295" s="389"/>
      <c r="E295" s="389"/>
      <c r="F295" s="392"/>
      <c r="G295" s="392"/>
      <c r="H295" s="389"/>
      <c r="I295" s="389"/>
      <c r="J295" s="389"/>
      <c r="K295" s="389"/>
      <c r="L295" s="389"/>
      <c r="M295" s="389"/>
      <c r="N295" s="389"/>
      <c r="O295" s="389"/>
      <c r="P295" s="389"/>
      <c r="Q295" s="389"/>
      <c r="R295" s="389"/>
      <c r="S295" s="389"/>
      <c r="T295" s="389"/>
      <c r="U295" s="389"/>
      <c r="V295" s="389"/>
      <c r="W295" s="389"/>
      <c r="X295" s="389"/>
      <c r="Y295" s="389"/>
      <c r="Z295" s="389"/>
      <c r="AA295" s="389"/>
      <c r="AB295" s="389"/>
      <c r="AC295" s="389"/>
      <c r="AD295" s="389"/>
      <c r="AE295" s="389"/>
      <c r="AF295" s="389"/>
    </row>
    <row r="296" hidden="1">
      <c r="A296" s="389"/>
      <c r="B296" s="389"/>
      <c r="C296" s="389"/>
      <c r="D296" s="389"/>
      <c r="E296" s="389"/>
      <c r="F296" s="392"/>
      <c r="G296" s="392"/>
      <c r="H296" s="389"/>
      <c r="I296" s="389"/>
      <c r="J296" s="389"/>
      <c r="K296" s="389"/>
      <c r="L296" s="389"/>
      <c r="M296" s="389"/>
      <c r="N296" s="389"/>
      <c r="O296" s="389"/>
      <c r="P296" s="389"/>
      <c r="Q296" s="389"/>
      <c r="R296" s="389"/>
      <c r="S296" s="389"/>
      <c r="T296" s="389"/>
      <c r="U296" s="389"/>
      <c r="V296" s="389"/>
      <c r="W296" s="389"/>
      <c r="X296" s="389"/>
      <c r="Y296" s="389"/>
      <c r="Z296" s="389"/>
      <c r="AA296" s="389"/>
      <c r="AB296" s="389"/>
      <c r="AC296" s="389"/>
      <c r="AD296" s="389"/>
      <c r="AE296" s="389"/>
      <c r="AF296" s="389"/>
    </row>
    <row r="297" hidden="1">
      <c r="A297" s="389"/>
      <c r="B297" s="389"/>
      <c r="C297" s="389"/>
      <c r="D297" s="389"/>
      <c r="E297" s="389"/>
      <c r="F297" s="392"/>
      <c r="G297" s="392"/>
      <c r="H297" s="389"/>
      <c r="I297" s="389"/>
      <c r="J297" s="389"/>
      <c r="K297" s="389"/>
      <c r="L297" s="389"/>
      <c r="M297" s="389"/>
      <c r="N297" s="389"/>
      <c r="O297" s="389"/>
      <c r="P297" s="389"/>
      <c r="Q297" s="389"/>
      <c r="R297" s="389"/>
      <c r="S297" s="389"/>
      <c r="T297" s="389"/>
      <c r="U297" s="389"/>
      <c r="V297" s="389"/>
      <c r="W297" s="389"/>
      <c r="X297" s="389"/>
      <c r="Y297" s="389"/>
      <c r="Z297" s="389"/>
      <c r="AA297" s="389"/>
      <c r="AB297" s="389"/>
      <c r="AC297" s="389"/>
      <c r="AD297" s="389"/>
      <c r="AE297" s="389"/>
      <c r="AF297" s="389"/>
    </row>
    <row r="298" hidden="1">
      <c r="A298" s="389"/>
      <c r="B298" s="389"/>
      <c r="C298" s="389"/>
      <c r="D298" s="389"/>
      <c r="E298" s="389"/>
      <c r="F298" s="392"/>
      <c r="G298" s="392"/>
      <c r="H298" s="389"/>
      <c r="I298" s="389"/>
      <c r="J298" s="389"/>
      <c r="K298" s="389"/>
      <c r="L298" s="389"/>
      <c r="M298" s="389"/>
      <c r="N298" s="389"/>
      <c r="O298" s="389"/>
      <c r="P298" s="389"/>
      <c r="Q298" s="389"/>
      <c r="R298" s="389"/>
      <c r="S298" s="389"/>
      <c r="T298" s="389"/>
      <c r="U298" s="389"/>
      <c r="V298" s="389"/>
      <c r="W298" s="389"/>
      <c r="X298" s="389"/>
      <c r="Y298" s="389"/>
      <c r="Z298" s="389"/>
      <c r="AA298" s="389"/>
      <c r="AB298" s="389"/>
      <c r="AC298" s="389"/>
      <c r="AD298" s="389"/>
      <c r="AE298" s="389"/>
      <c r="AF298" s="389"/>
    </row>
    <row r="299" hidden="1">
      <c r="A299" s="389"/>
      <c r="B299" s="389"/>
      <c r="C299" s="389"/>
      <c r="D299" s="389"/>
      <c r="E299" s="389"/>
      <c r="F299" s="392"/>
      <c r="G299" s="392"/>
      <c r="H299" s="389"/>
      <c r="I299" s="389"/>
      <c r="J299" s="389"/>
      <c r="K299" s="389"/>
      <c r="L299" s="389"/>
      <c r="M299" s="389"/>
      <c r="N299" s="389"/>
      <c r="O299" s="389"/>
      <c r="P299" s="389"/>
      <c r="Q299" s="389"/>
      <c r="R299" s="389"/>
      <c r="S299" s="389"/>
      <c r="T299" s="389"/>
      <c r="U299" s="389"/>
      <c r="V299" s="389"/>
      <c r="W299" s="389"/>
      <c r="X299" s="389"/>
      <c r="Y299" s="389"/>
      <c r="Z299" s="389"/>
      <c r="AA299" s="389"/>
      <c r="AB299" s="389"/>
      <c r="AC299" s="389"/>
      <c r="AD299" s="389"/>
      <c r="AE299" s="389"/>
      <c r="AF299" s="389"/>
    </row>
    <row r="300" hidden="1">
      <c r="A300" s="389"/>
      <c r="B300" s="389"/>
      <c r="C300" s="389"/>
      <c r="D300" s="389"/>
      <c r="E300" s="389"/>
      <c r="F300" s="392"/>
      <c r="G300" s="392"/>
      <c r="H300" s="389"/>
      <c r="I300" s="389"/>
      <c r="J300" s="389"/>
      <c r="K300" s="389"/>
      <c r="L300" s="389"/>
      <c r="M300" s="389"/>
      <c r="N300" s="389"/>
      <c r="O300" s="389"/>
      <c r="P300" s="389"/>
      <c r="Q300" s="389"/>
      <c r="R300" s="389"/>
      <c r="S300" s="389"/>
      <c r="T300" s="389"/>
      <c r="U300" s="389"/>
      <c r="V300" s="389"/>
      <c r="W300" s="389"/>
      <c r="X300" s="389"/>
      <c r="Y300" s="389"/>
      <c r="Z300" s="389"/>
      <c r="AA300" s="389"/>
      <c r="AB300" s="389"/>
      <c r="AC300" s="389"/>
      <c r="AD300" s="389"/>
      <c r="AE300" s="389"/>
      <c r="AF300" s="389"/>
    </row>
    <row r="301" hidden="1">
      <c r="A301" s="389"/>
      <c r="B301" s="389"/>
      <c r="C301" s="389"/>
      <c r="D301" s="389"/>
      <c r="E301" s="389"/>
      <c r="F301" s="392"/>
      <c r="G301" s="392"/>
      <c r="H301" s="389"/>
      <c r="I301" s="389"/>
      <c r="J301" s="389"/>
      <c r="K301" s="389"/>
      <c r="L301" s="389"/>
      <c r="M301" s="389"/>
      <c r="N301" s="389"/>
      <c r="O301" s="389"/>
      <c r="P301" s="389"/>
      <c r="Q301" s="389"/>
      <c r="R301" s="389"/>
      <c r="S301" s="389"/>
      <c r="T301" s="389"/>
      <c r="U301" s="389"/>
      <c r="V301" s="389"/>
      <c r="W301" s="389"/>
      <c r="X301" s="389"/>
      <c r="Y301" s="389"/>
      <c r="Z301" s="389"/>
      <c r="AA301" s="389"/>
      <c r="AB301" s="389"/>
      <c r="AC301" s="389"/>
      <c r="AD301" s="389"/>
      <c r="AE301" s="389"/>
      <c r="AF301" s="389"/>
    </row>
    <row r="302" hidden="1">
      <c r="A302" s="389"/>
      <c r="B302" s="389"/>
      <c r="C302" s="389"/>
      <c r="D302" s="389"/>
      <c r="E302" s="389"/>
      <c r="F302" s="392"/>
      <c r="G302" s="392"/>
      <c r="H302" s="389"/>
      <c r="I302" s="389"/>
      <c r="J302" s="389"/>
      <c r="K302" s="389"/>
      <c r="L302" s="389"/>
      <c r="M302" s="389"/>
      <c r="N302" s="389"/>
      <c r="O302" s="389"/>
      <c r="P302" s="389"/>
      <c r="Q302" s="389"/>
      <c r="R302" s="389"/>
      <c r="S302" s="389"/>
      <c r="T302" s="389"/>
      <c r="U302" s="389"/>
      <c r="V302" s="389"/>
      <c r="W302" s="389"/>
      <c r="X302" s="389"/>
      <c r="Y302" s="389"/>
      <c r="Z302" s="389"/>
      <c r="AA302" s="389"/>
      <c r="AB302" s="389"/>
      <c r="AC302" s="389"/>
      <c r="AD302" s="389"/>
      <c r="AE302" s="389"/>
      <c r="AF302" s="389"/>
    </row>
    <row r="303" hidden="1">
      <c r="A303" s="389"/>
      <c r="B303" s="389"/>
      <c r="C303" s="389"/>
      <c r="D303" s="389"/>
      <c r="E303" s="389"/>
      <c r="F303" s="392"/>
      <c r="G303" s="392"/>
      <c r="H303" s="389"/>
      <c r="I303" s="389"/>
      <c r="J303" s="389"/>
      <c r="K303" s="389"/>
      <c r="L303" s="389"/>
      <c r="M303" s="389"/>
      <c r="N303" s="389"/>
      <c r="O303" s="389"/>
      <c r="P303" s="389"/>
      <c r="Q303" s="389"/>
      <c r="R303" s="389"/>
      <c r="S303" s="389"/>
      <c r="T303" s="389"/>
      <c r="U303" s="389"/>
      <c r="V303" s="389"/>
      <c r="W303" s="389"/>
      <c r="X303" s="389"/>
      <c r="Y303" s="389"/>
      <c r="Z303" s="389"/>
      <c r="AA303" s="389"/>
      <c r="AB303" s="389"/>
      <c r="AC303" s="389"/>
      <c r="AD303" s="389"/>
      <c r="AE303" s="389"/>
      <c r="AF303" s="389"/>
    </row>
    <row r="304" hidden="1">
      <c r="A304" s="389"/>
      <c r="B304" s="389"/>
      <c r="C304" s="389"/>
      <c r="D304" s="389"/>
      <c r="E304" s="389"/>
      <c r="F304" s="392"/>
      <c r="G304" s="392"/>
      <c r="H304" s="389"/>
      <c r="I304" s="389"/>
      <c r="J304" s="389"/>
      <c r="K304" s="389"/>
      <c r="L304" s="389"/>
      <c r="M304" s="389"/>
      <c r="N304" s="389"/>
      <c r="O304" s="389"/>
      <c r="P304" s="389"/>
      <c r="Q304" s="389"/>
      <c r="R304" s="389"/>
      <c r="S304" s="389"/>
      <c r="T304" s="389"/>
      <c r="U304" s="389"/>
      <c r="V304" s="389"/>
      <c r="W304" s="389"/>
      <c r="X304" s="389"/>
      <c r="Y304" s="389"/>
      <c r="Z304" s="389"/>
      <c r="AA304" s="389"/>
      <c r="AB304" s="389"/>
      <c r="AC304" s="389"/>
      <c r="AD304" s="389"/>
      <c r="AE304" s="389"/>
      <c r="AF304" s="389"/>
    </row>
    <row r="305" hidden="1">
      <c r="A305" s="389"/>
      <c r="B305" s="389"/>
      <c r="C305" s="389"/>
      <c r="D305" s="389"/>
      <c r="E305" s="389"/>
      <c r="F305" s="392"/>
      <c r="G305" s="392"/>
      <c r="H305" s="389"/>
      <c r="I305" s="389"/>
      <c r="J305" s="389"/>
      <c r="K305" s="389"/>
      <c r="L305" s="389"/>
      <c r="M305" s="389"/>
      <c r="N305" s="389"/>
      <c r="O305" s="389"/>
      <c r="P305" s="389"/>
      <c r="Q305" s="389"/>
      <c r="R305" s="389"/>
      <c r="S305" s="389"/>
      <c r="T305" s="389"/>
      <c r="U305" s="389"/>
      <c r="V305" s="389"/>
      <c r="W305" s="389"/>
      <c r="X305" s="389"/>
      <c r="Y305" s="389"/>
      <c r="Z305" s="389"/>
      <c r="AA305" s="389"/>
      <c r="AB305" s="389"/>
      <c r="AC305" s="389"/>
      <c r="AD305" s="389"/>
      <c r="AE305" s="389"/>
      <c r="AF305" s="389"/>
    </row>
    <row r="306" hidden="1">
      <c r="A306" s="389"/>
      <c r="B306" s="389"/>
      <c r="C306" s="389"/>
      <c r="D306" s="389"/>
      <c r="E306" s="389"/>
      <c r="F306" s="392"/>
      <c r="G306" s="392"/>
      <c r="H306" s="389"/>
      <c r="I306" s="389"/>
      <c r="J306" s="389"/>
      <c r="K306" s="389"/>
      <c r="L306" s="389"/>
      <c r="M306" s="389"/>
      <c r="N306" s="389"/>
      <c r="O306" s="389"/>
      <c r="P306" s="389"/>
      <c r="Q306" s="389"/>
      <c r="R306" s="389"/>
      <c r="S306" s="389"/>
      <c r="T306" s="389"/>
      <c r="U306" s="389"/>
      <c r="V306" s="389"/>
      <c r="W306" s="389"/>
      <c r="X306" s="389"/>
      <c r="Y306" s="389"/>
      <c r="Z306" s="389"/>
      <c r="AA306" s="389"/>
      <c r="AB306" s="389"/>
      <c r="AC306" s="389"/>
      <c r="AD306" s="389"/>
      <c r="AE306" s="389"/>
      <c r="AF306" s="389"/>
    </row>
    <row r="307" hidden="1">
      <c r="A307" s="389"/>
      <c r="B307" s="389"/>
      <c r="C307" s="389"/>
      <c r="D307" s="389"/>
      <c r="E307" s="389"/>
      <c r="F307" s="392"/>
      <c r="G307" s="392"/>
      <c r="H307" s="389"/>
      <c r="I307" s="389"/>
      <c r="J307" s="389"/>
      <c r="K307" s="389"/>
      <c r="L307" s="389"/>
      <c r="M307" s="389"/>
      <c r="N307" s="389"/>
      <c r="O307" s="389"/>
      <c r="P307" s="389"/>
      <c r="Q307" s="389"/>
      <c r="R307" s="389"/>
      <c r="S307" s="389"/>
      <c r="T307" s="389"/>
      <c r="U307" s="389"/>
      <c r="V307" s="389"/>
      <c r="W307" s="389"/>
      <c r="X307" s="389"/>
      <c r="Y307" s="389"/>
      <c r="Z307" s="389"/>
      <c r="AA307" s="389"/>
      <c r="AB307" s="389"/>
      <c r="AC307" s="389"/>
      <c r="AD307" s="389"/>
      <c r="AE307" s="389"/>
      <c r="AF307" s="389"/>
    </row>
    <row r="308" hidden="1">
      <c r="A308" s="389"/>
      <c r="B308" s="389"/>
      <c r="C308" s="389"/>
      <c r="D308" s="389"/>
      <c r="E308" s="389"/>
      <c r="F308" s="392"/>
      <c r="G308" s="392"/>
      <c r="H308" s="389"/>
      <c r="I308" s="389"/>
      <c r="J308" s="389"/>
      <c r="K308" s="389"/>
      <c r="L308" s="389"/>
      <c r="M308" s="389"/>
      <c r="N308" s="389"/>
      <c r="O308" s="389"/>
      <c r="P308" s="389"/>
      <c r="Q308" s="389"/>
      <c r="R308" s="389"/>
      <c r="S308" s="389"/>
      <c r="T308" s="389"/>
      <c r="U308" s="389"/>
      <c r="V308" s="389"/>
      <c r="W308" s="389"/>
      <c r="X308" s="389"/>
      <c r="Y308" s="389"/>
      <c r="Z308" s="389"/>
      <c r="AA308" s="389"/>
      <c r="AB308" s="389"/>
      <c r="AC308" s="389"/>
      <c r="AD308" s="389"/>
      <c r="AE308" s="389"/>
      <c r="AF308" s="389"/>
    </row>
    <row r="309" hidden="1">
      <c r="A309" s="389"/>
      <c r="B309" s="389"/>
      <c r="C309" s="389"/>
      <c r="D309" s="389"/>
      <c r="E309" s="389"/>
      <c r="F309" s="392"/>
      <c r="G309" s="392"/>
      <c r="H309" s="389"/>
      <c r="I309" s="389"/>
      <c r="J309" s="389"/>
      <c r="K309" s="389"/>
      <c r="L309" s="389"/>
      <c r="M309" s="389"/>
      <c r="N309" s="389"/>
      <c r="O309" s="389"/>
      <c r="P309" s="389"/>
      <c r="Q309" s="389"/>
      <c r="R309" s="389"/>
      <c r="S309" s="389"/>
      <c r="T309" s="389"/>
      <c r="U309" s="389"/>
      <c r="V309" s="389"/>
      <c r="W309" s="389"/>
      <c r="X309" s="389"/>
      <c r="Y309" s="389"/>
      <c r="Z309" s="389"/>
      <c r="AA309" s="389"/>
      <c r="AB309" s="389"/>
      <c r="AC309" s="389"/>
      <c r="AD309" s="389"/>
      <c r="AE309" s="389"/>
      <c r="AF309" s="389"/>
    </row>
    <row r="310" hidden="1">
      <c r="A310" s="389"/>
      <c r="B310" s="389"/>
      <c r="C310" s="389"/>
      <c r="D310" s="389"/>
      <c r="E310" s="389"/>
      <c r="F310" s="392"/>
      <c r="G310" s="392"/>
      <c r="H310" s="389"/>
      <c r="I310" s="389"/>
      <c r="J310" s="389"/>
      <c r="K310" s="389"/>
      <c r="L310" s="389"/>
      <c r="M310" s="389"/>
      <c r="N310" s="389"/>
      <c r="O310" s="389"/>
      <c r="P310" s="389"/>
      <c r="Q310" s="389"/>
      <c r="R310" s="389"/>
      <c r="S310" s="389"/>
      <c r="T310" s="389"/>
      <c r="U310" s="389"/>
      <c r="V310" s="389"/>
      <c r="W310" s="389"/>
      <c r="X310" s="389"/>
      <c r="Y310" s="389"/>
      <c r="Z310" s="389"/>
      <c r="AA310" s="389"/>
      <c r="AB310" s="389"/>
      <c r="AC310" s="389"/>
      <c r="AD310" s="389"/>
      <c r="AE310" s="389"/>
      <c r="AF310" s="389"/>
    </row>
    <row r="311" hidden="1">
      <c r="A311" s="389"/>
      <c r="B311" s="389"/>
      <c r="C311" s="389"/>
      <c r="D311" s="389"/>
      <c r="E311" s="389"/>
      <c r="F311" s="392"/>
      <c r="G311" s="392"/>
      <c r="H311" s="389"/>
      <c r="I311" s="389"/>
      <c r="J311" s="389"/>
      <c r="K311" s="389"/>
      <c r="L311" s="389"/>
      <c r="M311" s="389"/>
      <c r="N311" s="389"/>
      <c r="O311" s="389"/>
      <c r="P311" s="389"/>
      <c r="Q311" s="389"/>
      <c r="R311" s="389"/>
      <c r="S311" s="389"/>
      <c r="T311" s="389"/>
      <c r="U311" s="389"/>
      <c r="V311" s="389"/>
      <c r="W311" s="389"/>
      <c r="X311" s="389"/>
      <c r="Y311" s="389"/>
      <c r="Z311" s="389"/>
      <c r="AA311" s="389"/>
      <c r="AB311" s="389"/>
      <c r="AC311" s="389"/>
      <c r="AD311" s="389"/>
      <c r="AE311" s="389"/>
      <c r="AF311" s="389"/>
    </row>
    <row r="312" hidden="1">
      <c r="A312" s="389"/>
      <c r="B312" s="389"/>
      <c r="C312" s="389"/>
      <c r="D312" s="389"/>
      <c r="E312" s="389"/>
      <c r="F312" s="392"/>
      <c r="G312" s="392"/>
      <c r="H312" s="389"/>
      <c r="I312" s="389"/>
      <c r="J312" s="389"/>
      <c r="K312" s="389"/>
      <c r="L312" s="389"/>
      <c r="M312" s="389"/>
      <c r="N312" s="389"/>
      <c r="O312" s="389"/>
      <c r="P312" s="389"/>
      <c r="Q312" s="389"/>
      <c r="R312" s="389"/>
      <c r="S312" s="389"/>
      <c r="T312" s="389"/>
      <c r="U312" s="389"/>
      <c r="V312" s="389"/>
      <c r="W312" s="389"/>
      <c r="X312" s="389"/>
      <c r="Y312" s="389"/>
      <c r="Z312" s="389"/>
      <c r="AA312" s="389"/>
      <c r="AB312" s="389"/>
      <c r="AC312" s="389"/>
      <c r="AD312" s="389"/>
      <c r="AE312" s="389"/>
      <c r="AF312" s="389"/>
    </row>
    <row r="313" hidden="1">
      <c r="A313" s="389"/>
      <c r="B313" s="389"/>
      <c r="C313" s="389"/>
      <c r="D313" s="389"/>
      <c r="E313" s="389"/>
      <c r="F313" s="392"/>
      <c r="G313" s="392"/>
      <c r="H313" s="389"/>
      <c r="I313" s="389"/>
      <c r="J313" s="389"/>
      <c r="K313" s="389"/>
      <c r="L313" s="389"/>
      <c r="M313" s="389"/>
      <c r="N313" s="389"/>
      <c r="O313" s="389"/>
      <c r="P313" s="389"/>
      <c r="Q313" s="389"/>
      <c r="R313" s="389"/>
      <c r="S313" s="389"/>
      <c r="T313" s="389"/>
      <c r="U313" s="389"/>
      <c r="V313" s="389"/>
      <c r="W313" s="389"/>
      <c r="X313" s="389"/>
      <c r="Y313" s="389"/>
      <c r="Z313" s="389"/>
      <c r="AA313" s="389"/>
      <c r="AB313" s="389"/>
      <c r="AC313" s="389"/>
      <c r="AD313" s="389"/>
      <c r="AE313" s="389"/>
      <c r="AF313" s="389"/>
    </row>
    <row r="314" hidden="1">
      <c r="A314" s="389"/>
      <c r="B314" s="389"/>
      <c r="C314" s="389"/>
      <c r="D314" s="389"/>
      <c r="E314" s="389"/>
      <c r="F314" s="392"/>
      <c r="G314" s="392"/>
      <c r="H314" s="389"/>
      <c r="I314" s="389"/>
      <c r="J314" s="389"/>
      <c r="K314" s="389"/>
      <c r="L314" s="389"/>
      <c r="M314" s="389"/>
      <c r="N314" s="389"/>
      <c r="O314" s="389"/>
      <c r="P314" s="389"/>
      <c r="Q314" s="389"/>
      <c r="R314" s="389"/>
      <c r="S314" s="389"/>
      <c r="T314" s="389"/>
      <c r="U314" s="389"/>
      <c r="V314" s="389"/>
      <c r="W314" s="389"/>
      <c r="X314" s="389"/>
      <c r="Y314" s="389"/>
      <c r="Z314" s="389"/>
      <c r="AA314" s="389"/>
      <c r="AB314" s="389"/>
      <c r="AC314" s="389"/>
      <c r="AD314" s="389"/>
      <c r="AE314" s="389"/>
      <c r="AF314" s="389"/>
    </row>
    <row r="315" hidden="1">
      <c r="A315" s="389"/>
      <c r="B315" s="389"/>
      <c r="C315" s="389"/>
      <c r="D315" s="389"/>
      <c r="E315" s="389"/>
      <c r="F315" s="392"/>
      <c r="G315" s="392"/>
      <c r="H315" s="389"/>
      <c r="I315" s="389"/>
      <c r="J315" s="389"/>
      <c r="K315" s="389"/>
      <c r="L315" s="389"/>
      <c r="M315" s="389"/>
      <c r="N315" s="389"/>
      <c r="O315" s="389"/>
      <c r="P315" s="389"/>
      <c r="Q315" s="389"/>
      <c r="R315" s="389"/>
      <c r="S315" s="389"/>
      <c r="T315" s="389"/>
      <c r="U315" s="389"/>
      <c r="V315" s="389"/>
      <c r="W315" s="389"/>
      <c r="X315" s="389"/>
      <c r="Y315" s="389"/>
      <c r="Z315" s="389"/>
      <c r="AA315" s="389"/>
      <c r="AB315" s="389"/>
      <c r="AC315" s="389"/>
      <c r="AD315" s="389"/>
      <c r="AE315" s="389"/>
      <c r="AF315" s="389"/>
    </row>
    <row r="316" hidden="1">
      <c r="A316" s="389"/>
      <c r="B316" s="389"/>
      <c r="C316" s="389"/>
      <c r="D316" s="389"/>
      <c r="E316" s="389"/>
      <c r="F316" s="392"/>
      <c r="G316" s="392"/>
      <c r="H316" s="389"/>
      <c r="I316" s="389"/>
      <c r="J316" s="389"/>
      <c r="K316" s="389"/>
      <c r="L316" s="389"/>
      <c r="M316" s="389"/>
      <c r="N316" s="389"/>
      <c r="O316" s="389"/>
      <c r="P316" s="389"/>
      <c r="Q316" s="389"/>
      <c r="R316" s="389"/>
      <c r="S316" s="389"/>
      <c r="T316" s="389"/>
      <c r="U316" s="389"/>
      <c r="V316" s="389"/>
      <c r="W316" s="389"/>
      <c r="X316" s="389"/>
      <c r="Y316" s="389"/>
      <c r="Z316" s="389"/>
      <c r="AA316" s="389"/>
      <c r="AB316" s="389"/>
      <c r="AC316" s="389"/>
      <c r="AD316" s="389"/>
      <c r="AE316" s="389"/>
      <c r="AF316" s="389"/>
    </row>
    <row r="317" hidden="1">
      <c r="A317" s="389"/>
      <c r="B317" s="389"/>
      <c r="C317" s="389"/>
      <c r="D317" s="389"/>
      <c r="E317" s="389"/>
      <c r="F317" s="392"/>
      <c r="G317" s="392"/>
      <c r="H317" s="389"/>
      <c r="I317" s="389"/>
      <c r="J317" s="389"/>
      <c r="K317" s="389"/>
      <c r="L317" s="389"/>
      <c r="M317" s="389"/>
      <c r="N317" s="389"/>
      <c r="O317" s="389"/>
      <c r="P317" s="389"/>
      <c r="Q317" s="389"/>
      <c r="R317" s="389"/>
      <c r="S317" s="389"/>
      <c r="T317" s="389"/>
      <c r="U317" s="389"/>
      <c r="V317" s="389"/>
      <c r="W317" s="389"/>
      <c r="X317" s="389"/>
      <c r="Y317" s="389"/>
      <c r="Z317" s="389"/>
      <c r="AA317" s="389"/>
      <c r="AB317" s="389"/>
      <c r="AC317" s="389"/>
      <c r="AD317" s="389"/>
      <c r="AE317" s="389"/>
      <c r="AF317" s="389"/>
    </row>
    <row r="318" hidden="1">
      <c r="A318" s="389"/>
      <c r="B318" s="389"/>
      <c r="C318" s="389"/>
      <c r="D318" s="389"/>
      <c r="E318" s="389"/>
      <c r="F318" s="392"/>
      <c r="G318" s="392"/>
      <c r="H318" s="389"/>
      <c r="I318" s="389"/>
      <c r="J318" s="389"/>
      <c r="K318" s="389"/>
      <c r="L318" s="389"/>
      <c r="M318" s="389"/>
      <c r="N318" s="389"/>
      <c r="O318" s="389"/>
      <c r="P318" s="389"/>
      <c r="Q318" s="389"/>
      <c r="R318" s="389"/>
      <c r="S318" s="389"/>
      <c r="T318" s="389"/>
      <c r="U318" s="389"/>
      <c r="V318" s="389"/>
      <c r="W318" s="389"/>
      <c r="X318" s="389"/>
      <c r="Y318" s="389"/>
      <c r="Z318" s="389"/>
      <c r="AA318" s="389"/>
      <c r="AB318" s="389"/>
      <c r="AC318" s="389"/>
      <c r="AD318" s="389"/>
      <c r="AE318" s="389"/>
      <c r="AF318" s="389"/>
    </row>
    <row r="319" hidden="1">
      <c r="A319" s="389"/>
      <c r="B319" s="389"/>
      <c r="C319" s="389"/>
      <c r="D319" s="389"/>
      <c r="E319" s="389"/>
      <c r="F319" s="392"/>
      <c r="G319" s="392"/>
      <c r="H319" s="389"/>
      <c r="I319" s="389"/>
      <c r="J319" s="389"/>
      <c r="K319" s="389"/>
      <c r="L319" s="389"/>
      <c r="M319" s="389"/>
      <c r="N319" s="389"/>
      <c r="O319" s="389"/>
      <c r="P319" s="389"/>
      <c r="Q319" s="389"/>
      <c r="R319" s="389"/>
      <c r="S319" s="389"/>
      <c r="T319" s="389"/>
      <c r="U319" s="389"/>
      <c r="V319" s="389"/>
      <c r="W319" s="389"/>
      <c r="X319" s="389"/>
      <c r="Y319" s="389"/>
      <c r="Z319" s="389"/>
      <c r="AA319" s="389"/>
      <c r="AB319" s="389"/>
      <c r="AC319" s="389"/>
      <c r="AD319" s="389"/>
      <c r="AE319" s="389"/>
      <c r="AF319" s="389"/>
    </row>
    <row r="320" hidden="1">
      <c r="A320" s="389"/>
      <c r="B320" s="389"/>
      <c r="C320" s="389"/>
      <c r="D320" s="389"/>
      <c r="E320" s="389"/>
      <c r="F320" s="392"/>
      <c r="G320" s="392"/>
      <c r="H320" s="389"/>
      <c r="I320" s="389"/>
      <c r="J320" s="389"/>
      <c r="K320" s="389"/>
      <c r="L320" s="389"/>
      <c r="M320" s="389"/>
      <c r="N320" s="389"/>
      <c r="O320" s="389"/>
      <c r="P320" s="389"/>
      <c r="Q320" s="389"/>
      <c r="R320" s="389"/>
      <c r="S320" s="389"/>
      <c r="T320" s="389"/>
      <c r="U320" s="389"/>
      <c r="V320" s="389"/>
      <c r="W320" s="389"/>
      <c r="X320" s="389"/>
      <c r="Y320" s="389"/>
      <c r="Z320" s="389"/>
      <c r="AA320" s="389"/>
      <c r="AB320" s="389"/>
      <c r="AC320" s="389"/>
      <c r="AD320" s="389"/>
      <c r="AE320" s="389"/>
      <c r="AF320" s="389"/>
    </row>
    <row r="321" hidden="1">
      <c r="A321" s="389"/>
      <c r="B321" s="389"/>
      <c r="C321" s="389"/>
      <c r="D321" s="389"/>
      <c r="E321" s="389"/>
      <c r="F321" s="392"/>
      <c r="G321" s="392"/>
      <c r="H321" s="389"/>
      <c r="I321" s="389"/>
      <c r="J321" s="389"/>
      <c r="K321" s="389"/>
      <c r="L321" s="389"/>
      <c r="M321" s="389"/>
      <c r="N321" s="389"/>
      <c r="O321" s="389"/>
      <c r="P321" s="389"/>
      <c r="Q321" s="389"/>
      <c r="R321" s="389"/>
      <c r="S321" s="389"/>
      <c r="T321" s="389"/>
      <c r="U321" s="389"/>
      <c r="V321" s="389"/>
      <c r="W321" s="389"/>
      <c r="X321" s="389"/>
      <c r="Y321" s="389"/>
      <c r="Z321" s="389"/>
      <c r="AA321" s="389"/>
      <c r="AB321" s="389"/>
      <c r="AC321" s="389"/>
      <c r="AD321" s="389"/>
      <c r="AE321" s="389"/>
      <c r="AF321" s="389"/>
    </row>
    <row r="322" hidden="1">
      <c r="A322" s="389"/>
      <c r="B322" s="389"/>
      <c r="C322" s="389"/>
      <c r="D322" s="389"/>
      <c r="E322" s="389"/>
      <c r="F322" s="392"/>
      <c r="G322" s="392"/>
      <c r="H322" s="389"/>
      <c r="I322" s="389"/>
      <c r="J322" s="389"/>
      <c r="K322" s="389"/>
      <c r="L322" s="389"/>
      <c r="M322" s="389"/>
      <c r="N322" s="389"/>
      <c r="O322" s="389"/>
      <c r="P322" s="389"/>
      <c r="Q322" s="389"/>
      <c r="R322" s="389"/>
      <c r="S322" s="389"/>
      <c r="T322" s="389"/>
      <c r="U322" s="389"/>
      <c r="V322" s="389"/>
      <c r="W322" s="389"/>
      <c r="X322" s="389"/>
      <c r="Y322" s="389"/>
      <c r="Z322" s="389"/>
      <c r="AA322" s="389"/>
      <c r="AB322" s="389"/>
      <c r="AC322" s="389"/>
      <c r="AD322" s="389"/>
      <c r="AE322" s="389"/>
      <c r="AF322" s="389"/>
    </row>
    <row r="323" hidden="1">
      <c r="A323" s="389"/>
      <c r="B323" s="389"/>
      <c r="C323" s="389"/>
      <c r="D323" s="389"/>
      <c r="E323" s="389"/>
      <c r="F323" s="392"/>
      <c r="G323" s="392"/>
      <c r="H323" s="389"/>
      <c r="I323" s="389"/>
      <c r="J323" s="389"/>
      <c r="K323" s="389"/>
      <c r="L323" s="389"/>
      <c r="M323" s="389"/>
      <c r="N323" s="389"/>
      <c r="O323" s="389"/>
      <c r="P323" s="389"/>
      <c r="Q323" s="389"/>
      <c r="R323" s="389"/>
      <c r="S323" s="389"/>
      <c r="T323" s="389"/>
      <c r="U323" s="389"/>
      <c r="V323" s="389"/>
      <c r="W323" s="389"/>
      <c r="X323" s="389"/>
      <c r="Y323" s="389"/>
      <c r="Z323" s="389"/>
      <c r="AA323" s="389"/>
      <c r="AB323" s="389"/>
      <c r="AC323" s="389"/>
      <c r="AD323" s="389"/>
      <c r="AE323" s="389"/>
      <c r="AF323" s="389"/>
    </row>
    <row r="324" hidden="1">
      <c r="A324" s="389"/>
      <c r="B324" s="389"/>
      <c r="C324" s="389"/>
      <c r="D324" s="389"/>
      <c r="E324" s="389"/>
      <c r="F324" s="392"/>
      <c r="G324" s="392"/>
      <c r="H324" s="389"/>
      <c r="I324" s="389"/>
      <c r="J324" s="389"/>
      <c r="K324" s="389"/>
      <c r="L324" s="389"/>
      <c r="M324" s="389"/>
      <c r="N324" s="389"/>
      <c r="O324" s="389"/>
      <c r="P324" s="389"/>
      <c r="Q324" s="389"/>
      <c r="R324" s="389"/>
      <c r="S324" s="389"/>
      <c r="T324" s="389"/>
      <c r="U324" s="389"/>
      <c r="V324" s="389"/>
      <c r="W324" s="389"/>
      <c r="X324" s="389"/>
      <c r="Y324" s="389"/>
      <c r="Z324" s="389"/>
      <c r="AA324" s="389"/>
      <c r="AB324" s="389"/>
      <c r="AC324" s="389"/>
      <c r="AD324" s="389"/>
      <c r="AE324" s="389"/>
      <c r="AF324" s="389"/>
    </row>
    <row r="325" hidden="1">
      <c r="A325" s="389"/>
      <c r="B325" s="389"/>
      <c r="C325" s="389"/>
      <c r="D325" s="389"/>
      <c r="E325" s="389"/>
      <c r="F325" s="392"/>
      <c r="G325" s="392"/>
      <c r="H325" s="389"/>
      <c r="I325" s="389"/>
      <c r="J325" s="389"/>
      <c r="K325" s="389"/>
      <c r="L325" s="389"/>
      <c r="M325" s="389"/>
      <c r="N325" s="389"/>
      <c r="O325" s="389"/>
      <c r="P325" s="389"/>
      <c r="Q325" s="389"/>
      <c r="R325" s="389"/>
      <c r="S325" s="389"/>
      <c r="T325" s="389"/>
      <c r="U325" s="389"/>
      <c r="V325" s="389"/>
      <c r="W325" s="389"/>
      <c r="X325" s="389"/>
      <c r="Y325" s="389"/>
      <c r="Z325" s="389"/>
      <c r="AA325" s="389"/>
      <c r="AB325" s="389"/>
      <c r="AC325" s="389"/>
      <c r="AD325" s="389"/>
      <c r="AE325" s="389"/>
      <c r="AF325" s="389"/>
    </row>
    <row r="326" hidden="1">
      <c r="A326" s="389"/>
      <c r="B326" s="389"/>
      <c r="C326" s="389"/>
      <c r="D326" s="389"/>
      <c r="E326" s="389"/>
      <c r="F326" s="392"/>
      <c r="G326" s="392"/>
      <c r="H326" s="389"/>
      <c r="I326" s="389"/>
      <c r="J326" s="389"/>
      <c r="K326" s="389"/>
      <c r="L326" s="389"/>
      <c r="M326" s="389"/>
      <c r="N326" s="389"/>
      <c r="O326" s="389"/>
      <c r="P326" s="389"/>
      <c r="Q326" s="389"/>
      <c r="R326" s="389"/>
      <c r="S326" s="389"/>
      <c r="T326" s="389"/>
      <c r="U326" s="389"/>
      <c r="V326" s="389"/>
      <c r="W326" s="389"/>
      <c r="X326" s="389"/>
      <c r="Y326" s="389"/>
      <c r="Z326" s="389"/>
      <c r="AA326" s="389"/>
      <c r="AB326" s="389"/>
      <c r="AC326" s="389"/>
      <c r="AD326" s="389"/>
      <c r="AE326" s="389"/>
      <c r="AF326" s="389"/>
    </row>
    <row r="327" hidden="1">
      <c r="A327" s="389"/>
      <c r="B327" s="389"/>
      <c r="C327" s="389"/>
      <c r="D327" s="389"/>
      <c r="E327" s="389"/>
      <c r="F327" s="392"/>
      <c r="G327" s="392"/>
      <c r="H327" s="389"/>
      <c r="I327" s="389"/>
      <c r="J327" s="389"/>
      <c r="K327" s="389"/>
      <c r="L327" s="389"/>
      <c r="M327" s="389"/>
      <c r="N327" s="389"/>
      <c r="O327" s="389"/>
      <c r="P327" s="389"/>
      <c r="Q327" s="389"/>
      <c r="R327" s="389"/>
      <c r="S327" s="389"/>
      <c r="T327" s="389"/>
      <c r="U327" s="389"/>
      <c r="V327" s="389"/>
      <c r="W327" s="389"/>
      <c r="X327" s="389"/>
      <c r="Y327" s="389"/>
      <c r="Z327" s="389"/>
      <c r="AA327" s="389"/>
      <c r="AB327" s="389"/>
      <c r="AC327" s="389"/>
      <c r="AD327" s="389"/>
      <c r="AE327" s="389"/>
      <c r="AF327" s="389"/>
    </row>
    <row r="328" hidden="1">
      <c r="A328" s="389"/>
      <c r="B328" s="389"/>
      <c r="C328" s="389"/>
      <c r="D328" s="389"/>
      <c r="E328" s="389"/>
      <c r="F328" s="392"/>
      <c r="G328" s="392"/>
      <c r="H328" s="389"/>
      <c r="I328" s="389"/>
      <c r="J328" s="389"/>
      <c r="K328" s="389"/>
      <c r="L328" s="389"/>
      <c r="M328" s="389"/>
      <c r="N328" s="389"/>
      <c r="O328" s="389"/>
      <c r="P328" s="389"/>
      <c r="Q328" s="389"/>
      <c r="R328" s="389"/>
      <c r="S328" s="389"/>
      <c r="T328" s="389"/>
      <c r="U328" s="389"/>
      <c r="V328" s="389"/>
      <c r="W328" s="389"/>
      <c r="X328" s="389"/>
      <c r="Y328" s="389"/>
      <c r="Z328" s="389"/>
      <c r="AA328" s="389"/>
      <c r="AB328" s="389"/>
      <c r="AC328" s="389"/>
      <c r="AD328" s="389"/>
      <c r="AE328" s="389"/>
      <c r="AF328" s="389"/>
    </row>
    <row r="329" hidden="1">
      <c r="A329" s="389"/>
      <c r="B329" s="389"/>
      <c r="C329" s="389"/>
      <c r="D329" s="389"/>
      <c r="E329" s="389"/>
      <c r="F329" s="392"/>
      <c r="G329" s="392"/>
      <c r="H329" s="389"/>
      <c r="I329" s="389"/>
      <c r="J329" s="389"/>
      <c r="K329" s="389"/>
      <c r="L329" s="389"/>
      <c r="M329" s="389"/>
      <c r="N329" s="389"/>
      <c r="O329" s="389"/>
      <c r="P329" s="389"/>
      <c r="Q329" s="389"/>
      <c r="R329" s="389"/>
      <c r="S329" s="389"/>
      <c r="T329" s="389"/>
      <c r="U329" s="389"/>
      <c r="V329" s="389"/>
      <c r="W329" s="389"/>
      <c r="X329" s="389"/>
      <c r="Y329" s="389"/>
      <c r="Z329" s="389"/>
      <c r="AA329" s="389"/>
      <c r="AB329" s="389"/>
      <c r="AC329" s="389"/>
      <c r="AD329" s="389"/>
      <c r="AE329" s="389"/>
      <c r="AF329" s="389"/>
    </row>
    <row r="330" hidden="1">
      <c r="A330" s="389"/>
      <c r="B330" s="389"/>
      <c r="C330" s="389"/>
      <c r="D330" s="389"/>
      <c r="E330" s="389"/>
      <c r="F330" s="392"/>
      <c r="G330" s="392"/>
      <c r="H330" s="389"/>
      <c r="I330" s="389"/>
      <c r="J330" s="389"/>
      <c r="K330" s="389"/>
      <c r="L330" s="389"/>
      <c r="M330" s="389"/>
      <c r="N330" s="389"/>
      <c r="O330" s="389"/>
      <c r="P330" s="389"/>
      <c r="Q330" s="389"/>
      <c r="R330" s="389"/>
      <c r="S330" s="389"/>
      <c r="T330" s="389"/>
      <c r="U330" s="389"/>
      <c r="V330" s="389"/>
      <c r="W330" s="389"/>
      <c r="X330" s="389"/>
      <c r="Y330" s="389"/>
      <c r="Z330" s="389"/>
      <c r="AA330" s="389"/>
      <c r="AB330" s="389"/>
      <c r="AC330" s="389"/>
      <c r="AD330" s="389"/>
      <c r="AE330" s="389"/>
      <c r="AF330" s="389"/>
    </row>
    <row r="331" hidden="1">
      <c r="A331" s="389"/>
      <c r="B331" s="389"/>
      <c r="C331" s="389"/>
      <c r="D331" s="389"/>
      <c r="E331" s="389"/>
      <c r="F331" s="392"/>
      <c r="G331" s="392"/>
      <c r="H331" s="389"/>
      <c r="I331" s="389"/>
      <c r="J331" s="389"/>
      <c r="K331" s="389"/>
      <c r="L331" s="389"/>
      <c r="M331" s="389"/>
      <c r="N331" s="389"/>
      <c r="O331" s="389"/>
      <c r="P331" s="389"/>
      <c r="Q331" s="389"/>
      <c r="R331" s="389"/>
      <c r="S331" s="389"/>
      <c r="T331" s="389"/>
      <c r="U331" s="389"/>
      <c r="V331" s="389"/>
      <c r="W331" s="389"/>
      <c r="X331" s="389"/>
      <c r="Y331" s="389"/>
      <c r="Z331" s="389"/>
      <c r="AA331" s="389"/>
      <c r="AB331" s="389"/>
      <c r="AC331" s="389"/>
      <c r="AD331" s="389"/>
      <c r="AE331" s="389"/>
      <c r="AF331" s="389"/>
    </row>
    <row r="332" hidden="1">
      <c r="A332" s="389"/>
      <c r="B332" s="389"/>
      <c r="C332" s="389"/>
      <c r="D332" s="389"/>
      <c r="E332" s="389"/>
      <c r="F332" s="392"/>
      <c r="G332" s="392"/>
      <c r="H332" s="389"/>
      <c r="I332" s="389"/>
      <c r="J332" s="389"/>
      <c r="K332" s="389"/>
      <c r="L332" s="389"/>
      <c r="M332" s="389"/>
      <c r="N332" s="389"/>
      <c r="O332" s="389"/>
      <c r="P332" s="389"/>
      <c r="Q332" s="389"/>
      <c r="R332" s="389"/>
      <c r="S332" s="389"/>
      <c r="T332" s="389"/>
      <c r="U332" s="389"/>
      <c r="V332" s="389"/>
      <c r="W332" s="389"/>
      <c r="X332" s="389"/>
      <c r="Y332" s="389"/>
      <c r="Z332" s="389"/>
      <c r="AA332" s="389"/>
      <c r="AB332" s="389"/>
      <c r="AC332" s="389"/>
      <c r="AD332" s="389"/>
      <c r="AE332" s="389"/>
      <c r="AF332" s="389"/>
    </row>
    <row r="333" hidden="1">
      <c r="A333" s="389"/>
      <c r="B333" s="389"/>
      <c r="C333" s="389"/>
      <c r="D333" s="389"/>
      <c r="E333" s="389"/>
      <c r="F333" s="392"/>
      <c r="G333" s="392"/>
      <c r="H333" s="389"/>
      <c r="I333" s="389"/>
      <c r="J333" s="389"/>
      <c r="K333" s="389"/>
      <c r="L333" s="389"/>
      <c r="M333" s="389"/>
      <c r="N333" s="389"/>
      <c r="O333" s="389"/>
      <c r="P333" s="389"/>
      <c r="Q333" s="389"/>
      <c r="R333" s="389"/>
      <c r="S333" s="389"/>
      <c r="T333" s="389"/>
      <c r="U333" s="389"/>
      <c r="V333" s="389"/>
      <c r="W333" s="389"/>
      <c r="X333" s="389"/>
      <c r="Y333" s="389"/>
      <c r="Z333" s="389"/>
      <c r="AA333" s="389"/>
      <c r="AB333" s="389"/>
      <c r="AC333" s="389"/>
      <c r="AD333" s="389"/>
      <c r="AE333" s="389"/>
      <c r="AF333" s="389"/>
    </row>
    <row r="334" hidden="1">
      <c r="A334" s="389"/>
      <c r="B334" s="389"/>
      <c r="C334" s="389"/>
      <c r="D334" s="389"/>
      <c r="E334" s="389"/>
      <c r="F334" s="392"/>
      <c r="G334" s="392"/>
      <c r="H334" s="389"/>
      <c r="I334" s="389"/>
      <c r="J334" s="389"/>
      <c r="K334" s="389"/>
      <c r="L334" s="389"/>
      <c r="M334" s="389"/>
      <c r="N334" s="389"/>
      <c r="O334" s="389"/>
      <c r="P334" s="389"/>
      <c r="Q334" s="389"/>
      <c r="R334" s="389"/>
      <c r="S334" s="389"/>
      <c r="T334" s="389"/>
      <c r="U334" s="389"/>
      <c r="V334" s="389"/>
      <c r="W334" s="389"/>
      <c r="X334" s="389"/>
      <c r="Y334" s="389"/>
      <c r="Z334" s="389"/>
      <c r="AA334" s="389"/>
      <c r="AB334" s="389"/>
      <c r="AC334" s="389"/>
      <c r="AD334" s="389"/>
      <c r="AE334" s="389"/>
      <c r="AF334" s="389"/>
    </row>
    <row r="335" hidden="1">
      <c r="A335" s="389"/>
      <c r="B335" s="389"/>
      <c r="C335" s="389"/>
      <c r="D335" s="389"/>
      <c r="E335" s="389"/>
      <c r="F335" s="392"/>
      <c r="G335" s="392"/>
      <c r="H335" s="389"/>
      <c r="I335" s="389"/>
      <c r="J335" s="389"/>
      <c r="K335" s="389"/>
      <c r="L335" s="389"/>
      <c r="M335" s="389"/>
      <c r="N335" s="389"/>
      <c r="O335" s="389"/>
      <c r="P335" s="389"/>
      <c r="Q335" s="389"/>
      <c r="R335" s="389"/>
      <c r="S335" s="389"/>
      <c r="T335" s="389"/>
      <c r="U335" s="389"/>
      <c r="V335" s="389"/>
      <c r="W335" s="389"/>
      <c r="X335" s="389"/>
      <c r="Y335" s="389"/>
      <c r="Z335" s="389"/>
      <c r="AA335" s="389"/>
      <c r="AB335" s="389"/>
      <c r="AC335" s="389"/>
      <c r="AD335" s="389"/>
      <c r="AE335" s="389"/>
      <c r="AF335" s="389"/>
    </row>
    <row r="336" hidden="1">
      <c r="A336" s="389"/>
      <c r="B336" s="389"/>
      <c r="C336" s="389"/>
      <c r="D336" s="389"/>
      <c r="E336" s="389"/>
      <c r="F336" s="392"/>
      <c r="G336" s="392"/>
      <c r="H336" s="389"/>
      <c r="I336" s="389"/>
      <c r="J336" s="389"/>
      <c r="K336" s="389"/>
      <c r="L336" s="389"/>
      <c r="M336" s="389"/>
      <c r="N336" s="389"/>
      <c r="O336" s="389"/>
      <c r="P336" s="389"/>
      <c r="Q336" s="389"/>
      <c r="R336" s="389"/>
      <c r="S336" s="389"/>
      <c r="T336" s="389"/>
      <c r="U336" s="389"/>
      <c r="V336" s="389"/>
      <c r="W336" s="389"/>
      <c r="X336" s="389"/>
      <c r="Y336" s="389"/>
      <c r="Z336" s="389"/>
      <c r="AA336" s="389"/>
      <c r="AB336" s="389"/>
      <c r="AC336" s="389"/>
      <c r="AD336" s="389"/>
      <c r="AE336" s="389"/>
      <c r="AF336" s="389"/>
    </row>
    <row r="337" hidden="1">
      <c r="A337" s="389"/>
      <c r="B337" s="389"/>
      <c r="C337" s="389"/>
      <c r="D337" s="389"/>
      <c r="E337" s="389"/>
      <c r="F337" s="392"/>
      <c r="G337" s="392"/>
      <c r="H337" s="389"/>
      <c r="I337" s="389"/>
      <c r="J337" s="389"/>
      <c r="K337" s="389"/>
      <c r="L337" s="389"/>
      <c r="M337" s="389"/>
      <c r="N337" s="389"/>
      <c r="O337" s="389"/>
      <c r="P337" s="389"/>
      <c r="Q337" s="389"/>
      <c r="R337" s="389"/>
      <c r="S337" s="389"/>
      <c r="T337" s="389"/>
      <c r="U337" s="389"/>
      <c r="V337" s="389"/>
      <c r="W337" s="389"/>
      <c r="X337" s="389"/>
      <c r="Y337" s="389"/>
      <c r="Z337" s="389"/>
      <c r="AA337" s="389"/>
      <c r="AB337" s="389"/>
      <c r="AC337" s="389"/>
      <c r="AD337" s="389"/>
      <c r="AE337" s="389"/>
      <c r="AF337" s="389"/>
    </row>
    <row r="338" hidden="1">
      <c r="A338" s="389"/>
      <c r="B338" s="389"/>
      <c r="C338" s="389"/>
      <c r="D338" s="389"/>
      <c r="E338" s="389"/>
      <c r="F338" s="392"/>
      <c r="G338" s="392"/>
      <c r="H338" s="389"/>
      <c r="I338" s="389"/>
      <c r="J338" s="389"/>
      <c r="K338" s="389"/>
      <c r="L338" s="389"/>
      <c r="M338" s="389"/>
      <c r="N338" s="389"/>
      <c r="O338" s="389"/>
      <c r="P338" s="389"/>
      <c r="Q338" s="389"/>
      <c r="R338" s="389"/>
      <c r="S338" s="389"/>
      <c r="T338" s="389"/>
      <c r="U338" s="389"/>
      <c r="V338" s="389"/>
      <c r="W338" s="389"/>
      <c r="X338" s="389"/>
      <c r="Y338" s="389"/>
      <c r="Z338" s="389"/>
      <c r="AA338" s="389"/>
      <c r="AB338" s="389"/>
      <c r="AC338" s="389"/>
      <c r="AD338" s="389"/>
      <c r="AE338" s="389"/>
      <c r="AF338" s="389"/>
    </row>
    <row r="339" hidden="1">
      <c r="A339" s="389"/>
      <c r="B339" s="389"/>
      <c r="C339" s="389"/>
      <c r="D339" s="389"/>
      <c r="E339" s="389"/>
      <c r="F339" s="392"/>
      <c r="G339" s="392"/>
      <c r="H339" s="389"/>
      <c r="I339" s="389"/>
      <c r="J339" s="389"/>
      <c r="K339" s="389"/>
      <c r="L339" s="389"/>
      <c r="M339" s="389"/>
      <c r="N339" s="389"/>
      <c r="O339" s="389"/>
      <c r="P339" s="389"/>
      <c r="Q339" s="389"/>
      <c r="R339" s="389"/>
      <c r="S339" s="389"/>
      <c r="T339" s="389"/>
      <c r="U339" s="389"/>
      <c r="V339" s="389"/>
      <c r="W339" s="389"/>
      <c r="X339" s="389"/>
      <c r="Y339" s="389"/>
      <c r="Z339" s="389"/>
      <c r="AA339" s="389"/>
      <c r="AB339" s="389"/>
      <c r="AC339" s="389"/>
      <c r="AD339" s="389"/>
      <c r="AE339" s="389"/>
      <c r="AF339" s="389"/>
    </row>
    <row r="340" hidden="1">
      <c r="A340" s="389"/>
      <c r="B340" s="389"/>
      <c r="C340" s="389"/>
      <c r="D340" s="389"/>
      <c r="E340" s="389"/>
      <c r="F340" s="392"/>
      <c r="G340" s="392"/>
      <c r="H340" s="389"/>
      <c r="I340" s="389"/>
      <c r="J340" s="389"/>
      <c r="K340" s="389"/>
      <c r="L340" s="389"/>
      <c r="M340" s="389"/>
      <c r="N340" s="389"/>
      <c r="O340" s="389"/>
      <c r="P340" s="389"/>
      <c r="Q340" s="389"/>
      <c r="R340" s="389"/>
      <c r="S340" s="389"/>
      <c r="T340" s="389"/>
      <c r="U340" s="389"/>
      <c r="V340" s="389"/>
      <c r="W340" s="389"/>
      <c r="X340" s="389"/>
      <c r="Y340" s="389"/>
      <c r="Z340" s="389"/>
      <c r="AA340" s="389"/>
      <c r="AB340" s="389"/>
      <c r="AC340" s="389"/>
      <c r="AD340" s="389"/>
      <c r="AE340" s="389"/>
      <c r="AF340" s="389"/>
    </row>
    <row r="341" hidden="1">
      <c r="A341" s="389"/>
      <c r="B341" s="389"/>
      <c r="C341" s="389"/>
      <c r="D341" s="389"/>
      <c r="E341" s="389"/>
      <c r="F341" s="392"/>
      <c r="G341" s="392"/>
      <c r="H341" s="389"/>
      <c r="I341" s="389"/>
      <c r="J341" s="389"/>
      <c r="K341" s="389"/>
      <c r="L341" s="389"/>
      <c r="M341" s="389"/>
      <c r="N341" s="389"/>
      <c r="O341" s="389"/>
      <c r="P341" s="389"/>
      <c r="Q341" s="389"/>
      <c r="R341" s="389"/>
      <c r="S341" s="389"/>
      <c r="T341" s="389"/>
      <c r="U341" s="389"/>
      <c r="V341" s="389"/>
      <c r="W341" s="389"/>
      <c r="X341" s="389"/>
      <c r="Y341" s="389"/>
      <c r="Z341" s="389"/>
      <c r="AA341" s="389"/>
      <c r="AB341" s="389"/>
      <c r="AC341" s="389"/>
      <c r="AD341" s="389"/>
      <c r="AE341" s="389"/>
      <c r="AF341" s="389"/>
    </row>
    <row r="342" hidden="1">
      <c r="A342" s="389"/>
      <c r="B342" s="389"/>
      <c r="C342" s="389"/>
      <c r="D342" s="389"/>
      <c r="E342" s="389"/>
      <c r="F342" s="392"/>
      <c r="G342" s="392"/>
      <c r="H342" s="389"/>
      <c r="I342" s="389"/>
      <c r="J342" s="389"/>
      <c r="K342" s="389"/>
      <c r="L342" s="389"/>
      <c r="M342" s="389"/>
      <c r="N342" s="389"/>
      <c r="O342" s="389"/>
      <c r="P342" s="389"/>
      <c r="Q342" s="389"/>
      <c r="R342" s="389"/>
      <c r="S342" s="389"/>
      <c r="T342" s="389"/>
      <c r="U342" s="389"/>
      <c r="V342" s="389"/>
      <c r="W342" s="389"/>
      <c r="X342" s="389"/>
      <c r="Y342" s="389"/>
      <c r="Z342" s="389"/>
      <c r="AA342" s="389"/>
      <c r="AB342" s="389"/>
      <c r="AC342" s="389"/>
      <c r="AD342" s="389"/>
      <c r="AE342" s="389"/>
      <c r="AF342" s="389"/>
    </row>
    <row r="343" hidden="1">
      <c r="A343" s="389"/>
      <c r="B343" s="389"/>
      <c r="C343" s="389"/>
      <c r="D343" s="389"/>
      <c r="E343" s="389"/>
      <c r="F343" s="392"/>
      <c r="G343" s="392"/>
      <c r="H343" s="389"/>
      <c r="I343" s="389"/>
      <c r="J343" s="389"/>
      <c r="K343" s="389"/>
      <c r="L343" s="389"/>
      <c r="M343" s="389"/>
      <c r="N343" s="389"/>
      <c r="O343" s="389"/>
      <c r="P343" s="389"/>
      <c r="Q343" s="389"/>
      <c r="R343" s="389"/>
      <c r="S343" s="389"/>
      <c r="T343" s="389"/>
      <c r="U343" s="389"/>
      <c r="V343" s="389"/>
      <c r="W343" s="389"/>
      <c r="X343" s="389"/>
      <c r="Y343" s="389"/>
      <c r="Z343" s="389"/>
      <c r="AA343" s="389"/>
      <c r="AB343" s="389"/>
      <c r="AC343" s="389"/>
      <c r="AD343" s="389"/>
      <c r="AE343" s="389"/>
      <c r="AF343" s="389"/>
    </row>
    <row r="344" hidden="1">
      <c r="A344" s="389"/>
      <c r="B344" s="389"/>
      <c r="C344" s="389"/>
      <c r="D344" s="389"/>
      <c r="E344" s="389"/>
      <c r="F344" s="392"/>
      <c r="G344" s="392"/>
      <c r="H344" s="389"/>
      <c r="I344" s="389"/>
      <c r="J344" s="389"/>
      <c r="K344" s="389"/>
      <c r="L344" s="389"/>
      <c r="M344" s="389"/>
      <c r="N344" s="389"/>
      <c r="O344" s="389"/>
      <c r="P344" s="389"/>
      <c r="Q344" s="389"/>
      <c r="R344" s="389"/>
      <c r="S344" s="389"/>
      <c r="T344" s="389"/>
      <c r="U344" s="389"/>
      <c r="V344" s="389"/>
      <c r="W344" s="389"/>
      <c r="X344" s="389"/>
      <c r="Y344" s="389"/>
      <c r="Z344" s="389"/>
      <c r="AA344" s="389"/>
      <c r="AB344" s="389"/>
      <c r="AC344" s="389"/>
      <c r="AD344" s="389"/>
      <c r="AE344" s="389"/>
      <c r="AF344" s="389"/>
    </row>
    <row r="345" hidden="1">
      <c r="A345" s="389"/>
      <c r="B345" s="389"/>
      <c r="C345" s="389"/>
      <c r="D345" s="389"/>
      <c r="E345" s="389"/>
      <c r="F345" s="392"/>
      <c r="G345" s="392"/>
      <c r="H345" s="389"/>
      <c r="I345" s="389"/>
      <c r="J345" s="389"/>
      <c r="K345" s="389"/>
      <c r="L345" s="389"/>
      <c r="M345" s="389"/>
      <c r="N345" s="389"/>
      <c r="O345" s="389"/>
      <c r="P345" s="389"/>
      <c r="Q345" s="389"/>
      <c r="R345" s="389"/>
      <c r="S345" s="389"/>
      <c r="T345" s="389"/>
      <c r="U345" s="389"/>
      <c r="V345" s="389"/>
      <c r="W345" s="389"/>
      <c r="X345" s="389"/>
      <c r="Y345" s="389"/>
      <c r="Z345" s="389"/>
      <c r="AA345" s="389"/>
      <c r="AB345" s="389"/>
      <c r="AC345" s="389"/>
      <c r="AD345" s="389"/>
      <c r="AE345" s="389"/>
      <c r="AF345" s="389"/>
    </row>
    <row r="346" hidden="1">
      <c r="A346" s="389"/>
      <c r="B346" s="389"/>
      <c r="C346" s="389"/>
      <c r="D346" s="389"/>
      <c r="E346" s="389"/>
      <c r="F346" s="392"/>
      <c r="G346" s="392"/>
      <c r="H346" s="389"/>
      <c r="I346" s="389"/>
      <c r="J346" s="389"/>
      <c r="K346" s="389"/>
      <c r="L346" s="389"/>
      <c r="M346" s="389"/>
      <c r="N346" s="389"/>
      <c r="O346" s="389"/>
      <c r="P346" s="389"/>
      <c r="Q346" s="389"/>
      <c r="R346" s="389"/>
      <c r="S346" s="389"/>
      <c r="T346" s="389"/>
      <c r="U346" s="389"/>
      <c r="V346" s="389"/>
      <c r="W346" s="389"/>
      <c r="X346" s="389"/>
      <c r="Y346" s="389"/>
      <c r="Z346" s="389"/>
      <c r="AA346" s="389"/>
      <c r="AB346" s="389"/>
      <c r="AC346" s="389"/>
      <c r="AD346" s="389"/>
      <c r="AE346" s="389"/>
      <c r="AF346" s="389"/>
    </row>
    <row r="347" hidden="1">
      <c r="A347" s="389"/>
      <c r="B347" s="389"/>
      <c r="C347" s="389"/>
      <c r="D347" s="389"/>
      <c r="E347" s="389"/>
      <c r="F347" s="392"/>
      <c r="G347" s="392"/>
      <c r="H347" s="389"/>
      <c r="I347" s="389"/>
      <c r="J347" s="389"/>
      <c r="K347" s="389"/>
      <c r="L347" s="389"/>
      <c r="M347" s="389"/>
      <c r="N347" s="389"/>
      <c r="O347" s="389"/>
      <c r="P347" s="389"/>
      <c r="Q347" s="389"/>
      <c r="R347" s="389"/>
      <c r="S347" s="389"/>
      <c r="T347" s="389"/>
      <c r="U347" s="389"/>
      <c r="V347" s="389"/>
      <c r="W347" s="389"/>
      <c r="X347" s="389"/>
      <c r="Y347" s="389"/>
      <c r="Z347" s="389"/>
      <c r="AA347" s="389"/>
      <c r="AB347" s="389"/>
      <c r="AC347" s="389"/>
      <c r="AD347" s="389"/>
      <c r="AE347" s="389"/>
      <c r="AF347" s="389"/>
    </row>
    <row r="348" hidden="1">
      <c r="A348" s="389"/>
      <c r="B348" s="389"/>
      <c r="C348" s="389"/>
      <c r="D348" s="389"/>
      <c r="E348" s="389"/>
      <c r="F348" s="392"/>
      <c r="G348" s="392"/>
      <c r="H348" s="389"/>
      <c r="I348" s="389"/>
      <c r="J348" s="389"/>
      <c r="K348" s="389"/>
      <c r="L348" s="389"/>
      <c r="M348" s="389"/>
      <c r="N348" s="389"/>
      <c r="O348" s="389"/>
      <c r="P348" s="389"/>
      <c r="Q348" s="389"/>
      <c r="R348" s="389"/>
      <c r="S348" s="389"/>
      <c r="T348" s="389"/>
      <c r="U348" s="389"/>
      <c r="V348" s="389"/>
      <c r="W348" s="389"/>
      <c r="X348" s="389"/>
      <c r="Y348" s="389"/>
      <c r="Z348" s="389"/>
      <c r="AA348" s="389"/>
      <c r="AB348" s="389"/>
      <c r="AC348" s="389"/>
      <c r="AD348" s="389"/>
      <c r="AE348" s="389"/>
      <c r="AF348" s="389"/>
    </row>
    <row r="349" hidden="1">
      <c r="A349" s="389"/>
      <c r="B349" s="389"/>
      <c r="C349" s="389"/>
      <c r="D349" s="389"/>
      <c r="E349" s="389"/>
      <c r="F349" s="392"/>
      <c r="G349" s="392"/>
      <c r="H349" s="389"/>
      <c r="I349" s="389"/>
      <c r="J349" s="389"/>
      <c r="K349" s="389"/>
      <c r="L349" s="389"/>
      <c r="M349" s="389"/>
      <c r="N349" s="389"/>
      <c r="O349" s="389"/>
      <c r="P349" s="389"/>
      <c r="Q349" s="389"/>
      <c r="R349" s="389"/>
      <c r="S349" s="389"/>
      <c r="T349" s="389"/>
      <c r="U349" s="389"/>
      <c r="V349" s="389"/>
      <c r="W349" s="389"/>
      <c r="X349" s="389"/>
      <c r="Y349" s="389"/>
      <c r="Z349" s="389"/>
      <c r="AA349" s="389"/>
      <c r="AB349" s="389"/>
      <c r="AC349" s="389"/>
      <c r="AD349" s="389"/>
      <c r="AE349" s="389"/>
      <c r="AF349" s="389"/>
    </row>
    <row r="350" hidden="1">
      <c r="A350" s="389"/>
      <c r="B350" s="389"/>
      <c r="C350" s="389"/>
      <c r="D350" s="389"/>
      <c r="E350" s="389"/>
      <c r="F350" s="392"/>
      <c r="G350" s="392"/>
      <c r="H350" s="389"/>
      <c r="I350" s="389"/>
      <c r="J350" s="389"/>
      <c r="K350" s="389"/>
      <c r="L350" s="389"/>
      <c r="M350" s="389"/>
      <c r="N350" s="389"/>
      <c r="O350" s="389"/>
      <c r="P350" s="389"/>
      <c r="Q350" s="389"/>
      <c r="R350" s="389"/>
      <c r="S350" s="389"/>
      <c r="T350" s="389"/>
      <c r="U350" s="389"/>
      <c r="V350" s="389"/>
      <c r="W350" s="389"/>
      <c r="X350" s="389"/>
      <c r="Y350" s="389"/>
      <c r="Z350" s="389"/>
      <c r="AA350" s="389"/>
      <c r="AB350" s="389"/>
      <c r="AC350" s="389"/>
      <c r="AD350" s="389"/>
      <c r="AE350" s="389"/>
      <c r="AF350" s="389"/>
    </row>
    <row r="351" hidden="1">
      <c r="A351" s="389"/>
      <c r="B351" s="389"/>
      <c r="C351" s="389"/>
      <c r="D351" s="389"/>
      <c r="E351" s="389"/>
      <c r="F351" s="392"/>
      <c r="G351" s="392"/>
      <c r="H351" s="389"/>
      <c r="I351" s="389"/>
      <c r="J351" s="389"/>
      <c r="K351" s="389"/>
      <c r="L351" s="389"/>
      <c r="M351" s="389"/>
      <c r="N351" s="389"/>
      <c r="O351" s="389"/>
      <c r="P351" s="389"/>
      <c r="Q351" s="389"/>
      <c r="R351" s="389"/>
      <c r="S351" s="389"/>
      <c r="T351" s="389"/>
      <c r="U351" s="389"/>
      <c r="V351" s="389"/>
      <c r="W351" s="389"/>
      <c r="X351" s="389"/>
      <c r="Y351" s="389"/>
      <c r="Z351" s="389"/>
      <c r="AA351" s="389"/>
      <c r="AB351" s="389"/>
      <c r="AC351" s="389"/>
      <c r="AD351" s="389"/>
      <c r="AE351" s="389"/>
      <c r="AF351" s="389"/>
    </row>
    <row r="352" hidden="1">
      <c r="A352" s="389"/>
      <c r="B352" s="389"/>
      <c r="C352" s="389"/>
      <c r="D352" s="389"/>
      <c r="E352" s="389"/>
      <c r="F352" s="392"/>
      <c r="G352" s="392"/>
      <c r="H352" s="389"/>
      <c r="I352" s="389"/>
      <c r="J352" s="389"/>
      <c r="K352" s="389"/>
      <c r="L352" s="389"/>
      <c r="M352" s="389"/>
      <c r="N352" s="389"/>
      <c r="O352" s="389"/>
      <c r="P352" s="389"/>
      <c r="Q352" s="389"/>
      <c r="R352" s="389"/>
      <c r="S352" s="389"/>
      <c r="T352" s="389"/>
      <c r="U352" s="389"/>
      <c r="V352" s="389"/>
      <c r="W352" s="389"/>
      <c r="X352" s="389"/>
      <c r="Y352" s="389"/>
      <c r="Z352" s="389"/>
      <c r="AA352" s="389"/>
      <c r="AB352" s="389"/>
      <c r="AC352" s="389"/>
      <c r="AD352" s="389"/>
      <c r="AE352" s="389"/>
      <c r="AF352" s="389"/>
    </row>
    <row r="353" hidden="1">
      <c r="A353" s="389"/>
      <c r="B353" s="389"/>
      <c r="C353" s="389"/>
      <c r="D353" s="389"/>
      <c r="E353" s="389"/>
      <c r="F353" s="392"/>
      <c r="G353" s="392"/>
      <c r="H353" s="389"/>
      <c r="I353" s="389"/>
      <c r="J353" s="389"/>
      <c r="K353" s="389"/>
      <c r="L353" s="389"/>
      <c r="M353" s="389"/>
      <c r="N353" s="389"/>
      <c r="O353" s="389"/>
      <c r="P353" s="389"/>
      <c r="Q353" s="389"/>
      <c r="R353" s="389"/>
      <c r="S353" s="389"/>
      <c r="T353" s="389"/>
      <c r="U353" s="389"/>
      <c r="V353" s="389"/>
      <c r="W353" s="389"/>
      <c r="X353" s="389"/>
      <c r="Y353" s="389"/>
      <c r="Z353" s="389"/>
      <c r="AA353" s="389"/>
      <c r="AB353" s="389"/>
      <c r="AC353" s="389"/>
      <c r="AD353" s="389"/>
      <c r="AE353" s="389"/>
      <c r="AF353" s="389"/>
    </row>
    <row r="354" hidden="1">
      <c r="A354" s="389"/>
      <c r="B354" s="389"/>
      <c r="C354" s="389"/>
      <c r="D354" s="389"/>
      <c r="E354" s="389"/>
      <c r="F354" s="392"/>
      <c r="G354" s="392"/>
      <c r="H354" s="389"/>
      <c r="I354" s="389"/>
      <c r="J354" s="389"/>
      <c r="K354" s="389"/>
      <c r="L354" s="389"/>
      <c r="M354" s="389"/>
      <c r="N354" s="389"/>
      <c r="O354" s="389"/>
      <c r="P354" s="389"/>
      <c r="Q354" s="389"/>
      <c r="R354" s="389"/>
      <c r="S354" s="389"/>
      <c r="T354" s="389"/>
      <c r="U354" s="389"/>
      <c r="V354" s="389"/>
      <c r="W354" s="389"/>
      <c r="X354" s="389"/>
      <c r="Y354" s="389"/>
      <c r="Z354" s="389"/>
      <c r="AA354" s="389"/>
      <c r="AB354" s="389"/>
      <c r="AC354" s="389"/>
      <c r="AD354" s="389"/>
      <c r="AE354" s="389"/>
      <c r="AF354" s="389"/>
    </row>
    <row r="355" hidden="1">
      <c r="A355" s="389"/>
      <c r="B355" s="389"/>
      <c r="C355" s="389"/>
      <c r="D355" s="389"/>
      <c r="E355" s="389"/>
      <c r="F355" s="392"/>
      <c r="G355" s="392"/>
      <c r="H355" s="389"/>
      <c r="I355" s="389"/>
      <c r="J355" s="389"/>
      <c r="K355" s="389"/>
      <c r="L355" s="389"/>
      <c r="M355" s="389"/>
      <c r="N355" s="389"/>
      <c r="O355" s="389"/>
      <c r="P355" s="389"/>
      <c r="Q355" s="389"/>
      <c r="R355" s="389"/>
      <c r="S355" s="389"/>
      <c r="T355" s="389"/>
      <c r="U355" s="389"/>
      <c r="V355" s="389"/>
      <c r="W355" s="389"/>
      <c r="X355" s="389"/>
      <c r="Y355" s="389"/>
      <c r="Z355" s="389"/>
      <c r="AA355" s="389"/>
      <c r="AB355" s="389"/>
      <c r="AC355" s="389"/>
      <c r="AD355" s="389"/>
      <c r="AE355" s="389"/>
      <c r="AF355" s="389"/>
    </row>
    <row r="356" hidden="1">
      <c r="A356" s="389"/>
      <c r="B356" s="389"/>
      <c r="C356" s="389"/>
      <c r="D356" s="389"/>
      <c r="E356" s="389"/>
      <c r="F356" s="392"/>
      <c r="G356" s="392"/>
      <c r="H356" s="389"/>
      <c r="I356" s="389"/>
      <c r="J356" s="389"/>
      <c r="K356" s="389"/>
      <c r="L356" s="389"/>
      <c r="M356" s="389"/>
      <c r="N356" s="389"/>
      <c r="O356" s="389"/>
      <c r="P356" s="389"/>
      <c r="Q356" s="389"/>
      <c r="R356" s="389"/>
      <c r="S356" s="389"/>
      <c r="T356" s="389"/>
      <c r="U356" s="389"/>
      <c r="V356" s="389"/>
      <c r="W356" s="389"/>
      <c r="X356" s="389"/>
      <c r="Y356" s="389"/>
      <c r="Z356" s="389"/>
      <c r="AA356" s="389"/>
      <c r="AB356" s="389"/>
      <c r="AC356" s="389"/>
      <c r="AD356" s="389"/>
      <c r="AE356" s="389"/>
      <c r="AF356" s="389"/>
    </row>
    <row r="357" hidden="1">
      <c r="A357" s="389"/>
      <c r="B357" s="389"/>
      <c r="C357" s="389"/>
      <c r="D357" s="389"/>
      <c r="E357" s="389"/>
      <c r="F357" s="392"/>
      <c r="G357" s="392"/>
      <c r="H357" s="389"/>
      <c r="I357" s="389"/>
      <c r="J357" s="389"/>
      <c r="K357" s="389"/>
      <c r="L357" s="389"/>
      <c r="M357" s="389"/>
      <c r="N357" s="389"/>
      <c r="O357" s="389"/>
      <c r="P357" s="389"/>
      <c r="Q357" s="389"/>
      <c r="R357" s="389"/>
      <c r="S357" s="389"/>
      <c r="T357" s="389"/>
      <c r="U357" s="389"/>
      <c r="V357" s="389"/>
      <c r="W357" s="389"/>
      <c r="X357" s="389"/>
      <c r="Y357" s="389"/>
      <c r="Z357" s="389"/>
      <c r="AA357" s="389"/>
      <c r="AB357" s="389"/>
      <c r="AC357" s="389"/>
      <c r="AD357" s="389"/>
      <c r="AE357" s="389"/>
      <c r="AF357" s="389"/>
    </row>
    <row r="358" hidden="1">
      <c r="A358" s="389"/>
      <c r="B358" s="389"/>
      <c r="C358" s="389"/>
      <c r="D358" s="389"/>
      <c r="E358" s="389"/>
      <c r="F358" s="392"/>
      <c r="G358" s="392"/>
      <c r="H358" s="389"/>
      <c r="I358" s="389"/>
      <c r="J358" s="389"/>
      <c r="K358" s="389"/>
      <c r="L358" s="389"/>
      <c r="M358" s="389"/>
      <c r="N358" s="389"/>
      <c r="O358" s="389"/>
      <c r="P358" s="389"/>
      <c r="Q358" s="389"/>
      <c r="R358" s="389"/>
      <c r="S358" s="389"/>
      <c r="T358" s="389"/>
      <c r="U358" s="389"/>
      <c r="V358" s="389"/>
      <c r="W358" s="389"/>
      <c r="X358" s="389"/>
      <c r="Y358" s="389"/>
      <c r="Z358" s="389"/>
      <c r="AA358" s="389"/>
      <c r="AB358" s="389"/>
      <c r="AC358" s="389"/>
      <c r="AD358" s="389"/>
      <c r="AE358" s="389"/>
      <c r="AF358" s="389"/>
    </row>
    <row r="359" hidden="1">
      <c r="A359" s="389"/>
      <c r="B359" s="389"/>
      <c r="C359" s="389"/>
      <c r="D359" s="389"/>
      <c r="E359" s="389"/>
      <c r="F359" s="392"/>
      <c r="G359" s="392"/>
      <c r="H359" s="389"/>
      <c r="I359" s="389"/>
      <c r="J359" s="389"/>
      <c r="K359" s="389"/>
      <c r="L359" s="389"/>
      <c r="M359" s="389"/>
      <c r="N359" s="389"/>
      <c r="O359" s="389"/>
      <c r="P359" s="389"/>
      <c r="Q359" s="389"/>
      <c r="R359" s="389"/>
      <c r="S359" s="389"/>
      <c r="T359" s="389"/>
      <c r="U359" s="389"/>
      <c r="V359" s="389"/>
      <c r="W359" s="389"/>
      <c r="X359" s="389"/>
      <c r="Y359" s="389"/>
      <c r="Z359" s="389"/>
      <c r="AA359" s="389"/>
      <c r="AB359" s="389"/>
      <c r="AC359" s="389"/>
      <c r="AD359" s="389"/>
      <c r="AE359" s="389"/>
      <c r="AF359" s="389"/>
    </row>
    <row r="360" hidden="1">
      <c r="A360" s="389"/>
      <c r="B360" s="389"/>
      <c r="C360" s="389"/>
      <c r="D360" s="389"/>
      <c r="E360" s="389"/>
      <c r="F360" s="392"/>
      <c r="G360" s="392"/>
      <c r="H360" s="389"/>
      <c r="I360" s="389"/>
      <c r="J360" s="389"/>
      <c r="K360" s="389"/>
      <c r="L360" s="389"/>
      <c r="M360" s="389"/>
      <c r="N360" s="389"/>
      <c r="O360" s="389"/>
      <c r="P360" s="389"/>
      <c r="Q360" s="389"/>
      <c r="R360" s="389"/>
      <c r="S360" s="389"/>
      <c r="T360" s="389"/>
      <c r="U360" s="389"/>
      <c r="V360" s="389"/>
      <c r="W360" s="389"/>
      <c r="X360" s="389"/>
      <c r="Y360" s="389"/>
      <c r="Z360" s="389"/>
      <c r="AA360" s="389"/>
      <c r="AB360" s="389"/>
      <c r="AC360" s="389"/>
      <c r="AD360" s="389"/>
      <c r="AE360" s="389"/>
      <c r="AF360" s="389"/>
    </row>
    <row r="361" hidden="1">
      <c r="A361" s="389"/>
      <c r="B361" s="389"/>
      <c r="C361" s="389"/>
      <c r="D361" s="389"/>
      <c r="E361" s="389"/>
      <c r="F361" s="392"/>
      <c r="G361" s="392"/>
      <c r="H361" s="389"/>
      <c r="I361" s="389"/>
      <c r="J361" s="389"/>
      <c r="K361" s="389"/>
      <c r="L361" s="389"/>
      <c r="M361" s="389"/>
      <c r="N361" s="389"/>
      <c r="O361" s="389"/>
      <c r="P361" s="389"/>
      <c r="Q361" s="389"/>
      <c r="R361" s="389"/>
      <c r="S361" s="389"/>
      <c r="T361" s="389"/>
      <c r="U361" s="389"/>
      <c r="V361" s="389"/>
      <c r="W361" s="389"/>
      <c r="X361" s="389"/>
      <c r="Y361" s="389"/>
      <c r="Z361" s="389"/>
      <c r="AA361" s="389"/>
      <c r="AB361" s="389"/>
      <c r="AC361" s="389"/>
      <c r="AD361" s="389"/>
      <c r="AE361" s="389"/>
      <c r="AF361" s="389"/>
    </row>
    <row r="362" hidden="1">
      <c r="A362" s="389"/>
      <c r="B362" s="389"/>
      <c r="C362" s="389"/>
      <c r="D362" s="389"/>
      <c r="E362" s="389"/>
      <c r="F362" s="392"/>
      <c r="G362" s="392"/>
      <c r="H362" s="389"/>
      <c r="I362" s="389"/>
      <c r="J362" s="389"/>
      <c r="K362" s="389"/>
      <c r="L362" s="389"/>
      <c r="M362" s="389"/>
      <c r="N362" s="389"/>
      <c r="O362" s="389"/>
      <c r="P362" s="389"/>
      <c r="Q362" s="389"/>
      <c r="R362" s="389"/>
      <c r="S362" s="389"/>
      <c r="T362" s="389"/>
      <c r="U362" s="389"/>
      <c r="V362" s="389"/>
      <c r="W362" s="389"/>
      <c r="X362" s="389"/>
      <c r="Y362" s="389"/>
      <c r="Z362" s="389"/>
      <c r="AA362" s="389"/>
      <c r="AB362" s="389"/>
      <c r="AC362" s="389"/>
      <c r="AD362" s="389"/>
      <c r="AE362" s="389"/>
      <c r="AF362" s="389"/>
    </row>
    <row r="363" hidden="1">
      <c r="A363" s="389"/>
      <c r="B363" s="389"/>
      <c r="C363" s="389"/>
      <c r="D363" s="389"/>
      <c r="E363" s="389"/>
      <c r="F363" s="392"/>
      <c r="G363" s="392"/>
      <c r="H363" s="389"/>
      <c r="I363" s="389"/>
      <c r="J363" s="389"/>
      <c r="K363" s="389"/>
      <c r="L363" s="389"/>
      <c r="M363" s="389"/>
      <c r="N363" s="389"/>
      <c r="O363" s="389"/>
      <c r="P363" s="389"/>
      <c r="Q363" s="389"/>
      <c r="R363" s="389"/>
      <c r="S363" s="389"/>
      <c r="T363" s="389"/>
      <c r="U363" s="389"/>
      <c r="V363" s="389"/>
      <c r="W363" s="389"/>
      <c r="X363" s="389"/>
      <c r="Y363" s="389"/>
      <c r="Z363" s="389"/>
      <c r="AA363" s="389"/>
      <c r="AB363" s="389"/>
      <c r="AC363" s="389"/>
      <c r="AD363" s="389"/>
      <c r="AE363" s="389"/>
      <c r="AF363" s="389"/>
    </row>
    <row r="364" hidden="1">
      <c r="A364" s="389"/>
      <c r="B364" s="389"/>
      <c r="C364" s="389"/>
      <c r="D364" s="389"/>
      <c r="E364" s="389"/>
      <c r="F364" s="392"/>
      <c r="G364" s="392"/>
      <c r="H364" s="389"/>
      <c r="I364" s="389"/>
      <c r="J364" s="389"/>
      <c r="K364" s="389"/>
      <c r="L364" s="389"/>
      <c r="M364" s="389"/>
      <c r="N364" s="389"/>
      <c r="O364" s="389"/>
      <c r="P364" s="389"/>
      <c r="Q364" s="389"/>
      <c r="R364" s="389"/>
      <c r="S364" s="389"/>
      <c r="T364" s="389"/>
      <c r="U364" s="389"/>
      <c r="V364" s="389"/>
      <c r="W364" s="389"/>
      <c r="X364" s="389"/>
      <c r="Y364" s="389"/>
      <c r="Z364" s="389"/>
      <c r="AA364" s="389"/>
      <c r="AB364" s="389"/>
      <c r="AC364" s="389"/>
      <c r="AD364" s="389"/>
      <c r="AE364" s="389"/>
      <c r="AF364" s="389"/>
    </row>
    <row r="365" hidden="1">
      <c r="A365" s="389"/>
      <c r="B365" s="389"/>
      <c r="C365" s="389"/>
      <c r="D365" s="389"/>
      <c r="E365" s="389"/>
      <c r="F365" s="392"/>
      <c r="G365" s="392"/>
      <c r="H365" s="389"/>
      <c r="I365" s="389"/>
      <c r="J365" s="389"/>
      <c r="K365" s="389"/>
      <c r="L365" s="389"/>
      <c r="M365" s="389"/>
      <c r="N365" s="389"/>
      <c r="O365" s="389"/>
      <c r="P365" s="389"/>
      <c r="Q365" s="389"/>
      <c r="R365" s="389"/>
      <c r="S365" s="389"/>
      <c r="T365" s="389"/>
      <c r="U365" s="389"/>
      <c r="V365" s="389"/>
      <c r="W365" s="389"/>
      <c r="X365" s="389"/>
      <c r="Y365" s="389"/>
      <c r="Z365" s="389"/>
      <c r="AA365" s="389"/>
      <c r="AB365" s="389"/>
      <c r="AC365" s="389"/>
      <c r="AD365" s="389"/>
      <c r="AE365" s="389"/>
      <c r="AF365" s="389"/>
    </row>
    <row r="366" hidden="1">
      <c r="A366" s="389"/>
      <c r="B366" s="389"/>
      <c r="C366" s="389"/>
      <c r="D366" s="389"/>
      <c r="E366" s="389"/>
      <c r="F366" s="392"/>
      <c r="G366" s="392"/>
      <c r="H366" s="389"/>
      <c r="I366" s="389"/>
      <c r="J366" s="389"/>
      <c r="K366" s="389"/>
      <c r="L366" s="389"/>
      <c r="M366" s="389"/>
      <c r="N366" s="389"/>
      <c r="O366" s="389"/>
      <c r="P366" s="389"/>
      <c r="Q366" s="389"/>
      <c r="R366" s="389"/>
      <c r="S366" s="389"/>
      <c r="T366" s="389"/>
      <c r="U366" s="389"/>
      <c r="V366" s="389"/>
      <c r="W366" s="389"/>
      <c r="X366" s="389"/>
      <c r="Y366" s="389"/>
      <c r="Z366" s="389"/>
      <c r="AA366" s="389"/>
      <c r="AB366" s="389"/>
      <c r="AC366" s="389"/>
      <c r="AD366" s="389"/>
      <c r="AE366" s="389"/>
      <c r="AF366" s="389"/>
    </row>
    <row r="367" hidden="1">
      <c r="A367" s="389"/>
      <c r="B367" s="389"/>
      <c r="C367" s="389"/>
      <c r="D367" s="389"/>
      <c r="E367" s="389"/>
      <c r="F367" s="392"/>
      <c r="G367" s="392"/>
      <c r="H367" s="389"/>
      <c r="I367" s="389"/>
      <c r="J367" s="389"/>
      <c r="K367" s="389"/>
      <c r="L367" s="389"/>
      <c r="M367" s="389"/>
      <c r="N367" s="389"/>
      <c r="O367" s="389"/>
      <c r="P367" s="389"/>
      <c r="Q367" s="389"/>
      <c r="R367" s="389"/>
      <c r="S367" s="389"/>
      <c r="T367" s="389"/>
      <c r="U367" s="389"/>
      <c r="V367" s="389"/>
      <c r="W367" s="389"/>
      <c r="X367" s="389"/>
      <c r="Y367" s="389"/>
      <c r="Z367" s="389"/>
      <c r="AA367" s="389"/>
      <c r="AB367" s="389"/>
      <c r="AC367" s="389"/>
      <c r="AD367" s="389"/>
      <c r="AE367" s="389"/>
      <c r="AF367" s="389"/>
    </row>
    <row r="368" hidden="1">
      <c r="A368" s="389"/>
      <c r="B368" s="389"/>
      <c r="C368" s="389"/>
      <c r="D368" s="389"/>
      <c r="E368" s="389"/>
      <c r="F368" s="392"/>
      <c r="G368" s="392"/>
      <c r="H368" s="389"/>
      <c r="I368" s="389"/>
      <c r="J368" s="389"/>
      <c r="K368" s="389"/>
      <c r="L368" s="389"/>
      <c r="M368" s="389"/>
      <c r="N368" s="389"/>
      <c r="O368" s="389"/>
      <c r="P368" s="389"/>
      <c r="Q368" s="389"/>
      <c r="R368" s="389"/>
      <c r="S368" s="389"/>
      <c r="T368" s="389"/>
      <c r="U368" s="389"/>
      <c r="V368" s="389"/>
      <c r="W368" s="389"/>
      <c r="X368" s="389"/>
      <c r="Y368" s="389"/>
      <c r="Z368" s="389"/>
      <c r="AA368" s="389"/>
      <c r="AB368" s="389"/>
      <c r="AC368" s="389"/>
      <c r="AD368" s="389"/>
      <c r="AE368" s="389"/>
      <c r="AF368" s="389"/>
    </row>
    <row r="369" hidden="1">
      <c r="A369" s="389"/>
      <c r="B369" s="389"/>
      <c r="C369" s="389"/>
      <c r="D369" s="389"/>
      <c r="E369" s="389"/>
      <c r="F369" s="392"/>
      <c r="G369" s="392"/>
      <c r="H369" s="389"/>
      <c r="I369" s="389"/>
      <c r="J369" s="389"/>
      <c r="K369" s="389"/>
      <c r="L369" s="389"/>
      <c r="M369" s="389"/>
      <c r="N369" s="389"/>
      <c r="O369" s="389"/>
      <c r="P369" s="389"/>
      <c r="Q369" s="389"/>
      <c r="R369" s="389"/>
      <c r="S369" s="389"/>
      <c r="T369" s="389"/>
      <c r="U369" s="389"/>
      <c r="V369" s="389"/>
      <c r="W369" s="389"/>
      <c r="X369" s="389"/>
      <c r="Y369" s="389"/>
      <c r="Z369" s="389"/>
      <c r="AA369" s="389"/>
      <c r="AB369" s="389"/>
      <c r="AC369" s="389"/>
      <c r="AD369" s="389"/>
      <c r="AE369" s="389"/>
      <c r="AF369" s="389"/>
    </row>
    <row r="370" hidden="1">
      <c r="A370" s="389"/>
      <c r="B370" s="389"/>
      <c r="C370" s="389"/>
      <c r="D370" s="389"/>
      <c r="E370" s="389"/>
      <c r="F370" s="392"/>
      <c r="G370" s="392"/>
      <c r="H370" s="389"/>
      <c r="I370" s="389"/>
      <c r="J370" s="389"/>
      <c r="K370" s="389"/>
      <c r="L370" s="389"/>
      <c r="M370" s="389"/>
      <c r="N370" s="389"/>
      <c r="O370" s="389"/>
      <c r="P370" s="389"/>
      <c r="Q370" s="389"/>
      <c r="R370" s="389"/>
      <c r="S370" s="389"/>
      <c r="T370" s="389"/>
      <c r="U370" s="389"/>
      <c r="V370" s="389"/>
      <c r="W370" s="389"/>
      <c r="X370" s="389"/>
      <c r="Y370" s="389"/>
      <c r="Z370" s="389"/>
      <c r="AA370" s="389"/>
      <c r="AB370" s="389"/>
      <c r="AC370" s="389"/>
      <c r="AD370" s="389"/>
      <c r="AE370" s="389"/>
      <c r="AF370" s="389"/>
    </row>
    <row r="371" hidden="1">
      <c r="A371" s="389"/>
      <c r="B371" s="389"/>
      <c r="C371" s="389"/>
      <c r="D371" s="389"/>
      <c r="E371" s="389"/>
      <c r="F371" s="392"/>
      <c r="G371" s="392"/>
      <c r="H371" s="389"/>
      <c r="I371" s="389"/>
      <c r="J371" s="389"/>
      <c r="K371" s="389"/>
      <c r="L371" s="389"/>
      <c r="M371" s="389"/>
      <c r="N371" s="389"/>
      <c r="O371" s="389"/>
      <c r="P371" s="389"/>
      <c r="Q371" s="389"/>
      <c r="R371" s="389"/>
      <c r="S371" s="389"/>
      <c r="T371" s="389"/>
      <c r="U371" s="389"/>
      <c r="V371" s="389"/>
      <c r="W371" s="389"/>
      <c r="X371" s="389"/>
      <c r="Y371" s="389"/>
      <c r="Z371" s="389"/>
      <c r="AA371" s="389"/>
      <c r="AB371" s="389"/>
      <c r="AC371" s="389"/>
      <c r="AD371" s="389"/>
      <c r="AE371" s="389"/>
      <c r="AF371" s="389"/>
    </row>
    <row r="372" hidden="1">
      <c r="A372" s="389"/>
      <c r="B372" s="389"/>
      <c r="C372" s="389"/>
      <c r="D372" s="389"/>
      <c r="E372" s="389"/>
      <c r="F372" s="392"/>
      <c r="G372" s="392"/>
      <c r="H372" s="389"/>
      <c r="I372" s="389"/>
      <c r="J372" s="389"/>
      <c r="K372" s="389"/>
      <c r="L372" s="389"/>
      <c r="M372" s="389"/>
      <c r="N372" s="389"/>
      <c r="O372" s="389"/>
      <c r="P372" s="389"/>
      <c r="Q372" s="389"/>
      <c r="R372" s="389"/>
      <c r="S372" s="389"/>
      <c r="T372" s="389"/>
      <c r="U372" s="389"/>
      <c r="V372" s="389"/>
      <c r="W372" s="389"/>
      <c r="X372" s="389"/>
      <c r="Y372" s="389"/>
      <c r="Z372" s="389"/>
      <c r="AA372" s="389"/>
      <c r="AB372" s="389"/>
      <c r="AC372" s="389"/>
      <c r="AD372" s="389"/>
      <c r="AE372" s="389"/>
      <c r="AF372" s="389"/>
    </row>
    <row r="373" hidden="1">
      <c r="A373" s="389"/>
      <c r="B373" s="389"/>
      <c r="C373" s="389"/>
      <c r="D373" s="389"/>
      <c r="E373" s="389"/>
      <c r="F373" s="392"/>
      <c r="G373" s="392"/>
      <c r="H373" s="389"/>
      <c r="I373" s="389"/>
      <c r="J373" s="389"/>
      <c r="K373" s="389"/>
      <c r="L373" s="389"/>
      <c r="M373" s="389"/>
      <c r="N373" s="389"/>
      <c r="O373" s="389"/>
      <c r="P373" s="389"/>
      <c r="Q373" s="389"/>
      <c r="R373" s="389"/>
      <c r="S373" s="389"/>
      <c r="T373" s="389"/>
      <c r="U373" s="389"/>
      <c r="V373" s="389"/>
      <c r="W373" s="389"/>
      <c r="X373" s="389"/>
      <c r="Y373" s="389"/>
      <c r="Z373" s="389"/>
      <c r="AA373" s="389"/>
      <c r="AB373" s="389"/>
      <c r="AC373" s="389"/>
      <c r="AD373" s="389"/>
      <c r="AE373" s="389"/>
      <c r="AF373" s="389"/>
    </row>
    <row r="374" hidden="1">
      <c r="A374" s="389"/>
      <c r="B374" s="389"/>
      <c r="C374" s="389"/>
      <c r="D374" s="389"/>
      <c r="E374" s="389"/>
      <c r="F374" s="392"/>
      <c r="G374" s="392"/>
      <c r="H374" s="389"/>
      <c r="I374" s="389"/>
      <c r="J374" s="389"/>
      <c r="K374" s="389"/>
      <c r="L374" s="389"/>
      <c r="M374" s="389"/>
      <c r="N374" s="389"/>
      <c r="O374" s="389"/>
      <c r="P374" s="389"/>
      <c r="Q374" s="389"/>
      <c r="R374" s="389"/>
      <c r="S374" s="389"/>
      <c r="T374" s="389"/>
      <c r="U374" s="389"/>
      <c r="V374" s="389"/>
      <c r="W374" s="389"/>
      <c r="X374" s="389"/>
      <c r="Y374" s="389"/>
      <c r="Z374" s="389"/>
      <c r="AA374" s="389"/>
      <c r="AB374" s="389"/>
      <c r="AC374" s="389"/>
      <c r="AD374" s="389"/>
      <c r="AE374" s="389"/>
      <c r="AF374" s="389"/>
    </row>
    <row r="375" hidden="1">
      <c r="A375" s="389"/>
      <c r="B375" s="389"/>
      <c r="C375" s="389"/>
      <c r="D375" s="389"/>
      <c r="E375" s="389"/>
      <c r="F375" s="392"/>
      <c r="G375" s="392"/>
      <c r="H375" s="389"/>
      <c r="I375" s="389"/>
      <c r="J375" s="389"/>
      <c r="K375" s="389"/>
      <c r="L375" s="389"/>
      <c r="M375" s="389"/>
      <c r="N375" s="389"/>
      <c r="O375" s="389"/>
      <c r="P375" s="389"/>
      <c r="Q375" s="389"/>
      <c r="R375" s="389"/>
      <c r="S375" s="389"/>
      <c r="T375" s="389"/>
      <c r="U375" s="389"/>
      <c r="V375" s="389"/>
      <c r="W375" s="389"/>
      <c r="X375" s="389"/>
      <c r="Y375" s="389"/>
      <c r="Z375" s="389"/>
      <c r="AA375" s="389"/>
      <c r="AB375" s="389"/>
      <c r="AC375" s="389"/>
      <c r="AD375" s="389"/>
      <c r="AE375" s="389"/>
      <c r="AF375" s="389"/>
    </row>
    <row r="376" hidden="1">
      <c r="A376" s="389"/>
      <c r="B376" s="389"/>
      <c r="C376" s="389"/>
      <c r="D376" s="389"/>
      <c r="E376" s="389"/>
      <c r="F376" s="392"/>
      <c r="G376" s="392"/>
      <c r="H376" s="389"/>
      <c r="I376" s="389"/>
      <c r="J376" s="389"/>
      <c r="K376" s="389"/>
      <c r="L376" s="389"/>
      <c r="M376" s="389"/>
      <c r="N376" s="389"/>
      <c r="O376" s="389"/>
      <c r="P376" s="389"/>
      <c r="Q376" s="389"/>
      <c r="R376" s="389"/>
      <c r="S376" s="389"/>
      <c r="T376" s="389"/>
      <c r="U376" s="389"/>
      <c r="V376" s="389"/>
      <c r="W376" s="389"/>
      <c r="X376" s="389"/>
      <c r="Y376" s="389"/>
      <c r="Z376" s="389"/>
      <c r="AA376" s="389"/>
      <c r="AB376" s="389"/>
      <c r="AC376" s="389"/>
      <c r="AD376" s="389"/>
      <c r="AE376" s="389"/>
      <c r="AF376" s="389"/>
    </row>
    <row r="377" hidden="1">
      <c r="A377" s="389"/>
      <c r="B377" s="389"/>
      <c r="C377" s="389"/>
      <c r="D377" s="389"/>
      <c r="E377" s="389"/>
      <c r="F377" s="392"/>
      <c r="G377" s="392"/>
      <c r="H377" s="389"/>
      <c r="I377" s="389"/>
      <c r="J377" s="389"/>
      <c r="K377" s="389"/>
      <c r="L377" s="389"/>
      <c r="M377" s="389"/>
      <c r="N377" s="389"/>
      <c r="O377" s="389"/>
      <c r="P377" s="389"/>
      <c r="Q377" s="389"/>
      <c r="R377" s="389"/>
      <c r="S377" s="389"/>
      <c r="T377" s="389"/>
      <c r="U377" s="389"/>
      <c r="V377" s="389"/>
      <c r="W377" s="389"/>
      <c r="X377" s="389"/>
      <c r="Y377" s="389"/>
      <c r="Z377" s="389"/>
      <c r="AA377" s="389"/>
      <c r="AB377" s="389"/>
      <c r="AC377" s="389"/>
      <c r="AD377" s="389"/>
      <c r="AE377" s="389"/>
      <c r="AF377" s="389"/>
    </row>
    <row r="378" hidden="1">
      <c r="A378" s="389"/>
      <c r="B378" s="389"/>
      <c r="C378" s="389"/>
      <c r="D378" s="389"/>
      <c r="E378" s="389"/>
      <c r="F378" s="392"/>
      <c r="G378" s="392"/>
      <c r="H378" s="389"/>
      <c r="I378" s="389"/>
      <c r="J378" s="389"/>
      <c r="K378" s="389"/>
      <c r="L378" s="389"/>
      <c r="M378" s="389"/>
      <c r="N378" s="389"/>
      <c r="O378" s="389"/>
      <c r="P378" s="389"/>
      <c r="Q378" s="389"/>
      <c r="R378" s="389"/>
      <c r="S378" s="389"/>
      <c r="T378" s="389"/>
      <c r="U378" s="389"/>
      <c r="V378" s="389"/>
      <c r="W378" s="389"/>
      <c r="X378" s="389"/>
      <c r="Y378" s="389"/>
      <c r="Z378" s="389"/>
      <c r="AA378" s="389"/>
      <c r="AB378" s="389"/>
      <c r="AC378" s="389"/>
      <c r="AD378" s="389"/>
      <c r="AE378" s="389"/>
      <c r="AF378" s="389"/>
    </row>
    <row r="379" hidden="1">
      <c r="A379" s="389"/>
      <c r="B379" s="389"/>
      <c r="C379" s="389"/>
      <c r="D379" s="389"/>
      <c r="E379" s="389"/>
      <c r="F379" s="392"/>
      <c r="G379" s="392"/>
      <c r="H379" s="389"/>
      <c r="I379" s="389"/>
      <c r="J379" s="389"/>
      <c r="K379" s="389"/>
      <c r="L379" s="389"/>
      <c r="M379" s="389"/>
      <c r="N379" s="389"/>
      <c r="O379" s="389"/>
      <c r="P379" s="389"/>
      <c r="Q379" s="389"/>
      <c r="R379" s="389"/>
      <c r="S379" s="389"/>
      <c r="T379" s="389"/>
      <c r="U379" s="389"/>
      <c r="V379" s="389"/>
      <c r="W379" s="389"/>
      <c r="X379" s="389"/>
      <c r="Y379" s="389"/>
      <c r="Z379" s="389"/>
      <c r="AA379" s="389"/>
      <c r="AB379" s="389"/>
      <c r="AC379" s="389"/>
      <c r="AD379" s="389"/>
      <c r="AE379" s="389"/>
      <c r="AF379" s="389"/>
    </row>
    <row r="380" hidden="1">
      <c r="A380" s="389"/>
      <c r="B380" s="389"/>
      <c r="C380" s="389"/>
      <c r="D380" s="389"/>
      <c r="E380" s="389"/>
      <c r="F380" s="392"/>
      <c r="G380" s="392"/>
      <c r="H380" s="389"/>
      <c r="I380" s="389"/>
      <c r="J380" s="389"/>
      <c r="K380" s="389"/>
      <c r="L380" s="389"/>
      <c r="M380" s="389"/>
      <c r="N380" s="389"/>
      <c r="O380" s="389"/>
      <c r="P380" s="389"/>
      <c r="Q380" s="389"/>
      <c r="R380" s="389"/>
      <c r="S380" s="389"/>
      <c r="T380" s="389"/>
      <c r="U380" s="389"/>
      <c r="V380" s="389"/>
      <c r="W380" s="389"/>
      <c r="X380" s="389"/>
      <c r="Y380" s="389"/>
      <c r="Z380" s="389"/>
      <c r="AA380" s="389"/>
      <c r="AB380" s="389"/>
      <c r="AC380" s="389"/>
      <c r="AD380" s="389"/>
      <c r="AE380" s="389"/>
      <c r="AF380" s="389"/>
    </row>
    <row r="381" hidden="1">
      <c r="A381" s="389"/>
      <c r="B381" s="389"/>
      <c r="C381" s="389"/>
      <c r="D381" s="389"/>
      <c r="E381" s="389"/>
      <c r="F381" s="392"/>
      <c r="G381" s="392"/>
      <c r="H381" s="389"/>
      <c r="I381" s="389"/>
      <c r="J381" s="389"/>
      <c r="K381" s="389"/>
      <c r="L381" s="389"/>
      <c r="M381" s="389"/>
      <c r="N381" s="389"/>
      <c r="O381" s="389"/>
      <c r="P381" s="389"/>
      <c r="Q381" s="389"/>
      <c r="R381" s="389"/>
      <c r="S381" s="389"/>
      <c r="T381" s="389"/>
      <c r="U381" s="389"/>
      <c r="V381" s="389"/>
      <c r="W381" s="389"/>
      <c r="X381" s="389"/>
      <c r="Y381" s="389"/>
      <c r="Z381" s="389"/>
      <c r="AA381" s="389"/>
      <c r="AB381" s="389"/>
      <c r="AC381" s="389"/>
      <c r="AD381" s="389"/>
      <c r="AE381" s="389"/>
      <c r="AF381" s="389"/>
    </row>
    <row r="382" hidden="1">
      <c r="A382" s="389"/>
      <c r="B382" s="389"/>
      <c r="C382" s="389"/>
      <c r="D382" s="389"/>
      <c r="E382" s="389"/>
      <c r="F382" s="392"/>
      <c r="G382" s="392"/>
      <c r="H382" s="389"/>
      <c r="I382" s="389"/>
      <c r="J382" s="389"/>
      <c r="K382" s="389"/>
      <c r="L382" s="389"/>
      <c r="M382" s="389"/>
      <c r="N382" s="389"/>
      <c r="O382" s="389"/>
      <c r="P382" s="389"/>
      <c r="Q382" s="389"/>
      <c r="R382" s="389"/>
      <c r="S382" s="389"/>
      <c r="T382" s="389"/>
      <c r="U382" s="389"/>
      <c r="V382" s="389"/>
      <c r="W382" s="389"/>
      <c r="X382" s="389"/>
      <c r="Y382" s="389"/>
      <c r="Z382" s="389"/>
      <c r="AA382" s="389"/>
      <c r="AB382" s="389"/>
      <c r="AC382" s="389"/>
      <c r="AD382" s="389"/>
      <c r="AE382" s="389"/>
      <c r="AF382" s="389"/>
    </row>
    <row r="383" hidden="1">
      <c r="A383" s="389"/>
      <c r="B383" s="389"/>
      <c r="C383" s="389"/>
      <c r="D383" s="389"/>
      <c r="E383" s="389"/>
      <c r="F383" s="392"/>
      <c r="G383" s="392"/>
      <c r="H383" s="389"/>
      <c r="I383" s="389"/>
      <c r="J383" s="389"/>
      <c r="K383" s="389"/>
      <c r="L383" s="389"/>
      <c r="M383" s="389"/>
      <c r="N383" s="389"/>
      <c r="O383" s="389"/>
      <c r="P383" s="389"/>
      <c r="Q383" s="389"/>
      <c r="R383" s="389"/>
      <c r="S383" s="389"/>
      <c r="T383" s="389"/>
      <c r="U383" s="389"/>
      <c r="V383" s="389"/>
      <c r="W383" s="389"/>
      <c r="X383" s="389"/>
      <c r="Y383" s="389"/>
      <c r="Z383" s="389"/>
      <c r="AA383" s="389"/>
      <c r="AB383" s="389"/>
      <c r="AC383" s="389"/>
      <c r="AD383" s="389"/>
      <c r="AE383" s="389"/>
      <c r="AF383" s="389"/>
    </row>
    <row r="384" hidden="1">
      <c r="A384" s="389"/>
      <c r="B384" s="389"/>
      <c r="C384" s="389"/>
      <c r="D384" s="389"/>
      <c r="E384" s="389"/>
      <c r="F384" s="392"/>
      <c r="G384" s="392"/>
      <c r="H384" s="389"/>
      <c r="I384" s="389"/>
      <c r="J384" s="389"/>
      <c r="K384" s="389"/>
      <c r="L384" s="389"/>
      <c r="M384" s="389"/>
      <c r="N384" s="389"/>
      <c r="O384" s="389"/>
      <c r="P384" s="389"/>
      <c r="Q384" s="389"/>
      <c r="R384" s="389"/>
      <c r="S384" s="389"/>
      <c r="T384" s="389"/>
      <c r="U384" s="389"/>
      <c r="V384" s="389"/>
      <c r="W384" s="389"/>
      <c r="X384" s="389"/>
      <c r="Y384" s="389"/>
      <c r="Z384" s="389"/>
      <c r="AA384" s="389"/>
      <c r="AB384" s="389"/>
      <c r="AC384" s="389"/>
      <c r="AD384" s="389"/>
      <c r="AE384" s="389"/>
      <c r="AF384" s="389"/>
    </row>
    <row r="385" hidden="1">
      <c r="A385" s="389"/>
      <c r="B385" s="389"/>
      <c r="C385" s="389"/>
      <c r="D385" s="389"/>
      <c r="E385" s="389"/>
      <c r="F385" s="392"/>
      <c r="G385" s="392"/>
      <c r="H385" s="389"/>
      <c r="I385" s="389"/>
      <c r="J385" s="389"/>
      <c r="K385" s="389"/>
      <c r="L385" s="389"/>
      <c r="M385" s="389"/>
      <c r="N385" s="389"/>
      <c r="O385" s="389"/>
      <c r="P385" s="389"/>
      <c r="Q385" s="389"/>
      <c r="R385" s="389"/>
      <c r="S385" s="389"/>
      <c r="T385" s="389"/>
      <c r="U385" s="389"/>
      <c r="V385" s="389"/>
      <c r="W385" s="389"/>
      <c r="X385" s="389"/>
      <c r="Y385" s="389"/>
      <c r="Z385" s="389"/>
      <c r="AA385" s="389"/>
      <c r="AB385" s="389"/>
      <c r="AC385" s="389"/>
      <c r="AD385" s="389"/>
      <c r="AE385" s="389"/>
      <c r="AF385" s="389"/>
    </row>
    <row r="386" hidden="1">
      <c r="A386" s="389"/>
      <c r="B386" s="389"/>
      <c r="C386" s="389"/>
      <c r="D386" s="389"/>
      <c r="E386" s="389"/>
      <c r="F386" s="392"/>
      <c r="G386" s="392"/>
      <c r="H386" s="389"/>
      <c r="I386" s="389"/>
      <c r="J386" s="389"/>
      <c r="K386" s="389"/>
      <c r="L386" s="389"/>
      <c r="M386" s="389"/>
      <c r="N386" s="389"/>
      <c r="O386" s="389"/>
      <c r="P386" s="389"/>
      <c r="Q386" s="389"/>
      <c r="R386" s="389"/>
      <c r="S386" s="389"/>
      <c r="T386" s="389"/>
      <c r="U386" s="389"/>
      <c r="V386" s="389"/>
      <c r="W386" s="389"/>
      <c r="X386" s="389"/>
      <c r="Y386" s="389"/>
      <c r="Z386" s="389"/>
      <c r="AA386" s="389"/>
      <c r="AB386" s="389"/>
      <c r="AC386" s="389"/>
      <c r="AD386" s="389"/>
      <c r="AE386" s="389"/>
      <c r="AF386" s="389"/>
    </row>
    <row r="387" hidden="1">
      <c r="A387" s="389"/>
      <c r="B387" s="389"/>
      <c r="C387" s="389"/>
      <c r="D387" s="389"/>
      <c r="E387" s="389"/>
      <c r="F387" s="392"/>
      <c r="G387" s="392"/>
      <c r="H387" s="389"/>
      <c r="I387" s="389"/>
      <c r="J387" s="389"/>
      <c r="K387" s="389"/>
      <c r="L387" s="389"/>
      <c r="M387" s="389"/>
      <c r="N387" s="389"/>
      <c r="O387" s="389"/>
      <c r="P387" s="389"/>
      <c r="Q387" s="389"/>
      <c r="R387" s="389"/>
      <c r="S387" s="389"/>
      <c r="T387" s="389"/>
      <c r="U387" s="389"/>
      <c r="V387" s="389"/>
      <c r="W387" s="389"/>
      <c r="X387" s="389"/>
      <c r="Y387" s="389"/>
      <c r="Z387" s="389"/>
      <c r="AA387" s="389"/>
      <c r="AB387" s="389"/>
      <c r="AC387" s="389"/>
      <c r="AD387" s="389"/>
      <c r="AE387" s="389"/>
      <c r="AF387" s="389"/>
    </row>
    <row r="388" hidden="1">
      <c r="A388" s="389"/>
      <c r="B388" s="389"/>
      <c r="C388" s="389"/>
      <c r="D388" s="389"/>
      <c r="E388" s="389"/>
      <c r="F388" s="392"/>
      <c r="G388" s="392"/>
      <c r="H388" s="389"/>
      <c r="I388" s="389"/>
      <c r="J388" s="389"/>
      <c r="K388" s="389"/>
      <c r="L388" s="389"/>
      <c r="M388" s="389"/>
      <c r="N388" s="389"/>
      <c r="O388" s="389"/>
      <c r="P388" s="389"/>
      <c r="Q388" s="389"/>
      <c r="R388" s="389"/>
      <c r="S388" s="389"/>
      <c r="T388" s="389"/>
      <c r="U388" s="389"/>
      <c r="V388" s="389"/>
      <c r="W388" s="389"/>
      <c r="X388" s="389"/>
      <c r="Y388" s="389"/>
      <c r="Z388" s="389"/>
      <c r="AA388" s="389"/>
      <c r="AB388" s="389"/>
      <c r="AC388" s="389"/>
      <c r="AD388" s="389"/>
      <c r="AE388" s="389"/>
      <c r="AF388" s="389"/>
    </row>
    <row r="389" hidden="1">
      <c r="A389" s="389"/>
      <c r="B389" s="389"/>
      <c r="C389" s="389"/>
      <c r="D389" s="389"/>
      <c r="E389" s="389"/>
      <c r="F389" s="392"/>
      <c r="G389" s="392"/>
      <c r="H389" s="389"/>
      <c r="I389" s="389"/>
      <c r="J389" s="389"/>
      <c r="K389" s="389"/>
      <c r="L389" s="389"/>
      <c r="M389" s="389"/>
      <c r="N389" s="389"/>
      <c r="O389" s="389"/>
      <c r="P389" s="389"/>
      <c r="Q389" s="389"/>
      <c r="R389" s="389"/>
      <c r="S389" s="389"/>
      <c r="T389" s="389"/>
      <c r="U389" s="389"/>
      <c r="V389" s="389"/>
      <c r="W389" s="389"/>
      <c r="X389" s="389"/>
      <c r="Y389" s="389"/>
      <c r="Z389" s="389"/>
      <c r="AA389" s="389"/>
      <c r="AB389" s="389"/>
      <c r="AC389" s="389"/>
      <c r="AD389" s="389"/>
      <c r="AE389" s="389"/>
      <c r="AF389" s="389"/>
    </row>
    <row r="390" hidden="1">
      <c r="A390" s="389"/>
      <c r="B390" s="389"/>
      <c r="C390" s="389"/>
      <c r="D390" s="389"/>
      <c r="E390" s="389"/>
      <c r="F390" s="392"/>
      <c r="G390" s="392"/>
      <c r="H390" s="389"/>
      <c r="I390" s="389"/>
      <c r="J390" s="389"/>
      <c r="K390" s="389"/>
      <c r="L390" s="389"/>
      <c r="M390" s="389"/>
      <c r="N390" s="389"/>
      <c r="O390" s="389"/>
      <c r="P390" s="389"/>
      <c r="Q390" s="389"/>
      <c r="R390" s="389"/>
      <c r="S390" s="389"/>
      <c r="T390" s="389"/>
      <c r="U390" s="389"/>
      <c r="V390" s="389"/>
      <c r="W390" s="389"/>
      <c r="X390" s="389"/>
      <c r="Y390" s="389"/>
      <c r="Z390" s="389"/>
      <c r="AA390" s="389"/>
      <c r="AB390" s="389"/>
      <c r="AC390" s="389"/>
      <c r="AD390" s="389"/>
      <c r="AE390" s="389"/>
      <c r="AF390" s="389"/>
    </row>
    <row r="391" hidden="1">
      <c r="A391" s="389"/>
      <c r="B391" s="389"/>
      <c r="C391" s="389"/>
      <c r="D391" s="389"/>
      <c r="E391" s="389"/>
      <c r="F391" s="392"/>
      <c r="G391" s="392"/>
      <c r="H391" s="389"/>
      <c r="I391" s="389"/>
      <c r="J391" s="389"/>
      <c r="K391" s="389"/>
      <c r="L391" s="389"/>
      <c r="M391" s="389"/>
      <c r="N391" s="389"/>
      <c r="O391" s="389"/>
      <c r="P391" s="389"/>
      <c r="Q391" s="389"/>
      <c r="R391" s="389"/>
      <c r="S391" s="389"/>
      <c r="T391" s="389"/>
      <c r="U391" s="389"/>
      <c r="V391" s="389"/>
      <c r="W391" s="389"/>
      <c r="X391" s="389"/>
      <c r="Y391" s="389"/>
      <c r="Z391" s="389"/>
      <c r="AA391" s="389"/>
      <c r="AB391" s="389"/>
      <c r="AC391" s="389"/>
      <c r="AD391" s="389"/>
      <c r="AE391" s="389"/>
      <c r="AF391" s="389"/>
    </row>
    <row r="392" hidden="1">
      <c r="A392" s="389"/>
      <c r="B392" s="389"/>
      <c r="C392" s="389"/>
      <c r="D392" s="389"/>
      <c r="E392" s="389"/>
      <c r="F392" s="392"/>
      <c r="G392" s="392"/>
      <c r="H392" s="389"/>
      <c r="I392" s="389"/>
      <c r="J392" s="389"/>
      <c r="K392" s="389"/>
      <c r="L392" s="389"/>
      <c r="M392" s="389"/>
      <c r="N392" s="389"/>
      <c r="O392" s="389"/>
      <c r="P392" s="389"/>
      <c r="Q392" s="389"/>
      <c r="R392" s="389"/>
      <c r="S392" s="389"/>
      <c r="T392" s="389"/>
      <c r="U392" s="389"/>
      <c r="V392" s="389"/>
      <c r="W392" s="389"/>
      <c r="X392" s="389"/>
      <c r="Y392" s="389"/>
      <c r="Z392" s="389"/>
      <c r="AA392" s="389"/>
      <c r="AB392" s="389"/>
      <c r="AC392" s="389"/>
      <c r="AD392" s="389"/>
      <c r="AE392" s="389"/>
      <c r="AF392" s="389"/>
    </row>
    <row r="393" hidden="1">
      <c r="A393" s="389"/>
      <c r="B393" s="389"/>
      <c r="C393" s="389"/>
      <c r="D393" s="389"/>
      <c r="E393" s="389"/>
      <c r="F393" s="392"/>
      <c r="G393" s="392"/>
      <c r="H393" s="389"/>
      <c r="I393" s="389"/>
      <c r="J393" s="389"/>
      <c r="K393" s="389"/>
      <c r="L393" s="389"/>
      <c r="M393" s="389"/>
      <c r="N393" s="389"/>
      <c r="O393" s="389"/>
      <c r="P393" s="389"/>
      <c r="Q393" s="389"/>
      <c r="R393" s="389"/>
      <c r="S393" s="389"/>
      <c r="T393" s="389"/>
      <c r="U393" s="389"/>
      <c r="V393" s="389"/>
      <c r="W393" s="389"/>
      <c r="X393" s="389"/>
      <c r="Y393" s="389"/>
      <c r="Z393" s="389"/>
      <c r="AA393" s="389"/>
      <c r="AB393" s="389"/>
      <c r="AC393" s="389"/>
      <c r="AD393" s="389"/>
      <c r="AE393" s="389"/>
      <c r="AF393" s="389"/>
    </row>
    <row r="394" hidden="1">
      <c r="A394" s="389"/>
      <c r="B394" s="389"/>
      <c r="C394" s="389"/>
      <c r="D394" s="389"/>
      <c r="E394" s="389"/>
      <c r="F394" s="392"/>
      <c r="G394" s="392"/>
      <c r="H394" s="389"/>
      <c r="I394" s="389"/>
      <c r="J394" s="389"/>
      <c r="K394" s="389"/>
      <c r="L394" s="389"/>
      <c r="M394" s="389"/>
      <c r="N394" s="389"/>
      <c r="O394" s="389"/>
      <c r="P394" s="389"/>
      <c r="Q394" s="389"/>
      <c r="R394" s="389"/>
      <c r="S394" s="389"/>
      <c r="T394" s="389"/>
      <c r="U394" s="389"/>
      <c r="V394" s="389"/>
      <c r="W394" s="389"/>
      <c r="X394" s="389"/>
      <c r="Y394" s="389"/>
      <c r="Z394" s="389"/>
      <c r="AA394" s="389"/>
      <c r="AB394" s="389"/>
      <c r="AC394" s="389"/>
      <c r="AD394" s="389"/>
      <c r="AE394" s="389"/>
      <c r="AF394" s="389"/>
    </row>
    <row r="395" hidden="1">
      <c r="A395" s="389"/>
      <c r="B395" s="389"/>
      <c r="C395" s="389"/>
      <c r="D395" s="389"/>
      <c r="E395" s="389"/>
      <c r="F395" s="392"/>
      <c r="G395" s="392"/>
      <c r="H395" s="389"/>
      <c r="I395" s="389"/>
      <c r="J395" s="389"/>
      <c r="K395" s="389"/>
      <c r="L395" s="389"/>
      <c r="M395" s="389"/>
      <c r="N395" s="389"/>
      <c r="O395" s="389"/>
      <c r="P395" s="389"/>
      <c r="Q395" s="389"/>
      <c r="R395" s="389"/>
      <c r="S395" s="389"/>
      <c r="T395" s="389"/>
      <c r="U395" s="389"/>
      <c r="V395" s="389"/>
      <c r="W395" s="389"/>
      <c r="X395" s="389"/>
      <c r="Y395" s="389"/>
      <c r="Z395" s="389"/>
      <c r="AA395" s="389"/>
      <c r="AB395" s="389"/>
      <c r="AC395" s="389"/>
      <c r="AD395" s="389"/>
      <c r="AE395" s="389"/>
      <c r="AF395" s="389"/>
    </row>
    <row r="396" hidden="1">
      <c r="A396" s="389"/>
      <c r="B396" s="389"/>
      <c r="C396" s="389"/>
      <c r="D396" s="389"/>
      <c r="E396" s="389"/>
      <c r="F396" s="392"/>
      <c r="G396" s="392"/>
      <c r="H396" s="389"/>
      <c r="I396" s="389"/>
      <c r="J396" s="389"/>
      <c r="K396" s="389"/>
      <c r="L396" s="389"/>
      <c r="M396" s="389"/>
      <c r="N396" s="389"/>
      <c r="O396" s="389"/>
      <c r="P396" s="389"/>
      <c r="Q396" s="389"/>
      <c r="R396" s="389"/>
      <c r="S396" s="389"/>
      <c r="T396" s="389"/>
      <c r="U396" s="389"/>
      <c r="V396" s="389"/>
      <c r="W396" s="389"/>
      <c r="X396" s="389"/>
      <c r="Y396" s="389"/>
      <c r="Z396" s="389"/>
      <c r="AA396" s="389"/>
      <c r="AB396" s="389"/>
      <c r="AC396" s="389"/>
      <c r="AD396" s="389"/>
      <c r="AE396" s="389"/>
      <c r="AF396" s="389"/>
    </row>
    <row r="397" hidden="1">
      <c r="A397" s="389"/>
      <c r="B397" s="389"/>
      <c r="C397" s="389"/>
      <c r="D397" s="389"/>
      <c r="E397" s="389"/>
      <c r="F397" s="392"/>
      <c r="G397" s="392"/>
      <c r="H397" s="389"/>
      <c r="I397" s="389"/>
      <c r="J397" s="389"/>
      <c r="K397" s="389"/>
      <c r="L397" s="389"/>
      <c r="M397" s="389"/>
      <c r="N397" s="389"/>
      <c r="O397" s="389"/>
      <c r="P397" s="389"/>
      <c r="Q397" s="389"/>
      <c r="R397" s="389"/>
      <c r="S397" s="389"/>
      <c r="T397" s="389"/>
      <c r="U397" s="389"/>
      <c r="V397" s="389"/>
      <c r="W397" s="389"/>
      <c r="X397" s="389"/>
      <c r="Y397" s="389"/>
      <c r="Z397" s="389"/>
      <c r="AA397" s="389"/>
      <c r="AB397" s="389"/>
      <c r="AC397" s="389"/>
      <c r="AD397" s="389"/>
      <c r="AE397" s="389"/>
      <c r="AF397" s="389"/>
    </row>
    <row r="398" hidden="1">
      <c r="A398" s="389"/>
      <c r="B398" s="389"/>
      <c r="C398" s="389"/>
      <c r="D398" s="389"/>
      <c r="E398" s="389"/>
      <c r="F398" s="392"/>
      <c r="G398" s="392"/>
      <c r="H398" s="389"/>
      <c r="I398" s="389"/>
      <c r="J398" s="389"/>
      <c r="K398" s="389"/>
      <c r="L398" s="389"/>
      <c r="M398" s="389"/>
      <c r="N398" s="389"/>
      <c r="O398" s="389"/>
      <c r="P398" s="389"/>
      <c r="Q398" s="389"/>
      <c r="R398" s="389"/>
      <c r="S398" s="389"/>
      <c r="T398" s="389"/>
      <c r="U398" s="389"/>
      <c r="V398" s="389"/>
      <c r="W398" s="389"/>
      <c r="X398" s="389"/>
      <c r="Y398" s="389"/>
      <c r="Z398" s="389"/>
      <c r="AA398" s="389"/>
      <c r="AB398" s="389"/>
      <c r="AC398" s="389"/>
      <c r="AD398" s="389"/>
      <c r="AE398" s="389"/>
      <c r="AF398" s="389"/>
    </row>
    <row r="399" hidden="1">
      <c r="A399" s="389"/>
      <c r="B399" s="389"/>
      <c r="C399" s="389"/>
      <c r="D399" s="389"/>
      <c r="E399" s="389"/>
      <c r="F399" s="392"/>
      <c r="G399" s="392"/>
      <c r="H399" s="389"/>
      <c r="I399" s="389"/>
      <c r="J399" s="389"/>
      <c r="K399" s="389"/>
      <c r="L399" s="389"/>
      <c r="M399" s="389"/>
      <c r="N399" s="389"/>
      <c r="O399" s="389"/>
      <c r="P399" s="389"/>
      <c r="Q399" s="389"/>
      <c r="R399" s="389"/>
      <c r="S399" s="389"/>
      <c r="T399" s="389"/>
      <c r="U399" s="389"/>
      <c r="V399" s="389"/>
      <c r="W399" s="389"/>
      <c r="X399" s="389"/>
      <c r="Y399" s="389"/>
      <c r="Z399" s="389"/>
      <c r="AA399" s="389"/>
      <c r="AB399" s="389"/>
      <c r="AC399" s="389"/>
      <c r="AD399" s="389"/>
      <c r="AE399" s="389"/>
      <c r="AF399" s="389"/>
    </row>
    <row r="400" hidden="1">
      <c r="A400" s="389"/>
      <c r="B400" s="389"/>
      <c r="C400" s="389"/>
      <c r="D400" s="389"/>
      <c r="E400" s="389"/>
      <c r="F400" s="392"/>
      <c r="G400" s="392"/>
      <c r="H400" s="389"/>
      <c r="I400" s="389"/>
      <c r="J400" s="389"/>
      <c r="K400" s="389"/>
      <c r="L400" s="389"/>
      <c r="M400" s="389"/>
      <c r="N400" s="389"/>
      <c r="O400" s="389"/>
      <c r="P400" s="389"/>
      <c r="Q400" s="389"/>
      <c r="R400" s="389"/>
      <c r="S400" s="389"/>
      <c r="T400" s="389"/>
      <c r="U400" s="389"/>
      <c r="V400" s="389"/>
      <c r="W400" s="389"/>
      <c r="X400" s="389"/>
      <c r="Y400" s="389"/>
      <c r="Z400" s="389"/>
      <c r="AA400" s="389"/>
      <c r="AB400" s="389"/>
      <c r="AC400" s="389"/>
      <c r="AD400" s="389"/>
      <c r="AE400" s="389"/>
      <c r="AF400" s="389"/>
    </row>
    <row r="401" hidden="1">
      <c r="A401" s="389"/>
      <c r="B401" s="389"/>
      <c r="C401" s="389"/>
      <c r="D401" s="389"/>
      <c r="E401" s="389"/>
      <c r="F401" s="392"/>
      <c r="G401" s="392"/>
      <c r="H401" s="389"/>
      <c r="I401" s="389"/>
      <c r="J401" s="389"/>
      <c r="K401" s="389"/>
      <c r="L401" s="389"/>
      <c r="M401" s="389"/>
      <c r="N401" s="389"/>
      <c r="O401" s="389"/>
      <c r="P401" s="389"/>
      <c r="Q401" s="389"/>
      <c r="R401" s="389"/>
      <c r="S401" s="389"/>
      <c r="T401" s="389"/>
      <c r="U401" s="389"/>
      <c r="V401" s="389"/>
      <c r="W401" s="389"/>
      <c r="X401" s="389"/>
      <c r="Y401" s="389"/>
      <c r="Z401" s="389"/>
      <c r="AA401" s="389"/>
      <c r="AB401" s="389"/>
      <c r="AC401" s="389"/>
      <c r="AD401" s="389"/>
      <c r="AE401" s="389"/>
      <c r="AF401" s="389"/>
    </row>
    <row r="402" hidden="1">
      <c r="A402" s="389"/>
      <c r="B402" s="389"/>
      <c r="C402" s="389"/>
      <c r="D402" s="389"/>
      <c r="E402" s="389"/>
      <c r="F402" s="392"/>
      <c r="G402" s="392"/>
      <c r="H402" s="389"/>
      <c r="I402" s="389"/>
      <c r="J402" s="389"/>
      <c r="K402" s="389"/>
      <c r="L402" s="389"/>
      <c r="M402" s="389"/>
      <c r="N402" s="389"/>
      <c r="O402" s="389"/>
      <c r="P402" s="389"/>
      <c r="Q402" s="389"/>
      <c r="R402" s="389"/>
      <c r="S402" s="389"/>
      <c r="T402" s="389"/>
      <c r="U402" s="389"/>
      <c r="V402" s="389"/>
      <c r="W402" s="389"/>
      <c r="X402" s="389"/>
      <c r="Y402" s="389"/>
      <c r="Z402" s="389"/>
      <c r="AA402" s="389"/>
      <c r="AB402" s="389"/>
      <c r="AC402" s="389"/>
      <c r="AD402" s="389"/>
      <c r="AE402" s="389"/>
      <c r="AF402" s="389"/>
    </row>
    <row r="403" hidden="1">
      <c r="A403" s="389"/>
      <c r="B403" s="389"/>
      <c r="C403" s="389"/>
      <c r="D403" s="389"/>
      <c r="E403" s="389"/>
      <c r="F403" s="392"/>
      <c r="G403" s="392"/>
      <c r="H403" s="389"/>
      <c r="I403" s="389"/>
      <c r="J403" s="389"/>
      <c r="K403" s="389"/>
      <c r="L403" s="389"/>
      <c r="M403" s="389"/>
      <c r="N403" s="389"/>
      <c r="O403" s="389"/>
      <c r="P403" s="389"/>
      <c r="Q403" s="389"/>
      <c r="R403" s="389"/>
      <c r="S403" s="389"/>
      <c r="T403" s="389"/>
      <c r="U403" s="389"/>
      <c r="V403" s="389"/>
      <c r="W403" s="389"/>
      <c r="X403" s="389"/>
      <c r="Y403" s="389"/>
      <c r="Z403" s="389"/>
      <c r="AA403" s="389"/>
      <c r="AB403" s="389"/>
      <c r="AC403" s="389"/>
      <c r="AD403" s="389"/>
      <c r="AE403" s="389"/>
      <c r="AF403" s="389"/>
    </row>
    <row r="404" hidden="1">
      <c r="A404" s="389"/>
      <c r="B404" s="389"/>
      <c r="C404" s="389"/>
      <c r="D404" s="389"/>
      <c r="E404" s="389"/>
      <c r="F404" s="392"/>
      <c r="G404" s="392"/>
      <c r="H404" s="389"/>
      <c r="I404" s="389"/>
      <c r="J404" s="389"/>
      <c r="K404" s="389"/>
      <c r="L404" s="389"/>
      <c r="M404" s="389"/>
      <c r="N404" s="389"/>
      <c r="O404" s="389"/>
      <c r="P404" s="389"/>
      <c r="Q404" s="389"/>
      <c r="R404" s="389"/>
      <c r="S404" s="389"/>
      <c r="T404" s="389"/>
      <c r="U404" s="389"/>
      <c r="V404" s="389"/>
      <c r="W404" s="389"/>
      <c r="X404" s="389"/>
      <c r="Y404" s="389"/>
      <c r="Z404" s="389"/>
      <c r="AA404" s="389"/>
      <c r="AB404" s="389"/>
      <c r="AC404" s="389"/>
      <c r="AD404" s="389"/>
      <c r="AE404" s="389"/>
      <c r="AF404" s="389"/>
    </row>
    <row r="405" hidden="1">
      <c r="A405" s="389"/>
      <c r="B405" s="389"/>
      <c r="C405" s="389"/>
      <c r="D405" s="389"/>
      <c r="E405" s="389"/>
      <c r="F405" s="392"/>
      <c r="G405" s="392"/>
      <c r="H405" s="389"/>
      <c r="I405" s="389"/>
      <c r="J405" s="389"/>
      <c r="K405" s="389"/>
      <c r="L405" s="389"/>
      <c r="M405" s="389"/>
      <c r="N405" s="389"/>
      <c r="O405" s="389"/>
      <c r="P405" s="389"/>
      <c r="Q405" s="389"/>
      <c r="R405" s="389"/>
      <c r="S405" s="389"/>
      <c r="T405" s="389"/>
      <c r="U405" s="389"/>
      <c r="V405" s="389"/>
      <c r="W405" s="389"/>
      <c r="X405" s="389"/>
      <c r="Y405" s="389"/>
      <c r="Z405" s="389"/>
      <c r="AA405" s="389"/>
      <c r="AB405" s="389"/>
      <c r="AC405" s="389"/>
      <c r="AD405" s="389"/>
      <c r="AE405" s="389"/>
      <c r="AF405" s="389"/>
    </row>
    <row r="406" hidden="1">
      <c r="A406" s="389"/>
      <c r="B406" s="389"/>
      <c r="C406" s="389"/>
      <c r="D406" s="389"/>
      <c r="E406" s="389"/>
      <c r="F406" s="392"/>
      <c r="G406" s="392"/>
      <c r="H406" s="389"/>
      <c r="I406" s="389"/>
      <c r="J406" s="389"/>
      <c r="K406" s="389"/>
      <c r="L406" s="389"/>
      <c r="M406" s="389"/>
      <c r="N406" s="389"/>
      <c r="O406" s="389"/>
      <c r="P406" s="389"/>
      <c r="Q406" s="389"/>
      <c r="R406" s="389"/>
      <c r="S406" s="389"/>
      <c r="T406" s="389"/>
      <c r="U406" s="389"/>
      <c r="V406" s="389"/>
      <c r="W406" s="389"/>
      <c r="X406" s="389"/>
      <c r="Y406" s="389"/>
      <c r="Z406" s="389"/>
      <c r="AA406" s="389"/>
      <c r="AB406" s="389"/>
      <c r="AC406" s="389"/>
      <c r="AD406" s="389"/>
      <c r="AE406" s="389"/>
      <c r="AF406" s="389"/>
    </row>
    <row r="407" hidden="1">
      <c r="A407" s="389"/>
      <c r="B407" s="389"/>
      <c r="C407" s="389"/>
      <c r="D407" s="389"/>
      <c r="E407" s="389"/>
      <c r="F407" s="392"/>
      <c r="G407" s="392"/>
      <c r="H407" s="389"/>
      <c r="I407" s="389"/>
      <c r="J407" s="389"/>
      <c r="K407" s="389"/>
      <c r="L407" s="389"/>
      <c r="M407" s="389"/>
      <c r="N407" s="389"/>
      <c r="O407" s="389"/>
      <c r="P407" s="389"/>
      <c r="Q407" s="389"/>
      <c r="R407" s="389"/>
      <c r="S407" s="389"/>
      <c r="T407" s="389"/>
      <c r="U407" s="389"/>
      <c r="V407" s="389"/>
      <c r="W407" s="389"/>
      <c r="X407" s="389"/>
      <c r="Y407" s="389"/>
      <c r="Z407" s="389"/>
      <c r="AA407" s="389"/>
      <c r="AB407" s="389"/>
      <c r="AC407" s="389"/>
      <c r="AD407" s="389"/>
      <c r="AE407" s="389"/>
      <c r="AF407" s="389"/>
    </row>
    <row r="408" hidden="1">
      <c r="A408" s="389"/>
      <c r="B408" s="389"/>
      <c r="C408" s="389"/>
      <c r="D408" s="389"/>
      <c r="E408" s="389"/>
      <c r="F408" s="392"/>
      <c r="G408" s="392"/>
      <c r="H408" s="389"/>
      <c r="I408" s="389"/>
      <c r="J408" s="389"/>
      <c r="K408" s="389"/>
      <c r="L408" s="389"/>
      <c r="M408" s="389"/>
      <c r="N408" s="389"/>
      <c r="O408" s="389"/>
      <c r="P408" s="389"/>
      <c r="Q408" s="389"/>
      <c r="R408" s="389"/>
      <c r="S408" s="389"/>
      <c r="T408" s="389"/>
      <c r="U408" s="389"/>
      <c r="V408" s="389"/>
      <c r="W408" s="389"/>
      <c r="X408" s="389"/>
      <c r="Y408" s="389"/>
      <c r="Z408" s="389"/>
      <c r="AA408" s="389"/>
      <c r="AB408" s="389"/>
      <c r="AC408" s="389"/>
      <c r="AD408" s="389"/>
      <c r="AE408" s="389"/>
      <c r="AF408" s="389"/>
    </row>
    <row r="409" hidden="1">
      <c r="A409" s="389"/>
      <c r="B409" s="389"/>
      <c r="C409" s="389"/>
      <c r="D409" s="389"/>
      <c r="E409" s="389"/>
      <c r="F409" s="392"/>
      <c r="G409" s="392"/>
      <c r="H409" s="389"/>
      <c r="I409" s="389"/>
      <c r="J409" s="389"/>
      <c r="K409" s="389"/>
      <c r="L409" s="389"/>
      <c r="M409" s="389"/>
      <c r="N409" s="389"/>
      <c r="O409" s="389"/>
      <c r="P409" s="389"/>
      <c r="Q409" s="389"/>
      <c r="R409" s="389"/>
      <c r="S409" s="389"/>
      <c r="T409" s="389"/>
      <c r="U409" s="389"/>
      <c r="V409" s="389"/>
      <c r="W409" s="389"/>
      <c r="X409" s="389"/>
      <c r="Y409" s="389"/>
      <c r="Z409" s="389"/>
      <c r="AA409" s="389"/>
      <c r="AB409" s="389"/>
      <c r="AC409" s="389"/>
      <c r="AD409" s="389"/>
      <c r="AE409" s="389"/>
      <c r="AF409" s="389"/>
    </row>
    <row r="410" hidden="1">
      <c r="A410" s="389"/>
      <c r="B410" s="389"/>
      <c r="C410" s="389"/>
      <c r="D410" s="389"/>
      <c r="E410" s="389"/>
      <c r="F410" s="392"/>
      <c r="G410" s="392"/>
      <c r="H410" s="389"/>
      <c r="I410" s="389"/>
      <c r="J410" s="389"/>
      <c r="K410" s="389"/>
      <c r="L410" s="389"/>
      <c r="M410" s="389"/>
      <c r="N410" s="389"/>
      <c r="O410" s="389"/>
      <c r="P410" s="389"/>
      <c r="Q410" s="389"/>
      <c r="R410" s="389"/>
      <c r="S410" s="389"/>
      <c r="T410" s="389"/>
      <c r="U410" s="389"/>
      <c r="V410" s="389"/>
      <c r="W410" s="389"/>
      <c r="X410" s="389"/>
      <c r="Y410" s="389"/>
      <c r="Z410" s="389"/>
      <c r="AA410" s="389"/>
      <c r="AB410" s="389"/>
      <c r="AC410" s="389"/>
      <c r="AD410" s="389"/>
      <c r="AE410" s="389"/>
      <c r="AF410" s="389"/>
    </row>
    <row r="411" hidden="1">
      <c r="A411" s="389"/>
      <c r="B411" s="389"/>
      <c r="C411" s="389"/>
      <c r="D411" s="389"/>
      <c r="E411" s="389"/>
      <c r="F411" s="392"/>
      <c r="G411" s="392"/>
      <c r="H411" s="389"/>
      <c r="I411" s="389"/>
      <c r="J411" s="389"/>
      <c r="K411" s="389"/>
      <c r="L411" s="389"/>
      <c r="M411" s="389"/>
      <c r="N411" s="389"/>
      <c r="O411" s="389"/>
      <c r="P411" s="389"/>
      <c r="Q411" s="389"/>
      <c r="R411" s="389"/>
      <c r="S411" s="389"/>
      <c r="T411" s="389"/>
      <c r="U411" s="389"/>
      <c r="V411" s="389"/>
      <c r="W411" s="389"/>
      <c r="X411" s="389"/>
      <c r="Y411" s="389"/>
      <c r="Z411" s="389"/>
      <c r="AA411" s="389"/>
      <c r="AB411" s="389"/>
      <c r="AC411" s="389"/>
      <c r="AD411" s="389"/>
      <c r="AE411" s="389"/>
      <c r="AF411" s="389"/>
    </row>
    <row r="412" hidden="1">
      <c r="A412" s="389"/>
      <c r="B412" s="389"/>
      <c r="C412" s="389"/>
      <c r="D412" s="389"/>
      <c r="E412" s="389"/>
      <c r="F412" s="392"/>
      <c r="G412" s="392"/>
      <c r="H412" s="389"/>
      <c r="I412" s="389"/>
      <c r="J412" s="389"/>
      <c r="K412" s="389"/>
      <c r="L412" s="389"/>
      <c r="M412" s="389"/>
      <c r="N412" s="389"/>
      <c r="O412" s="389"/>
      <c r="P412" s="389"/>
      <c r="Q412" s="389"/>
      <c r="R412" s="389"/>
      <c r="S412" s="389"/>
      <c r="T412" s="389"/>
      <c r="U412" s="389"/>
      <c r="V412" s="389"/>
      <c r="W412" s="389"/>
      <c r="X412" s="389"/>
      <c r="Y412" s="389"/>
      <c r="Z412" s="389"/>
      <c r="AA412" s="389"/>
      <c r="AB412" s="389"/>
      <c r="AC412" s="389"/>
      <c r="AD412" s="389"/>
      <c r="AE412" s="389"/>
      <c r="AF412" s="389"/>
    </row>
    <row r="413" hidden="1">
      <c r="A413" s="389"/>
      <c r="B413" s="389"/>
      <c r="C413" s="389"/>
      <c r="D413" s="389"/>
      <c r="E413" s="389"/>
      <c r="F413" s="392"/>
      <c r="G413" s="392"/>
      <c r="H413" s="389"/>
      <c r="I413" s="389"/>
      <c r="J413" s="389"/>
      <c r="K413" s="389"/>
      <c r="L413" s="389"/>
      <c r="M413" s="389"/>
      <c r="N413" s="389"/>
      <c r="O413" s="389"/>
      <c r="P413" s="389"/>
      <c r="Q413" s="389"/>
      <c r="R413" s="389"/>
      <c r="S413" s="389"/>
      <c r="T413" s="389"/>
      <c r="U413" s="389"/>
      <c r="V413" s="389"/>
      <c r="W413" s="389"/>
      <c r="X413" s="389"/>
      <c r="Y413" s="389"/>
      <c r="Z413" s="389"/>
      <c r="AA413" s="389"/>
      <c r="AB413" s="389"/>
      <c r="AC413" s="389"/>
      <c r="AD413" s="389"/>
      <c r="AE413" s="389"/>
      <c r="AF413" s="389"/>
    </row>
    <row r="414" hidden="1">
      <c r="A414" s="389"/>
      <c r="B414" s="389"/>
      <c r="C414" s="389"/>
      <c r="D414" s="389"/>
      <c r="E414" s="389"/>
      <c r="F414" s="392"/>
      <c r="G414" s="392"/>
      <c r="H414" s="389"/>
      <c r="I414" s="389"/>
      <c r="J414" s="389"/>
      <c r="K414" s="389"/>
      <c r="L414" s="389"/>
      <c r="M414" s="389"/>
      <c r="N414" s="389"/>
      <c r="O414" s="389"/>
      <c r="P414" s="389"/>
      <c r="Q414" s="389"/>
      <c r="R414" s="389"/>
      <c r="S414" s="389"/>
      <c r="T414" s="389"/>
      <c r="U414" s="389"/>
      <c r="V414" s="389"/>
      <c r="W414" s="389"/>
      <c r="X414" s="389"/>
      <c r="Y414" s="389"/>
      <c r="Z414" s="389"/>
      <c r="AA414" s="389"/>
      <c r="AB414" s="389"/>
      <c r="AC414" s="389"/>
      <c r="AD414" s="389"/>
      <c r="AE414" s="389"/>
      <c r="AF414" s="389"/>
    </row>
    <row r="415" hidden="1">
      <c r="A415" s="389"/>
      <c r="B415" s="389"/>
      <c r="C415" s="389"/>
      <c r="D415" s="389"/>
      <c r="E415" s="389"/>
      <c r="F415" s="392"/>
      <c r="G415" s="392"/>
      <c r="H415" s="389"/>
      <c r="I415" s="389"/>
      <c r="J415" s="389"/>
      <c r="K415" s="389"/>
      <c r="L415" s="389"/>
      <c r="M415" s="389"/>
      <c r="N415" s="389"/>
      <c r="O415" s="389"/>
      <c r="P415" s="389"/>
      <c r="Q415" s="389"/>
      <c r="R415" s="389"/>
      <c r="S415" s="389"/>
      <c r="T415" s="389"/>
      <c r="U415" s="389"/>
      <c r="V415" s="389"/>
      <c r="W415" s="389"/>
      <c r="X415" s="389"/>
      <c r="Y415" s="389"/>
      <c r="Z415" s="389"/>
      <c r="AA415" s="389"/>
      <c r="AB415" s="389"/>
      <c r="AC415" s="389"/>
      <c r="AD415" s="389"/>
      <c r="AE415" s="389"/>
      <c r="AF415" s="389"/>
    </row>
    <row r="416" hidden="1">
      <c r="A416" s="389"/>
      <c r="B416" s="389"/>
      <c r="C416" s="389"/>
      <c r="D416" s="389"/>
      <c r="E416" s="389"/>
      <c r="F416" s="392"/>
      <c r="G416" s="392"/>
      <c r="H416" s="389"/>
      <c r="I416" s="389"/>
      <c r="J416" s="389"/>
      <c r="K416" s="389"/>
      <c r="L416" s="389"/>
      <c r="M416" s="389"/>
      <c r="N416" s="389"/>
      <c r="O416" s="389"/>
      <c r="P416" s="389"/>
      <c r="Q416" s="389"/>
      <c r="R416" s="389"/>
      <c r="S416" s="389"/>
      <c r="T416" s="389"/>
      <c r="U416" s="389"/>
      <c r="V416" s="389"/>
      <c r="W416" s="389"/>
      <c r="X416" s="389"/>
      <c r="Y416" s="389"/>
      <c r="Z416" s="389"/>
      <c r="AA416" s="389"/>
      <c r="AB416" s="389"/>
      <c r="AC416" s="389"/>
      <c r="AD416" s="389"/>
      <c r="AE416" s="389"/>
      <c r="AF416" s="389"/>
    </row>
    <row r="417" hidden="1">
      <c r="A417" s="389"/>
      <c r="B417" s="389"/>
      <c r="C417" s="389"/>
      <c r="D417" s="389"/>
      <c r="E417" s="389"/>
      <c r="F417" s="392"/>
      <c r="G417" s="392"/>
      <c r="H417" s="389"/>
      <c r="I417" s="389"/>
      <c r="J417" s="389"/>
      <c r="K417" s="389"/>
      <c r="L417" s="389"/>
      <c r="M417" s="389"/>
      <c r="N417" s="389"/>
      <c r="O417" s="389"/>
      <c r="P417" s="389"/>
      <c r="Q417" s="389"/>
      <c r="R417" s="389"/>
      <c r="S417" s="389"/>
      <c r="T417" s="389"/>
      <c r="U417" s="389"/>
      <c r="V417" s="389"/>
      <c r="W417" s="389"/>
      <c r="X417" s="389"/>
      <c r="Y417" s="389"/>
      <c r="Z417" s="389"/>
      <c r="AA417" s="389"/>
      <c r="AB417" s="389"/>
      <c r="AC417" s="389"/>
      <c r="AD417" s="389"/>
      <c r="AE417" s="389"/>
      <c r="AF417" s="389"/>
    </row>
    <row r="418" hidden="1">
      <c r="A418" s="389"/>
      <c r="B418" s="389"/>
      <c r="C418" s="389"/>
      <c r="D418" s="389"/>
      <c r="E418" s="389"/>
      <c r="F418" s="392"/>
      <c r="G418" s="392"/>
      <c r="H418" s="389"/>
      <c r="I418" s="389"/>
      <c r="J418" s="389"/>
      <c r="K418" s="389"/>
      <c r="L418" s="389"/>
      <c r="M418" s="389"/>
      <c r="N418" s="389"/>
      <c r="O418" s="389"/>
      <c r="P418" s="389"/>
      <c r="Q418" s="389"/>
      <c r="R418" s="389"/>
      <c r="S418" s="389"/>
      <c r="T418" s="389"/>
      <c r="U418" s="389"/>
      <c r="V418" s="389"/>
      <c r="W418" s="389"/>
      <c r="X418" s="389"/>
      <c r="Y418" s="389"/>
      <c r="Z418" s="389"/>
      <c r="AA418" s="389"/>
      <c r="AB418" s="389"/>
      <c r="AC418" s="389"/>
      <c r="AD418" s="389"/>
      <c r="AE418" s="389"/>
      <c r="AF418" s="389"/>
    </row>
    <row r="419" hidden="1">
      <c r="A419" s="389"/>
      <c r="B419" s="389"/>
      <c r="C419" s="389"/>
      <c r="D419" s="389"/>
      <c r="E419" s="389"/>
      <c r="F419" s="392"/>
      <c r="G419" s="392"/>
      <c r="H419" s="389"/>
      <c r="I419" s="389"/>
      <c r="J419" s="389"/>
      <c r="K419" s="389"/>
      <c r="L419" s="389"/>
      <c r="M419" s="389"/>
      <c r="N419" s="389"/>
      <c r="O419" s="389"/>
      <c r="P419" s="389"/>
      <c r="Q419" s="389"/>
      <c r="R419" s="389"/>
      <c r="S419" s="389"/>
      <c r="T419" s="389"/>
      <c r="U419" s="389"/>
      <c r="V419" s="389"/>
      <c r="W419" s="389"/>
      <c r="X419" s="389"/>
      <c r="Y419" s="389"/>
      <c r="Z419" s="389"/>
      <c r="AA419" s="389"/>
      <c r="AB419" s="389"/>
      <c r="AC419" s="389"/>
      <c r="AD419" s="389"/>
      <c r="AE419" s="389"/>
      <c r="AF419" s="389"/>
    </row>
    <row r="420" hidden="1">
      <c r="A420" s="389"/>
      <c r="B420" s="389"/>
      <c r="C420" s="389"/>
      <c r="D420" s="389"/>
      <c r="E420" s="389"/>
      <c r="F420" s="392"/>
      <c r="G420" s="392"/>
      <c r="H420" s="389"/>
      <c r="I420" s="389"/>
      <c r="J420" s="389"/>
      <c r="K420" s="389"/>
      <c r="L420" s="389"/>
      <c r="M420" s="389"/>
      <c r="N420" s="389"/>
      <c r="O420" s="389"/>
      <c r="P420" s="389"/>
      <c r="Q420" s="389"/>
      <c r="R420" s="389"/>
      <c r="S420" s="389"/>
      <c r="T420" s="389"/>
      <c r="U420" s="389"/>
      <c r="V420" s="389"/>
      <c r="W420" s="389"/>
      <c r="X420" s="389"/>
      <c r="Y420" s="389"/>
      <c r="Z420" s="389"/>
      <c r="AA420" s="389"/>
      <c r="AB420" s="389"/>
      <c r="AC420" s="389"/>
      <c r="AD420" s="389"/>
      <c r="AE420" s="389"/>
      <c r="AF420" s="389"/>
    </row>
    <row r="421" hidden="1">
      <c r="A421" s="389"/>
      <c r="B421" s="389"/>
      <c r="C421" s="389"/>
      <c r="D421" s="389"/>
      <c r="E421" s="389"/>
      <c r="F421" s="392"/>
      <c r="G421" s="392"/>
      <c r="H421" s="389"/>
      <c r="I421" s="389"/>
      <c r="J421" s="389"/>
      <c r="K421" s="389"/>
      <c r="L421" s="389"/>
      <c r="M421" s="389"/>
      <c r="N421" s="389"/>
      <c r="O421" s="389"/>
      <c r="P421" s="389"/>
      <c r="Q421" s="389"/>
      <c r="R421" s="389"/>
      <c r="S421" s="389"/>
      <c r="T421" s="389"/>
      <c r="U421" s="389"/>
      <c r="V421" s="389"/>
      <c r="W421" s="389"/>
      <c r="X421" s="389"/>
      <c r="Y421" s="389"/>
      <c r="Z421" s="389"/>
      <c r="AA421" s="389"/>
      <c r="AB421" s="389"/>
      <c r="AC421" s="389"/>
      <c r="AD421" s="389"/>
      <c r="AE421" s="389"/>
      <c r="AF421" s="389"/>
    </row>
    <row r="422" hidden="1">
      <c r="A422" s="389"/>
      <c r="B422" s="389"/>
      <c r="C422" s="389"/>
      <c r="D422" s="389"/>
      <c r="E422" s="389"/>
      <c r="F422" s="392"/>
      <c r="G422" s="392"/>
      <c r="H422" s="389"/>
      <c r="I422" s="389"/>
      <c r="J422" s="389"/>
      <c r="K422" s="389"/>
      <c r="L422" s="389"/>
      <c r="M422" s="389"/>
      <c r="N422" s="389"/>
      <c r="O422" s="389"/>
      <c r="P422" s="389"/>
      <c r="Q422" s="389"/>
      <c r="R422" s="389"/>
      <c r="S422" s="389"/>
      <c r="T422" s="389"/>
      <c r="U422" s="389"/>
      <c r="V422" s="389"/>
      <c r="W422" s="389"/>
      <c r="X422" s="389"/>
      <c r="Y422" s="389"/>
      <c r="Z422" s="389"/>
      <c r="AA422" s="389"/>
      <c r="AB422" s="389"/>
      <c r="AC422" s="389"/>
      <c r="AD422" s="389"/>
      <c r="AE422" s="389"/>
      <c r="AF422" s="389"/>
    </row>
    <row r="423" hidden="1">
      <c r="A423" s="389"/>
      <c r="B423" s="389"/>
      <c r="C423" s="389"/>
      <c r="D423" s="389"/>
      <c r="E423" s="389"/>
      <c r="F423" s="392"/>
      <c r="G423" s="392"/>
      <c r="H423" s="389"/>
      <c r="I423" s="389"/>
      <c r="J423" s="389"/>
      <c r="K423" s="389"/>
      <c r="L423" s="389"/>
      <c r="M423" s="389"/>
      <c r="N423" s="389"/>
      <c r="O423" s="389"/>
      <c r="P423" s="389"/>
      <c r="Q423" s="389"/>
      <c r="R423" s="389"/>
      <c r="S423" s="389"/>
      <c r="T423" s="389"/>
      <c r="U423" s="389"/>
      <c r="V423" s="389"/>
      <c r="W423" s="389"/>
      <c r="X423" s="389"/>
      <c r="Y423" s="389"/>
      <c r="Z423" s="389"/>
      <c r="AA423" s="389"/>
      <c r="AB423" s="389"/>
      <c r="AC423" s="389"/>
      <c r="AD423" s="389"/>
      <c r="AE423" s="389"/>
      <c r="AF423" s="389"/>
    </row>
    <row r="424" hidden="1">
      <c r="A424" s="389"/>
      <c r="B424" s="389"/>
      <c r="C424" s="389"/>
      <c r="D424" s="389"/>
      <c r="E424" s="389"/>
      <c r="F424" s="392"/>
      <c r="G424" s="392"/>
      <c r="H424" s="389"/>
      <c r="I424" s="389"/>
      <c r="J424" s="389"/>
      <c r="K424" s="389"/>
      <c r="L424" s="389"/>
      <c r="M424" s="389"/>
      <c r="N424" s="389"/>
      <c r="O424" s="389"/>
      <c r="P424" s="389"/>
      <c r="Q424" s="389"/>
      <c r="R424" s="389"/>
      <c r="S424" s="389"/>
      <c r="T424" s="389"/>
      <c r="U424" s="389"/>
      <c r="V424" s="389"/>
      <c r="W424" s="389"/>
      <c r="X424" s="389"/>
      <c r="Y424" s="389"/>
      <c r="Z424" s="389"/>
      <c r="AA424" s="389"/>
      <c r="AB424" s="389"/>
      <c r="AC424" s="389"/>
      <c r="AD424" s="389"/>
      <c r="AE424" s="389"/>
      <c r="AF424" s="389"/>
    </row>
    <row r="425" hidden="1">
      <c r="A425" s="389"/>
      <c r="B425" s="389"/>
      <c r="C425" s="389"/>
      <c r="D425" s="389"/>
      <c r="E425" s="389"/>
      <c r="F425" s="392"/>
      <c r="G425" s="392"/>
      <c r="H425" s="389"/>
      <c r="I425" s="389"/>
      <c r="J425" s="389"/>
      <c r="K425" s="389"/>
      <c r="L425" s="389"/>
      <c r="M425" s="389"/>
      <c r="N425" s="389"/>
      <c r="O425" s="389"/>
      <c r="P425" s="389"/>
      <c r="Q425" s="389"/>
      <c r="R425" s="389"/>
      <c r="S425" s="389"/>
      <c r="T425" s="389"/>
      <c r="U425" s="389"/>
      <c r="V425" s="389"/>
      <c r="W425" s="389"/>
      <c r="X425" s="389"/>
      <c r="Y425" s="389"/>
      <c r="Z425" s="389"/>
      <c r="AA425" s="389"/>
      <c r="AB425" s="389"/>
      <c r="AC425" s="389"/>
      <c r="AD425" s="389"/>
      <c r="AE425" s="389"/>
      <c r="AF425" s="389"/>
    </row>
    <row r="426" hidden="1">
      <c r="A426" s="389"/>
      <c r="B426" s="389"/>
      <c r="C426" s="389"/>
      <c r="D426" s="389"/>
      <c r="E426" s="389"/>
      <c r="F426" s="392"/>
      <c r="G426" s="392"/>
      <c r="H426" s="389"/>
      <c r="I426" s="389"/>
      <c r="J426" s="389"/>
      <c r="K426" s="389"/>
      <c r="L426" s="389"/>
      <c r="M426" s="389"/>
      <c r="N426" s="389"/>
      <c r="O426" s="389"/>
      <c r="P426" s="389"/>
      <c r="Q426" s="389"/>
      <c r="R426" s="389"/>
      <c r="S426" s="389"/>
      <c r="T426" s="389"/>
      <c r="U426" s="389"/>
      <c r="V426" s="389"/>
      <c r="W426" s="389"/>
      <c r="X426" s="389"/>
      <c r="Y426" s="389"/>
      <c r="Z426" s="389"/>
      <c r="AA426" s="389"/>
      <c r="AB426" s="389"/>
      <c r="AC426" s="389"/>
      <c r="AD426" s="389"/>
      <c r="AE426" s="389"/>
      <c r="AF426" s="389"/>
    </row>
    <row r="427" hidden="1">
      <c r="A427" s="389"/>
      <c r="B427" s="389"/>
      <c r="C427" s="389"/>
      <c r="D427" s="389"/>
      <c r="E427" s="389"/>
      <c r="F427" s="392"/>
      <c r="G427" s="392"/>
      <c r="H427" s="389"/>
      <c r="I427" s="389"/>
      <c r="J427" s="389"/>
      <c r="K427" s="389"/>
      <c r="L427" s="389"/>
      <c r="M427" s="389"/>
      <c r="N427" s="389"/>
      <c r="O427" s="389"/>
      <c r="P427" s="389"/>
      <c r="Q427" s="389"/>
      <c r="R427" s="389"/>
      <c r="S427" s="389"/>
      <c r="T427" s="389"/>
      <c r="U427" s="389"/>
      <c r="V427" s="389"/>
      <c r="W427" s="389"/>
      <c r="X427" s="389"/>
      <c r="Y427" s="389"/>
      <c r="Z427" s="389"/>
      <c r="AA427" s="389"/>
      <c r="AB427" s="389"/>
      <c r="AC427" s="389"/>
      <c r="AD427" s="389"/>
      <c r="AE427" s="389"/>
      <c r="AF427" s="389"/>
    </row>
    <row r="428" hidden="1">
      <c r="A428" s="389"/>
      <c r="B428" s="389"/>
      <c r="C428" s="389"/>
      <c r="D428" s="389"/>
      <c r="E428" s="389"/>
      <c r="F428" s="392"/>
      <c r="G428" s="392"/>
      <c r="H428" s="389"/>
      <c r="I428" s="389"/>
      <c r="J428" s="389"/>
      <c r="K428" s="389"/>
      <c r="L428" s="389"/>
      <c r="M428" s="389"/>
      <c r="N428" s="389"/>
      <c r="O428" s="389"/>
      <c r="P428" s="389"/>
      <c r="Q428" s="389"/>
      <c r="R428" s="389"/>
      <c r="S428" s="389"/>
      <c r="T428" s="389"/>
      <c r="U428" s="389"/>
      <c r="V428" s="389"/>
      <c r="W428" s="389"/>
      <c r="X428" s="389"/>
      <c r="Y428" s="389"/>
      <c r="Z428" s="389"/>
      <c r="AA428" s="389"/>
      <c r="AB428" s="389"/>
      <c r="AC428" s="389"/>
      <c r="AD428" s="389"/>
      <c r="AE428" s="389"/>
      <c r="AF428" s="389"/>
    </row>
    <row r="429" hidden="1">
      <c r="A429" s="389"/>
      <c r="B429" s="389"/>
      <c r="C429" s="389"/>
      <c r="D429" s="389"/>
      <c r="E429" s="389"/>
      <c r="F429" s="392"/>
      <c r="G429" s="392"/>
      <c r="H429" s="389"/>
      <c r="I429" s="389"/>
      <c r="J429" s="389"/>
      <c r="K429" s="389"/>
      <c r="L429" s="389"/>
      <c r="M429" s="389"/>
      <c r="N429" s="389"/>
      <c r="O429" s="389"/>
      <c r="P429" s="389"/>
      <c r="Q429" s="389"/>
      <c r="R429" s="389"/>
      <c r="S429" s="389"/>
      <c r="T429" s="389"/>
      <c r="U429" s="389"/>
      <c r="V429" s="389"/>
      <c r="W429" s="389"/>
      <c r="X429" s="389"/>
      <c r="Y429" s="389"/>
      <c r="Z429" s="389"/>
      <c r="AA429" s="389"/>
      <c r="AB429" s="389"/>
      <c r="AC429" s="389"/>
      <c r="AD429" s="389"/>
      <c r="AE429" s="389"/>
      <c r="AF429" s="389"/>
    </row>
    <row r="430" hidden="1">
      <c r="A430" s="389"/>
      <c r="B430" s="389"/>
      <c r="C430" s="389"/>
      <c r="D430" s="389"/>
      <c r="E430" s="389"/>
      <c r="F430" s="392"/>
      <c r="G430" s="392"/>
      <c r="H430" s="389"/>
      <c r="I430" s="389"/>
      <c r="J430" s="389"/>
      <c r="K430" s="389"/>
      <c r="L430" s="389"/>
      <c r="M430" s="389"/>
      <c r="N430" s="389"/>
      <c r="O430" s="389"/>
      <c r="P430" s="389"/>
      <c r="Q430" s="389"/>
      <c r="R430" s="389"/>
      <c r="S430" s="389"/>
      <c r="T430" s="389"/>
      <c r="U430" s="389"/>
      <c r="V430" s="389"/>
      <c r="W430" s="389"/>
      <c r="X430" s="389"/>
      <c r="Y430" s="389"/>
      <c r="Z430" s="389"/>
      <c r="AA430" s="389"/>
      <c r="AB430" s="389"/>
      <c r="AC430" s="389"/>
      <c r="AD430" s="389"/>
      <c r="AE430" s="389"/>
      <c r="AF430" s="389"/>
    </row>
    <row r="431" hidden="1">
      <c r="A431" s="389"/>
      <c r="B431" s="389"/>
      <c r="C431" s="389"/>
      <c r="D431" s="389"/>
      <c r="E431" s="389"/>
      <c r="F431" s="392"/>
      <c r="G431" s="392"/>
      <c r="H431" s="389"/>
      <c r="I431" s="389"/>
      <c r="J431" s="389"/>
      <c r="K431" s="389"/>
      <c r="L431" s="389"/>
      <c r="M431" s="389"/>
      <c r="N431" s="389"/>
      <c r="O431" s="389"/>
      <c r="P431" s="389"/>
      <c r="Q431" s="389"/>
      <c r="R431" s="389"/>
      <c r="S431" s="389"/>
      <c r="T431" s="389"/>
      <c r="U431" s="389"/>
      <c r="V431" s="389"/>
      <c r="W431" s="389"/>
      <c r="X431" s="389"/>
      <c r="Y431" s="389"/>
      <c r="Z431" s="389"/>
      <c r="AA431" s="389"/>
      <c r="AB431" s="389"/>
      <c r="AC431" s="389"/>
      <c r="AD431" s="389"/>
      <c r="AE431" s="389"/>
      <c r="AF431" s="389"/>
    </row>
    <row r="432" hidden="1">
      <c r="A432" s="389"/>
      <c r="B432" s="389"/>
      <c r="C432" s="389"/>
      <c r="D432" s="389"/>
      <c r="E432" s="389"/>
      <c r="F432" s="392"/>
      <c r="G432" s="392"/>
      <c r="H432" s="389"/>
      <c r="I432" s="389"/>
      <c r="J432" s="389"/>
      <c r="K432" s="389"/>
      <c r="L432" s="389"/>
      <c r="M432" s="389"/>
      <c r="N432" s="389"/>
      <c r="O432" s="389"/>
      <c r="P432" s="389"/>
      <c r="Q432" s="389"/>
      <c r="R432" s="389"/>
      <c r="S432" s="389"/>
      <c r="T432" s="389"/>
      <c r="U432" s="389"/>
      <c r="V432" s="389"/>
      <c r="W432" s="389"/>
      <c r="X432" s="389"/>
      <c r="Y432" s="389"/>
      <c r="Z432" s="389"/>
      <c r="AA432" s="389"/>
      <c r="AB432" s="389"/>
      <c r="AC432" s="389"/>
      <c r="AD432" s="389"/>
      <c r="AE432" s="389"/>
      <c r="AF432" s="389"/>
    </row>
    <row r="433" hidden="1">
      <c r="A433" s="389"/>
      <c r="B433" s="389"/>
      <c r="C433" s="389"/>
      <c r="D433" s="389"/>
      <c r="E433" s="389"/>
      <c r="F433" s="392"/>
      <c r="G433" s="392"/>
      <c r="H433" s="389"/>
      <c r="I433" s="389"/>
      <c r="J433" s="389"/>
      <c r="K433" s="389"/>
      <c r="L433" s="389"/>
      <c r="M433" s="389"/>
      <c r="N433" s="389"/>
      <c r="O433" s="389"/>
      <c r="P433" s="389"/>
      <c r="Q433" s="389"/>
      <c r="R433" s="389"/>
      <c r="S433" s="389"/>
      <c r="T433" s="389"/>
      <c r="U433" s="389"/>
      <c r="V433" s="389"/>
      <c r="W433" s="389"/>
      <c r="X433" s="389"/>
      <c r="Y433" s="389"/>
      <c r="Z433" s="389"/>
      <c r="AA433" s="389"/>
      <c r="AB433" s="389"/>
      <c r="AC433" s="389"/>
      <c r="AD433" s="389"/>
      <c r="AE433" s="389"/>
      <c r="AF433" s="389"/>
    </row>
    <row r="434" hidden="1">
      <c r="A434" s="389"/>
      <c r="B434" s="389"/>
      <c r="C434" s="389"/>
      <c r="D434" s="389"/>
      <c r="E434" s="389"/>
      <c r="F434" s="392"/>
      <c r="G434" s="392"/>
      <c r="H434" s="389"/>
      <c r="I434" s="389"/>
      <c r="J434" s="389"/>
      <c r="K434" s="389"/>
      <c r="L434" s="389"/>
      <c r="M434" s="389"/>
      <c r="N434" s="389"/>
      <c r="O434" s="389"/>
      <c r="P434" s="389"/>
      <c r="Q434" s="389"/>
      <c r="R434" s="389"/>
      <c r="S434" s="389"/>
      <c r="T434" s="389"/>
      <c r="U434" s="389"/>
      <c r="V434" s="389"/>
      <c r="W434" s="389"/>
      <c r="X434" s="389"/>
      <c r="Y434" s="389"/>
      <c r="Z434" s="389"/>
      <c r="AA434" s="389"/>
      <c r="AB434" s="389"/>
      <c r="AC434" s="389"/>
      <c r="AD434" s="389"/>
      <c r="AE434" s="389"/>
      <c r="AF434" s="389"/>
    </row>
    <row r="435" hidden="1">
      <c r="A435" s="389"/>
      <c r="B435" s="389"/>
      <c r="C435" s="389"/>
      <c r="D435" s="389"/>
      <c r="E435" s="389"/>
      <c r="F435" s="392"/>
      <c r="G435" s="392"/>
      <c r="H435" s="389"/>
      <c r="I435" s="389"/>
      <c r="J435" s="389"/>
      <c r="K435" s="389"/>
      <c r="L435" s="389"/>
      <c r="M435" s="389"/>
      <c r="N435" s="389"/>
      <c r="O435" s="389"/>
      <c r="P435" s="389"/>
      <c r="Q435" s="389"/>
      <c r="R435" s="389"/>
      <c r="S435" s="389"/>
      <c r="T435" s="389"/>
      <c r="U435" s="389"/>
      <c r="V435" s="389"/>
      <c r="W435" s="389"/>
      <c r="X435" s="389"/>
      <c r="Y435" s="389"/>
      <c r="Z435" s="389"/>
      <c r="AA435" s="389"/>
      <c r="AB435" s="389"/>
      <c r="AC435" s="389"/>
      <c r="AD435" s="389"/>
      <c r="AE435" s="389"/>
      <c r="AF435" s="389"/>
    </row>
    <row r="436" hidden="1">
      <c r="A436" s="389"/>
      <c r="B436" s="389"/>
      <c r="C436" s="389"/>
      <c r="D436" s="389"/>
      <c r="E436" s="389"/>
      <c r="F436" s="392"/>
      <c r="G436" s="392"/>
      <c r="H436" s="389"/>
      <c r="I436" s="389"/>
      <c r="J436" s="389"/>
      <c r="K436" s="389"/>
      <c r="L436" s="389"/>
      <c r="M436" s="389"/>
      <c r="N436" s="389"/>
      <c r="O436" s="389"/>
      <c r="P436" s="389"/>
      <c r="Q436" s="389"/>
      <c r="R436" s="389"/>
      <c r="S436" s="389"/>
      <c r="T436" s="389"/>
      <c r="U436" s="389"/>
      <c r="V436" s="389"/>
      <c r="W436" s="389"/>
      <c r="X436" s="389"/>
      <c r="Y436" s="389"/>
      <c r="Z436" s="389"/>
      <c r="AA436" s="389"/>
      <c r="AB436" s="389"/>
      <c r="AC436" s="389"/>
      <c r="AD436" s="389"/>
      <c r="AE436" s="389"/>
      <c r="AF436" s="389"/>
    </row>
    <row r="437" hidden="1">
      <c r="A437" s="389"/>
      <c r="B437" s="389"/>
      <c r="C437" s="389"/>
      <c r="D437" s="389"/>
      <c r="E437" s="389"/>
      <c r="F437" s="392"/>
      <c r="G437" s="392"/>
      <c r="H437" s="389"/>
      <c r="I437" s="389"/>
      <c r="J437" s="389"/>
      <c r="K437" s="389"/>
      <c r="L437" s="389"/>
      <c r="M437" s="389"/>
      <c r="N437" s="389"/>
      <c r="O437" s="389"/>
      <c r="P437" s="389"/>
      <c r="Q437" s="389"/>
      <c r="R437" s="389"/>
      <c r="S437" s="389"/>
      <c r="T437" s="389"/>
      <c r="U437" s="389"/>
      <c r="V437" s="389"/>
      <c r="W437" s="389"/>
      <c r="X437" s="389"/>
      <c r="Y437" s="389"/>
      <c r="Z437" s="389"/>
      <c r="AA437" s="389"/>
      <c r="AB437" s="389"/>
      <c r="AC437" s="389"/>
      <c r="AD437" s="389"/>
      <c r="AE437" s="389"/>
      <c r="AF437" s="389"/>
    </row>
    <row r="438" hidden="1">
      <c r="A438" s="389"/>
      <c r="B438" s="389"/>
      <c r="C438" s="389"/>
      <c r="D438" s="389"/>
      <c r="E438" s="389"/>
      <c r="F438" s="392"/>
      <c r="G438" s="392"/>
      <c r="H438" s="389"/>
      <c r="I438" s="389"/>
      <c r="J438" s="389"/>
      <c r="K438" s="389"/>
      <c r="L438" s="389"/>
      <c r="M438" s="389"/>
      <c r="N438" s="389"/>
      <c r="O438" s="389"/>
      <c r="P438" s="389"/>
      <c r="Q438" s="389"/>
      <c r="R438" s="389"/>
      <c r="S438" s="389"/>
      <c r="T438" s="389"/>
      <c r="U438" s="389"/>
      <c r="V438" s="389"/>
      <c r="W438" s="389"/>
      <c r="X438" s="389"/>
      <c r="Y438" s="389"/>
      <c r="Z438" s="389"/>
      <c r="AA438" s="389"/>
      <c r="AB438" s="389"/>
      <c r="AC438" s="389"/>
      <c r="AD438" s="389"/>
      <c r="AE438" s="389"/>
      <c r="AF438" s="389"/>
    </row>
    <row r="439" hidden="1">
      <c r="A439" s="389"/>
      <c r="B439" s="389"/>
      <c r="C439" s="389"/>
      <c r="D439" s="389"/>
      <c r="E439" s="389"/>
      <c r="F439" s="392"/>
      <c r="G439" s="392"/>
      <c r="H439" s="389"/>
      <c r="I439" s="389"/>
      <c r="J439" s="389"/>
      <c r="K439" s="389"/>
      <c r="L439" s="389"/>
      <c r="M439" s="389"/>
      <c r="N439" s="389"/>
      <c r="O439" s="389"/>
      <c r="P439" s="389"/>
      <c r="Q439" s="389"/>
      <c r="R439" s="389"/>
      <c r="S439" s="389"/>
      <c r="T439" s="389"/>
      <c r="U439" s="389"/>
      <c r="V439" s="389"/>
      <c r="W439" s="389"/>
      <c r="X439" s="389"/>
      <c r="Y439" s="389"/>
      <c r="Z439" s="389"/>
      <c r="AA439" s="389"/>
      <c r="AB439" s="389"/>
      <c r="AC439" s="389"/>
      <c r="AD439" s="389"/>
      <c r="AE439" s="389"/>
      <c r="AF439" s="389"/>
    </row>
    <row r="440" hidden="1">
      <c r="A440" s="389"/>
      <c r="B440" s="389"/>
      <c r="C440" s="389"/>
      <c r="D440" s="389"/>
      <c r="E440" s="389"/>
      <c r="F440" s="392"/>
      <c r="G440" s="392"/>
      <c r="H440" s="389"/>
      <c r="I440" s="389"/>
      <c r="J440" s="389"/>
      <c r="K440" s="389"/>
      <c r="L440" s="389"/>
      <c r="M440" s="389"/>
      <c r="N440" s="389"/>
      <c r="O440" s="389"/>
      <c r="P440" s="389"/>
      <c r="Q440" s="389"/>
      <c r="R440" s="389"/>
      <c r="S440" s="389"/>
      <c r="T440" s="389"/>
      <c r="U440" s="389"/>
      <c r="V440" s="389"/>
      <c r="W440" s="389"/>
      <c r="X440" s="389"/>
      <c r="Y440" s="389"/>
      <c r="Z440" s="389"/>
      <c r="AA440" s="389"/>
      <c r="AB440" s="389"/>
      <c r="AC440" s="389"/>
      <c r="AD440" s="389"/>
      <c r="AE440" s="389"/>
      <c r="AF440" s="389"/>
    </row>
    <row r="441" hidden="1">
      <c r="A441" s="389"/>
      <c r="B441" s="389"/>
      <c r="C441" s="389"/>
      <c r="D441" s="389"/>
      <c r="E441" s="389"/>
      <c r="F441" s="392"/>
      <c r="G441" s="392"/>
      <c r="H441" s="389"/>
      <c r="I441" s="389"/>
      <c r="J441" s="389"/>
      <c r="K441" s="389"/>
      <c r="L441" s="389"/>
      <c r="M441" s="389"/>
      <c r="N441" s="389"/>
      <c r="O441" s="389"/>
      <c r="P441" s="389"/>
      <c r="Q441" s="389"/>
      <c r="R441" s="389"/>
      <c r="S441" s="389"/>
      <c r="T441" s="389"/>
      <c r="U441" s="389"/>
      <c r="V441" s="389"/>
      <c r="W441" s="389"/>
      <c r="X441" s="389"/>
      <c r="Y441" s="389"/>
      <c r="Z441" s="389"/>
      <c r="AA441" s="389"/>
      <c r="AB441" s="389"/>
      <c r="AC441" s="389"/>
      <c r="AD441" s="389"/>
      <c r="AE441" s="389"/>
      <c r="AF441" s="389"/>
    </row>
    <row r="442" hidden="1">
      <c r="A442" s="389"/>
      <c r="B442" s="389"/>
      <c r="C442" s="389"/>
      <c r="D442" s="389"/>
      <c r="E442" s="389"/>
      <c r="F442" s="392"/>
      <c r="G442" s="392"/>
      <c r="H442" s="389"/>
      <c r="I442" s="389"/>
      <c r="J442" s="389"/>
      <c r="K442" s="389"/>
      <c r="L442" s="389"/>
      <c r="M442" s="389"/>
      <c r="N442" s="389"/>
      <c r="O442" s="389"/>
      <c r="P442" s="389"/>
      <c r="Q442" s="389"/>
      <c r="R442" s="389"/>
      <c r="S442" s="389"/>
      <c r="T442" s="389"/>
      <c r="U442" s="389"/>
      <c r="V442" s="389"/>
      <c r="W442" s="389"/>
      <c r="X442" s="389"/>
      <c r="Y442" s="389"/>
      <c r="Z442" s="389"/>
      <c r="AA442" s="389"/>
      <c r="AB442" s="389"/>
      <c r="AC442" s="389"/>
      <c r="AD442" s="389"/>
      <c r="AE442" s="389"/>
      <c r="AF442" s="389"/>
    </row>
    <row r="443" hidden="1">
      <c r="A443" s="389"/>
      <c r="B443" s="389"/>
      <c r="C443" s="389"/>
      <c r="D443" s="389"/>
      <c r="E443" s="389"/>
      <c r="F443" s="392"/>
      <c r="G443" s="392"/>
      <c r="H443" s="389"/>
      <c r="I443" s="389"/>
      <c r="J443" s="389"/>
      <c r="K443" s="389"/>
      <c r="L443" s="389"/>
      <c r="M443" s="389"/>
      <c r="N443" s="389"/>
      <c r="O443" s="389"/>
      <c r="P443" s="389"/>
      <c r="Q443" s="389"/>
      <c r="R443" s="389"/>
      <c r="S443" s="389"/>
      <c r="T443" s="389"/>
      <c r="U443" s="389"/>
      <c r="V443" s="389"/>
      <c r="W443" s="389"/>
      <c r="X443" s="389"/>
      <c r="Y443" s="389"/>
      <c r="Z443" s="389"/>
      <c r="AA443" s="389"/>
      <c r="AB443" s="389"/>
      <c r="AC443" s="389"/>
      <c r="AD443" s="389"/>
      <c r="AE443" s="389"/>
      <c r="AF443" s="389"/>
    </row>
    <row r="444" hidden="1">
      <c r="A444" s="389"/>
      <c r="B444" s="389"/>
      <c r="C444" s="389"/>
      <c r="D444" s="389"/>
      <c r="E444" s="389"/>
      <c r="F444" s="392"/>
      <c r="G444" s="392"/>
      <c r="H444" s="389"/>
      <c r="I444" s="389"/>
      <c r="J444" s="389"/>
      <c r="K444" s="389"/>
      <c r="L444" s="389"/>
      <c r="M444" s="389"/>
      <c r="N444" s="389"/>
      <c r="O444" s="389"/>
      <c r="P444" s="389"/>
      <c r="Q444" s="389"/>
      <c r="R444" s="389"/>
      <c r="S444" s="389"/>
      <c r="T444" s="389"/>
      <c r="U444" s="389"/>
      <c r="V444" s="389"/>
      <c r="W444" s="389"/>
      <c r="X444" s="389"/>
      <c r="Y444" s="389"/>
      <c r="Z444" s="389"/>
      <c r="AA444" s="389"/>
      <c r="AB444" s="389"/>
      <c r="AC444" s="389"/>
      <c r="AD444" s="389"/>
      <c r="AE444" s="389"/>
      <c r="AF444" s="389"/>
    </row>
    <row r="445" hidden="1">
      <c r="A445" s="389"/>
      <c r="B445" s="389"/>
      <c r="C445" s="389"/>
      <c r="D445" s="389"/>
      <c r="E445" s="389"/>
      <c r="F445" s="392"/>
      <c r="G445" s="392"/>
      <c r="H445" s="389"/>
      <c r="I445" s="389"/>
      <c r="J445" s="389"/>
      <c r="K445" s="389"/>
      <c r="L445" s="389"/>
      <c r="M445" s="389"/>
      <c r="N445" s="389"/>
      <c r="O445" s="389"/>
      <c r="P445" s="389"/>
      <c r="Q445" s="389"/>
      <c r="R445" s="389"/>
      <c r="S445" s="389"/>
      <c r="T445" s="389"/>
      <c r="U445" s="389"/>
      <c r="V445" s="389"/>
      <c r="W445" s="389"/>
      <c r="X445" s="389"/>
      <c r="Y445" s="389"/>
      <c r="Z445" s="389"/>
      <c r="AA445" s="389"/>
      <c r="AB445" s="389"/>
      <c r="AC445" s="389"/>
      <c r="AD445" s="389"/>
      <c r="AE445" s="389"/>
      <c r="AF445" s="389"/>
    </row>
    <row r="446" hidden="1">
      <c r="A446" s="389"/>
      <c r="B446" s="389"/>
      <c r="C446" s="389"/>
      <c r="D446" s="389"/>
      <c r="E446" s="389"/>
      <c r="F446" s="392"/>
      <c r="G446" s="392"/>
      <c r="H446" s="389"/>
      <c r="I446" s="389"/>
      <c r="J446" s="389"/>
      <c r="K446" s="389"/>
      <c r="L446" s="389"/>
      <c r="M446" s="389"/>
      <c r="N446" s="389"/>
      <c r="O446" s="389"/>
      <c r="P446" s="389"/>
      <c r="Q446" s="389"/>
      <c r="R446" s="389"/>
      <c r="S446" s="389"/>
      <c r="T446" s="389"/>
      <c r="U446" s="389"/>
      <c r="V446" s="389"/>
      <c r="W446" s="389"/>
      <c r="X446" s="389"/>
      <c r="Y446" s="389"/>
      <c r="Z446" s="389"/>
      <c r="AA446" s="389"/>
      <c r="AB446" s="389"/>
      <c r="AC446" s="389"/>
      <c r="AD446" s="389"/>
      <c r="AE446" s="389"/>
      <c r="AF446" s="389"/>
    </row>
    <row r="447" hidden="1">
      <c r="A447" s="389"/>
      <c r="B447" s="389"/>
      <c r="C447" s="389"/>
      <c r="D447" s="389"/>
      <c r="E447" s="389"/>
      <c r="F447" s="392"/>
      <c r="G447" s="392"/>
      <c r="H447" s="389"/>
      <c r="I447" s="389"/>
      <c r="J447" s="389"/>
      <c r="K447" s="389"/>
      <c r="L447" s="389"/>
      <c r="M447" s="389"/>
      <c r="N447" s="389"/>
      <c r="O447" s="389"/>
      <c r="P447" s="389"/>
      <c r="Q447" s="389"/>
      <c r="R447" s="389"/>
      <c r="S447" s="389"/>
      <c r="T447" s="389"/>
      <c r="U447" s="389"/>
      <c r="V447" s="389"/>
      <c r="W447" s="389"/>
      <c r="X447" s="389"/>
      <c r="Y447" s="389"/>
      <c r="Z447" s="389"/>
      <c r="AA447" s="389"/>
      <c r="AB447" s="389"/>
      <c r="AC447" s="389"/>
      <c r="AD447" s="389"/>
      <c r="AE447" s="389"/>
      <c r="AF447" s="389"/>
    </row>
    <row r="448" hidden="1">
      <c r="A448" s="389"/>
      <c r="B448" s="389"/>
      <c r="C448" s="389"/>
      <c r="D448" s="389"/>
      <c r="E448" s="389"/>
      <c r="F448" s="392"/>
      <c r="G448" s="392"/>
      <c r="H448" s="389"/>
      <c r="I448" s="389"/>
      <c r="J448" s="389"/>
      <c r="K448" s="389"/>
      <c r="L448" s="389"/>
      <c r="M448" s="389"/>
      <c r="N448" s="389"/>
      <c r="O448" s="389"/>
      <c r="P448" s="389"/>
      <c r="Q448" s="389"/>
      <c r="R448" s="389"/>
      <c r="S448" s="389"/>
      <c r="T448" s="389"/>
      <c r="U448" s="389"/>
      <c r="V448" s="389"/>
      <c r="W448" s="389"/>
      <c r="X448" s="389"/>
      <c r="Y448" s="389"/>
      <c r="Z448" s="389"/>
      <c r="AA448" s="389"/>
      <c r="AB448" s="389"/>
      <c r="AC448" s="389"/>
      <c r="AD448" s="389"/>
      <c r="AE448" s="389"/>
      <c r="AF448" s="389"/>
    </row>
    <row r="449" hidden="1">
      <c r="A449" s="389"/>
      <c r="B449" s="389"/>
      <c r="C449" s="389"/>
      <c r="D449" s="389"/>
      <c r="E449" s="389"/>
      <c r="F449" s="392"/>
      <c r="G449" s="392"/>
      <c r="H449" s="389"/>
      <c r="I449" s="389"/>
      <c r="J449" s="389"/>
      <c r="K449" s="389"/>
      <c r="L449" s="389"/>
      <c r="M449" s="389"/>
      <c r="N449" s="389"/>
      <c r="O449" s="389"/>
      <c r="P449" s="389"/>
      <c r="Q449" s="389"/>
      <c r="R449" s="389"/>
      <c r="S449" s="389"/>
      <c r="T449" s="389"/>
      <c r="U449" s="389"/>
      <c r="V449" s="389"/>
      <c r="W449" s="389"/>
      <c r="X449" s="389"/>
      <c r="Y449" s="389"/>
      <c r="Z449" s="389"/>
      <c r="AA449" s="389"/>
      <c r="AB449" s="389"/>
      <c r="AC449" s="389"/>
      <c r="AD449" s="389"/>
      <c r="AE449" s="389"/>
      <c r="AF449" s="389"/>
    </row>
    <row r="450" hidden="1">
      <c r="A450" s="389"/>
      <c r="B450" s="389"/>
      <c r="C450" s="389"/>
      <c r="D450" s="389"/>
      <c r="E450" s="389"/>
      <c r="F450" s="392"/>
      <c r="G450" s="392"/>
      <c r="H450" s="389"/>
      <c r="I450" s="389"/>
      <c r="J450" s="389"/>
      <c r="K450" s="389"/>
      <c r="L450" s="389"/>
      <c r="M450" s="389"/>
      <c r="N450" s="389"/>
      <c r="O450" s="389"/>
      <c r="P450" s="389"/>
      <c r="Q450" s="389"/>
      <c r="R450" s="389"/>
      <c r="S450" s="389"/>
      <c r="T450" s="389"/>
      <c r="U450" s="389"/>
      <c r="V450" s="389"/>
      <c r="W450" s="389"/>
      <c r="X450" s="389"/>
      <c r="Y450" s="389"/>
      <c r="Z450" s="389"/>
      <c r="AA450" s="389"/>
      <c r="AB450" s="389"/>
      <c r="AC450" s="389"/>
      <c r="AD450" s="389"/>
      <c r="AE450" s="389"/>
      <c r="AF450" s="389"/>
    </row>
    <row r="451" hidden="1">
      <c r="A451" s="389"/>
      <c r="B451" s="389"/>
      <c r="C451" s="389"/>
      <c r="D451" s="389"/>
      <c r="E451" s="389"/>
      <c r="F451" s="392"/>
      <c r="G451" s="392"/>
      <c r="H451" s="389"/>
      <c r="I451" s="389"/>
      <c r="J451" s="389"/>
      <c r="K451" s="389"/>
      <c r="L451" s="389"/>
      <c r="M451" s="389"/>
      <c r="N451" s="389"/>
      <c r="O451" s="389"/>
      <c r="P451" s="389"/>
      <c r="Q451" s="389"/>
      <c r="R451" s="389"/>
      <c r="S451" s="389"/>
      <c r="T451" s="389"/>
      <c r="U451" s="389"/>
      <c r="V451" s="389"/>
      <c r="W451" s="389"/>
      <c r="X451" s="389"/>
      <c r="Y451" s="389"/>
      <c r="Z451" s="389"/>
      <c r="AA451" s="389"/>
      <c r="AB451" s="389"/>
      <c r="AC451" s="389"/>
      <c r="AD451" s="389"/>
      <c r="AE451" s="389"/>
      <c r="AF451" s="389"/>
    </row>
    <row r="452" hidden="1">
      <c r="A452" s="389"/>
      <c r="B452" s="389"/>
      <c r="C452" s="389"/>
      <c r="D452" s="389"/>
      <c r="E452" s="389"/>
      <c r="F452" s="392"/>
      <c r="G452" s="392"/>
      <c r="H452" s="389"/>
      <c r="I452" s="389"/>
      <c r="J452" s="389"/>
      <c r="K452" s="389"/>
      <c r="L452" s="389"/>
      <c r="M452" s="389"/>
      <c r="N452" s="389"/>
      <c r="O452" s="389"/>
      <c r="P452" s="389"/>
      <c r="Q452" s="389"/>
      <c r="R452" s="389"/>
      <c r="S452" s="389"/>
      <c r="T452" s="389"/>
      <c r="U452" s="389"/>
      <c r="V452" s="389"/>
      <c r="W452" s="389"/>
      <c r="X452" s="389"/>
      <c r="Y452" s="389"/>
      <c r="Z452" s="389"/>
      <c r="AA452" s="389"/>
      <c r="AB452" s="389"/>
      <c r="AC452" s="389"/>
      <c r="AD452" s="389"/>
      <c r="AE452" s="389"/>
      <c r="AF452" s="389"/>
    </row>
    <row r="453" hidden="1">
      <c r="A453" s="389"/>
      <c r="B453" s="389"/>
      <c r="C453" s="389"/>
      <c r="D453" s="389"/>
      <c r="E453" s="389"/>
      <c r="F453" s="392"/>
      <c r="G453" s="392"/>
      <c r="H453" s="389"/>
      <c r="I453" s="389"/>
      <c r="J453" s="389"/>
      <c r="K453" s="389"/>
      <c r="L453" s="389"/>
      <c r="M453" s="389"/>
      <c r="N453" s="389"/>
      <c r="O453" s="389"/>
      <c r="P453" s="389"/>
      <c r="Q453" s="389"/>
      <c r="R453" s="389"/>
      <c r="S453" s="389"/>
      <c r="T453" s="389"/>
      <c r="U453" s="389"/>
      <c r="V453" s="389"/>
      <c r="W453" s="389"/>
      <c r="X453" s="389"/>
      <c r="Y453" s="389"/>
      <c r="Z453" s="389"/>
      <c r="AA453" s="389"/>
      <c r="AB453" s="389"/>
      <c r="AC453" s="389"/>
      <c r="AD453" s="389"/>
      <c r="AE453" s="389"/>
      <c r="AF453" s="389"/>
    </row>
    <row r="454" hidden="1">
      <c r="A454" s="389"/>
      <c r="B454" s="389"/>
      <c r="C454" s="389"/>
      <c r="D454" s="389"/>
      <c r="E454" s="389"/>
      <c r="F454" s="392"/>
      <c r="G454" s="392"/>
      <c r="H454" s="389"/>
      <c r="I454" s="389"/>
      <c r="J454" s="389"/>
      <c r="K454" s="389"/>
      <c r="L454" s="389"/>
      <c r="M454" s="389"/>
      <c r="N454" s="389"/>
      <c r="O454" s="389"/>
      <c r="P454" s="389"/>
      <c r="Q454" s="389"/>
      <c r="R454" s="389"/>
      <c r="S454" s="389"/>
      <c r="T454" s="389"/>
      <c r="U454" s="389"/>
      <c r="V454" s="389"/>
      <c r="W454" s="389"/>
      <c r="X454" s="389"/>
      <c r="Y454" s="389"/>
      <c r="Z454" s="389"/>
      <c r="AA454" s="389"/>
      <c r="AB454" s="389"/>
      <c r="AC454" s="389"/>
      <c r="AD454" s="389"/>
      <c r="AE454" s="389"/>
      <c r="AF454" s="389"/>
    </row>
    <row r="455" hidden="1">
      <c r="A455" s="389"/>
      <c r="B455" s="389"/>
      <c r="C455" s="389"/>
      <c r="D455" s="389"/>
      <c r="E455" s="389"/>
      <c r="F455" s="392"/>
      <c r="G455" s="392"/>
      <c r="H455" s="389"/>
      <c r="I455" s="389"/>
      <c r="J455" s="389"/>
      <c r="K455" s="389"/>
      <c r="L455" s="389"/>
      <c r="M455" s="389"/>
      <c r="N455" s="389"/>
      <c r="O455" s="389"/>
      <c r="P455" s="389"/>
      <c r="Q455" s="389"/>
      <c r="R455" s="389"/>
      <c r="S455" s="389"/>
      <c r="T455" s="389"/>
      <c r="U455" s="389"/>
      <c r="V455" s="389"/>
      <c r="W455" s="389"/>
      <c r="X455" s="389"/>
      <c r="Y455" s="389"/>
      <c r="Z455" s="389"/>
      <c r="AA455" s="389"/>
      <c r="AB455" s="389"/>
      <c r="AC455" s="389"/>
      <c r="AD455" s="389"/>
      <c r="AE455" s="389"/>
      <c r="AF455" s="389"/>
    </row>
    <row r="456" hidden="1">
      <c r="A456" s="389"/>
      <c r="B456" s="389"/>
      <c r="C456" s="389"/>
      <c r="D456" s="389"/>
      <c r="E456" s="389"/>
      <c r="F456" s="392"/>
      <c r="G456" s="392"/>
      <c r="H456" s="389"/>
      <c r="I456" s="389"/>
      <c r="J456" s="389"/>
      <c r="K456" s="389"/>
      <c r="L456" s="389"/>
      <c r="M456" s="389"/>
      <c r="N456" s="389"/>
      <c r="O456" s="389"/>
      <c r="P456" s="389"/>
      <c r="Q456" s="389"/>
      <c r="R456" s="389"/>
      <c r="S456" s="389"/>
      <c r="T456" s="389"/>
      <c r="U456" s="389"/>
      <c r="V456" s="389"/>
      <c r="W456" s="389"/>
      <c r="X456" s="389"/>
      <c r="Y456" s="389"/>
      <c r="Z456" s="389"/>
      <c r="AA456" s="389"/>
      <c r="AB456" s="389"/>
      <c r="AC456" s="389"/>
      <c r="AD456" s="389"/>
      <c r="AE456" s="389"/>
      <c r="AF456" s="389"/>
    </row>
    <row r="457" hidden="1">
      <c r="A457" s="389"/>
      <c r="B457" s="389"/>
      <c r="C457" s="389"/>
      <c r="D457" s="389"/>
      <c r="E457" s="389"/>
      <c r="F457" s="392"/>
      <c r="G457" s="392"/>
      <c r="H457" s="389"/>
      <c r="I457" s="389"/>
      <c r="J457" s="389"/>
      <c r="K457" s="389"/>
      <c r="L457" s="389"/>
      <c r="M457" s="389"/>
      <c r="N457" s="389"/>
      <c r="O457" s="389"/>
      <c r="P457" s="389"/>
      <c r="Q457" s="389"/>
      <c r="R457" s="389"/>
      <c r="S457" s="389"/>
      <c r="T457" s="389"/>
      <c r="U457" s="389"/>
      <c r="V457" s="389"/>
      <c r="W457" s="389"/>
      <c r="X457" s="389"/>
      <c r="Y457" s="389"/>
      <c r="Z457" s="389"/>
      <c r="AA457" s="389"/>
      <c r="AB457" s="389"/>
      <c r="AC457" s="389"/>
      <c r="AD457" s="389"/>
      <c r="AE457" s="389"/>
      <c r="AF457" s="389"/>
    </row>
    <row r="458" hidden="1">
      <c r="A458" s="389"/>
      <c r="B458" s="389"/>
      <c r="C458" s="389"/>
      <c r="D458" s="389"/>
      <c r="E458" s="389"/>
      <c r="F458" s="392"/>
      <c r="G458" s="392"/>
      <c r="H458" s="389"/>
      <c r="I458" s="389"/>
      <c r="J458" s="389"/>
      <c r="K458" s="389"/>
      <c r="L458" s="389"/>
      <c r="M458" s="389"/>
      <c r="N458" s="389"/>
      <c r="O458" s="389"/>
      <c r="P458" s="389"/>
      <c r="Q458" s="389"/>
      <c r="R458" s="389"/>
      <c r="S458" s="389"/>
      <c r="T458" s="389"/>
      <c r="U458" s="389"/>
      <c r="V458" s="389"/>
      <c r="W458" s="389"/>
      <c r="X458" s="389"/>
      <c r="Y458" s="389"/>
      <c r="Z458" s="389"/>
      <c r="AA458" s="389"/>
      <c r="AB458" s="389"/>
      <c r="AC458" s="389"/>
      <c r="AD458" s="389"/>
      <c r="AE458" s="389"/>
      <c r="AF458" s="389"/>
    </row>
    <row r="459" hidden="1">
      <c r="A459" s="389"/>
      <c r="B459" s="389"/>
      <c r="C459" s="389"/>
      <c r="D459" s="389"/>
      <c r="E459" s="389"/>
      <c r="F459" s="392"/>
      <c r="G459" s="392"/>
      <c r="H459" s="389"/>
      <c r="I459" s="389"/>
      <c r="J459" s="389"/>
      <c r="K459" s="389"/>
      <c r="L459" s="389"/>
      <c r="M459" s="389"/>
      <c r="N459" s="389"/>
      <c r="O459" s="389"/>
      <c r="P459" s="389"/>
      <c r="Q459" s="389"/>
      <c r="R459" s="389"/>
      <c r="S459" s="389"/>
      <c r="T459" s="389"/>
      <c r="U459" s="389"/>
      <c r="V459" s="389"/>
      <c r="W459" s="389"/>
      <c r="X459" s="389"/>
      <c r="Y459" s="389"/>
      <c r="Z459" s="389"/>
      <c r="AA459" s="389"/>
      <c r="AB459" s="389"/>
      <c r="AC459" s="389"/>
      <c r="AD459" s="389"/>
      <c r="AE459" s="389"/>
      <c r="AF459" s="389"/>
    </row>
    <row r="460" hidden="1">
      <c r="A460" s="389"/>
      <c r="B460" s="389"/>
      <c r="C460" s="389"/>
      <c r="D460" s="389"/>
      <c r="E460" s="389"/>
      <c r="F460" s="392"/>
      <c r="G460" s="392"/>
      <c r="H460" s="389"/>
      <c r="I460" s="389"/>
      <c r="J460" s="389"/>
      <c r="K460" s="389"/>
      <c r="L460" s="389"/>
      <c r="M460" s="389"/>
      <c r="N460" s="389"/>
      <c r="O460" s="389"/>
      <c r="P460" s="389"/>
      <c r="Q460" s="389"/>
      <c r="R460" s="389"/>
      <c r="S460" s="389"/>
      <c r="T460" s="389"/>
      <c r="U460" s="389"/>
      <c r="V460" s="389"/>
      <c r="W460" s="389"/>
      <c r="X460" s="389"/>
      <c r="Y460" s="389"/>
      <c r="Z460" s="389"/>
      <c r="AA460" s="389"/>
      <c r="AB460" s="389"/>
      <c r="AC460" s="389"/>
      <c r="AD460" s="389"/>
      <c r="AE460" s="389"/>
      <c r="AF460" s="389"/>
    </row>
    <row r="461" hidden="1">
      <c r="A461" s="389"/>
      <c r="B461" s="389"/>
      <c r="C461" s="389"/>
      <c r="D461" s="389"/>
      <c r="E461" s="389"/>
      <c r="F461" s="392"/>
      <c r="G461" s="392"/>
      <c r="H461" s="389"/>
      <c r="I461" s="389"/>
      <c r="J461" s="389"/>
      <c r="K461" s="389"/>
      <c r="L461" s="389"/>
      <c r="M461" s="389"/>
      <c r="N461" s="389"/>
      <c r="O461" s="389"/>
      <c r="P461" s="389"/>
      <c r="Q461" s="389"/>
      <c r="R461" s="389"/>
      <c r="S461" s="389"/>
      <c r="T461" s="389"/>
      <c r="U461" s="389"/>
      <c r="V461" s="389"/>
      <c r="W461" s="389"/>
      <c r="X461" s="389"/>
      <c r="Y461" s="389"/>
      <c r="Z461" s="389"/>
      <c r="AA461" s="389"/>
      <c r="AB461" s="389"/>
      <c r="AC461" s="389"/>
      <c r="AD461" s="389"/>
      <c r="AE461" s="389"/>
      <c r="AF461" s="389"/>
    </row>
    <row r="462" hidden="1">
      <c r="A462" s="389"/>
      <c r="B462" s="389"/>
      <c r="C462" s="389"/>
      <c r="D462" s="389"/>
      <c r="E462" s="389"/>
      <c r="F462" s="392"/>
      <c r="G462" s="392"/>
      <c r="H462" s="389"/>
      <c r="I462" s="389"/>
      <c r="J462" s="389"/>
      <c r="K462" s="389"/>
      <c r="L462" s="389"/>
      <c r="M462" s="389"/>
      <c r="N462" s="389"/>
      <c r="O462" s="389"/>
      <c r="P462" s="389"/>
      <c r="Q462" s="389"/>
      <c r="R462" s="389"/>
      <c r="S462" s="389"/>
      <c r="T462" s="389"/>
      <c r="U462" s="389"/>
      <c r="V462" s="389"/>
      <c r="W462" s="389"/>
      <c r="X462" s="389"/>
      <c r="Y462" s="389"/>
      <c r="Z462" s="389"/>
      <c r="AA462" s="389"/>
      <c r="AB462" s="389"/>
      <c r="AC462" s="389"/>
      <c r="AD462" s="389"/>
      <c r="AE462" s="389"/>
      <c r="AF462" s="389"/>
    </row>
    <row r="463" hidden="1">
      <c r="A463" s="389"/>
      <c r="B463" s="389"/>
      <c r="C463" s="389"/>
      <c r="D463" s="389"/>
      <c r="E463" s="389"/>
      <c r="F463" s="392"/>
      <c r="G463" s="392"/>
      <c r="H463" s="389"/>
      <c r="I463" s="389"/>
      <c r="J463" s="389"/>
      <c r="K463" s="389"/>
      <c r="L463" s="389"/>
      <c r="M463" s="389"/>
      <c r="N463" s="389"/>
      <c r="O463" s="389"/>
      <c r="P463" s="389"/>
      <c r="Q463" s="389"/>
      <c r="R463" s="389"/>
      <c r="S463" s="389"/>
      <c r="T463" s="389"/>
      <c r="U463" s="389"/>
      <c r="V463" s="389"/>
      <c r="W463" s="389"/>
      <c r="X463" s="389"/>
      <c r="Y463" s="389"/>
      <c r="Z463" s="389"/>
      <c r="AA463" s="389"/>
      <c r="AB463" s="389"/>
      <c r="AC463" s="389"/>
      <c r="AD463" s="389"/>
      <c r="AE463" s="389"/>
      <c r="AF463" s="389"/>
    </row>
    <row r="464" hidden="1">
      <c r="A464" s="389"/>
      <c r="B464" s="389"/>
      <c r="C464" s="389"/>
      <c r="D464" s="389"/>
      <c r="E464" s="389"/>
      <c r="F464" s="392"/>
      <c r="G464" s="392"/>
      <c r="H464" s="389"/>
      <c r="I464" s="389"/>
      <c r="J464" s="389"/>
      <c r="K464" s="389"/>
      <c r="L464" s="389"/>
      <c r="M464" s="389"/>
      <c r="N464" s="389"/>
      <c r="O464" s="389"/>
      <c r="P464" s="389"/>
      <c r="Q464" s="389"/>
      <c r="R464" s="389"/>
      <c r="S464" s="389"/>
      <c r="T464" s="389"/>
      <c r="U464" s="389"/>
      <c r="V464" s="389"/>
      <c r="W464" s="389"/>
      <c r="X464" s="389"/>
      <c r="Y464" s="389"/>
      <c r="Z464" s="389"/>
      <c r="AA464" s="389"/>
      <c r="AB464" s="389"/>
      <c r="AC464" s="389"/>
      <c r="AD464" s="389"/>
      <c r="AE464" s="389"/>
      <c r="AF464" s="389"/>
    </row>
    <row r="465" hidden="1">
      <c r="A465" s="389"/>
      <c r="B465" s="389"/>
      <c r="C465" s="389"/>
      <c r="D465" s="389"/>
      <c r="E465" s="389"/>
      <c r="F465" s="392"/>
      <c r="G465" s="392"/>
      <c r="H465" s="389"/>
      <c r="I465" s="389"/>
      <c r="J465" s="389"/>
      <c r="K465" s="389"/>
      <c r="L465" s="389"/>
      <c r="M465" s="389"/>
      <c r="N465" s="389"/>
      <c r="O465" s="389"/>
      <c r="P465" s="389"/>
      <c r="Q465" s="389"/>
      <c r="R465" s="389"/>
      <c r="S465" s="389"/>
      <c r="T465" s="389"/>
      <c r="U465" s="389"/>
      <c r="V465" s="389"/>
      <c r="W465" s="389"/>
      <c r="X465" s="389"/>
      <c r="Y465" s="389"/>
      <c r="Z465" s="389"/>
      <c r="AA465" s="389"/>
      <c r="AB465" s="389"/>
      <c r="AC465" s="389"/>
      <c r="AD465" s="389"/>
      <c r="AE465" s="389"/>
      <c r="AF465" s="389"/>
    </row>
    <row r="466" hidden="1">
      <c r="A466" s="389"/>
      <c r="B466" s="389"/>
      <c r="C466" s="389"/>
      <c r="D466" s="389"/>
      <c r="E466" s="389"/>
      <c r="F466" s="392"/>
      <c r="G466" s="392"/>
      <c r="H466" s="389"/>
      <c r="I466" s="389"/>
      <c r="J466" s="389"/>
      <c r="K466" s="389"/>
      <c r="L466" s="389"/>
      <c r="M466" s="389"/>
      <c r="N466" s="389"/>
      <c r="O466" s="389"/>
      <c r="P466" s="389"/>
      <c r="Q466" s="389"/>
      <c r="R466" s="389"/>
      <c r="S466" s="389"/>
      <c r="T466" s="389"/>
      <c r="U466" s="389"/>
      <c r="V466" s="389"/>
      <c r="W466" s="389"/>
      <c r="X466" s="389"/>
      <c r="Y466" s="389"/>
      <c r="Z466" s="389"/>
      <c r="AA466" s="389"/>
      <c r="AB466" s="389"/>
      <c r="AC466" s="389"/>
      <c r="AD466" s="389"/>
      <c r="AE466" s="389"/>
      <c r="AF466" s="389"/>
    </row>
    <row r="467" hidden="1">
      <c r="A467" s="389"/>
      <c r="B467" s="389"/>
      <c r="C467" s="389"/>
      <c r="D467" s="389"/>
      <c r="E467" s="389"/>
      <c r="F467" s="392"/>
      <c r="G467" s="392"/>
      <c r="H467" s="389"/>
      <c r="I467" s="389"/>
      <c r="J467" s="389"/>
      <c r="K467" s="389"/>
      <c r="L467" s="389"/>
      <c r="M467" s="389"/>
      <c r="N467" s="389"/>
      <c r="O467" s="389"/>
      <c r="P467" s="389"/>
      <c r="Q467" s="389"/>
      <c r="R467" s="389"/>
      <c r="S467" s="389"/>
      <c r="T467" s="389"/>
      <c r="U467" s="389"/>
      <c r="V467" s="389"/>
      <c r="W467" s="389"/>
      <c r="X467" s="389"/>
      <c r="Y467" s="389"/>
      <c r="Z467" s="389"/>
      <c r="AA467" s="389"/>
      <c r="AB467" s="389"/>
      <c r="AC467" s="389"/>
      <c r="AD467" s="389"/>
      <c r="AE467" s="389"/>
      <c r="AF467" s="389"/>
    </row>
    <row r="468" hidden="1">
      <c r="A468" s="389"/>
      <c r="B468" s="389"/>
      <c r="C468" s="389"/>
      <c r="D468" s="389"/>
      <c r="E468" s="389"/>
      <c r="F468" s="392"/>
      <c r="G468" s="392"/>
      <c r="H468" s="389"/>
      <c r="I468" s="389"/>
      <c r="J468" s="389"/>
      <c r="K468" s="389"/>
      <c r="L468" s="389"/>
      <c r="M468" s="389"/>
      <c r="N468" s="389"/>
      <c r="O468" s="389"/>
      <c r="P468" s="389"/>
      <c r="Q468" s="389"/>
      <c r="R468" s="389"/>
      <c r="S468" s="389"/>
      <c r="T468" s="389"/>
      <c r="U468" s="389"/>
      <c r="V468" s="389"/>
      <c r="W468" s="389"/>
      <c r="X468" s="389"/>
      <c r="Y468" s="389"/>
      <c r="Z468" s="389"/>
      <c r="AA468" s="389"/>
      <c r="AB468" s="389"/>
      <c r="AC468" s="389"/>
      <c r="AD468" s="389"/>
      <c r="AE468" s="389"/>
      <c r="AF468" s="389"/>
    </row>
    <row r="469" hidden="1">
      <c r="A469" s="389"/>
      <c r="B469" s="389"/>
      <c r="C469" s="389"/>
      <c r="D469" s="389"/>
      <c r="E469" s="389"/>
      <c r="F469" s="392"/>
      <c r="G469" s="392"/>
      <c r="H469" s="389"/>
      <c r="I469" s="389"/>
      <c r="J469" s="389"/>
      <c r="K469" s="389"/>
      <c r="L469" s="389"/>
      <c r="M469" s="389"/>
      <c r="N469" s="389"/>
      <c r="O469" s="389"/>
      <c r="P469" s="389"/>
      <c r="Q469" s="389"/>
      <c r="R469" s="389"/>
      <c r="S469" s="389"/>
      <c r="T469" s="389"/>
      <c r="U469" s="389"/>
      <c r="V469" s="389"/>
      <c r="W469" s="389"/>
      <c r="X469" s="389"/>
      <c r="Y469" s="389"/>
      <c r="Z469" s="389"/>
      <c r="AA469" s="389"/>
      <c r="AB469" s="389"/>
      <c r="AC469" s="389"/>
      <c r="AD469" s="389"/>
      <c r="AE469" s="389"/>
      <c r="AF469" s="389"/>
    </row>
    <row r="470" hidden="1">
      <c r="A470" s="389"/>
      <c r="B470" s="389"/>
      <c r="C470" s="389"/>
      <c r="D470" s="389"/>
      <c r="E470" s="389"/>
      <c r="F470" s="392"/>
      <c r="G470" s="392"/>
      <c r="H470" s="389"/>
      <c r="I470" s="389"/>
      <c r="J470" s="389"/>
      <c r="K470" s="389"/>
      <c r="L470" s="389"/>
      <c r="M470" s="389"/>
      <c r="N470" s="389"/>
      <c r="O470" s="389"/>
      <c r="P470" s="389"/>
      <c r="Q470" s="389"/>
      <c r="R470" s="389"/>
      <c r="S470" s="389"/>
      <c r="T470" s="389"/>
      <c r="U470" s="389"/>
      <c r="V470" s="389"/>
      <c r="W470" s="389"/>
      <c r="X470" s="389"/>
      <c r="Y470" s="389"/>
      <c r="Z470" s="389"/>
      <c r="AA470" s="389"/>
      <c r="AB470" s="389"/>
      <c r="AC470" s="389"/>
      <c r="AD470" s="389"/>
      <c r="AE470" s="389"/>
      <c r="AF470" s="389"/>
    </row>
    <row r="471" hidden="1">
      <c r="A471" s="389"/>
      <c r="B471" s="389"/>
      <c r="C471" s="389"/>
      <c r="D471" s="389"/>
      <c r="E471" s="389"/>
      <c r="F471" s="392"/>
      <c r="G471" s="392"/>
      <c r="H471" s="389"/>
      <c r="I471" s="389"/>
      <c r="J471" s="389"/>
      <c r="K471" s="389"/>
      <c r="L471" s="389"/>
      <c r="M471" s="389"/>
      <c r="N471" s="389"/>
      <c r="O471" s="389"/>
      <c r="P471" s="389"/>
      <c r="Q471" s="389"/>
      <c r="R471" s="389"/>
      <c r="S471" s="389"/>
      <c r="T471" s="389"/>
      <c r="U471" s="389"/>
      <c r="V471" s="389"/>
      <c r="W471" s="389"/>
      <c r="X471" s="389"/>
      <c r="Y471" s="389"/>
      <c r="Z471" s="389"/>
      <c r="AA471" s="389"/>
      <c r="AB471" s="389"/>
      <c r="AC471" s="389"/>
      <c r="AD471" s="389"/>
      <c r="AE471" s="389"/>
      <c r="AF471" s="389"/>
    </row>
    <row r="472" hidden="1">
      <c r="A472" s="389"/>
      <c r="B472" s="389"/>
      <c r="C472" s="389"/>
      <c r="D472" s="389"/>
      <c r="E472" s="389"/>
      <c r="F472" s="392"/>
      <c r="G472" s="392"/>
      <c r="H472" s="389"/>
      <c r="I472" s="389"/>
      <c r="J472" s="389"/>
      <c r="K472" s="389"/>
      <c r="L472" s="389"/>
      <c r="M472" s="389"/>
      <c r="N472" s="389"/>
      <c r="O472" s="389"/>
      <c r="P472" s="389"/>
      <c r="Q472" s="389"/>
      <c r="R472" s="389"/>
      <c r="S472" s="389"/>
      <c r="T472" s="389"/>
      <c r="U472" s="389"/>
      <c r="V472" s="389"/>
      <c r="W472" s="389"/>
      <c r="X472" s="389"/>
      <c r="Y472" s="389"/>
      <c r="Z472" s="389"/>
      <c r="AA472" s="389"/>
      <c r="AB472" s="389"/>
      <c r="AC472" s="389"/>
      <c r="AD472" s="389"/>
      <c r="AE472" s="389"/>
      <c r="AF472" s="389"/>
    </row>
    <row r="473" hidden="1">
      <c r="A473" s="389"/>
      <c r="B473" s="389"/>
      <c r="C473" s="389"/>
      <c r="D473" s="389"/>
      <c r="E473" s="389"/>
      <c r="F473" s="392"/>
      <c r="G473" s="392"/>
      <c r="H473" s="389"/>
      <c r="I473" s="389"/>
      <c r="J473" s="389"/>
      <c r="K473" s="389"/>
      <c r="L473" s="389"/>
      <c r="M473" s="389"/>
      <c r="N473" s="389"/>
      <c r="O473" s="389"/>
      <c r="P473" s="389"/>
      <c r="Q473" s="389"/>
      <c r="R473" s="389"/>
      <c r="S473" s="389"/>
      <c r="T473" s="389"/>
      <c r="U473" s="389"/>
      <c r="V473" s="389"/>
      <c r="W473" s="389"/>
      <c r="X473" s="389"/>
      <c r="Y473" s="389"/>
      <c r="Z473" s="389"/>
      <c r="AA473" s="389"/>
      <c r="AB473" s="389"/>
      <c r="AC473" s="389"/>
      <c r="AD473" s="389"/>
      <c r="AE473" s="389"/>
      <c r="AF473" s="389"/>
    </row>
    <row r="474" hidden="1">
      <c r="A474" s="389"/>
      <c r="B474" s="389"/>
      <c r="C474" s="389"/>
      <c r="D474" s="389"/>
      <c r="E474" s="389"/>
      <c r="F474" s="392"/>
      <c r="G474" s="392"/>
      <c r="H474" s="389"/>
      <c r="I474" s="389"/>
      <c r="J474" s="389"/>
      <c r="K474" s="389"/>
      <c r="L474" s="389"/>
      <c r="M474" s="389"/>
      <c r="N474" s="389"/>
      <c r="O474" s="389"/>
      <c r="P474" s="389"/>
      <c r="Q474" s="389"/>
      <c r="R474" s="389"/>
      <c r="S474" s="389"/>
      <c r="T474" s="389"/>
      <c r="U474" s="389"/>
      <c r="V474" s="389"/>
      <c r="W474" s="389"/>
      <c r="X474" s="389"/>
      <c r="Y474" s="389"/>
      <c r="Z474" s="389"/>
      <c r="AA474" s="389"/>
      <c r="AB474" s="389"/>
      <c r="AC474" s="389"/>
      <c r="AD474" s="389"/>
      <c r="AE474" s="389"/>
      <c r="AF474" s="389"/>
    </row>
    <row r="475" hidden="1">
      <c r="A475" s="389"/>
      <c r="B475" s="389"/>
      <c r="C475" s="389"/>
      <c r="D475" s="389"/>
      <c r="E475" s="389"/>
      <c r="F475" s="392"/>
      <c r="G475" s="392"/>
      <c r="H475" s="389"/>
      <c r="I475" s="389"/>
      <c r="J475" s="389"/>
      <c r="K475" s="389"/>
      <c r="L475" s="389"/>
      <c r="M475" s="389"/>
      <c r="N475" s="389"/>
      <c r="O475" s="389"/>
      <c r="P475" s="389"/>
      <c r="Q475" s="389"/>
      <c r="R475" s="389"/>
      <c r="S475" s="389"/>
      <c r="T475" s="389"/>
      <c r="U475" s="389"/>
      <c r="V475" s="389"/>
      <c r="W475" s="389"/>
      <c r="X475" s="389"/>
      <c r="Y475" s="389"/>
      <c r="Z475" s="389"/>
      <c r="AA475" s="389"/>
      <c r="AB475" s="389"/>
      <c r="AC475" s="389"/>
      <c r="AD475" s="389"/>
      <c r="AE475" s="389"/>
      <c r="AF475" s="389"/>
    </row>
    <row r="476" hidden="1">
      <c r="A476" s="389"/>
      <c r="B476" s="389"/>
      <c r="C476" s="389"/>
      <c r="D476" s="389"/>
      <c r="E476" s="389"/>
      <c r="F476" s="392"/>
      <c r="G476" s="392"/>
      <c r="H476" s="389"/>
      <c r="I476" s="389"/>
      <c r="J476" s="389"/>
      <c r="K476" s="389"/>
      <c r="L476" s="389"/>
      <c r="M476" s="389"/>
      <c r="N476" s="389"/>
      <c r="O476" s="389"/>
      <c r="P476" s="389"/>
      <c r="Q476" s="389"/>
      <c r="R476" s="389"/>
      <c r="S476" s="389"/>
      <c r="T476" s="389"/>
      <c r="U476" s="389"/>
      <c r="V476" s="389"/>
      <c r="W476" s="389"/>
      <c r="X476" s="389"/>
      <c r="Y476" s="389"/>
      <c r="Z476" s="389"/>
      <c r="AA476" s="389"/>
      <c r="AB476" s="389"/>
      <c r="AC476" s="389"/>
      <c r="AD476" s="389"/>
      <c r="AE476" s="389"/>
      <c r="AF476" s="389"/>
    </row>
    <row r="477" hidden="1">
      <c r="A477" s="389"/>
      <c r="B477" s="389"/>
      <c r="C477" s="389"/>
      <c r="D477" s="389"/>
      <c r="E477" s="389"/>
      <c r="F477" s="392"/>
      <c r="G477" s="392"/>
      <c r="H477" s="389"/>
      <c r="I477" s="389"/>
      <c r="J477" s="389"/>
      <c r="K477" s="389"/>
      <c r="L477" s="389"/>
      <c r="M477" s="389"/>
      <c r="N477" s="389"/>
      <c r="O477" s="389"/>
      <c r="P477" s="389"/>
      <c r="Q477" s="389"/>
      <c r="R477" s="389"/>
      <c r="S477" s="389"/>
      <c r="T477" s="389"/>
      <c r="U477" s="389"/>
      <c r="V477" s="389"/>
      <c r="W477" s="389"/>
      <c r="X477" s="389"/>
      <c r="Y477" s="389"/>
      <c r="Z477" s="389"/>
      <c r="AA477" s="389"/>
      <c r="AB477" s="389"/>
      <c r="AC477" s="389"/>
      <c r="AD477" s="389"/>
      <c r="AE477" s="389"/>
      <c r="AF477" s="389"/>
    </row>
    <row r="478" hidden="1">
      <c r="A478" s="389"/>
      <c r="B478" s="389"/>
      <c r="C478" s="389"/>
      <c r="D478" s="389"/>
      <c r="E478" s="389"/>
      <c r="F478" s="392"/>
      <c r="G478" s="392"/>
      <c r="H478" s="389"/>
      <c r="I478" s="389"/>
      <c r="J478" s="389"/>
      <c r="K478" s="389"/>
      <c r="L478" s="389"/>
      <c r="M478" s="389"/>
      <c r="N478" s="389"/>
      <c r="O478" s="389"/>
      <c r="P478" s="389"/>
      <c r="Q478" s="389"/>
      <c r="R478" s="389"/>
      <c r="S478" s="389"/>
      <c r="T478" s="389"/>
      <c r="U478" s="389"/>
      <c r="V478" s="389"/>
      <c r="W478" s="389"/>
      <c r="X478" s="389"/>
      <c r="Y478" s="389"/>
      <c r="Z478" s="389"/>
      <c r="AA478" s="389"/>
      <c r="AB478" s="389"/>
      <c r="AC478" s="389"/>
      <c r="AD478" s="389"/>
      <c r="AE478" s="389"/>
      <c r="AF478" s="389"/>
    </row>
    <row r="479" hidden="1">
      <c r="A479" s="389"/>
      <c r="B479" s="389"/>
      <c r="C479" s="389"/>
      <c r="D479" s="389"/>
      <c r="E479" s="389"/>
      <c r="F479" s="392"/>
      <c r="G479" s="392"/>
      <c r="H479" s="389"/>
      <c r="I479" s="389"/>
      <c r="J479" s="389"/>
      <c r="K479" s="389"/>
      <c r="L479" s="389"/>
      <c r="M479" s="389"/>
      <c r="N479" s="389"/>
      <c r="O479" s="389"/>
      <c r="P479" s="389"/>
      <c r="Q479" s="389"/>
      <c r="R479" s="389"/>
      <c r="S479" s="389"/>
      <c r="T479" s="389"/>
      <c r="U479" s="389"/>
      <c r="V479" s="389"/>
      <c r="W479" s="389"/>
      <c r="X479" s="389"/>
      <c r="Y479" s="389"/>
      <c r="Z479" s="389"/>
      <c r="AA479" s="389"/>
      <c r="AB479" s="389"/>
      <c r="AC479" s="389"/>
      <c r="AD479" s="389"/>
      <c r="AE479" s="389"/>
      <c r="AF479" s="389"/>
    </row>
    <row r="480" hidden="1">
      <c r="A480" s="389"/>
      <c r="B480" s="389"/>
      <c r="C480" s="389"/>
      <c r="D480" s="389"/>
      <c r="E480" s="389"/>
      <c r="F480" s="392"/>
      <c r="G480" s="392"/>
      <c r="H480" s="389"/>
      <c r="I480" s="389"/>
      <c r="J480" s="389"/>
      <c r="K480" s="389"/>
      <c r="L480" s="389"/>
      <c r="M480" s="389"/>
      <c r="N480" s="389"/>
      <c r="O480" s="389"/>
      <c r="P480" s="389"/>
      <c r="Q480" s="389"/>
      <c r="R480" s="389"/>
      <c r="S480" s="389"/>
      <c r="T480" s="389"/>
      <c r="U480" s="389"/>
      <c r="V480" s="389"/>
      <c r="W480" s="389"/>
      <c r="X480" s="389"/>
      <c r="Y480" s="389"/>
      <c r="Z480" s="389"/>
      <c r="AA480" s="389"/>
      <c r="AB480" s="389"/>
      <c r="AC480" s="389"/>
      <c r="AD480" s="389"/>
      <c r="AE480" s="389"/>
      <c r="AF480" s="389"/>
    </row>
    <row r="481" hidden="1">
      <c r="A481" s="389"/>
      <c r="B481" s="389"/>
      <c r="C481" s="389"/>
      <c r="D481" s="389"/>
      <c r="E481" s="389"/>
      <c r="F481" s="392"/>
      <c r="G481" s="392"/>
      <c r="H481" s="389"/>
      <c r="I481" s="389"/>
      <c r="J481" s="389"/>
      <c r="K481" s="389"/>
      <c r="L481" s="389"/>
      <c r="M481" s="389"/>
      <c r="N481" s="389"/>
      <c r="O481" s="389"/>
      <c r="P481" s="389"/>
      <c r="Q481" s="389"/>
      <c r="R481" s="389"/>
      <c r="S481" s="389"/>
      <c r="T481" s="389"/>
      <c r="U481" s="389"/>
      <c r="V481" s="389"/>
      <c r="W481" s="389"/>
      <c r="X481" s="389"/>
      <c r="Y481" s="389"/>
      <c r="Z481" s="389"/>
      <c r="AA481" s="389"/>
      <c r="AB481" s="389"/>
      <c r="AC481" s="389"/>
      <c r="AD481" s="389"/>
      <c r="AE481" s="389"/>
      <c r="AF481" s="389"/>
    </row>
    <row r="482" hidden="1">
      <c r="A482" s="389"/>
      <c r="B482" s="389"/>
      <c r="C482" s="389"/>
      <c r="D482" s="389"/>
      <c r="E482" s="389"/>
      <c r="F482" s="392"/>
      <c r="G482" s="392"/>
      <c r="H482" s="389"/>
      <c r="I482" s="389"/>
      <c r="J482" s="389"/>
      <c r="K482" s="389"/>
      <c r="L482" s="389"/>
      <c r="M482" s="389"/>
      <c r="N482" s="389"/>
      <c r="O482" s="389"/>
      <c r="P482" s="389"/>
      <c r="Q482" s="389"/>
      <c r="R482" s="389"/>
      <c r="S482" s="389"/>
      <c r="T482" s="389"/>
      <c r="U482" s="389"/>
      <c r="V482" s="389"/>
      <c r="W482" s="389"/>
      <c r="X482" s="389"/>
      <c r="Y482" s="389"/>
      <c r="Z482" s="389"/>
      <c r="AA482" s="389"/>
      <c r="AB482" s="389"/>
      <c r="AC482" s="389"/>
      <c r="AD482" s="389"/>
      <c r="AE482" s="389"/>
      <c r="AF482" s="389"/>
    </row>
    <row r="483" hidden="1">
      <c r="A483" s="389"/>
      <c r="B483" s="389"/>
      <c r="C483" s="389"/>
      <c r="D483" s="389"/>
      <c r="E483" s="389"/>
      <c r="F483" s="392"/>
      <c r="G483" s="392"/>
      <c r="H483" s="389"/>
      <c r="I483" s="389"/>
      <c r="J483" s="389"/>
      <c r="K483" s="389"/>
      <c r="L483" s="389"/>
      <c r="M483" s="389"/>
      <c r="N483" s="389"/>
      <c r="O483" s="389"/>
      <c r="P483" s="389"/>
      <c r="Q483" s="389"/>
      <c r="R483" s="389"/>
      <c r="S483" s="389"/>
      <c r="T483" s="389"/>
      <c r="U483" s="389"/>
      <c r="V483" s="389"/>
      <c r="W483" s="389"/>
      <c r="X483" s="389"/>
      <c r="Y483" s="389"/>
      <c r="Z483" s="389"/>
      <c r="AA483" s="389"/>
      <c r="AB483" s="389"/>
      <c r="AC483" s="389"/>
      <c r="AD483" s="389"/>
      <c r="AE483" s="389"/>
      <c r="AF483" s="389"/>
    </row>
    <row r="484" hidden="1">
      <c r="A484" s="389"/>
      <c r="B484" s="389"/>
      <c r="C484" s="389"/>
      <c r="D484" s="389"/>
      <c r="E484" s="389"/>
      <c r="F484" s="392"/>
      <c r="G484" s="392"/>
      <c r="H484" s="389"/>
      <c r="I484" s="389"/>
      <c r="J484" s="389"/>
      <c r="K484" s="389"/>
      <c r="L484" s="389"/>
      <c r="M484" s="389"/>
      <c r="N484" s="389"/>
      <c r="O484" s="389"/>
      <c r="P484" s="389"/>
      <c r="Q484" s="389"/>
      <c r="R484" s="389"/>
      <c r="S484" s="389"/>
      <c r="T484" s="389"/>
      <c r="U484" s="389"/>
      <c r="V484" s="389"/>
      <c r="W484" s="389"/>
      <c r="X484" s="389"/>
      <c r="Y484" s="389"/>
      <c r="Z484" s="389"/>
      <c r="AA484" s="389"/>
      <c r="AB484" s="389"/>
      <c r="AC484" s="389"/>
      <c r="AD484" s="389"/>
      <c r="AE484" s="389"/>
      <c r="AF484" s="389"/>
    </row>
    <row r="485" hidden="1">
      <c r="A485" s="389"/>
      <c r="B485" s="389"/>
      <c r="C485" s="389"/>
      <c r="D485" s="389"/>
      <c r="E485" s="389"/>
      <c r="F485" s="392"/>
      <c r="G485" s="392"/>
      <c r="H485" s="389"/>
      <c r="I485" s="389"/>
      <c r="J485" s="389"/>
      <c r="K485" s="389"/>
      <c r="L485" s="389"/>
      <c r="M485" s="389"/>
      <c r="N485" s="389"/>
      <c r="O485" s="389"/>
      <c r="P485" s="389"/>
      <c r="Q485" s="389"/>
      <c r="R485" s="389"/>
      <c r="S485" s="389"/>
      <c r="T485" s="389"/>
      <c r="U485" s="389"/>
      <c r="V485" s="389"/>
      <c r="W485" s="389"/>
      <c r="X485" s="389"/>
      <c r="Y485" s="389"/>
      <c r="Z485" s="389"/>
      <c r="AA485" s="389"/>
      <c r="AB485" s="389"/>
      <c r="AC485" s="389"/>
      <c r="AD485" s="389"/>
      <c r="AE485" s="389"/>
      <c r="AF485" s="389"/>
    </row>
    <row r="486" hidden="1">
      <c r="A486" s="389"/>
      <c r="B486" s="389"/>
      <c r="C486" s="389"/>
      <c r="D486" s="389"/>
      <c r="E486" s="389"/>
      <c r="F486" s="392"/>
      <c r="G486" s="392"/>
      <c r="H486" s="389"/>
      <c r="I486" s="389"/>
      <c r="J486" s="389"/>
      <c r="K486" s="389"/>
      <c r="L486" s="389"/>
      <c r="M486" s="389"/>
      <c r="N486" s="389"/>
      <c r="O486" s="389"/>
      <c r="P486" s="389"/>
      <c r="Q486" s="389"/>
      <c r="R486" s="389"/>
      <c r="S486" s="389"/>
      <c r="T486" s="389"/>
      <c r="U486" s="389"/>
      <c r="V486" s="389"/>
      <c r="W486" s="389"/>
      <c r="X486" s="389"/>
      <c r="Y486" s="389"/>
      <c r="Z486" s="389"/>
      <c r="AA486" s="389"/>
      <c r="AB486" s="389"/>
      <c r="AC486" s="389"/>
      <c r="AD486" s="389"/>
      <c r="AE486" s="389"/>
      <c r="AF486" s="389"/>
    </row>
    <row r="487" hidden="1">
      <c r="A487" s="389"/>
      <c r="B487" s="389"/>
      <c r="C487" s="389"/>
      <c r="D487" s="389"/>
      <c r="E487" s="389"/>
      <c r="F487" s="392"/>
      <c r="G487" s="392"/>
      <c r="H487" s="389"/>
      <c r="I487" s="389"/>
      <c r="J487" s="389"/>
      <c r="K487" s="389"/>
      <c r="L487" s="389"/>
      <c r="M487" s="389"/>
      <c r="N487" s="389"/>
      <c r="O487" s="389"/>
      <c r="P487" s="389"/>
      <c r="Q487" s="389"/>
      <c r="R487" s="389"/>
      <c r="S487" s="389"/>
      <c r="T487" s="389"/>
      <c r="U487" s="389"/>
      <c r="V487" s="389"/>
      <c r="W487" s="389"/>
      <c r="X487" s="389"/>
      <c r="Y487" s="389"/>
      <c r="Z487" s="389"/>
      <c r="AA487" s="389"/>
      <c r="AB487" s="389"/>
      <c r="AC487" s="389"/>
      <c r="AD487" s="389"/>
      <c r="AE487" s="389"/>
      <c r="AF487" s="389"/>
    </row>
    <row r="488" hidden="1">
      <c r="A488" s="389"/>
      <c r="B488" s="389"/>
      <c r="C488" s="389"/>
      <c r="D488" s="389"/>
      <c r="E488" s="389"/>
      <c r="F488" s="392"/>
      <c r="G488" s="392"/>
      <c r="H488" s="389"/>
      <c r="I488" s="389"/>
      <c r="J488" s="389"/>
      <c r="K488" s="389"/>
      <c r="L488" s="389"/>
      <c r="M488" s="389"/>
      <c r="N488" s="389"/>
      <c r="O488" s="389"/>
      <c r="P488" s="389"/>
      <c r="Q488" s="389"/>
      <c r="R488" s="389"/>
      <c r="S488" s="389"/>
      <c r="T488" s="389"/>
      <c r="U488" s="389"/>
      <c r="V488" s="389"/>
      <c r="W488" s="389"/>
      <c r="X488" s="389"/>
      <c r="Y488" s="389"/>
      <c r="Z488" s="389"/>
      <c r="AA488" s="389"/>
      <c r="AB488" s="389"/>
      <c r="AC488" s="389"/>
      <c r="AD488" s="389"/>
      <c r="AE488" s="389"/>
      <c r="AF488" s="389"/>
    </row>
    <row r="489" hidden="1">
      <c r="A489" s="389"/>
      <c r="B489" s="389"/>
      <c r="C489" s="389"/>
      <c r="D489" s="389"/>
      <c r="E489" s="389"/>
      <c r="F489" s="392"/>
      <c r="G489" s="392"/>
      <c r="H489" s="389"/>
      <c r="I489" s="389"/>
      <c r="J489" s="389"/>
      <c r="K489" s="389"/>
      <c r="L489" s="389"/>
      <c r="M489" s="389"/>
      <c r="N489" s="389"/>
      <c r="O489" s="389"/>
      <c r="P489" s="389"/>
      <c r="Q489" s="389"/>
      <c r="R489" s="389"/>
      <c r="S489" s="389"/>
      <c r="T489" s="389"/>
      <c r="U489" s="389"/>
      <c r="V489" s="389"/>
      <c r="W489" s="389"/>
      <c r="X489" s="389"/>
      <c r="Y489" s="389"/>
      <c r="Z489" s="389"/>
      <c r="AA489" s="389"/>
      <c r="AB489" s="389"/>
      <c r="AC489" s="389"/>
      <c r="AD489" s="389"/>
      <c r="AE489" s="389"/>
      <c r="AF489" s="389"/>
    </row>
    <row r="490" hidden="1">
      <c r="A490" s="389"/>
      <c r="B490" s="389"/>
      <c r="C490" s="389"/>
      <c r="D490" s="389"/>
      <c r="E490" s="389"/>
      <c r="F490" s="392"/>
      <c r="G490" s="392"/>
      <c r="H490" s="389"/>
      <c r="I490" s="389"/>
      <c r="J490" s="389"/>
      <c r="K490" s="389"/>
      <c r="L490" s="389"/>
      <c r="M490" s="389"/>
      <c r="N490" s="389"/>
      <c r="O490" s="389"/>
      <c r="P490" s="389"/>
      <c r="Q490" s="389"/>
      <c r="R490" s="389"/>
      <c r="S490" s="389"/>
      <c r="T490" s="389"/>
      <c r="U490" s="389"/>
      <c r="V490" s="389"/>
      <c r="W490" s="389"/>
      <c r="X490" s="389"/>
      <c r="Y490" s="389"/>
      <c r="Z490" s="389"/>
      <c r="AA490" s="389"/>
      <c r="AB490" s="389"/>
      <c r="AC490" s="389"/>
      <c r="AD490" s="389"/>
      <c r="AE490" s="389"/>
      <c r="AF490" s="389"/>
    </row>
    <row r="491" hidden="1">
      <c r="A491" s="389"/>
      <c r="B491" s="389"/>
      <c r="C491" s="389"/>
      <c r="D491" s="389"/>
      <c r="E491" s="389"/>
      <c r="F491" s="392"/>
      <c r="G491" s="392"/>
      <c r="H491" s="389"/>
      <c r="I491" s="389"/>
      <c r="J491" s="389"/>
      <c r="K491" s="389"/>
      <c r="L491" s="389"/>
      <c r="M491" s="389"/>
      <c r="N491" s="389"/>
      <c r="O491" s="389"/>
      <c r="P491" s="389"/>
      <c r="Q491" s="389"/>
      <c r="R491" s="389"/>
      <c r="S491" s="389"/>
      <c r="T491" s="389"/>
      <c r="U491" s="389"/>
      <c r="V491" s="389"/>
      <c r="W491" s="389"/>
      <c r="X491" s="389"/>
      <c r="Y491" s="389"/>
      <c r="Z491" s="389"/>
      <c r="AA491" s="389"/>
      <c r="AB491" s="389"/>
      <c r="AC491" s="389"/>
      <c r="AD491" s="389"/>
      <c r="AE491" s="389"/>
      <c r="AF491" s="389"/>
    </row>
    <row r="492" hidden="1">
      <c r="A492" s="389"/>
      <c r="B492" s="389"/>
      <c r="C492" s="389"/>
      <c r="D492" s="389"/>
      <c r="E492" s="389"/>
      <c r="F492" s="392"/>
      <c r="G492" s="392"/>
      <c r="H492" s="389"/>
      <c r="I492" s="389"/>
      <c r="J492" s="389"/>
      <c r="K492" s="389"/>
      <c r="L492" s="389"/>
      <c r="M492" s="389"/>
      <c r="N492" s="389"/>
      <c r="O492" s="389"/>
      <c r="P492" s="389"/>
      <c r="Q492" s="389"/>
      <c r="R492" s="389"/>
      <c r="S492" s="389"/>
      <c r="T492" s="389"/>
      <c r="U492" s="389"/>
      <c r="V492" s="389"/>
      <c r="W492" s="389"/>
      <c r="X492" s="389"/>
      <c r="Y492" s="389"/>
      <c r="Z492" s="389"/>
      <c r="AA492" s="389"/>
      <c r="AB492" s="389"/>
      <c r="AC492" s="389"/>
      <c r="AD492" s="389"/>
      <c r="AE492" s="389"/>
      <c r="AF492" s="389"/>
    </row>
    <row r="493" hidden="1">
      <c r="A493" s="389"/>
      <c r="B493" s="389"/>
      <c r="C493" s="389"/>
      <c r="D493" s="389"/>
      <c r="E493" s="389"/>
      <c r="F493" s="392"/>
      <c r="G493" s="392"/>
      <c r="H493" s="389"/>
      <c r="I493" s="389"/>
      <c r="J493" s="389"/>
      <c r="K493" s="389"/>
      <c r="L493" s="389"/>
      <c r="M493" s="389"/>
      <c r="N493" s="389"/>
      <c r="O493" s="389"/>
      <c r="P493" s="389"/>
      <c r="Q493" s="389"/>
      <c r="R493" s="389"/>
      <c r="S493" s="389"/>
      <c r="T493" s="389"/>
      <c r="U493" s="389"/>
      <c r="V493" s="389"/>
      <c r="W493" s="389"/>
      <c r="X493" s="389"/>
      <c r="Y493" s="389"/>
      <c r="Z493" s="389"/>
      <c r="AA493" s="389"/>
      <c r="AB493" s="389"/>
      <c r="AC493" s="389"/>
      <c r="AD493" s="389"/>
      <c r="AE493" s="389"/>
      <c r="AF493" s="389"/>
    </row>
    <row r="494" hidden="1">
      <c r="A494" s="389"/>
      <c r="B494" s="389"/>
      <c r="C494" s="389"/>
      <c r="D494" s="389"/>
      <c r="E494" s="389"/>
      <c r="F494" s="392"/>
      <c r="G494" s="392"/>
      <c r="H494" s="389"/>
      <c r="I494" s="389"/>
      <c r="J494" s="389"/>
      <c r="K494" s="389"/>
      <c r="L494" s="389"/>
      <c r="M494" s="389"/>
      <c r="N494" s="389"/>
      <c r="O494" s="389"/>
      <c r="P494" s="389"/>
      <c r="Q494" s="389"/>
      <c r="R494" s="389"/>
      <c r="S494" s="389"/>
      <c r="T494" s="389"/>
      <c r="U494" s="389"/>
      <c r="V494" s="389"/>
      <c r="W494" s="389"/>
      <c r="X494" s="389"/>
      <c r="Y494" s="389"/>
      <c r="Z494" s="389"/>
      <c r="AA494" s="389"/>
      <c r="AB494" s="389"/>
      <c r="AC494" s="389"/>
      <c r="AD494" s="389"/>
      <c r="AE494" s="389"/>
      <c r="AF494" s="389"/>
    </row>
    <row r="495" hidden="1">
      <c r="A495" s="389"/>
      <c r="B495" s="389"/>
      <c r="C495" s="389"/>
      <c r="D495" s="389"/>
      <c r="E495" s="389"/>
      <c r="F495" s="392"/>
      <c r="G495" s="392"/>
      <c r="H495" s="389"/>
      <c r="I495" s="389"/>
      <c r="J495" s="389"/>
      <c r="K495" s="389"/>
      <c r="L495" s="389"/>
      <c r="M495" s="389"/>
      <c r="N495" s="389"/>
      <c r="O495" s="389"/>
      <c r="P495" s="389"/>
      <c r="Q495" s="389"/>
      <c r="R495" s="389"/>
      <c r="S495" s="389"/>
      <c r="T495" s="389"/>
      <c r="U495" s="389"/>
      <c r="V495" s="389"/>
      <c r="W495" s="389"/>
      <c r="X495" s="389"/>
      <c r="Y495" s="389"/>
      <c r="Z495" s="389"/>
      <c r="AA495" s="389"/>
      <c r="AB495" s="389"/>
      <c r="AC495" s="389"/>
      <c r="AD495" s="389"/>
      <c r="AE495" s="389"/>
      <c r="AF495" s="389"/>
    </row>
    <row r="496" hidden="1">
      <c r="A496" s="389"/>
      <c r="B496" s="389"/>
      <c r="C496" s="389"/>
      <c r="D496" s="389"/>
      <c r="E496" s="389"/>
      <c r="F496" s="392"/>
      <c r="G496" s="392"/>
      <c r="H496" s="389"/>
      <c r="I496" s="389"/>
      <c r="J496" s="389"/>
      <c r="K496" s="389"/>
      <c r="L496" s="389"/>
      <c r="M496" s="389"/>
      <c r="N496" s="389"/>
      <c r="O496" s="389"/>
      <c r="P496" s="389"/>
      <c r="Q496" s="389"/>
      <c r="R496" s="389"/>
      <c r="S496" s="389"/>
      <c r="T496" s="389"/>
      <c r="U496" s="389"/>
      <c r="V496" s="389"/>
      <c r="W496" s="389"/>
      <c r="X496" s="389"/>
      <c r="Y496" s="389"/>
      <c r="Z496" s="389"/>
      <c r="AA496" s="389"/>
      <c r="AB496" s="389"/>
      <c r="AC496" s="389"/>
      <c r="AD496" s="389"/>
      <c r="AE496" s="389"/>
      <c r="AF496" s="389"/>
    </row>
    <row r="497" hidden="1">
      <c r="A497" s="389"/>
      <c r="B497" s="389"/>
      <c r="C497" s="389"/>
      <c r="D497" s="389"/>
      <c r="E497" s="389"/>
      <c r="F497" s="392"/>
      <c r="G497" s="392"/>
      <c r="H497" s="389"/>
      <c r="I497" s="389"/>
      <c r="J497" s="389"/>
      <c r="K497" s="389"/>
      <c r="L497" s="389"/>
      <c r="M497" s="389"/>
      <c r="N497" s="389"/>
      <c r="O497" s="389"/>
      <c r="P497" s="389"/>
      <c r="Q497" s="389"/>
      <c r="R497" s="389"/>
      <c r="S497" s="389"/>
      <c r="T497" s="389"/>
      <c r="U497" s="389"/>
      <c r="V497" s="389"/>
      <c r="W497" s="389"/>
      <c r="X497" s="389"/>
      <c r="Y497" s="389"/>
      <c r="Z497" s="389"/>
      <c r="AA497" s="389"/>
      <c r="AB497" s="389"/>
      <c r="AC497" s="389"/>
      <c r="AD497" s="389"/>
      <c r="AE497" s="389"/>
      <c r="AF497" s="389"/>
    </row>
    <row r="498" hidden="1">
      <c r="A498" s="389"/>
      <c r="B498" s="389"/>
      <c r="C498" s="389"/>
      <c r="D498" s="389"/>
      <c r="E498" s="389"/>
      <c r="F498" s="392"/>
      <c r="G498" s="392"/>
      <c r="H498" s="389"/>
      <c r="I498" s="389"/>
      <c r="J498" s="389"/>
      <c r="K498" s="389"/>
      <c r="L498" s="389"/>
      <c r="M498" s="389"/>
      <c r="N498" s="389"/>
      <c r="O498" s="389"/>
      <c r="P498" s="389"/>
      <c r="Q498" s="389"/>
      <c r="R498" s="389"/>
      <c r="S498" s="389"/>
      <c r="T498" s="389"/>
      <c r="U498" s="389"/>
      <c r="V498" s="389"/>
      <c r="W498" s="389"/>
      <c r="X498" s="389"/>
      <c r="Y498" s="389"/>
      <c r="Z498" s="389"/>
      <c r="AA498" s="389"/>
      <c r="AB498" s="389"/>
      <c r="AC498" s="389"/>
      <c r="AD498" s="389"/>
      <c r="AE498" s="389"/>
      <c r="AF498" s="389"/>
    </row>
    <row r="499" hidden="1">
      <c r="A499" s="389"/>
      <c r="B499" s="389"/>
      <c r="C499" s="389"/>
      <c r="D499" s="389"/>
      <c r="E499" s="389"/>
      <c r="F499" s="392"/>
      <c r="G499" s="392"/>
      <c r="H499" s="389"/>
      <c r="I499" s="389"/>
      <c r="J499" s="389"/>
      <c r="K499" s="389"/>
      <c r="L499" s="389"/>
      <c r="M499" s="389"/>
      <c r="N499" s="389"/>
      <c r="O499" s="389"/>
      <c r="P499" s="389"/>
      <c r="Q499" s="389"/>
      <c r="R499" s="389"/>
      <c r="S499" s="389"/>
      <c r="T499" s="389"/>
      <c r="U499" s="389"/>
      <c r="V499" s="389"/>
      <c r="W499" s="389"/>
      <c r="X499" s="389"/>
      <c r="Y499" s="389"/>
      <c r="Z499" s="389"/>
      <c r="AA499" s="389"/>
      <c r="AB499" s="389"/>
      <c r="AC499" s="389"/>
      <c r="AD499" s="389"/>
      <c r="AE499" s="389"/>
      <c r="AF499" s="389"/>
    </row>
    <row r="500" hidden="1">
      <c r="A500" s="389"/>
      <c r="B500" s="389"/>
      <c r="C500" s="389"/>
      <c r="D500" s="389"/>
      <c r="E500" s="389"/>
      <c r="F500" s="392"/>
      <c r="G500" s="392"/>
      <c r="H500" s="389"/>
      <c r="I500" s="389"/>
      <c r="J500" s="389"/>
      <c r="K500" s="389"/>
      <c r="L500" s="389"/>
      <c r="M500" s="389"/>
      <c r="N500" s="389"/>
      <c r="O500" s="389"/>
      <c r="P500" s="389"/>
      <c r="Q500" s="389"/>
      <c r="R500" s="389"/>
      <c r="S500" s="389"/>
      <c r="T500" s="389"/>
      <c r="U500" s="389"/>
      <c r="V500" s="389"/>
      <c r="W500" s="389"/>
      <c r="X500" s="389"/>
      <c r="Y500" s="389"/>
      <c r="Z500" s="389"/>
      <c r="AA500" s="389"/>
      <c r="AB500" s="389"/>
      <c r="AC500" s="389"/>
      <c r="AD500" s="389"/>
      <c r="AE500" s="389"/>
      <c r="AF500" s="389"/>
    </row>
    <row r="501" hidden="1">
      <c r="A501" s="389"/>
      <c r="B501" s="389"/>
      <c r="C501" s="389"/>
      <c r="D501" s="389"/>
      <c r="E501" s="389"/>
      <c r="F501" s="392"/>
      <c r="G501" s="392"/>
      <c r="H501" s="389"/>
      <c r="I501" s="389"/>
      <c r="J501" s="389"/>
      <c r="K501" s="389"/>
      <c r="L501" s="389"/>
      <c r="M501" s="389"/>
      <c r="N501" s="389"/>
      <c r="O501" s="389"/>
      <c r="P501" s="389"/>
      <c r="Q501" s="389"/>
      <c r="R501" s="389"/>
      <c r="S501" s="389"/>
      <c r="T501" s="389"/>
      <c r="U501" s="389"/>
      <c r="V501" s="389"/>
      <c r="W501" s="389"/>
      <c r="X501" s="389"/>
      <c r="Y501" s="389"/>
      <c r="Z501" s="389"/>
      <c r="AA501" s="389"/>
      <c r="AB501" s="389"/>
      <c r="AC501" s="389"/>
      <c r="AD501" s="389"/>
      <c r="AE501" s="389"/>
      <c r="AF501" s="389"/>
    </row>
    <row r="502" hidden="1">
      <c r="A502" s="389"/>
      <c r="B502" s="389"/>
      <c r="C502" s="389"/>
      <c r="D502" s="389"/>
      <c r="E502" s="389"/>
      <c r="F502" s="392"/>
      <c r="G502" s="392"/>
      <c r="H502" s="389"/>
      <c r="I502" s="389"/>
      <c r="J502" s="389"/>
      <c r="K502" s="389"/>
      <c r="L502" s="389"/>
      <c r="M502" s="389"/>
      <c r="N502" s="389"/>
      <c r="O502" s="389"/>
      <c r="P502" s="389"/>
      <c r="Q502" s="389"/>
      <c r="R502" s="389"/>
      <c r="S502" s="389"/>
      <c r="T502" s="389"/>
      <c r="U502" s="389"/>
      <c r="V502" s="389"/>
      <c r="W502" s="389"/>
      <c r="X502" s="389"/>
      <c r="Y502" s="389"/>
      <c r="Z502" s="389"/>
      <c r="AA502" s="389"/>
      <c r="AB502" s="389"/>
      <c r="AC502" s="389"/>
      <c r="AD502" s="389"/>
      <c r="AE502" s="389"/>
      <c r="AF502" s="389"/>
    </row>
    <row r="503" hidden="1">
      <c r="A503" s="389"/>
      <c r="B503" s="389"/>
      <c r="C503" s="389"/>
      <c r="D503" s="389"/>
      <c r="E503" s="389"/>
      <c r="F503" s="392"/>
      <c r="G503" s="392"/>
      <c r="H503" s="389"/>
      <c r="I503" s="389"/>
      <c r="J503" s="389"/>
      <c r="K503" s="389"/>
      <c r="L503" s="389"/>
      <c r="M503" s="389"/>
      <c r="N503" s="389"/>
      <c r="O503" s="389"/>
      <c r="P503" s="389"/>
      <c r="Q503" s="389"/>
      <c r="R503" s="389"/>
      <c r="S503" s="389"/>
      <c r="T503" s="389"/>
      <c r="U503" s="389"/>
      <c r="V503" s="389"/>
      <c r="W503" s="389"/>
      <c r="X503" s="389"/>
      <c r="Y503" s="389"/>
      <c r="Z503" s="389"/>
      <c r="AA503" s="389"/>
      <c r="AB503" s="389"/>
      <c r="AC503" s="389"/>
      <c r="AD503" s="389"/>
      <c r="AE503" s="389"/>
      <c r="AF503" s="389"/>
    </row>
    <row r="504" hidden="1">
      <c r="A504" s="389"/>
      <c r="B504" s="389"/>
      <c r="C504" s="389"/>
      <c r="D504" s="389"/>
      <c r="E504" s="389"/>
      <c r="F504" s="392"/>
      <c r="G504" s="392"/>
      <c r="H504" s="389"/>
      <c r="I504" s="389"/>
      <c r="J504" s="389"/>
      <c r="K504" s="389"/>
      <c r="L504" s="389"/>
      <c r="M504" s="389"/>
      <c r="N504" s="389"/>
      <c r="O504" s="389"/>
      <c r="P504" s="389"/>
      <c r="Q504" s="389"/>
      <c r="R504" s="389"/>
      <c r="S504" s="389"/>
      <c r="T504" s="389"/>
      <c r="U504" s="389"/>
      <c r="V504" s="389"/>
      <c r="W504" s="389"/>
      <c r="X504" s="389"/>
      <c r="Y504" s="389"/>
      <c r="Z504" s="389"/>
      <c r="AA504" s="389"/>
      <c r="AB504" s="389"/>
      <c r="AC504" s="389"/>
      <c r="AD504" s="389"/>
      <c r="AE504" s="389"/>
      <c r="AF504" s="389"/>
    </row>
    <row r="505" hidden="1">
      <c r="A505" s="389"/>
      <c r="B505" s="389"/>
      <c r="C505" s="389"/>
      <c r="D505" s="389"/>
      <c r="E505" s="389"/>
      <c r="F505" s="392"/>
      <c r="G505" s="392"/>
      <c r="H505" s="389"/>
      <c r="I505" s="389"/>
      <c r="J505" s="389"/>
      <c r="K505" s="389"/>
      <c r="L505" s="389"/>
      <c r="M505" s="389"/>
      <c r="N505" s="389"/>
      <c r="O505" s="389"/>
      <c r="P505" s="389"/>
      <c r="Q505" s="389"/>
      <c r="R505" s="389"/>
      <c r="S505" s="389"/>
      <c r="T505" s="389"/>
      <c r="U505" s="389"/>
      <c r="V505" s="389"/>
      <c r="W505" s="389"/>
      <c r="X505" s="389"/>
      <c r="Y505" s="389"/>
      <c r="Z505" s="389"/>
      <c r="AA505" s="389"/>
      <c r="AB505" s="389"/>
      <c r="AC505" s="389"/>
      <c r="AD505" s="389"/>
      <c r="AE505" s="389"/>
      <c r="AF505" s="389"/>
    </row>
    <row r="506" hidden="1">
      <c r="A506" s="389"/>
      <c r="B506" s="389"/>
      <c r="C506" s="389"/>
      <c r="D506" s="389"/>
      <c r="E506" s="389"/>
      <c r="F506" s="392"/>
      <c r="G506" s="392"/>
      <c r="H506" s="389"/>
      <c r="I506" s="389"/>
      <c r="J506" s="389"/>
      <c r="K506" s="389"/>
      <c r="L506" s="389"/>
      <c r="M506" s="389"/>
      <c r="N506" s="389"/>
      <c r="O506" s="389"/>
      <c r="P506" s="389"/>
      <c r="Q506" s="389"/>
      <c r="R506" s="389"/>
      <c r="S506" s="389"/>
      <c r="T506" s="389"/>
      <c r="U506" s="389"/>
      <c r="V506" s="389"/>
      <c r="W506" s="389"/>
      <c r="X506" s="389"/>
      <c r="Y506" s="389"/>
      <c r="Z506" s="389"/>
      <c r="AA506" s="389"/>
      <c r="AB506" s="389"/>
      <c r="AC506" s="389"/>
      <c r="AD506" s="389"/>
      <c r="AE506" s="389"/>
      <c r="AF506" s="389"/>
    </row>
    <row r="507" hidden="1">
      <c r="A507" s="389"/>
      <c r="B507" s="389"/>
      <c r="C507" s="389"/>
      <c r="D507" s="389"/>
      <c r="E507" s="389"/>
      <c r="F507" s="392"/>
      <c r="G507" s="392"/>
      <c r="H507" s="389"/>
      <c r="I507" s="389"/>
      <c r="J507" s="389"/>
      <c r="K507" s="389"/>
      <c r="L507" s="389"/>
      <c r="M507" s="389"/>
      <c r="N507" s="389"/>
      <c r="O507" s="389"/>
      <c r="P507" s="389"/>
      <c r="Q507" s="389"/>
      <c r="R507" s="389"/>
      <c r="S507" s="389"/>
      <c r="T507" s="389"/>
      <c r="U507" s="389"/>
      <c r="V507" s="389"/>
      <c r="W507" s="389"/>
      <c r="X507" s="389"/>
      <c r="Y507" s="389"/>
      <c r="Z507" s="389"/>
      <c r="AA507" s="389"/>
      <c r="AB507" s="389"/>
      <c r="AC507" s="389"/>
      <c r="AD507" s="389"/>
      <c r="AE507" s="389"/>
      <c r="AF507" s="389"/>
    </row>
    <row r="508" hidden="1">
      <c r="A508" s="389"/>
      <c r="B508" s="389"/>
      <c r="C508" s="389"/>
      <c r="D508" s="389"/>
      <c r="E508" s="389"/>
      <c r="F508" s="392"/>
      <c r="G508" s="392"/>
      <c r="H508" s="389"/>
      <c r="I508" s="389"/>
      <c r="J508" s="389"/>
      <c r="K508" s="389"/>
      <c r="L508" s="389"/>
      <c r="M508" s="389"/>
      <c r="N508" s="389"/>
      <c r="O508" s="389"/>
      <c r="P508" s="389"/>
      <c r="Q508" s="389"/>
      <c r="R508" s="389"/>
      <c r="S508" s="389"/>
      <c r="T508" s="389"/>
      <c r="U508" s="389"/>
      <c r="V508" s="389"/>
      <c r="W508" s="389"/>
      <c r="X508" s="389"/>
      <c r="Y508" s="389"/>
      <c r="Z508" s="389"/>
      <c r="AA508" s="389"/>
      <c r="AB508" s="389"/>
      <c r="AC508" s="389"/>
      <c r="AD508" s="389"/>
      <c r="AE508" s="389"/>
      <c r="AF508" s="389"/>
    </row>
    <row r="509" hidden="1">
      <c r="A509" s="389"/>
      <c r="B509" s="389"/>
      <c r="C509" s="389"/>
      <c r="D509" s="389"/>
      <c r="E509" s="389"/>
      <c r="F509" s="392"/>
      <c r="G509" s="392"/>
      <c r="H509" s="389"/>
      <c r="I509" s="389"/>
      <c r="J509" s="389"/>
      <c r="K509" s="389"/>
      <c r="L509" s="389"/>
      <c r="M509" s="389"/>
      <c r="N509" s="389"/>
      <c r="O509" s="389"/>
      <c r="P509" s="389"/>
      <c r="Q509" s="389"/>
      <c r="R509" s="389"/>
      <c r="S509" s="389"/>
      <c r="T509" s="389"/>
      <c r="U509" s="389"/>
      <c r="V509" s="389"/>
      <c r="W509" s="389"/>
      <c r="X509" s="389"/>
      <c r="Y509" s="389"/>
      <c r="Z509" s="389"/>
      <c r="AA509" s="389"/>
      <c r="AB509" s="389"/>
      <c r="AC509" s="389"/>
      <c r="AD509" s="389"/>
      <c r="AE509" s="389"/>
      <c r="AF509" s="389"/>
    </row>
    <row r="510" hidden="1">
      <c r="A510" s="389"/>
      <c r="B510" s="389"/>
      <c r="C510" s="389"/>
      <c r="D510" s="389"/>
      <c r="E510" s="389"/>
      <c r="F510" s="392"/>
      <c r="G510" s="392"/>
      <c r="H510" s="389"/>
      <c r="I510" s="389"/>
      <c r="J510" s="389"/>
      <c r="K510" s="389"/>
      <c r="L510" s="389"/>
      <c r="M510" s="389"/>
      <c r="N510" s="389"/>
      <c r="O510" s="389"/>
      <c r="P510" s="389"/>
      <c r="Q510" s="389"/>
      <c r="R510" s="389"/>
      <c r="S510" s="389"/>
      <c r="T510" s="389"/>
      <c r="U510" s="389"/>
      <c r="V510" s="389"/>
      <c r="W510" s="389"/>
      <c r="X510" s="389"/>
      <c r="Y510" s="389"/>
      <c r="Z510" s="389"/>
      <c r="AA510" s="389"/>
      <c r="AB510" s="389"/>
      <c r="AC510" s="389"/>
      <c r="AD510" s="389"/>
      <c r="AE510" s="389"/>
      <c r="AF510" s="389"/>
    </row>
    <row r="511" hidden="1">
      <c r="A511" s="389"/>
      <c r="B511" s="389"/>
      <c r="C511" s="389"/>
      <c r="D511" s="389"/>
      <c r="E511" s="389"/>
      <c r="F511" s="392"/>
      <c r="G511" s="392"/>
      <c r="H511" s="389"/>
      <c r="I511" s="389"/>
      <c r="J511" s="389"/>
      <c r="K511" s="389"/>
      <c r="L511" s="389"/>
      <c r="M511" s="389"/>
      <c r="N511" s="389"/>
      <c r="O511" s="389"/>
      <c r="P511" s="389"/>
      <c r="Q511" s="389"/>
      <c r="R511" s="389"/>
      <c r="S511" s="389"/>
      <c r="T511" s="389"/>
      <c r="U511" s="389"/>
      <c r="V511" s="389"/>
      <c r="W511" s="389"/>
      <c r="X511" s="389"/>
      <c r="Y511" s="389"/>
      <c r="Z511" s="389"/>
      <c r="AA511" s="389"/>
      <c r="AB511" s="389"/>
      <c r="AC511" s="389"/>
      <c r="AD511" s="389"/>
      <c r="AE511" s="389"/>
      <c r="AF511" s="389"/>
    </row>
    <row r="512" hidden="1">
      <c r="A512" s="389"/>
      <c r="B512" s="389"/>
      <c r="C512" s="389"/>
      <c r="D512" s="389"/>
      <c r="E512" s="389"/>
      <c r="F512" s="392"/>
      <c r="G512" s="392"/>
      <c r="H512" s="389"/>
      <c r="I512" s="389"/>
      <c r="J512" s="389"/>
      <c r="K512" s="389"/>
      <c r="L512" s="389"/>
      <c r="M512" s="389"/>
      <c r="N512" s="389"/>
      <c r="O512" s="389"/>
      <c r="P512" s="389"/>
      <c r="Q512" s="389"/>
      <c r="R512" s="389"/>
      <c r="S512" s="389"/>
      <c r="T512" s="389"/>
      <c r="U512" s="389"/>
      <c r="V512" s="389"/>
      <c r="W512" s="389"/>
      <c r="X512" s="389"/>
      <c r="Y512" s="389"/>
      <c r="Z512" s="389"/>
      <c r="AA512" s="389"/>
      <c r="AB512" s="389"/>
      <c r="AC512" s="389"/>
      <c r="AD512" s="389"/>
      <c r="AE512" s="389"/>
      <c r="AF512" s="389"/>
    </row>
    <row r="513" hidden="1">
      <c r="A513" s="389"/>
      <c r="B513" s="389"/>
      <c r="C513" s="389"/>
      <c r="D513" s="389"/>
      <c r="E513" s="389"/>
      <c r="F513" s="392"/>
      <c r="G513" s="392"/>
      <c r="H513" s="389"/>
      <c r="I513" s="389"/>
      <c r="J513" s="389"/>
      <c r="K513" s="389"/>
      <c r="L513" s="389"/>
      <c r="M513" s="389"/>
      <c r="N513" s="389"/>
      <c r="O513" s="389"/>
      <c r="P513" s="389"/>
      <c r="Q513" s="389"/>
      <c r="R513" s="389"/>
      <c r="S513" s="389"/>
      <c r="T513" s="389"/>
      <c r="U513" s="389"/>
      <c r="V513" s="389"/>
      <c r="W513" s="389"/>
      <c r="X513" s="389"/>
      <c r="Y513" s="389"/>
      <c r="Z513" s="389"/>
      <c r="AA513" s="389"/>
      <c r="AB513" s="389"/>
      <c r="AC513" s="389"/>
      <c r="AD513" s="389"/>
      <c r="AE513" s="389"/>
      <c r="AF513" s="389"/>
    </row>
    <row r="514" hidden="1">
      <c r="A514" s="389"/>
      <c r="B514" s="389"/>
      <c r="C514" s="389"/>
      <c r="D514" s="389"/>
      <c r="E514" s="389"/>
      <c r="F514" s="392"/>
      <c r="G514" s="392"/>
      <c r="H514" s="389"/>
      <c r="I514" s="389"/>
      <c r="J514" s="389"/>
      <c r="K514" s="389"/>
      <c r="L514" s="389"/>
      <c r="M514" s="389"/>
      <c r="N514" s="389"/>
      <c r="O514" s="389"/>
      <c r="P514" s="389"/>
      <c r="Q514" s="389"/>
      <c r="R514" s="389"/>
      <c r="S514" s="389"/>
      <c r="T514" s="389"/>
      <c r="U514" s="389"/>
      <c r="V514" s="389"/>
      <c r="W514" s="389"/>
      <c r="X514" s="389"/>
      <c r="Y514" s="389"/>
      <c r="Z514" s="389"/>
      <c r="AA514" s="389"/>
      <c r="AB514" s="389"/>
      <c r="AC514" s="389"/>
      <c r="AD514" s="389"/>
      <c r="AE514" s="389"/>
      <c r="AF514" s="389"/>
    </row>
    <row r="515" hidden="1">
      <c r="A515" s="389"/>
      <c r="B515" s="389"/>
      <c r="C515" s="389"/>
      <c r="D515" s="389"/>
      <c r="E515" s="389"/>
      <c r="F515" s="392"/>
      <c r="G515" s="392"/>
      <c r="H515" s="389"/>
      <c r="I515" s="389"/>
      <c r="J515" s="389"/>
      <c r="K515" s="389"/>
      <c r="L515" s="389"/>
      <c r="M515" s="389"/>
      <c r="N515" s="389"/>
      <c r="O515" s="389"/>
      <c r="P515" s="389"/>
      <c r="Q515" s="389"/>
      <c r="R515" s="389"/>
      <c r="S515" s="389"/>
      <c r="T515" s="389"/>
      <c r="U515" s="389"/>
      <c r="V515" s="389"/>
      <c r="W515" s="389"/>
      <c r="X515" s="389"/>
      <c r="Y515" s="389"/>
      <c r="Z515" s="389"/>
      <c r="AA515" s="389"/>
      <c r="AB515" s="389"/>
      <c r="AC515" s="389"/>
      <c r="AD515" s="389"/>
      <c r="AE515" s="389"/>
      <c r="AF515" s="389"/>
    </row>
    <row r="516" hidden="1">
      <c r="A516" s="389"/>
      <c r="B516" s="389"/>
      <c r="C516" s="389"/>
      <c r="D516" s="389"/>
      <c r="E516" s="389"/>
      <c r="F516" s="392"/>
      <c r="G516" s="392"/>
      <c r="H516" s="389"/>
      <c r="I516" s="389"/>
      <c r="J516" s="389"/>
      <c r="K516" s="389"/>
      <c r="L516" s="389"/>
      <c r="M516" s="389"/>
      <c r="N516" s="389"/>
      <c r="O516" s="389"/>
      <c r="P516" s="389"/>
      <c r="Q516" s="389"/>
      <c r="R516" s="389"/>
      <c r="S516" s="389"/>
      <c r="T516" s="389"/>
      <c r="U516" s="389"/>
      <c r="V516" s="389"/>
      <c r="W516" s="389"/>
      <c r="X516" s="389"/>
      <c r="Y516" s="389"/>
      <c r="Z516" s="389"/>
      <c r="AA516" s="389"/>
      <c r="AB516" s="389"/>
      <c r="AC516" s="389"/>
      <c r="AD516" s="389"/>
      <c r="AE516" s="389"/>
      <c r="AF516" s="389"/>
    </row>
    <row r="517" hidden="1">
      <c r="A517" s="389"/>
      <c r="B517" s="389"/>
      <c r="C517" s="389"/>
      <c r="D517" s="389"/>
      <c r="E517" s="389"/>
      <c r="F517" s="392"/>
      <c r="G517" s="392"/>
      <c r="H517" s="389"/>
      <c r="I517" s="389"/>
      <c r="J517" s="389"/>
      <c r="K517" s="389"/>
      <c r="L517" s="389"/>
      <c r="M517" s="389"/>
      <c r="N517" s="389"/>
      <c r="O517" s="389"/>
      <c r="P517" s="389"/>
      <c r="Q517" s="389"/>
      <c r="R517" s="389"/>
      <c r="S517" s="389"/>
      <c r="T517" s="389"/>
      <c r="U517" s="389"/>
      <c r="V517" s="389"/>
      <c r="W517" s="389"/>
      <c r="X517" s="389"/>
      <c r="Y517" s="389"/>
      <c r="Z517" s="389"/>
      <c r="AA517" s="389"/>
      <c r="AB517" s="389"/>
      <c r="AC517" s="389"/>
      <c r="AD517" s="389"/>
      <c r="AE517" s="389"/>
      <c r="AF517" s="389"/>
    </row>
    <row r="518" hidden="1">
      <c r="A518" s="389"/>
      <c r="B518" s="389"/>
      <c r="C518" s="389"/>
      <c r="D518" s="389"/>
      <c r="E518" s="389"/>
      <c r="F518" s="392"/>
      <c r="G518" s="392"/>
      <c r="H518" s="389"/>
      <c r="I518" s="389"/>
      <c r="J518" s="389"/>
      <c r="K518" s="389"/>
      <c r="L518" s="389"/>
      <c r="M518" s="389"/>
      <c r="N518" s="389"/>
      <c r="O518" s="389"/>
      <c r="P518" s="389"/>
      <c r="Q518" s="389"/>
      <c r="R518" s="389"/>
      <c r="S518" s="389"/>
      <c r="T518" s="389"/>
      <c r="U518" s="389"/>
      <c r="V518" s="389"/>
      <c r="W518" s="389"/>
      <c r="X518" s="389"/>
      <c r="Y518" s="389"/>
      <c r="Z518" s="389"/>
      <c r="AA518" s="389"/>
      <c r="AB518" s="389"/>
      <c r="AC518" s="389"/>
      <c r="AD518" s="389"/>
      <c r="AE518" s="389"/>
      <c r="AF518" s="389"/>
    </row>
    <row r="519" hidden="1">
      <c r="A519" s="389"/>
      <c r="B519" s="389"/>
      <c r="C519" s="389"/>
      <c r="D519" s="389"/>
      <c r="E519" s="389"/>
      <c r="F519" s="392"/>
      <c r="G519" s="392"/>
      <c r="H519" s="389"/>
      <c r="I519" s="389"/>
      <c r="J519" s="389"/>
      <c r="K519" s="389"/>
      <c r="L519" s="389"/>
      <c r="M519" s="389"/>
      <c r="N519" s="389"/>
      <c r="O519" s="389"/>
      <c r="P519" s="389"/>
      <c r="Q519" s="389"/>
      <c r="R519" s="389"/>
      <c r="S519" s="389"/>
      <c r="T519" s="389"/>
      <c r="U519" s="389"/>
      <c r="V519" s="389"/>
      <c r="W519" s="389"/>
      <c r="X519" s="389"/>
      <c r="Y519" s="389"/>
      <c r="Z519" s="389"/>
      <c r="AA519" s="389"/>
      <c r="AB519" s="389"/>
      <c r="AC519" s="389"/>
      <c r="AD519" s="389"/>
      <c r="AE519" s="389"/>
      <c r="AF519" s="389"/>
    </row>
    <row r="520" hidden="1">
      <c r="A520" s="389"/>
      <c r="B520" s="389"/>
      <c r="C520" s="389"/>
      <c r="D520" s="389"/>
      <c r="E520" s="389"/>
      <c r="F520" s="392"/>
      <c r="G520" s="392"/>
      <c r="H520" s="389"/>
      <c r="I520" s="389"/>
      <c r="J520" s="389"/>
      <c r="K520" s="389"/>
      <c r="L520" s="389"/>
      <c r="M520" s="389"/>
      <c r="N520" s="389"/>
      <c r="O520" s="389"/>
      <c r="P520" s="389"/>
      <c r="Q520" s="389"/>
      <c r="R520" s="389"/>
      <c r="S520" s="389"/>
      <c r="T520" s="389"/>
      <c r="U520" s="389"/>
      <c r="V520" s="389"/>
      <c r="W520" s="389"/>
      <c r="X520" s="389"/>
      <c r="Y520" s="389"/>
      <c r="Z520" s="389"/>
      <c r="AA520" s="389"/>
      <c r="AB520" s="389"/>
      <c r="AC520" s="389"/>
      <c r="AD520" s="389"/>
      <c r="AE520" s="389"/>
      <c r="AF520" s="389"/>
    </row>
    <row r="521" hidden="1">
      <c r="A521" s="389"/>
      <c r="B521" s="389"/>
      <c r="C521" s="389"/>
      <c r="D521" s="389"/>
      <c r="E521" s="389"/>
      <c r="F521" s="392"/>
      <c r="G521" s="392"/>
      <c r="H521" s="389"/>
      <c r="I521" s="389"/>
      <c r="J521" s="389"/>
      <c r="K521" s="389"/>
      <c r="L521" s="389"/>
      <c r="M521" s="389"/>
      <c r="N521" s="389"/>
      <c r="O521" s="389"/>
      <c r="P521" s="389"/>
      <c r="Q521" s="389"/>
      <c r="R521" s="389"/>
      <c r="S521" s="389"/>
      <c r="T521" s="389"/>
      <c r="U521" s="389"/>
      <c r="V521" s="389"/>
      <c r="W521" s="389"/>
      <c r="X521" s="389"/>
      <c r="Y521" s="389"/>
      <c r="Z521" s="389"/>
      <c r="AA521" s="389"/>
      <c r="AB521" s="389"/>
      <c r="AC521" s="389"/>
      <c r="AD521" s="389"/>
      <c r="AE521" s="389"/>
      <c r="AF521" s="389"/>
    </row>
    <row r="522" hidden="1">
      <c r="A522" s="389"/>
      <c r="B522" s="389"/>
      <c r="C522" s="389"/>
      <c r="D522" s="389"/>
      <c r="E522" s="389"/>
      <c r="F522" s="392"/>
      <c r="G522" s="392"/>
      <c r="H522" s="389"/>
      <c r="I522" s="389"/>
      <c r="J522" s="389"/>
      <c r="K522" s="389"/>
      <c r="L522" s="389"/>
      <c r="M522" s="389"/>
      <c r="N522" s="389"/>
      <c r="O522" s="389"/>
      <c r="P522" s="389"/>
      <c r="Q522" s="389"/>
      <c r="R522" s="389"/>
      <c r="S522" s="389"/>
      <c r="T522" s="389"/>
      <c r="U522" s="389"/>
      <c r="V522" s="389"/>
      <c r="W522" s="389"/>
      <c r="X522" s="389"/>
      <c r="Y522" s="389"/>
      <c r="Z522" s="389"/>
      <c r="AA522" s="389"/>
      <c r="AB522" s="389"/>
      <c r="AC522" s="389"/>
      <c r="AD522" s="389"/>
      <c r="AE522" s="389"/>
      <c r="AF522" s="389"/>
    </row>
    <row r="523" hidden="1">
      <c r="A523" s="389"/>
      <c r="B523" s="389"/>
      <c r="C523" s="389"/>
      <c r="D523" s="389"/>
      <c r="E523" s="389"/>
      <c r="F523" s="392"/>
      <c r="G523" s="392"/>
      <c r="H523" s="389"/>
      <c r="I523" s="389"/>
      <c r="J523" s="389"/>
      <c r="K523" s="389"/>
      <c r="L523" s="389"/>
      <c r="M523" s="389"/>
      <c r="N523" s="389"/>
      <c r="O523" s="389"/>
      <c r="P523" s="389"/>
      <c r="Q523" s="389"/>
      <c r="R523" s="389"/>
      <c r="S523" s="389"/>
      <c r="T523" s="389"/>
      <c r="U523" s="389"/>
      <c r="V523" s="389"/>
      <c r="W523" s="389"/>
      <c r="X523" s="389"/>
      <c r="Y523" s="389"/>
      <c r="Z523" s="389"/>
      <c r="AA523" s="389"/>
      <c r="AB523" s="389"/>
      <c r="AC523" s="389"/>
      <c r="AD523" s="389"/>
      <c r="AE523" s="389"/>
      <c r="AF523" s="389"/>
    </row>
    <row r="524" hidden="1">
      <c r="A524" s="389"/>
      <c r="B524" s="389"/>
      <c r="C524" s="389"/>
      <c r="D524" s="389"/>
      <c r="E524" s="389"/>
      <c r="F524" s="392"/>
      <c r="G524" s="392"/>
      <c r="H524" s="389"/>
      <c r="I524" s="389"/>
      <c r="J524" s="389"/>
      <c r="K524" s="389"/>
      <c r="L524" s="389"/>
      <c r="M524" s="389"/>
      <c r="N524" s="389"/>
      <c r="O524" s="389"/>
      <c r="P524" s="389"/>
      <c r="Q524" s="389"/>
      <c r="R524" s="389"/>
      <c r="S524" s="389"/>
      <c r="T524" s="389"/>
      <c r="U524" s="389"/>
      <c r="V524" s="389"/>
      <c r="W524" s="389"/>
      <c r="X524" s="389"/>
      <c r="Y524" s="389"/>
      <c r="Z524" s="389"/>
      <c r="AA524" s="389"/>
      <c r="AB524" s="389"/>
      <c r="AC524" s="389"/>
      <c r="AD524" s="389"/>
      <c r="AE524" s="389"/>
      <c r="AF524" s="389"/>
    </row>
    <row r="525" hidden="1">
      <c r="A525" s="389"/>
      <c r="B525" s="389"/>
      <c r="C525" s="389"/>
      <c r="D525" s="389"/>
      <c r="E525" s="389"/>
      <c r="F525" s="392"/>
      <c r="G525" s="392"/>
      <c r="H525" s="389"/>
      <c r="I525" s="389"/>
      <c r="J525" s="389"/>
      <c r="K525" s="389"/>
      <c r="L525" s="389"/>
      <c r="M525" s="389"/>
      <c r="N525" s="389"/>
      <c r="O525" s="389"/>
      <c r="P525" s="389"/>
      <c r="Q525" s="389"/>
      <c r="R525" s="389"/>
      <c r="S525" s="389"/>
      <c r="T525" s="389"/>
      <c r="U525" s="389"/>
      <c r="V525" s="389"/>
      <c r="W525" s="389"/>
      <c r="X525" s="389"/>
      <c r="Y525" s="389"/>
      <c r="Z525" s="389"/>
      <c r="AA525" s="389"/>
      <c r="AB525" s="389"/>
      <c r="AC525" s="389"/>
      <c r="AD525" s="389"/>
      <c r="AE525" s="389"/>
      <c r="AF525" s="389"/>
    </row>
    <row r="526" hidden="1">
      <c r="A526" s="389"/>
      <c r="B526" s="389"/>
      <c r="C526" s="389"/>
      <c r="D526" s="389"/>
      <c r="E526" s="389"/>
      <c r="F526" s="392"/>
      <c r="G526" s="392"/>
      <c r="H526" s="389"/>
      <c r="I526" s="389"/>
      <c r="J526" s="389"/>
      <c r="K526" s="389"/>
      <c r="L526" s="389"/>
      <c r="M526" s="389"/>
      <c r="N526" s="389"/>
      <c r="O526" s="389"/>
      <c r="P526" s="389"/>
      <c r="Q526" s="389"/>
      <c r="R526" s="389"/>
      <c r="S526" s="389"/>
      <c r="T526" s="389"/>
      <c r="U526" s="389"/>
      <c r="V526" s="389"/>
      <c r="W526" s="389"/>
      <c r="X526" s="389"/>
      <c r="Y526" s="389"/>
      <c r="Z526" s="389"/>
      <c r="AA526" s="389"/>
      <c r="AB526" s="389"/>
      <c r="AC526" s="389"/>
      <c r="AD526" s="389"/>
      <c r="AE526" s="389"/>
      <c r="AF526" s="389"/>
    </row>
    <row r="527" hidden="1">
      <c r="A527" s="389"/>
      <c r="B527" s="389"/>
      <c r="C527" s="389"/>
      <c r="D527" s="389"/>
      <c r="E527" s="389"/>
      <c r="F527" s="392"/>
      <c r="G527" s="392"/>
      <c r="H527" s="389"/>
      <c r="I527" s="389"/>
      <c r="J527" s="389"/>
      <c r="K527" s="389"/>
      <c r="L527" s="389"/>
      <c r="M527" s="389"/>
      <c r="N527" s="389"/>
      <c r="O527" s="389"/>
      <c r="P527" s="389"/>
      <c r="Q527" s="389"/>
      <c r="R527" s="389"/>
      <c r="S527" s="389"/>
      <c r="T527" s="389"/>
      <c r="U527" s="389"/>
      <c r="V527" s="389"/>
      <c r="W527" s="389"/>
      <c r="X527" s="389"/>
      <c r="Y527" s="389"/>
      <c r="Z527" s="389"/>
      <c r="AA527" s="389"/>
      <c r="AB527" s="389"/>
      <c r="AC527" s="389"/>
      <c r="AD527" s="389"/>
      <c r="AE527" s="389"/>
      <c r="AF527" s="389"/>
    </row>
    <row r="528" hidden="1">
      <c r="A528" s="389"/>
      <c r="B528" s="389"/>
      <c r="C528" s="389"/>
      <c r="D528" s="389"/>
      <c r="E528" s="389"/>
      <c r="F528" s="392"/>
      <c r="G528" s="392"/>
      <c r="H528" s="389"/>
      <c r="I528" s="389"/>
      <c r="J528" s="389"/>
      <c r="K528" s="389"/>
      <c r="L528" s="389"/>
      <c r="M528" s="389"/>
      <c r="N528" s="389"/>
      <c r="O528" s="389"/>
      <c r="P528" s="389"/>
      <c r="Q528" s="389"/>
      <c r="R528" s="389"/>
      <c r="S528" s="389"/>
      <c r="T528" s="389"/>
      <c r="U528" s="389"/>
      <c r="V528" s="389"/>
      <c r="W528" s="389"/>
      <c r="X528" s="389"/>
      <c r="Y528" s="389"/>
      <c r="Z528" s="389"/>
      <c r="AA528" s="389"/>
      <c r="AB528" s="389"/>
      <c r="AC528" s="389"/>
      <c r="AD528" s="389"/>
      <c r="AE528" s="389"/>
      <c r="AF528" s="389"/>
    </row>
    <row r="529" hidden="1">
      <c r="A529" s="389"/>
      <c r="B529" s="389"/>
      <c r="C529" s="389"/>
      <c r="D529" s="389"/>
      <c r="E529" s="389"/>
      <c r="F529" s="392"/>
      <c r="G529" s="392"/>
      <c r="H529" s="389"/>
      <c r="I529" s="389"/>
      <c r="J529" s="389"/>
      <c r="K529" s="389"/>
      <c r="L529" s="389"/>
      <c r="M529" s="389"/>
      <c r="N529" s="389"/>
      <c r="O529" s="389"/>
      <c r="P529" s="389"/>
      <c r="Q529" s="389"/>
      <c r="R529" s="389"/>
      <c r="S529" s="389"/>
      <c r="T529" s="389"/>
      <c r="U529" s="389"/>
      <c r="V529" s="389"/>
      <c r="W529" s="389"/>
      <c r="X529" s="389"/>
      <c r="Y529" s="389"/>
      <c r="Z529" s="389"/>
      <c r="AA529" s="389"/>
      <c r="AB529" s="389"/>
      <c r="AC529" s="389"/>
      <c r="AD529" s="389"/>
      <c r="AE529" s="389"/>
      <c r="AF529" s="389"/>
    </row>
    <row r="530" hidden="1">
      <c r="A530" s="389"/>
      <c r="B530" s="389"/>
      <c r="C530" s="389"/>
      <c r="D530" s="389"/>
      <c r="E530" s="389"/>
      <c r="F530" s="392"/>
      <c r="G530" s="392"/>
      <c r="H530" s="389"/>
      <c r="I530" s="389"/>
      <c r="J530" s="389"/>
      <c r="K530" s="389"/>
      <c r="L530" s="389"/>
      <c r="M530" s="389"/>
      <c r="N530" s="389"/>
      <c r="O530" s="389"/>
      <c r="P530" s="389"/>
      <c r="Q530" s="389"/>
      <c r="R530" s="389"/>
      <c r="S530" s="389"/>
      <c r="T530" s="389"/>
      <c r="U530" s="389"/>
      <c r="V530" s="389"/>
      <c r="W530" s="389"/>
      <c r="X530" s="389"/>
      <c r="Y530" s="389"/>
      <c r="Z530" s="389"/>
      <c r="AA530" s="389"/>
      <c r="AB530" s="389"/>
      <c r="AC530" s="389"/>
      <c r="AD530" s="389"/>
      <c r="AE530" s="389"/>
      <c r="AF530" s="389"/>
    </row>
    <row r="531" hidden="1">
      <c r="A531" s="389"/>
      <c r="B531" s="389"/>
      <c r="C531" s="389"/>
      <c r="D531" s="389"/>
      <c r="E531" s="389"/>
      <c r="F531" s="392"/>
      <c r="G531" s="392"/>
      <c r="H531" s="389"/>
      <c r="I531" s="389"/>
      <c r="J531" s="389"/>
      <c r="K531" s="389"/>
      <c r="L531" s="389"/>
      <c r="M531" s="389"/>
      <c r="N531" s="389"/>
      <c r="O531" s="389"/>
      <c r="P531" s="389"/>
      <c r="Q531" s="389"/>
      <c r="R531" s="389"/>
      <c r="S531" s="389"/>
      <c r="T531" s="389"/>
      <c r="U531" s="389"/>
      <c r="V531" s="389"/>
      <c r="W531" s="389"/>
      <c r="X531" s="389"/>
      <c r="Y531" s="389"/>
      <c r="Z531" s="389"/>
      <c r="AA531" s="389"/>
      <c r="AB531" s="389"/>
      <c r="AC531" s="389"/>
      <c r="AD531" s="389"/>
      <c r="AE531" s="389"/>
      <c r="AF531" s="389"/>
    </row>
    <row r="532" hidden="1">
      <c r="A532" s="389"/>
      <c r="B532" s="389"/>
      <c r="C532" s="389"/>
      <c r="D532" s="389"/>
      <c r="E532" s="389"/>
      <c r="F532" s="392"/>
      <c r="G532" s="392"/>
      <c r="H532" s="389"/>
      <c r="I532" s="389"/>
      <c r="J532" s="389"/>
      <c r="K532" s="389"/>
      <c r="L532" s="389"/>
      <c r="M532" s="389"/>
      <c r="N532" s="389"/>
      <c r="O532" s="389"/>
      <c r="P532" s="389"/>
      <c r="Q532" s="389"/>
      <c r="R532" s="389"/>
      <c r="S532" s="389"/>
      <c r="T532" s="389"/>
      <c r="U532" s="389"/>
      <c r="V532" s="389"/>
      <c r="W532" s="389"/>
      <c r="X532" s="389"/>
      <c r="Y532" s="389"/>
      <c r="Z532" s="389"/>
      <c r="AA532" s="389"/>
      <c r="AB532" s="389"/>
      <c r="AC532" s="389"/>
      <c r="AD532" s="389"/>
      <c r="AE532" s="389"/>
      <c r="AF532" s="389"/>
    </row>
    <row r="533" hidden="1">
      <c r="A533" s="389"/>
      <c r="B533" s="389"/>
      <c r="C533" s="389"/>
      <c r="D533" s="389"/>
      <c r="E533" s="389"/>
      <c r="F533" s="392"/>
      <c r="G533" s="392"/>
      <c r="H533" s="389"/>
      <c r="I533" s="389"/>
      <c r="J533" s="389"/>
      <c r="K533" s="389"/>
      <c r="L533" s="389"/>
      <c r="M533" s="389"/>
      <c r="N533" s="389"/>
      <c r="O533" s="389"/>
      <c r="P533" s="389"/>
      <c r="Q533" s="389"/>
      <c r="R533" s="389"/>
      <c r="S533" s="389"/>
      <c r="T533" s="389"/>
      <c r="U533" s="389"/>
      <c r="V533" s="389"/>
      <c r="W533" s="389"/>
      <c r="X533" s="389"/>
      <c r="Y533" s="389"/>
      <c r="Z533" s="389"/>
      <c r="AA533" s="389"/>
      <c r="AB533" s="389"/>
      <c r="AC533" s="389"/>
      <c r="AD533" s="389"/>
      <c r="AE533" s="389"/>
      <c r="AF533" s="389"/>
    </row>
    <row r="534" hidden="1">
      <c r="A534" s="389"/>
      <c r="B534" s="389"/>
      <c r="C534" s="389"/>
      <c r="D534" s="389"/>
      <c r="E534" s="389"/>
      <c r="F534" s="392"/>
      <c r="G534" s="392"/>
      <c r="H534" s="389"/>
      <c r="I534" s="389"/>
      <c r="J534" s="389"/>
      <c r="K534" s="389"/>
      <c r="L534" s="389"/>
      <c r="M534" s="389"/>
      <c r="N534" s="389"/>
      <c r="O534" s="389"/>
      <c r="P534" s="389"/>
      <c r="Q534" s="389"/>
      <c r="R534" s="389"/>
      <c r="S534" s="389"/>
      <c r="T534" s="389"/>
      <c r="U534" s="389"/>
      <c r="V534" s="389"/>
      <c r="W534" s="389"/>
      <c r="X534" s="389"/>
      <c r="Y534" s="389"/>
      <c r="Z534" s="389"/>
      <c r="AA534" s="389"/>
      <c r="AB534" s="389"/>
      <c r="AC534" s="389"/>
      <c r="AD534" s="389"/>
      <c r="AE534" s="389"/>
      <c r="AF534" s="389"/>
    </row>
    <row r="535" hidden="1">
      <c r="A535" s="389"/>
      <c r="B535" s="389"/>
      <c r="C535" s="389"/>
      <c r="D535" s="389"/>
      <c r="E535" s="389"/>
      <c r="F535" s="392"/>
      <c r="G535" s="392"/>
      <c r="H535" s="389"/>
      <c r="I535" s="389"/>
      <c r="J535" s="389"/>
      <c r="K535" s="389"/>
      <c r="L535" s="389"/>
      <c r="M535" s="389"/>
      <c r="N535" s="389"/>
      <c r="O535" s="389"/>
      <c r="P535" s="389"/>
      <c r="Q535" s="389"/>
      <c r="R535" s="389"/>
      <c r="S535" s="389"/>
      <c r="T535" s="389"/>
      <c r="U535" s="389"/>
      <c r="V535" s="389"/>
      <c r="W535" s="389"/>
      <c r="X535" s="389"/>
      <c r="Y535" s="389"/>
      <c r="Z535" s="389"/>
      <c r="AA535" s="389"/>
      <c r="AB535" s="389"/>
      <c r="AC535" s="389"/>
      <c r="AD535" s="389"/>
      <c r="AE535" s="389"/>
      <c r="AF535" s="389"/>
    </row>
    <row r="536" hidden="1">
      <c r="A536" s="389"/>
      <c r="B536" s="389"/>
      <c r="C536" s="389"/>
      <c r="D536" s="389"/>
      <c r="E536" s="389"/>
      <c r="F536" s="392"/>
      <c r="G536" s="392"/>
      <c r="H536" s="389"/>
      <c r="I536" s="389"/>
      <c r="J536" s="389"/>
      <c r="K536" s="389"/>
      <c r="L536" s="389"/>
      <c r="M536" s="389"/>
      <c r="N536" s="389"/>
      <c r="O536" s="389"/>
      <c r="P536" s="389"/>
      <c r="Q536" s="389"/>
      <c r="R536" s="389"/>
      <c r="S536" s="389"/>
      <c r="T536" s="389"/>
      <c r="U536" s="389"/>
      <c r="V536" s="389"/>
      <c r="W536" s="389"/>
      <c r="X536" s="389"/>
      <c r="Y536" s="389"/>
      <c r="Z536" s="389"/>
      <c r="AA536" s="389"/>
      <c r="AB536" s="389"/>
      <c r="AC536" s="389"/>
      <c r="AD536" s="389"/>
      <c r="AE536" s="389"/>
      <c r="AF536" s="389"/>
    </row>
    <row r="537" hidden="1">
      <c r="A537" s="389"/>
      <c r="B537" s="389"/>
      <c r="C537" s="389"/>
      <c r="D537" s="389"/>
      <c r="E537" s="389"/>
      <c r="F537" s="392"/>
      <c r="G537" s="392"/>
      <c r="H537" s="389"/>
      <c r="I537" s="389"/>
      <c r="J537" s="389"/>
      <c r="K537" s="389"/>
      <c r="L537" s="389"/>
      <c r="M537" s="389"/>
      <c r="N537" s="389"/>
      <c r="O537" s="389"/>
      <c r="P537" s="389"/>
      <c r="Q537" s="389"/>
      <c r="R537" s="389"/>
      <c r="S537" s="389"/>
      <c r="T537" s="389"/>
      <c r="U537" s="389"/>
      <c r="V537" s="389"/>
      <c r="W537" s="389"/>
      <c r="X537" s="389"/>
      <c r="Y537" s="389"/>
      <c r="Z537" s="389"/>
      <c r="AA537" s="389"/>
      <c r="AB537" s="389"/>
      <c r="AC537" s="389"/>
      <c r="AD537" s="389"/>
      <c r="AE537" s="389"/>
      <c r="AF537" s="389"/>
    </row>
    <row r="538" hidden="1">
      <c r="A538" s="389"/>
      <c r="B538" s="389"/>
      <c r="C538" s="389"/>
      <c r="D538" s="389"/>
      <c r="E538" s="389"/>
      <c r="F538" s="392"/>
      <c r="G538" s="392"/>
      <c r="H538" s="389"/>
      <c r="I538" s="389"/>
      <c r="J538" s="389"/>
      <c r="K538" s="389"/>
      <c r="L538" s="389"/>
      <c r="M538" s="389"/>
      <c r="N538" s="389"/>
      <c r="O538" s="389"/>
      <c r="P538" s="389"/>
      <c r="Q538" s="389"/>
      <c r="R538" s="389"/>
      <c r="S538" s="389"/>
      <c r="T538" s="389"/>
      <c r="U538" s="389"/>
      <c r="V538" s="389"/>
      <c r="W538" s="389"/>
      <c r="X538" s="389"/>
      <c r="Y538" s="389"/>
      <c r="Z538" s="389"/>
      <c r="AA538" s="389"/>
      <c r="AB538" s="389"/>
      <c r="AC538" s="389"/>
      <c r="AD538" s="389"/>
      <c r="AE538" s="389"/>
      <c r="AF538" s="389"/>
    </row>
    <row r="539" hidden="1">
      <c r="A539" s="389"/>
      <c r="B539" s="389"/>
      <c r="C539" s="389"/>
      <c r="D539" s="389"/>
      <c r="E539" s="389"/>
      <c r="F539" s="392"/>
      <c r="G539" s="392"/>
      <c r="H539" s="389"/>
      <c r="I539" s="389"/>
      <c r="J539" s="389"/>
      <c r="K539" s="389"/>
      <c r="L539" s="389"/>
      <c r="M539" s="389"/>
      <c r="N539" s="389"/>
      <c r="O539" s="389"/>
      <c r="P539" s="389"/>
      <c r="Q539" s="389"/>
      <c r="R539" s="389"/>
      <c r="S539" s="389"/>
      <c r="T539" s="389"/>
      <c r="U539" s="389"/>
      <c r="V539" s="389"/>
      <c r="W539" s="389"/>
      <c r="X539" s="389"/>
      <c r="Y539" s="389"/>
      <c r="Z539" s="389"/>
      <c r="AA539" s="389"/>
      <c r="AB539" s="389"/>
      <c r="AC539" s="389"/>
      <c r="AD539" s="389"/>
      <c r="AE539" s="389"/>
      <c r="AF539" s="389"/>
    </row>
    <row r="540" hidden="1">
      <c r="A540" s="389"/>
      <c r="B540" s="389"/>
      <c r="C540" s="389"/>
      <c r="D540" s="389"/>
      <c r="E540" s="389"/>
      <c r="F540" s="392"/>
      <c r="G540" s="392"/>
      <c r="H540" s="389"/>
      <c r="I540" s="389"/>
      <c r="J540" s="389"/>
      <c r="K540" s="389"/>
      <c r="L540" s="389"/>
      <c r="M540" s="389"/>
      <c r="N540" s="389"/>
      <c r="O540" s="389"/>
      <c r="P540" s="389"/>
      <c r="Q540" s="389"/>
      <c r="R540" s="389"/>
      <c r="S540" s="389"/>
      <c r="T540" s="389"/>
      <c r="U540" s="389"/>
      <c r="V540" s="389"/>
      <c r="W540" s="389"/>
      <c r="X540" s="389"/>
      <c r="Y540" s="389"/>
      <c r="Z540" s="389"/>
      <c r="AA540" s="389"/>
      <c r="AB540" s="389"/>
      <c r="AC540" s="389"/>
      <c r="AD540" s="389"/>
      <c r="AE540" s="389"/>
      <c r="AF540" s="389"/>
    </row>
    <row r="541" hidden="1">
      <c r="A541" s="389"/>
      <c r="B541" s="389"/>
      <c r="C541" s="389"/>
      <c r="D541" s="389"/>
      <c r="E541" s="389"/>
      <c r="F541" s="392"/>
      <c r="G541" s="392"/>
      <c r="H541" s="389"/>
      <c r="I541" s="389"/>
      <c r="J541" s="389"/>
      <c r="K541" s="389"/>
      <c r="L541" s="389"/>
      <c r="M541" s="389"/>
      <c r="N541" s="389"/>
      <c r="O541" s="389"/>
      <c r="P541" s="389"/>
      <c r="Q541" s="389"/>
      <c r="R541" s="389"/>
      <c r="S541" s="389"/>
      <c r="T541" s="389"/>
      <c r="U541" s="389"/>
      <c r="V541" s="389"/>
      <c r="W541" s="389"/>
      <c r="X541" s="389"/>
      <c r="Y541" s="389"/>
      <c r="Z541" s="389"/>
      <c r="AA541" s="389"/>
      <c r="AB541" s="389"/>
      <c r="AC541" s="389"/>
      <c r="AD541" s="389"/>
      <c r="AE541" s="389"/>
      <c r="AF541" s="389"/>
    </row>
    <row r="542" hidden="1">
      <c r="A542" s="389"/>
      <c r="B542" s="389"/>
      <c r="C542" s="389"/>
      <c r="D542" s="389"/>
      <c r="E542" s="389"/>
      <c r="F542" s="392"/>
      <c r="G542" s="392"/>
      <c r="H542" s="389"/>
      <c r="I542" s="389"/>
      <c r="J542" s="389"/>
      <c r="K542" s="389"/>
      <c r="L542" s="389"/>
      <c r="M542" s="389"/>
      <c r="N542" s="389"/>
      <c r="O542" s="389"/>
      <c r="P542" s="389"/>
      <c r="Q542" s="389"/>
      <c r="R542" s="389"/>
      <c r="S542" s="389"/>
      <c r="T542" s="389"/>
      <c r="U542" s="389"/>
      <c r="V542" s="389"/>
      <c r="W542" s="389"/>
      <c r="X542" s="389"/>
      <c r="Y542" s="389"/>
      <c r="Z542" s="389"/>
      <c r="AA542" s="389"/>
      <c r="AB542" s="389"/>
      <c r="AC542" s="389"/>
      <c r="AD542" s="389"/>
      <c r="AE542" s="389"/>
      <c r="AF542" s="389"/>
    </row>
    <row r="543" hidden="1">
      <c r="A543" s="389"/>
      <c r="B543" s="389"/>
      <c r="C543" s="389"/>
      <c r="D543" s="389"/>
      <c r="E543" s="389"/>
      <c r="F543" s="392"/>
      <c r="G543" s="392"/>
      <c r="H543" s="389"/>
      <c r="I543" s="389"/>
      <c r="J543" s="389"/>
      <c r="K543" s="389"/>
      <c r="L543" s="389"/>
      <c r="M543" s="389"/>
      <c r="N543" s="389"/>
      <c r="O543" s="389"/>
      <c r="P543" s="389"/>
      <c r="Q543" s="389"/>
      <c r="R543" s="389"/>
      <c r="S543" s="389"/>
      <c r="T543" s="389"/>
      <c r="U543" s="389"/>
      <c r="V543" s="389"/>
      <c r="W543" s="389"/>
      <c r="X543" s="389"/>
      <c r="Y543" s="389"/>
      <c r="Z543" s="389"/>
      <c r="AA543" s="389"/>
      <c r="AB543" s="389"/>
      <c r="AC543" s="389"/>
      <c r="AD543" s="389"/>
      <c r="AE543" s="389"/>
      <c r="AF543" s="389"/>
    </row>
    <row r="544" hidden="1">
      <c r="A544" s="389"/>
      <c r="B544" s="389"/>
      <c r="C544" s="389"/>
      <c r="D544" s="389"/>
      <c r="E544" s="389"/>
      <c r="F544" s="392"/>
      <c r="G544" s="392"/>
      <c r="H544" s="389"/>
      <c r="I544" s="389"/>
      <c r="J544" s="389"/>
      <c r="K544" s="389"/>
      <c r="L544" s="389"/>
      <c r="M544" s="389"/>
      <c r="N544" s="389"/>
      <c r="O544" s="389"/>
      <c r="P544" s="389"/>
      <c r="Q544" s="389"/>
      <c r="R544" s="389"/>
      <c r="S544" s="389"/>
      <c r="T544" s="389"/>
      <c r="U544" s="389"/>
      <c r="V544" s="389"/>
      <c r="W544" s="389"/>
      <c r="X544" s="389"/>
      <c r="Y544" s="389"/>
      <c r="Z544" s="389"/>
      <c r="AA544" s="389"/>
      <c r="AB544" s="389"/>
      <c r="AC544" s="389"/>
      <c r="AD544" s="389"/>
      <c r="AE544" s="389"/>
      <c r="AF544" s="389"/>
    </row>
    <row r="545" hidden="1">
      <c r="A545" s="389"/>
      <c r="B545" s="389"/>
      <c r="C545" s="389"/>
      <c r="D545" s="389"/>
      <c r="E545" s="389"/>
      <c r="F545" s="392"/>
      <c r="G545" s="392"/>
      <c r="H545" s="389"/>
      <c r="I545" s="389"/>
      <c r="J545" s="389"/>
      <c r="K545" s="389"/>
      <c r="L545" s="389"/>
      <c r="M545" s="389"/>
      <c r="N545" s="389"/>
      <c r="O545" s="389"/>
      <c r="P545" s="389"/>
      <c r="Q545" s="389"/>
      <c r="R545" s="389"/>
      <c r="S545" s="389"/>
      <c r="T545" s="389"/>
      <c r="U545" s="389"/>
      <c r="V545" s="389"/>
      <c r="W545" s="389"/>
      <c r="X545" s="389"/>
      <c r="Y545" s="389"/>
      <c r="Z545" s="389"/>
      <c r="AA545" s="389"/>
      <c r="AB545" s="389"/>
      <c r="AC545" s="389"/>
      <c r="AD545" s="389"/>
      <c r="AE545" s="389"/>
      <c r="AF545" s="389"/>
    </row>
    <row r="546" hidden="1">
      <c r="A546" s="389"/>
      <c r="B546" s="389"/>
      <c r="C546" s="389"/>
      <c r="D546" s="389"/>
      <c r="E546" s="389"/>
      <c r="F546" s="392"/>
      <c r="G546" s="392"/>
      <c r="H546" s="389"/>
      <c r="I546" s="389"/>
      <c r="J546" s="389"/>
      <c r="K546" s="389"/>
      <c r="L546" s="389"/>
      <c r="M546" s="389"/>
      <c r="N546" s="389"/>
      <c r="O546" s="389"/>
      <c r="P546" s="389"/>
      <c r="Q546" s="389"/>
      <c r="R546" s="389"/>
      <c r="S546" s="389"/>
      <c r="T546" s="389"/>
      <c r="U546" s="389"/>
      <c r="V546" s="389"/>
      <c r="W546" s="389"/>
      <c r="X546" s="389"/>
      <c r="Y546" s="389"/>
      <c r="Z546" s="389"/>
      <c r="AA546" s="389"/>
      <c r="AB546" s="389"/>
      <c r="AC546" s="389"/>
      <c r="AD546" s="389"/>
      <c r="AE546" s="389"/>
      <c r="AF546" s="389"/>
    </row>
    <row r="547" hidden="1">
      <c r="A547" s="389"/>
      <c r="B547" s="389"/>
      <c r="C547" s="389"/>
      <c r="D547" s="389"/>
      <c r="E547" s="389"/>
      <c r="F547" s="392"/>
      <c r="G547" s="392"/>
      <c r="H547" s="389"/>
      <c r="I547" s="389"/>
      <c r="J547" s="389"/>
      <c r="K547" s="389"/>
      <c r="L547" s="389"/>
      <c r="M547" s="389"/>
      <c r="N547" s="389"/>
      <c r="O547" s="389"/>
      <c r="P547" s="389"/>
      <c r="Q547" s="389"/>
      <c r="R547" s="389"/>
      <c r="S547" s="389"/>
      <c r="T547" s="389"/>
      <c r="U547" s="389"/>
      <c r="V547" s="389"/>
      <c r="W547" s="389"/>
      <c r="X547" s="389"/>
      <c r="Y547" s="389"/>
      <c r="Z547" s="389"/>
      <c r="AA547" s="389"/>
      <c r="AB547" s="389"/>
      <c r="AC547" s="389"/>
      <c r="AD547" s="389"/>
      <c r="AE547" s="389"/>
      <c r="AF547" s="389"/>
    </row>
    <row r="548" hidden="1">
      <c r="A548" s="389"/>
      <c r="B548" s="389"/>
      <c r="C548" s="389"/>
      <c r="D548" s="389"/>
      <c r="E548" s="389"/>
      <c r="F548" s="392"/>
      <c r="G548" s="392"/>
      <c r="H548" s="389"/>
      <c r="I548" s="389"/>
      <c r="J548" s="389"/>
      <c r="K548" s="389"/>
      <c r="L548" s="389"/>
      <c r="M548" s="389"/>
      <c r="N548" s="389"/>
      <c r="O548" s="389"/>
      <c r="P548" s="389"/>
      <c r="Q548" s="389"/>
      <c r="R548" s="389"/>
      <c r="S548" s="389"/>
      <c r="T548" s="389"/>
      <c r="U548" s="389"/>
      <c r="V548" s="389"/>
      <c r="W548" s="389"/>
      <c r="X548" s="389"/>
      <c r="Y548" s="389"/>
      <c r="Z548" s="389"/>
      <c r="AA548" s="389"/>
      <c r="AB548" s="389"/>
      <c r="AC548" s="389"/>
      <c r="AD548" s="389"/>
      <c r="AE548" s="389"/>
      <c r="AF548" s="389"/>
    </row>
    <row r="549" hidden="1">
      <c r="A549" s="389"/>
      <c r="B549" s="389"/>
      <c r="C549" s="389"/>
      <c r="D549" s="389"/>
      <c r="E549" s="389"/>
      <c r="F549" s="392"/>
      <c r="G549" s="392"/>
      <c r="H549" s="389"/>
      <c r="I549" s="389"/>
      <c r="J549" s="389"/>
      <c r="K549" s="389"/>
      <c r="L549" s="389"/>
      <c r="M549" s="389"/>
      <c r="N549" s="389"/>
      <c r="O549" s="389"/>
      <c r="P549" s="389"/>
      <c r="Q549" s="389"/>
      <c r="R549" s="389"/>
      <c r="S549" s="389"/>
      <c r="T549" s="389"/>
      <c r="U549" s="389"/>
      <c r="V549" s="389"/>
      <c r="W549" s="389"/>
      <c r="X549" s="389"/>
      <c r="Y549" s="389"/>
      <c r="Z549" s="389"/>
      <c r="AA549" s="389"/>
      <c r="AB549" s="389"/>
      <c r="AC549" s="389"/>
      <c r="AD549" s="389"/>
      <c r="AE549" s="389"/>
      <c r="AF549" s="389"/>
    </row>
    <row r="550" hidden="1">
      <c r="A550" s="389"/>
      <c r="B550" s="389"/>
      <c r="C550" s="389"/>
      <c r="D550" s="389"/>
      <c r="E550" s="389"/>
      <c r="F550" s="392"/>
      <c r="G550" s="392"/>
      <c r="H550" s="389"/>
      <c r="I550" s="389"/>
      <c r="J550" s="389"/>
      <c r="K550" s="389"/>
      <c r="L550" s="389"/>
      <c r="M550" s="389"/>
      <c r="N550" s="389"/>
      <c r="O550" s="389"/>
      <c r="P550" s="389"/>
      <c r="Q550" s="389"/>
      <c r="R550" s="389"/>
      <c r="S550" s="389"/>
      <c r="T550" s="389"/>
      <c r="U550" s="389"/>
      <c r="V550" s="389"/>
      <c r="W550" s="389"/>
      <c r="X550" s="389"/>
      <c r="Y550" s="389"/>
      <c r="Z550" s="389"/>
      <c r="AA550" s="389"/>
      <c r="AB550" s="389"/>
      <c r="AC550" s="389"/>
      <c r="AD550" s="389"/>
      <c r="AE550" s="389"/>
      <c r="AF550" s="389"/>
    </row>
    <row r="551" hidden="1">
      <c r="A551" s="389"/>
      <c r="B551" s="389"/>
      <c r="C551" s="389"/>
      <c r="D551" s="389"/>
      <c r="E551" s="389"/>
      <c r="F551" s="392"/>
      <c r="G551" s="392"/>
      <c r="H551" s="389"/>
      <c r="I551" s="389"/>
      <c r="J551" s="389"/>
      <c r="K551" s="389"/>
      <c r="L551" s="389"/>
      <c r="M551" s="389"/>
      <c r="N551" s="389"/>
      <c r="O551" s="389"/>
      <c r="P551" s="389"/>
      <c r="Q551" s="389"/>
      <c r="R551" s="389"/>
      <c r="S551" s="389"/>
      <c r="T551" s="389"/>
      <c r="U551" s="389"/>
      <c r="V551" s="389"/>
      <c r="W551" s="389"/>
      <c r="X551" s="389"/>
      <c r="Y551" s="389"/>
      <c r="Z551" s="389"/>
      <c r="AA551" s="389"/>
      <c r="AB551" s="389"/>
      <c r="AC551" s="389"/>
      <c r="AD551" s="389"/>
      <c r="AE551" s="389"/>
      <c r="AF551" s="389"/>
    </row>
    <row r="552" hidden="1">
      <c r="A552" s="389"/>
      <c r="B552" s="389"/>
      <c r="C552" s="389"/>
      <c r="D552" s="389"/>
      <c r="E552" s="389"/>
      <c r="F552" s="392"/>
      <c r="G552" s="392"/>
      <c r="H552" s="389"/>
      <c r="I552" s="389"/>
      <c r="J552" s="389"/>
      <c r="K552" s="389"/>
      <c r="L552" s="389"/>
      <c r="M552" s="389"/>
      <c r="N552" s="389"/>
      <c r="O552" s="389"/>
      <c r="P552" s="389"/>
      <c r="Q552" s="389"/>
      <c r="R552" s="389"/>
      <c r="S552" s="389"/>
      <c r="T552" s="389"/>
      <c r="U552" s="389"/>
      <c r="V552" s="389"/>
      <c r="W552" s="389"/>
      <c r="X552" s="389"/>
      <c r="Y552" s="389"/>
      <c r="Z552" s="389"/>
      <c r="AA552" s="389"/>
      <c r="AB552" s="389"/>
      <c r="AC552" s="389"/>
      <c r="AD552" s="389"/>
      <c r="AE552" s="389"/>
      <c r="AF552" s="389"/>
    </row>
    <row r="553" hidden="1">
      <c r="A553" s="389"/>
      <c r="B553" s="389"/>
      <c r="C553" s="389"/>
      <c r="D553" s="389"/>
      <c r="E553" s="389"/>
      <c r="F553" s="392"/>
      <c r="G553" s="392"/>
      <c r="H553" s="389"/>
      <c r="I553" s="389"/>
      <c r="J553" s="389"/>
      <c r="K553" s="389"/>
      <c r="L553" s="389"/>
      <c r="M553" s="389"/>
      <c r="N553" s="389"/>
      <c r="O553" s="389"/>
      <c r="P553" s="389"/>
      <c r="Q553" s="389"/>
      <c r="R553" s="389"/>
      <c r="S553" s="389"/>
      <c r="T553" s="389"/>
      <c r="U553" s="389"/>
      <c r="V553" s="389"/>
      <c r="W553" s="389"/>
      <c r="X553" s="389"/>
      <c r="Y553" s="389"/>
      <c r="Z553" s="389"/>
      <c r="AA553" s="389"/>
      <c r="AB553" s="389"/>
      <c r="AC553" s="389"/>
      <c r="AD553" s="389"/>
      <c r="AE553" s="389"/>
      <c r="AF553" s="389"/>
    </row>
    <row r="554" hidden="1">
      <c r="A554" s="389"/>
      <c r="B554" s="389"/>
      <c r="C554" s="389"/>
      <c r="D554" s="389"/>
      <c r="E554" s="389"/>
      <c r="F554" s="392"/>
      <c r="G554" s="392"/>
      <c r="H554" s="389"/>
      <c r="I554" s="389"/>
      <c r="J554" s="389"/>
      <c r="K554" s="389"/>
      <c r="L554" s="389"/>
      <c r="M554" s="389"/>
      <c r="N554" s="389"/>
      <c r="O554" s="389"/>
      <c r="P554" s="389"/>
      <c r="Q554" s="389"/>
      <c r="R554" s="389"/>
      <c r="S554" s="389"/>
      <c r="T554" s="389"/>
      <c r="U554" s="389"/>
      <c r="V554" s="389"/>
      <c r="W554" s="389"/>
      <c r="X554" s="389"/>
      <c r="Y554" s="389"/>
      <c r="Z554" s="389"/>
      <c r="AA554" s="389"/>
      <c r="AB554" s="389"/>
      <c r="AC554" s="389"/>
      <c r="AD554" s="389"/>
      <c r="AE554" s="389"/>
      <c r="AF554" s="389"/>
    </row>
    <row r="555" hidden="1">
      <c r="A555" s="389"/>
      <c r="B555" s="389"/>
      <c r="C555" s="389"/>
      <c r="D555" s="389"/>
      <c r="E555" s="389"/>
      <c r="F555" s="392"/>
      <c r="G555" s="392"/>
      <c r="H555" s="389"/>
      <c r="I555" s="389"/>
      <c r="J555" s="389"/>
      <c r="K555" s="389"/>
      <c r="L555" s="389"/>
      <c r="M555" s="389"/>
      <c r="N555" s="389"/>
      <c r="O555" s="389"/>
      <c r="P555" s="389"/>
      <c r="Q555" s="389"/>
      <c r="R555" s="389"/>
      <c r="S555" s="389"/>
      <c r="T555" s="389"/>
      <c r="U555" s="389"/>
      <c r="V555" s="389"/>
      <c r="W555" s="389"/>
      <c r="X555" s="389"/>
      <c r="Y555" s="389"/>
      <c r="Z555" s="389"/>
      <c r="AA555" s="389"/>
      <c r="AB555" s="389"/>
      <c r="AC555" s="389"/>
      <c r="AD555" s="389"/>
      <c r="AE555" s="389"/>
      <c r="AF555" s="389"/>
    </row>
    <row r="556" hidden="1">
      <c r="A556" s="389"/>
      <c r="B556" s="389"/>
      <c r="C556" s="389"/>
      <c r="D556" s="389"/>
      <c r="E556" s="389"/>
      <c r="F556" s="392"/>
      <c r="G556" s="392"/>
      <c r="H556" s="389"/>
      <c r="I556" s="389"/>
      <c r="J556" s="389"/>
      <c r="K556" s="389"/>
      <c r="L556" s="389"/>
      <c r="M556" s="389"/>
      <c r="N556" s="389"/>
      <c r="O556" s="389"/>
      <c r="P556" s="389"/>
      <c r="Q556" s="389"/>
      <c r="R556" s="389"/>
      <c r="S556" s="389"/>
      <c r="T556" s="389"/>
      <c r="U556" s="389"/>
      <c r="V556" s="389"/>
      <c r="W556" s="389"/>
      <c r="X556" s="389"/>
      <c r="Y556" s="389"/>
      <c r="Z556" s="389"/>
      <c r="AA556" s="389"/>
      <c r="AB556" s="389"/>
      <c r="AC556" s="389"/>
      <c r="AD556" s="389"/>
      <c r="AE556" s="389"/>
      <c r="AF556" s="389"/>
    </row>
    <row r="557" hidden="1">
      <c r="A557" s="389"/>
      <c r="B557" s="389"/>
      <c r="C557" s="389"/>
      <c r="D557" s="389"/>
      <c r="E557" s="389"/>
      <c r="F557" s="392"/>
      <c r="G557" s="392"/>
      <c r="H557" s="389"/>
      <c r="I557" s="389"/>
      <c r="J557" s="389"/>
      <c r="K557" s="389"/>
      <c r="L557" s="389"/>
      <c r="M557" s="389"/>
      <c r="N557" s="389"/>
      <c r="O557" s="389"/>
      <c r="P557" s="389"/>
      <c r="Q557" s="389"/>
      <c r="R557" s="389"/>
      <c r="S557" s="389"/>
      <c r="T557" s="389"/>
      <c r="U557" s="389"/>
      <c r="V557" s="389"/>
      <c r="W557" s="389"/>
      <c r="X557" s="389"/>
      <c r="Y557" s="389"/>
      <c r="Z557" s="389"/>
      <c r="AA557" s="389"/>
      <c r="AB557" s="389"/>
      <c r="AC557" s="389"/>
      <c r="AD557" s="389"/>
      <c r="AE557" s="389"/>
      <c r="AF557" s="389"/>
    </row>
    <row r="558" hidden="1">
      <c r="A558" s="389"/>
      <c r="B558" s="389"/>
      <c r="C558" s="389"/>
      <c r="D558" s="389"/>
      <c r="E558" s="389"/>
      <c r="F558" s="392"/>
      <c r="G558" s="392"/>
      <c r="H558" s="389"/>
      <c r="I558" s="389"/>
      <c r="J558" s="389"/>
      <c r="K558" s="389"/>
      <c r="L558" s="389"/>
      <c r="M558" s="389"/>
      <c r="N558" s="389"/>
      <c r="O558" s="389"/>
      <c r="P558" s="389"/>
      <c r="Q558" s="389"/>
      <c r="R558" s="389"/>
      <c r="S558" s="389"/>
      <c r="T558" s="389"/>
      <c r="U558" s="389"/>
      <c r="V558" s="389"/>
      <c r="W558" s="389"/>
      <c r="X558" s="389"/>
      <c r="Y558" s="389"/>
      <c r="Z558" s="389"/>
      <c r="AA558" s="389"/>
      <c r="AB558" s="389"/>
      <c r="AC558" s="389"/>
      <c r="AD558" s="389"/>
      <c r="AE558" s="389"/>
      <c r="AF558" s="389"/>
    </row>
    <row r="559" hidden="1">
      <c r="A559" s="389"/>
      <c r="B559" s="389"/>
      <c r="C559" s="389"/>
      <c r="D559" s="389"/>
      <c r="E559" s="389"/>
      <c r="F559" s="392"/>
      <c r="G559" s="392"/>
      <c r="H559" s="389"/>
      <c r="I559" s="389"/>
      <c r="J559" s="389"/>
      <c r="K559" s="389"/>
      <c r="L559" s="389"/>
      <c r="M559" s="389"/>
      <c r="N559" s="389"/>
      <c r="O559" s="389"/>
      <c r="P559" s="389"/>
      <c r="Q559" s="389"/>
      <c r="R559" s="389"/>
      <c r="S559" s="389"/>
      <c r="T559" s="389"/>
      <c r="U559" s="389"/>
      <c r="V559" s="389"/>
      <c r="W559" s="389"/>
      <c r="X559" s="389"/>
      <c r="Y559" s="389"/>
      <c r="Z559" s="389"/>
      <c r="AA559" s="389"/>
      <c r="AB559" s="389"/>
      <c r="AC559" s="389"/>
      <c r="AD559" s="389"/>
      <c r="AE559" s="389"/>
      <c r="AF559" s="389"/>
    </row>
    <row r="560" hidden="1">
      <c r="A560" s="389"/>
      <c r="B560" s="389"/>
      <c r="C560" s="389"/>
      <c r="D560" s="389"/>
      <c r="E560" s="389"/>
      <c r="F560" s="392"/>
      <c r="G560" s="392"/>
      <c r="H560" s="389"/>
      <c r="I560" s="389"/>
      <c r="J560" s="389"/>
      <c r="K560" s="389"/>
      <c r="L560" s="389"/>
      <c r="M560" s="389"/>
      <c r="N560" s="389"/>
      <c r="O560" s="389"/>
      <c r="P560" s="389"/>
      <c r="Q560" s="389"/>
      <c r="R560" s="389"/>
      <c r="S560" s="389"/>
      <c r="T560" s="389"/>
      <c r="U560" s="389"/>
      <c r="V560" s="389"/>
      <c r="W560" s="389"/>
      <c r="X560" s="389"/>
      <c r="Y560" s="389"/>
      <c r="Z560" s="389"/>
      <c r="AA560" s="389"/>
      <c r="AB560" s="389"/>
      <c r="AC560" s="389"/>
      <c r="AD560" s="389"/>
      <c r="AE560" s="389"/>
      <c r="AF560" s="389"/>
    </row>
    <row r="561" hidden="1">
      <c r="A561" s="389"/>
      <c r="B561" s="389"/>
      <c r="C561" s="389"/>
      <c r="D561" s="389"/>
      <c r="E561" s="389"/>
      <c r="F561" s="392"/>
      <c r="G561" s="392"/>
      <c r="H561" s="389"/>
      <c r="I561" s="389"/>
      <c r="J561" s="389"/>
      <c r="K561" s="389"/>
      <c r="L561" s="389"/>
      <c r="M561" s="389"/>
      <c r="N561" s="389"/>
      <c r="O561" s="389"/>
      <c r="P561" s="389"/>
      <c r="Q561" s="389"/>
      <c r="R561" s="389"/>
      <c r="S561" s="389"/>
      <c r="T561" s="389"/>
      <c r="U561" s="389"/>
      <c r="V561" s="389"/>
      <c r="W561" s="389"/>
      <c r="X561" s="389"/>
      <c r="Y561" s="389"/>
      <c r="Z561" s="389"/>
      <c r="AA561" s="389"/>
      <c r="AB561" s="389"/>
      <c r="AC561" s="389"/>
      <c r="AD561" s="389"/>
      <c r="AE561" s="389"/>
      <c r="AF561" s="389"/>
    </row>
    <row r="562" hidden="1">
      <c r="A562" s="389"/>
      <c r="B562" s="389"/>
      <c r="C562" s="389"/>
      <c r="D562" s="389"/>
      <c r="E562" s="389"/>
      <c r="F562" s="392"/>
      <c r="G562" s="392"/>
      <c r="H562" s="389"/>
      <c r="I562" s="389"/>
      <c r="J562" s="389"/>
      <c r="K562" s="389"/>
      <c r="L562" s="389"/>
      <c r="M562" s="389"/>
      <c r="N562" s="389"/>
      <c r="O562" s="389"/>
      <c r="P562" s="389"/>
      <c r="Q562" s="389"/>
      <c r="R562" s="389"/>
      <c r="S562" s="389"/>
      <c r="T562" s="389"/>
      <c r="U562" s="389"/>
      <c r="V562" s="389"/>
      <c r="W562" s="389"/>
      <c r="X562" s="389"/>
      <c r="Y562" s="389"/>
      <c r="Z562" s="389"/>
      <c r="AA562" s="389"/>
      <c r="AB562" s="389"/>
      <c r="AC562" s="389"/>
      <c r="AD562" s="389"/>
      <c r="AE562" s="389"/>
      <c r="AF562" s="389"/>
    </row>
    <row r="563" hidden="1">
      <c r="A563" s="389"/>
      <c r="B563" s="389"/>
      <c r="C563" s="389"/>
      <c r="D563" s="389"/>
      <c r="E563" s="389"/>
      <c r="F563" s="392"/>
      <c r="G563" s="392"/>
      <c r="H563" s="389"/>
      <c r="I563" s="389"/>
      <c r="J563" s="389"/>
      <c r="K563" s="389"/>
      <c r="L563" s="389"/>
      <c r="M563" s="389"/>
      <c r="N563" s="389"/>
      <c r="O563" s="389"/>
      <c r="P563" s="389"/>
      <c r="Q563" s="389"/>
      <c r="R563" s="389"/>
      <c r="S563" s="389"/>
      <c r="T563" s="389"/>
      <c r="U563" s="389"/>
      <c r="V563" s="389"/>
      <c r="W563" s="389"/>
      <c r="X563" s="389"/>
      <c r="Y563" s="389"/>
      <c r="Z563" s="389"/>
      <c r="AA563" s="389"/>
      <c r="AB563" s="389"/>
      <c r="AC563" s="389"/>
      <c r="AD563" s="389"/>
      <c r="AE563" s="389"/>
      <c r="AF563" s="389"/>
    </row>
    <row r="564" hidden="1">
      <c r="A564" s="389"/>
      <c r="B564" s="389"/>
      <c r="C564" s="389"/>
      <c r="D564" s="389"/>
      <c r="E564" s="389"/>
      <c r="F564" s="392"/>
      <c r="G564" s="392"/>
      <c r="H564" s="389"/>
      <c r="I564" s="389"/>
      <c r="J564" s="389"/>
      <c r="K564" s="389"/>
      <c r="L564" s="389"/>
      <c r="M564" s="389"/>
      <c r="N564" s="389"/>
      <c r="O564" s="389"/>
      <c r="P564" s="389"/>
      <c r="Q564" s="389"/>
      <c r="R564" s="389"/>
      <c r="S564" s="389"/>
      <c r="T564" s="389"/>
      <c r="U564" s="389"/>
      <c r="V564" s="389"/>
      <c r="W564" s="389"/>
      <c r="X564" s="389"/>
      <c r="Y564" s="389"/>
      <c r="Z564" s="389"/>
      <c r="AA564" s="389"/>
      <c r="AB564" s="389"/>
      <c r="AC564" s="389"/>
      <c r="AD564" s="389"/>
      <c r="AE564" s="389"/>
      <c r="AF564" s="389"/>
    </row>
    <row r="565" hidden="1">
      <c r="A565" s="389"/>
      <c r="B565" s="389"/>
      <c r="C565" s="389"/>
      <c r="D565" s="389"/>
      <c r="E565" s="389"/>
      <c r="F565" s="392"/>
      <c r="G565" s="392"/>
      <c r="H565" s="389"/>
      <c r="I565" s="389"/>
      <c r="J565" s="389"/>
      <c r="K565" s="389"/>
      <c r="L565" s="389"/>
      <c r="M565" s="389"/>
      <c r="N565" s="389"/>
      <c r="O565" s="389"/>
      <c r="P565" s="389"/>
      <c r="Q565" s="389"/>
      <c r="R565" s="389"/>
      <c r="S565" s="389"/>
      <c r="T565" s="389"/>
      <c r="U565" s="389"/>
      <c r="V565" s="389"/>
      <c r="W565" s="389"/>
      <c r="X565" s="389"/>
      <c r="Y565" s="389"/>
      <c r="Z565" s="389"/>
      <c r="AA565" s="389"/>
      <c r="AB565" s="389"/>
      <c r="AC565" s="389"/>
      <c r="AD565" s="389"/>
      <c r="AE565" s="389"/>
      <c r="AF565" s="389"/>
    </row>
    <row r="566" hidden="1">
      <c r="A566" s="389"/>
      <c r="B566" s="389"/>
      <c r="C566" s="389"/>
      <c r="D566" s="389"/>
      <c r="E566" s="389"/>
      <c r="F566" s="392"/>
      <c r="G566" s="392"/>
      <c r="H566" s="389"/>
      <c r="I566" s="389"/>
      <c r="J566" s="389"/>
      <c r="K566" s="389"/>
      <c r="L566" s="389"/>
      <c r="M566" s="389"/>
      <c r="N566" s="389"/>
      <c r="O566" s="389"/>
      <c r="P566" s="389"/>
      <c r="Q566" s="389"/>
      <c r="R566" s="389"/>
      <c r="S566" s="389"/>
      <c r="T566" s="389"/>
      <c r="U566" s="389"/>
      <c r="V566" s="389"/>
      <c r="W566" s="389"/>
      <c r="X566" s="389"/>
      <c r="Y566" s="389"/>
      <c r="Z566" s="389"/>
      <c r="AA566" s="389"/>
      <c r="AB566" s="389"/>
      <c r="AC566" s="389"/>
      <c r="AD566" s="389"/>
      <c r="AE566" s="389"/>
      <c r="AF566" s="389"/>
    </row>
    <row r="567" hidden="1">
      <c r="A567" s="389"/>
      <c r="B567" s="389"/>
      <c r="C567" s="389"/>
      <c r="D567" s="389"/>
      <c r="E567" s="389"/>
      <c r="F567" s="392"/>
      <c r="G567" s="392"/>
      <c r="H567" s="389"/>
      <c r="I567" s="389"/>
      <c r="J567" s="389"/>
      <c r="K567" s="389"/>
      <c r="L567" s="389"/>
      <c r="M567" s="389"/>
      <c r="N567" s="389"/>
      <c r="O567" s="389"/>
      <c r="P567" s="389"/>
      <c r="Q567" s="389"/>
      <c r="R567" s="389"/>
      <c r="S567" s="389"/>
      <c r="T567" s="389"/>
      <c r="U567" s="389"/>
      <c r="V567" s="389"/>
      <c r="W567" s="389"/>
      <c r="X567" s="389"/>
      <c r="Y567" s="389"/>
      <c r="Z567" s="389"/>
      <c r="AA567" s="389"/>
      <c r="AB567" s="389"/>
      <c r="AC567" s="389"/>
      <c r="AD567" s="389"/>
      <c r="AE567" s="389"/>
      <c r="AF567" s="389"/>
    </row>
    <row r="568" hidden="1">
      <c r="A568" s="389"/>
      <c r="B568" s="389"/>
      <c r="C568" s="389"/>
      <c r="D568" s="389"/>
      <c r="E568" s="389"/>
      <c r="F568" s="392"/>
      <c r="G568" s="392"/>
      <c r="H568" s="389"/>
      <c r="I568" s="389"/>
      <c r="J568" s="389"/>
      <c r="K568" s="389"/>
      <c r="L568" s="389"/>
      <c r="M568" s="389"/>
      <c r="N568" s="389"/>
      <c r="O568" s="389"/>
      <c r="P568" s="389"/>
      <c r="Q568" s="389"/>
      <c r="R568" s="389"/>
      <c r="S568" s="389"/>
      <c r="T568" s="389"/>
      <c r="U568" s="389"/>
      <c r="V568" s="389"/>
      <c r="W568" s="389"/>
      <c r="X568" s="389"/>
      <c r="Y568" s="389"/>
      <c r="Z568" s="389"/>
      <c r="AA568" s="389"/>
      <c r="AB568" s="389"/>
      <c r="AC568" s="389"/>
      <c r="AD568" s="389"/>
      <c r="AE568" s="389"/>
      <c r="AF568" s="389"/>
    </row>
    <row r="569" hidden="1">
      <c r="A569" s="389"/>
      <c r="B569" s="389"/>
      <c r="C569" s="389"/>
      <c r="D569" s="389"/>
      <c r="E569" s="389"/>
      <c r="F569" s="392"/>
      <c r="G569" s="392"/>
      <c r="H569" s="389"/>
      <c r="I569" s="389"/>
      <c r="J569" s="389"/>
      <c r="K569" s="389"/>
      <c r="L569" s="389"/>
      <c r="M569" s="389"/>
      <c r="N569" s="389"/>
      <c r="O569" s="389"/>
      <c r="P569" s="389"/>
      <c r="Q569" s="389"/>
      <c r="R569" s="389"/>
      <c r="S569" s="389"/>
      <c r="T569" s="389"/>
      <c r="U569" s="389"/>
      <c r="V569" s="389"/>
      <c r="W569" s="389"/>
      <c r="X569" s="389"/>
      <c r="Y569" s="389"/>
      <c r="Z569" s="389"/>
      <c r="AA569" s="389"/>
      <c r="AB569" s="389"/>
      <c r="AC569" s="389"/>
      <c r="AD569" s="389"/>
      <c r="AE569" s="389"/>
      <c r="AF569" s="389"/>
    </row>
    <row r="570" hidden="1">
      <c r="A570" s="389"/>
      <c r="B570" s="389"/>
      <c r="C570" s="389"/>
      <c r="D570" s="389"/>
      <c r="E570" s="389"/>
      <c r="F570" s="392"/>
      <c r="G570" s="392"/>
      <c r="H570" s="389"/>
      <c r="I570" s="389"/>
      <c r="J570" s="389"/>
      <c r="K570" s="389"/>
      <c r="L570" s="389"/>
      <c r="M570" s="389"/>
      <c r="N570" s="389"/>
      <c r="O570" s="389"/>
      <c r="P570" s="389"/>
      <c r="Q570" s="389"/>
      <c r="R570" s="389"/>
      <c r="S570" s="389"/>
      <c r="T570" s="389"/>
      <c r="U570" s="389"/>
      <c r="V570" s="389"/>
      <c r="W570" s="389"/>
      <c r="X570" s="389"/>
      <c r="Y570" s="389"/>
      <c r="Z570" s="389"/>
      <c r="AA570" s="389"/>
      <c r="AB570" s="389"/>
      <c r="AC570" s="389"/>
      <c r="AD570" s="389"/>
      <c r="AE570" s="389"/>
      <c r="AF570" s="389"/>
    </row>
    <row r="571" hidden="1">
      <c r="A571" s="389"/>
      <c r="B571" s="389"/>
      <c r="C571" s="389"/>
      <c r="D571" s="389"/>
      <c r="E571" s="389"/>
      <c r="F571" s="392"/>
      <c r="G571" s="392"/>
      <c r="H571" s="389"/>
      <c r="I571" s="389"/>
      <c r="J571" s="389"/>
      <c r="K571" s="389"/>
      <c r="L571" s="389"/>
      <c r="M571" s="389"/>
      <c r="N571" s="389"/>
      <c r="O571" s="389"/>
      <c r="P571" s="389"/>
      <c r="Q571" s="389"/>
      <c r="R571" s="389"/>
      <c r="S571" s="389"/>
      <c r="T571" s="389"/>
      <c r="U571" s="389"/>
      <c r="V571" s="389"/>
      <c r="W571" s="389"/>
      <c r="X571" s="389"/>
      <c r="Y571" s="389"/>
      <c r="Z571" s="389"/>
      <c r="AA571" s="389"/>
      <c r="AB571" s="389"/>
      <c r="AC571" s="389"/>
      <c r="AD571" s="389"/>
      <c r="AE571" s="389"/>
      <c r="AF571" s="389"/>
    </row>
    <row r="572" hidden="1">
      <c r="A572" s="389"/>
      <c r="B572" s="389"/>
      <c r="C572" s="389"/>
      <c r="D572" s="389"/>
      <c r="E572" s="389"/>
      <c r="F572" s="392"/>
      <c r="G572" s="392"/>
      <c r="H572" s="389"/>
      <c r="I572" s="389"/>
      <c r="J572" s="389"/>
      <c r="K572" s="389"/>
      <c r="L572" s="389"/>
      <c r="M572" s="389"/>
      <c r="N572" s="389"/>
      <c r="O572" s="389"/>
      <c r="P572" s="389"/>
      <c r="Q572" s="389"/>
      <c r="R572" s="389"/>
      <c r="S572" s="389"/>
      <c r="T572" s="389"/>
      <c r="U572" s="389"/>
      <c r="V572" s="389"/>
      <c r="W572" s="389"/>
      <c r="X572" s="389"/>
      <c r="Y572" s="389"/>
      <c r="Z572" s="389"/>
      <c r="AA572" s="389"/>
      <c r="AB572" s="389"/>
      <c r="AC572" s="389"/>
      <c r="AD572" s="389"/>
      <c r="AE572" s="389"/>
      <c r="AF572" s="389"/>
    </row>
    <row r="573" hidden="1">
      <c r="A573" s="389"/>
      <c r="B573" s="389"/>
      <c r="C573" s="389"/>
      <c r="D573" s="389"/>
      <c r="E573" s="389"/>
      <c r="F573" s="392"/>
      <c r="G573" s="392"/>
      <c r="H573" s="389"/>
      <c r="I573" s="389"/>
      <c r="J573" s="389"/>
      <c r="K573" s="389"/>
      <c r="L573" s="389"/>
      <c r="M573" s="389"/>
      <c r="N573" s="389"/>
      <c r="O573" s="389"/>
      <c r="P573" s="389"/>
      <c r="Q573" s="389"/>
      <c r="R573" s="389"/>
      <c r="S573" s="389"/>
      <c r="T573" s="389"/>
      <c r="U573" s="389"/>
      <c r="V573" s="389"/>
      <c r="W573" s="389"/>
      <c r="X573" s="389"/>
      <c r="Y573" s="389"/>
      <c r="Z573" s="389"/>
      <c r="AA573" s="389"/>
      <c r="AB573" s="389"/>
      <c r="AC573" s="389"/>
      <c r="AD573" s="389"/>
      <c r="AE573" s="389"/>
      <c r="AF573" s="389"/>
    </row>
    <row r="574" hidden="1">
      <c r="A574" s="389"/>
      <c r="B574" s="389"/>
      <c r="C574" s="389"/>
      <c r="D574" s="389"/>
      <c r="E574" s="389"/>
      <c r="F574" s="392"/>
      <c r="G574" s="392"/>
      <c r="H574" s="389"/>
      <c r="I574" s="389"/>
      <c r="J574" s="389"/>
      <c r="K574" s="389"/>
      <c r="L574" s="389"/>
      <c r="M574" s="389"/>
      <c r="N574" s="389"/>
      <c r="O574" s="389"/>
      <c r="P574" s="389"/>
      <c r="Q574" s="389"/>
      <c r="R574" s="389"/>
      <c r="S574" s="389"/>
      <c r="T574" s="389"/>
      <c r="U574" s="389"/>
      <c r="V574" s="389"/>
      <c r="W574" s="389"/>
      <c r="X574" s="389"/>
      <c r="Y574" s="389"/>
      <c r="Z574" s="389"/>
      <c r="AA574" s="389"/>
      <c r="AB574" s="389"/>
      <c r="AC574" s="389"/>
      <c r="AD574" s="389"/>
      <c r="AE574" s="389"/>
      <c r="AF574" s="389"/>
    </row>
    <row r="575" hidden="1">
      <c r="A575" s="389"/>
      <c r="B575" s="389"/>
      <c r="C575" s="389"/>
      <c r="D575" s="389"/>
      <c r="E575" s="389"/>
      <c r="F575" s="392"/>
      <c r="G575" s="392"/>
      <c r="H575" s="389"/>
      <c r="I575" s="389"/>
      <c r="J575" s="389"/>
      <c r="K575" s="389"/>
      <c r="L575" s="389"/>
      <c r="M575" s="389"/>
      <c r="N575" s="389"/>
      <c r="O575" s="389"/>
      <c r="P575" s="389"/>
      <c r="Q575" s="389"/>
      <c r="R575" s="389"/>
      <c r="S575" s="389"/>
      <c r="T575" s="389"/>
      <c r="U575" s="389"/>
      <c r="V575" s="389"/>
      <c r="W575" s="389"/>
      <c r="X575" s="389"/>
      <c r="Y575" s="389"/>
      <c r="Z575" s="389"/>
      <c r="AA575" s="389"/>
      <c r="AB575" s="389"/>
      <c r="AC575" s="389"/>
      <c r="AD575" s="389"/>
      <c r="AE575" s="389"/>
      <c r="AF575" s="389"/>
    </row>
    <row r="576" hidden="1">
      <c r="A576" s="389"/>
      <c r="B576" s="389"/>
      <c r="C576" s="389"/>
      <c r="D576" s="389"/>
      <c r="E576" s="389"/>
      <c r="F576" s="392"/>
      <c r="G576" s="392"/>
      <c r="H576" s="389"/>
      <c r="I576" s="389"/>
      <c r="J576" s="389"/>
      <c r="K576" s="389"/>
      <c r="L576" s="389"/>
      <c r="M576" s="389"/>
      <c r="N576" s="389"/>
      <c r="O576" s="389"/>
      <c r="P576" s="389"/>
      <c r="Q576" s="389"/>
      <c r="R576" s="389"/>
      <c r="S576" s="389"/>
      <c r="T576" s="389"/>
      <c r="U576" s="389"/>
      <c r="V576" s="389"/>
      <c r="W576" s="389"/>
      <c r="X576" s="389"/>
      <c r="Y576" s="389"/>
      <c r="Z576" s="389"/>
      <c r="AA576" s="389"/>
      <c r="AB576" s="389"/>
      <c r="AC576" s="389"/>
      <c r="AD576" s="389"/>
      <c r="AE576" s="389"/>
      <c r="AF576" s="389"/>
    </row>
    <row r="577" hidden="1">
      <c r="A577" s="389"/>
      <c r="B577" s="389"/>
      <c r="C577" s="389"/>
      <c r="D577" s="389"/>
      <c r="E577" s="389"/>
      <c r="F577" s="392"/>
      <c r="G577" s="392"/>
      <c r="H577" s="389"/>
      <c r="I577" s="389"/>
      <c r="J577" s="389"/>
      <c r="K577" s="389"/>
      <c r="L577" s="389"/>
      <c r="M577" s="389"/>
      <c r="N577" s="389"/>
      <c r="O577" s="389"/>
      <c r="P577" s="389"/>
      <c r="Q577" s="389"/>
      <c r="R577" s="389"/>
      <c r="S577" s="389"/>
      <c r="T577" s="389"/>
      <c r="U577" s="389"/>
      <c r="V577" s="389"/>
      <c r="W577" s="389"/>
      <c r="X577" s="389"/>
      <c r="Y577" s="389"/>
      <c r="Z577" s="389"/>
      <c r="AA577" s="389"/>
      <c r="AB577" s="389"/>
      <c r="AC577" s="389"/>
      <c r="AD577" s="389"/>
      <c r="AE577" s="389"/>
      <c r="AF577" s="389"/>
    </row>
    <row r="578" hidden="1">
      <c r="A578" s="389"/>
      <c r="B578" s="389"/>
      <c r="C578" s="389"/>
      <c r="D578" s="389"/>
      <c r="E578" s="389"/>
      <c r="F578" s="392"/>
      <c r="G578" s="392"/>
      <c r="H578" s="389"/>
      <c r="I578" s="389"/>
      <c r="J578" s="389"/>
      <c r="K578" s="389"/>
      <c r="L578" s="389"/>
      <c r="M578" s="389"/>
      <c r="N578" s="389"/>
      <c r="O578" s="389"/>
      <c r="P578" s="389"/>
      <c r="Q578" s="389"/>
      <c r="R578" s="389"/>
      <c r="S578" s="389"/>
      <c r="T578" s="389"/>
      <c r="U578" s="389"/>
      <c r="V578" s="389"/>
      <c r="W578" s="389"/>
      <c r="X578" s="389"/>
      <c r="Y578" s="389"/>
      <c r="Z578" s="389"/>
      <c r="AA578" s="389"/>
      <c r="AB578" s="389"/>
      <c r="AC578" s="389"/>
      <c r="AD578" s="389"/>
      <c r="AE578" s="389"/>
      <c r="AF578" s="389"/>
    </row>
    <row r="579" hidden="1">
      <c r="A579" s="389"/>
      <c r="B579" s="389"/>
      <c r="C579" s="389"/>
      <c r="D579" s="389"/>
      <c r="E579" s="389"/>
      <c r="F579" s="392"/>
      <c r="G579" s="392"/>
      <c r="H579" s="389"/>
      <c r="I579" s="389"/>
      <c r="J579" s="389"/>
      <c r="K579" s="389"/>
      <c r="L579" s="389"/>
      <c r="M579" s="389"/>
      <c r="N579" s="389"/>
      <c r="O579" s="389"/>
      <c r="P579" s="389"/>
      <c r="Q579" s="389"/>
      <c r="R579" s="389"/>
      <c r="S579" s="389"/>
      <c r="T579" s="389"/>
      <c r="U579" s="389"/>
      <c r="V579" s="389"/>
      <c r="W579" s="389"/>
      <c r="X579" s="389"/>
      <c r="Y579" s="389"/>
      <c r="Z579" s="389"/>
      <c r="AA579" s="389"/>
      <c r="AB579" s="389"/>
      <c r="AC579" s="389"/>
      <c r="AD579" s="389"/>
      <c r="AE579" s="389"/>
      <c r="AF579" s="389"/>
    </row>
    <row r="580" hidden="1">
      <c r="A580" s="389"/>
      <c r="B580" s="389"/>
      <c r="C580" s="389"/>
      <c r="D580" s="389"/>
      <c r="E580" s="389"/>
      <c r="F580" s="392"/>
      <c r="G580" s="392"/>
      <c r="H580" s="389"/>
      <c r="I580" s="389"/>
      <c r="J580" s="389"/>
      <c r="K580" s="389"/>
      <c r="L580" s="389"/>
      <c r="M580" s="389"/>
      <c r="N580" s="389"/>
      <c r="O580" s="389"/>
      <c r="P580" s="389"/>
      <c r="Q580" s="389"/>
      <c r="R580" s="389"/>
      <c r="S580" s="389"/>
      <c r="T580" s="389"/>
      <c r="U580" s="389"/>
      <c r="V580" s="389"/>
      <c r="W580" s="389"/>
      <c r="X580" s="389"/>
      <c r="Y580" s="389"/>
      <c r="Z580" s="389"/>
      <c r="AA580" s="389"/>
      <c r="AB580" s="389"/>
      <c r="AC580" s="389"/>
      <c r="AD580" s="389"/>
      <c r="AE580" s="389"/>
      <c r="AF580" s="389"/>
    </row>
    <row r="581" hidden="1">
      <c r="A581" s="389"/>
      <c r="B581" s="389"/>
      <c r="C581" s="389"/>
      <c r="D581" s="389"/>
      <c r="E581" s="389"/>
      <c r="F581" s="392"/>
      <c r="G581" s="392"/>
      <c r="H581" s="389"/>
      <c r="I581" s="389"/>
      <c r="J581" s="389"/>
      <c r="K581" s="389"/>
      <c r="L581" s="389"/>
      <c r="M581" s="389"/>
      <c r="N581" s="389"/>
      <c r="O581" s="389"/>
      <c r="P581" s="389"/>
      <c r="Q581" s="389"/>
      <c r="R581" s="389"/>
      <c r="S581" s="389"/>
      <c r="T581" s="389"/>
      <c r="U581" s="389"/>
      <c r="V581" s="389"/>
      <c r="W581" s="389"/>
      <c r="X581" s="389"/>
      <c r="Y581" s="389"/>
      <c r="Z581" s="389"/>
      <c r="AA581" s="389"/>
      <c r="AB581" s="389"/>
      <c r="AC581" s="389"/>
      <c r="AD581" s="389"/>
      <c r="AE581" s="389"/>
      <c r="AF581" s="389"/>
    </row>
    <row r="582" hidden="1">
      <c r="A582" s="389"/>
      <c r="B582" s="389"/>
      <c r="C582" s="389"/>
      <c r="D582" s="389"/>
      <c r="E582" s="389"/>
      <c r="F582" s="392"/>
      <c r="G582" s="392"/>
      <c r="H582" s="389"/>
      <c r="I582" s="389"/>
      <c r="J582" s="389"/>
      <c r="K582" s="389"/>
      <c r="L582" s="389"/>
      <c r="M582" s="389"/>
      <c r="N582" s="389"/>
      <c r="O582" s="389"/>
      <c r="P582" s="389"/>
      <c r="Q582" s="389"/>
      <c r="R582" s="389"/>
      <c r="S582" s="389"/>
      <c r="T582" s="389"/>
      <c r="U582" s="389"/>
      <c r="V582" s="389"/>
      <c r="W582" s="389"/>
      <c r="X582" s="389"/>
      <c r="Y582" s="389"/>
      <c r="Z582" s="389"/>
      <c r="AA582" s="389"/>
      <c r="AB582" s="389"/>
      <c r="AC582" s="389"/>
      <c r="AD582" s="389"/>
      <c r="AE582" s="389"/>
      <c r="AF582" s="389"/>
    </row>
    <row r="583" hidden="1">
      <c r="A583" s="389"/>
      <c r="B583" s="389"/>
      <c r="C583" s="389"/>
      <c r="D583" s="389"/>
      <c r="E583" s="389"/>
      <c r="F583" s="392"/>
      <c r="G583" s="392"/>
      <c r="H583" s="389"/>
      <c r="I583" s="389"/>
      <c r="J583" s="389"/>
      <c r="K583" s="389"/>
      <c r="L583" s="389"/>
      <c r="M583" s="389"/>
      <c r="N583" s="389"/>
      <c r="O583" s="389"/>
      <c r="P583" s="389"/>
      <c r="Q583" s="389"/>
      <c r="R583" s="389"/>
      <c r="S583" s="389"/>
      <c r="T583" s="389"/>
      <c r="U583" s="389"/>
      <c r="V583" s="389"/>
      <c r="W583" s="389"/>
      <c r="X583" s="389"/>
      <c r="Y583" s="389"/>
      <c r="Z583" s="389"/>
      <c r="AA583" s="389"/>
      <c r="AB583" s="389"/>
      <c r="AC583" s="389"/>
      <c r="AD583" s="389"/>
      <c r="AE583" s="389"/>
      <c r="AF583" s="389"/>
    </row>
    <row r="584" hidden="1">
      <c r="A584" s="389"/>
      <c r="B584" s="389"/>
      <c r="C584" s="389"/>
      <c r="D584" s="389"/>
      <c r="E584" s="389"/>
      <c r="F584" s="392"/>
      <c r="G584" s="392"/>
      <c r="H584" s="389"/>
      <c r="I584" s="389"/>
      <c r="J584" s="389"/>
      <c r="K584" s="389"/>
      <c r="L584" s="389"/>
      <c r="M584" s="389"/>
      <c r="N584" s="389"/>
      <c r="O584" s="389"/>
      <c r="P584" s="389"/>
      <c r="Q584" s="389"/>
      <c r="R584" s="389"/>
      <c r="S584" s="389"/>
      <c r="T584" s="389"/>
      <c r="U584" s="389"/>
      <c r="V584" s="389"/>
      <c r="W584" s="389"/>
      <c r="X584" s="389"/>
      <c r="Y584" s="389"/>
      <c r="Z584" s="389"/>
      <c r="AA584" s="389"/>
      <c r="AB584" s="389"/>
      <c r="AC584" s="389"/>
      <c r="AD584" s="389"/>
      <c r="AE584" s="389"/>
      <c r="AF584" s="389"/>
    </row>
    <row r="585" hidden="1">
      <c r="A585" s="389"/>
      <c r="B585" s="389"/>
      <c r="C585" s="389"/>
      <c r="D585" s="389"/>
      <c r="E585" s="389"/>
      <c r="F585" s="392"/>
      <c r="G585" s="392"/>
      <c r="H585" s="389"/>
      <c r="I585" s="389"/>
      <c r="J585" s="389"/>
      <c r="K585" s="389"/>
      <c r="L585" s="389"/>
      <c r="M585" s="389"/>
      <c r="N585" s="389"/>
      <c r="O585" s="389"/>
      <c r="P585" s="389"/>
      <c r="Q585" s="389"/>
      <c r="R585" s="389"/>
      <c r="S585" s="389"/>
      <c r="T585" s="389"/>
      <c r="U585" s="389"/>
      <c r="V585" s="389"/>
      <c r="W585" s="389"/>
      <c r="X585" s="389"/>
      <c r="Y585" s="389"/>
      <c r="Z585" s="389"/>
      <c r="AA585" s="389"/>
      <c r="AB585" s="389"/>
      <c r="AC585" s="389"/>
      <c r="AD585" s="389"/>
      <c r="AE585" s="389"/>
      <c r="AF585" s="389"/>
    </row>
    <row r="586" hidden="1">
      <c r="A586" s="389"/>
      <c r="B586" s="389"/>
      <c r="C586" s="389"/>
      <c r="D586" s="389"/>
      <c r="E586" s="389"/>
      <c r="F586" s="392"/>
      <c r="G586" s="392"/>
      <c r="H586" s="389"/>
      <c r="I586" s="389"/>
      <c r="J586" s="389"/>
      <c r="K586" s="389"/>
      <c r="L586" s="389"/>
      <c r="M586" s="389"/>
      <c r="N586" s="389"/>
      <c r="O586" s="389"/>
      <c r="P586" s="389"/>
      <c r="Q586" s="389"/>
      <c r="R586" s="389"/>
      <c r="S586" s="389"/>
      <c r="T586" s="389"/>
      <c r="U586" s="389"/>
      <c r="V586" s="389"/>
      <c r="W586" s="389"/>
      <c r="X586" s="389"/>
      <c r="Y586" s="389"/>
      <c r="Z586" s="389"/>
      <c r="AA586" s="389"/>
      <c r="AB586" s="389"/>
      <c r="AC586" s="389"/>
      <c r="AD586" s="389"/>
      <c r="AE586" s="389"/>
      <c r="AF586" s="389"/>
    </row>
    <row r="587" hidden="1">
      <c r="A587" s="389"/>
      <c r="B587" s="389"/>
      <c r="C587" s="389"/>
      <c r="D587" s="389"/>
      <c r="E587" s="389"/>
      <c r="F587" s="392"/>
      <c r="G587" s="392"/>
      <c r="H587" s="389"/>
      <c r="I587" s="389"/>
      <c r="J587" s="389"/>
      <c r="K587" s="389"/>
      <c r="L587" s="389"/>
      <c r="M587" s="389"/>
      <c r="N587" s="389"/>
      <c r="O587" s="389"/>
      <c r="P587" s="389"/>
      <c r="Q587" s="389"/>
      <c r="R587" s="389"/>
      <c r="S587" s="389"/>
      <c r="T587" s="389"/>
      <c r="U587" s="389"/>
      <c r="V587" s="389"/>
      <c r="W587" s="389"/>
      <c r="X587" s="389"/>
      <c r="Y587" s="389"/>
      <c r="Z587" s="389"/>
      <c r="AA587" s="389"/>
      <c r="AB587" s="389"/>
      <c r="AC587" s="389"/>
      <c r="AD587" s="389"/>
      <c r="AE587" s="389"/>
      <c r="AF587" s="389"/>
    </row>
    <row r="588" hidden="1">
      <c r="A588" s="389"/>
      <c r="B588" s="389"/>
      <c r="C588" s="389"/>
      <c r="D588" s="389"/>
      <c r="E588" s="389"/>
      <c r="F588" s="392"/>
      <c r="G588" s="392"/>
      <c r="H588" s="389"/>
      <c r="I588" s="389"/>
      <c r="J588" s="389"/>
      <c r="K588" s="389"/>
      <c r="L588" s="389"/>
      <c r="M588" s="389"/>
      <c r="N588" s="389"/>
      <c r="O588" s="389"/>
      <c r="P588" s="389"/>
      <c r="Q588" s="389"/>
      <c r="R588" s="389"/>
      <c r="S588" s="389"/>
      <c r="T588" s="389"/>
      <c r="U588" s="389"/>
      <c r="V588" s="389"/>
      <c r="W588" s="389"/>
      <c r="X588" s="389"/>
      <c r="Y588" s="389"/>
      <c r="Z588" s="389"/>
      <c r="AA588" s="389"/>
      <c r="AB588" s="389"/>
      <c r="AC588" s="389"/>
      <c r="AD588" s="389"/>
      <c r="AE588" s="389"/>
      <c r="AF588" s="389"/>
    </row>
    <row r="589" hidden="1">
      <c r="A589" s="389"/>
      <c r="B589" s="389"/>
      <c r="C589" s="389"/>
      <c r="D589" s="389"/>
      <c r="E589" s="389"/>
      <c r="F589" s="392"/>
      <c r="G589" s="392"/>
      <c r="H589" s="389"/>
      <c r="I589" s="389"/>
      <c r="J589" s="389"/>
      <c r="K589" s="389"/>
      <c r="L589" s="389"/>
      <c r="M589" s="389"/>
      <c r="N589" s="389"/>
      <c r="O589" s="389"/>
      <c r="P589" s="389"/>
      <c r="Q589" s="389"/>
      <c r="R589" s="389"/>
      <c r="S589" s="389"/>
      <c r="T589" s="389"/>
      <c r="U589" s="389"/>
      <c r="V589" s="389"/>
      <c r="W589" s="389"/>
      <c r="X589" s="389"/>
      <c r="Y589" s="389"/>
      <c r="Z589" s="389"/>
      <c r="AA589" s="389"/>
      <c r="AB589" s="389"/>
      <c r="AC589" s="389"/>
      <c r="AD589" s="389"/>
      <c r="AE589" s="389"/>
      <c r="AF589" s="389"/>
    </row>
    <row r="590" hidden="1">
      <c r="A590" s="389"/>
      <c r="B590" s="389"/>
      <c r="C590" s="389"/>
      <c r="D590" s="389"/>
      <c r="E590" s="389"/>
      <c r="F590" s="392"/>
      <c r="G590" s="392"/>
      <c r="H590" s="389"/>
      <c r="I590" s="389"/>
      <c r="J590" s="389"/>
      <c r="K590" s="389"/>
      <c r="L590" s="389"/>
      <c r="M590" s="389"/>
      <c r="N590" s="389"/>
      <c r="O590" s="389"/>
      <c r="P590" s="389"/>
      <c r="Q590" s="389"/>
      <c r="R590" s="389"/>
      <c r="S590" s="389"/>
      <c r="T590" s="389"/>
      <c r="U590" s="389"/>
      <c r="V590" s="389"/>
      <c r="W590" s="389"/>
      <c r="X590" s="389"/>
      <c r="Y590" s="389"/>
      <c r="Z590" s="389"/>
      <c r="AA590" s="389"/>
      <c r="AB590" s="389"/>
      <c r="AC590" s="389"/>
      <c r="AD590" s="389"/>
      <c r="AE590" s="389"/>
      <c r="AF590" s="389"/>
    </row>
    <row r="591" hidden="1">
      <c r="A591" s="389"/>
      <c r="B591" s="389"/>
      <c r="C591" s="389"/>
      <c r="D591" s="389"/>
      <c r="E591" s="389"/>
      <c r="F591" s="392"/>
      <c r="G591" s="392"/>
      <c r="H591" s="389"/>
      <c r="I591" s="389"/>
      <c r="J591" s="389"/>
      <c r="K591" s="389"/>
      <c r="L591" s="389"/>
      <c r="M591" s="389"/>
      <c r="N591" s="389"/>
      <c r="O591" s="389"/>
      <c r="P591" s="389"/>
      <c r="Q591" s="389"/>
      <c r="R591" s="389"/>
      <c r="S591" s="389"/>
      <c r="T591" s="389"/>
      <c r="U591" s="389"/>
      <c r="V591" s="389"/>
      <c r="W591" s="389"/>
      <c r="X591" s="389"/>
      <c r="Y591" s="389"/>
      <c r="Z591" s="389"/>
      <c r="AA591" s="389"/>
      <c r="AB591" s="389"/>
      <c r="AC591" s="389"/>
      <c r="AD591" s="389"/>
      <c r="AE591" s="389"/>
      <c r="AF591" s="389"/>
    </row>
    <row r="592" hidden="1">
      <c r="A592" s="389"/>
      <c r="B592" s="389"/>
      <c r="C592" s="389"/>
      <c r="D592" s="389"/>
      <c r="E592" s="389"/>
      <c r="F592" s="392"/>
      <c r="G592" s="392"/>
      <c r="H592" s="389"/>
      <c r="I592" s="389"/>
      <c r="J592" s="389"/>
      <c r="K592" s="389"/>
      <c r="L592" s="389"/>
      <c r="M592" s="389"/>
      <c r="N592" s="389"/>
      <c r="O592" s="389"/>
      <c r="P592" s="389"/>
      <c r="Q592" s="389"/>
      <c r="R592" s="389"/>
      <c r="S592" s="389"/>
      <c r="T592" s="389"/>
      <c r="U592" s="389"/>
      <c r="V592" s="389"/>
      <c r="W592" s="389"/>
      <c r="X592" s="389"/>
      <c r="Y592" s="389"/>
      <c r="Z592" s="389"/>
      <c r="AA592" s="389"/>
      <c r="AB592" s="389"/>
      <c r="AC592" s="389"/>
      <c r="AD592" s="389"/>
      <c r="AE592" s="389"/>
      <c r="AF592" s="389"/>
    </row>
    <row r="593" hidden="1">
      <c r="A593" s="389"/>
      <c r="B593" s="389"/>
      <c r="C593" s="389"/>
      <c r="D593" s="389"/>
      <c r="E593" s="389"/>
      <c r="F593" s="392"/>
      <c r="G593" s="392"/>
      <c r="H593" s="389"/>
      <c r="I593" s="389"/>
      <c r="J593" s="389"/>
      <c r="K593" s="389"/>
      <c r="L593" s="389"/>
      <c r="M593" s="389"/>
      <c r="N593" s="389"/>
      <c r="O593" s="389"/>
      <c r="P593" s="389"/>
      <c r="Q593" s="389"/>
      <c r="R593" s="389"/>
      <c r="S593" s="389"/>
      <c r="T593" s="389"/>
      <c r="U593" s="389"/>
      <c r="V593" s="389"/>
      <c r="W593" s="389"/>
      <c r="X593" s="389"/>
      <c r="Y593" s="389"/>
      <c r="Z593" s="389"/>
      <c r="AA593" s="389"/>
      <c r="AB593" s="389"/>
      <c r="AC593" s="389"/>
      <c r="AD593" s="389"/>
      <c r="AE593" s="389"/>
      <c r="AF593" s="389"/>
    </row>
    <row r="594" hidden="1">
      <c r="A594" s="389"/>
      <c r="B594" s="389"/>
      <c r="C594" s="389"/>
      <c r="D594" s="389"/>
      <c r="E594" s="389"/>
      <c r="F594" s="392"/>
      <c r="G594" s="392"/>
      <c r="H594" s="389"/>
      <c r="I594" s="389"/>
      <c r="J594" s="389"/>
      <c r="K594" s="389"/>
      <c r="L594" s="389"/>
      <c r="M594" s="389"/>
      <c r="N594" s="389"/>
      <c r="O594" s="389"/>
      <c r="P594" s="389"/>
      <c r="Q594" s="389"/>
      <c r="R594" s="389"/>
      <c r="S594" s="389"/>
      <c r="T594" s="389"/>
      <c r="U594" s="389"/>
      <c r="V594" s="389"/>
      <c r="W594" s="389"/>
      <c r="X594" s="389"/>
      <c r="Y594" s="389"/>
      <c r="Z594" s="389"/>
      <c r="AA594" s="389"/>
      <c r="AB594" s="389"/>
      <c r="AC594" s="389"/>
      <c r="AD594" s="389"/>
      <c r="AE594" s="389"/>
      <c r="AF594" s="389"/>
    </row>
    <row r="595" hidden="1">
      <c r="A595" s="389"/>
      <c r="B595" s="389"/>
      <c r="C595" s="389"/>
      <c r="D595" s="389"/>
      <c r="E595" s="389"/>
      <c r="F595" s="392"/>
      <c r="G595" s="392"/>
      <c r="H595" s="389"/>
      <c r="I595" s="389"/>
      <c r="J595" s="389"/>
      <c r="K595" s="389"/>
      <c r="L595" s="389"/>
      <c r="M595" s="389"/>
      <c r="N595" s="389"/>
      <c r="O595" s="389"/>
      <c r="P595" s="389"/>
      <c r="Q595" s="389"/>
      <c r="R595" s="389"/>
      <c r="S595" s="389"/>
      <c r="T595" s="389"/>
      <c r="U595" s="389"/>
      <c r="V595" s="389"/>
      <c r="W595" s="389"/>
      <c r="X595" s="389"/>
      <c r="Y595" s="389"/>
      <c r="Z595" s="389"/>
      <c r="AA595" s="389"/>
      <c r="AB595" s="389"/>
      <c r="AC595" s="389"/>
      <c r="AD595" s="389"/>
      <c r="AE595" s="389"/>
      <c r="AF595" s="389"/>
    </row>
    <row r="596" hidden="1">
      <c r="A596" s="389"/>
      <c r="B596" s="389"/>
      <c r="C596" s="389"/>
      <c r="D596" s="389"/>
      <c r="E596" s="389"/>
      <c r="F596" s="392"/>
      <c r="G596" s="392"/>
      <c r="H596" s="389"/>
      <c r="I596" s="389"/>
      <c r="J596" s="389"/>
      <c r="K596" s="389"/>
      <c r="L596" s="389"/>
      <c r="M596" s="389"/>
      <c r="N596" s="389"/>
      <c r="O596" s="389"/>
      <c r="P596" s="389"/>
      <c r="Q596" s="389"/>
      <c r="R596" s="389"/>
      <c r="S596" s="389"/>
      <c r="T596" s="389"/>
      <c r="U596" s="389"/>
      <c r="V596" s="389"/>
      <c r="W596" s="389"/>
      <c r="X596" s="389"/>
      <c r="Y596" s="389"/>
      <c r="Z596" s="389"/>
      <c r="AA596" s="389"/>
      <c r="AB596" s="389"/>
      <c r="AC596" s="389"/>
      <c r="AD596" s="389"/>
      <c r="AE596" s="389"/>
      <c r="AF596" s="389"/>
    </row>
    <row r="597" hidden="1">
      <c r="A597" s="389"/>
      <c r="B597" s="389"/>
      <c r="C597" s="389"/>
      <c r="D597" s="389"/>
      <c r="E597" s="389"/>
      <c r="F597" s="392"/>
      <c r="G597" s="392"/>
      <c r="H597" s="389"/>
      <c r="I597" s="389"/>
      <c r="J597" s="389"/>
      <c r="K597" s="389"/>
      <c r="L597" s="389"/>
      <c r="M597" s="389"/>
      <c r="N597" s="389"/>
      <c r="O597" s="389"/>
      <c r="P597" s="389"/>
      <c r="Q597" s="389"/>
      <c r="R597" s="389"/>
      <c r="S597" s="389"/>
      <c r="T597" s="389"/>
      <c r="U597" s="389"/>
      <c r="V597" s="389"/>
      <c r="W597" s="389"/>
      <c r="X597" s="389"/>
      <c r="Y597" s="389"/>
      <c r="Z597" s="389"/>
      <c r="AA597" s="389"/>
      <c r="AB597" s="389"/>
      <c r="AC597" s="389"/>
      <c r="AD597" s="389"/>
      <c r="AE597" s="389"/>
      <c r="AF597" s="389"/>
    </row>
    <row r="598" hidden="1">
      <c r="A598" s="389"/>
      <c r="B598" s="389"/>
      <c r="C598" s="389"/>
      <c r="D598" s="389"/>
      <c r="E598" s="389"/>
      <c r="F598" s="392"/>
      <c r="G598" s="392"/>
      <c r="H598" s="389"/>
      <c r="I598" s="389"/>
      <c r="J598" s="389"/>
      <c r="K598" s="389"/>
      <c r="L598" s="389"/>
      <c r="M598" s="389"/>
      <c r="N598" s="389"/>
      <c r="O598" s="389"/>
      <c r="P598" s="389"/>
      <c r="Q598" s="389"/>
      <c r="R598" s="389"/>
      <c r="S598" s="389"/>
      <c r="T598" s="389"/>
      <c r="U598" s="389"/>
      <c r="V598" s="389"/>
      <c r="W598" s="389"/>
      <c r="X598" s="389"/>
      <c r="Y598" s="389"/>
      <c r="Z598" s="389"/>
      <c r="AA598" s="389"/>
      <c r="AB598" s="389"/>
      <c r="AC598" s="389"/>
      <c r="AD598" s="389"/>
      <c r="AE598" s="389"/>
      <c r="AF598" s="389"/>
    </row>
    <row r="599" hidden="1">
      <c r="A599" s="389"/>
      <c r="B599" s="389"/>
      <c r="C599" s="389"/>
      <c r="D599" s="389"/>
      <c r="E599" s="389"/>
      <c r="F599" s="392"/>
      <c r="G599" s="392"/>
      <c r="H599" s="389"/>
      <c r="I599" s="389"/>
      <c r="J599" s="389"/>
      <c r="K599" s="389"/>
      <c r="L599" s="389"/>
      <c r="M599" s="389"/>
      <c r="N599" s="389"/>
      <c r="O599" s="389"/>
      <c r="P599" s="389"/>
      <c r="Q599" s="389"/>
      <c r="R599" s="389"/>
      <c r="S599" s="389"/>
      <c r="T599" s="389"/>
      <c r="U599" s="389"/>
      <c r="V599" s="389"/>
      <c r="W599" s="389"/>
      <c r="X599" s="389"/>
      <c r="Y599" s="389"/>
      <c r="Z599" s="389"/>
      <c r="AA599" s="389"/>
      <c r="AB599" s="389"/>
      <c r="AC599" s="389"/>
      <c r="AD599" s="389"/>
      <c r="AE599" s="389"/>
      <c r="AF599" s="389"/>
    </row>
    <row r="600" hidden="1">
      <c r="A600" s="389"/>
      <c r="B600" s="389"/>
      <c r="C600" s="389"/>
      <c r="D600" s="389"/>
      <c r="E600" s="389"/>
      <c r="F600" s="392"/>
      <c r="G600" s="392"/>
      <c r="H600" s="389"/>
      <c r="I600" s="389"/>
      <c r="J600" s="389"/>
      <c r="K600" s="389"/>
      <c r="L600" s="389"/>
      <c r="M600" s="389"/>
      <c r="N600" s="389"/>
      <c r="O600" s="389"/>
      <c r="P600" s="389"/>
      <c r="Q600" s="389"/>
      <c r="R600" s="389"/>
      <c r="S600" s="389"/>
      <c r="T600" s="389"/>
      <c r="U600" s="389"/>
      <c r="V600" s="389"/>
      <c r="W600" s="389"/>
      <c r="X600" s="389"/>
      <c r="Y600" s="389"/>
      <c r="Z600" s="389"/>
      <c r="AA600" s="389"/>
      <c r="AB600" s="389"/>
      <c r="AC600" s="389"/>
      <c r="AD600" s="389"/>
      <c r="AE600" s="389"/>
      <c r="AF600" s="389"/>
    </row>
    <row r="601" hidden="1">
      <c r="A601" s="389"/>
      <c r="B601" s="389"/>
      <c r="C601" s="389"/>
      <c r="D601" s="389"/>
      <c r="E601" s="389"/>
      <c r="F601" s="392"/>
      <c r="G601" s="392"/>
      <c r="H601" s="389"/>
      <c r="I601" s="389"/>
      <c r="J601" s="389"/>
      <c r="K601" s="389"/>
      <c r="L601" s="389"/>
      <c r="M601" s="389"/>
      <c r="N601" s="389"/>
      <c r="O601" s="389"/>
      <c r="P601" s="389"/>
      <c r="Q601" s="389"/>
      <c r="R601" s="389"/>
      <c r="S601" s="389"/>
      <c r="T601" s="389"/>
      <c r="U601" s="389"/>
      <c r="V601" s="389"/>
      <c r="W601" s="389"/>
      <c r="X601" s="389"/>
      <c r="Y601" s="389"/>
      <c r="Z601" s="389"/>
      <c r="AA601" s="389"/>
      <c r="AB601" s="389"/>
      <c r="AC601" s="389"/>
      <c r="AD601" s="389"/>
      <c r="AE601" s="389"/>
      <c r="AF601" s="389"/>
    </row>
    <row r="602" hidden="1">
      <c r="A602" s="389"/>
      <c r="B602" s="389"/>
      <c r="C602" s="389"/>
      <c r="D602" s="389"/>
      <c r="E602" s="389"/>
      <c r="F602" s="392"/>
      <c r="G602" s="392"/>
      <c r="H602" s="389"/>
      <c r="I602" s="389"/>
      <c r="J602" s="389"/>
      <c r="K602" s="389"/>
      <c r="L602" s="389"/>
      <c r="M602" s="389"/>
      <c r="N602" s="389"/>
      <c r="O602" s="389"/>
      <c r="P602" s="389"/>
      <c r="Q602" s="389"/>
      <c r="R602" s="389"/>
      <c r="S602" s="389"/>
      <c r="T602" s="389"/>
      <c r="U602" s="389"/>
      <c r="V602" s="389"/>
      <c r="W602" s="389"/>
      <c r="X602" s="389"/>
      <c r="Y602" s="389"/>
      <c r="Z602" s="389"/>
      <c r="AA602" s="389"/>
      <c r="AB602" s="389"/>
      <c r="AC602" s="389"/>
      <c r="AD602" s="389"/>
      <c r="AE602" s="389"/>
      <c r="AF602" s="389"/>
    </row>
    <row r="603" hidden="1">
      <c r="A603" s="389"/>
      <c r="B603" s="389"/>
      <c r="C603" s="389"/>
      <c r="D603" s="389"/>
      <c r="E603" s="389"/>
      <c r="F603" s="392"/>
      <c r="G603" s="392"/>
      <c r="H603" s="389"/>
      <c r="I603" s="389"/>
      <c r="J603" s="389"/>
      <c r="K603" s="389"/>
      <c r="L603" s="389"/>
      <c r="M603" s="389"/>
      <c r="N603" s="389"/>
      <c r="O603" s="389"/>
      <c r="P603" s="389"/>
      <c r="Q603" s="389"/>
      <c r="R603" s="389"/>
      <c r="S603" s="389"/>
      <c r="T603" s="389"/>
      <c r="U603" s="389"/>
      <c r="V603" s="389"/>
      <c r="W603" s="389"/>
      <c r="X603" s="389"/>
      <c r="Y603" s="389"/>
      <c r="Z603" s="389"/>
      <c r="AA603" s="389"/>
      <c r="AB603" s="389"/>
      <c r="AC603" s="389"/>
      <c r="AD603" s="389"/>
      <c r="AE603" s="389"/>
      <c r="AF603" s="389"/>
    </row>
    <row r="604" hidden="1">
      <c r="A604" s="389"/>
      <c r="B604" s="389"/>
      <c r="C604" s="389"/>
      <c r="D604" s="389"/>
      <c r="E604" s="389"/>
      <c r="F604" s="392"/>
      <c r="G604" s="392"/>
      <c r="H604" s="389"/>
      <c r="I604" s="389"/>
      <c r="J604" s="389"/>
      <c r="K604" s="389"/>
      <c r="L604" s="389"/>
      <c r="M604" s="389"/>
      <c r="N604" s="389"/>
      <c r="O604" s="389"/>
      <c r="P604" s="389"/>
      <c r="Q604" s="389"/>
      <c r="R604" s="389"/>
      <c r="S604" s="389"/>
      <c r="T604" s="389"/>
      <c r="U604" s="389"/>
      <c r="V604" s="389"/>
      <c r="W604" s="389"/>
      <c r="X604" s="389"/>
      <c r="Y604" s="389"/>
      <c r="Z604" s="389"/>
      <c r="AA604" s="389"/>
      <c r="AB604" s="389"/>
      <c r="AC604" s="389"/>
      <c r="AD604" s="389"/>
      <c r="AE604" s="389"/>
      <c r="AF604" s="389"/>
    </row>
    <row r="605" hidden="1">
      <c r="A605" s="389"/>
      <c r="B605" s="389"/>
      <c r="C605" s="389"/>
      <c r="D605" s="389"/>
      <c r="E605" s="389"/>
      <c r="F605" s="392"/>
      <c r="G605" s="392"/>
      <c r="H605" s="389"/>
      <c r="I605" s="389"/>
      <c r="J605" s="389"/>
      <c r="K605" s="389"/>
      <c r="L605" s="389"/>
      <c r="M605" s="389"/>
      <c r="N605" s="389"/>
      <c r="O605" s="389"/>
      <c r="P605" s="389"/>
      <c r="Q605" s="389"/>
      <c r="R605" s="389"/>
      <c r="S605" s="389"/>
      <c r="T605" s="389"/>
      <c r="U605" s="389"/>
      <c r="V605" s="389"/>
      <c r="W605" s="389"/>
      <c r="X605" s="389"/>
      <c r="Y605" s="389"/>
      <c r="Z605" s="389"/>
      <c r="AA605" s="389"/>
      <c r="AB605" s="389"/>
      <c r="AC605" s="389"/>
      <c r="AD605" s="389"/>
      <c r="AE605" s="389"/>
      <c r="AF605" s="389"/>
    </row>
    <row r="606" hidden="1">
      <c r="A606" s="389"/>
      <c r="B606" s="389"/>
      <c r="C606" s="389"/>
      <c r="D606" s="389"/>
      <c r="E606" s="389"/>
      <c r="F606" s="392"/>
      <c r="G606" s="392"/>
      <c r="H606" s="389"/>
      <c r="I606" s="389"/>
      <c r="J606" s="389"/>
      <c r="K606" s="389"/>
      <c r="L606" s="389"/>
      <c r="M606" s="389"/>
      <c r="N606" s="389"/>
      <c r="O606" s="389"/>
      <c r="P606" s="389"/>
      <c r="Q606" s="389"/>
      <c r="R606" s="389"/>
      <c r="S606" s="389"/>
      <c r="T606" s="389"/>
      <c r="U606" s="389"/>
      <c r="V606" s="389"/>
      <c r="W606" s="389"/>
      <c r="X606" s="389"/>
      <c r="Y606" s="389"/>
      <c r="Z606" s="389"/>
      <c r="AA606" s="389"/>
      <c r="AB606" s="389"/>
      <c r="AC606" s="389"/>
      <c r="AD606" s="389"/>
      <c r="AE606" s="389"/>
      <c r="AF606" s="389"/>
    </row>
    <row r="607" hidden="1">
      <c r="A607" s="389"/>
      <c r="B607" s="389"/>
      <c r="C607" s="389"/>
      <c r="D607" s="389"/>
      <c r="E607" s="389"/>
      <c r="F607" s="392"/>
      <c r="G607" s="392"/>
      <c r="H607" s="389"/>
      <c r="I607" s="389"/>
      <c r="J607" s="389"/>
      <c r="K607" s="389"/>
      <c r="L607" s="389"/>
      <c r="M607" s="389"/>
      <c r="N607" s="389"/>
      <c r="O607" s="389"/>
      <c r="P607" s="389"/>
      <c r="Q607" s="389"/>
      <c r="R607" s="389"/>
      <c r="S607" s="389"/>
      <c r="T607" s="389"/>
      <c r="U607" s="389"/>
      <c r="V607" s="389"/>
      <c r="W607" s="389"/>
      <c r="X607" s="389"/>
      <c r="Y607" s="389"/>
      <c r="Z607" s="389"/>
      <c r="AA607" s="389"/>
      <c r="AB607" s="389"/>
      <c r="AC607" s="389"/>
      <c r="AD607" s="389"/>
      <c r="AE607" s="389"/>
      <c r="AF607" s="389"/>
    </row>
    <row r="608" hidden="1">
      <c r="A608" s="389"/>
      <c r="B608" s="389"/>
      <c r="C608" s="389"/>
      <c r="D608" s="389"/>
      <c r="E608" s="389"/>
      <c r="F608" s="392"/>
      <c r="G608" s="392"/>
      <c r="H608" s="389"/>
      <c r="I608" s="389"/>
      <c r="J608" s="389"/>
      <c r="K608" s="389"/>
      <c r="L608" s="389"/>
      <c r="M608" s="389"/>
      <c r="N608" s="389"/>
      <c r="O608" s="389"/>
      <c r="P608" s="389"/>
      <c r="Q608" s="389"/>
      <c r="R608" s="389"/>
      <c r="S608" s="389"/>
      <c r="T608" s="389"/>
      <c r="U608" s="389"/>
      <c r="V608" s="389"/>
      <c r="W608" s="389"/>
      <c r="X608" s="389"/>
      <c r="Y608" s="389"/>
      <c r="Z608" s="389"/>
      <c r="AA608" s="389"/>
      <c r="AB608" s="389"/>
      <c r="AC608" s="389"/>
      <c r="AD608" s="389"/>
      <c r="AE608" s="389"/>
      <c r="AF608" s="389"/>
    </row>
    <row r="609" hidden="1">
      <c r="A609" s="389"/>
      <c r="B609" s="389"/>
      <c r="C609" s="389"/>
      <c r="D609" s="389"/>
      <c r="E609" s="389"/>
      <c r="F609" s="392"/>
      <c r="G609" s="392"/>
      <c r="H609" s="389"/>
      <c r="I609" s="389"/>
      <c r="J609" s="389"/>
      <c r="K609" s="389"/>
      <c r="L609" s="389"/>
      <c r="M609" s="389"/>
      <c r="N609" s="389"/>
      <c r="O609" s="389"/>
      <c r="P609" s="389"/>
      <c r="Q609" s="389"/>
      <c r="R609" s="389"/>
      <c r="S609" s="389"/>
      <c r="T609" s="389"/>
      <c r="U609" s="389"/>
      <c r="V609" s="389"/>
      <c r="W609" s="389"/>
      <c r="X609" s="389"/>
      <c r="Y609" s="389"/>
      <c r="Z609" s="389"/>
      <c r="AA609" s="389"/>
      <c r="AB609" s="389"/>
      <c r="AC609" s="389"/>
      <c r="AD609" s="389"/>
      <c r="AE609" s="389"/>
      <c r="AF609" s="389"/>
    </row>
    <row r="610" hidden="1">
      <c r="A610" s="389"/>
      <c r="B610" s="389"/>
      <c r="C610" s="389"/>
      <c r="D610" s="389"/>
      <c r="E610" s="389"/>
      <c r="F610" s="392"/>
      <c r="G610" s="392"/>
      <c r="H610" s="389"/>
      <c r="I610" s="389"/>
      <c r="J610" s="389"/>
      <c r="K610" s="389"/>
      <c r="L610" s="389"/>
      <c r="M610" s="389"/>
      <c r="N610" s="389"/>
      <c r="O610" s="389"/>
      <c r="P610" s="389"/>
      <c r="Q610" s="389"/>
      <c r="R610" s="389"/>
      <c r="S610" s="389"/>
      <c r="T610" s="389"/>
      <c r="U610" s="389"/>
      <c r="V610" s="389"/>
      <c r="W610" s="389"/>
      <c r="X610" s="389"/>
      <c r="Y610" s="389"/>
      <c r="Z610" s="389"/>
      <c r="AA610" s="389"/>
      <c r="AB610" s="389"/>
      <c r="AC610" s="389"/>
      <c r="AD610" s="389"/>
      <c r="AE610" s="389"/>
      <c r="AF610" s="389"/>
    </row>
    <row r="611" hidden="1">
      <c r="A611" s="389"/>
      <c r="B611" s="389"/>
      <c r="C611" s="389"/>
      <c r="D611" s="389"/>
      <c r="E611" s="389"/>
      <c r="F611" s="392"/>
      <c r="G611" s="392"/>
      <c r="H611" s="389"/>
      <c r="I611" s="389"/>
      <c r="J611" s="389"/>
      <c r="K611" s="389"/>
      <c r="L611" s="389"/>
      <c r="M611" s="389"/>
      <c r="N611" s="389"/>
      <c r="O611" s="389"/>
      <c r="P611" s="389"/>
      <c r="Q611" s="389"/>
      <c r="R611" s="389"/>
      <c r="S611" s="389"/>
      <c r="T611" s="389"/>
      <c r="U611" s="389"/>
      <c r="V611" s="389"/>
      <c r="W611" s="389"/>
      <c r="X611" s="389"/>
      <c r="Y611" s="389"/>
      <c r="Z611" s="389"/>
      <c r="AA611" s="389"/>
      <c r="AB611" s="389"/>
      <c r="AC611" s="389"/>
      <c r="AD611" s="389"/>
      <c r="AE611" s="389"/>
      <c r="AF611" s="389"/>
    </row>
    <row r="612" hidden="1">
      <c r="A612" s="389"/>
      <c r="B612" s="389"/>
      <c r="C612" s="389"/>
      <c r="D612" s="389"/>
      <c r="E612" s="389"/>
      <c r="F612" s="392"/>
      <c r="G612" s="392"/>
      <c r="H612" s="389"/>
      <c r="I612" s="389"/>
      <c r="J612" s="389"/>
      <c r="K612" s="389"/>
      <c r="L612" s="389"/>
      <c r="M612" s="389"/>
      <c r="N612" s="389"/>
      <c r="O612" s="389"/>
      <c r="P612" s="389"/>
      <c r="Q612" s="389"/>
      <c r="R612" s="389"/>
      <c r="S612" s="389"/>
      <c r="T612" s="389"/>
      <c r="U612" s="389"/>
      <c r="V612" s="389"/>
      <c r="W612" s="389"/>
      <c r="X612" s="389"/>
      <c r="Y612" s="389"/>
      <c r="Z612" s="389"/>
      <c r="AA612" s="389"/>
      <c r="AB612" s="389"/>
      <c r="AC612" s="389"/>
      <c r="AD612" s="389"/>
      <c r="AE612" s="389"/>
      <c r="AF612" s="389"/>
    </row>
    <row r="613" hidden="1">
      <c r="A613" s="389"/>
      <c r="B613" s="389"/>
      <c r="C613" s="389"/>
      <c r="D613" s="389"/>
      <c r="E613" s="389"/>
      <c r="F613" s="392"/>
      <c r="G613" s="392"/>
      <c r="H613" s="389"/>
      <c r="I613" s="389"/>
      <c r="J613" s="389"/>
      <c r="K613" s="389"/>
      <c r="L613" s="389"/>
      <c r="M613" s="389"/>
      <c r="N613" s="389"/>
      <c r="O613" s="389"/>
      <c r="P613" s="389"/>
      <c r="Q613" s="389"/>
      <c r="R613" s="389"/>
      <c r="S613" s="389"/>
      <c r="T613" s="389"/>
      <c r="U613" s="389"/>
      <c r="V613" s="389"/>
      <c r="W613" s="389"/>
      <c r="X613" s="389"/>
      <c r="Y613" s="389"/>
      <c r="Z613" s="389"/>
      <c r="AA613" s="389"/>
      <c r="AB613" s="389"/>
      <c r="AC613" s="389"/>
      <c r="AD613" s="389"/>
      <c r="AE613" s="389"/>
      <c r="AF613" s="389"/>
    </row>
    <row r="614" hidden="1">
      <c r="A614" s="389"/>
      <c r="B614" s="389"/>
      <c r="C614" s="389"/>
      <c r="D614" s="389"/>
      <c r="E614" s="389"/>
      <c r="F614" s="392"/>
      <c r="G614" s="392"/>
      <c r="H614" s="389"/>
      <c r="I614" s="389"/>
      <c r="J614" s="389"/>
      <c r="K614" s="389"/>
      <c r="L614" s="389"/>
      <c r="M614" s="389"/>
      <c r="N614" s="389"/>
      <c r="O614" s="389"/>
      <c r="P614" s="389"/>
      <c r="Q614" s="389"/>
      <c r="R614" s="389"/>
      <c r="S614" s="389"/>
      <c r="T614" s="389"/>
      <c r="U614" s="389"/>
      <c r="V614" s="389"/>
      <c r="W614" s="389"/>
      <c r="X614" s="389"/>
      <c r="Y614" s="389"/>
      <c r="Z614" s="389"/>
      <c r="AA614" s="389"/>
      <c r="AB614" s="389"/>
      <c r="AC614" s="389"/>
      <c r="AD614" s="389"/>
      <c r="AE614" s="389"/>
      <c r="AF614" s="389"/>
    </row>
    <row r="615" hidden="1">
      <c r="A615" s="389"/>
      <c r="B615" s="389"/>
      <c r="C615" s="389"/>
      <c r="D615" s="389"/>
      <c r="E615" s="389"/>
      <c r="F615" s="392"/>
      <c r="G615" s="392"/>
      <c r="H615" s="389"/>
      <c r="I615" s="389"/>
      <c r="J615" s="389"/>
      <c r="K615" s="389"/>
      <c r="L615" s="389"/>
      <c r="M615" s="389"/>
      <c r="N615" s="389"/>
      <c r="O615" s="389"/>
      <c r="P615" s="389"/>
      <c r="Q615" s="389"/>
      <c r="R615" s="389"/>
      <c r="S615" s="389"/>
      <c r="T615" s="389"/>
      <c r="U615" s="389"/>
      <c r="V615" s="389"/>
      <c r="W615" s="389"/>
      <c r="X615" s="389"/>
      <c r="Y615" s="389"/>
      <c r="Z615" s="389"/>
      <c r="AA615" s="389"/>
      <c r="AB615" s="389"/>
      <c r="AC615" s="389"/>
      <c r="AD615" s="389"/>
      <c r="AE615" s="389"/>
      <c r="AF615" s="389"/>
    </row>
    <row r="616" hidden="1">
      <c r="A616" s="389"/>
      <c r="B616" s="389"/>
      <c r="C616" s="389"/>
      <c r="D616" s="389"/>
      <c r="E616" s="389"/>
      <c r="F616" s="392"/>
      <c r="G616" s="392"/>
      <c r="H616" s="389"/>
      <c r="I616" s="389"/>
      <c r="J616" s="389"/>
      <c r="K616" s="389"/>
      <c r="L616" s="389"/>
      <c r="M616" s="389"/>
      <c r="N616" s="389"/>
      <c r="O616" s="389"/>
      <c r="P616" s="389"/>
      <c r="Q616" s="389"/>
      <c r="R616" s="389"/>
      <c r="S616" s="389"/>
      <c r="T616" s="389"/>
      <c r="U616" s="389"/>
      <c r="V616" s="389"/>
      <c r="W616" s="389"/>
      <c r="X616" s="389"/>
      <c r="Y616" s="389"/>
      <c r="Z616" s="389"/>
      <c r="AA616" s="389"/>
      <c r="AB616" s="389"/>
      <c r="AC616" s="389"/>
      <c r="AD616" s="389"/>
      <c r="AE616" s="389"/>
      <c r="AF616" s="389"/>
    </row>
    <row r="617" hidden="1">
      <c r="A617" s="389"/>
      <c r="B617" s="389"/>
      <c r="C617" s="389"/>
      <c r="D617" s="389"/>
      <c r="E617" s="389"/>
      <c r="F617" s="392"/>
      <c r="G617" s="392"/>
      <c r="H617" s="389"/>
      <c r="I617" s="389"/>
      <c r="J617" s="389"/>
      <c r="K617" s="389"/>
      <c r="L617" s="389"/>
      <c r="M617" s="389"/>
      <c r="N617" s="389"/>
      <c r="O617" s="389"/>
      <c r="P617" s="389"/>
      <c r="Q617" s="389"/>
      <c r="R617" s="389"/>
      <c r="S617" s="389"/>
      <c r="T617" s="389"/>
      <c r="U617" s="389"/>
      <c r="V617" s="389"/>
      <c r="W617" s="389"/>
      <c r="X617" s="389"/>
      <c r="Y617" s="389"/>
      <c r="Z617" s="389"/>
      <c r="AA617" s="389"/>
      <c r="AB617" s="389"/>
      <c r="AC617" s="389"/>
      <c r="AD617" s="389"/>
      <c r="AE617" s="389"/>
      <c r="AF617" s="389"/>
    </row>
    <row r="618" hidden="1">
      <c r="A618" s="389"/>
      <c r="B618" s="389"/>
      <c r="C618" s="389"/>
      <c r="D618" s="389"/>
      <c r="E618" s="389"/>
      <c r="F618" s="392"/>
      <c r="G618" s="392"/>
      <c r="H618" s="389"/>
      <c r="I618" s="389"/>
      <c r="J618" s="389"/>
      <c r="K618" s="389"/>
      <c r="L618" s="389"/>
      <c r="M618" s="389"/>
      <c r="N618" s="389"/>
      <c r="O618" s="389"/>
      <c r="P618" s="389"/>
      <c r="Q618" s="389"/>
      <c r="R618" s="389"/>
      <c r="S618" s="389"/>
      <c r="T618" s="389"/>
      <c r="U618" s="389"/>
      <c r="V618" s="389"/>
      <c r="W618" s="389"/>
      <c r="X618" s="389"/>
      <c r="Y618" s="389"/>
      <c r="Z618" s="389"/>
      <c r="AA618" s="389"/>
      <c r="AB618" s="389"/>
      <c r="AC618" s="389"/>
      <c r="AD618" s="389"/>
      <c r="AE618" s="389"/>
      <c r="AF618" s="389"/>
    </row>
    <row r="619" hidden="1">
      <c r="A619" s="389"/>
      <c r="B619" s="389"/>
      <c r="C619" s="389"/>
      <c r="D619" s="389"/>
      <c r="E619" s="389"/>
      <c r="F619" s="392"/>
      <c r="G619" s="392"/>
      <c r="H619" s="389"/>
      <c r="I619" s="389"/>
      <c r="J619" s="389"/>
      <c r="K619" s="389"/>
      <c r="L619" s="389"/>
      <c r="M619" s="389"/>
      <c r="N619" s="389"/>
      <c r="O619" s="389"/>
      <c r="P619" s="389"/>
      <c r="Q619" s="389"/>
      <c r="R619" s="389"/>
      <c r="S619" s="389"/>
      <c r="T619" s="389"/>
      <c r="U619" s="389"/>
      <c r="V619" s="389"/>
      <c r="W619" s="389"/>
      <c r="X619" s="389"/>
      <c r="Y619" s="389"/>
      <c r="Z619" s="389"/>
      <c r="AA619" s="389"/>
      <c r="AB619" s="389"/>
      <c r="AC619" s="389"/>
      <c r="AD619" s="389"/>
      <c r="AE619" s="389"/>
      <c r="AF619" s="389"/>
    </row>
    <row r="620" hidden="1">
      <c r="A620" s="389"/>
      <c r="B620" s="389"/>
      <c r="C620" s="389"/>
      <c r="D620" s="389"/>
      <c r="E620" s="389"/>
      <c r="F620" s="392"/>
      <c r="G620" s="392"/>
      <c r="H620" s="389"/>
      <c r="I620" s="389"/>
      <c r="J620" s="389"/>
      <c r="K620" s="389"/>
      <c r="L620" s="389"/>
      <c r="M620" s="389"/>
      <c r="N620" s="389"/>
      <c r="O620" s="389"/>
      <c r="P620" s="389"/>
      <c r="Q620" s="389"/>
      <c r="R620" s="389"/>
      <c r="S620" s="389"/>
      <c r="T620" s="389"/>
      <c r="U620" s="389"/>
      <c r="V620" s="389"/>
      <c r="W620" s="389"/>
      <c r="X620" s="389"/>
      <c r="Y620" s="389"/>
      <c r="Z620" s="389"/>
      <c r="AA620" s="389"/>
      <c r="AB620" s="389"/>
      <c r="AC620" s="389"/>
      <c r="AD620" s="389"/>
      <c r="AE620" s="389"/>
      <c r="AF620" s="389"/>
    </row>
    <row r="621" hidden="1">
      <c r="A621" s="389"/>
      <c r="B621" s="389"/>
      <c r="C621" s="389"/>
      <c r="D621" s="389"/>
      <c r="E621" s="389"/>
      <c r="F621" s="392"/>
      <c r="G621" s="392"/>
      <c r="H621" s="389"/>
      <c r="I621" s="389"/>
      <c r="J621" s="389"/>
      <c r="K621" s="389"/>
      <c r="L621" s="389"/>
      <c r="M621" s="389"/>
      <c r="N621" s="389"/>
      <c r="O621" s="389"/>
      <c r="P621" s="389"/>
      <c r="Q621" s="389"/>
      <c r="R621" s="389"/>
      <c r="S621" s="389"/>
      <c r="T621" s="389"/>
      <c r="U621" s="389"/>
      <c r="V621" s="389"/>
      <c r="W621" s="389"/>
      <c r="X621" s="389"/>
      <c r="Y621" s="389"/>
      <c r="Z621" s="389"/>
      <c r="AA621" s="389"/>
      <c r="AB621" s="389"/>
      <c r="AC621" s="389"/>
      <c r="AD621" s="389"/>
      <c r="AE621" s="389"/>
      <c r="AF621" s="389"/>
    </row>
    <row r="622" hidden="1">
      <c r="A622" s="389"/>
      <c r="B622" s="389"/>
      <c r="C622" s="389"/>
      <c r="D622" s="389"/>
      <c r="E622" s="389"/>
      <c r="F622" s="392"/>
      <c r="G622" s="392"/>
      <c r="H622" s="389"/>
      <c r="I622" s="389"/>
      <c r="J622" s="389"/>
      <c r="K622" s="389"/>
      <c r="L622" s="389"/>
      <c r="M622" s="389"/>
      <c r="N622" s="389"/>
      <c r="O622" s="389"/>
      <c r="P622" s="389"/>
      <c r="Q622" s="389"/>
      <c r="R622" s="389"/>
      <c r="S622" s="389"/>
      <c r="T622" s="389"/>
      <c r="U622" s="389"/>
      <c r="V622" s="389"/>
      <c r="W622" s="389"/>
      <c r="X622" s="389"/>
      <c r="Y622" s="389"/>
      <c r="Z622" s="389"/>
      <c r="AA622" s="389"/>
      <c r="AB622" s="389"/>
      <c r="AC622" s="389"/>
      <c r="AD622" s="389"/>
      <c r="AE622" s="389"/>
      <c r="AF622" s="389"/>
    </row>
    <row r="623" hidden="1">
      <c r="A623" s="389"/>
      <c r="B623" s="389"/>
      <c r="C623" s="389"/>
      <c r="D623" s="389"/>
      <c r="E623" s="389"/>
      <c r="F623" s="392"/>
      <c r="G623" s="392"/>
      <c r="H623" s="389"/>
      <c r="I623" s="389"/>
      <c r="J623" s="389"/>
      <c r="K623" s="389"/>
      <c r="L623" s="389"/>
      <c r="M623" s="389"/>
      <c r="N623" s="389"/>
      <c r="O623" s="389"/>
      <c r="P623" s="389"/>
      <c r="Q623" s="389"/>
      <c r="R623" s="389"/>
      <c r="S623" s="389"/>
      <c r="T623" s="389"/>
      <c r="U623" s="389"/>
      <c r="V623" s="389"/>
      <c r="W623" s="389"/>
      <c r="X623" s="389"/>
      <c r="Y623" s="389"/>
      <c r="Z623" s="389"/>
      <c r="AA623" s="389"/>
      <c r="AB623" s="389"/>
      <c r="AC623" s="389"/>
      <c r="AD623" s="389"/>
      <c r="AE623" s="389"/>
      <c r="AF623" s="389"/>
    </row>
    <row r="624" hidden="1">
      <c r="A624" s="389"/>
      <c r="B624" s="389"/>
      <c r="C624" s="389"/>
      <c r="D624" s="389"/>
      <c r="E624" s="389"/>
      <c r="F624" s="392"/>
      <c r="G624" s="392"/>
      <c r="H624" s="389"/>
      <c r="I624" s="389"/>
      <c r="J624" s="389"/>
      <c r="K624" s="389"/>
      <c r="L624" s="389"/>
      <c r="M624" s="389"/>
      <c r="N624" s="389"/>
      <c r="O624" s="389"/>
      <c r="P624" s="389"/>
      <c r="Q624" s="389"/>
      <c r="R624" s="389"/>
      <c r="S624" s="389"/>
      <c r="T624" s="389"/>
      <c r="U624" s="389"/>
      <c r="V624" s="389"/>
      <c r="W624" s="389"/>
      <c r="X624" s="389"/>
      <c r="Y624" s="389"/>
      <c r="Z624" s="389"/>
      <c r="AA624" s="389"/>
      <c r="AB624" s="389"/>
      <c r="AC624" s="389"/>
      <c r="AD624" s="389"/>
      <c r="AE624" s="389"/>
      <c r="AF624" s="389"/>
    </row>
    <row r="625" hidden="1">
      <c r="A625" s="389"/>
      <c r="B625" s="389"/>
      <c r="C625" s="389"/>
      <c r="D625" s="389"/>
      <c r="E625" s="389"/>
      <c r="F625" s="392"/>
      <c r="G625" s="392"/>
      <c r="H625" s="389"/>
      <c r="I625" s="389"/>
      <c r="J625" s="389"/>
      <c r="K625" s="389"/>
      <c r="L625" s="389"/>
      <c r="M625" s="389"/>
      <c r="N625" s="389"/>
      <c r="O625" s="389"/>
      <c r="P625" s="389"/>
      <c r="Q625" s="389"/>
      <c r="R625" s="389"/>
      <c r="S625" s="389"/>
      <c r="T625" s="389"/>
      <c r="U625" s="389"/>
      <c r="V625" s="389"/>
      <c r="W625" s="389"/>
      <c r="X625" s="389"/>
      <c r="Y625" s="389"/>
      <c r="Z625" s="389"/>
      <c r="AA625" s="389"/>
      <c r="AB625" s="389"/>
      <c r="AC625" s="389"/>
      <c r="AD625" s="389"/>
      <c r="AE625" s="389"/>
      <c r="AF625" s="389"/>
    </row>
    <row r="626" hidden="1">
      <c r="A626" s="389"/>
      <c r="B626" s="389"/>
      <c r="C626" s="389"/>
      <c r="D626" s="389"/>
      <c r="E626" s="389"/>
      <c r="F626" s="392"/>
      <c r="G626" s="392"/>
      <c r="H626" s="389"/>
      <c r="I626" s="389"/>
      <c r="J626" s="389"/>
      <c r="K626" s="389"/>
      <c r="L626" s="389"/>
      <c r="M626" s="389"/>
      <c r="N626" s="389"/>
      <c r="O626" s="389"/>
      <c r="P626" s="389"/>
      <c r="Q626" s="389"/>
      <c r="R626" s="389"/>
      <c r="S626" s="389"/>
      <c r="T626" s="389"/>
      <c r="U626" s="389"/>
      <c r="V626" s="389"/>
      <c r="W626" s="389"/>
      <c r="X626" s="389"/>
      <c r="Y626" s="389"/>
      <c r="Z626" s="389"/>
      <c r="AA626" s="389"/>
      <c r="AB626" s="389"/>
      <c r="AC626" s="389"/>
      <c r="AD626" s="389"/>
      <c r="AE626" s="389"/>
      <c r="AF626" s="389"/>
    </row>
    <row r="627" hidden="1">
      <c r="A627" s="389"/>
      <c r="B627" s="389"/>
      <c r="C627" s="389"/>
      <c r="D627" s="389"/>
      <c r="E627" s="389"/>
      <c r="F627" s="392"/>
      <c r="G627" s="392"/>
      <c r="H627" s="389"/>
      <c r="I627" s="389"/>
      <c r="J627" s="389"/>
      <c r="K627" s="389"/>
      <c r="L627" s="389"/>
      <c r="M627" s="389"/>
      <c r="N627" s="389"/>
      <c r="O627" s="389"/>
      <c r="P627" s="389"/>
      <c r="Q627" s="389"/>
      <c r="R627" s="389"/>
      <c r="S627" s="389"/>
      <c r="T627" s="389"/>
      <c r="U627" s="389"/>
      <c r="V627" s="389"/>
      <c r="W627" s="389"/>
      <c r="X627" s="389"/>
      <c r="Y627" s="389"/>
      <c r="Z627" s="389"/>
      <c r="AA627" s="389"/>
      <c r="AB627" s="389"/>
      <c r="AC627" s="389"/>
      <c r="AD627" s="389"/>
      <c r="AE627" s="389"/>
      <c r="AF627" s="389"/>
    </row>
    <row r="628" hidden="1">
      <c r="A628" s="389"/>
      <c r="B628" s="389"/>
      <c r="C628" s="389"/>
      <c r="D628" s="389"/>
      <c r="E628" s="389"/>
      <c r="F628" s="392"/>
      <c r="G628" s="392"/>
      <c r="H628" s="389"/>
      <c r="I628" s="389"/>
      <c r="J628" s="389"/>
      <c r="K628" s="389"/>
      <c r="L628" s="389"/>
      <c r="M628" s="389"/>
      <c r="N628" s="389"/>
      <c r="O628" s="389"/>
      <c r="P628" s="389"/>
      <c r="Q628" s="389"/>
      <c r="R628" s="389"/>
      <c r="S628" s="389"/>
      <c r="T628" s="389"/>
      <c r="U628" s="389"/>
      <c r="V628" s="389"/>
      <c r="W628" s="389"/>
      <c r="X628" s="389"/>
      <c r="Y628" s="389"/>
      <c r="Z628" s="389"/>
      <c r="AA628" s="389"/>
      <c r="AB628" s="389"/>
      <c r="AC628" s="389"/>
      <c r="AD628" s="389"/>
      <c r="AE628" s="389"/>
      <c r="AF628" s="389"/>
    </row>
    <row r="629" hidden="1">
      <c r="A629" s="389"/>
      <c r="B629" s="389"/>
      <c r="C629" s="389"/>
      <c r="D629" s="389"/>
      <c r="E629" s="389"/>
      <c r="F629" s="392"/>
      <c r="G629" s="392"/>
      <c r="H629" s="389"/>
      <c r="I629" s="389"/>
      <c r="J629" s="389"/>
      <c r="K629" s="389"/>
      <c r="L629" s="389"/>
      <c r="M629" s="389"/>
      <c r="N629" s="389"/>
      <c r="O629" s="389"/>
      <c r="P629" s="389"/>
      <c r="Q629" s="389"/>
      <c r="R629" s="389"/>
      <c r="S629" s="389"/>
      <c r="T629" s="389"/>
      <c r="U629" s="389"/>
      <c r="V629" s="389"/>
      <c r="W629" s="389"/>
      <c r="X629" s="389"/>
      <c r="Y629" s="389"/>
      <c r="Z629" s="389"/>
      <c r="AA629" s="389"/>
      <c r="AB629" s="389"/>
      <c r="AC629" s="389"/>
      <c r="AD629" s="389"/>
      <c r="AE629" s="389"/>
      <c r="AF629" s="389"/>
    </row>
    <row r="630" hidden="1">
      <c r="A630" s="389"/>
      <c r="B630" s="389"/>
      <c r="C630" s="389"/>
      <c r="D630" s="389"/>
      <c r="E630" s="389"/>
      <c r="F630" s="392"/>
      <c r="G630" s="392"/>
      <c r="H630" s="389"/>
      <c r="I630" s="389"/>
      <c r="J630" s="389"/>
      <c r="K630" s="389"/>
      <c r="L630" s="389"/>
      <c r="M630" s="389"/>
      <c r="N630" s="389"/>
      <c r="O630" s="389"/>
      <c r="P630" s="389"/>
      <c r="Q630" s="389"/>
      <c r="R630" s="389"/>
      <c r="S630" s="389"/>
      <c r="T630" s="389"/>
      <c r="U630" s="389"/>
      <c r="V630" s="389"/>
      <c r="W630" s="389"/>
      <c r="X630" s="389"/>
      <c r="Y630" s="389"/>
      <c r="Z630" s="389"/>
      <c r="AA630" s="389"/>
      <c r="AB630" s="389"/>
      <c r="AC630" s="389"/>
      <c r="AD630" s="389"/>
      <c r="AE630" s="389"/>
      <c r="AF630" s="389"/>
    </row>
    <row r="631" hidden="1">
      <c r="A631" s="389"/>
      <c r="B631" s="389"/>
      <c r="C631" s="389"/>
      <c r="D631" s="389"/>
      <c r="E631" s="389"/>
      <c r="F631" s="392"/>
      <c r="G631" s="392"/>
      <c r="H631" s="389"/>
      <c r="I631" s="389"/>
      <c r="J631" s="389"/>
      <c r="K631" s="389"/>
      <c r="L631" s="389"/>
      <c r="M631" s="389"/>
      <c r="N631" s="389"/>
      <c r="O631" s="389"/>
      <c r="P631" s="389"/>
      <c r="Q631" s="389"/>
      <c r="R631" s="389"/>
      <c r="S631" s="389"/>
      <c r="T631" s="389"/>
      <c r="U631" s="389"/>
      <c r="V631" s="389"/>
      <c r="W631" s="389"/>
      <c r="X631" s="389"/>
      <c r="Y631" s="389"/>
      <c r="Z631" s="389"/>
      <c r="AA631" s="389"/>
      <c r="AB631" s="389"/>
      <c r="AC631" s="389"/>
      <c r="AD631" s="389"/>
      <c r="AE631" s="389"/>
      <c r="AF631" s="389"/>
    </row>
    <row r="632" hidden="1">
      <c r="A632" s="389"/>
      <c r="B632" s="389"/>
      <c r="C632" s="389"/>
      <c r="D632" s="389"/>
      <c r="E632" s="389"/>
      <c r="F632" s="392"/>
      <c r="G632" s="392"/>
      <c r="H632" s="389"/>
      <c r="I632" s="389"/>
      <c r="J632" s="389"/>
      <c r="K632" s="389"/>
      <c r="L632" s="389"/>
      <c r="M632" s="389"/>
      <c r="N632" s="389"/>
      <c r="O632" s="389"/>
      <c r="P632" s="389"/>
      <c r="Q632" s="389"/>
      <c r="R632" s="389"/>
      <c r="S632" s="389"/>
      <c r="T632" s="389"/>
      <c r="U632" s="389"/>
      <c r="V632" s="389"/>
      <c r="W632" s="389"/>
      <c r="X632" s="389"/>
      <c r="Y632" s="389"/>
      <c r="Z632" s="389"/>
      <c r="AA632" s="389"/>
      <c r="AB632" s="389"/>
      <c r="AC632" s="389"/>
      <c r="AD632" s="389"/>
      <c r="AE632" s="389"/>
      <c r="AF632" s="389"/>
    </row>
    <row r="633" hidden="1">
      <c r="A633" s="389"/>
      <c r="B633" s="389"/>
      <c r="C633" s="389"/>
      <c r="D633" s="389"/>
      <c r="E633" s="389"/>
      <c r="F633" s="392"/>
      <c r="G633" s="392"/>
      <c r="H633" s="389"/>
      <c r="I633" s="389"/>
      <c r="J633" s="389"/>
      <c r="K633" s="389"/>
      <c r="L633" s="389"/>
      <c r="M633" s="389"/>
      <c r="N633" s="389"/>
      <c r="O633" s="389"/>
      <c r="P633" s="389"/>
      <c r="Q633" s="389"/>
      <c r="R633" s="389"/>
      <c r="S633" s="389"/>
      <c r="T633" s="389"/>
      <c r="U633" s="389"/>
      <c r="V633" s="389"/>
      <c r="W633" s="389"/>
      <c r="X633" s="389"/>
      <c r="Y633" s="389"/>
      <c r="Z633" s="389"/>
      <c r="AA633" s="389"/>
      <c r="AB633" s="389"/>
      <c r="AC633" s="389"/>
      <c r="AD633" s="389"/>
      <c r="AE633" s="389"/>
      <c r="AF633" s="389"/>
    </row>
    <row r="634" hidden="1">
      <c r="A634" s="389"/>
      <c r="B634" s="389"/>
      <c r="C634" s="389"/>
      <c r="D634" s="389"/>
      <c r="E634" s="389"/>
      <c r="F634" s="392"/>
      <c r="G634" s="392"/>
      <c r="H634" s="389"/>
      <c r="I634" s="389"/>
      <c r="J634" s="389"/>
      <c r="K634" s="389"/>
      <c r="L634" s="389"/>
      <c r="M634" s="389"/>
      <c r="N634" s="389"/>
      <c r="O634" s="389"/>
      <c r="P634" s="389"/>
      <c r="Q634" s="389"/>
      <c r="R634" s="389"/>
      <c r="S634" s="389"/>
      <c r="T634" s="389"/>
      <c r="U634" s="389"/>
      <c r="V634" s="389"/>
      <c r="W634" s="389"/>
      <c r="X634" s="389"/>
      <c r="Y634" s="389"/>
      <c r="Z634" s="389"/>
      <c r="AA634" s="389"/>
      <c r="AB634" s="389"/>
      <c r="AC634" s="389"/>
      <c r="AD634" s="389"/>
      <c r="AE634" s="389"/>
      <c r="AF634" s="389"/>
    </row>
    <row r="635" hidden="1">
      <c r="A635" s="389"/>
      <c r="B635" s="389"/>
      <c r="C635" s="389"/>
      <c r="D635" s="389"/>
      <c r="E635" s="389"/>
      <c r="F635" s="392"/>
      <c r="G635" s="392"/>
      <c r="H635" s="389"/>
      <c r="I635" s="389"/>
      <c r="J635" s="389"/>
      <c r="K635" s="389"/>
      <c r="L635" s="389"/>
      <c r="M635" s="389"/>
      <c r="N635" s="389"/>
      <c r="O635" s="389"/>
      <c r="P635" s="389"/>
      <c r="Q635" s="389"/>
      <c r="R635" s="389"/>
      <c r="S635" s="389"/>
      <c r="T635" s="389"/>
      <c r="U635" s="389"/>
      <c r="V635" s="389"/>
      <c r="W635" s="389"/>
      <c r="X635" s="389"/>
      <c r="Y635" s="389"/>
      <c r="Z635" s="389"/>
      <c r="AA635" s="389"/>
      <c r="AB635" s="389"/>
      <c r="AC635" s="389"/>
      <c r="AD635" s="389"/>
      <c r="AE635" s="389"/>
      <c r="AF635" s="389"/>
    </row>
    <row r="636" hidden="1">
      <c r="A636" s="389"/>
      <c r="B636" s="389"/>
      <c r="C636" s="389"/>
      <c r="D636" s="389"/>
      <c r="E636" s="389"/>
      <c r="F636" s="392"/>
      <c r="G636" s="392"/>
      <c r="H636" s="389"/>
      <c r="I636" s="389"/>
      <c r="J636" s="389"/>
      <c r="K636" s="389"/>
      <c r="L636" s="389"/>
      <c r="M636" s="389"/>
      <c r="N636" s="389"/>
      <c r="O636" s="389"/>
      <c r="P636" s="389"/>
      <c r="Q636" s="389"/>
      <c r="R636" s="389"/>
      <c r="S636" s="389"/>
      <c r="T636" s="389"/>
      <c r="U636" s="389"/>
      <c r="V636" s="389"/>
      <c r="W636" s="389"/>
      <c r="X636" s="389"/>
      <c r="Y636" s="389"/>
      <c r="Z636" s="389"/>
      <c r="AA636" s="389"/>
      <c r="AB636" s="389"/>
      <c r="AC636" s="389"/>
      <c r="AD636" s="389"/>
      <c r="AE636" s="389"/>
      <c r="AF636" s="389"/>
    </row>
    <row r="637" hidden="1">
      <c r="A637" s="389"/>
      <c r="B637" s="389"/>
      <c r="C637" s="389"/>
      <c r="D637" s="389"/>
      <c r="E637" s="389"/>
      <c r="F637" s="392"/>
      <c r="G637" s="392"/>
      <c r="H637" s="389"/>
      <c r="I637" s="389"/>
      <c r="J637" s="389"/>
      <c r="K637" s="389"/>
      <c r="L637" s="389"/>
      <c r="M637" s="389"/>
      <c r="N637" s="389"/>
      <c r="O637" s="389"/>
      <c r="P637" s="389"/>
      <c r="Q637" s="389"/>
      <c r="R637" s="389"/>
      <c r="S637" s="389"/>
      <c r="T637" s="389"/>
      <c r="U637" s="389"/>
      <c r="V637" s="389"/>
      <c r="W637" s="389"/>
      <c r="X637" s="389"/>
      <c r="Y637" s="389"/>
      <c r="Z637" s="389"/>
      <c r="AA637" s="389"/>
      <c r="AB637" s="389"/>
      <c r="AC637" s="389"/>
      <c r="AD637" s="389"/>
      <c r="AE637" s="389"/>
      <c r="AF637" s="389"/>
    </row>
    <row r="638" hidden="1">
      <c r="A638" s="389"/>
      <c r="B638" s="389"/>
      <c r="C638" s="389"/>
      <c r="D638" s="389"/>
      <c r="E638" s="389"/>
      <c r="F638" s="392"/>
      <c r="G638" s="392"/>
      <c r="H638" s="389"/>
      <c r="I638" s="389"/>
      <c r="J638" s="389"/>
      <c r="K638" s="389"/>
      <c r="L638" s="389"/>
      <c r="M638" s="389"/>
      <c r="N638" s="389"/>
      <c r="O638" s="389"/>
      <c r="P638" s="389"/>
      <c r="Q638" s="389"/>
      <c r="R638" s="389"/>
      <c r="S638" s="389"/>
      <c r="T638" s="389"/>
      <c r="U638" s="389"/>
      <c r="V638" s="389"/>
      <c r="W638" s="389"/>
      <c r="X638" s="389"/>
      <c r="Y638" s="389"/>
      <c r="Z638" s="389"/>
      <c r="AA638" s="389"/>
      <c r="AB638" s="389"/>
      <c r="AC638" s="389"/>
      <c r="AD638" s="389"/>
      <c r="AE638" s="389"/>
      <c r="AF638" s="389"/>
    </row>
    <row r="639" hidden="1">
      <c r="A639" s="389"/>
      <c r="B639" s="389"/>
      <c r="C639" s="389"/>
      <c r="D639" s="389"/>
      <c r="E639" s="389"/>
      <c r="F639" s="392"/>
      <c r="G639" s="392"/>
      <c r="H639" s="389"/>
      <c r="I639" s="389"/>
      <c r="J639" s="389"/>
      <c r="K639" s="389"/>
      <c r="L639" s="389"/>
      <c r="M639" s="389"/>
      <c r="N639" s="389"/>
      <c r="O639" s="389"/>
      <c r="P639" s="389"/>
      <c r="Q639" s="389"/>
      <c r="R639" s="389"/>
      <c r="S639" s="389"/>
      <c r="T639" s="389"/>
      <c r="U639" s="389"/>
      <c r="V639" s="389"/>
      <c r="W639" s="389"/>
      <c r="X639" s="389"/>
      <c r="Y639" s="389"/>
      <c r="Z639" s="389"/>
      <c r="AA639" s="389"/>
      <c r="AB639" s="389"/>
      <c r="AC639" s="389"/>
      <c r="AD639" s="389"/>
      <c r="AE639" s="389"/>
      <c r="AF639" s="389"/>
    </row>
    <row r="640" hidden="1">
      <c r="A640" s="389"/>
      <c r="B640" s="389"/>
      <c r="C640" s="389"/>
      <c r="D640" s="389"/>
      <c r="E640" s="389"/>
      <c r="F640" s="392"/>
      <c r="G640" s="392"/>
      <c r="H640" s="389"/>
      <c r="I640" s="389"/>
      <c r="J640" s="389"/>
      <c r="K640" s="389"/>
      <c r="L640" s="389"/>
      <c r="M640" s="389"/>
      <c r="N640" s="389"/>
      <c r="O640" s="389"/>
      <c r="P640" s="389"/>
      <c r="Q640" s="389"/>
      <c r="R640" s="389"/>
      <c r="S640" s="389"/>
      <c r="T640" s="389"/>
      <c r="U640" s="389"/>
      <c r="V640" s="389"/>
      <c r="W640" s="389"/>
      <c r="X640" s="389"/>
      <c r="Y640" s="389"/>
      <c r="Z640" s="389"/>
      <c r="AA640" s="389"/>
      <c r="AB640" s="389"/>
      <c r="AC640" s="389"/>
      <c r="AD640" s="389"/>
      <c r="AE640" s="389"/>
      <c r="AF640" s="389"/>
    </row>
    <row r="641" hidden="1">
      <c r="A641" s="389"/>
      <c r="B641" s="389"/>
      <c r="C641" s="389"/>
      <c r="D641" s="389"/>
      <c r="E641" s="389"/>
      <c r="F641" s="392"/>
      <c r="G641" s="392"/>
      <c r="H641" s="389"/>
      <c r="I641" s="389"/>
      <c r="J641" s="389"/>
      <c r="K641" s="389"/>
      <c r="L641" s="389"/>
      <c r="M641" s="389"/>
      <c r="N641" s="389"/>
      <c r="O641" s="389"/>
      <c r="P641" s="389"/>
      <c r="Q641" s="389"/>
      <c r="R641" s="389"/>
      <c r="S641" s="389"/>
      <c r="T641" s="389"/>
      <c r="U641" s="389"/>
      <c r="V641" s="389"/>
      <c r="W641" s="389"/>
      <c r="X641" s="389"/>
      <c r="Y641" s="389"/>
      <c r="Z641" s="389"/>
      <c r="AA641" s="389"/>
      <c r="AB641" s="389"/>
      <c r="AC641" s="389"/>
      <c r="AD641" s="389"/>
      <c r="AE641" s="389"/>
      <c r="AF641" s="389"/>
    </row>
    <row r="642" hidden="1">
      <c r="A642" s="389"/>
      <c r="B642" s="389"/>
      <c r="C642" s="389"/>
      <c r="D642" s="389"/>
      <c r="E642" s="389"/>
      <c r="F642" s="392"/>
      <c r="G642" s="392"/>
      <c r="H642" s="389"/>
      <c r="I642" s="389"/>
      <c r="J642" s="389"/>
      <c r="K642" s="389"/>
      <c r="L642" s="389"/>
      <c r="M642" s="389"/>
      <c r="N642" s="389"/>
      <c r="O642" s="389"/>
      <c r="P642" s="389"/>
      <c r="Q642" s="389"/>
      <c r="R642" s="389"/>
      <c r="S642" s="389"/>
      <c r="T642" s="389"/>
      <c r="U642" s="389"/>
      <c r="V642" s="389"/>
      <c r="W642" s="389"/>
      <c r="X642" s="389"/>
      <c r="Y642" s="389"/>
      <c r="Z642" s="389"/>
      <c r="AA642" s="389"/>
      <c r="AB642" s="389"/>
      <c r="AC642" s="389"/>
      <c r="AD642" s="389"/>
      <c r="AE642" s="389"/>
      <c r="AF642" s="389"/>
    </row>
    <row r="643" hidden="1">
      <c r="A643" s="389"/>
      <c r="B643" s="389"/>
      <c r="C643" s="389"/>
      <c r="D643" s="389"/>
      <c r="E643" s="389"/>
      <c r="F643" s="392"/>
      <c r="G643" s="392"/>
      <c r="H643" s="389"/>
      <c r="I643" s="389"/>
      <c r="J643" s="389"/>
      <c r="K643" s="389"/>
      <c r="L643" s="389"/>
      <c r="M643" s="389"/>
      <c r="N643" s="389"/>
      <c r="O643" s="389"/>
      <c r="P643" s="389"/>
      <c r="Q643" s="389"/>
      <c r="R643" s="389"/>
      <c r="S643" s="389"/>
      <c r="T643" s="389"/>
      <c r="U643" s="389"/>
      <c r="V643" s="389"/>
      <c r="W643" s="389"/>
      <c r="X643" s="389"/>
      <c r="Y643" s="389"/>
      <c r="Z643" s="389"/>
      <c r="AA643" s="389"/>
      <c r="AB643" s="389"/>
      <c r="AC643" s="389"/>
      <c r="AD643" s="389"/>
      <c r="AE643" s="389"/>
      <c r="AF643" s="389"/>
    </row>
    <row r="644" hidden="1">
      <c r="A644" s="389"/>
      <c r="B644" s="389"/>
      <c r="C644" s="389"/>
      <c r="D644" s="389"/>
      <c r="E644" s="389"/>
      <c r="F644" s="392"/>
      <c r="G644" s="392"/>
      <c r="H644" s="389"/>
      <c r="I644" s="389"/>
      <c r="J644" s="389"/>
      <c r="K644" s="389"/>
      <c r="L644" s="389"/>
      <c r="M644" s="389"/>
      <c r="N644" s="389"/>
      <c r="O644" s="389"/>
      <c r="P644" s="389"/>
      <c r="Q644" s="389"/>
      <c r="R644" s="389"/>
      <c r="S644" s="389"/>
      <c r="T644" s="389"/>
      <c r="U644" s="389"/>
      <c r="V644" s="389"/>
      <c r="W644" s="389"/>
      <c r="X644" s="389"/>
      <c r="Y644" s="389"/>
      <c r="Z644" s="389"/>
      <c r="AA644" s="389"/>
      <c r="AB644" s="389"/>
      <c r="AC644" s="389"/>
      <c r="AD644" s="389"/>
      <c r="AE644" s="389"/>
      <c r="AF644" s="389"/>
    </row>
    <row r="645" hidden="1">
      <c r="A645" s="389"/>
      <c r="B645" s="389"/>
      <c r="C645" s="389"/>
      <c r="D645" s="389"/>
      <c r="E645" s="389"/>
      <c r="F645" s="392"/>
      <c r="G645" s="392"/>
      <c r="H645" s="389"/>
      <c r="I645" s="389"/>
      <c r="J645" s="389"/>
      <c r="K645" s="389"/>
      <c r="L645" s="389"/>
      <c r="M645" s="389"/>
      <c r="N645" s="389"/>
      <c r="O645" s="389"/>
      <c r="P645" s="389"/>
      <c r="Q645" s="389"/>
      <c r="R645" s="389"/>
      <c r="S645" s="389"/>
      <c r="T645" s="389"/>
      <c r="U645" s="389"/>
      <c r="V645" s="389"/>
      <c r="W645" s="389"/>
      <c r="X645" s="389"/>
      <c r="Y645" s="389"/>
      <c r="Z645" s="389"/>
      <c r="AA645" s="389"/>
      <c r="AB645" s="389"/>
      <c r="AC645" s="389"/>
      <c r="AD645" s="389"/>
      <c r="AE645" s="389"/>
      <c r="AF645" s="389"/>
    </row>
    <row r="646" hidden="1">
      <c r="A646" s="389"/>
      <c r="B646" s="389"/>
      <c r="C646" s="389"/>
      <c r="D646" s="389"/>
      <c r="E646" s="389"/>
      <c r="F646" s="392"/>
      <c r="G646" s="392"/>
      <c r="H646" s="389"/>
      <c r="I646" s="389"/>
      <c r="J646" s="389"/>
      <c r="K646" s="389"/>
      <c r="L646" s="389"/>
      <c r="M646" s="389"/>
      <c r="N646" s="389"/>
      <c r="O646" s="389"/>
      <c r="P646" s="389"/>
      <c r="Q646" s="389"/>
      <c r="R646" s="389"/>
      <c r="S646" s="389"/>
      <c r="T646" s="389"/>
      <c r="U646" s="389"/>
      <c r="V646" s="389"/>
      <c r="W646" s="389"/>
      <c r="X646" s="389"/>
      <c r="Y646" s="389"/>
      <c r="Z646" s="389"/>
      <c r="AA646" s="389"/>
      <c r="AB646" s="389"/>
      <c r="AC646" s="389"/>
      <c r="AD646" s="389"/>
      <c r="AE646" s="389"/>
      <c r="AF646" s="389"/>
    </row>
    <row r="647" hidden="1">
      <c r="A647" s="389"/>
      <c r="B647" s="389"/>
      <c r="C647" s="389"/>
      <c r="D647" s="389"/>
      <c r="E647" s="389"/>
      <c r="F647" s="392"/>
      <c r="G647" s="392"/>
      <c r="H647" s="389"/>
      <c r="I647" s="389"/>
      <c r="J647" s="389"/>
      <c r="K647" s="389"/>
      <c r="L647" s="389"/>
      <c r="M647" s="389"/>
      <c r="N647" s="389"/>
      <c r="O647" s="389"/>
      <c r="P647" s="389"/>
      <c r="Q647" s="389"/>
      <c r="R647" s="389"/>
      <c r="S647" s="389"/>
      <c r="T647" s="389"/>
      <c r="U647" s="389"/>
      <c r="V647" s="389"/>
      <c r="W647" s="389"/>
      <c r="X647" s="389"/>
      <c r="Y647" s="389"/>
      <c r="Z647" s="389"/>
      <c r="AA647" s="389"/>
      <c r="AB647" s="389"/>
      <c r="AC647" s="389"/>
      <c r="AD647" s="389"/>
      <c r="AE647" s="389"/>
      <c r="AF647" s="389"/>
    </row>
    <row r="648" hidden="1">
      <c r="A648" s="389"/>
      <c r="B648" s="389"/>
      <c r="C648" s="389"/>
      <c r="D648" s="389"/>
      <c r="E648" s="389"/>
      <c r="F648" s="392"/>
      <c r="G648" s="392"/>
      <c r="H648" s="389"/>
      <c r="I648" s="389"/>
      <c r="J648" s="389"/>
      <c r="K648" s="389"/>
      <c r="L648" s="389"/>
      <c r="M648" s="389"/>
      <c r="N648" s="389"/>
      <c r="O648" s="389"/>
      <c r="P648" s="389"/>
      <c r="Q648" s="389"/>
      <c r="R648" s="389"/>
      <c r="S648" s="389"/>
      <c r="T648" s="389"/>
      <c r="U648" s="389"/>
      <c r="V648" s="389"/>
      <c r="W648" s="389"/>
      <c r="X648" s="389"/>
      <c r="Y648" s="389"/>
      <c r="Z648" s="389"/>
      <c r="AA648" s="389"/>
      <c r="AB648" s="389"/>
      <c r="AC648" s="389"/>
      <c r="AD648" s="389"/>
      <c r="AE648" s="389"/>
      <c r="AF648" s="389"/>
    </row>
    <row r="649" hidden="1">
      <c r="A649" s="389"/>
      <c r="B649" s="389"/>
      <c r="C649" s="389"/>
      <c r="D649" s="389"/>
      <c r="E649" s="389"/>
      <c r="F649" s="392"/>
      <c r="G649" s="392"/>
      <c r="H649" s="389"/>
      <c r="I649" s="389"/>
      <c r="J649" s="389"/>
      <c r="K649" s="389"/>
      <c r="L649" s="389"/>
      <c r="M649" s="389"/>
      <c r="N649" s="389"/>
      <c r="O649" s="389"/>
      <c r="P649" s="389"/>
      <c r="Q649" s="389"/>
      <c r="R649" s="389"/>
      <c r="S649" s="389"/>
      <c r="T649" s="389"/>
      <c r="U649" s="389"/>
      <c r="V649" s="389"/>
      <c r="W649" s="389"/>
      <c r="X649" s="389"/>
      <c r="Y649" s="389"/>
      <c r="Z649" s="389"/>
      <c r="AA649" s="389"/>
      <c r="AB649" s="389"/>
      <c r="AC649" s="389"/>
      <c r="AD649" s="389"/>
      <c r="AE649" s="389"/>
      <c r="AF649" s="389"/>
    </row>
    <row r="650" hidden="1">
      <c r="A650" s="389"/>
      <c r="B650" s="389"/>
      <c r="C650" s="389"/>
      <c r="D650" s="389"/>
      <c r="E650" s="389"/>
      <c r="F650" s="392"/>
      <c r="G650" s="392"/>
      <c r="H650" s="389"/>
      <c r="I650" s="389"/>
      <c r="J650" s="389"/>
      <c r="K650" s="389"/>
      <c r="L650" s="389"/>
      <c r="M650" s="389"/>
      <c r="N650" s="389"/>
      <c r="O650" s="389"/>
      <c r="P650" s="389"/>
      <c r="Q650" s="389"/>
      <c r="R650" s="389"/>
      <c r="S650" s="389"/>
      <c r="T650" s="389"/>
      <c r="U650" s="389"/>
      <c r="V650" s="389"/>
      <c r="W650" s="389"/>
      <c r="X650" s="389"/>
      <c r="Y650" s="389"/>
      <c r="Z650" s="389"/>
      <c r="AA650" s="389"/>
      <c r="AB650" s="389"/>
      <c r="AC650" s="389"/>
      <c r="AD650" s="389"/>
      <c r="AE650" s="389"/>
      <c r="AF650" s="389"/>
    </row>
    <row r="651" hidden="1">
      <c r="A651" s="389"/>
      <c r="B651" s="389"/>
      <c r="C651" s="389"/>
      <c r="D651" s="389"/>
      <c r="E651" s="389"/>
      <c r="F651" s="392"/>
      <c r="G651" s="392"/>
      <c r="H651" s="389"/>
      <c r="I651" s="389"/>
      <c r="J651" s="389"/>
      <c r="K651" s="389"/>
      <c r="L651" s="389"/>
      <c r="M651" s="389"/>
      <c r="N651" s="389"/>
      <c r="O651" s="389"/>
      <c r="P651" s="389"/>
      <c r="Q651" s="389"/>
      <c r="R651" s="389"/>
      <c r="S651" s="389"/>
      <c r="T651" s="389"/>
      <c r="U651" s="389"/>
      <c r="V651" s="389"/>
      <c r="W651" s="389"/>
      <c r="X651" s="389"/>
      <c r="Y651" s="389"/>
      <c r="Z651" s="389"/>
      <c r="AA651" s="389"/>
      <c r="AB651" s="389"/>
      <c r="AC651" s="389"/>
      <c r="AD651" s="389"/>
      <c r="AE651" s="389"/>
      <c r="AF651" s="389"/>
    </row>
    <row r="652" hidden="1">
      <c r="A652" s="389"/>
      <c r="B652" s="389"/>
      <c r="C652" s="389"/>
      <c r="D652" s="389"/>
      <c r="E652" s="389"/>
      <c r="F652" s="392"/>
      <c r="G652" s="392"/>
      <c r="H652" s="389"/>
      <c r="I652" s="389"/>
      <c r="J652" s="389"/>
      <c r="K652" s="389"/>
      <c r="L652" s="389"/>
      <c r="M652" s="389"/>
      <c r="N652" s="389"/>
      <c r="O652" s="389"/>
      <c r="P652" s="389"/>
      <c r="Q652" s="389"/>
      <c r="R652" s="389"/>
      <c r="S652" s="389"/>
      <c r="T652" s="389"/>
      <c r="U652" s="389"/>
      <c r="V652" s="389"/>
      <c r="W652" s="389"/>
      <c r="X652" s="389"/>
      <c r="Y652" s="389"/>
      <c r="Z652" s="389"/>
      <c r="AA652" s="389"/>
      <c r="AB652" s="389"/>
      <c r="AC652" s="389"/>
      <c r="AD652" s="389"/>
      <c r="AE652" s="389"/>
      <c r="AF652" s="389"/>
    </row>
    <row r="653" hidden="1">
      <c r="A653" s="389"/>
      <c r="B653" s="389"/>
      <c r="C653" s="389"/>
      <c r="D653" s="389"/>
      <c r="E653" s="389"/>
      <c r="F653" s="392"/>
      <c r="G653" s="392"/>
      <c r="H653" s="389"/>
      <c r="I653" s="389"/>
      <c r="J653" s="389"/>
      <c r="K653" s="389"/>
      <c r="L653" s="389"/>
      <c r="M653" s="389"/>
      <c r="N653" s="389"/>
      <c r="O653" s="389"/>
      <c r="P653" s="389"/>
      <c r="Q653" s="389"/>
      <c r="R653" s="389"/>
      <c r="S653" s="389"/>
      <c r="T653" s="389"/>
      <c r="U653" s="389"/>
      <c r="V653" s="389"/>
      <c r="W653" s="389"/>
      <c r="X653" s="389"/>
      <c r="Y653" s="389"/>
      <c r="Z653" s="389"/>
      <c r="AA653" s="389"/>
      <c r="AB653" s="389"/>
      <c r="AC653" s="389"/>
      <c r="AD653" s="389"/>
      <c r="AE653" s="389"/>
      <c r="AF653" s="389"/>
    </row>
    <row r="654" hidden="1">
      <c r="A654" s="389"/>
      <c r="B654" s="389"/>
      <c r="C654" s="389"/>
      <c r="D654" s="389"/>
      <c r="E654" s="389"/>
      <c r="F654" s="392"/>
      <c r="G654" s="392"/>
      <c r="H654" s="389"/>
      <c r="I654" s="389"/>
      <c r="J654" s="389"/>
      <c r="K654" s="389"/>
      <c r="L654" s="389"/>
      <c r="M654" s="389"/>
      <c r="N654" s="389"/>
      <c r="O654" s="389"/>
      <c r="P654" s="389"/>
      <c r="Q654" s="389"/>
      <c r="R654" s="389"/>
      <c r="S654" s="389"/>
      <c r="T654" s="389"/>
      <c r="U654" s="389"/>
      <c r="V654" s="389"/>
      <c r="W654" s="389"/>
      <c r="X654" s="389"/>
      <c r="Y654" s="389"/>
      <c r="Z654" s="389"/>
      <c r="AA654" s="389"/>
      <c r="AB654" s="389"/>
      <c r="AC654" s="389"/>
      <c r="AD654" s="389"/>
      <c r="AE654" s="389"/>
      <c r="AF654" s="389"/>
    </row>
    <row r="655" hidden="1">
      <c r="A655" s="389"/>
      <c r="B655" s="389"/>
      <c r="C655" s="389"/>
      <c r="D655" s="389"/>
      <c r="E655" s="389"/>
      <c r="F655" s="392"/>
      <c r="G655" s="392"/>
      <c r="H655" s="389"/>
      <c r="I655" s="389"/>
      <c r="J655" s="389"/>
      <c r="K655" s="389"/>
      <c r="L655" s="389"/>
      <c r="M655" s="389"/>
      <c r="N655" s="389"/>
      <c r="O655" s="389"/>
      <c r="P655" s="389"/>
      <c r="Q655" s="389"/>
      <c r="R655" s="389"/>
      <c r="S655" s="389"/>
      <c r="T655" s="389"/>
      <c r="U655" s="389"/>
      <c r="V655" s="389"/>
      <c r="W655" s="389"/>
      <c r="X655" s="389"/>
      <c r="Y655" s="389"/>
      <c r="Z655" s="389"/>
      <c r="AA655" s="389"/>
      <c r="AB655" s="389"/>
      <c r="AC655" s="389"/>
      <c r="AD655" s="389"/>
      <c r="AE655" s="389"/>
      <c r="AF655" s="389"/>
    </row>
    <row r="656" hidden="1">
      <c r="A656" s="389"/>
      <c r="B656" s="389"/>
      <c r="C656" s="389"/>
      <c r="D656" s="389"/>
      <c r="E656" s="389"/>
      <c r="F656" s="392"/>
      <c r="G656" s="392"/>
      <c r="H656" s="389"/>
      <c r="I656" s="389"/>
      <c r="J656" s="389"/>
      <c r="K656" s="389"/>
      <c r="L656" s="389"/>
      <c r="M656" s="389"/>
      <c r="N656" s="389"/>
      <c r="O656" s="389"/>
      <c r="P656" s="389"/>
      <c r="Q656" s="389"/>
      <c r="R656" s="389"/>
      <c r="S656" s="389"/>
      <c r="T656" s="389"/>
      <c r="U656" s="389"/>
      <c r="V656" s="389"/>
      <c r="W656" s="389"/>
      <c r="X656" s="389"/>
      <c r="Y656" s="389"/>
      <c r="Z656" s="389"/>
      <c r="AA656" s="389"/>
      <c r="AB656" s="389"/>
      <c r="AC656" s="389"/>
      <c r="AD656" s="389"/>
      <c r="AE656" s="389"/>
      <c r="AF656" s="389"/>
    </row>
    <row r="657" hidden="1">
      <c r="A657" s="389"/>
      <c r="B657" s="389"/>
      <c r="C657" s="389"/>
      <c r="D657" s="389"/>
      <c r="E657" s="389"/>
      <c r="F657" s="392"/>
      <c r="G657" s="392"/>
      <c r="H657" s="389"/>
      <c r="I657" s="389"/>
      <c r="J657" s="389"/>
      <c r="K657" s="389"/>
      <c r="L657" s="389"/>
      <c r="M657" s="389"/>
      <c r="N657" s="389"/>
      <c r="O657" s="389"/>
      <c r="P657" s="389"/>
      <c r="Q657" s="389"/>
      <c r="R657" s="389"/>
      <c r="S657" s="389"/>
      <c r="T657" s="389"/>
      <c r="U657" s="389"/>
      <c r="V657" s="389"/>
      <c r="W657" s="389"/>
      <c r="X657" s="389"/>
      <c r="Y657" s="389"/>
      <c r="Z657" s="389"/>
      <c r="AA657" s="389"/>
      <c r="AB657" s="389"/>
      <c r="AC657" s="389"/>
      <c r="AD657" s="389"/>
      <c r="AE657" s="389"/>
      <c r="AF657" s="389"/>
    </row>
    <row r="658" hidden="1">
      <c r="A658" s="389"/>
      <c r="B658" s="389"/>
      <c r="C658" s="389"/>
      <c r="D658" s="389"/>
      <c r="E658" s="389"/>
      <c r="F658" s="392"/>
      <c r="G658" s="392"/>
      <c r="H658" s="389"/>
      <c r="I658" s="389"/>
      <c r="J658" s="389"/>
      <c r="K658" s="389"/>
      <c r="L658" s="389"/>
      <c r="M658" s="389"/>
      <c r="N658" s="389"/>
      <c r="O658" s="389"/>
      <c r="P658" s="389"/>
      <c r="Q658" s="389"/>
      <c r="R658" s="389"/>
      <c r="S658" s="389"/>
      <c r="T658" s="389"/>
      <c r="U658" s="389"/>
      <c r="V658" s="389"/>
      <c r="W658" s="389"/>
      <c r="X658" s="389"/>
      <c r="Y658" s="389"/>
      <c r="Z658" s="389"/>
      <c r="AA658" s="389"/>
      <c r="AB658" s="389"/>
      <c r="AC658" s="389"/>
      <c r="AD658" s="389"/>
      <c r="AE658" s="389"/>
      <c r="AF658" s="389"/>
    </row>
    <row r="659" hidden="1">
      <c r="A659" s="389"/>
      <c r="B659" s="389"/>
      <c r="C659" s="389"/>
      <c r="D659" s="389"/>
      <c r="E659" s="389"/>
      <c r="F659" s="392"/>
      <c r="G659" s="392"/>
      <c r="H659" s="389"/>
      <c r="I659" s="389"/>
      <c r="J659" s="389"/>
      <c r="K659" s="389"/>
      <c r="L659" s="389"/>
      <c r="M659" s="389"/>
      <c r="N659" s="389"/>
      <c r="O659" s="389"/>
      <c r="P659" s="389"/>
      <c r="Q659" s="389"/>
      <c r="R659" s="389"/>
      <c r="S659" s="389"/>
      <c r="T659" s="389"/>
      <c r="U659" s="389"/>
      <c r="V659" s="389"/>
      <c r="W659" s="389"/>
      <c r="X659" s="389"/>
      <c r="Y659" s="389"/>
      <c r="Z659" s="389"/>
      <c r="AA659" s="389"/>
      <c r="AB659" s="389"/>
      <c r="AC659" s="389"/>
      <c r="AD659" s="389"/>
      <c r="AE659" s="389"/>
      <c r="AF659" s="389"/>
    </row>
    <row r="660" hidden="1">
      <c r="A660" s="389"/>
      <c r="B660" s="389"/>
      <c r="C660" s="389"/>
      <c r="D660" s="389"/>
      <c r="E660" s="389"/>
      <c r="F660" s="392"/>
      <c r="G660" s="392"/>
      <c r="H660" s="389"/>
      <c r="I660" s="389"/>
      <c r="J660" s="389"/>
      <c r="K660" s="389"/>
      <c r="L660" s="389"/>
      <c r="M660" s="389"/>
      <c r="N660" s="389"/>
      <c r="O660" s="389"/>
      <c r="P660" s="389"/>
      <c r="Q660" s="389"/>
      <c r="R660" s="389"/>
      <c r="S660" s="389"/>
      <c r="T660" s="389"/>
      <c r="U660" s="389"/>
      <c r="V660" s="389"/>
      <c r="W660" s="389"/>
      <c r="X660" s="389"/>
      <c r="Y660" s="389"/>
      <c r="Z660" s="389"/>
      <c r="AA660" s="389"/>
      <c r="AB660" s="389"/>
      <c r="AC660" s="389"/>
      <c r="AD660" s="389"/>
      <c r="AE660" s="389"/>
      <c r="AF660" s="389"/>
    </row>
    <row r="661" hidden="1">
      <c r="A661" s="389"/>
      <c r="B661" s="389"/>
      <c r="C661" s="389"/>
      <c r="D661" s="389"/>
      <c r="E661" s="389"/>
      <c r="F661" s="392"/>
      <c r="G661" s="392"/>
      <c r="H661" s="389"/>
      <c r="I661" s="389"/>
      <c r="J661" s="389"/>
      <c r="K661" s="389"/>
      <c r="L661" s="389"/>
      <c r="M661" s="389"/>
      <c r="N661" s="389"/>
      <c r="O661" s="389"/>
      <c r="P661" s="389"/>
      <c r="Q661" s="389"/>
      <c r="R661" s="389"/>
      <c r="S661" s="389"/>
      <c r="T661" s="389"/>
      <c r="U661" s="389"/>
      <c r="V661" s="389"/>
      <c r="W661" s="389"/>
      <c r="X661" s="389"/>
      <c r="Y661" s="389"/>
      <c r="Z661" s="389"/>
      <c r="AA661" s="389"/>
      <c r="AB661" s="389"/>
      <c r="AC661" s="389"/>
      <c r="AD661" s="389"/>
      <c r="AE661" s="389"/>
      <c r="AF661" s="389"/>
    </row>
    <row r="662" hidden="1">
      <c r="A662" s="389"/>
      <c r="B662" s="389"/>
      <c r="C662" s="389"/>
      <c r="D662" s="389"/>
      <c r="E662" s="389"/>
      <c r="F662" s="392"/>
      <c r="G662" s="392"/>
      <c r="H662" s="389"/>
      <c r="I662" s="389"/>
      <c r="J662" s="389"/>
      <c r="K662" s="389"/>
      <c r="L662" s="389"/>
      <c r="M662" s="389"/>
      <c r="N662" s="389"/>
      <c r="O662" s="389"/>
      <c r="P662" s="389"/>
      <c r="Q662" s="389"/>
      <c r="R662" s="389"/>
      <c r="S662" s="389"/>
      <c r="T662" s="389"/>
      <c r="U662" s="389"/>
      <c r="V662" s="389"/>
      <c r="W662" s="389"/>
      <c r="X662" s="389"/>
      <c r="Y662" s="389"/>
      <c r="Z662" s="389"/>
      <c r="AA662" s="389"/>
      <c r="AB662" s="389"/>
      <c r="AC662" s="389"/>
      <c r="AD662" s="389"/>
      <c r="AE662" s="389"/>
      <c r="AF662" s="389"/>
    </row>
    <row r="663" hidden="1">
      <c r="A663" s="389"/>
      <c r="B663" s="389"/>
      <c r="C663" s="389"/>
      <c r="D663" s="389"/>
      <c r="E663" s="389"/>
      <c r="F663" s="392"/>
      <c r="G663" s="392"/>
      <c r="H663" s="389"/>
      <c r="I663" s="389"/>
      <c r="J663" s="389"/>
      <c r="K663" s="389"/>
      <c r="L663" s="389"/>
      <c r="M663" s="389"/>
      <c r="N663" s="389"/>
      <c r="O663" s="389"/>
      <c r="P663" s="389"/>
      <c r="Q663" s="389"/>
      <c r="R663" s="389"/>
      <c r="S663" s="389"/>
      <c r="T663" s="389"/>
      <c r="U663" s="389"/>
      <c r="V663" s="389"/>
      <c r="W663" s="389"/>
      <c r="X663" s="389"/>
      <c r="Y663" s="389"/>
      <c r="Z663" s="389"/>
      <c r="AA663" s="389"/>
      <c r="AB663" s="389"/>
      <c r="AC663" s="389"/>
      <c r="AD663" s="389"/>
      <c r="AE663" s="389"/>
      <c r="AF663" s="389"/>
    </row>
    <row r="664" hidden="1">
      <c r="A664" s="389"/>
      <c r="B664" s="389"/>
      <c r="C664" s="389"/>
      <c r="D664" s="389"/>
      <c r="E664" s="389"/>
      <c r="F664" s="392"/>
      <c r="G664" s="392"/>
      <c r="H664" s="389"/>
      <c r="I664" s="389"/>
      <c r="J664" s="389"/>
      <c r="K664" s="389"/>
      <c r="L664" s="389"/>
      <c r="M664" s="389"/>
      <c r="N664" s="389"/>
      <c r="O664" s="389"/>
      <c r="P664" s="389"/>
      <c r="Q664" s="389"/>
      <c r="R664" s="389"/>
      <c r="S664" s="389"/>
      <c r="T664" s="389"/>
      <c r="U664" s="389"/>
      <c r="V664" s="389"/>
      <c r="W664" s="389"/>
      <c r="X664" s="389"/>
      <c r="Y664" s="389"/>
      <c r="Z664" s="389"/>
      <c r="AA664" s="389"/>
      <c r="AB664" s="389"/>
      <c r="AC664" s="389"/>
      <c r="AD664" s="389"/>
      <c r="AE664" s="389"/>
      <c r="AF664" s="389"/>
    </row>
    <row r="665" hidden="1">
      <c r="A665" s="389"/>
      <c r="B665" s="389"/>
      <c r="C665" s="389"/>
      <c r="D665" s="389"/>
      <c r="E665" s="389"/>
      <c r="F665" s="392"/>
      <c r="G665" s="392"/>
      <c r="H665" s="389"/>
      <c r="I665" s="389"/>
      <c r="J665" s="389"/>
      <c r="K665" s="389"/>
      <c r="L665" s="389"/>
      <c r="M665" s="389"/>
      <c r="N665" s="389"/>
      <c r="O665" s="389"/>
      <c r="P665" s="389"/>
      <c r="Q665" s="389"/>
      <c r="R665" s="389"/>
      <c r="S665" s="389"/>
      <c r="T665" s="389"/>
      <c r="U665" s="389"/>
      <c r="V665" s="389"/>
      <c r="W665" s="389"/>
      <c r="X665" s="389"/>
      <c r="Y665" s="389"/>
      <c r="Z665" s="389"/>
      <c r="AA665" s="389"/>
      <c r="AB665" s="389"/>
      <c r="AC665" s="389"/>
      <c r="AD665" s="389"/>
      <c r="AE665" s="389"/>
      <c r="AF665" s="389"/>
    </row>
    <row r="666" hidden="1">
      <c r="A666" s="389"/>
      <c r="B666" s="389"/>
      <c r="C666" s="389"/>
      <c r="D666" s="389"/>
      <c r="E666" s="389"/>
      <c r="F666" s="392"/>
      <c r="G666" s="392"/>
      <c r="H666" s="389"/>
      <c r="I666" s="389"/>
      <c r="J666" s="389"/>
      <c r="K666" s="389"/>
      <c r="L666" s="389"/>
      <c r="M666" s="389"/>
      <c r="N666" s="389"/>
      <c r="O666" s="389"/>
      <c r="P666" s="389"/>
      <c r="Q666" s="389"/>
      <c r="R666" s="389"/>
      <c r="S666" s="389"/>
      <c r="T666" s="389"/>
      <c r="U666" s="389"/>
      <c r="V666" s="389"/>
      <c r="W666" s="389"/>
      <c r="X666" s="389"/>
      <c r="Y666" s="389"/>
      <c r="Z666" s="389"/>
      <c r="AA666" s="389"/>
      <c r="AB666" s="389"/>
      <c r="AC666" s="389"/>
      <c r="AD666" s="389"/>
      <c r="AE666" s="389"/>
      <c r="AF666" s="389"/>
    </row>
    <row r="667" hidden="1">
      <c r="A667" s="389"/>
      <c r="B667" s="389"/>
      <c r="C667" s="389"/>
      <c r="D667" s="389"/>
      <c r="E667" s="389"/>
      <c r="F667" s="392"/>
      <c r="G667" s="392"/>
      <c r="H667" s="389"/>
      <c r="I667" s="389"/>
      <c r="J667" s="389"/>
      <c r="K667" s="389"/>
      <c r="L667" s="389"/>
      <c r="M667" s="389"/>
      <c r="N667" s="389"/>
      <c r="O667" s="389"/>
      <c r="P667" s="389"/>
      <c r="Q667" s="389"/>
      <c r="R667" s="389"/>
      <c r="S667" s="389"/>
      <c r="T667" s="389"/>
      <c r="U667" s="389"/>
      <c r="V667" s="389"/>
      <c r="W667" s="389"/>
      <c r="X667" s="389"/>
      <c r="Y667" s="389"/>
      <c r="Z667" s="389"/>
      <c r="AA667" s="389"/>
      <c r="AB667" s="389"/>
      <c r="AC667" s="389"/>
      <c r="AD667" s="389"/>
      <c r="AE667" s="389"/>
      <c r="AF667" s="389"/>
    </row>
    <row r="668" hidden="1">
      <c r="A668" s="389"/>
      <c r="B668" s="389"/>
      <c r="C668" s="389"/>
      <c r="D668" s="389"/>
      <c r="E668" s="389"/>
      <c r="F668" s="392"/>
      <c r="G668" s="392"/>
      <c r="H668" s="389"/>
      <c r="I668" s="389"/>
      <c r="J668" s="389"/>
      <c r="K668" s="389"/>
      <c r="L668" s="389"/>
      <c r="M668" s="389"/>
      <c r="N668" s="389"/>
      <c r="O668" s="389"/>
      <c r="P668" s="389"/>
      <c r="Q668" s="389"/>
      <c r="R668" s="389"/>
      <c r="S668" s="389"/>
      <c r="T668" s="389"/>
      <c r="U668" s="389"/>
      <c r="V668" s="389"/>
      <c r="W668" s="389"/>
      <c r="X668" s="389"/>
      <c r="Y668" s="389"/>
      <c r="Z668" s="389"/>
      <c r="AA668" s="389"/>
      <c r="AB668" s="389"/>
      <c r="AC668" s="389"/>
      <c r="AD668" s="389"/>
      <c r="AE668" s="389"/>
      <c r="AF668" s="389"/>
    </row>
    <row r="669" hidden="1">
      <c r="A669" s="389"/>
      <c r="B669" s="389"/>
      <c r="C669" s="389"/>
      <c r="D669" s="389"/>
      <c r="E669" s="389"/>
      <c r="F669" s="392"/>
      <c r="G669" s="392"/>
      <c r="H669" s="389"/>
      <c r="I669" s="389"/>
      <c r="J669" s="389"/>
      <c r="K669" s="389"/>
      <c r="L669" s="389"/>
      <c r="M669" s="389"/>
      <c r="N669" s="389"/>
      <c r="O669" s="389"/>
      <c r="P669" s="389"/>
      <c r="Q669" s="389"/>
      <c r="R669" s="389"/>
      <c r="S669" s="389"/>
      <c r="T669" s="389"/>
      <c r="U669" s="389"/>
      <c r="V669" s="389"/>
      <c r="W669" s="389"/>
      <c r="X669" s="389"/>
      <c r="Y669" s="389"/>
      <c r="Z669" s="389"/>
      <c r="AA669" s="389"/>
      <c r="AB669" s="389"/>
      <c r="AC669" s="389"/>
      <c r="AD669" s="389"/>
      <c r="AE669" s="389"/>
      <c r="AF669" s="389"/>
    </row>
    <row r="670" hidden="1">
      <c r="A670" s="389"/>
      <c r="B670" s="389"/>
      <c r="C670" s="389"/>
      <c r="D670" s="389"/>
      <c r="E670" s="389"/>
      <c r="F670" s="392"/>
      <c r="G670" s="392"/>
      <c r="H670" s="389"/>
      <c r="I670" s="389"/>
      <c r="J670" s="389"/>
      <c r="K670" s="389"/>
      <c r="L670" s="389"/>
      <c r="M670" s="389"/>
      <c r="N670" s="389"/>
      <c r="O670" s="389"/>
      <c r="P670" s="389"/>
      <c r="Q670" s="389"/>
      <c r="R670" s="389"/>
      <c r="S670" s="389"/>
      <c r="T670" s="389"/>
      <c r="U670" s="389"/>
      <c r="V670" s="389"/>
      <c r="W670" s="389"/>
      <c r="X670" s="389"/>
      <c r="Y670" s="389"/>
      <c r="Z670" s="389"/>
      <c r="AA670" s="389"/>
      <c r="AB670" s="389"/>
      <c r="AC670" s="389"/>
      <c r="AD670" s="389"/>
      <c r="AE670" s="389"/>
      <c r="AF670" s="389"/>
    </row>
    <row r="671" hidden="1">
      <c r="A671" s="389"/>
      <c r="B671" s="389"/>
      <c r="C671" s="389"/>
      <c r="D671" s="389"/>
      <c r="E671" s="389"/>
      <c r="F671" s="392"/>
      <c r="G671" s="392"/>
      <c r="H671" s="389"/>
      <c r="I671" s="389"/>
      <c r="J671" s="389"/>
      <c r="K671" s="389"/>
      <c r="L671" s="389"/>
      <c r="M671" s="389"/>
      <c r="N671" s="389"/>
      <c r="O671" s="389"/>
      <c r="P671" s="389"/>
      <c r="Q671" s="389"/>
      <c r="R671" s="389"/>
      <c r="S671" s="389"/>
      <c r="T671" s="389"/>
      <c r="U671" s="389"/>
      <c r="V671" s="389"/>
      <c r="W671" s="389"/>
      <c r="X671" s="389"/>
      <c r="Y671" s="389"/>
      <c r="Z671" s="389"/>
      <c r="AA671" s="389"/>
      <c r="AB671" s="389"/>
      <c r="AC671" s="389"/>
      <c r="AD671" s="389"/>
      <c r="AE671" s="389"/>
      <c r="AF671" s="389"/>
    </row>
    <row r="672" hidden="1">
      <c r="A672" s="389"/>
      <c r="B672" s="389"/>
      <c r="C672" s="389"/>
      <c r="D672" s="389"/>
      <c r="E672" s="389"/>
      <c r="F672" s="392"/>
      <c r="G672" s="392"/>
      <c r="H672" s="389"/>
      <c r="I672" s="389"/>
      <c r="J672" s="389"/>
      <c r="K672" s="389"/>
      <c r="L672" s="389"/>
      <c r="M672" s="389"/>
      <c r="N672" s="389"/>
      <c r="O672" s="389"/>
      <c r="P672" s="389"/>
      <c r="Q672" s="389"/>
      <c r="R672" s="389"/>
      <c r="S672" s="389"/>
      <c r="T672" s="389"/>
      <c r="U672" s="389"/>
      <c r="V672" s="389"/>
      <c r="W672" s="389"/>
      <c r="X672" s="389"/>
      <c r="Y672" s="389"/>
      <c r="Z672" s="389"/>
      <c r="AA672" s="389"/>
      <c r="AB672" s="389"/>
      <c r="AC672" s="389"/>
      <c r="AD672" s="389"/>
      <c r="AE672" s="389"/>
      <c r="AF672" s="389"/>
    </row>
    <row r="673" hidden="1">
      <c r="A673" s="389"/>
      <c r="B673" s="389"/>
      <c r="C673" s="389"/>
      <c r="D673" s="389"/>
      <c r="E673" s="389"/>
      <c r="F673" s="392"/>
      <c r="G673" s="392"/>
      <c r="H673" s="389"/>
      <c r="I673" s="389"/>
      <c r="J673" s="389"/>
      <c r="K673" s="389"/>
      <c r="L673" s="389"/>
      <c r="M673" s="389"/>
      <c r="N673" s="389"/>
      <c r="O673" s="389"/>
      <c r="P673" s="389"/>
      <c r="Q673" s="389"/>
      <c r="R673" s="389"/>
      <c r="S673" s="389"/>
      <c r="T673" s="389"/>
      <c r="U673" s="389"/>
      <c r="V673" s="389"/>
      <c r="W673" s="389"/>
      <c r="X673" s="389"/>
      <c r="Y673" s="389"/>
      <c r="Z673" s="389"/>
      <c r="AA673" s="389"/>
      <c r="AB673" s="389"/>
      <c r="AC673" s="389"/>
      <c r="AD673" s="389"/>
      <c r="AE673" s="389"/>
      <c r="AF673" s="389"/>
    </row>
    <row r="674" hidden="1">
      <c r="A674" s="389"/>
      <c r="B674" s="389"/>
      <c r="C674" s="389"/>
      <c r="D674" s="389"/>
      <c r="E674" s="389"/>
      <c r="F674" s="392"/>
      <c r="G674" s="392"/>
      <c r="H674" s="389"/>
      <c r="I674" s="389"/>
      <c r="J674" s="389"/>
      <c r="K674" s="389"/>
      <c r="L674" s="389"/>
      <c r="M674" s="389"/>
      <c r="N674" s="389"/>
      <c r="O674" s="389"/>
      <c r="P674" s="389"/>
      <c r="Q674" s="389"/>
      <c r="R674" s="389"/>
      <c r="S674" s="389"/>
      <c r="T674" s="389"/>
      <c r="U674" s="389"/>
      <c r="V674" s="389"/>
      <c r="W674" s="389"/>
      <c r="X674" s="389"/>
      <c r="Y674" s="389"/>
      <c r="Z674" s="389"/>
      <c r="AA674" s="389"/>
      <c r="AB674" s="389"/>
      <c r="AC674" s="389"/>
      <c r="AD674" s="389"/>
      <c r="AE674" s="389"/>
      <c r="AF674" s="389"/>
    </row>
    <row r="675" hidden="1">
      <c r="A675" s="389"/>
      <c r="B675" s="389"/>
      <c r="C675" s="389"/>
      <c r="D675" s="389"/>
      <c r="E675" s="389"/>
      <c r="F675" s="392"/>
      <c r="G675" s="392"/>
      <c r="H675" s="389"/>
      <c r="I675" s="389"/>
      <c r="J675" s="389"/>
      <c r="K675" s="389"/>
      <c r="L675" s="389"/>
      <c r="M675" s="389"/>
      <c r="N675" s="389"/>
      <c r="O675" s="389"/>
      <c r="P675" s="389"/>
      <c r="Q675" s="389"/>
      <c r="R675" s="389"/>
      <c r="S675" s="389"/>
      <c r="T675" s="389"/>
      <c r="U675" s="389"/>
      <c r="V675" s="389"/>
      <c r="W675" s="389"/>
      <c r="X675" s="389"/>
      <c r="Y675" s="389"/>
      <c r="Z675" s="389"/>
      <c r="AA675" s="389"/>
      <c r="AB675" s="389"/>
      <c r="AC675" s="389"/>
      <c r="AD675" s="389"/>
      <c r="AE675" s="389"/>
      <c r="AF675" s="389"/>
    </row>
    <row r="676" hidden="1">
      <c r="A676" s="389"/>
      <c r="B676" s="389"/>
      <c r="C676" s="389"/>
      <c r="D676" s="389"/>
      <c r="E676" s="389"/>
      <c r="F676" s="392"/>
      <c r="G676" s="392"/>
      <c r="H676" s="389"/>
      <c r="I676" s="389"/>
      <c r="J676" s="389"/>
      <c r="K676" s="389"/>
      <c r="L676" s="389"/>
      <c r="M676" s="389"/>
      <c r="N676" s="389"/>
      <c r="O676" s="389"/>
      <c r="P676" s="389"/>
      <c r="Q676" s="389"/>
      <c r="R676" s="389"/>
      <c r="S676" s="389"/>
      <c r="T676" s="389"/>
      <c r="U676" s="389"/>
      <c r="V676" s="389"/>
      <c r="W676" s="389"/>
      <c r="X676" s="389"/>
      <c r="Y676" s="389"/>
      <c r="Z676" s="389"/>
      <c r="AA676" s="389"/>
      <c r="AB676" s="389"/>
      <c r="AC676" s="389"/>
      <c r="AD676" s="389"/>
      <c r="AE676" s="389"/>
      <c r="AF676" s="389"/>
    </row>
    <row r="677" hidden="1">
      <c r="A677" s="389"/>
      <c r="B677" s="389"/>
      <c r="C677" s="389"/>
      <c r="D677" s="389"/>
      <c r="E677" s="389"/>
      <c r="F677" s="392"/>
      <c r="G677" s="392"/>
      <c r="H677" s="389"/>
      <c r="I677" s="389"/>
      <c r="J677" s="389"/>
      <c r="K677" s="389"/>
      <c r="L677" s="389"/>
      <c r="M677" s="389"/>
      <c r="N677" s="389"/>
      <c r="O677" s="389"/>
      <c r="P677" s="389"/>
      <c r="Q677" s="389"/>
      <c r="R677" s="389"/>
      <c r="S677" s="389"/>
      <c r="T677" s="389"/>
      <c r="U677" s="389"/>
      <c r="V677" s="389"/>
      <c r="W677" s="389"/>
      <c r="X677" s="389"/>
      <c r="Y677" s="389"/>
      <c r="Z677" s="389"/>
      <c r="AA677" s="389"/>
      <c r="AB677" s="389"/>
      <c r="AC677" s="389"/>
      <c r="AD677" s="389"/>
      <c r="AE677" s="389"/>
      <c r="AF677" s="389"/>
    </row>
    <row r="678" hidden="1">
      <c r="A678" s="389"/>
      <c r="B678" s="389"/>
      <c r="C678" s="389"/>
      <c r="D678" s="389"/>
      <c r="E678" s="389"/>
      <c r="F678" s="392"/>
      <c r="G678" s="392"/>
      <c r="H678" s="389"/>
      <c r="I678" s="389"/>
      <c r="J678" s="389"/>
      <c r="K678" s="389"/>
      <c r="L678" s="389"/>
      <c r="M678" s="389"/>
      <c r="N678" s="389"/>
      <c r="O678" s="389"/>
      <c r="P678" s="389"/>
      <c r="Q678" s="389"/>
      <c r="R678" s="389"/>
      <c r="S678" s="389"/>
      <c r="T678" s="389"/>
      <c r="U678" s="389"/>
      <c r="V678" s="389"/>
      <c r="W678" s="389"/>
      <c r="X678" s="389"/>
      <c r="Y678" s="389"/>
      <c r="Z678" s="389"/>
      <c r="AA678" s="389"/>
      <c r="AB678" s="389"/>
      <c r="AC678" s="389"/>
      <c r="AD678" s="389"/>
      <c r="AE678" s="389"/>
      <c r="AF678" s="389"/>
    </row>
    <row r="679" hidden="1">
      <c r="A679" s="389"/>
      <c r="B679" s="389"/>
      <c r="C679" s="389"/>
      <c r="D679" s="389"/>
      <c r="E679" s="389"/>
      <c r="F679" s="392"/>
      <c r="G679" s="392"/>
      <c r="H679" s="389"/>
      <c r="I679" s="389"/>
      <c r="J679" s="389"/>
      <c r="K679" s="389"/>
      <c r="L679" s="389"/>
      <c r="M679" s="389"/>
      <c r="N679" s="389"/>
      <c r="O679" s="389"/>
      <c r="P679" s="389"/>
      <c r="Q679" s="389"/>
      <c r="R679" s="389"/>
      <c r="S679" s="389"/>
      <c r="T679" s="389"/>
      <c r="U679" s="389"/>
      <c r="V679" s="389"/>
      <c r="W679" s="389"/>
      <c r="X679" s="389"/>
      <c r="Y679" s="389"/>
      <c r="Z679" s="389"/>
      <c r="AA679" s="389"/>
      <c r="AB679" s="389"/>
      <c r="AC679" s="389"/>
      <c r="AD679" s="389"/>
      <c r="AE679" s="389"/>
      <c r="AF679" s="389"/>
    </row>
    <row r="680" hidden="1">
      <c r="A680" s="389"/>
      <c r="B680" s="389"/>
      <c r="C680" s="389"/>
      <c r="D680" s="389"/>
      <c r="E680" s="389"/>
      <c r="F680" s="392"/>
      <c r="G680" s="392"/>
      <c r="H680" s="389"/>
      <c r="I680" s="389"/>
      <c r="J680" s="389"/>
      <c r="K680" s="389"/>
      <c r="L680" s="389"/>
      <c r="M680" s="389"/>
      <c r="N680" s="389"/>
      <c r="O680" s="389"/>
      <c r="P680" s="389"/>
      <c r="Q680" s="389"/>
      <c r="R680" s="389"/>
      <c r="S680" s="389"/>
      <c r="T680" s="389"/>
      <c r="U680" s="389"/>
      <c r="V680" s="389"/>
      <c r="W680" s="389"/>
      <c r="X680" s="389"/>
      <c r="Y680" s="389"/>
      <c r="Z680" s="389"/>
      <c r="AA680" s="389"/>
      <c r="AB680" s="389"/>
      <c r="AC680" s="389"/>
      <c r="AD680" s="389"/>
      <c r="AE680" s="389"/>
      <c r="AF680" s="389"/>
    </row>
    <row r="681" hidden="1">
      <c r="A681" s="389"/>
      <c r="B681" s="389"/>
      <c r="C681" s="389"/>
      <c r="D681" s="389"/>
      <c r="E681" s="389"/>
      <c r="F681" s="392"/>
      <c r="G681" s="392"/>
      <c r="H681" s="389"/>
      <c r="I681" s="389"/>
      <c r="J681" s="389"/>
      <c r="K681" s="389"/>
      <c r="L681" s="389"/>
      <c r="M681" s="389"/>
      <c r="N681" s="389"/>
      <c r="O681" s="389"/>
      <c r="P681" s="389"/>
      <c r="Q681" s="389"/>
      <c r="R681" s="389"/>
      <c r="S681" s="389"/>
      <c r="T681" s="389"/>
      <c r="U681" s="389"/>
      <c r="V681" s="389"/>
      <c r="W681" s="389"/>
      <c r="X681" s="389"/>
      <c r="Y681" s="389"/>
      <c r="Z681" s="389"/>
      <c r="AA681" s="389"/>
      <c r="AB681" s="389"/>
      <c r="AC681" s="389"/>
      <c r="AD681" s="389"/>
      <c r="AE681" s="389"/>
      <c r="AF681" s="389"/>
    </row>
    <row r="682" hidden="1">
      <c r="A682" s="389"/>
      <c r="B682" s="389"/>
      <c r="C682" s="389"/>
      <c r="D682" s="389"/>
      <c r="E682" s="389"/>
      <c r="F682" s="392"/>
      <c r="G682" s="392"/>
      <c r="H682" s="389"/>
      <c r="I682" s="389"/>
      <c r="J682" s="389"/>
      <c r="K682" s="389"/>
      <c r="L682" s="389"/>
      <c r="M682" s="389"/>
      <c r="N682" s="389"/>
      <c r="O682" s="389"/>
      <c r="P682" s="389"/>
      <c r="Q682" s="389"/>
      <c r="R682" s="389"/>
      <c r="S682" s="389"/>
      <c r="T682" s="389"/>
      <c r="U682" s="389"/>
      <c r="V682" s="389"/>
      <c r="W682" s="389"/>
      <c r="X682" s="389"/>
      <c r="Y682" s="389"/>
      <c r="Z682" s="389"/>
      <c r="AA682" s="389"/>
      <c r="AB682" s="389"/>
      <c r="AC682" s="389"/>
      <c r="AD682" s="389"/>
      <c r="AE682" s="389"/>
      <c r="AF682" s="389"/>
    </row>
    <row r="683" hidden="1">
      <c r="A683" s="389"/>
      <c r="B683" s="389"/>
      <c r="C683" s="389"/>
      <c r="D683" s="389"/>
      <c r="E683" s="389"/>
      <c r="F683" s="392"/>
      <c r="G683" s="392"/>
      <c r="H683" s="389"/>
      <c r="I683" s="389"/>
      <c r="J683" s="389"/>
      <c r="K683" s="389"/>
      <c r="L683" s="389"/>
      <c r="M683" s="389"/>
      <c r="N683" s="389"/>
      <c r="O683" s="389"/>
      <c r="P683" s="389"/>
      <c r="Q683" s="389"/>
      <c r="R683" s="389"/>
      <c r="S683" s="389"/>
      <c r="T683" s="389"/>
      <c r="U683" s="389"/>
      <c r="V683" s="389"/>
      <c r="W683" s="389"/>
      <c r="X683" s="389"/>
      <c r="Y683" s="389"/>
      <c r="Z683" s="389"/>
      <c r="AA683" s="389"/>
      <c r="AB683" s="389"/>
      <c r="AC683" s="389"/>
      <c r="AD683" s="389"/>
      <c r="AE683" s="389"/>
      <c r="AF683" s="389"/>
    </row>
    <row r="684" hidden="1">
      <c r="A684" s="389"/>
      <c r="B684" s="389"/>
      <c r="C684" s="389"/>
      <c r="D684" s="389"/>
      <c r="E684" s="389"/>
      <c r="F684" s="392"/>
      <c r="G684" s="392"/>
      <c r="H684" s="389"/>
      <c r="I684" s="389"/>
      <c r="J684" s="389"/>
      <c r="K684" s="389"/>
      <c r="L684" s="389"/>
      <c r="M684" s="389"/>
      <c r="N684" s="389"/>
      <c r="O684" s="389"/>
      <c r="P684" s="389"/>
      <c r="Q684" s="389"/>
      <c r="R684" s="389"/>
      <c r="S684" s="389"/>
      <c r="T684" s="389"/>
      <c r="U684" s="389"/>
      <c r="V684" s="389"/>
      <c r="W684" s="389"/>
      <c r="X684" s="389"/>
      <c r="Y684" s="389"/>
      <c r="Z684" s="389"/>
      <c r="AA684" s="389"/>
      <c r="AB684" s="389"/>
      <c r="AC684" s="389"/>
      <c r="AD684" s="389"/>
      <c r="AE684" s="389"/>
      <c r="AF684" s="389"/>
    </row>
    <row r="685" hidden="1">
      <c r="A685" s="389"/>
      <c r="B685" s="389"/>
      <c r="C685" s="389"/>
      <c r="D685" s="389"/>
      <c r="E685" s="389"/>
      <c r="F685" s="392"/>
      <c r="G685" s="392"/>
      <c r="H685" s="389"/>
      <c r="I685" s="389"/>
      <c r="J685" s="389"/>
      <c r="K685" s="389"/>
      <c r="L685" s="389"/>
      <c r="M685" s="389"/>
      <c r="N685" s="389"/>
      <c r="O685" s="389"/>
      <c r="P685" s="389"/>
      <c r="Q685" s="389"/>
      <c r="R685" s="389"/>
      <c r="S685" s="389"/>
      <c r="T685" s="389"/>
      <c r="U685" s="389"/>
      <c r="V685" s="389"/>
      <c r="W685" s="389"/>
      <c r="X685" s="389"/>
      <c r="Y685" s="389"/>
      <c r="Z685" s="389"/>
      <c r="AA685" s="389"/>
      <c r="AB685" s="389"/>
      <c r="AC685" s="389"/>
      <c r="AD685" s="389"/>
      <c r="AE685" s="389"/>
      <c r="AF685" s="389"/>
    </row>
    <row r="686" hidden="1">
      <c r="A686" s="389"/>
      <c r="B686" s="389"/>
      <c r="C686" s="389"/>
      <c r="D686" s="389"/>
      <c r="E686" s="389"/>
      <c r="F686" s="392"/>
      <c r="G686" s="392"/>
      <c r="H686" s="389"/>
      <c r="I686" s="389"/>
      <c r="J686" s="389"/>
      <c r="K686" s="389"/>
      <c r="L686" s="389"/>
      <c r="M686" s="389"/>
      <c r="N686" s="389"/>
      <c r="O686" s="389"/>
      <c r="P686" s="389"/>
      <c r="Q686" s="389"/>
      <c r="R686" s="389"/>
      <c r="S686" s="389"/>
      <c r="T686" s="389"/>
      <c r="U686" s="389"/>
      <c r="V686" s="389"/>
      <c r="W686" s="389"/>
      <c r="X686" s="389"/>
      <c r="Y686" s="389"/>
      <c r="Z686" s="389"/>
      <c r="AA686" s="389"/>
      <c r="AB686" s="389"/>
      <c r="AC686" s="389"/>
      <c r="AD686" s="389"/>
      <c r="AE686" s="389"/>
      <c r="AF686" s="389"/>
    </row>
    <row r="687" hidden="1">
      <c r="A687" s="389"/>
      <c r="B687" s="389"/>
      <c r="C687" s="389"/>
      <c r="D687" s="389"/>
      <c r="E687" s="389"/>
      <c r="F687" s="392"/>
      <c r="G687" s="392"/>
      <c r="H687" s="389"/>
      <c r="I687" s="389"/>
      <c r="J687" s="389"/>
      <c r="K687" s="389"/>
      <c r="L687" s="389"/>
      <c r="M687" s="389"/>
      <c r="N687" s="389"/>
      <c r="O687" s="389"/>
      <c r="P687" s="389"/>
      <c r="Q687" s="389"/>
      <c r="R687" s="389"/>
      <c r="S687" s="389"/>
      <c r="T687" s="389"/>
      <c r="U687" s="389"/>
      <c r="V687" s="389"/>
      <c r="W687" s="389"/>
      <c r="X687" s="389"/>
      <c r="Y687" s="389"/>
      <c r="Z687" s="389"/>
      <c r="AA687" s="389"/>
      <c r="AB687" s="389"/>
      <c r="AC687" s="389"/>
      <c r="AD687" s="389"/>
      <c r="AE687" s="389"/>
      <c r="AF687" s="389"/>
    </row>
    <row r="688" hidden="1">
      <c r="A688" s="389"/>
      <c r="B688" s="389"/>
      <c r="C688" s="389"/>
      <c r="D688" s="389"/>
      <c r="E688" s="389"/>
      <c r="F688" s="392"/>
      <c r="G688" s="392"/>
      <c r="H688" s="389"/>
      <c r="I688" s="389"/>
      <c r="J688" s="389"/>
      <c r="K688" s="389"/>
      <c r="L688" s="389"/>
      <c r="M688" s="389"/>
      <c r="N688" s="389"/>
      <c r="O688" s="389"/>
      <c r="P688" s="389"/>
      <c r="Q688" s="389"/>
      <c r="R688" s="389"/>
      <c r="S688" s="389"/>
      <c r="T688" s="389"/>
      <c r="U688" s="389"/>
      <c r="V688" s="389"/>
      <c r="W688" s="389"/>
      <c r="X688" s="389"/>
      <c r="Y688" s="389"/>
      <c r="Z688" s="389"/>
      <c r="AA688" s="389"/>
      <c r="AB688" s="389"/>
      <c r="AC688" s="389"/>
      <c r="AD688" s="389"/>
      <c r="AE688" s="389"/>
      <c r="AF688" s="389"/>
    </row>
    <row r="689" hidden="1">
      <c r="A689" s="389"/>
      <c r="B689" s="389"/>
      <c r="C689" s="389"/>
      <c r="D689" s="389"/>
      <c r="E689" s="389"/>
      <c r="F689" s="392"/>
      <c r="G689" s="392"/>
      <c r="H689" s="389"/>
      <c r="I689" s="389"/>
      <c r="J689" s="389"/>
      <c r="K689" s="389"/>
      <c r="L689" s="389"/>
      <c r="M689" s="389"/>
      <c r="N689" s="389"/>
      <c r="O689" s="389"/>
      <c r="P689" s="389"/>
      <c r="Q689" s="389"/>
      <c r="R689" s="389"/>
      <c r="S689" s="389"/>
      <c r="T689" s="389"/>
      <c r="U689" s="389"/>
      <c r="V689" s="389"/>
      <c r="W689" s="389"/>
      <c r="X689" s="389"/>
      <c r="Y689" s="389"/>
      <c r="Z689" s="389"/>
      <c r="AA689" s="389"/>
      <c r="AB689" s="389"/>
      <c r="AC689" s="389"/>
      <c r="AD689" s="389"/>
      <c r="AE689" s="389"/>
      <c r="AF689" s="389"/>
    </row>
    <row r="690" hidden="1">
      <c r="A690" s="389"/>
      <c r="B690" s="389"/>
      <c r="C690" s="389"/>
      <c r="D690" s="389"/>
      <c r="E690" s="389"/>
      <c r="F690" s="392"/>
      <c r="G690" s="392"/>
      <c r="H690" s="389"/>
      <c r="I690" s="389"/>
      <c r="J690" s="389"/>
      <c r="K690" s="389"/>
      <c r="L690" s="389"/>
      <c r="M690" s="389"/>
      <c r="N690" s="389"/>
      <c r="O690" s="389"/>
      <c r="P690" s="389"/>
      <c r="Q690" s="389"/>
      <c r="R690" s="389"/>
      <c r="S690" s="389"/>
      <c r="T690" s="389"/>
      <c r="U690" s="389"/>
      <c r="V690" s="389"/>
      <c r="W690" s="389"/>
      <c r="X690" s="389"/>
      <c r="Y690" s="389"/>
      <c r="Z690" s="389"/>
      <c r="AA690" s="389"/>
      <c r="AB690" s="389"/>
      <c r="AC690" s="389"/>
      <c r="AD690" s="389"/>
      <c r="AE690" s="389"/>
      <c r="AF690" s="389"/>
    </row>
    <row r="691" hidden="1">
      <c r="A691" s="389"/>
      <c r="B691" s="389"/>
      <c r="C691" s="389"/>
      <c r="D691" s="389"/>
      <c r="E691" s="389"/>
      <c r="F691" s="392"/>
      <c r="G691" s="392"/>
      <c r="H691" s="389"/>
      <c r="I691" s="389"/>
      <c r="J691" s="389"/>
      <c r="K691" s="389"/>
      <c r="L691" s="389"/>
      <c r="M691" s="389"/>
      <c r="N691" s="389"/>
      <c r="O691" s="389"/>
      <c r="P691" s="389"/>
      <c r="Q691" s="389"/>
      <c r="R691" s="389"/>
      <c r="S691" s="389"/>
      <c r="T691" s="389"/>
      <c r="U691" s="389"/>
      <c r="V691" s="389"/>
      <c r="W691" s="389"/>
      <c r="X691" s="389"/>
      <c r="Y691" s="389"/>
      <c r="Z691" s="389"/>
      <c r="AA691" s="389"/>
      <c r="AB691" s="389"/>
      <c r="AC691" s="389"/>
      <c r="AD691" s="389"/>
      <c r="AE691" s="389"/>
      <c r="AF691" s="389"/>
    </row>
    <row r="692" hidden="1">
      <c r="A692" s="389"/>
      <c r="B692" s="389"/>
      <c r="C692" s="389"/>
      <c r="D692" s="389"/>
      <c r="E692" s="389"/>
      <c r="F692" s="392"/>
      <c r="G692" s="392"/>
      <c r="H692" s="389"/>
      <c r="I692" s="389"/>
      <c r="J692" s="389"/>
      <c r="K692" s="389"/>
      <c r="L692" s="389"/>
      <c r="M692" s="389"/>
      <c r="N692" s="389"/>
      <c r="O692" s="389"/>
      <c r="P692" s="389"/>
      <c r="Q692" s="389"/>
      <c r="R692" s="389"/>
      <c r="S692" s="389"/>
      <c r="T692" s="389"/>
      <c r="U692" s="389"/>
      <c r="V692" s="389"/>
      <c r="W692" s="389"/>
      <c r="X692" s="389"/>
      <c r="Y692" s="389"/>
      <c r="Z692" s="389"/>
      <c r="AA692" s="389"/>
      <c r="AB692" s="389"/>
      <c r="AC692" s="389"/>
      <c r="AD692" s="389"/>
      <c r="AE692" s="389"/>
      <c r="AF692" s="389"/>
    </row>
    <row r="693" hidden="1">
      <c r="A693" s="389"/>
      <c r="B693" s="389"/>
      <c r="C693" s="389"/>
      <c r="D693" s="389"/>
      <c r="E693" s="389"/>
      <c r="F693" s="392"/>
      <c r="G693" s="392"/>
      <c r="H693" s="389"/>
      <c r="I693" s="389"/>
      <c r="J693" s="389"/>
      <c r="K693" s="389"/>
      <c r="L693" s="389"/>
      <c r="M693" s="389"/>
      <c r="N693" s="389"/>
      <c r="O693" s="389"/>
      <c r="P693" s="389"/>
      <c r="Q693" s="389"/>
      <c r="R693" s="389"/>
      <c r="S693" s="389"/>
      <c r="T693" s="389"/>
      <c r="U693" s="389"/>
      <c r="V693" s="389"/>
      <c r="W693" s="389"/>
      <c r="X693" s="389"/>
      <c r="Y693" s="389"/>
      <c r="Z693" s="389"/>
      <c r="AA693" s="389"/>
      <c r="AB693" s="389"/>
      <c r="AC693" s="389"/>
      <c r="AD693" s="389"/>
      <c r="AE693" s="389"/>
      <c r="AF693" s="389"/>
    </row>
    <row r="694" hidden="1">
      <c r="A694" s="389"/>
      <c r="B694" s="389"/>
      <c r="C694" s="389"/>
      <c r="D694" s="389"/>
      <c r="E694" s="389"/>
      <c r="F694" s="392"/>
      <c r="G694" s="392"/>
      <c r="H694" s="389"/>
      <c r="I694" s="389"/>
      <c r="J694" s="389"/>
      <c r="K694" s="389"/>
      <c r="L694" s="389"/>
      <c r="M694" s="389"/>
      <c r="N694" s="389"/>
      <c r="O694" s="389"/>
      <c r="P694" s="389"/>
      <c r="Q694" s="389"/>
      <c r="R694" s="389"/>
      <c r="S694" s="389"/>
      <c r="T694" s="389"/>
      <c r="U694" s="389"/>
      <c r="V694" s="389"/>
      <c r="W694" s="389"/>
      <c r="X694" s="389"/>
      <c r="Y694" s="389"/>
      <c r="Z694" s="389"/>
      <c r="AA694" s="389"/>
      <c r="AB694" s="389"/>
      <c r="AC694" s="389"/>
      <c r="AD694" s="389"/>
      <c r="AE694" s="389"/>
      <c r="AF694" s="389"/>
    </row>
    <row r="695" hidden="1">
      <c r="A695" s="389"/>
      <c r="B695" s="389"/>
      <c r="C695" s="389"/>
      <c r="D695" s="389"/>
      <c r="E695" s="389"/>
      <c r="F695" s="392"/>
      <c r="G695" s="392"/>
      <c r="H695" s="389"/>
      <c r="I695" s="389"/>
      <c r="J695" s="389"/>
      <c r="K695" s="389"/>
      <c r="L695" s="389"/>
      <c r="M695" s="389"/>
      <c r="N695" s="389"/>
      <c r="O695" s="389"/>
      <c r="P695" s="389"/>
      <c r="Q695" s="389"/>
      <c r="R695" s="389"/>
      <c r="S695" s="389"/>
      <c r="T695" s="389"/>
      <c r="U695" s="389"/>
      <c r="V695" s="389"/>
      <c r="W695" s="389"/>
      <c r="X695" s="389"/>
      <c r="Y695" s="389"/>
      <c r="Z695" s="389"/>
      <c r="AA695" s="389"/>
      <c r="AB695" s="389"/>
      <c r="AC695" s="389"/>
      <c r="AD695" s="389"/>
      <c r="AE695" s="389"/>
      <c r="AF695" s="389"/>
    </row>
    <row r="696" hidden="1">
      <c r="A696" s="389"/>
      <c r="B696" s="389"/>
      <c r="C696" s="389"/>
      <c r="D696" s="389"/>
      <c r="E696" s="389"/>
      <c r="F696" s="392"/>
      <c r="G696" s="392"/>
      <c r="H696" s="389"/>
      <c r="I696" s="389"/>
      <c r="J696" s="389"/>
      <c r="K696" s="389"/>
      <c r="L696" s="389"/>
      <c r="M696" s="389"/>
      <c r="N696" s="389"/>
      <c r="O696" s="389"/>
      <c r="P696" s="389"/>
      <c r="Q696" s="389"/>
      <c r="R696" s="389"/>
      <c r="S696" s="389"/>
      <c r="T696" s="389"/>
      <c r="U696" s="389"/>
      <c r="V696" s="389"/>
      <c r="W696" s="389"/>
      <c r="X696" s="389"/>
      <c r="Y696" s="389"/>
      <c r="Z696" s="389"/>
      <c r="AA696" s="389"/>
      <c r="AB696" s="389"/>
      <c r="AC696" s="389"/>
      <c r="AD696" s="389"/>
      <c r="AE696" s="389"/>
      <c r="AF696" s="389"/>
    </row>
    <row r="697" hidden="1">
      <c r="A697" s="389"/>
      <c r="B697" s="389"/>
      <c r="C697" s="389"/>
      <c r="D697" s="389"/>
      <c r="E697" s="389"/>
      <c r="F697" s="392"/>
      <c r="G697" s="392"/>
      <c r="H697" s="389"/>
      <c r="I697" s="389"/>
      <c r="J697" s="389"/>
      <c r="K697" s="389"/>
      <c r="L697" s="389"/>
      <c r="M697" s="389"/>
      <c r="N697" s="389"/>
      <c r="O697" s="389"/>
      <c r="P697" s="389"/>
      <c r="Q697" s="389"/>
      <c r="R697" s="389"/>
      <c r="S697" s="389"/>
      <c r="T697" s="389"/>
      <c r="U697" s="389"/>
      <c r="V697" s="389"/>
      <c r="W697" s="389"/>
      <c r="X697" s="389"/>
      <c r="Y697" s="389"/>
      <c r="Z697" s="389"/>
      <c r="AA697" s="389"/>
      <c r="AB697" s="389"/>
      <c r="AC697" s="389"/>
      <c r="AD697" s="389"/>
      <c r="AE697" s="389"/>
      <c r="AF697" s="389"/>
    </row>
    <row r="698" hidden="1">
      <c r="A698" s="389"/>
      <c r="B698" s="389"/>
      <c r="C698" s="389"/>
      <c r="D698" s="389"/>
      <c r="E698" s="389"/>
      <c r="F698" s="392"/>
      <c r="G698" s="392"/>
      <c r="H698" s="389"/>
      <c r="I698" s="389"/>
      <c r="J698" s="389"/>
      <c r="K698" s="389"/>
      <c r="L698" s="389"/>
      <c r="M698" s="389"/>
      <c r="N698" s="389"/>
      <c r="O698" s="389"/>
      <c r="P698" s="389"/>
      <c r="Q698" s="389"/>
      <c r="R698" s="389"/>
      <c r="S698" s="389"/>
      <c r="T698" s="389"/>
      <c r="U698" s="389"/>
      <c r="V698" s="389"/>
      <c r="W698" s="389"/>
      <c r="X698" s="389"/>
      <c r="Y698" s="389"/>
      <c r="Z698" s="389"/>
      <c r="AA698" s="389"/>
      <c r="AB698" s="389"/>
      <c r="AC698" s="389"/>
      <c r="AD698" s="389"/>
      <c r="AE698" s="389"/>
      <c r="AF698" s="389"/>
    </row>
    <row r="699" hidden="1">
      <c r="A699" s="389"/>
      <c r="B699" s="389"/>
      <c r="C699" s="389"/>
      <c r="D699" s="389"/>
      <c r="E699" s="389"/>
      <c r="F699" s="392"/>
      <c r="G699" s="392"/>
      <c r="H699" s="389"/>
      <c r="I699" s="389"/>
      <c r="J699" s="389"/>
      <c r="K699" s="389"/>
      <c r="L699" s="389"/>
      <c r="M699" s="389"/>
      <c r="N699" s="389"/>
      <c r="O699" s="389"/>
      <c r="P699" s="389"/>
      <c r="Q699" s="389"/>
      <c r="R699" s="389"/>
      <c r="S699" s="389"/>
      <c r="T699" s="389"/>
      <c r="U699" s="389"/>
      <c r="V699" s="389"/>
      <c r="W699" s="389"/>
      <c r="X699" s="389"/>
      <c r="Y699" s="389"/>
      <c r="Z699" s="389"/>
      <c r="AA699" s="389"/>
      <c r="AB699" s="389"/>
      <c r="AC699" s="389"/>
      <c r="AD699" s="389"/>
      <c r="AE699" s="389"/>
      <c r="AF699" s="389"/>
    </row>
    <row r="700" hidden="1">
      <c r="A700" s="389"/>
      <c r="B700" s="389"/>
      <c r="C700" s="389"/>
      <c r="D700" s="389"/>
      <c r="E700" s="389"/>
      <c r="F700" s="392"/>
      <c r="G700" s="392"/>
      <c r="H700" s="389"/>
      <c r="I700" s="389"/>
      <c r="J700" s="389"/>
      <c r="K700" s="389"/>
      <c r="L700" s="389"/>
      <c r="M700" s="389"/>
      <c r="N700" s="389"/>
      <c r="O700" s="389"/>
      <c r="P700" s="389"/>
      <c r="Q700" s="389"/>
      <c r="R700" s="389"/>
      <c r="S700" s="389"/>
      <c r="T700" s="389"/>
      <c r="U700" s="389"/>
      <c r="V700" s="389"/>
      <c r="W700" s="389"/>
      <c r="X700" s="389"/>
      <c r="Y700" s="389"/>
      <c r="Z700" s="389"/>
      <c r="AA700" s="389"/>
      <c r="AB700" s="389"/>
      <c r="AC700" s="389"/>
      <c r="AD700" s="389"/>
      <c r="AE700" s="389"/>
      <c r="AF700" s="389"/>
    </row>
    <row r="701" hidden="1">
      <c r="A701" s="389"/>
      <c r="B701" s="389"/>
      <c r="C701" s="389"/>
      <c r="D701" s="389"/>
      <c r="E701" s="389"/>
      <c r="F701" s="392"/>
      <c r="G701" s="392"/>
      <c r="H701" s="389"/>
      <c r="I701" s="389"/>
      <c r="J701" s="389"/>
      <c r="K701" s="389"/>
      <c r="L701" s="389"/>
      <c r="M701" s="389"/>
      <c r="N701" s="389"/>
      <c r="O701" s="389"/>
      <c r="P701" s="389"/>
      <c r="Q701" s="389"/>
      <c r="R701" s="389"/>
      <c r="S701" s="389"/>
      <c r="T701" s="389"/>
      <c r="U701" s="389"/>
      <c r="V701" s="389"/>
      <c r="W701" s="389"/>
      <c r="X701" s="389"/>
      <c r="Y701" s="389"/>
      <c r="Z701" s="389"/>
      <c r="AA701" s="389"/>
      <c r="AB701" s="389"/>
      <c r="AC701" s="389"/>
      <c r="AD701" s="389"/>
      <c r="AE701" s="389"/>
      <c r="AF701" s="389"/>
    </row>
    <row r="702" hidden="1">
      <c r="A702" s="389"/>
      <c r="B702" s="389"/>
      <c r="C702" s="389"/>
      <c r="D702" s="389"/>
      <c r="E702" s="389"/>
      <c r="F702" s="392"/>
      <c r="G702" s="392"/>
      <c r="H702" s="389"/>
      <c r="I702" s="389"/>
      <c r="J702" s="389"/>
      <c r="K702" s="389"/>
      <c r="L702" s="389"/>
      <c r="M702" s="389"/>
      <c r="N702" s="389"/>
      <c r="O702" s="389"/>
      <c r="P702" s="389"/>
      <c r="Q702" s="389"/>
      <c r="R702" s="389"/>
      <c r="S702" s="389"/>
      <c r="T702" s="389"/>
      <c r="U702" s="389"/>
      <c r="V702" s="389"/>
      <c r="W702" s="389"/>
      <c r="X702" s="389"/>
      <c r="Y702" s="389"/>
      <c r="Z702" s="389"/>
      <c r="AA702" s="389"/>
      <c r="AB702" s="389"/>
      <c r="AC702" s="389"/>
      <c r="AD702" s="389"/>
      <c r="AE702" s="389"/>
      <c r="AF702" s="389"/>
    </row>
    <row r="703" hidden="1">
      <c r="A703" s="389"/>
      <c r="B703" s="389"/>
      <c r="C703" s="389"/>
      <c r="D703" s="389"/>
      <c r="E703" s="389"/>
      <c r="F703" s="392"/>
      <c r="G703" s="392"/>
      <c r="H703" s="389"/>
      <c r="I703" s="389"/>
      <c r="J703" s="389"/>
      <c r="K703" s="389"/>
      <c r="L703" s="389"/>
      <c r="M703" s="389"/>
      <c r="N703" s="389"/>
      <c r="O703" s="389"/>
      <c r="P703" s="389"/>
      <c r="Q703" s="389"/>
      <c r="R703" s="389"/>
      <c r="S703" s="389"/>
      <c r="T703" s="389"/>
      <c r="U703" s="389"/>
      <c r="V703" s="389"/>
      <c r="W703" s="389"/>
      <c r="X703" s="389"/>
      <c r="Y703" s="389"/>
      <c r="Z703" s="389"/>
      <c r="AA703" s="389"/>
      <c r="AB703" s="389"/>
      <c r="AC703" s="389"/>
      <c r="AD703" s="389"/>
      <c r="AE703" s="389"/>
      <c r="AF703" s="389"/>
    </row>
    <row r="704" hidden="1">
      <c r="A704" s="389"/>
      <c r="B704" s="389"/>
      <c r="C704" s="389"/>
      <c r="D704" s="389"/>
      <c r="E704" s="389"/>
      <c r="F704" s="392"/>
      <c r="G704" s="392"/>
      <c r="H704" s="389"/>
      <c r="I704" s="389"/>
      <c r="J704" s="389"/>
      <c r="K704" s="389"/>
      <c r="L704" s="389"/>
      <c r="M704" s="389"/>
      <c r="N704" s="389"/>
      <c r="O704" s="389"/>
      <c r="P704" s="389"/>
      <c r="Q704" s="389"/>
      <c r="R704" s="389"/>
      <c r="S704" s="389"/>
      <c r="T704" s="389"/>
      <c r="U704" s="389"/>
      <c r="V704" s="389"/>
      <c r="W704" s="389"/>
      <c r="X704" s="389"/>
      <c r="Y704" s="389"/>
      <c r="Z704" s="389"/>
      <c r="AA704" s="389"/>
      <c r="AB704" s="389"/>
      <c r="AC704" s="389"/>
      <c r="AD704" s="389"/>
      <c r="AE704" s="389"/>
      <c r="AF704" s="389"/>
    </row>
    <row r="705" hidden="1">
      <c r="A705" s="389"/>
      <c r="B705" s="389"/>
      <c r="C705" s="389"/>
      <c r="D705" s="389"/>
      <c r="E705" s="389"/>
      <c r="F705" s="392"/>
      <c r="G705" s="392"/>
      <c r="H705" s="389"/>
      <c r="I705" s="389"/>
      <c r="J705" s="389"/>
      <c r="K705" s="389"/>
      <c r="L705" s="389"/>
      <c r="M705" s="389"/>
      <c r="N705" s="389"/>
      <c r="O705" s="389"/>
      <c r="P705" s="389"/>
      <c r="Q705" s="389"/>
      <c r="R705" s="389"/>
      <c r="S705" s="389"/>
      <c r="T705" s="389"/>
      <c r="U705" s="389"/>
      <c r="V705" s="389"/>
      <c r="W705" s="389"/>
      <c r="X705" s="389"/>
      <c r="Y705" s="389"/>
      <c r="Z705" s="389"/>
      <c r="AA705" s="389"/>
      <c r="AB705" s="389"/>
      <c r="AC705" s="389"/>
      <c r="AD705" s="389"/>
      <c r="AE705" s="389"/>
      <c r="AF705" s="389"/>
    </row>
    <row r="706" hidden="1">
      <c r="A706" s="389"/>
      <c r="B706" s="389"/>
      <c r="C706" s="389"/>
      <c r="D706" s="389"/>
      <c r="E706" s="389"/>
      <c r="F706" s="392"/>
      <c r="G706" s="392"/>
      <c r="H706" s="389"/>
      <c r="I706" s="389"/>
      <c r="J706" s="389"/>
      <c r="K706" s="389"/>
      <c r="L706" s="389"/>
      <c r="M706" s="389"/>
      <c r="N706" s="389"/>
      <c r="O706" s="389"/>
      <c r="P706" s="389"/>
      <c r="Q706" s="389"/>
      <c r="R706" s="389"/>
      <c r="S706" s="389"/>
      <c r="T706" s="389"/>
      <c r="U706" s="389"/>
      <c r="V706" s="389"/>
      <c r="W706" s="389"/>
      <c r="X706" s="389"/>
      <c r="Y706" s="389"/>
      <c r="Z706" s="389"/>
      <c r="AA706" s="389"/>
      <c r="AB706" s="389"/>
      <c r="AC706" s="389"/>
      <c r="AD706" s="389"/>
      <c r="AE706" s="389"/>
      <c r="AF706" s="389"/>
    </row>
    <row r="707" hidden="1">
      <c r="A707" s="389"/>
      <c r="B707" s="389"/>
      <c r="C707" s="389"/>
      <c r="D707" s="389"/>
      <c r="E707" s="389"/>
      <c r="F707" s="392"/>
      <c r="G707" s="392"/>
      <c r="H707" s="389"/>
      <c r="I707" s="389"/>
      <c r="J707" s="389"/>
      <c r="K707" s="389"/>
      <c r="L707" s="389"/>
      <c r="M707" s="389"/>
      <c r="N707" s="389"/>
      <c r="O707" s="389"/>
      <c r="P707" s="389"/>
      <c r="Q707" s="389"/>
      <c r="R707" s="389"/>
      <c r="S707" s="389"/>
      <c r="T707" s="389"/>
      <c r="U707" s="389"/>
      <c r="V707" s="389"/>
      <c r="W707" s="389"/>
      <c r="X707" s="389"/>
      <c r="Y707" s="389"/>
      <c r="Z707" s="389"/>
      <c r="AA707" s="389"/>
      <c r="AB707" s="389"/>
      <c r="AC707" s="389"/>
      <c r="AD707" s="389"/>
      <c r="AE707" s="389"/>
      <c r="AF707" s="389"/>
    </row>
    <row r="708" hidden="1">
      <c r="A708" s="389"/>
      <c r="B708" s="389"/>
      <c r="C708" s="389"/>
      <c r="D708" s="389"/>
      <c r="E708" s="389"/>
      <c r="F708" s="392"/>
      <c r="G708" s="392"/>
      <c r="H708" s="389"/>
      <c r="I708" s="389"/>
      <c r="J708" s="389"/>
      <c r="K708" s="389"/>
      <c r="L708" s="389"/>
      <c r="M708" s="389"/>
      <c r="N708" s="389"/>
      <c r="O708" s="389"/>
      <c r="P708" s="389"/>
      <c r="Q708" s="389"/>
      <c r="R708" s="389"/>
      <c r="S708" s="389"/>
      <c r="T708" s="389"/>
      <c r="U708" s="389"/>
      <c r="V708" s="389"/>
      <c r="W708" s="389"/>
      <c r="X708" s="389"/>
      <c r="Y708" s="389"/>
      <c r="Z708" s="389"/>
      <c r="AA708" s="389"/>
      <c r="AB708" s="389"/>
      <c r="AC708" s="389"/>
      <c r="AD708" s="389"/>
      <c r="AE708" s="389"/>
      <c r="AF708" s="389"/>
    </row>
    <row r="709" hidden="1">
      <c r="A709" s="389"/>
      <c r="B709" s="389"/>
      <c r="C709" s="389"/>
      <c r="D709" s="389"/>
      <c r="E709" s="389"/>
      <c r="F709" s="392"/>
      <c r="G709" s="392"/>
      <c r="H709" s="389"/>
      <c r="I709" s="389"/>
      <c r="J709" s="389"/>
      <c r="K709" s="389"/>
      <c r="L709" s="389"/>
      <c r="M709" s="389"/>
      <c r="N709" s="389"/>
      <c r="O709" s="389"/>
      <c r="P709" s="389"/>
      <c r="Q709" s="389"/>
      <c r="R709" s="389"/>
      <c r="S709" s="389"/>
      <c r="T709" s="389"/>
      <c r="U709" s="389"/>
      <c r="V709" s="389"/>
      <c r="W709" s="389"/>
      <c r="X709" s="389"/>
      <c r="Y709" s="389"/>
      <c r="Z709" s="389"/>
      <c r="AA709" s="389"/>
      <c r="AB709" s="389"/>
      <c r="AC709" s="389"/>
      <c r="AD709" s="389"/>
      <c r="AE709" s="389"/>
      <c r="AF709" s="389"/>
    </row>
    <row r="710" hidden="1">
      <c r="A710" s="389"/>
      <c r="B710" s="389"/>
      <c r="C710" s="389"/>
      <c r="D710" s="389"/>
      <c r="E710" s="389"/>
      <c r="F710" s="392"/>
      <c r="G710" s="392"/>
      <c r="H710" s="389"/>
      <c r="I710" s="389"/>
      <c r="J710" s="389"/>
      <c r="K710" s="389"/>
      <c r="L710" s="389"/>
      <c r="M710" s="389"/>
      <c r="N710" s="389"/>
      <c r="O710" s="389"/>
      <c r="P710" s="389"/>
      <c r="Q710" s="389"/>
      <c r="R710" s="389"/>
      <c r="S710" s="389"/>
      <c r="T710" s="389"/>
      <c r="U710" s="389"/>
      <c r="V710" s="389"/>
      <c r="W710" s="389"/>
      <c r="X710" s="389"/>
      <c r="Y710" s="389"/>
      <c r="Z710" s="389"/>
      <c r="AA710" s="389"/>
      <c r="AB710" s="389"/>
      <c r="AC710" s="389"/>
      <c r="AD710" s="389"/>
      <c r="AE710" s="389"/>
      <c r="AF710" s="389"/>
    </row>
    <row r="711" hidden="1">
      <c r="A711" s="389"/>
      <c r="B711" s="389"/>
      <c r="C711" s="389"/>
      <c r="D711" s="389"/>
      <c r="E711" s="389"/>
      <c r="F711" s="392"/>
      <c r="G711" s="392"/>
      <c r="H711" s="389"/>
      <c r="I711" s="389"/>
      <c r="J711" s="389"/>
      <c r="K711" s="389"/>
      <c r="L711" s="389"/>
      <c r="M711" s="389"/>
      <c r="N711" s="389"/>
      <c r="O711" s="389"/>
      <c r="P711" s="389"/>
      <c r="Q711" s="389"/>
      <c r="R711" s="389"/>
      <c r="S711" s="389"/>
      <c r="T711" s="389"/>
      <c r="U711" s="389"/>
      <c r="V711" s="389"/>
      <c r="W711" s="389"/>
      <c r="X711" s="389"/>
      <c r="Y711" s="389"/>
      <c r="Z711" s="389"/>
      <c r="AA711" s="389"/>
      <c r="AB711" s="389"/>
      <c r="AC711" s="389"/>
      <c r="AD711" s="389"/>
      <c r="AE711" s="389"/>
      <c r="AF711" s="389"/>
    </row>
    <row r="712" hidden="1">
      <c r="A712" s="389"/>
      <c r="B712" s="389"/>
      <c r="C712" s="389"/>
      <c r="D712" s="389"/>
      <c r="E712" s="389"/>
      <c r="F712" s="392"/>
      <c r="G712" s="392"/>
      <c r="H712" s="389"/>
      <c r="I712" s="389"/>
      <c r="J712" s="389"/>
      <c r="K712" s="389"/>
      <c r="L712" s="389"/>
      <c r="M712" s="389"/>
      <c r="N712" s="389"/>
      <c r="O712" s="389"/>
      <c r="P712" s="389"/>
      <c r="Q712" s="389"/>
      <c r="R712" s="389"/>
      <c r="S712" s="389"/>
      <c r="T712" s="389"/>
      <c r="U712" s="389"/>
      <c r="V712" s="389"/>
      <c r="W712" s="389"/>
      <c r="X712" s="389"/>
      <c r="Y712" s="389"/>
      <c r="Z712" s="389"/>
      <c r="AA712" s="389"/>
      <c r="AB712" s="389"/>
      <c r="AC712" s="389"/>
      <c r="AD712" s="389"/>
      <c r="AE712" s="389"/>
      <c r="AF712" s="389"/>
    </row>
    <row r="713" hidden="1">
      <c r="A713" s="389"/>
      <c r="B713" s="389"/>
      <c r="C713" s="389"/>
      <c r="D713" s="389"/>
      <c r="E713" s="389"/>
      <c r="F713" s="392"/>
      <c r="G713" s="392"/>
      <c r="H713" s="389"/>
      <c r="I713" s="389"/>
      <c r="J713" s="389"/>
      <c r="K713" s="389"/>
      <c r="L713" s="389"/>
      <c r="M713" s="389"/>
      <c r="N713" s="389"/>
      <c r="O713" s="389"/>
      <c r="P713" s="389"/>
      <c r="Q713" s="389"/>
      <c r="R713" s="389"/>
      <c r="S713" s="389"/>
      <c r="T713" s="389"/>
      <c r="U713" s="389"/>
      <c r="V713" s="389"/>
      <c r="W713" s="389"/>
      <c r="X713" s="389"/>
      <c r="Y713" s="389"/>
      <c r="Z713" s="389"/>
      <c r="AA713" s="389"/>
      <c r="AB713" s="389"/>
      <c r="AC713" s="389"/>
      <c r="AD713" s="389"/>
      <c r="AE713" s="389"/>
      <c r="AF713" s="389"/>
    </row>
    <row r="714" hidden="1">
      <c r="A714" s="389"/>
      <c r="B714" s="389"/>
      <c r="C714" s="389"/>
      <c r="D714" s="389"/>
      <c r="E714" s="389"/>
      <c r="F714" s="392"/>
      <c r="G714" s="392"/>
      <c r="H714" s="389"/>
      <c r="I714" s="389"/>
      <c r="J714" s="389"/>
      <c r="K714" s="389"/>
      <c r="L714" s="389"/>
      <c r="M714" s="389"/>
      <c r="N714" s="389"/>
      <c r="O714" s="389"/>
      <c r="P714" s="389"/>
      <c r="Q714" s="389"/>
      <c r="R714" s="389"/>
      <c r="S714" s="389"/>
      <c r="T714" s="389"/>
      <c r="U714" s="389"/>
      <c r="V714" s="389"/>
      <c r="W714" s="389"/>
      <c r="X714" s="389"/>
      <c r="Y714" s="389"/>
      <c r="Z714" s="389"/>
      <c r="AA714" s="389"/>
      <c r="AB714" s="389"/>
      <c r="AC714" s="389"/>
      <c r="AD714" s="389"/>
      <c r="AE714" s="389"/>
      <c r="AF714" s="389"/>
    </row>
    <row r="715" hidden="1">
      <c r="A715" s="389"/>
      <c r="B715" s="389"/>
      <c r="C715" s="389"/>
      <c r="D715" s="389"/>
      <c r="E715" s="389"/>
      <c r="F715" s="392"/>
      <c r="G715" s="392"/>
      <c r="H715" s="389"/>
      <c r="I715" s="389"/>
      <c r="J715" s="389"/>
      <c r="K715" s="389"/>
      <c r="L715" s="389"/>
      <c r="M715" s="389"/>
      <c r="N715" s="389"/>
      <c r="O715" s="389"/>
      <c r="P715" s="389"/>
      <c r="Q715" s="389"/>
      <c r="R715" s="389"/>
      <c r="S715" s="389"/>
      <c r="T715" s="389"/>
      <c r="U715" s="389"/>
      <c r="V715" s="389"/>
      <c r="W715" s="389"/>
      <c r="X715" s="389"/>
      <c r="Y715" s="389"/>
      <c r="Z715" s="389"/>
      <c r="AA715" s="389"/>
      <c r="AB715" s="389"/>
      <c r="AC715" s="389"/>
      <c r="AD715" s="389"/>
      <c r="AE715" s="389"/>
      <c r="AF715" s="389"/>
    </row>
    <row r="716" hidden="1">
      <c r="A716" s="389"/>
      <c r="B716" s="389"/>
      <c r="C716" s="389"/>
      <c r="D716" s="389"/>
      <c r="E716" s="389"/>
      <c r="F716" s="392"/>
      <c r="G716" s="392"/>
      <c r="H716" s="389"/>
      <c r="I716" s="389"/>
      <c r="J716" s="389"/>
      <c r="K716" s="389"/>
      <c r="L716" s="389"/>
      <c r="M716" s="389"/>
      <c r="N716" s="389"/>
      <c r="O716" s="389"/>
      <c r="P716" s="389"/>
      <c r="Q716" s="389"/>
      <c r="R716" s="389"/>
      <c r="S716" s="389"/>
      <c r="T716" s="389"/>
      <c r="U716" s="389"/>
      <c r="V716" s="389"/>
      <c r="W716" s="389"/>
      <c r="X716" s="389"/>
      <c r="Y716" s="389"/>
      <c r="Z716" s="389"/>
      <c r="AA716" s="389"/>
      <c r="AB716" s="389"/>
      <c r="AC716" s="389"/>
      <c r="AD716" s="389"/>
      <c r="AE716" s="389"/>
      <c r="AF716" s="389"/>
    </row>
    <row r="717" hidden="1">
      <c r="A717" s="389"/>
      <c r="B717" s="389"/>
      <c r="C717" s="389"/>
      <c r="D717" s="389"/>
      <c r="E717" s="389"/>
      <c r="F717" s="392"/>
      <c r="G717" s="392"/>
      <c r="H717" s="389"/>
      <c r="I717" s="389"/>
      <c r="J717" s="389"/>
      <c r="K717" s="389"/>
      <c r="L717" s="389"/>
      <c r="M717" s="389"/>
      <c r="N717" s="389"/>
      <c r="O717" s="389"/>
      <c r="P717" s="389"/>
      <c r="Q717" s="389"/>
      <c r="R717" s="389"/>
      <c r="S717" s="389"/>
      <c r="T717" s="389"/>
      <c r="U717" s="389"/>
      <c r="V717" s="389"/>
      <c r="W717" s="389"/>
      <c r="X717" s="389"/>
      <c r="Y717" s="389"/>
      <c r="Z717" s="389"/>
      <c r="AA717" s="389"/>
      <c r="AB717" s="389"/>
      <c r="AC717" s="389"/>
      <c r="AD717" s="389"/>
      <c r="AE717" s="389"/>
      <c r="AF717" s="389"/>
    </row>
    <row r="718" hidden="1">
      <c r="A718" s="389"/>
      <c r="B718" s="389"/>
      <c r="C718" s="389"/>
      <c r="D718" s="389"/>
      <c r="E718" s="389"/>
      <c r="F718" s="392"/>
      <c r="G718" s="392"/>
      <c r="H718" s="389"/>
      <c r="I718" s="389"/>
      <c r="J718" s="389"/>
      <c r="K718" s="389"/>
      <c r="L718" s="389"/>
      <c r="M718" s="389"/>
      <c r="N718" s="389"/>
      <c r="O718" s="389"/>
      <c r="P718" s="389"/>
      <c r="Q718" s="389"/>
      <c r="R718" s="389"/>
      <c r="S718" s="389"/>
      <c r="T718" s="389"/>
      <c r="U718" s="389"/>
      <c r="V718" s="389"/>
      <c r="W718" s="389"/>
      <c r="X718" s="389"/>
      <c r="Y718" s="389"/>
      <c r="Z718" s="389"/>
      <c r="AA718" s="389"/>
      <c r="AB718" s="389"/>
      <c r="AC718" s="389"/>
      <c r="AD718" s="389"/>
      <c r="AE718" s="389"/>
      <c r="AF718" s="389"/>
    </row>
    <row r="719" hidden="1">
      <c r="A719" s="389"/>
      <c r="B719" s="389"/>
      <c r="C719" s="389"/>
      <c r="D719" s="389"/>
      <c r="E719" s="389"/>
      <c r="F719" s="392"/>
      <c r="G719" s="392"/>
      <c r="H719" s="389"/>
      <c r="I719" s="389"/>
      <c r="J719" s="389"/>
      <c r="K719" s="389"/>
      <c r="L719" s="389"/>
      <c r="M719" s="389"/>
      <c r="N719" s="389"/>
      <c r="O719" s="389"/>
      <c r="P719" s="389"/>
      <c r="Q719" s="389"/>
      <c r="R719" s="389"/>
      <c r="S719" s="389"/>
      <c r="T719" s="389"/>
      <c r="U719" s="389"/>
      <c r="V719" s="389"/>
      <c r="W719" s="389"/>
      <c r="X719" s="389"/>
      <c r="Y719" s="389"/>
      <c r="Z719" s="389"/>
      <c r="AA719" s="389"/>
      <c r="AB719" s="389"/>
      <c r="AC719" s="389"/>
      <c r="AD719" s="389"/>
      <c r="AE719" s="389"/>
      <c r="AF719" s="389"/>
    </row>
    <row r="720" hidden="1">
      <c r="A720" s="389"/>
      <c r="B720" s="389"/>
      <c r="C720" s="389"/>
      <c r="D720" s="389"/>
      <c r="E720" s="389"/>
      <c r="F720" s="392"/>
      <c r="G720" s="392"/>
      <c r="H720" s="389"/>
      <c r="I720" s="389"/>
      <c r="J720" s="389"/>
      <c r="K720" s="389"/>
      <c r="L720" s="389"/>
      <c r="M720" s="389"/>
      <c r="N720" s="389"/>
      <c r="O720" s="389"/>
      <c r="P720" s="389"/>
      <c r="Q720" s="389"/>
      <c r="R720" s="389"/>
      <c r="S720" s="389"/>
      <c r="T720" s="389"/>
      <c r="U720" s="389"/>
      <c r="V720" s="389"/>
      <c r="W720" s="389"/>
      <c r="X720" s="389"/>
      <c r="Y720" s="389"/>
      <c r="Z720" s="389"/>
      <c r="AA720" s="389"/>
      <c r="AB720" s="389"/>
      <c r="AC720" s="389"/>
      <c r="AD720" s="389"/>
      <c r="AE720" s="389"/>
      <c r="AF720" s="389"/>
    </row>
    <row r="721" hidden="1">
      <c r="A721" s="389"/>
      <c r="B721" s="389"/>
      <c r="C721" s="389"/>
      <c r="D721" s="389"/>
      <c r="E721" s="389"/>
      <c r="F721" s="392"/>
      <c r="G721" s="392"/>
      <c r="H721" s="389"/>
      <c r="I721" s="389"/>
      <c r="J721" s="389"/>
      <c r="K721" s="389"/>
      <c r="L721" s="389"/>
      <c r="M721" s="389"/>
      <c r="N721" s="389"/>
      <c r="O721" s="389"/>
      <c r="P721" s="389"/>
      <c r="Q721" s="389"/>
      <c r="R721" s="389"/>
      <c r="S721" s="389"/>
      <c r="T721" s="389"/>
      <c r="U721" s="389"/>
      <c r="V721" s="389"/>
      <c r="W721" s="389"/>
      <c r="X721" s="389"/>
      <c r="Y721" s="389"/>
      <c r="Z721" s="389"/>
      <c r="AA721" s="389"/>
      <c r="AB721" s="389"/>
      <c r="AC721" s="389"/>
      <c r="AD721" s="389"/>
      <c r="AE721" s="389"/>
      <c r="AF721" s="389"/>
    </row>
    <row r="722" hidden="1">
      <c r="A722" s="389"/>
      <c r="B722" s="389"/>
      <c r="C722" s="389"/>
      <c r="D722" s="389"/>
      <c r="E722" s="389"/>
      <c r="F722" s="392"/>
      <c r="G722" s="392"/>
      <c r="H722" s="389"/>
      <c r="I722" s="389"/>
      <c r="J722" s="389"/>
      <c r="K722" s="389"/>
      <c r="L722" s="389"/>
      <c r="M722" s="389"/>
      <c r="N722" s="389"/>
      <c r="O722" s="389"/>
      <c r="P722" s="389"/>
      <c r="Q722" s="389"/>
      <c r="R722" s="389"/>
      <c r="S722" s="389"/>
      <c r="T722" s="389"/>
      <c r="U722" s="389"/>
      <c r="V722" s="389"/>
      <c r="W722" s="389"/>
      <c r="X722" s="389"/>
      <c r="Y722" s="389"/>
      <c r="Z722" s="389"/>
      <c r="AA722" s="389"/>
      <c r="AB722" s="389"/>
      <c r="AC722" s="389"/>
      <c r="AD722" s="389"/>
      <c r="AE722" s="389"/>
      <c r="AF722" s="389"/>
    </row>
    <row r="723" hidden="1">
      <c r="A723" s="389"/>
      <c r="B723" s="389"/>
      <c r="C723" s="389"/>
      <c r="D723" s="389"/>
      <c r="E723" s="389"/>
      <c r="F723" s="392"/>
      <c r="G723" s="392"/>
      <c r="H723" s="389"/>
      <c r="I723" s="389"/>
      <c r="J723" s="389"/>
      <c r="K723" s="389"/>
      <c r="L723" s="389"/>
      <c r="M723" s="389"/>
      <c r="N723" s="389"/>
      <c r="O723" s="389"/>
      <c r="P723" s="389"/>
      <c r="Q723" s="389"/>
      <c r="R723" s="389"/>
      <c r="S723" s="389"/>
      <c r="T723" s="389"/>
      <c r="U723" s="389"/>
      <c r="V723" s="389"/>
      <c r="W723" s="389"/>
      <c r="X723" s="389"/>
      <c r="Y723" s="389"/>
      <c r="Z723" s="389"/>
      <c r="AA723" s="389"/>
      <c r="AB723" s="389"/>
      <c r="AC723" s="389"/>
      <c r="AD723" s="389"/>
      <c r="AE723" s="389"/>
      <c r="AF723" s="389"/>
    </row>
    <row r="724" hidden="1">
      <c r="A724" s="389"/>
      <c r="B724" s="389"/>
      <c r="C724" s="389"/>
      <c r="D724" s="389"/>
      <c r="E724" s="389"/>
      <c r="F724" s="392"/>
      <c r="G724" s="392"/>
      <c r="H724" s="389"/>
      <c r="I724" s="389"/>
      <c r="J724" s="389"/>
      <c r="K724" s="389"/>
      <c r="L724" s="389"/>
      <c r="M724" s="389"/>
      <c r="N724" s="389"/>
      <c r="O724" s="389"/>
      <c r="P724" s="389"/>
      <c r="Q724" s="389"/>
      <c r="R724" s="389"/>
      <c r="S724" s="389"/>
      <c r="T724" s="389"/>
      <c r="U724" s="389"/>
      <c r="V724" s="389"/>
      <c r="W724" s="389"/>
      <c r="X724" s="389"/>
      <c r="Y724" s="389"/>
      <c r="Z724" s="389"/>
      <c r="AA724" s="389"/>
      <c r="AB724" s="389"/>
      <c r="AC724" s="389"/>
      <c r="AD724" s="389"/>
      <c r="AE724" s="389"/>
      <c r="AF724" s="389"/>
    </row>
    <row r="725" hidden="1">
      <c r="A725" s="389"/>
      <c r="B725" s="389"/>
      <c r="C725" s="389"/>
      <c r="D725" s="389"/>
      <c r="E725" s="389"/>
      <c r="F725" s="392"/>
      <c r="G725" s="392"/>
      <c r="H725" s="389"/>
      <c r="I725" s="389"/>
      <c r="J725" s="389"/>
      <c r="K725" s="389"/>
      <c r="L725" s="389"/>
      <c r="M725" s="389"/>
      <c r="N725" s="389"/>
      <c r="O725" s="389"/>
      <c r="P725" s="389"/>
      <c r="Q725" s="389"/>
      <c r="R725" s="389"/>
      <c r="S725" s="389"/>
      <c r="T725" s="389"/>
      <c r="U725" s="389"/>
      <c r="V725" s="389"/>
      <c r="W725" s="389"/>
      <c r="X725" s="389"/>
      <c r="Y725" s="389"/>
      <c r="Z725" s="389"/>
      <c r="AA725" s="389"/>
      <c r="AB725" s="389"/>
      <c r="AC725" s="389"/>
      <c r="AD725" s="389"/>
      <c r="AE725" s="389"/>
      <c r="AF725" s="389"/>
    </row>
    <row r="726" hidden="1">
      <c r="A726" s="389"/>
      <c r="B726" s="389"/>
      <c r="C726" s="389"/>
      <c r="D726" s="389"/>
      <c r="E726" s="389"/>
      <c r="F726" s="392"/>
      <c r="G726" s="392"/>
      <c r="H726" s="389"/>
      <c r="I726" s="389"/>
      <c r="J726" s="389"/>
      <c r="K726" s="389"/>
      <c r="L726" s="389"/>
      <c r="M726" s="389"/>
      <c r="N726" s="389"/>
      <c r="O726" s="389"/>
      <c r="P726" s="389"/>
      <c r="Q726" s="389"/>
      <c r="R726" s="389"/>
      <c r="S726" s="389"/>
      <c r="T726" s="389"/>
      <c r="U726" s="389"/>
      <c r="V726" s="389"/>
      <c r="W726" s="389"/>
      <c r="X726" s="389"/>
      <c r="Y726" s="389"/>
      <c r="Z726" s="389"/>
      <c r="AA726" s="389"/>
      <c r="AB726" s="389"/>
      <c r="AC726" s="389"/>
      <c r="AD726" s="389"/>
      <c r="AE726" s="389"/>
      <c r="AF726" s="389"/>
    </row>
    <row r="727" hidden="1">
      <c r="A727" s="389"/>
      <c r="B727" s="389"/>
      <c r="C727" s="389"/>
      <c r="D727" s="389"/>
      <c r="E727" s="389"/>
      <c r="F727" s="392"/>
      <c r="G727" s="392"/>
      <c r="H727" s="389"/>
      <c r="I727" s="389"/>
      <c r="J727" s="389"/>
      <c r="K727" s="389"/>
      <c r="L727" s="389"/>
      <c r="M727" s="389"/>
      <c r="N727" s="389"/>
      <c r="O727" s="389"/>
      <c r="P727" s="389"/>
      <c r="Q727" s="389"/>
      <c r="R727" s="389"/>
      <c r="S727" s="389"/>
      <c r="T727" s="389"/>
      <c r="U727" s="389"/>
      <c r="V727" s="389"/>
      <c r="W727" s="389"/>
      <c r="X727" s="389"/>
      <c r="Y727" s="389"/>
      <c r="Z727" s="389"/>
      <c r="AA727" s="389"/>
      <c r="AB727" s="389"/>
      <c r="AC727" s="389"/>
      <c r="AD727" s="389"/>
      <c r="AE727" s="389"/>
      <c r="AF727" s="389"/>
    </row>
    <row r="728" hidden="1">
      <c r="A728" s="389"/>
      <c r="B728" s="389"/>
      <c r="C728" s="389"/>
      <c r="D728" s="389"/>
      <c r="E728" s="389"/>
      <c r="F728" s="392"/>
      <c r="G728" s="392"/>
      <c r="H728" s="389"/>
      <c r="I728" s="389"/>
      <c r="J728" s="389"/>
      <c r="K728" s="389"/>
      <c r="L728" s="389"/>
      <c r="M728" s="389"/>
      <c r="N728" s="389"/>
      <c r="O728" s="389"/>
      <c r="P728" s="389"/>
      <c r="Q728" s="389"/>
      <c r="R728" s="389"/>
      <c r="S728" s="389"/>
      <c r="T728" s="389"/>
      <c r="U728" s="389"/>
      <c r="V728" s="389"/>
      <c r="W728" s="389"/>
      <c r="X728" s="389"/>
      <c r="Y728" s="389"/>
      <c r="Z728" s="389"/>
      <c r="AA728" s="389"/>
      <c r="AB728" s="389"/>
      <c r="AC728" s="389"/>
      <c r="AD728" s="389"/>
      <c r="AE728" s="389"/>
      <c r="AF728" s="389"/>
    </row>
    <row r="729" hidden="1">
      <c r="A729" s="389"/>
      <c r="B729" s="389"/>
      <c r="C729" s="389"/>
      <c r="D729" s="389"/>
      <c r="E729" s="389"/>
      <c r="F729" s="392"/>
      <c r="G729" s="392"/>
      <c r="H729" s="389"/>
      <c r="I729" s="389"/>
      <c r="J729" s="389"/>
      <c r="K729" s="389"/>
      <c r="L729" s="389"/>
      <c r="M729" s="389"/>
      <c r="N729" s="389"/>
      <c r="O729" s="389"/>
      <c r="P729" s="389"/>
      <c r="Q729" s="389"/>
      <c r="R729" s="389"/>
      <c r="S729" s="389"/>
      <c r="T729" s="389"/>
      <c r="U729" s="389"/>
      <c r="V729" s="389"/>
      <c r="W729" s="389"/>
      <c r="X729" s="389"/>
      <c r="Y729" s="389"/>
      <c r="Z729" s="389"/>
      <c r="AA729" s="389"/>
      <c r="AB729" s="389"/>
      <c r="AC729" s="389"/>
      <c r="AD729" s="389"/>
      <c r="AE729" s="389"/>
      <c r="AF729" s="389"/>
    </row>
    <row r="730" hidden="1">
      <c r="A730" s="389"/>
      <c r="B730" s="389"/>
      <c r="C730" s="389"/>
      <c r="D730" s="389"/>
      <c r="E730" s="389"/>
      <c r="F730" s="392"/>
      <c r="G730" s="392"/>
      <c r="H730" s="389"/>
      <c r="I730" s="389"/>
      <c r="J730" s="389"/>
      <c r="K730" s="389"/>
      <c r="L730" s="389"/>
      <c r="M730" s="389"/>
      <c r="N730" s="389"/>
      <c r="O730" s="389"/>
      <c r="P730" s="389"/>
      <c r="Q730" s="389"/>
      <c r="R730" s="389"/>
      <c r="S730" s="389"/>
      <c r="T730" s="389"/>
      <c r="U730" s="389"/>
      <c r="V730" s="389"/>
      <c r="W730" s="389"/>
      <c r="X730" s="389"/>
      <c r="Y730" s="389"/>
      <c r="Z730" s="389"/>
      <c r="AA730" s="389"/>
      <c r="AB730" s="389"/>
      <c r="AC730" s="389"/>
      <c r="AD730" s="389"/>
      <c r="AE730" s="389"/>
      <c r="AF730" s="389"/>
    </row>
    <row r="731" hidden="1">
      <c r="A731" s="389"/>
      <c r="B731" s="389"/>
      <c r="C731" s="389"/>
      <c r="D731" s="389"/>
      <c r="E731" s="389"/>
      <c r="F731" s="392"/>
      <c r="G731" s="392"/>
      <c r="H731" s="389"/>
      <c r="I731" s="389"/>
      <c r="J731" s="389"/>
      <c r="K731" s="389"/>
      <c r="L731" s="389"/>
      <c r="M731" s="389"/>
      <c r="N731" s="389"/>
      <c r="O731" s="389"/>
      <c r="P731" s="389"/>
      <c r="Q731" s="389"/>
      <c r="R731" s="389"/>
      <c r="S731" s="389"/>
      <c r="T731" s="389"/>
      <c r="U731" s="389"/>
      <c r="V731" s="389"/>
      <c r="W731" s="389"/>
      <c r="X731" s="389"/>
      <c r="Y731" s="389"/>
      <c r="Z731" s="389"/>
      <c r="AA731" s="389"/>
      <c r="AB731" s="389"/>
      <c r="AC731" s="389"/>
      <c r="AD731" s="389"/>
      <c r="AE731" s="389"/>
      <c r="AF731" s="389"/>
    </row>
    <row r="732" hidden="1">
      <c r="A732" s="389"/>
      <c r="B732" s="389"/>
      <c r="C732" s="389"/>
      <c r="D732" s="389"/>
      <c r="E732" s="389"/>
      <c r="F732" s="392"/>
      <c r="G732" s="392"/>
      <c r="H732" s="389"/>
      <c r="I732" s="389"/>
      <c r="J732" s="389"/>
      <c r="K732" s="389"/>
      <c r="L732" s="389"/>
      <c r="M732" s="389"/>
      <c r="N732" s="389"/>
      <c r="O732" s="389"/>
      <c r="P732" s="389"/>
      <c r="Q732" s="389"/>
      <c r="R732" s="389"/>
      <c r="S732" s="389"/>
      <c r="T732" s="389"/>
      <c r="U732" s="389"/>
      <c r="V732" s="389"/>
      <c r="W732" s="389"/>
      <c r="X732" s="389"/>
      <c r="Y732" s="389"/>
      <c r="Z732" s="389"/>
      <c r="AA732" s="389"/>
      <c r="AB732" s="389"/>
      <c r="AC732" s="389"/>
      <c r="AD732" s="389"/>
      <c r="AE732" s="389"/>
      <c r="AF732" s="389"/>
    </row>
    <row r="733" hidden="1">
      <c r="A733" s="389"/>
      <c r="B733" s="389"/>
      <c r="C733" s="389"/>
      <c r="D733" s="389"/>
      <c r="E733" s="389"/>
      <c r="F733" s="392"/>
      <c r="G733" s="392"/>
      <c r="H733" s="389"/>
      <c r="I733" s="389"/>
      <c r="J733" s="389"/>
      <c r="K733" s="389"/>
      <c r="L733" s="389"/>
      <c r="M733" s="389"/>
      <c r="N733" s="389"/>
      <c r="O733" s="389"/>
      <c r="P733" s="389"/>
      <c r="Q733" s="389"/>
      <c r="R733" s="389"/>
      <c r="S733" s="389"/>
      <c r="T733" s="389"/>
      <c r="U733" s="389"/>
      <c r="V733" s="389"/>
      <c r="W733" s="389"/>
      <c r="X733" s="389"/>
      <c r="Y733" s="389"/>
      <c r="Z733" s="389"/>
      <c r="AA733" s="389"/>
      <c r="AB733" s="389"/>
      <c r="AC733" s="389"/>
      <c r="AD733" s="389"/>
      <c r="AE733" s="389"/>
      <c r="AF733" s="389"/>
    </row>
    <row r="734" hidden="1">
      <c r="A734" s="389"/>
      <c r="B734" s="389"/>
      <c r="C734" s="389"/>
      <c r="D734" s="389"/>
      <c r="E734" s="389"/>
      <c r="F734" s="392"/>
      <c r="G734" s="392"/>
      <c r="H734" s="389"/>
      <c r="I734" s="389"/>
      <c r="J734" s="389"/>
      <c r="K734" s="389"/>
      <c r="L734" s="389"/>
      <c r="M734" s="389"/>
      <c r="N734" s="389"/>
      <c r="O734" s="389"/>
      <c r="P734" s="389"/>
      <c r="Q734" s="389"/>
      <c r="R734" s="389"/>
      <c r="S734" s="389"/>
      <c r="T734" s="389"/>
      <c r="U734" s="389"/>
      <c r="V734" s="389"/>
      <c r="W734" s="389"/>
      <c r="X734" s="389"/>
      <c r="Y734" s="389"/>
      <c r="Z734" s="389"/>
      <c r="AA734" s="389"/>
      <c r="AB734" s="389"/>
      <c r="AC734" s="389"/>
      <c r="AD734" s="389"/>
      <c r="AE734" s="389"/>
      <c r="AF734" s="389"/>
    </row>
    <row r="735" hidden="1">
      <c r="A735" s="389"/>
      <c r="B735" s="389"/>
      <c r="C735" s="389"/>
      <c r="D735" s="389"/>
      <c r="E735" s="389"/>
      <c r="F735" s="392"/>
      <c r="G735" s="392"/>
      <c r="H735" s="389"/>
      <c r="I735" s="389"/>
      <c r="J735" s="389"/>
      <c r="K735" s="389"/>
      <c r="L735" s="389"/>
      <c r="M735" s="389"/>
      <c r="N735" s="389"/>
      <c r="O735" s="389"/>
      <c r="P735" s="389"/>
      <c r="Q735" s="389"/>
      <c r="R735" s="389"/>
      <c r="S735" s="389"/>
      <c r="T735" s="389"/>
      <c r="U735" s="389"/>
      <c r="V735" s="389"/>
      <c r="W735" s="389"/>
      <c r="X735" s="389"/>
      <c r="Y735" s="389"/>
      <c r="Z735" s="389"/>
      <c r="AA735" s="389"/>
      <c r="AB735" s="389"/>
      <c r="AC735" s="389"/>
      <c r="AD735" s="389"/>
      <c r="AE735" s="389"/>
      <c r="AF735" s="389"/>
    </row>
    <row r="736" hidden="1">
      <c r="A736" s="389"/>
      <c r="B736" s="389"/>
      <c r="C736" s="389"/>
      <c r="D736" s="389"/>
      <c r="E736" s="389"/>
      <c r="F736" s="392"/>
      <c r="G736" s="392"/>
      <c r="H736" s="389"/>
      <c r="I736" s="389"/>
      <c r="J736" s="389"/>
      <c r="K736" s="389"/>
      <c r="L736" s="389"/>
      <c r="M736" s="389"/>
      <c r="N736" s="389"/>
      <c r="O736" s="389"/>
      <c r="P736" s="389"/>
      <c r="Q736" s="389"/>
      <c r="R736" s="389"/>
      <c r="S736" s="389"/>
      <c r="T736" s="389"/>
      <c r="U736" s="389"/>
      <c r="V736" s="389"/>
      <c r="W736" s="389"/>
      <c r="X736" s="389"/>
      <c r="Y736" s="389"/>
      <c r="Z736" s="389"/>
      <c r="AA736" s="389"/>
      <c r="AB736" s="389"/>
      <c r="AC736" s="389"/>
      <c r="AD736" s="389"/>
      <c r="AE736" s="389"/>
      <c r="AF736" s="389"/>
    </row>
    <row r="737" hidden="1">
      <c r="A737" s="389"/>
      <c r="B737" s="389"/>
      <c r="C737" s="389"/>
      <c r="D737" s="389"/>
      <c r="E737" s="389"/>
      <c r="F737" s="392"/>
      <c r="G737" s="392"/>
      <c r="H737" s="389"/>
      <c r="I737" s="389"/>
      <c r="J737" s="389"/>
      <c r="K737" s="389"/>
      <c r="L737" s="389"/>
      <c r="M737" s="389"/>
      <c r="N737" s="389"/>
      <c r="O737" s="389"/>
      <c r="P737" s="389"/>
      <c r="Q737" s="389"/>
      <c r="R737" s="389"/>
      <c r="S737" s="389"/>
      <c r="T737" s="389"/>
      <c r="U737" s="389"/>
      <c r="V737" s="389"/>
      <c r="W737" s="389"/>
      <c r="X737" s="389"/>
      <c r="Y737" s="389"/>
      <c r="Z737" s="389"/>
      <c r="AA737" s="389"/>
      <c r="AB737" s="389"/>
      <c r="AC737" s="389"/>
      <c r="AD737" s="389"/>
      <c r="AE737" s="389"/>
      <c r="AF737" s="389"/>
    </row>
    <row r="738" hidden="1">
      <c r="A738" s="389"/>
      <c r="B738" s="389"/>
      <c r="C738" s="389"/>
      <c r="D738" s="389"/>
      <c r="E738" s="389"/>
      <c r="F738" s="392"/>
      <c r="G738" s="392"/>
      <c r="H738" s="389"/>
      <c r="I738" s="389"/>
      <c r="J738" s="389"/>
      <c r="K738" s="389"/>
      <c r="L738" s="389"/>
      <c r="M738" s="389"/>
      <c r="N738" s="389"/>
      <c r="O738" s="389"/>
      <c r="P738" s="389"/>
      <c r="Q738" s="389"/>
      <c r="R738" s="389"/>
      <c r="S738" s="389"/>
      <c r="T738" s="389"/>
      <c r="U738" s="389"/>
      <c r="V738" s="389"/>
      <c r="W738" s="389"/>
      <c r="X738" s="389"/>
      <c r="Y738" s="389"/>
      <c r="Z738" s="389"/>
      <c r="AA738" s="389"/>
      <c r="AB738" s="389"/>
      <c r="AC738" s="389"/>
      <c r="AD738" s="389"/>
      <c r="AE738" s="389"/>
      <c r="AF738" s="389"/>
    </row>
    <row r="739" hidden="1">
      <c r="A739" s="389"/>
      <c r="B739" s="389"/>
      <c r="C739" s="389"/>
      <c r="D739" s="389"/>
      <c r="E739" s="389"/>
      <c r="F739" s="392"/>
      <c r="G739" s="392"/>
      <c r="H739" s="389"/>
      <c r="I739" s="389"/>
      <c r="J739" s="389"/>
      <c r="K739" s="389"/>
      <c r="L739" s="389"/>
      <c r="M739" s="389"/>
      <c r="N739" s="389"/>
      <c r="O739" s="389"/>
      <c r="P739" s="389"/>
      <c r="Q739" s="389"/>
      <c r="R739" s="389"/>
      <c r="S739" s="389"/>
      <c r="T739" s="389"/>
      <c r="U739" s="389"/>
      <c r="V739" s="389"/>
      <c r="W739" s="389"/>
      <c r="X739" s="389"/>
      <c r="Y739" s="389"/>
      <c r="Z739" s="389"/>
      <c r="AA739" s="389"/>
      <c r="AB739" s="389"/>
      <c r="AC739" s="389"/>
      <c r="AD739" s="389"/>
      <c r="AE739" s="389"/>
      <c r="AF739" s="389"/>
    </row>
    <row r="740" hidden="1">
      <c r="A740" s="389"/>
      <c r="B740" s="389"/>
      <c r="C740" s="389"/>
      <c r="D740" s="389"/>
      <c r="E740" s="389"/>
      <c r="F740" s="392"/>
      <c r="G740" s="392"/>
      <c r="H740" s="389"/>
      <c r="I740" s="389"/>
      <c r="J740" s="389"/>
      <c r="K740" s="389"/>
      <c r="L740" s="389"/>
      <c r="M740" s="389"/>
      <c r="N740" s="389"/>
      <c r="O740" s="389"/>
      <c r="P740" s="389"/>
      <c r="Q740" s="389"/>
      <c r="R740" s="389"/>
      <c r="S740" s="389"/>
      <c r="T740" s="389"/>
      <c r="U740" s="389"/>
      <c r="V740" s="389"/>
      <c r="W740" s="389"/>
      <c r="X740" s="389"/>
      <c r="Y740" s="389"/>
      <c r="Z740" s="389"/>
      <c r="AA740" s="389"/>
      <c r="AB740" s="389"/>
      <c r="AC740" s="389"/>
      <c r="AD740" s="389"/>
      <c r="AE740" s="389"/>
      <c r="AF740" s="389"/>
    </row>
    <row r="741" hidden="1">
      <c r="A741" s="389"/>
      <c r="B741" s="389"/>
      <c r="C741" s="389"/>
      <c r="D741" s="389"/>
      <c r="E741" s="389"/>
      <c r="F741" s="392"/>
      <c r="G741" s="392"/>
      <c r="H741" s="389"/>
      <c r="I741" s="389"/>
      <c r="J741" s="389"/>
      <c r="K741" s="389"/>
      <c r="L741" s="389"/>
      <c r="M741" s="389"/>
      <c r="N741" s="389"/>
      <c r="O741" s="389"/>
      <c r="P741" s="389"/>
      <c r="Q741" s="389"/>
      <c r="R741" s="389"/>
      <c r="S741" s="389"/>
      <c r="T741" s="389"/>
      <c r="U741" s="389"/>
      <c r="V741" s="389"/>
      <c r="W741" s="389"/>
      <c r="X741" s="389"/>
      <c r="Y741" s="389"/>
      <c r="Z741" s="389"/>
      <c r="AA741" s="389"/>
      <c r="AB741" s="389"/>
      <c r="AC741" s="389"/>
      <c r="AD741" s="389"/>
      <c r="AE741" s="389"/>
      <c r="AF741" s="389"/>
    </row>
    <row r="742" hidden="1">
      <c r="A742" s="389"/>
      <c r="B742" s="389"/>
      <c r="C742" s="389"/>
      <c r="D742" s="389"/>
      <c r="E742" s="389"/>
      <c r="F742" s="392"/>
      <c r="G742" s="392"/>
      <c r="H742" s="389"/>
      <c r="I742" s="389"/>
      <c r="J742" s="389"/>
      <c r="K742" s="389"/>
      <c r="L742" s="389"/>
      <c r="M742" s="389"/>
      <c r="N742" s="389"/>
      <c r="O742" s="389"/>
      <c r="P742" s="389"/>
      <c r="Q742" s="389"/>
      <c r="R742" s="389"/>
      <c r="S742" s="389"/>
      <c r="T742" s="389"/>
      <c r="U742" s="389"/>
      <c r="V742" s="389"/>
      <c r="W742" s="389"/>
      <c r="X742" s="389"/>
      <c r="Y742" s="389"/>
      <c r="Z742" s="389"/>
      <c r="AA742" s="389"/>
      <c r="AB742" s="389"/>
      <c r="AC742" s="389"/>
      <c r="AD742" s="389"/>
      <c r="AE742" s="389"/>
      <c r="AF742" s="389"/>
    </row>
    <row r="743" hidden="1">
      <c r="A743" s="389"/>
      <c r="B743" s="389"/>
      <c r="C743" s="389"/>
      <c r="D743" s="389"/>
      <c r="E743" s="389"/>
      <c r="F743" s="392"/>
      <c r="G743" s="392"/>
      <c r="H743" s="389"/>
      <c r="I743" s="389"/>
      <c r="J743" s="389"/>
      <c r="K743" s="389"/>
      <c r="L743" s="389"/>
      <c r="M743" s="389"/>
      <c r="N743" s="389"/>
      <c r="O743" s="389"/>
      <c r="P743" s="389"/>
      <c r="Q743" s="389"/>
      <c r="R743" s="389"/>
      <c r="S743" s="389"/>
      <c r="T743" s="389"/>
      <c r="U743" s="389"/>
      <c r="V743" s="389"/>
      <c r="W743" s="389"/>
      <c r="X743" s="389"/>
      <c r="Y743" s="389"/>
      <c r="Z743" s="389"/>
      <c r="AA743" s="389"/>
      <c r="AB743" s="389"/>
      <c r="AC743" s="389"/>
      <c r="AD743" s="389"/>
      <c r="AE743" s="389"/>
      <c r="AF743" s="389"/>
    </row>
    <row r="744" hidden="1">
      <c r="A744" s="389"/>
      <c r="B744" s="389"/>
      <c r="C744" s="389"/>
      <c r="D744" s="389"/>
      <c r="E744" s="389"/>
      <c r="F744" s="392"/>
      <c r="G744" s="392"/>
      <c r="H744" s="389"/>
      <c r="I744" s="389"/>
      <c r="J744" s="389"/>
      <c r="K744" s="389"/>
      <c r="L744" s="389"/>
      <c r="M744" s="389"/>
      <c r="N744" s="389"/>
      <c r="O744" s="389"/>
      <c r="P744" s="389"/>
      <c r="Q744" s="389"/>
      <c r="R744" s="389"/>
      <c r="S744" s="389"/>
      <c r="T744" s="389"/>
      <c r="U744" s="389"/>
      <c r="V744" s="389"/>
      <c r="W744" s="389"/>
      <c r="X744" s="389"/>
      <c r="Y744" s="389"/>
      <c r="Z744" s="389"/>
      <c r="AA744" s="389"/>
      <c r="AB744" s="389"/>
      <c r="AC744" s="389"/>
      <c r="AD744" s="389"/>
      <c r="AE744" s="389"/>
      <c r="AF744" s="389"/>
    </row>
    <row r="745" hidden="1">
      <c r="A745" s="389"/>
      <c r="B745" s="389"/>
      <c r="C745" s="389"/>
      <c r="D745" s="389"/>
      <c r="E745" s="389"/>
      <c r="F745" s="392"/>
      <c r="G745" s="392"/>
      <c r="H745" s="389"/>
      <c r="I745" s="389"/>
      <c r="J745" s="389"/>
      <c r="K745" s="389"/>
      <c r="L745" s="389"/>
      <c r="M745" s="389"/>
      <c r="N745" s="389"/>
      <c r="O745" s="389"/>
      <c r="P745" s="389"/>
      <c r="Q745" s="389"/>
      <c r="R745" s="389"/>
      <c r="S745" s="389"/>
      <c r="T745" s="389"/>
      <c r="U745" s="389"/>
      <c r="V745" s="389"/>
      <c r="W745" s="389"/>
      <c r="X745" s="389"/>
      <c r="Y745" s="389"/>
      <c r="Z745" s="389"/>
      <c r="AA745" s="389"/>
      <c r="AB745" s="389"/>
      <c r="AC745" s="389"/>
      <c r="AD745" s="389"/>
      <c r="AE745" s="389"/>
      <c r="AF745" s="389"/>
    </row>
    <row r="746" hidden="1">
      <c r="A746" s="389"/>
      <c r="B746" s="389"/>
      <c r="C746" s="389"/>
      <c r="D746" s="389"/>
      <c r="E746" s="389"/>
      <c r="F746" s="392"/>
      <c r="G746" s="392"/>
      <c r="H746" s="389"/>
      <c r="I746" s="389"/>
      <c r="J746" s="389"/>
      <c r="K746" s="389"/>
      <c r="L746" s="389"/>
      <c r="M746" s="389"/>
      <c r="N746" s="389"/>
      <c r="O746" s="389"/>
      <c r="P746" s="389"/>
      <c r="Q746" s="389"/>
      <c r="R746" s="389"/>
      <c r="S746" s="389"/>
      <c r="T746" s="389"/>
      <c r="U746" s="389"/>
      <c r="V746" s="389"/>
      <c r="W746" s="389"/>
      <c r="X746" s="389"/>
      <c r="Y746" s="389"/>
      <c r="Z746" s="389"/>
      <c r="AA746" s="389"/>
      <c r="AB746" s="389"/>
      <c r="AC746" s="389"/>
      <c r="AD746" s="389"/>
      <c r="AE746" s="389"/>
      <c r="AF746" s="389"/>
    </row>
    <row r="747" hidden="1">
      <c r="A747" s="389"/>
      <c r="B747" s="389"/>
      <c r="C747" s="389"/>
      <c r="D747" s="389"/>
      <c r="E747" s="389"/>
      <c r="F747" s="392"/>
      <c r="G747" s="392"/>
      <c r="H747" s="389"/>
      <c r="I747" s="389"/>
      <c r="J747" s="389"/>
      <c r="K747" s="389"/>
      <c r="L747" s="389"/>
      <c r="M747" s="389"/>
      <c r="N747" s="389"/>
      <c r="O747" s="389"/>
      <c r="P747" s="389"/>
      <c r="Q747" s="389"/>
      <c r="R747" s="389"/>
      <c r="S747" s="389"/>
      <c r="T747" s="389"/>
      <c r="U747" s="389"/>
      <c r="V747" s="389"/>
      <c r="W747" s="389"/>
      <c r="X747" s="389"/>
      <c r="Y747" s="389"/>
      <c r="Z747" s="389"/>
      <c r="AA747" s="389"/>
      <c r="AB747" s="389"/>
      <c r="AC747" s="389"/>
      <c r="AD747" s="389"/>
      <c r="AE747" s="389"/>
      <c r="AF747" s="389"/>
    </row>
    <row r="748" hidden="1">
      <c r="A748" s="389"/>
      <c r="B748" s="389"/>
      <c r="C748" s="389"/>
      <c r="D748" s="389"/>
      <c r="E748" s="389"/>
      <c r="F748" s="392"/>
      <c r="G748" s="392"/>
      <c r="H748" s="389"/>
      <c r="I748" s="389"/>
      <c r="J748" s="389"/>
      <c r="K748" s="389"/>
      <c r="L748" s="389"/>
      <c r="M748" s="389"/>
      <c r="N748" s="389"/>
      <c r="O748" s="389"/>
      <c r="P748" s="389"/>
      <c r="Q748" s="389"/>
      <c r="R748" s="389"/>
      <c r="S748" s="389"/>
      <c r="T748" s="389"/>
      <c r="U748" s="389"/>
      <c r="V748" s="389"/>
      <c r="W748" s="389"/>
      <c r="X748" s="389"/>
      <c r="Y748" s="389"/>
      <c r="Z748" s="389"/>
      <c r="AA748" s="389"/>
      <c r="AB748" s="389"/>
      <c r="AC748" s="389"/>
      <c r="AD748" s="389"/>
      <c r="AE748" s="389"/>
      <c r="AF748" s="389"/>
    </row>
    <row r="749" hidden="1">
      <c r="A749" s="389"/>
      <c r="B749" s="389"/>
      <c r="C749" s="389"/>
      <c r="D749" s="389"/>
      <c r="E749" s="389"/>
      <c r="F749" s="392"/>
      <c r="G749" s="392"/>
      <c r="H749" s="389"/>
      <c r="I749" s="389"/>
      <c r="J749" s="389"/>
      <c r="K749" s="389"/>
      <c r="L749" s="389"/>
      <c r="M749" s="389"/>
      <c r="N749" s="389"/>
      <c r="O749" s="389"/>
      <c r="P749" s="389"/>
      <c r="Q749" s="389"/>
      <c r="R749" s="389"/>
      <c r="S749" s="389"/>
      <c r="T749" s="389"/>
      <c r="U749" s="389"/>
      <c r="V749" s="389"/>
      <c r="W749" s="389"/>
      <c r="X749" s="389"/>
      <c r="Y749" s="389"/>
      <c r="Z749" s="389"/>
      <c r="AA749" s="389"/>
      <c r="AB749" s="389"/>
      <c r="AC749" s="389"/>
      <c r="AD749" s="389"/>
      <c r="AE749" s="389"/>
      <c r="AF749" s="389"/>
    </row>
    <row r="750" hidden="1">
      <c r="A750" s="389"/>
      <c r="B750" s="389"/>
      <c r="C750" s="389"/>
      <c r="D750" s="389"/>
      <c r="E750" s="389"/>
      <c r="F750" s="392"/>
      <c r="G750" s="392"/>
      <c r="H750" s="389"/>
      <c r="I750" s="389"/>
      <c r="J750" s="389"/>
      <c r="K750" s="389"/>
      <c r="L750" s="389"/>
      <c r="M750" s="389"/>
      <c r="N750" s="389"/>
      <c r="O750" s="389"/>
      <c r="P750" s="389"/>
      <c r="Q750" s="389"/>
      <c r="R750" s="389"/>
      <c r="S750" s="389"/>
      <c r="T750" s="389"/>
      <c r="U750" s="389"/>
      <c r="V750" s="389"/>
      <c r="W750" s="389"/>
      <c r="X750" s="389"/>
      <c r="Y750" s="389"/>
      <c r="Z750" s="389"/>
      <c r="AA750" s="389"/>
      <c r="AB750" s="389"/>
      <c r="AC750" s="389"/>
      <c r="AD750" s="389"/>
      <c r="AE750" s="389"/>
      <c r="AF750" s="389"/>
    </row>
    <row r="751" hidden="1">
      <c r="A751" s="389"/>
      <c r="B751" s="389"/>
      <c r="C751" s="389"/>
      <c r="D751" s="389"/>
      <c r="E751" s="389"/>
      <c r="F751" s="392"/>
      <c r="G751" s="392"/>
      <c r="H751" s="389"/>
      <c r="I751" s="389"/>
      <c r="J751" s="389"/>
      <c r="K751" s="389"/>
      <c r="L751" s="389"/>
      <c r="M751" s="389"/>
      <c r="N751" s="389"/>
      <c r="O751" s="389"/>
      <c r="P751" s="389"/>
      <c r="Q751" s="389"/>
      <c r="R751" s="389"/>
      <c r="S751" s="389"/>
      <c r="T751" s="389"/>
      <c r="U751" s="389"/>
      <c r="V751" s="389"/>
      <c r="W751" s="389"/>
      <c r="X751" s="389"/>
      <c r="Y751" s="389"/>
      <c r="Z751" s="389"/>
      <c r="AA751" s="389"/>
      <c r="AB751" s="389"/>
      <c r="AC751" s="389"/>
      <c r="AD751" s="389"/>
      <c r="AE751" s="389"/>
      <c r="AF751" s="389"/>
    </row>
    <row r="752" hidden="1">
      <c r="A752" s="389"/>
      <c r="B752" s="389"/>
      <c r="C752" s="389"/>
      <c r="D752" s="389"/>
      <c r="E752" s="389"/>
      <c r="F752" s="392"/>
      <c r="G752" s="392"/>
      <c r="H752" s="389"/>
      <c r="I752" s="389"/>
      <c r="J752" s="389"/>
      <c r="K752" s="389"/>
      <c r="L752" s="389"/>
      <c r="M752" s="389"/>
      <c r="N752" s="389"/>
      <c r="O752" s="389"/>
      <c r="P752" s="389"/>
      <c r="Q752" s="389"/>
      <c r="R752" s="389"/>
      <c r="S752" s="389"/>
      <c r="T752" s="389"/>
      <c r="U752" s="389"/>
      <c r="V752" s="389"/>
      <c r="W752" s="389"/>
      <c r="X752" s="389"/>
      <c r="Y752" s="389"/>
      <c r="Z752" s="389"/>
      <c r="AA752" s="389"/>
      <c r="AB752" s="389"/>
      <c r="AC752" s="389"/>
      <c r="AD752" s="389"/>
      <c r="AE752" s="389"/>
      <c r="AF752" s="389"/>
    </row>
    <row r="753" hidden="1">
      <c r="A753" s="389"/>
      <c r="B753" s="389"/>
      <c r="C753" s="389"/>
      <c r="D753" s="389"/>
      <c r="E753" s="389"/>
      <c r="F753" s="392"/>
      <c r="G753" s="392"/>
      <c r="H753" s="389"/>
      <c r="I753" s="389"/>
      <c r="J753" s="389"/>
      <c r="K753" s="389"/>
      <c r="L753" s="389"/>
      <c r="M753" s="389"/>
      <c r="N753" s="389"/>
      <c r="O753" s="389"/>
      <c r="P753" s="389"/>
      <c r="Q753" s="389"/>
      <c r="R753" s="389"/>
      <c r="S753" s="389"/>
      <c r="T753" s="389"/>
      <c r="U753" s="389"/>
      <c r="V753" s="389"/>
      <c r="W753" s="389"/>
      <c r="X753" s="389"/>
      <c r="Y753" s="389"/>
      <c r="Z753" s="389"/>
      <c r="AA753" s="389"/>
      <c r="AB753" s="389"/>
      <c r="AC753" s="389"/>
      <c r="AD753" s="389"/>
      <c r="AE753" s="389"/>
      <c r="AF753" s="389"/>
    </row>
    <row r="754" hidden="1">
      <c r="A754" s="389"/>
      <c r="B754" s="389"/>
      <c r="C754" s="389"/>
      <c r="D754" s="389"/>
      <c r="E754" s="389"/>
      <c r="F754" s="392"/>
      <c r="G754" s="392"/>
      <c r="H754" s="389"/>
      <c r="I754" s="389"/>
      <c r="J754" s="389"/>
      <c r="K754" s="389"/>
      <c r="L754" s="389"/>
      <c r="M754" s="389"/>
      <c r="N754" s="389"/>
      <c r="O754" s="389"/>
      <c r="P754" s="389"/>
      <c r="Q754" s="389"/>
      <c r="R754" s="389"/>
      <c r="S754" s="389"/>
      <c r="T754" s="389"/>
      <c r="U754" s="389"/>
      <c r="V754" s="389"/>
      <c r="W754" s="389"/>
      <c r="X754" s="389"/>
      <c r="Y754" s="389"/>
      <c r="Z754" s="389"/>
      <c r="AA754" s="389"/>
      <c r="AB754" s="389"/>
      <c r="AC754" s="389"/>
      <c r="AD754" s="389"/>
      <c r="AE754" s="389"/>
      <c r="AF754" s="389"/>
    </row>
    <row r="755" hidden="1">
      <c r="A755" s="389"/>
      <c r="B755" s="389"/>
      <c r="C755" s="389"/>
      <c r="D755" s="389"/>
      <c r="E755" s="389"/>
      <c r="F755" s="392"/>
      <c r="G755" s="392"/>
      <c r="H755" s="389"/>
      <c r="I755" s="389"/>
      <c r="J755" s="389"/>
      <c r="K755" s="389"/>
      <c r="L755" s="389"/>
      <c r="M755" s="389"/>
      <c r="N755" s="389"/>
      <c r="O755" s="389"/>
      <c r="P755" s="389"/>
      <c r="Q755" s="389"/>
      <c r="R755" s="389"/>
      <c r="S755" s="389"/>
      <c r="T755" s="389"/>
      <c r="U755" s="389"/>
      <c r="V755" s="389"/>
      <c r="W755" s="389"/>
      <c r="X755" s="389"/>
      <c r="Y755" s="389"/>
      <c r="Z755" s="389"/>
      <c r="AA755" s="389"/>
      <c r="AB755" s="389"/>
      <c r="AC755" s="389"/>
      <c r="AD755" s="389"/>
      <c r="AE755" s="389"/>
      <c r="AF755" s="389"/>
    </row>
    <row r="756" hidden="1">
      <c r="A756" s="389"/>
      <c r="B756" s="389"/>
      <c r="C756" s="389"/>
      <c r="D756" s="389"/>
      <c r="E756" s="389"/>
      <c r="F756" s="392"/>
      <c r="G756" s="392"/>
      <c r="H756" s="389"/>
      <c r="I756" s="389"/>
      <c r="J756" s="389"/>
      <c r="K756" s="389"/>
      <c r="L756" s="389"/>
      <c r="M756" s="389"/>
      <c r="N756" s="389"/>
      <c r="O756" s="389"/>
      <c r="P756" s="389"/>
      <c r="Q756" s="389"/>
      <c r="R756" s="389"/>
      <c r="S756" s="389"/>
      <c r="T756" s="389"/>
      <c r="U756" s="389"/>
      <c r="V756" s="389"/>
      <c r="W756" s="389"/>
      <c r="X756" s="389"/>
      <c r="Y756" s="389"/>
      <c r="Z756" s="389"/>
      <c r="AA756" s="389"/>
      <c r="AB756" s="389"/>
      <c r="AC756" s="389"/>
      <c r="AD756" s="389"/>
      <c r="AE756" s="389"/>
      <c r="AF756" s="389"/>
    </row>
    <row r="757" hidden="1">
      <c r="A757" s="389"/>
      <c r="B757" s="389"/>
      <c r="C757" s="389"/>
      <c r="D757" s="389"/>
      <c r="E757" s="389"/>
      <c r="F757" s="392"/>
      <c r="G757" s="392"/>
      <c r="H757" s="389"/>
      <c r="I757" s="389"/>
      <c r="J757" s="389"/>
      <c r="K757" s="389"/>
      <c r="L757" s="389"/>
      <c r="M757" s="389"/>
      <c r="N757" s="389"/>
      <c r="O757" s="389"/>
      <c r="P757" s="389"/>
      <c r="Q757" s="389"/>
      <c r="R757" s="389"/>
      <c r="S757" s="389"/>
      <c r="T757" s="389"/>
      <c r="U757" s="389"/>
      <c r="V757" s="389"/>
      <c r="W757" s="389"/>
      <c r="X757" s="389"/>
      <c r="Y757" s="389"/>
      <c r="Z757" s="389"/>
      <c r="AA757" s="389"/>
      <c r="AB757" s="389"/>
      <c r="AC757" s="389"/>
      <c r="AD757" s="389"/>
      <c r="AE757" s="389"/>
      <c r="AF757" s="389"/>
    </row>
    <row r="758" hidden="1">
      <c r="A758" s="389"/>
      <c r="B758" s="389"/>
      <c r="C758" s="389"/>
      <c r="D758" s="389"/>
      <c r="E758" s="389"/>
      <c r="F758" s="392"/>
      <c r="G758" s="392"/>
      <c r="H758" s="389"/>
      <c r="I758" s="389"/>
      <c r="J758" s="389"/>
      <c r="K758" s="389"/>
      <c r="L758" s="389"/>
      <c r="M758" s="389"/>
      <c r="N758" s="389"/>
      <c r="O758" s="389"/>
      <c r="P758" s="389"/>
      <c r="Q758" s="389"/>
      <c r="R758" s="389"/>
      <c r="S758" s="389"/>
      <c r="T758" s="389"/>
      <c r="U758" s="389"/>
      <c r="V758" s="389"/>
      <c r="W758" s="389"/>
      <c r="X758" s="389"/>
      <c r="Y758" s="389"/>
      <c r="Z758" s="389"/>
      <c r="AA758" s="389"/>
      <c r="AB758" s="389"/>
      <c r="AC758" s="389"/>
      <c r="AD758" s="389"/>
      <c r="AE758" s="389"/>
      <c r="AF758" s="389"/>
    </row>
    <row r="759" hidden="1">
      <c r="A759" s="389"/>
      <c r="B759" s="389"/>
      <c r="C759" s="389"/>
      <c r="D759" s="389"/>
      <c r="E759" s="389"/>
      <c r="F759" s="392"/>
      <c r="G759" s="392"/>
      <c r="H759" s="389"/>
      <c r="I759" s="389"/>
      <c r="J759" s="389"/>
      <c r="K759" s="389"/>
      <c r="L759" s="389"/>
      <c r="M759" s="389"/>
      <c r="N759" s="389"/>
      <c r="O759" s="389"/>
      <c r="P759" s="389"/>
      <c r="Q759" s="389"/>
      <c r="R759" s="389"/>
      <c r="S759" s="389"/>
      <c r="T759" s="389"/>
      <c r="U759" s="389"/>
      <c r="V759" s="389"/>
      <c r="W759" s="389"/>
      <c r="X759" s="389"/>
      <c r="Y759" s="389"/>
      <c r="Z759" s="389"/>
      <c r="AA759" s="389"/>
      <c r="AB759" s="389"/>
      <c r="AC759" s="389"/>
      <c r="AD759" s="389"/>
      <c r="AE759" s="389"/>
      <c r="AF759" s="389"/>
    </row>
    <row r="760" hidden="1">
      <c r="A760" s="389"/>
      <c r="B760" s="389"/>
      <c r="C760" s="389"/>
      <c r="D760" s="389"/>
      <c r="E760" s="389"/>
      <c r="F760" s="392"/>
      <c r="G760" s="392"/>
      <c r="H760" s="389"/>
      <c r="I760" s="389"/>
      <c r="J760" s="389"/>
      <c r="K760" s="389"/>
      <c r="L760" s="389"/>
      <c r="M760" s="389"/>
      <c r="N760" s="389"/>
      <c r="O760" s="389"/>
      <c r="P760" s="389"/>
      <c r="Q760" s="389"/>
      <c r="R760" s="389"/>
      <c r="S760" s="389"/>
      <c r="T760" s="389"/>
      <c r="U760" s="389"/>
      <c r="V760" s="389"/>
      <c r="W760" s="389"/>
      <c r="X760" s="389"/>
      <c r="Y760" s="389"/>
      <c r="Z760" s="389"/>
      <c r="AA760" s="389"/>
      <c r="AB760" s="389"/>
      <c r="AC760" s="389"/>
      <c r="AD760" s="389"/>
      <c r="AE760" s="389"/>
      <c r="AF760" s="389"/>
    </row>
    <row r="761" hidden="1">
      <c r="A761" s="389"/>
      <c r="B761" s="389"/>
      <c r="C761" s="389"/>
      <c r="D761" s="389"/>
      <c r="E761" s="389"/>
      <c r="F761" s="392"/>
      <c r="G761" s="392"/>
      <c r="H761" s="389"/>
      <c r="I761" s="389"/>
      <c r="J761" s="389"/>
      <c r="K761" s="389"/>
      <c r="L761" s="389"/>
      <c r="M761" s="389"/>
      <c r="N761" s="389"/>
      <c r="O761" s="389"/>
      <c r="P761" s="389"/>
      <c r="Q761" s="389"/>
      <c r="R761" s="389"/>
      <c r="S761" s="389"/>
      <c r="T761" s="389"/>
      <c r="U761" s="389"/>
      <c r="V761" s="389"/>
      <c r="W761" s="389"/>
      <c r="X761" s="389"/>
      <c r="Y761" s="389"/>
      <c r="Z761" s="389"/>
      <c r="AA761" s="389"/>
      <c r="AB761" s="389"/>
      <c r="AC761" s="389"/>
      <c r="AD761" s="389"/>
      <c r="AE761" s="389"/>
      <c r="AF761" s="389"/>
    </row>
    <row r="762" hidden="1">
      <c r="A762" s="389"/>
      <c r="B762" s="389"/>
      <c r="C762" s="389"/>
      <c r="D762" s="389"/>
      <c r="E762" s="389"/>
      <c r="F762" s="392"/>
      <c r="G762" s="392"/>
      <c r="H762" s="389"/>
      <c r="I762" s="389"/>
      <c r="J762" s="389"/>
      <c r="K762" s="389"/>
      <c r="L762" s="389"/>
      <c r="M762" s="389"/>
      <c r="N762" s="389"/>
      <c r="O762" s="389"/>
      <c r="P762" s="389"/>
      <c r="Q762" s="389"/>
      <c r="R762" s="389"/>
      <c r="S762" s="389"/>
      <c r="T762" s="389"/>
      <c r="U762" s="389"/>
      <c r="V762" s="389"/>
      <c r="W762" s="389"/>
      <c r="X762" s="389"/>
      <c r="Y762" s="389"/>
      <c r="Z762" s="389"/>
      <c r="AA762" s="389"/>
      <c r="AB762" s="389"/>
      <c r="AC762" s="389"/>
      <c r="AD762" s="389"/>
      <c r="AE762" s="389"/>
      <c r="AF762" s="389"/>
    </row>
    <row r="763" hidden="1">
      <c r="A763" s="389"/>
      <c r="B763" s="389"/>
      <c r="C763" s="389"/>
      <c r="D763" s="389"/>
      <c r="E763" s="389"/>
      <c r="F763" s="392"/>
      <c r="G763" s="392"/>
      <c r="H763" s="389"/>
      <c r="I763" s="389"/>
      <c r="J763" s="389"/>
      <c r="K763" s="389"/>
      <c r="L763" s="389"/>
      <c r="M763" s="389"/>
      <c r="N763" s="389"/>
      <c r="O763" s="389"/>
      <c r="P763" s="389"/>
      <c r="Q763" s="389"/>
      <c r="R763" s="389"/>
      <c r="S763" s="389"/>
      <c r="T763" s="389"/>
      <c r="U763" s="389"/>
      <c r="V763" s="389"/>
      <c r="W763" s="389"/>
      <c r="X763" s="389"/>
      <c r="Y763" s="389"/>
      <c r="Z763" s="389"/>
      <c r="AA763" s="389"/>
      <c r="AB763" s="389"/>
      <c r="AC763" s="389"/>
      <c r="AD763" s="389"/>
      <c r="AE763" s="389"/>
      <c r="AF763" s="389"/>
    </row>
    <row r="764" hidden="1">
      <c r="A764" s="389"/>
      <c r="B764" s="389"/>
      <c r="C764" s="389"/>
      <c r="D764" s="389"/>
      <c r="E764" s="389"/>
      <c r="F764" s="392"/>
      <c r="G764" s="392"/>
      <c r="H764" s="389"/>
      <c r="I764" s="389"/>
      <c r="J764" s="389"/>
      <c r="K764" s="389"/>
      <c r="L764" s="389"/>
      <c r="M764" s="389"/>
      <c r="N764" s="389"/>
      <c r="O764" s="389"/>
      <c r="P764" s="389"/>
      <c r="Q764" s="389"/>
      <c r="R764" s="389"/>
      <c r="S764" s="389"/>
      <c r="T764" s="389"/>
      <c r="U764" s="389"/>
      <c r="V764" s="389"/>
      <c r="W764" s="389"/>
      <c r="X764" s="389"/>
      <c r="Y764" s="389"/>
      <c r="Z764" s="389"/>
      <c r="AA764" s="389"/>
      <c r="AB764" s="389"/>
      <c r="AC764" s="389"/>
      <c r="AD764" s="389"/>
      <c r="AE764" s="389"/>
      <c r="AF764" s="389"/>
    </row>
    <row r="765" hidden="1">
      <c r="A765" s="389"/>
      <c r="B765" s="389"/>
      <c r="C765" s="389"/>
      <c r="D765" s="389"/>
      <c r="E765" s="389"/>
      <c r="F765" s="392"/>
      <c r="G765" s="392"/>
      <c r="H765" s="389"/>
      <c r="I765" s="389"/>
      <c r="J765" s="389"/>
      <c r="K765" s="389"/>
      <c r="L765" s="389"/>
      <c r="M765" s="389"/>
      <c r="N765" s="389"/>
      <c r="O765" s="389"/>
      <c r="P765" s="389"/>
      <c r="Q765" s="389"/>
      <c r="R765" s="389"/>
      <c r="S765" s="389"/>
      <c r="T765" s="389"/>
      <c r="U765" s="389"/>
      <c r="V765" s="389"/>
      <c r="W765" s="389"/>
      <c r="X765" s="389"/>
      <c r="Y765" s="389"/>
      <c r="Z765" s="389"/>
      <c r="AA765" s="389"/>
      <c r="AB765" s="389"/>
      <c r="AC765" s="389"/>
      <c r="AD765" s="389"/>
      <c r="AE765" s="389"/>
      <c r="AF765" s="389"/>
    </row>
    <row r="766" hidden="1">
      <c r="A766" s="389"/>
      <c r="B766" s="389"/>
      <c r="C766" s="389"/>
      <c r="D766" s="389"/>
      <c r="E766" s="389"/>
      <c r="F766" s="392"/>
      <c r="G766" s="392"/>
      <c r="H766" s="389"/>
      <c r="I766" s="389"/>
      <c r="J766" s="389"/>
      <c r="K766" s="389"/>
      <c r="L766" s="389"/>
      <c r="M766" s="389"/>
      <c r="N766" s="389"/>
      <c r="O766" s="389"/>
      <c r="P766" s="389"/>
      <c r="Q766" s="389"/>
      <c r="R766" s="389"/>
      <c r="S766" s="389"/>
      <c r="T766" s="389"/>
      <c r="U766" s="389"/>
      <c r="V766" s="389"/>
      <c r="W766" s="389"/>
      <c r="X766" s="389"/>
      <c r="Y766" s="389"/>
      <c r="Z766" s="389"/>
      <c r="AA766" s="389"/>
      <c r="AB766" s="389"/>
      <c r="AC766" s="389"/>
      <c r="AD766" s="389"/>
      <c r="AE766" s="389"/>
      <c r="AF766" s="389"/>
    </row>
    <row r="767" hidden="1">
      <c r="A767" s="389"/>
      <c r="B767" s="389"/>
      <c r="C767" s="389"/>
      <c r="D767" s="389"/>
      <c r="E767" s="389"/>
      <c r="F767" s="392"/>
      <c r="G767" s="392"/>
      <c r="H767" s="389"/>
      <c r="I767" s="389"/>
      <c r="J767" s="389"/>
      <c r="K767" s="389"/>
      <c r="L767" s="389"/>
      <c r="M767" s="389"/>
      <c r="N767" s="389"/>
      <c r="O767" s="389"/>
      <c r="P767" s="389"/>
      <c r="Q767" s="389"/>
      <c r="R767" s="389"/>
      <c r="S767" s="389"/>
      <c r="T767" s="389"/>
      <c r="U767" s="389"/>
      <c r="V767" s="389"/>
      <c r="W767" s="389"/>
      <c r="X767" s="389"/>
      <c r="Y767" s="389"/>
      <c r="Z767" s="389"/>
      <c r="AA767" s="389"/>
      <c r="AB767" s="389"/>
      <c r="AC767" s="389"/>
      <c r="AD767" s="389"/>
      <c r="AE767" s="389"/>
      <c r="AF767" s="389"/>
    </row>
    <row r="768" hidden="1">
      <c r="A768" s="389"/>
      <c r="B768" s="389"/>
      <c r="C768" s="389"/>
      <c r="D768" s="389"/>
      <c r="E768" s="389"/>
      <c r="F768" s="392"/>
      <c r="G768" s="392"/>
      <c r="H768" s="389"/>
      <c r="I768" s="389"/>
      <c r="J768" s="389"/>
      <c r="K768" s="389"/>
      <c r="L768" s="389"/>
      <c r="M768" s="389"/>
      <c r="N768" s="389"/>
      <c r="O768" s="389"/>
      <c r="P768" s="389"/>
      <c r="Q768" s="389"/>
      <c r="R768" s="389"/>
      <c r="S768" s="389"/>
      <c r="T768" s="389"/>
      <c r="U768" s="389"/>
      <c r="V768" s="389"/>
      <c r="W768" s="389"/>
      <c r="X768" s="389"/>
      <c r="Y768" s="389"/>
      <c r="Z768" s="389"/>
      <c r="AA768" s="389"/>
      <c r="AB768" s="389"/>
      <c r="AC768" s="389"/>
      <c r="AD768" s="389"/>
      <c r="AE768" s="389"/>
      <c r="AF768" s="389"/>
    </row>
    <row r="769" hidden="1">
      <c r="A769" s="389"/>
      <c r="B769" s="389"/>
      <c r="C769" s="389"/>
      <c r="D769" s="389"/>
      <c r="E769" s="389"/>
      <c r="F769" s="392"/>
      <c r="G769" s="392"/>
      <c r="H769" s="389"/>
      <c r="I769" s="389"/>
      <c r="J769" s="389"/>
      <c r="K769" s="389"/>
      <c r="L769" s="389"/>
      <c r="M769" s="389"/>
      <c r="N769" s="389"/>
      <c r="O769" s="389"/>
      <c r="P769" s="389"/>
      <c r="Q769" s="389"/>
      <c r="R769" s="389"/>
      <c r="S769" s="389"/>
      <c r="T769" s="389"/>
      <c r="U769" s="389"/>
      <c r="V769" s="389"/>
      <c r="W769" s="389"/>
      <c r="X769" s="389"/>
      <c r="Y769" s="389"/>
      <c r="Z769" s="389"/>
      <c r="AA769" s="389"/>
      <c r="AB769" s="389"/>
      <c r="AC769" s="389"/>
      <c r="AD769" s="389"/>
      <c r="AE769" s="389"/>
      <c r="AF769" s="389"/>
    </row>
    <row r="770" hidden="1">
      <c r="A770" s="389"/>
      <c r="B770" s="389"/>
      <c r="C770" s="389"/>
      <c r="D770" s="389"/>
      <c r="E770" s="389"/>
      <c r="F770" s="392"/>
      <c r="G770" s="392"/>
      <c r="H770" s="389"/>
      <c r="I770" s="389"/>
      <c r="J770" s="389"/>
      <c r="K770" s="389"/>
      <c r="L770" s="389"/>
      <c r="M770" s="389"/>
      <c r="N770" s="389"/>
      <c r="O770" s="389"/>
      <c r="P770" s="389"/>
      <c r="Q770" s="389"/>
      <c r="R770" s="389"/>
      <c r="S770" s="389"/>
      <c r="T770" s="389"/>
      <c r="U770" s="389"/>
      <c r="V770" s="389"/>
      <c r="W770" s="389"/>
      <c r="X770" s="389"/>
      <c r="Y770" s="389"/>
      <c r="Z770" s="389"/>
      <c r="AA770" s="389"/>
      <c r="AB770" s="389"/>
      <c r="AC770" s="389"/>
      <c r="AD770" s="389"/>
      <c r="AE770" s="389"/>
      <c r="AF770" s="389"/>
    </row>
    <row r="771" hidden="1">
      <c r="A771" s="389"/>
      <c r="B771" s="389"/>
      <c r="C771" s="389"/>
      <c r="D771" s="389"/>
      <c r="E771" s="389"/>
      <c r="F771" s="392"/>
      <c r="G771" s="392"/>
      <c r="H771" s="389"/>
      <c r="I771" s="389"/>
      <c r="J771" s="389"/>
      <c r="K771" s="389"/>
      <c r="L771" s="389"/>
      <c r="M771" s="389"/>
      <c r="N771" s="389"/>
      <c r="O771" s="389"/>
      <c r="P771" s="389"/>
      <c r="Q771" s="389"/>
      <c r="R771" s="389"/>
      <c r="S771" s="389"/>
      <c r="T771" s="389"/>
      <c r="U771" s="389"/>
      <c r="V771" s="389"/>
      <c r="W771" s="389"/>
      <c r="X771" s="389"/>
      <c r="Y771" s="389"/>
      <c r="Z771" s="389"/>
      <c r="AA771" s="389"/>
      <c r="AB771" s="389"/>
      <c r="AC771" s="389"/>
      <c r="AD771" s="389"/>
      <c r="AE771" s="389"/>
      <c r="AF771" s="389"/>
    </row>
    <row r="772" hidden="1">
      <c r="A772" s="389"/>
      <c r="B772" s="389"/>
      <c r="C772" s="389"/>
      <c r="D772" s="389"/>
      <c r="E772" s="389"/>
      <c r="F772" s="392"/>
      <c r="G772" s="392"/>
      <c r="H772" s="389"/>
      <c r="I772" s="389"/>
      <c r="J772" s="389"/>
      <c r="K772" s="389"/>
      <c r="L772" s="389"/>
      <c r="M772" s="389"/>
      <c r="N772" s="389"/>
      <c r="O772" s="389"/>
      <c r="P772" s="389"/>
      <c r="Q772" s="389"/>
      <c r="R772" s="389"/>
      <c r="S772" s="389"/>
      <c r="T772" s="389"/>
      <c r="U772" s="389"/>
      <c r="V772" s="389"/>
      <c r="W772" s="389"/>
      <c r="X772" s="389"/>
      <c r="Y772" s="389"/>
      <c r="Z772" s="389"/>
      <c r="AA772" s="389"/>
      <c r="AB772" s="389"/>
      <c r="AC772" s="389"/>
      <c r="AD772" s="389"/>
      <c r="AE772" s="389"/>
      <c r="AF772" s="389"/>
    </row>
    <row r="773" hidden="1">
      <c r="A773" s="389"/>
      <c r="B773" s="389"/>
      <c r="C773" s="389"/>
      <c r="D773" s="389"/>
      <c r="E773" s="389"/>
      <c r="F773" s="392"/>
      <c r="G773" s="392"/>
      <c r="H773" s="389"/>
      <c r="I773" s="389"/>
      <c r="J773" s="389"/>
      <c r="K773" s="389"/>
      <c r="L773" s="389"/>
      <c r="M773" s="389"/>
      <c r="N773" s="389"/>
      <c r="O773" s="389"/>
      <c r="P773" s="389"/>
      <c r="Q773" s="389"/>
      <c r="R773" s="389"/>
      <c r="S773" s="389"/>
      <c r="T773" s="389"/>
      <c r="U773" s="389"/>
      <c r="V773" s="389"/>
      <c r="W773" s="389"/>
      <c r="X773" s="389"/>
      <c r="Y773" s="389"/>
      <c r="Z773" s="389"/>
      <c r="AA773" s="389"/>
      <c r="AB773" s="389"/>
      <c r="AC773" s="389"/>
      <c r="AD773" s="389"/>
      <c r="AE773" s="389"/>
      <c r="AF773" s="389"/>
    </row>
    <row r="774" hidden="1">
      <c r="A774" s="389"/>
      <c r="B774" s="389"/>
      <c r="C774" s="389"/>
      <c r="D774" s="389"/>
      <c r="E774" s="389"/>
      <c r="F774" s="392"/>
      <c r="G774" s="392"/>
      <c r="H774" s="389"/>
      <c r="I774" s="389"/>
      <c r="J774" s="389"/>
      <c r="K774" s="389"/>
      <c r="L774" s="389"/>
      <c r="M774" s="389"/>
      <c r="N774" s="389"/>
      <c r="O774" s="389"/>
      <c r="P774" s="389"/>
      <c r="Q774" s="389"/>
      <c r="R774" s="389"/>
      <c r="S774" s="389"/>
      <c r="T774" s="389"/>
      <c r="U774" s="389"/>
      <c r="V774" s="389"/>
      <c r="W774" s="389"/>
      <c r="X774" s="389"/>
      <c r="Y774" s="389"/>
      <c r="Z774" s="389"/>
      <c r="AA774" s="389"/>
      <c r="AB774" s="389"/>
      <c r="AC774" s="389"/>
      <c r="AD774" s="389"/>
      <c r="AE774" s="389"/>
      <c r="AF774" s="389"/>
    </row>
    <row r="775" hidden="1">
      <c r="A775" s="389"/>
      <c r="B775" s="389"/>
      <c r="C775" s="389"/>
      <c r="D775" s="389"/>
      <c r="E775" s="389"/>
      <c r="F775" s="392"/>
      <c r="G775" s="392"/>
      <c r="H775" s="389"/>
      <c r="I775" s="389"/>
      <c r="J775" s="389"/>
      <c r="K775" s="389"/>
      <c r="L775" s="389"/>
      <c r="M775" s="389"/>
      <c r="N775" s="389"/>
      <c r="O775" s="389"/>
      <c r="P775" s="389"/>
      <c r="Q775" s="389"/>
      <c r="R775" s="389"/>
      <c r="S775" s="389"/>
      <c r="T775" s="389"/>
      <c r="U775" s="389"/>
      <c r="V775" s="389"/>
      <c r="W775" s="389"/>
      <c r="X775" s="389"/>
      <c r="Y775" s="389"/>
      <c r="Z775" s="389"/>
      <c r="AA775" s="389"/>
      <c r="AB775" s="389"/>
      <c r="AC775" s="389"/>
      <c r="AD775" s="389"/>
      <c r="AE775" s="389"/>
      <c r="AF775" s="389"/>
    </row>
    <row r="776" hidden="1">
      <c r="A776" s="389"/>
      <c r="B776" s="389"/>
      <c r="C776" s="389"/>
      <c r="D776" s="389"/>
      <c r="E776" s="389"/>
      <c r="F776" s="392"/>
      <c r="G776" s="392"/>
      <c r="H776" s="389"/>
      <c r="I776" s="389"/>
      <c r="J776" s="389"/>
      <c r="K776" s="389"/>
      <c r="L776" s="389"/>
      <c r="M776" s="389"/>
      <c r="N776" s="389"/>
      <c r="O776" s="389"/>
      <c r="P776" s="389"/>
      <c r="Q776" s="389"/>
      <c r="R776" s="389"/>
      <c r="S776" s="389"/>
      <c r="T776" s="389"/>
      <c r="U776" s="389"/>
      <c r="V776" s="389"/>
      <c r="W776" s="389"/>
      <c r="X776" s="389"/>
      <c r="Y776" s="389"/>
      <c r="Z776" s="389"/>
      <c r="AA776" s="389"/>
      <c r="AB776" s="389"/>
      <c r="AC776" s="389"/>
      <c r="AD776" s="389"/>
      <c r="AE776" s="389"/>
      <c r="AF776" s="389"/>
    </row>
    <row r="777" hidden="1">
      <c r="A777" s="389"/>
      <c r="B777" s="389"/>
      <c r="C777" s="389"/>
      <c r="D777" s="389"/>
      <c r="E777" s="389"/>
      <c r="F777" s="392"/>
      <c r="G777" s="392"/>
      <c r="H777" s="389"/>
      <c r="I777" s="389"/>
      <c r="J777" s="389"/>
      <c r="K777" s="389"/>
      <c r="L777" s="389"/>
      <c r="M777" s="389"/>
      <c r="N777" s="389"/>
      <c r="O777" s="389"/>
      <c r="P777" s="389"/>
      <c r="Q777" s="389"/>
      <c r="R777" s="389"/>
      <c r="S777" s="389"/>
      <c r="T777" s="389"/>
      <c r="U777" s="389"/>
      <c r="V777" s="389"/>
      <c r="W777" s="389"/>
      <c r="X777" s="389"/>
      <c r="Y777" s="389"/>
      <c r="Z777" s="389"/>
      <c r="AA777" s="389"/>
      <c r="AB777" s="389"/>
      <c r="AC777" s="389"/>
      <c r="AD777" s="389"/>
      <c r="AE777" s="389"/>
      <c r="AF777" s="389"/>
    </row>
    <row r="778" hidden="1">
      <c r="A778" s="389"/>
      <c r="B778" s="389"/>
      <c r="C778" s="389"/>
      <c r="D778" s="389"/>
      <c r="E778" s="389"/>
      <c r="F778" s="392"/>
      <c r="G778" s="392"/>
      <c r="H778" s="389"/>
      <c r="I778" s="389"/>
      <c r="J778" s="389"/>
      <c r="K778" s="389"/>
      <c r="L778" s="389"/>
      <c r="M778" s="389"/>
      <c r="N778" s="389"/>
      <c r="O778" s="389"/>
      <c r="P778" s="389"/>
      <c r="Q778" s="389"/>
      <c r="R778" s="389"/>
      <c r="S778" s="389"/>
      <c r="T778" s="389"/>
      <c r="U778" s="389"/>
      <c r="V778" s="389"/>
      <c r="W778" s="389"/>
      <c r="X778" s="389"/>
      <c r="Y778" s="389"/>
      <c r="Z778" s="389"/>
      <c r="AA778" s="389"/>
      <c r="AB778" s="389"/>
      <c r="AC778" s="389"/>
      <c r="AD778" s="389"/>
      <c r="AE778" s="389"/>
      <c r="AF778" s="389"/>
    </row>
    <row r="779" hidden="1">
      <c r="A779" s="389"/>
      <c r="B779" s="389"/>
      <c r="C779" s="389"/>
      <c r="D779" s="389"/>
      <c r="E779" s="389"/>
      <c r="F779" s="392"/>
      <c r="G779" s="392"/>
      <c r="H779" s="389"/>
      <c r="I779" s="389"/>
      <c r="J779" s="389"/>
      <c r="K779" s="389"/>
      <c r="L779" s="389"/>
      <c r="M779" s="389"/>
      <c r="N779" s="389"/>
      <c r="O779" s="389"/>
      <c r="P779" s="389"/>
      <c r="Q779" s="389"/>
      <c r="R779" s="389"/>
      <c r="S779" s="389"/>
      <c r="T779" s="389"/>
      <c r="U779" s="389"/>
      <c r="V779" s="389"/>
      <c r="W779" s="389"/>
      <c r="X779" s="389"/>
      <c r="Y779" s="389"/>
      <c r="Z779" s="389"/>
      <c r="AA779" s="389"/>
      <c r="AB779" s="389"/>
      <c r="AC779" s="389"/>
      <c r="AD779" s="389"/>
      <c r="AE779" s="389"/>
      <c r="AF779" s="389"/>
    </row>
    <row r="780" hidden="1">
      <c r="A780" s="389"/>
      <c r="B780" s="389"/>
      <c r="C780" s="389"/>
      <c r="D780" s="389"/>
      <c r="E780" s="389"/>
      <c r="F780" s="392"/>
      <c r="G780" s="392"/>
      <c r="H780" s="389"/>
      <c r="I780" s="389"/>
      <c r="J780" s="389"/>
      <c r="K780" s="389"/>
      <c r="L780" s="389"/>
      <c r="M780" s="389"/>
      <c r="N780" s="389"/>
      <c r="O780" s="389"/>
      <c r="P780" s="389"/>
      <c r="Q780" s="389"/>
      <c r="R780" s="389"/>
      <c r="S780" s="389"/>
      <c r="T780" s="389"/>
      <c r="U780" s="389"/>
      <c r="V780" s="389"/>
      <c r="W780" s="389"/>
      <c r="X780" s="389"/>
      <c r="Y780" s="389"/>
      <c r="Z780" s="389"/>
      <c r="AA780" s="389"/>
      <c r="AB780" s="389"/>
      <c r="AC780" s="389"/>
      <c r="AD780" s="389"/>
      <c r="AE780" s="389"/>
      <c r="AF780" s="389"/>
    </row>
    <row r="781" hidden="1">
      <c r="A781" s="389"/>
      <c r="B781" s="389"/>
      <c r="C781" s="389"/>
      <c r="D781" s="389"/>
      <c r="E781" s="389"/>
      <c r="F781" s="392"/>
      <c r="G781" s="392"/>
      <c r="H781" s="389"/>
      <c r="I781" s="389"/>
      <c r="J781" s="389"/>
      <c r="K781" s="389"/>
      <c r="L781" s="389"/>
      <c r="M781" s="389"/>
      <c r="N781" s="389"/>
      <c r="O781" s="389"/>
      <c r="P781" s="389"/>
      <c r="Q781" s="389"/>
      <c r="R781" s="389"/>
      <c r="S781" s="389"/>
      <c r="T781" s="389"/>
      <c r="U781" s="389"/>
      <c r="V781" s="389"/>
      <c r="W781" s="389"/>
      <c r="X781" s="389"/>
      <c r="Y781" s="389"/>
      <c r="Z781" s="389"/>
      <c r="AA781" s="389"/>
      <c r="AB781" s="389"/>
      <c r="AC781" s="389"/>
      <c r="AD781" s="389"/>
      <c r="AE781" s="389"/>
      <c r="AF781" s="389"/>
    </row>
    <row r="782" hidden="1">
      <c r="A782" s="389"/>
      <c r="B782" s="389"/>
      <c r="C782" s="389"/>
      <c r="D782" s="389"/>
      <c r="E782" s="389"/>
      <c r="F782" s="392"/>
      <c r="G782" s="392"/>
      <c r="H782" s="389"/>
      <c r="I782" s="389"/>
      <c r="J782" s="389"/>
      <c r="K782" s="389"/>
      <c r="L782" s="389"/>
      <c r="M782" s="389"/>
      <c r="N782" s="389"/>
      <c r="O782" s="389"/>
      <c r="P782" s="389"/>
      <c r="Q782" s="389"/>
      <c r="R782" s="389"/>
      <c r="S782" s="389"/>
      <c r="T782" s="389"/>
      <c r="U782" s="389"/>
      <c r="V782" s="389"/>
      <c r="W782" s="389"/>
      <c r="X782" s="389"/>
      <c r="Y782" s="389"/>
      <c r="Z782" s="389"/>
      <c r="AA782" s="389"/>
      <c r="AB782" s="389"/>
      <c r="AC782" s="389"/>
      <c r="AD782" s="389"/>
      <c r="AE782" s="389"/>
      <c r="AF782" s="389"/>
    </row>
    <row r="783" hidden="1">
      <c r="A783" s="389"/>
      <c r="B783" s="389"/>
      <c r="C783" s="389"/>
      <c r="D783" s="389"/>
      <c r="E783" s="389"/>
      <c r="F783" s="392"/>
      <c r="G783" s="392"/>
      <c r="H783" s="389"/>
      <c r="I783" s="389"/>
      <c r="J783" s="389"/>
      <c r="K783" s="389"/>
      <c r="L783" s="389"/>
      <c r="M783" s="389"/>
      <c r="N783" s="389"/>
      <c r="O783" s="389"/>
      <c r="P783" s="389"/>
      <c r="Q783" s="389"/>
      <c r="R783" s="389"/>
      <c r="S783" s="389"/>
      <c r="T783" s="389"/>
      <c r="U783" s="389"/>
      <c r="V783" s="389"/>
      <c r="W783" s="389"/>
      <c r="X783" s="389"/>
      <c r="Y783" s="389"/>
      <c r="Z783" s="389"/>
      <c r="AA783" s="389"/>
      <c r="AB783" s="389"/>
      <c r="AC783" s="389"/>
      <c r="AD783" s="389"/>
      <c r="AE783" s="389"/>
      <c r="AF783" s="389"/>
    </row>
    <row r="784" hidden="1">
      <c r="A784" s="389"/>
      <c r="B784" s="389"/>
      <c r="C784" s="389"/>
      <c r="D784" s="389"/>
      <c r="E784" s="389"/>
      <c r="F784" s="392"/>
      <c r="G784" s="392"/>
      <c r="H784" s="389"/>
      <c r="I784" s="389"/>
      <c r="J784" s="389"/>
      <c r="K784" s="389"/>
      <c r="L784" s="389"/>
      <c r="M784" s="389"/>
      <c r="N784" s="389"/>
      <c r="O784" s="389"/>
      <c r="P784" s="389"/>
      <c r="Q784" s="389"/>
      <c r="R784" s="389"/>
      <c r="S784" s="389"/>
      <c r="T784" s="389"/>
      <c r="U784" s="389"/>
      <c r="V784" s="389"/>
      <c r="W784" s="389"/>
      <c r="X784" s="389"/>
      <c r="Y784" s="389"/>
      <c r="Z784" s="389"/>
      <c r="AA784" s="389"/>
      <c r="AB784" s="389"/>
      <c r="AC784" s="389"/>
      <c r="AD784" s="389"/>
      <c r="AE784" s="389"/>
      <c r="AF784" s="389"/>
    </row>
    <row r="785" hidden="1">
      <c r="A785" s="389"/>
      <c r="B785" s="389"/>
      <c r="C785" s="389"/>
      <c r="D785" s="389"/>
      <c r="E785" s="389"/>
      <c r="F785" s="392"/>
      <c r="G785" s="392"/>
      <c r="H785" s="389"/>
      <c r="I785" s="389"/>
      <c r="J785" s="389"/>
      <c r="K785" s="389"/>
      <c r="L785" s="389"/>
      <c r="M785" s="389"/>
      <c r="N785" s="389"/>
      <c r="O785" s="389"/>
      <c r="P785" s="389"/>
      <c r="Q785" s="389"/>
      <c r="R785" s="389"/>
      <c r="S785" s="389"/>
      <c r="T785" s="389"/>
      <c r="U785" s="389"/>
      <c r="V785" s="389"/>
      <c r="W785" s="389"/>
      <c r="X785" s="389"/>
      <c r="Y785" s="389"/>
      <c r="Z785" s="389"/>
      <c r="AA785" s="389"/>
      <c r="AB785" s="389"/>
      <c r="AC785" s="389"/>
      <c r="AD785" s="389"/>
      <c r="AE785" s="389"/>
      <c r="AF785" s="389"/>
    </row>
    <row r="786" hidden="1">
      <c r="A786" s="389"/>
      <c r="B786" s="389"/>
      <c r="C786" s="389"/>
      <c r="D786" s="389"/>
      <c r="E786" s="389"/>
      <c r="F786" s="392"/>
      <c r="G786" s="392"/>
      <c r="H786" s="389"/>
      <c r="I786" s="389"/>
      <c r="J786" s="389"/>
      <c r="K786" s="389"/>
      <c r="L786" s="389"/>
      <c r="M786" s="389"/>
      <c r="N786" s="389"/>
      <c r="O786" s="389"/>
      <c r="P786" s="389"/>
      <c r="Q786" s="389"/>
      <c r="R786" s="389"/>
      <c r="S786" s="389"/>
      <c r="T786" s="389"/>
      <c r="U786" s="389"/>
      <c r="V786" s="389"/>
      <c r="W786" s="389"/>
      <c r="X786" s="389"/>
      <c r="Y786" s="389"/>
      <c r="Z786" s="389"/>
      <c r="AA786" s="389"/>
      <c r="AB786" s="389"/>
      <c r="AC786" s="389"/>
      <c r="AD786" s="389"/>
      <c r="AE786" s="389"/>
      <c r="AF786" s="389"/>
    </row>
    <row r="787" hidden="1">
      <c r="A787" s="389"/>
      <c r="B787" s="389"/>
      <c r="C787" s="389"/>
      <c r="D787" s="389"/>
      <c r="E787" s="389"/>
      <c r="F787" s="392"/>
      <c r="G787" s="392"/>
      <c r="H787" s="389"/>
      <c r="I787" s="389"/>
      <c r="J787" s="389"/>
      <c r="K787" s="389"/>
      <c r="L787" s="389"/>
      <c r="M787" s="389"/>
      <c r="N787" s="389"/>
      <c r="O787" s="389"/>
      <c r="P787" s="389"/>
      <c r="Q787" s="389"/>
      <c r="R787" s="389"/>
      <c r="S787" s="389"/>
      <c r="T787" s="389"/>
      <c r="U787" s="389"/>
      <c r="V787" s="389"/>
      <c r="W787" s="389"/>
      <c r="X787" s="389"/>
      <c r="Y787" s="389"/>
      <c r="Z787" s="389"/>
      <c r="AA787" s="389"/>
      <c r="AB787" s="389"/>
      <c r="AC787" s="389"/>
      <c r="AD787" s="389"/>
      <c r="AE787" s="389"/>
      <c r="AF787" s="389"/>
    </row>
    <row r="788" hidden="1">
      <c r="A788" s="389"/>
      <c r="B788" s="389"/>
      <c r="C788" s="389"/>
      <c r="D788" s="389"/>
      <c r="E788" s="389"/>
      <c r="F788" s="392"/>
      <c r="G788" s="392"/>
      <c r="H788" s="389"/>
      <c r="I788" s="389"/>
      <c r="J788" s="389"/>
      <c r="K788" s="389"/>
      <c r="L788" s="389"/>
      <c r="M788" s="389"/>
      <c r="N788" s="389"/>
      <c r="O788" s="389"/>
      <c r="P788" s="389"/>
      <c r="Q788" s="389"/>
      <c r="R788" s="389"/>
      <c r="S788" s="389"/>
      <c r="T788" s="389"/>
      <c r="U788" s="389"/>
      <c r="V788" s="389"/>
      <c r="W788" s="389"/>
      <c r="X788" s="389"/>
      <c r="Y788" s="389"/>
      <c r="Z788" s="389"/>
      <c r="AA788" s="389"/>
      <c r="AB788" s="389"/>
      <c r="AC788" s="389"/>
      <c r="AD788" s="389"/>
      <c r="AE788" s="389"/>
      <c r="AF788" s="389"/>
    </row>
    <row r="789" hidden="1">
      <c r="A789" s="389"/>
      <c r="B789" s="389"/>
      <c r="C789" s="389"/>
      <c r="D789" s="389"/>
      <c r="E789" s="389"/>
      <c r="F789" s="392"/>
      <c r="G789" s="392"/>
      <c r="H789" s="389"/>
      <c r="I789" s="389"/>
      <c r="J789" s="389"/>
      <c r="K789" s="389"/>
      <c r="L789" s="389"/>
      <c r="M789" s="389"/>
      <c r="N789" s="389"/>
      <c r="O789" s="389"/>
      <c r="P789" s="389"/>
      <c r="Q789" s="389"/>
      <c r="R789" s="389"/>
      <c r="S789" s="389"/>
      <c r="T789" s="389"/>
      <c r="U789" s="389"/>
      <c r="V789" s="389"/>
      <c r="W789" s="389"/>
      <c r="X789" s="389"/>
      <c r="Y789" s="389"/>
      <c r="Z789" s="389"/>
      <c r="AA789" s="389"/>
      <c r="AB789" s="389"/>
      <c r="AC789" s="389"/>
      <c r="AD789" s="389"/>
      <c r="AE789" s="389"/>
      <c r="AF789" s="389"/>
    </row>
    <row r="790" hidden="1">
      <c r="A790" s="389"/>
      <c r="B790" s="389"/>
      <c r="C790" s="389"/>
      <c r="D790" s="389"/>
      <c r="E790" s="389"/>
      <c r="F790" s="392"/>
      <c r="G790" s="392"/>
      <c r="H790" s="389"/>
      <c r="I790" s="389"/>
      <c r="J790" s="389"/>
      <c r="K790" s="389"/>
      <c r="L790" s="389"/>
      <c r="M790" s="389"/>
      <c r="N790" s="389"/>
      <c r="O790" s="389"/>
      <c r="P790" s="389"/>
      <c r="Q790" s="389"/>
      <c r="R790" s="389"/>
      <c r="S790" s="389"/>
      <c r="T790" s="389"/>
      <c r="U790" s="389"/>
      <c r="V790" s="389"/>
      <c r="W790" s="389"/>
      <c r="X790" s="389"/>
      <c r="Y790" s="389"/>
      <c r="Z790" s="389"/>
      <c r="AA790" s="389"/>
      <c r="AB790" s="389"/>
      <c r="AC790" s="389"/>
      <c r="AD790" s="389"/>
      <c r="AE790" s="389"/>
      <c r="AF790" s="389"/>
    </row>
    <row r="791" hidden="1">
      <c r="A791" s="389"/>
      <c r="B791" s="389"/>
      <c r="C791" s="389"/>
      <c r="D791" s="389"/>
      <c r="E791" s="389"/>
      <c r="F791" s="392"/>
      <c r="G791" s="392"/>
      <c r="H791" s="389"/>
      <c r="I791" s="389"/>
      <c r="J791" s="389"/>
      <c r="K791" s="389"/>
      <c r="L791" s="389"/>
      <c r="M791" s="389"/>
      <c r="N791" s="389"/>
      <c r="O791" s="389"/>
      <c r="P791" s="389"/>
      <c r="Q791" s="389"/>
      <c r="R791" s="389"/>
      <c r="S791" s="389"/>
      <c r="T791" s="389"/>
      <c r="U791" s="389"/>
      <c r="V791" s="389"/>
      <c r="W791" s="389"/>
      <c r="X791" s="389"/>
      <c r="Y791" s="389"/>
      <c r="Z791" s="389"/>
      <c r="AA791" s="389"/>
      <c r="AB791" s="389"/>
      <c r="AC791" s="389"/>
      <c r="AD791" s="389"/>
      <c r="AE791" s="389"/>
      <c r="AF791" s="389"/>
    </row>
    <row r="792" hidden="1">
      <c r="A792" s="389"/>
      <c r="B792" s="389"/>
      <c r="C792" s="389"/>
      <c r="D792" s="389"/>
      <c r="E792" s="389"/>
      <c r="F792" s="392"/>
      <c r="G792" s="392"/>
      <c r="H792" s="389"/>
      <c r="I792" s="389"/>
      <c r="J792" s="389"/>
      <c r="K792" s="389"/>
      <c r="L792" s="389"/>
      <c r="M792" s="389"/>
      <c r="N792" s="389"/>
      <c r="O792" s="389"/>
      <c r="P792" s="389"/>
      <c r="Q792" s="389"/>
      <c r="R792" s="389"/>
      <c r="S792" s="389"/>
      <c r="T792" s="389"/>
      <c r="U792" s="389"/>
      <c r="V792" s="389"/>
      <c r="W792" s="389"/>
      <c r="X792" s="389"/>
      <c r="Y792" s="389"/>
      <c r="Z792" s="389"/>
      <c r="AA792" s="389"/>
      <c r="AB792" s="389"/>
      <c r="AC792" s="389"/>
      <c r="AD792" s="389"/>
      <c r="AE792" s="389"/>
      <c r="AF792" s="389"/>
    </row>
    <row r="793" hidden="1">
      <c r="A793" s="389"/>
      <c r="B793" s="389"/>
      <c r="C793" s="389"/>
      <c r="D793" s="389"/>
      <c r="E793" s="389"/>
      <c r="F793" s="392"/>
      <c r="G793" s="392"/>
      <c r="H793" s="389"/>
      <c r="I793" s="389"/>
      <c r="J793" s="389"/>
      <c r="K793" s="389"/>
      <c r="L793" s="389"/>
      <c r="M793" s="389"/>
      <c r="N793" s="389"/>
      <c r="O793" s="389"/>
      <c r="P793" s="389"/>
      <c r="Q793" s="389"/>
      <c r="R793" s="389"/>
      <c r="S793" s="389"/>
      <c r="T793" s="389"/>
      <c r="U793" s="389"/>
      <c r="V793" s="389"/>
      <c r="W793" s="389"/>
      <c r="X793" s="389"/>
      <c r="Y793" s="389"/>
      <c r="Z793" s="389"/>
      <c r="AA793" s="389"/>
      <c r="AB793" s="389"/>
      <c r="AC793" s="389"/>
      <c r="AD793" s="389"/>
      <c r="AE793" s="389"/>
      <c r="AF793" s="389"/>
    </row>
    <row r="794" hidden="1">
      <c r="A794" s="389"/>
      <c r="B794" s="389"/>
      <c r="C794" s="389"/>
      <c r="D794" s="389"/>
      <c r="E794" s="389"/>
      <c r="F794" s="392"/>
      <c r="G794" s="392"/>
      <c r="H794" s="389"/>
      <c r="I794" s="389"/>
      <c r="J794" s="389"/>
      <c r="K794" s="389"/>
      <c r="L794" s="389"/>
      <c r="M794" s="389"/>
      <c r="N794" s="389"/>
      <c r="O794" s="389"/>
      <c r="P794" s="389"/>
      <c r="Q794" s="389"/>
      <c r="R794" s="389"/>
      <c r="S794" s="389"/>
      <c r="T794" s="389"/>
      <c r="U794" s="389"/>
      <c r="V794" s="389"/>
      <c r="W794" s="389"/>
      <c r="X794" s="389"/>
      <c r="Y794" s="389"/>
      <c r="Z794" s="389"/>
      <c r="AA794" s="389"/>
      <c r="AB794" s="389"/>
      <c r="AC794" s="389"/>
      <c r="AD794" s="389"/>
      <c r="AE794" s="389"/>
      <c r="AF794" s="389"/>
    </row>
    <row r="795" hidden="1">
      <c r="A795" s="389"/>
      <c r="B795" s="389"/>
      <c r="C795" s="389"/>
      <c r="D795" s="389"/>
      <c r="E795" s="389"/>
      <c r="F795" s="392"/>
      <c r="G795" s="392"/>
      <c r="H795" s="389"/>
      <c r="I795" s="389"/>
      <c r="J795" s="389"/>
      <c r="K795" s="389"/>
      <c r="L795" s="389"/>
      <c r="M795" s="389"/>
      <c r="N795" s="389"/>
      <c r="O795" s="389"/>
      <c r="P795" s="389"/>
      <c r="Q795" s="389"/>
      <c r="R795" s="389"/>
      <c r="S795" s="389"/>
      <c r="T795" s="389"/>
      <c r="U795" s="389"/>
      <c r="V795" s="389"/>
      <c r="W795" s="389"/>
      <c r="X795" s="389"/>
      <c r="Y795" s="389"/>
      <c r="Z795" s="389"/>
      <c r="AA795" s="389"/>
      <c r="AB795" s="389"/>
      <c r="AC795" s="389"/>
      <c r="AD795" s="389"/>
      <c r="AE795" s="389"/>
      <c r="AF795" s="389"/>
    </row>
    <row r="796" hidden="1">
      <c r="A796" s="389"/>
      <c r="B796" s="389"/>
      <c r="C796" s="389"/>
      <c r="D796" s="389"/>
      <c r="E796" s="389"/>
      <c r="F796" s="392"/>
      <c r="G796" s="392"/>
      <c r="H796" s="389"/>
      <c r="I796" s="389"/>
      <c r="J796" s="389"/>
      <c r="K796" s="389"/>
      <c r="L796" s="389"/>
      <c r="M796" s="389"/>
      <c r="N796" s="389"/>
      <c r="O796" s="389"/>
      <c r="P796" s="389"/>
      <c r="Q796" s="389"/>
      <c r="R796" s="389"/>
      <c r="S796" s="389"/>
      <c r="T796" s="389"/>
      <c r="U796" s="389"/>
      <c r="V796" s="389"/>
      <c r="W796" s="389"/>
      <c r="X796" s="389"/>
      <c r="Y796" s="389"/>
      <c r="Z796" s="389"/>
      <c r="AA796" s="389"/>
      <c r="AB796" s="389"/>
      <c r="AC796" s="389"/>
      <c r="AD796" s="389"/>
      <c r="AE796" s="389"/>
      <c r="AF796" s="389"/>
    </row>
    <row r="797" hidden="1">
      <c r="A797" s="389"/>
      <c r="B797" s="389"/>
      <c r="C797" s="389"/>
      <c r="D797" s="389"/>
      <c r="E797" s="389"/>
      <c r="F797" s="392"/>
      <c r="G797" s="392"/>
      <c r="H797" s="389"/>
      <c r="I797" s="389"/>
      <c r="J797" s="389"/>
      <c r="K797" s="389"/>
      <c r="L797" s="389"/>
      <c r="M797" s="389"/>
      <c r="N797" s="389"/>
      <c r="O797" s="389"/>
      <c r="P797" s="389"/>
      <c r="Q797" s="389"/>
      <c r="R797" s="389"/>
      <c r="S797" s="389"/>
      <c r="T797" s="389"/>
      <c r="U797" s="389"/>
      <c r="V797" s="389"/>
      <c r="W797" s="389"/>
      <c r="X797" s="389"/>
      <c r="Y797" s="389"/>
      <c r="Z797" s="389"/>
      <c r="AA797" s="389"/>
      <c r="AB797" s="389"/>
      <c r="AC797" s="389"/>
      <c r="AD797" s="389"/>
      <c r="AE797" s="389"/>
      <c r="AF797" s="389"/>
    </row>
    <row r="798" hidden="1">
      <c r="A798" s="389"/>
      <c r="B798" s="389"/>
      <c r="C798" s="389"/>
      <c r="D798" s="389"/>
      <c r="E798" s="389"/>
      <c r="F798" s="392"/>
      <c r="G798" s="392"/>
      <c r="H798" s="389"/>
      <c r="I798" s="389"/>
      <c r="J798" s="389"/>
      <c r="K798" s="389"/>
      <c r="L798" s="389"/>
      <c r="M798" s="389"/>
      <c r="N798" s="389"/>
      <c r="O798" s="389"/>
      <c r="P798" s="389"/>
      <c r="Q798" s="389"/>
      <c r="R798" s="389"/>
      <c r="S798" s="389"/>
      <c r="T798" s="389"/>
      <c r="U798" s="389"/>
      <c r="V798" s="389"/>
      <c r="W798" s="389"/>
      <c r="X798" s="389"/>
      <c r="Y798" s="389"/>
      <c r="Z798" s="389"/>
      <c r="AA798" s="389"/>
      <c r="AB798" s="389"/>
      <c r="AC798" s="389"/>
      <c r="AD798" s="389"/>
      <c r="AE798" s="389"/>
      <c r="AF798" s="389"/>
    </row>
    <row r="799" hidden="1">
      <c r="A799" s="389"/>
      <c r="B799" s="389"/>
      <c r="C799" s="389"/>
      <c r="D799" s="389"/>
      <c r="E799" s="389"/>
      <c r="F799" s="392"/>
      <c r="G799" s="392"/>
      <c r="H799" s="389"/>
      <c r="I799" s="389"/>
      <c r="J799" s="389"/>
      <c r="K799" s="389"/>
      <c r="L799" s="389"/>
      <c r="M799" s="389"/>
      <c r="N799" s="389"/>
      <c r="O799" s="389"/>
      <c r="P799" s="389"/>
      <c r="Q799" s="389"/>
      <c r="R799" s="389"/>
      <c r="S799" s="389"/>
      <c r="T799" s="389"/>
      <c r="U799" s="389"/>
      <c r="V799" s="389"/>
      <c r="W799" s="389"/>
      <c r="X799" s="389"/>
      <c r="Y799" s="389"/>
      <c r="Z799" s="389"/>
      <c r="AA799" s="389"/>
      <c r="AB799" s="389"/>
      <c r="AC799" s="389"/>
      <c r="AD799" s="389"/>
      <c r="AE799" s="389"/>
      <c r="AF799" s="389"/>
    </row>
    <row r="800" hidden="1">
      <c r="A800" s="389"/>
      <c r="B800" s="389"/>
      <c r="C800" s="389"/>
      <c r="D800" s="389"/>
      <c r="E800" s="389"/>
      <c r="F800" s="392"/>
      <c r="G800" s="392"/>
      <c r="H800" s="389"/>
      <c r="I800" s="389"/>
      <c r="J800" s="389"/>
      <c r="K800" s="389"/>
      <c r="L800" s="389"/>
      <c r="M800" s="389"/>
      <c r="N800" s="389"/>
      <c r="O800" s="389"/>
      <c r="P800" s="389"/>
      <c r="Q800" s="389"/>
      <c r="R800" s="389"/>
      <c r="S800" s="389"/>
      <c r="T800" s="389"/>
      <c r="U800" s="389"/>
      <c r="V800" s="389"/>
      <c r="W800" s="389"/>
      <c r="X800" s="389"/>
      <c r="Y800" s="389"/>
      <c r="Z800" s="389"/>
      <c r="AA800" s="389"/>
      <c r="AB800" s="389"/>
      <c r="AC800" s="389"/>
      <c r="AD800" s="389"/>
      <c r="AE800" s="389"/>
      <c r="AF800" s="389"/>
    </row>
    <row r="801" hidden="1">
      <c r="A801" s="389"/>
      <c r="B801" s="389"/>
      <c r="C801" s="389"/>
      <c r="D801" s="389"/>
      <c r="E801" s="389"/>
      <c r="F801" s="392"/>
      <c r="G801" s="392"/>
      <c r="H801" s="389"/>
      <c r="I801" s="389"/>
      <c r="J801" s="389"/>
      <c r="K801" s="389"/>
      <c r="L801" s="389"/>
      <c r="M801" s="389"/>
      <c r="N801" s="389"/>
      <c r="O801" s="389"/>
      <c r="P801" s="389"/>
      <c r="Q801" s="389"/>
      <c r="R801" s="389"/>
      <c r="S801" s="389"/>
      <c r="T801" s="389"/>
      <c r="U801" s="389"/>
      <c r="V801" s="389"/>
      <c r="W801" s="389"/>
      <c r="X801" s="389"/>
      <c r="Y801" s="389"/>
      <c r="Z801" s="389"/>
      <c r="AA801" s="389"/>
      <c r="AB801" s="389"/>
      <c r="AC801" s="389"/>
      <c r="AD801" s="389"/>
      <c r="AE801" s="389"/>
      <c r="AF801" s="389"/>
    </row>
    <row r="802" hidden="1">
      <c r="A802" s="389"/>
      <c r="B802" s="389"/>
      <c r="C802" s="389"/>
      <c r="D802" s="389"/>
      <c r="E802" s="389"/>
      <c r="F802" s="392"/>
      <c r="G802" s="392"/>
      <c r="H802" s="389"/>
      <c r="I802" s="389"/>
      <c r="J802" s="389"/>
      <c r="K802" s="389"/>
      <c r="L802" s="389"/>
      <c r="M802" s="389"/>
      <c r="N802" s="389"/>
      <c r="O802" s="389"/>
      <c r="P802" s="389"/>
      <c r="Q802" s="389"/>
      <c r="R802" s="389"/>
      <c r="S802" s="389"/>
      <c r="T802" s="389"/>
      <c r="U802" s="389"/>
      <c r="V802" s="389"/>
      <c r="W802" s="389"/>
      <c r="X802" s="389"/>
      <c r="Y802" s="389"/>
      <c r="Z802" s="389"/>
      <c r="AA802" s="389"/>
      <c r="AB802" s="389"/>
      <c r="AC802" s="389"/>
      <c r="AD802" s="389"/>
      <c r="AE802" s="389"/>
      <c r="AF802" s="389"/>
    </row>
    <row r="803" hidden="1">
      <c r="A803" s="389"/>
      <c r="B803" s="389"/>
      <c r="C803" s="389"/>
      <c r="D803" s="389"/>
      <c r="E803" s="389"/>
      <c r="F803" s="392"/>
      <c r="G803" s="392"/>
      <c r="H803" s="389"/>
      <c r="I803" s="389"/>
      <c r="J803" s="389"/>
      <c r="K803" s="389"/>
      <c r="L803" s="389"/>
      <c r="M803" s="389"/>
      <c r="N803" s="389"/>
      <c r="O803" s="389"/>
      <c r="P803" s="389"/>
      <c r="Q803" s="389"/>
      <c r="R803" s="389"/>
      <c r="S803" s="389"/>
      <c r="T803" s="389"/>
      <c r="U803" s="389"/>
      <c r="V803" s="389"/>
      <c r="W803" s="389"/>
      <c r="X803" s="389"/>
      <c r="Y803" s="389"/>
      <c r="Z803" s="389"/>
      <c r="AA803" s="389"/>
      <c r="AB803" s="389"/>
      <c r="AC803" s="389"/>
      <c r="AD803" s="389"/>
      <c r="AE803" s="389"/>
      <c r="AF803" s="389"/>
    </row>
    <row r="804" hidden="1">
      <c r="A804" s="389"/>
      <c r="B804" s="389"/>
      <c r="C804" s="389"/>
      <c r="D804" s="389"/>
      <c r="E804" s="389"/>
      <c r="F804" s="392"/>
      <c r="G804" s="392"/>
      <c r="H804" s="389"/>
      <c r="I804" s="389"/>
      <c r="J804" s="389"/>
      <c r="K804" s="389"/>
      <c r="L804" s="389"/>
      <c r="M804" s="389"/>
      <c r="N804" s="389"/>
      <c r="O804" s="389"/>
      <c r="P804" s="389"/>
      <c r="Q804" s="389"/>
      <c r="R804" s="389"/>
      <c r="S804" s="389"/>
      <c r="T804" s="389"/>
      <c r="U804" s="389"/>
      <c r="V804" s="389"/>
      <c r="W804" s="389"/>
      <c r="X804" s="389"/>
      <c r="Y804" s="389"/>
      <c r="Z804" s="389"/>
      <c r="AA804" s="389"/>
      <c r="AB804" s="389"/>
      <c r="AC804" s="389"/>
      <c r="AD804" s="389"/>
      <c r="AE804" s="389"/>
      <c r="AF804" s="389"/>
    </row>
    <row r="805" hidden="1">
      <c r="A805" s="389"/>
      <c r="B805" s="389"/>
      <c r="C805" s="389"/>
      <c r="D805" s="389"/>
      <c r="E805" s="389"/>
      <c r="F805" s="392"/>
      <c r="G805" s="392"/>
      <c r="H805" s="389"/>
      <c r="I805" s="389"/>
      <c r="J805" s="389"/>
      <c r="K805" s="389"/>
      <c r="L805" s="389"/>
      <c r="M805" s="389"/>
      <c r="N805" s="389"/>
      <c r="O805" s="389"/>
      <c r="P805" s="389"/>
      <c r="Q805" s="389"/>
      <c r="R805" s="389"/>
      <c r="S805" s="389"/>
      <c r="T805" s="389"/>
      <c r="U805" s="389"/>
      <c r="V805" s="389"/>
      <c r="W805" s="389"/>
      <c r="X805" s="389"/>
      <c r="Y805" s="389"/>
      <c r="Z805" s="389"/>
      <c r="AA805" s="389"/>
      <c r="AB805" s="389"/>
      <c r="AC805" s="389"/>
      <c r="AD805" s="389"/>
      <c r="AE805" s="389"/>
      <c r="AF805" s="389"/>
    </row>
    <row r="806" hidden="1">
      <c r="A806" s="389"/>
      <c r="B806" s="389"/>
      <c r="C806" s="389"/>
      <c r="D806" s="389"/>
      <c r="E806" s="389"/>
      <c r="F806" s="392"/>
      <c r="G806" s="392"/>
      <c r="H806" s="389"/>
      <c r="I806" s="389"/>
      <c r="J806" s="389"/>
      <c r="K806" s="389"/>
      <c r="L806" s="389"/>
      <c r="M806" s="389"/>
      <c r="N806" s="389"/>
      <c r="O806" s="389"/>
      <c r="P806" s="389"/>
      <c r="Q806" s="389"/>
      <c r="R806" s="389"/>
      <c r="S806" s="389"/>
      <c r="T806" s="389"/>
      <c r="U806" s="389"/>
      <c r="V806" s="389"/>
      <c r="W806" s="389"/>
      <c r="X806" s="389"/>
      <c r="Y806" s="389"/>
      <c r="Z806" s="389"/>
      <c r="AA806" s="389"/>
      <c r="AB806" s="389"/>
      <c r="AC806" s="389"/>
      <c r="AD806" s="389"/>
      <c r="AE806" s="389"/>
      <c r="AF806" s="389"/>
    </row>
    <row r="807" hidden="1">
      <c r="A807" s="389"/>
      <c r="B807" s="389"/>
      <c r="C807" s="389"/>
      <c r="D807" s="389"/>
      <c r="E807" s="389"/>
      <c r="F807" s="392"/>
      <c r="G807" s="392"/>
      <c r="H807" s="389"/>
      <c r="I807" s="389"/>
      <c r="J807" s="389"/>
      <c r="K807" s="389"/>
      <c r="L807" s="389"/>
      <c r="M807" s="389"/>
      <c r="N807" s="389"/>
      <c r="O807" s="389"/>
      <c r="P807" s="389"/>
      <c r="Q807" s="389"/>
      <c r="R807" s="389"/>
      <c r="S807" s="389"/>
      <c r="T807" s="389"/>
      <c r="U807" s="389"/>
      <c r="V807" s="389"/>
      <c r="W807" s="389"/>
      <c r="X807" s="389"/>
      <c r="Y807" s="389"/>
      <c r="Z807" s="389"/>
      <c r="AA807" s="389"/>
      <c r="AB807" s="389"/>
      <c r="AC807" s="389"/>
      <c r="AD807" s="389"/>
      <c r="AE807" s="389"/>
      <c r="AF807" s="389"/>
    </row>
    <row r="808" hidden="1">
      <c r="A808" s="389"/>
      <c r="B808" s="389"/>
      <c r="C808" s="389"/>
      <c r="D808" s="389"/>
      <c r="E808" s="389"/>
      <c r="F808" s="392"/>
      <c r="G808" s="392"/>
      <c r="H808" s="389"/>
      <c r="I808" s="389"/>
      <c r="J808" s="389"/>
      <c r="K808" s="389"/>
      <c r="L808" s="389"/>
      <c r="M808" s="389"/>
      <c r="N808" s="389"/>
      <c r="O808" s="389"/>
      <c r="P808" s="389"/>
      <c r="Q808" s="389"/>
      <c r="R808" s="389"/>
      <c r="S808" s="389"/>
      <c r="T808" s="389"/>
      <c r="U808" s="389"/>
      <c r="V808" s="389"/>
      <c r="W808" s="389"/>
      <c r="X808" s="389"/>
      <c r="Y808" s="389"/>
      <c r="Z808" s="389"/>
      <c r="AA808" s="389"/>
      <c r="AB808" s="389"/>
      <c r="AC808" s="389"/>
      <c r="AD808" s="389"/>
      <c r="AE808" s="389"/>
      <c r="AF808" s="389"/>
    </row>
    <row r="809" hidden="1">
      <c r="A809" s="389"/>
      <c r="B809" s="389"/>
      <c r="C809" s="389"/>
      <c r="D809" s="389"/>
      <c r="E809" s="389"/>
      <c r="F809" s="392"/>
      <c r="G809" s="392"/>
      <c r="H809" s="389"/>
      <c r="I809" s="389"/>
      <c r="J809" s="389"/>
      <c r="K809" s="389"/>
      <c r="L809" s="389"/>
      <c r="M809" s="389"/>
      <c r="N809" s="389"/>
      <c r="O809" s="389"/>
      <c r="P809" s="389"/>
      <c r="Q809" s="389"/>
      <c r="R809" s="389"/>
      <c r="S809" s="389"/>
      <c r="T809" s="389"/>
      <c r="U809" s="389"/>
      <c r="V809" s="389"/>
      <c r="W809" s="389"/>
      <c r="X809" s="389"/>
      <c r="Y809" s="389"/>
      <c r="Z809" s="389"/>
      <c r="AA809" s="389"/>
      <c r="AB809" s="389"/>
      <c r="AC809" s="389"/>
      <c r="AD809" s="389"/>
      <c r="AE809" s="389"/>
      <c r="AF809" s="389"/>
    </row>
    <row r="810" hidden="1">
      <c r="A810" s="389"/>
      <c r="B810" s="389"/>
      <c r="C810" s="389"/>
      <c r="D810" s="389"/>
      <c r="E810" s="389"/>
      <c r="F810" s="392"/>
      <c r="G810" s="392"/>
      <c r="H810" s="389"/>
      <c r="I810" s="389"/>
      <c r="J810" s="389"/>
      <c r="K810" s="389"/>
      <c r="L810" s="389"/>
      <c r="M810" s="389"/>
      <c r="N810" s="389"/>
      <c r="O810" s="389"/>
      <c r="P810" s="389"/>
      <c r="Q810" s="389"/>
      <c r="R810" s="389"/>
      <c r="S810" s="389"/>
      <c r="T810" s="389"/>
      <c r="U810" s="389"/>
      <c r="V810" s="389"/>
      <c r="W810" s="389"/>
      <c r="X810" s="389"/>
      <c r="Y810" s="389"/>
      <c r="Z810" s="389"/>
      <c r="AA810" s="389"/>
      <c r="AB810" s="389"/>
      <c r="AC810" s="389"/>
      <c r="AD810" s="389"/>
      <c r="AE810" s="389"/>
      <c r="AF810" s="389"/>
    </row>
    <row r="811" hidden="1">
      <c r="A811" s="389"/>
      <c r="B811" s="389"/>
      <c r="C811" s="389"/>
      <c r="D811" s="389"/>
      <c r="E811" s="389"/>
      <c r="F811" s="392"/>
      <c r="G811" s="392"/>
      <c r="H811" s="389"/>
      <c r="I811" s="389"/>
      <c r="J811" s="389"/>
      <c r="K811" s="389"/>
      <c r="L811" s="389"/>
      <c r="M811" s="389"/>
      <c r="N811" s="389"/>
      <c r="O811" s="389"/>
      <c r="P811" s="389"/>
      <c r="Q811" s="389"/>
      <c r="R811" s="389"/>
      <c r="S811" s="389"/>
      <c r="T811" s="389"/>
      <c r="U811" s="389"/>
      <c r="V811" s="389"/>
      <c r="W811" s="389"/>
      <c r="X811" s="389"/>
      <c r="Y811" s="389"/>
      <c r="Z811" s="389"/>
      <c r="AA811" s="389"/>
      <c r="AB811" s="389"/>
      <c r="AC811" s="389"/>
      <c r="AD811" s="389"/>
      <c r="AE811" s="389"/>
      <c r="AF811" s="389"/>
    </row>
    <row r="812" hidden="1">
      <c r="A812" s="389"/>
      <c r="B812" s="389"/>
      <c r="C812" s="389"/>
      <c r="D812" s="389"/>
      <c r="E812" s="389"/>
      <c r="F812" s="392"/>
      <c r="G812" s="392"/>
      <c r="H812" s="389"/>
      <c r="I812" s="389"/>
      <c r="J812" s="389"/>
      <c r="K812" s="389"/>
      <c r="L812" s="389"/>
      <c r="M812" s="389"/>
      <c r="N812" s="389"/>
      <c r="O812" s="389"/>
      <c r="P812" s="389"/>
      <c r="Q812" s="389"/>
      <c r="R812" s="389"/>
      <c r="S812" s="389"/>
      <c r="T812" s="389"/>
      <c r="U812" s="389"/>
      <c r="V812" s="389"/>
      <c r="W812" s="389"/>
      <c r="X812" s="389"/>
      <c r="Y812" s="389"/>
      <c r="Z812" s="389"/>
      <c r="AA812" s="389"/>
      <c r="AB812" s="389"/>
      <c r="AC812" s="389"/>
      <c r="AD812" s="389"/>
      <c r="AE812" s="389"/>
      <c r="AF812" s="389"/>
    </row>
    <row r="813" hidden="1">
      <c r="A813" s="389"/>
      <c r="B813" s="389"/>
      <c r="C813" s="389"/>
      <c r="D813" s="389"/>
      <c r="E813" s="389"/>
      <c r="F813" s="392"/>
      <c r="G813" s="392"/>
      <c r="H813" s="389"/>
      <c r="I813" s="389"/>
      <c r="J813" s="389"/>
      <c r="K813" s="389"/>
      <c r="L813" s="389"/>
      <c r="M813" s="389"/>
      <c r="N813" s="389"/>
      <c r="O813" s="389"/>
      <c r="P813" s="389"/>
      <c r="Q813" s="389"/>
      <c r="R813" s="389"/>
      <c r="S813" s="389"/>
      <c r="T813" s="389"/>
      <c r="U813" s="389"/>
      <c r="V813" s="389"/>
      <c r="W813" s="389"/>
      <c r="X813" s="389"/>
      <c r="Y813" s="389"/>
      <c r="Z813" s="389"/>
      <c r="AA813" s="389"/>
      <c r="AB813" s="389"/>
      <c r="AC813" s="389"/>
      <c r="AD813" s="389"/>
      <c r="AE813" s="389"/>
      <c r="AF813" s="389"/>
    </row>
    <row r="814" hidden="1">
      <c r="A814" s="389"/>
      <c r="B814" s="389"/>
      <c r="C814" s="389"/>
      <c r="D814" s="389"/>
      <c r="E814" s="389"/>
      <c r="F814" s="392"/>
      <c r="G814" s="392"/>
      <c r="H814" s="389"/>
      <c r="I814" s="389"/>
      <c r="J814" s="389"/>
      <c r="K814" s="389"/>
      <c r="L814" s="389"/>
      <c r="M814" s="389"/>
      <c r="N814" s="389"/>
      <c r="O814" s="389"/>
      <c r="P814" s="389"/>
      <c r="Q814" s="389"/>
      <c r="R814" s="389"/>
      <c r="S814" s="389"/>
      <c r="T814" s="389"/>
      <c r="U814" s="389"/>
      <c r="V814" s="389"/>
      <c r="W814" s="389"/>
      <c r="X814" s="389"/>
      <c r="Y814" s="389"/>
      <c r="Z814" s="389"/>
      <c r="AA814" s="389"/>
      <c r="AB814" s="389"/>
      <c r="AC814" s="389"/>
      <c r="AD814" s="389"/>
      <c r="AE814" s="389"/>
      <c r="AF814" s="389"/>
    </row>
    <row r="815" hidden="1">
      <c r="A815" s="389"/>
      <c r="B815" s="389"/>
      <c r="C815" s="389"/>
      <c r="D815" s="389"/>
      <c r="E815" s="389"/>
      <c r="F815" s="392"/>
      <c r="G815" s="392"/>
      <c r="H815" s="389"/>
      <c r="I815" s="389"/>
      <c r="J815" s="389"/>
      <c r="K815" s="389"/>
      <c r="L815" s="389"/>
      <c r="M815" s="389"/>
      <c r="N815" s="389"/>
      <c r="O815" s="389"/>
      <c r="P815" s="389"/>
      <c r="Q815" s="389"/>
      <c r="R815" s="389"/>
      <c r="S815" s="389"/>
      <c r="T815" s="389"/>
      <c r="U815" s="389"/>
      <c r="V815" s="389"/>
      <c r="W815" s="389"/>
      <c r="X815" s="389"/>
      <c r="Y815" s="389"/>
      <c r="Z815" s="389"/>
      <c r="AA815" s="389"/>
      <c r="AB815" s="389"/>
      <c r="AC815" s="389"/>
      <c r="AD815" s="389"/>
      <c r="AE815" s="389"/>
      <c r="AF815" s="389"/>
    </row>
    <row r="816" hidden="1">
      <c r="A816" s="389"/>
      <c r="B816" s="389"/>
      <c r="C816" s="389"/>
      <c r="D816" s="389"/>
      <c r="E816" s="389"/>
      <c r="F816" s="392"/>
      <c r="G816" s="392"/>
      <c r="H816" s="389"/>
      <c r="I816" s="389"/>
      <c r="J816" s="389"/>
      <c r="K816" s="389"/>
      <c r="L816" s="389"/>
      <c r="M816" s="389"/>
      <c r="N816" s="389"/>
      <c r="O816" s="389"/>
      <c r="P816" s="389"/>
      <c r="Q816" s="389"/>
      <c r="R816" s="389"/>
      <c r="S816" s="389"/>
      <c r="T816" s="389"/>
      <c r="U816" s="389"/>
      <c r="V816" s="389"/>
      <c r="W816" s="389"/>
      <c r="X816" s="389"/>
      <c r="Y816" s="389"/>
      <c r="Z816" s="389"/>
      <c r="AA816" s="389"/>
      <c r="AB816" s="389"/>
      <c r="AC816" s="389"/>
      <c r="AD816" s="389"/>
      <c r="AE816" s="389"/>
      <c r="AF816" s="389"/>
    </row>
    <row r="817" hidden="1">
      <c r="A817" s="389"/>
      <c r="B817" s="389"/>
      <c r="C817" s="389"/>
      <c r="D817" s="389"/>
      <c r="E817" s="389"/>
      <c r="F817" s="392"/>
      <c r="G817" s="392"/>
      <c r="H817" s="389"/>
      <c r="I817" s="389"/>
      <c r="J817" s="389"/>
      <c r="K817" s="389"/>
      <c r="L817" s="389"/>
      <c r="M817" s="389"/>
      <c r="N817" s="389"/>
      <c r="O817" s="389"/>
      <c r="P817" s="389"/>
      <c r="Q817" s="389"/>
      <c r="R817" s="389"/>
      <c r="S817" s="389"/>
      <c r="T817" s="389"/>
      <c r="U817" s="389"/>
      <c r="V817" s="389"/>
      <c r="W817" s="389"/>
      <c r="X817" s="389"/>
      <c r="Y817" s="389"/>
      <c r="Z817" s="389"/>
      <c r="AA817" s="389"/>
      <c r="AB817" s="389"/>
      <c r="AC817" s="389"/>
      <c r="AD817" s="389"/>
      <c r="AE817" s="389"/>
      <c r="AF817" s="389"/>
    </row>
    <row r="818" hidden="1">
      <c r="A818" s="389"/>
      <c r="B818" s="389"/>
      <c r="C818" s="389"/>
      <c r="D818" s="389"/>
      <c r="E818" s="389"/>
      <c r="F818" s="392"/>
      <c r="G818" s="392"/>
      <c r="H818" s="389"/>
      <c r="I818" s="389"/>
      <c r="J818" s="389"/>
      <c r="K818" s="389"/>
      <c r="L818" s="389"/>
      <c r="M818" s="389"/>
      <c r="N818" s="389"/>
      <c r="O818" s="389"/>
      <c r="P818" s="389"/>
      <c r="Q818" s="389"/>
      <c r="R818" s="389"/>
      <c r="S818" s="389"/>
      <c r="T818" s="389"/>
      <c r="U818" s="389"/>
      <c r="V818" s="389"/>
      <c r="W818" s="389"/>
      <c r="X818" s="389"/>
      <c r="Y818" s="389"/>
      <c r="Z818" s="389"/>
      <c r="AA818" s="389"/>
      <c r="AB818" s="389"/>
      <c r="AC818" s="389"/>
      <c r="AD818" s="389"/>
      <c r="AE818" s="389"/>
      <c r="AF818" s="389"/>
    </row>
    <row r="819" hidden="1">
      <c r="A819" s="389"/>
      <c r="B819" s="389"/>
      <c r="C819" s="389"/>
      <c r="D819" s="389"/>
      <c r="E819" s="389"/>
      <c r="F819" s="392"/>
      <c r="G819" s="392"/>
      <c r="H819" s="389"/>
      <c r="I819" s="389"/>
      <c r="J819" s="389"/>
      <c r="K819" s="389"/>
      <c r="L819" s="389"/>
      <c r="M819" s="389"/>
      <c r="N819" s="389"/>
      <c r="O819" s="389"/>
      <c r="P819" s="389"/>
      <c r="Q819" s="389"/>
      <c r="R819" s="389"/>
      <c r="S819" s="389"/>
      <c r="T819" s="389"/>
      <c r="U819" s="389"/>
      <c r="V819" s="389"/>
      <c r="W819" s="389"/>
      <c r="X819" s="389"/>
      <c r="Y819" s="389"/>
      <c r="Z819" s="389"/>
      <c r="AA819" s="389"/>
      <c r="AB819" s="389"/>
      <c r="AC819" s="389"/>
      <c r="AD819" s="389"/>
      <c r="AE819" s="389"/>
      <c r="AF819" s="389"/>
    </row>
    <row r="820" hidden="1">
      <c r="A820" s="389"/>
      <c r="B820" s="389"/>
      <c r="C820" s="389"/>
      <c r="D820" s="389"/>
      <c r="E820" s="389"/>
      <c r="F820" s="392"/>
      <c r="G820" s="392"/>
      <c r="H820" s="389"/>
      <c r="I820" s="389"/>
      <c r="J820" s="389"/>
      <c r="K820" s="389"/>
      <c r="L820" s="389"/>
      <c r="M820" s="389"/>
      <c r="N820" s="389"/>
      <c r="O820" s="389"/>
      <c r="P820" s="389"/>
      <c r="Q820" s="389"/>
      <c r="R820" s="389"/>
      <c r="S820" s="389"/>
      <c r="T820" s="389"/>
      <c r="U820" s="389"/>
      <c r="V820" s="389"/>
      <c r="W820" s="389"/>
      <c r="X820" s="389"/>
      <c r="Y820" s="389"/>
      <c r="Z820" s="389"/>
      <c r="AA820" s="389"/>
      <c r="AB820" s="389"/>
      <c r="AC820" s="389"/>
      <c r="AD820" s="389"/>
      <c r="AE820" s="389"/>
      <c r="AF820" s="389"/>
    </row>
    <row r="821" hidden="1">
      <c r="A821" s="389"/>
      <c r="B821" s="389"/>
      <c r="C821" s="389"/>
      <c r="D821" s="389"/>
      <c r="E821" s="389"/>
      <c r="F821" s="392"/>
      <c r="G821" s="392"/>
      <c r="H821" s="389"/>
      <c r="I821" s="389"/>
      <c r="J821" s="389"/>
      <c r="K821" s="389"/>
      <c r="L821" s="389"/>
      <c r="M821" s="389"/>
      <c r="N821" s="389"/>
      <c r="O821" s="389"/>
      <c r="P821" s="389"/>
      <c r="Q821" s="389"/>
      <c r="R821" s="389"/>
      <c r="S821" s="389"/>
      <c r="T821" s="389"/>
      <c r="U821" s="389"/>
      <c r="V821" s="389"/>
      <c r="W821" s="389"/>
      <c r="X821" s="389"/>
      <c r="Y821" s="389"/>
      <c r="Z821" s="389"/>
      <c r="AA821" s="389"/>
      <c r="AB821" s="389"/>
      <c r="AC821" s="389"/>
      <c r="AD821" s="389"/>
      <c r="AE821" s="389"/>
      <c r="AF821" s="389"/>
    </row>
    <row r="822" hidden="1">
      <c r="A822" s="389"/>
      <c r="B822" s="389"/>
      <c r="C822" s="389"/>
      <c r="D822" s="389"/>
      <c r="E822" s="389"/>
      <c r="F822" s="392"/>
      <c r="G822" s="392"/>
      <c r="H822" s="389"/>
      <c r="I822" s="389"/>
      <c r="J822" s="389"/>
      <c r="K822" s="389"/>
      <c r="L822" s="389"/>
      <c r="M822" s="389"/>
      <c r="N822" s="389"/>
      <c r="O822" s="389"/>
      <c r="P822" s="389"/>
      <c r="Q822" s="389"/>
      <c r="R822" s="389"/>
      <c r="S822" s="389"/>
      <c r="T822" s="389"/>
      <c r="U822" s="389"/>
      <c r="V822" s="389"/>
      <c r="W822" s="389"/>
      <c r="X822" s="389"/>
      <c r="Y822" s="389"/>
      <c r="Z822" s="389"/>
      <c r="AA822" s="389"/>
      <c r="AB822" s="389"/>
      <c r="AC822" s="389"/>
      <c r="AD822" s="389"/>
      <c r="AE822" s="389"/>
      <c r="AF822" s="389"/>
    </row>
    <row r="823" hidden="1">
      <c r="A823" s="389"/>
      <c r="B823" s="389"/>
      <c r="C823" s="389"/>
      <c r="D823" s="389"/>
      <c r="E823" s="389"/>
      <c r="F823" s="392"/>
      <c r="G823" s="392"/>
      <c r="H823" s="389"/>
      <c r="I823" s="389"/>
      <c r="J823" s="389"/>
      <c r="K823" s="389"/>
      <c r="L823" s="389"/>
      <c r="M823" s="389"/>
      <c r="N823" s="389"/>
      <c r="O823" s="389"/>
      <c r="P823" s="389"/>
      <c r="Q823" s="389"/>
      <c r="R823" s="389"/>
      <c r="S823" s="389"/>
      <c r="T823" s="389"/>
      <c r="U823" s="389"/>
      <c r="V823" s="389"/>
      <c r="W823" s="389"/>
      <c r="X823" s="389"/>
      <c r="Y823" s="389"/>
      <c r="Z823" s="389"/>
      <c r="AA823" s="389"/>
      <c r="AB823" s="389"/>
      <c r="AC823" s="389"/>
      <c r="AD823" s="389"/>
      <c r="AE823" s="389"/>
      <c r="AF823" s="389"/>
    </row>
    <row r="824" hidden="1">
      <c r="A824" s="389"/>
      <c r="B824" s="389"/>
      <c r="C824" s="389"/>
      <c r="D824" s="389"/>
      <c r="E824" s="389"/>
      <c r="F824" s="392"/>
      <c r="G824" s="392"/>
      <c r="H824" s="389"/>
      <c r="I824" s="389"/>
      <c r="J824" s="389"/>
      <c r="K824" s="389"/>
      <c r="L824" s="389"/>
      <c r="M824" s="389"/>
      <c r="N824" s="389"/>
      <c r="O824" s="389"/>
      <c r="P824" s="389"/>
      <c r="Q824" s="389"/>
      <c r="R824" s="389"/>
      <c r="S824" s="389"/>
      <c r="T824" s="389"/>
      <c r="U824" s="389"/>
      <c r="V824" s="389"/>
      <c r="W824" s="389"/>
      <c r="X824" s="389"/>
      <c r="Y824" s="389"/>
      <c r="Z824" s="389"/>
      <c r="AA824" s="389"/>
      <c r="AB824" s="389"/>
      <c r="AC824" s="389"/>
      <c r="AD824" s="389"/>
      <c r="AE824" s="389"/>
      <c r="AF824" s="389"/>
    </row>
    <row r="825" hidden="1">
      <c r="A825" s="389"/>
      <c r="B825" s="389"/>
      <c r="C825" s="389"/>
      <c r="D825" s="389"/>
      <c r="E825" s="389"/>
      <c r="F825" s="392"/>
      <c r="G825" s="392"/>
      <c r="H825" s="389"/>
      <c r="I825" s="389"/>
      <c r="J825" s="389"/>
      <c r="K825" s="389"/>
      <c r="L825" s="389"/>
      <c r="M825" s="389"/>
      <c r="N825" s="389"/>
      <c r="O825" s="389"/>
      <c r="P825" s="389"/>
      <c r="Q825" s="389"/>
      <c r="R825" s="389"/>
      <c r="S825" s="389"/>
      <c r="T825" s="389"/>
      <c r="U825" s="389"/>
      <c r="V825" s="389"/>
      <c r="W825" s="389"/>
      <c r="X825" s="389"/>
      <c r="Y825" s="389"/>
      <c r="Z825" s="389"/>
      <c r="AA825" s="389"/>
      <c r="AB825" s="389"/>
      <c r="AC825" s="389"/>
      <c r="AD825" s="389"/>
      <c r="AE825" s="389"/>
      <c r="AF825" s="389"/>
    </row>
    <row r="826" hidden="1">
      <c r="A826" s="389"/>
      <c r="B826" s="389"/>
      <c r="C826" s="389"/>
      <c r="D826" s="389"/>
      <c r="E826" s="389"/>
      <c r="F826" s="392"/>
      <c r="G826" s="392"/>
      <c r="H826" s="389"/>
      <c r="I826" s="389"/>
      <c r="J826" s="389"/>
      <c r="K826" s="389"/>
      <c r="L826" s="389"/>
      <c r="M826" s="389"/>
      <c r="N826" s="389"/>
      <c r="O826" s="389"/>
      <c r="P826" s="389"/>
      <c r="Q826" s="389"/>
      <c r="R826" s="389"/>
      <c r="S826" s="389"/>
      <c r="T826" s="389"/>
      <c r="U826" s="389"/>
      <c r="V826" s="389"/>
      <c r="W826" s="389"/>
      <c r="X826" s="389"/>
      <c r="Y826" s="389"/>
      <c r="Z826" s="389"/>
      <c r="AA826" s="389"/>
      <c r="AB826" s="389"/>
      <c r="AC826" s="389"/>
      <c r="AD826" s="389"/>
      <c r="AE826" s="389"/>
      <c r="AF826" s="389"/>
    </row>
    <row r="827" hidden="1">
      <c r="A827" s="389"/>
      <c r="B827" s="389"/>
      <c r="C827" s="389"/>
      <c r="D827" s="389"/>
      <c r="E827" s="389"/>
      <c r="F827" s="392"/>
      <c r="G827" s="392"/>
      <c r="H827" s="389"/>
      <c r="I827" s="389"/>
      <c r="J827" s="389"/>
      <c r="K827" s="389"/>
      <c r="L827" s="389"/>
      <c r="M827" s="389"/>
      <c r="N827" s="389"/>
      <c r="O827" s="389"/>
      <c r="P827" s="389"/>
      <c r="Q827" s="389"/>
      <c r="R827" s="389"/>
      <c r="S827" s="389"/>
      <c r="T827" s="389"/>
      <c r="U827" s="389"/>
      <c r="V827" s="389"/>
      <c r="W827" s="389"/>
      <c r="X827" s="389"/>
      <c r="Y827" s="389"/>
      <c r="Z827" s="389"/>
      <c r="AA827" s="389"/>
      <c r="AB827" s="389"/>
      <c r="AC827" s="389"/>
      <c r="AD827" s="389"/>
      <c r="AE827" s="389"/>
      <c r="AF827" s="389"/>
    </row>
    <row r="828" hidden="1">
      <c r="A828" s="389"/>
      <c r="B828" s="389"/>
      <c r="C828" s="389"/>
      <c r="D828" s="389"/>
      <c r="E828" s="389"/>
      <c r="F828" s="392"/>
      <c r="G828" s="392"/>
      <c r="H828" s="389"/>
      <c r="I828" s="389"/>
      <c r="J828" s="389"/>
      <c r="K828" s="389"/>
      <c r="L828" s="389"/>
      <c r="M828" s="389"/>
      <c r="N828" s="389"/>
      <c r="O828" s="389"/>
      <c r="P828" s="389"/>
      <c r="Q828" s="389"/>
      <c r="R828" s="389"/>
      <c r="S828" s="389"/>
      <c r="T828" s="389"/>
      <c r="U828" s="389"/>
      <c r="V828" s="389"/>
      <c r="W828" s="389"/>
      <c r="X828" s="389"/>
      <c r="Y828" s="389"/>
      <c r="Z828" s="389"/>
      <c r="AA828" s="389"/>
      <c r="AB828" s="389"/>
      <c r="AC828" s="389"/>
      <c r="AD828" s="389"/>
      <c r="AE828" s="389"/>
      <c r="AF828" s="389"/>
    </row>
    <row r="829" hidden="1">
      <c r="A829" s="389"/>
      <c r="B829" s="389"/>
      <c r="C829" s="389"/>
      <c r="D829" s="389"/>
      <c r="E829" s="389"/>
      <c r="F829" s="392"/>
      <c r="G829" s="392"/>
      <c r="H829" s="389"/>
      <c r="I829" s="389"/>
      <c r="J829" s="389"/>
      <c r="K829" s="389"/>
      <c r="L829" s="389"/>
      <c r="M829" s="389"/>
      <c r="N829" s="389"/>
      <c r="O829" s="389"/>
      <c r="P829" s="389"/>
      <c r="Q829" s="389"/>
      <c r="R829" s="389"/>
      <c r="S829" s="389"/>
      <c r="T829" s="389"/>
      <c r="U829" s="389"/>
      <c r="V829" s="389"/>
      <c r="W829" s="389"/>
      <c r="X829" s="389"/>
      <c r="Y829" s="389"/>
      <c r="Z829" s="389"/>
      <c r="AA829" s="389"/>
      <c r="AB829" s="389"/>
      <c r="AC829" s="389"/>
      <c r="AD829" s="389"/>
      <c r="AE829" s="389"/>
      <c r="AF829" s="389"/>
    </row>
    <row r="830" hidden="1">
      <c r="A830" s="389"/>
      <c r="B830" s="389"/>
      <c r="C830" s="389"/>
      <c r="D830" s="389"/>
      <c r="E830" s="389"/>
      <c r="F830" s="392"/>
      <c r="G830" s="392"/>
      <c r="H830" s="389"/>
      <c r="I830" s="389"/>
      <c r="J830" s="389"/>
      <c r="K830" s="389"/>
      <c r="L830" s="389"/>
      <c r="M830" s="389"/>
      <c r="N830" s="389"/>
      <c r="O830" s="389"/>
      <c r="P830" s="389"/>
      <c r="Q830" s="389"/>
      <c r="R830" s="389"/>
      <c r="S830" s="389"/>
      <c r="T830" s="389"/>
      <c r="U830" s="389"/>
      <c r="V830" s="389"/>
      <c r="W830" s="389"/>
      <c r="X830" s="389"/>
      <c r="Y830" s="389"/>
      <c r="Z830" s="389"/>
      <c r="AA830" s="389"/>
      <c r="AB830" s="389"/>
      <c r="AC830" s="389"/>
      <c r="AD830" s="389"/>
      <c r="AE830" s="389"/>
      <c r="AF830" s="389"/>
    </row>
    <row r="831" hidden="1">
      <c r="A831" s="389"/>
      <c r="B831" s="389"/>
      <c r="C831" s="389"/>
      <c r="D831" s="389"/>
      <c r="E831" s="389"/>
      <c r="F831" s="392"/>
      <c r="G831" s="392"/>
      <c r="H831" s="389"/>
      <c r="I831" s="389"/>
      <c r="J831" s="389"/>
      <c r="K831" s="389"/>
      <c r="L831" s="389"/>
      <c r="M831" s="389"/>
      <c r="N831" s="389"/>
      <c r="O831" s="389"/>
      <c r="P831" s="389"/>
      <c r="Q831" s="389"/>
      <c r="R831" s="389"/>
      <c r="S831" s="389"/>
      <c r="T831" s="389"/>
      <c r="U831" s="389"/>
      <c r="V831" s="389"/>
      <c r="W831" s="389"/>
      <c r="X831" s="389"/>
      <c r="Y831" s="389"/>
      <c r="Z831" s="389"/>
      <c r="AA831" s="389"/>
      <c r="AB831" s="389"/>
      <c r="AC831" s="389"/>
      <c r="AD831" s="389"/>
      <c r="AE831" s="389"/>
      <c r="AF831" s="389"/>
    </row>
    <row r="832" hidden="1">
      <c r="A832" s="389"/>
      <c r="B832" s="389"/>
      <c r="C832" s="389"/>
      <c r="D832" s="389"/>
      <c r="E832" s="389"/>
      <c r="F832" s="392"/>
      <c r="G832" s="392"/>
      <c r="H832" s="389"/>
      <c r="I832" s="389"/>
      <c r="J832" s="389"/>
      <c r="K832" s="389"/>
      <c r="L832" s="389"/>
      <c r="M832" s="389"/>
      <c r="N832" s="389"/>
      <c r="O832" s="389"/>
      <c r="P832" s="389"/>
      <c r="Q832" s="389"/>
      <c r="R832" s="389"/>
      <c r="S832" s="389"/>
      <c r="T832" s="389"/>
      <c r="U832" s="389"/>
      <c r="V832" s="389"/>
      <c r="W832" s="389"/>
      <c r="X832" s="389"/>
      <c r="Y832" s="389"/>
      <c r="Z832" s="389"/>
      <c r="AA832" s="389"/>
      <c r="AB832" s="389"/>
      <c r="AC832" s="389"/>
      <c r="AD832" s="389"/>
      <c r="AE832" s="389"/>
      <c r="AF832" s="389"/>
    </row>
    <row r="833" hidden="1">
      <c r="A833" s="389"/>
      <c r="B833" s="389"/>
      <c r="C833" s="389"/>
      <c r="D833" s="389"/>
      <c r="E833" s="389"/>
      <c r="F833" s="392"/>
      <c r="G833" s="392"/>
      <c r="H833" s="389"/>
      <c r="I833" s="389"/>
      <c r="J833" s="389"/>
      <c r="K833" s="389"/>
      <c r="L833" s="389"/>
      <c r="M833" s="389"/>
      <c r="N833" s="389"/>
      <c r="O833" s="389"/>
      <c r="P833" s="389"/>
      <c r="Q833" s="389"/>
      <c r="R833" s="389"/>
      <c r="S833" s="389"/>
      <c r="T833" s="389"/>
      <c r="U833" s="389"/>
      <c r="V833" s="389"/>
      <c r="W833" s="389"/>
      <c r="X833" s="389"/>
      <c r="Y833" s="389"/>
      <c r="Z833" s="389"/>
      <c r="AA833" s="389"/>
      <c r="AB833" s="389"/>
      <c r="AC833" s="389"/>
      <c r="AD833" s="389"/>
      <c r="AE833" s="389"/>
      <c r="AF833" s="389"/>
    </row>
    <row r="834" hidden="1">
      <c r="A834" s="389"/>
      <c r="B834" s="389"/>
      <c r="C834" s="389"/>
      <c r="D834" s="389"/>
      <c r="E834" s="389"/>
      <c r="F834" s="392"/>
      <c r="G834" s="392"/>
      <c r="H834" s="389"/>
      <c r="I834" s="389"/>
      <c r="J834" s="389"/>
      <c r="K834" s="389"/>
      <c r="L834" s="389"/>
      <c r="M834" s="389"/>
      <c r="N834" s="389"/>
      <c r="O834" s="389"/>
      <c r="P834" s="389"/>
      <c r="Q834" s="389"/>
      <c r="R834" s="389"/>
      <c r="S834" s="389"/>
      <c r="T834" s="389"/>
      <c r="U834" s="389"/>
      <c r="V834" s="389"/>
      <c r="W834" s="389"/>
      <c r="X834" s="389"/>
      <c r="Y834" s="389"/>
      <c r="Z834" s="389"/>
      <c r="AA834" s="389"/>
      <c r="AB834" s="389"/>
      <c r="AC834" s="389"/>
      <c r="AD834" s="389"/>
      <c r="AE834" s="389"/>
      <c r="AF834" s="389"/>
    </row>
    <row r="835" hidden="1">
      <c r="A835" s="389"/>
      <c r="B835" s="389"/>
      <c r="C835" s="389"/>
      <c r="D835" s="389"/>
      <c r="E835" s="389"/>
      <c r="F835" s="392"/>
      <c r="G835" s="392"/>
      <c r="H835" s="389"/>
      <c r="I835" s="389"/>
      <c r="J835" s="389"/>
      <c r="K835" s="389"/>
      <c r="L835" s="389"/>
      <c r="M835" s="389"/>
      <c r="N835" s="389"/>
      <c r="O835" s="389"/>
      <c r="P835" s="389"/>
      <c r="Q835" s="389"/>
      <c r="R835" s="389"/>
      <c r="S835" s="389"/>
      <c r="T835" s="389"/>
      <c r="U835" s="389"/>
      <c r="V835" s="389"/>
      <c r="W835" s="389"/>
      <c r="X835" s="389"/>
      <c r="Y835" s="389"/>
      <c r="Z835" s="389"/>
      <c r="AA835" s="389"/>
      <c r="AB835" s="389"/>
      <c r="AC835" s="389"/>
      <c r="AD835" s="389"/>
      <c r="AE835" s="389"/>
      <c r="AF835" s="389"/>
    </row>
    <row r="836" hidden="1">
      <c r="A836" s="389"/>
      <c r="B836" s="389"/>
      <c r="C836" s="389"/>
      <c r="D836" s="389"/>
      <c r="E836" s="389"/>
      <c r="F836" s="392"/>
      <c r="G836" s="392"/>
      <c r="H836" s="389"/>
      <c r="I836" s="389"/>
      <c r="J836" s="389"/>
      <c r="K836" s="389"/>
      <c r="L836" s="389"/>
      <c r="M836" s="389"/>
      <c r="N836" s="389"/>
      <c r="O836" s="389"/>
      <c r="P836" s="389"/>
      <c r="Q836" s="389"/>
      <c r="R836" s="389"/>
      <c r="S836" s="389"/>
      <c r="T836" s="389"/>
      <c r="U836" s="389"/>
      <c r="V836" s="389"/>
      <c r="W836" s="389"/>
      <c r="X836" s="389"/>
      <c r="Y836" s="389"/>
      <c r="Z836" s="389"/>
      <c r="AA836" s="389"/>
      <c r="AB836" s="389"/>
      <c r="AC836" s="389"/>
      <c r="AD836" s="389"/>
      <c r="AE836" s="389"/>
      <c r="AF836" s="389"/>
    </row>
    <row r="837" hidden="1">
      <c r="A837" s="389"/>
      <c r="B837" s="389"/>
      <c r="C837" s="389"/>
      <c r="D837" s="389"/>
      <c r="E837" s="389"/>
      <c r="F837" s="392"/>
      <c r="G837" s="392"/>
      <c r="H837" s="389"/>
      <c r="I837" s="389"/>
      <c r="J837" s="389"/>
      <c r="K837" s="389"/>
      <c r="L837" s="389"/>
      <c r="M837" s="389"/>
      <c r="N837" s="389"/>
      <c r="O837" s="389"/>
      <c r="P837" s="389"/>
      <c r="Q837" s="389"/>
      <c r="R837" s="389"/>
      <c r="S837" s="389"/>
      <c r="T837" s="389"/>
      <c r="U837" s="389"/>
      <c r="V837" s="389"/>
      <c r="W837" s="389"/>
      <c r="X837" s="389"/>
      <c r="Y837" s="389"/>
      <c r="Z837" s="389"/>
      <c r="AA837" s="389"/>
      <c r="AB837" s="389"/>
      <c r="AC837" s="389"/>
      <c r="AD837" s="389"/>
      <c r="AE837" s="389"/>
      <c r="AF837" s="389"/>
    </row>
    <row r="838" hidden="1">
      <c r="A838" s="389"/>
      <c r="B838" s="389"/>
      <c r="C838" s="389"/>
      <c r="D838" s="389"/>
      <c r="E838" s="389"/>
      <c r="F838" s="392"/>
      <c r="G838" s="392"/>
      <c r="H838" s="389"/>
      <c r="I838" s="389"/>
      <c r="J838" s="389"/>
      <c r="K838" s="389"/>
      <c r="L838" s="389"/>
      <c r="M838" s="389"/>
      <c r="N838" s="389"/>
      <c r="O838" s="389"/>
      <c r="P838" s="389"/>
      <c r="Q838" s="389"/>
      <c r="R838" s="389"/>
      <c r="S838" s="389"/>
      <c r="T838" s="389"/>
      <c r="U838" s="389"/>
      <c r="V838" s="389"/>
      <c r="W838" s="389"/>
      <c r="X838" s="389"/>
      <c r="Y838" s="389"/>
      <c r="Z838" s="389"/>
      <c r="AA838" s="389"/>
      <c r="AB838" s="389"/>
      <c r="AC838" s="389"/>
      <c r="AD838" s="389"/>
      <c r="AE838" s="389"/>
      <c r="AF838" s="389"/>
    </row>
    <row r="839" hidden="1">
      <c r="A839" s="389"/>
      <c r="B839" s="389"/>
      <c r="C839" s="389"/>
      <c r="D839" s="389"/>
      <c r="E839" s="389"/>
      <c r="F839" s="392"/>
      <c r="G839" s="392"/>
      <c r="H839" s="389"/>
      <c r="I839" s="389"/>
      <c r="J839" s="389"/>
      <c r="K839" s="389"/>
      <c r="L839" s="389"/>
      <c r="M839" s="389"/>
      <c r="N839" s="389"/>
      <c r="O839" s="389"/>
      <c r="P839" s="389"/>
      <c r="Q839" s="389"/>
      <c r="R839" s="389"/>
      <c r="S839" s="389"/>
      <c r="T839" s="389"/>
      <c r="U839" s="389"/>
      <c r="V839" s="389"/>
      <c r="W839" s="389"/>
      <c r="X839" s="389"/>
      <c r="Y839" s="389"/>
      <c r="Z839" s="389"/>
      <c r="AA839" s="389"/>
      <c r="AB839" s="389"/>
      <c r="AC839" s="389"/>
      <c r="AD839" s="389"/>
      <c r="AE839" s="389"/>
      <c r="AF839" s="389"/>
    </row>
    <row r="840" hidden="1">
      <c r="A840" s="389"/>
      <c r="B840" s="389"/>
      <c r="C840" s="389"/>
      <c r="D840" s="389"/>
      <c r="E840" s="389"/>
      <c r="F840" s="392"/>
      <c r="G840" s="392"/>
      <c r="H840" s="389"/>
      <c r="I840" s="389"/>
      <c r="J840" s="389"/>
      <c r="K840" s="389"/>
      <c r="L840" s="389"/>
      <c r="M840" s="389"/>
      <c r="N840" s="389"/>
      <c r="O840" s="389"/>
      <c r="P840" s="389"/>
      <c r="Q840" s="389"/>
      <c r="R840" s="389"/>
      <c r="S840" s="389"/>
      <c r="T840" s="389"/>
      <c r="U840" s="389"/>
      <c r="V840" s="389"/>
      <c r="W840" s="389"/>
      <c r="X840" s="389"/>
      <c r="Y840" s="389"/>
      <c r="Z840" s="389"/>
      <c r="AA840" s="389"/>
      <c r="AB840" s="389"/>
      <c r="AC840" s="389"/>
      <c r="AD840" s="389"/>
      <c r="AE840" s="389"/>
      <c r="AF840" s="389"/>
    </row>
    <row r="841" hidden="1">
      <c r="A841" s="389"/>
      <c r="B841" s="389"/>
      <c r="C841" s="389"/>
      <c r="D841" s="389"/>
      <c r="E841" s="389"/>
      <c r="F841" s="392"/>
      <c r="G841" s="392"/>
      <c r="H841" s="389"/>
      <c r="I841" s="389"/>
      <c r="J841" s="389"/>
      <c r="K841" s="389"/>
      <c r="L841" s="389"/>
      <c r="M841" s="389"/>
      <c r="N841" s="389"/>
      <c r="O841" s="389"/>
      <c r="P841" s="389"/>
      <c r="Q841" s="389"/>
      <c r="R841" s="389"/>
      <c r="S841" s="389"/>
      <c r="T841" s="389"/>
      <c r="U841" s="389"/>
      <c r="V841" s="389"/>
      <c r="W841" s="389"/>
      <c r="X841" s="389"/>
      <c r="Y841" s="389"/>
      <c r="Z841" s="389"/>
      <c r="AA841" s="389"/>
      <c r="AB841" s="389"/>
      <c r="AC841" s="389"/>
      <c r="AD841" s="389"/>
      <c r="AE841" s="389"/>
      <c r="AF841" s="389"/>
    </row>
    <row r="842" hidden="1">
      <c r="A842" s="389"/>
      <c r="B842" s="389"/>
      <c r="C842" s="389"/>
      <c r="D842" s="389"/>
      <c r="E842" s="389"/>
      <c r="F842" s="392"/>
      <c r="G842" s="392"/>
      <c r="H842" s="389"/>
      <c r="I842" s="389"/>
      <c r="J842" s="389"/>
      <c r="K842" s="389"/>
      <c r="L842" s="389"/>
      <c r="M842" s="389"/>
      <c r="N842" s="389"/>
      <c r="O842" s="389"/>
      <c r="P842" s="389"/>
      <c r="Q842" s="389"/>
      <c r="R842" s="389"/>
      <c r="S842" s="389"/>
      <c r="T842" s="389"/>
      <c r="U842" s="389"/>
      <c r="V842" s="389"/>
      <c r="W842" s="389"/>
      <c r="X842" s="389"/>
      <c r="Y842" s="389"/>
      <c r="Z842" s="389"/>
      <c r="AA842" s="389"/>
      <c r="AB842" s="389"/>
      <c r="AC842" s="389"/>
      <c r="AD842" s="389"/>
      <c r="AE842" s="389"/>
      <c r="AF842" s="389"/>
    </row>
    <row r="843" hidden="1">
      <c r="A843" s="389"/>
      <c r="B843" s="389"/>
      <c r="C843" s="389"/>
      <c r="D843" s="389"/>
      <c r="E843" s="389"/>
      <c r="F843" s="392"/>
      <c r="G843" s="392"/>
      <c r="H843" s="389"/>
      <c r="I843" s="389"/>
      <c r="J843" s="389"/>
      <c r="K843" s="389"/>
      <c r="L843" s="389"/>
      <c r="M843" s="389"/>
      <c r="N843" s="389"/>
      <c r="O843" s="389"/>
      <c r="P843" s="389"/>
      <c r="Q843" s="389"/>
      <c r="R843" s="389"/>
      <c r="S843" s="389"/>
      <c r="T843" s="389"/>
      <c r="U843" s="389"/>
      <c r="V843" s="389"/>
      <c r="W843" s="389"/>
      <c r="X843" s="389"/>
      <c r="Y843" s="389"/>
      <c r="Z843" s="389"/>
      <c r="AA843" s="389"/>
      <c r="AB843" s="389"/>
      <c r="AC843" s="389"/>
      <c r="AD843" s="389"/>
      <c r="AE843" s="389"/>
      <c r="AF843" s="389"/>
    </row>
    <row r="844" hidden="1">
      <c r="A844" s="389"/>
      <c r="B844" s="389"/>
      <c r="C844" s="389"/>
      <c r="D844" s="389"/>
      <c r="E844" s="389"/>
      <c r="F844" s="392"/>
      <c r="G844" s="392"/>
      <c r="H844" s="389"/>
      <c r="I844" s="389"/>
      <c r="J844" s="389"/>
      <c r="K844" s="389"/>
      <c r="L844" s="389"/>
      <c r="M844" s="389"/>
      <c r="N844" s="389"/>
      <c r="O844" s="389"/>
      <c r="P844" s="389"/>
      <c r="Q844" s="389"/>
      <c r="R844" s="389"/>
      <c r="S844" s="389"/>
      <c r="T844" s="389"/>
      <c r="U844" s="389"/>
      <c r="V844" s="389"/>
      <c r="W844" s="389"/>
      <c r="X844" s="389"/>
      <c r="Y844" s="389"/>
      <c r="Z844" s="389"/>
      <c r="AA844" s="389"/>
      <c r="AB844" s="389"/>
      <c r="AC844" s="389"/>
      <c r="AD844" s="389"/>
      <c r="AE844" s="389"/>
      <c r="AF844" s="389"/>
    </row>
    <row r="845" hidden="1">
      <c r="A845" s="389"/>
      <c r="B845" s="389"/>
      <c r="C845" s="389"/>
      <c r="D845" s="389"/>
      <c r="E845" s="389"/>
      <c r="F845" s="392"/>
      <c r="G845" s="392"/>
      <c r="H845" s="389"/>
      <c r="I845" s="389"/>
      <c r="J845" s="389"/>
      <c r="K845" s="389"/>
      <c r="L845" s="389"/>
      <c r="M845" s="389"/>
      <c r="N845" s="389"/>
      <c r="O845" s="389"/>
      <c r="P845" s="389"/>
      <c r="Q845" s="389"/>
      <c r="R845" s="389"/>
      <c r="S845" s="389"/>
      <c r="T845" s="389"/>
      <c r="U845" s="389"/>
      <c r="V845" s="389"/>
      <c r="W845" s="389"/>
      <c r="X845" s="389"/>
      <c r="Y845" s="389"/>
      <c r="Z845" s="389"/>
      <c r="AA845" s="389"/>
      <c r="AB845" s="389"/>
      <c r="AC845" s="389"/>
      <c r="AD845" s="389"/>
      <c r="AE845" s="389"/>
      <c r="AF845" s="389"/>
    </row>
    <row r="846" hidden="1">
      <c r="A846" s="389"/>
      <c r="B846" s="389"/>
      <c r="C846" s="389"/>
      <c r="D846" s="389"/>
      <c r="E846" s="389"/>
      <c r="F846" s="392"/>
      <c r="G846" s="392"/>
      <c r="H846" s="389"/>
      <c r="I846" s="389"/>
      <c r="J846" s="389"/>
      <c r="K846" s="389"/>
      <c r="L846" s="389"/>
      <c r="M846" s="389"/>
      <c r="N846" s="389"/>
      <c r="O846" s="389"/>
      <c r="P846" s="389"/>
      <c r="Q846" s="389"/>
      <c r="R846" s="389"/>
      <c r="S846" s="389"/>
      <c r="T846" s="389"/>
      <c r="U846" s="389"/>
      <c r="V846" s="389"/>
      <c r="W846" s="389"/>
      <c r="X846" s="389"/>
      <c r="Y846" s="389"/>
      <c r="Z846" s="389"/>
      <c r="AA846" s="389"/>
      <c r="AB846" s="389"/>
      <c r="AC846" s="389"/>
      <c r="AD846" s="389"/>
      <c r="AE846" s="389"/>
      <c r="AF846" s="389"/>
    </row>
    <row r="847" hidden="1">
      <c r="A847" s="389"/>
      <c r="B847" s="389"/>
      <c r="C847" s="389"/>
      <c r="D847" s="389"/>
      <c r="E847" s="389"/>
      <c r="F847" s="392"/>
      <c r="G847" s="392"/>
      <c r="H847" s="389"/>
      <c r="I847" s="389"/>
      <c r="J847" s="389"/>
      <c r="K847" s="389"/>
      <c r="L847" s="389"/>
      <c r="M847" s="389"/>
      <c r="N847" s="389"/>
      <c r="O847" s="389"/>
      <c r="P847" s="389"/>
      <c r="Q847" s="389"/>
      <c r="R847" s="389"/>
      <c r="S847" s="389"/>
      <c r="T847" s="389"/>
      <c r="U847" s="389"/>
      <c r="V847" s="389"/>
      <c r="W847" s="389"/>
      <c r="X847" s="389"/>
      <c r="Y847" s="389"/>
      <c r="Z847" s="389"/>
      <c r="AA847" s="389"/>
      <c r="AB847" s="389"/>
      <c r="AC847" s="389"/>
      <c r="AD847" s="389"/>
      <c r="AE847" s="389"/>
      <c r="AF847" s="389"/>
    </row>
    <row r="848" hidden="1">
      <c r="A848" s="389"/>
      <c r="B848" s="389"/>
      <c r="C848" s="389"/>
      <c r="D848" s="389"/>
      <c r="E848" s="389"/>
      <c r="F848" s="392"/>
      <c r="G848" s="392"/>
      <c r="H848" s="389"/>
      <c r="I848" s="389"/>
      <c r="J848" s="389"/>
      <c r="K848" s="389"/>
      <c r="L848" s="389"/>
      <c r="M848" s="389"/>
      <c r="N848" s="389"/>
      <c r="O848" s="389"/>
      <c r="P848" s="389"/>
      <c r="Q848" s="389"/>
      <c r="R848" s="389"/>
      <c r="S848" s="389"/>
      <c r="T848" s="389"/>
      <c r="U848" s="389"/>
      <c r="V848" s="389"/>
      <c r="W848" s="389"/>
      <c r="X848" s="389"/>
      <c r="Y848" s="389"/>
      <c r="Z848" s="389"/>
      <c r="AA848" s="389"/>
      <c r="AB848" s="389"/>
      <c r="AC848" s="389"/>
      <c r="AD848" s="389"/>
      <c r="AE848" s="389"/>
      <c r="AF848" s="389"/>
    </row>
    <row r="849" hidden="1">
      <c r="A849" s="389"/>
      <c r="B849" s="389"/>
      <c r="C849" s="389"/>
      <c r="D849" s="389"/>
      <c r="E849" s="389"/>
      <c r="F849" s="392"/>
      <c r="G849" s="392"/>
      <c r="H849" s="389"/>
      <c r="I849" s="389"/>
      <c r="J849" s="389"/>
      <c r="K849" s="389"/>
      <c r="L849" s="389"/>
      <c r="M849" s="389"/>
      <c r="N849" s="389"/>
      <c r="O849" s="389"/>
      <c r="P849" s="389"/>
      <c r="Q849" s="389"/>
      <c r="R849" s="389"/>
      <c r="S849" s="389"/>
      <c r="T849" s="389"/>
      <c r="U849" s="389"/>
      <c r="V849" s="389"/>
      <c r="W849" s="389"/>
      <c r="X849" s="389"/>
      <c r="Y849" s="389"/>
      <c r="Z849" s="389"/>
      <c r="AA849" s="389"/>
      <c r="AB849" s="389"/>
      <c r="AC849" s="389"/>
      <c r="AD849" s="389"/>
      <c r="AE849" s="389"/>
      <c r="AF849" s="389"/>
    </row>
    <row r="850" hidden="1">
      <c r="A850" s="389"/>
      <c r="B850" s="389"/>
      <c r="C850" s="389"/>
      <c r="D850" s="389"/>
      <c r="E850" s="389"/>
      <c r="F850" s="392"/>
      <c r="G850" s="392"/>
      <c r="H850" s="389"/>
      <c r="I850" s="389"/>
      <c r="J850" s="389"/>
      <c r="K850" s="389"/>
      <c r="L850" s="389"/>
      <c r="M850" s="389"/>
      <c r="N850" s="389"/>
      <c r="O850" s="389"/>
      <c r="P850" s="389"/>
      <c r="Q850" s="389"/>
      <c r="R850" s="389"/>
      <c r="S850" s="389"/>
      <c r="T850" s="389"/>
      <c r="U850" s="389"/>
      <c r="V850" s="389"/>
      <c r="W850" s="389"/>
      <c r="X850" s="389"/>
      <c r="Y850" s="389"/>
      <c r="Z850" s="389"/>
      <c r="AA850" s="389"/>
      <c r="AB850" s="389"/>
      <c r="AC850" s="389"/>
      <c r="AD850" s="389"/>
      <c r="AE850" s="389"/>
      <c r="AF850" s="389"/>
    </row>
    <row r="851" hidden="1">
      <c r="A851" s="389"/>
      <c r="B851" s="389"/>
      <c r="C851" s="389"/>
      <c r="D851" s="389"/>
      <c r="E851" s="389"/>
      <c r="F851" s="392"/>
      <c r="G851" s="392"/>
      <c r="H851" s="389"/>
      <c r="I851" s="389"/>
      <c r="J851" s="389"/>
      <c r="K851" s="389"/>
      <c r="L851" s="389"/>
      <c r="M851" s="389"/>
      <c r="N851" s="389"/>
      <c r="O851" s="389"/>
      <c r="P851" s="389"/>
      <c r="Q851" s="389"/>
      <c r="R851" s="389"/>
      <c r="S851" s="389"/>
      <c r="T851" s="389"/>
      <c r="U851" s="389"/>
      <c r="V851" s="389"/>
      <c r="W851" s="389"/>
      <c r="X851" s="389"/>
      <c r="Y851" s="389"/>
      <c r="Z851" s="389"/>
      <c r="AA851" s="389"/>
      <c r="AB851" s="389"/>
      <c r="AC851" s="389"/>
      <c r="AD851" s="389"/>
      <c r="AE851" s="389"/>
      <c r="AF851" s="389"/>
    </row>
    <row r="852" hidden="1">
      <c r="A852" s="389"/>
      <c r="B852" s="389"/>
      <c r="C852" s="389"/>
      <c r="D852" s="389"/>
      <c r="E852" s="389"/>
      <c r="F852" s="392"/>
      <c r="G852" s="392"/>
      <c r="H852" s="389"/>
      <c r="I852" s="389"/>
      <c r="J852" s="389"/>
      <c r="K852" s="389"/>
      <c r="L852" s="389"/>
      <c r="M852" s="389"/>
      <c r="N852" s="389"/>
      <c r="O852" s="389"/>
      <c r="P852" s="389"/>
      <c r="Q852" s="389"/>
      <c r="R852" s="389"/>
      <c r="S852" s="389"/>
      <c r="T852" s="389"/>
      <c r="U852" s="389"/>
      <c r="V852" s="389"/>
      <c r="W852" s="389"/>
      <c r="X852" s="389"/>
      <c r="Y852" s="389"/>
      <c r="Z852" s="389"/>
      <c r="AA852" s="389"/>
      <c r="AB852" s="389"/>
      <c r="AC852" s="389"/>
      <c r="AD852" s="389"/>
      <c r="AE852" s="389"/>
      <c r="AF852" s="389"/>
    </row>
    <row r="853" hidden="1">
      <c r="A853" s="389"/>
      <c r="B853" s="389"/>
      <c r="C853" s="389"/>
      <c r="D853" s="389"/>
      <c r="E853" s="389"/>
      <c r="F853" s="392"/>
      <c r="G853" s="392"/>
      <c r="H853" s="389"/>
      <c r="I853" s="389"/>
      <c r="J853" s="389"/>
      <c r="K853" s="389"/>
      <c r="L853" s="389"/>
      <c r="M853" s="389"/>
      <c r="N853" s="389"/>
      <c r="O853" s="389"/>
      <c r="P853" s="389"/>
      <c r="Q853" s="389"/>
      <c r="R853" s="389"/>
      <c r="S853" s="389"/>
      <c r="T853" s="389"/>
      <c r="U853" s="389"/>
      <c r="V853" s="389"/>
      <c r="W853" s="389"/>
      <c r="X853" s="389"/>
      <c r="Y853" s="389"/>
      <c r="Z853" s="389"/>
      <c r="AA853" s="389"/>
      <c r="AB853" s="389"/>
      <c r="AC853" s="389"/>
      <c r="AD853" s="389"/>
      <c r="AE853" s="389"/>
      <c r="AF853" s="389"/>
    </row>
    <row r="854" hidden="1">
      <c r="A854" s="389"/>
      <c r="B854" s="389"/>
      <c r="C854" s="389"/>
      <c r="D854" s="389"/>
      <c r="E854" s="389"/>
      <c r="F854" s="392"/>
      <c r="G854" s="392"/>
      <c r="H854" s="389"/>
      <c r="I854" s="389"/>
      <c r="J854" s="389"/>
      <c r="K854" s="389"/>
      <c r="L854" s="389"/>
      <c r="M854" s="389"/>
      <c r="N854" s="389"/>
      <c r="O854" s="389"/>
      <c r="P854" s="389"/>
      <c r="Q854" s="389"/>
      <c r="R854" s="389"/>
      <c r="S854" s="389"/>
      <c r="T854" s="389"/>
      <c r="U854" s="389"/>
      <c r="V854" s="389"/>
      <c r="W854" s="389"/>
      <c r="X854" s="389"/>
      <c r="Y854" s="389"/>
      <c r="Z854" s="389"/>
      <c r="AA854" s="389"/>
      <c r="AB854" s="389"/>
      <c r="AC854" s="389"/>
      <c r="AD854" s="389"/>
      <c r="AE854" s="389"/>
      <c r="AF854" s="389"/>
    </row>
    <row r="855" hidden="1">
      <c r="A855" s="389"/>
      <c r="B855" s="389"/>
      <c r="C855" s="389"/>
      <c r="D855" s="389"/>
      <c r="E855" s="389"/>
      <c r="F855" s="392"/>
      <c r="G855" s="392"/>
      <c r="H855" s="389"/>
      <c r="I855" s="389"/>
      <c r="J855" s="389"/>
      <c r="K855" s="389"/>
      <c r="L855" s="389"/>
      <c r="M855" s="389"/>
      <c r="N855" s="389"/>
      <c r="O855" s="389"/>
      <c r="P855" s="389"/>
      <c r="Q855" s="389"/>
      <c r="R855" s="389"/>
      <c r="S855" s="389"/>
      <c r="T855" s="389"/>
      <c r="U855" s="389"/>
      <c r="V855" s="389"/>
      <c r="W855" s="389"/>
      <c r="X855" s="389"/>
      <c r="Y855" s="389"/>
      <c r="Z855" s="389"/>
      <c r="AA855" s="389"/>
      <c r="AB855" s="389"/>
      <c r="AC855" s="389"/>
      <c r="AD855" s="389"/>
      <c r="AE855" s="389"/>
      <c r="AF855" s="389"/>
    </row>
    <row r="856" hidden="1">
      <c r="A856" s="389"/>
      <c r="B856" s="389"/>
      <c r="C856" s="389"/>
      <c r="D856" s="389"/>
      <c r="E856" s="389"/>
      <c r="F856" s="392"/>
      <c r="G856" s="392"/>
      <c r="H856" s="389"/>
      <c r="I856" s="389"/>
      <c r="J856" s="389"/>
      <c r="K856" s="389"/>
      <c r="L856" s="389"/>
      <c r="M856" s="389"/>
      <c r="N856" s="389"/>
      <c r="O856" s="389"/>
      <c r="P856" s="389"/>
      <c r="Q856" s="389"/>
      <c r="R856" s="389"/>
      <c r="S856" s="389"/>
      <c r="T856" s="389"/>
      <c r="U856" s="389"/>
      <c r="V856" s="389"/>
      <c r="W856" s="389"/>
      <c r="X856" s="389"/>
      <c r="Y856" s="389"/>
      <c r="Z856" s="389"/>
      <c r="AA856" s="389"/>
      <c r="AB856" s="389"/>
      <c r="AC856" s="389"/>
      <c r="AD856" s="389"/>
      <c r="AE856" s="389"/>
      <c r="AF856" s="389"/>
    </row>
    <row r="857" hidden="1">
      <c r="A857" s="389"/>
      <c r="B857" s="389"/>
      <c r="C857" s="389"/>
      <c r="D857" s="389"/>
      <c r="E857" s="389"/>
      <c r="F857" s="392"/>
      <c r="G857" s="392"/>
      <c r="H857" s="389"/>
      <c r="I857" s="389"/>
      <c r="J857" s="389"/>
      <c r="K857" s="389"/>
      <c r="L857" s="389"/>
      <c r="M857" s="389"/>
      <c r="N857" s="389"/>
      <c r="O857" s="389"/>
      <c r="P857" s="389"/>
      <c r="Q857" s="389"/>
      <c r="R857" s="389"/>
      <c r="S857" s="389"/>
      <c r="T857" s="389"/>
      <c r="U857" s="389"/>
      <c r="V857" s="389"/>
      <c r="W857" s="389"/>
      <c r="X857" s="389"/>
      <c r="Y857" s="389"/>
      <c r="Z857" s="389"/>
      <c r="AA857" s="389"/>
      <c r="AB857" s="389"/>
      <c r="AC857" s="389"/>
      <c r="AD857" s="389"/>
      <c r="AE857" s="389"/>
      <c r="AF857" s="389"/>
    </row>
    <row r="858" hidden="1">
      <c r="A858" s="389"/>
      <c r="B858" s="389"/>
      <c r="C858" s="389"/>
      <c r="D858" s="389"/>
      <c r="E858" s="389"/>
      <c r="F858" s="392"/>
      <c r="G858" s="392"/>
      <c r="H858" s="389"/>
      <c r="I858" s="389"/>
      <c r="J858" s="389"/>
      <c r="K858" s="389"/>
      <c r="L858" s="389"/>
      <c r="M858" s="389"/>
      <c r="N858" s="389"/>
      <c r="O858" s="389"/>
      <c r="P858" s="389"/>
      <c r="Q858" s="389"/>
      <c r="R858" s="389"/>
      <c r="S858" s="389"/>
      <c r="T858" s="389"/>
      <c r="U858" s="389"/>
      <c r="V858" s="389"/>
      <c r="W858" s="389"/>
      <c r="X858" s="389"/>
      <c r="Y858" s="389"/>
      <c r="Z858" s="389"/>
      <c r="AA858" s="389"/>
      <c r="AB858" s="389"/>
      <c r="AC858" s="389"/>
      <c r="AD858" s="389"/>
      <c r="AE858" s="389"/>
      <c r="AF858" s="389"/>
    </row>
    <row r="859" hidden="1">
      <c r="A859" s="389"/>
      <c r="B859" s="389"/>
      <c r="C859" s="389"/>
      <c r="D859" s="389"/>
      <c r="E859" s="389"/>
      <c r="F859" s="392"/>
      <c r="G859" s="392"/>
      <c r="H859" s="389"/>
      <c r="I859" s="389"/>
      <c r="J859" s="389"/>
      <c r="K859" s="389"/>
      <c r="L859" s="389"/>
      <c r="M859" s="389"/>
      <c r="N859" s="389"/>
      <c r="O859" s="389"/>
      <c r="P859" s="389"/>
      <c r="Q859" s="389"/>
      <c r="R859" s="389"/>
      <c r="S859" s="389"/>
      <c r="T859" s="389"/>
      <c r="U859" s="389"/>
      <c r="V859" s="389"/>
      <c r="W859" s="389"/>
      <c r="X859" s="389"/>
      <c r="Y859" s="389"/>
      <c r="Z859" s="389"/>
      <c r="AA859" s="389"/>
      <c r="AB859" s="389"/>
      <c r="AC859" s="389"/>
      <c r="AD859" s="389"/>
      <c r="AE859" s="389"/>
      <c r="AF859" s="389"/>
    </row>
    <row r="860" hidden="1">
      <c r="A860" s="389"/>
      <c r="B860" s="389"/>
      <c r="C860" s="389"/>
      <c r="D860" s="389"/>
      <c r="E860" s="389"/>
      <c r="F860" s="392"/>
      <c r="G860" s="392"/>
      <c r="H860" s="389"/>
      <c r="I860" s="389"/>
      <c r="J860" s="389"/>
      <c r="K860" s="389"/>
      <c r="L860" s="389"/>
      <c r="M860" s="389"/>
      <c r="N860" s="389"/>
      <c r="O860" s="389"/>
      <c r="P860" s="389"/>
      <c r="Q860" s="389"/>
      <c r="R860" s="389"/>
      <c r="S860" s="389"/>
      <c r="T860" s="389"/>
      <c r="U860" s="389"/>
      <c r="V860" s="389"/>
      <c r="W860" s="389"/>
      <c r="X860" s="389"/>
      <c r="Y860" s="389"/>
      <c r="Z860" s="389"/>
      <c r="AA860" s="389"/>
      <c r="AB860" s="389"/>
      <c r="AC860" s="389"/>
      <c r="AD860" s="389"/>
      <c r="AE860" s="389"/>
      <c r="AF860" s="389"/>
    </row>
    <row r="861" hidden="1">
      <c r="A861" s="389"/>
      <c r="B861" s="389"/>
      <c r="C861" s="389"/>
      <c r="D861" s="389"/>
      <c r="E861" s="389"/>
      <c r="F861" s="392"/>
      <c r="G861" s="392"/>
      <c r="H861" s="389"/>
      <c r="I861" s="389"/>
      <c r="J861" s="389"/>
      <c r="K861" s="389"/>
      <c r="L861" s="389"/>
      <c r="M861" s="389"/>
      <c r="N861" s="389"/>
      <c r="O861" s="389"/>
      <c r="P861" s="389"/>
      <c r="Q861" s="389"/>
      <c r="R861" s="389"/>
      <c r="S861" s="389"/>
      <c r="T861" s="389"/>
      <c r="U861" s="389"/>
      <c r="V861" s="389"/>
      <c r="W861" s="389"/>
      <c r="X861" s="389"/>
      <c r="Y861" s="389"/>
      <c r="Z861" s="389"/>
      <c r="AA861" s="389"/>
      <c r="AB861" s="389"/>
      <c r="AC861" s="389"/>
      <c r="AD861" s="389"/>
      <c r="AE861" s="389"/>
      <c r="AF861" s="389"/>
    </row>
    <row r="862" hidden="1">
      <c r="A862" s="389"/>
      <c r="B862" s="389"/>
      <c r="C862" s="389"/>
      <c r="D862" s="389"/>
      <c r="E862" s="389"/>
      <c r="F862" s="392"/>
      <c r="G862" s="392"/>
      <c r="H862" s="389"/>
      <c r="I862" s="389"/>
      <c r="J862" s="389"/>
      <c r="K862" s="389"/>
      <c r="L862" s="389"/>
      <c r="M862" s="389"/>
      <c r="N862" s="389"/>
      <c r="O862" s="389"/>
      <c r="P862" s="389"/>
      <c r="Q862" s="389"/>
      <c r="R862" s="389"/>
      <c r="S862" s="389"/>
      <c r="T862" s="389"/>
      <c r="U862" s="389"/>
      <c r="V862" s="389"/>
      <c r="W862" s="389"/>
      <c r="X862" s="389"/>
      <c r="Y862" s="389"/>
      <c r="Z862" s="389"/>
      <c r="AA862" s="389"/>
      <c r="AB862" s="389"/>
      <c r="AC862" s="389"/>
      <c r="AD862" s="389"/>
      <c r="AE862" s="389"/>
      <c r="AF862" s="389"/>
    </row>
    <row r="863" hidden="1">
      <c r="A863" s="389"/>
      <c r="B863" s="389"/>
      <c r="C863" s="389"/>
      <c r="D863" s="389"/>
      <c r="E863" s="389"/>
      <c r="F863" s="392"/>
      <c r="G863" s="392"/>
      <c r="H863" s="389"/>
      <c r="I863" s="389"/>
      <c r="J863" s="389"/>
      <c r="K863" s="389"/>
      <c r="L863" s="389"/>
      <c r="M863" s="389"/>
      <c r="N863" s="389"/>
      <c r="O863" s="389"/>
      <c r="P863" s="389"/>
      <c r="Q863" s="389"/>
      <c r="R863" s="389"/>
      <c r="S863" s="389"/>
      <c r="T863" s="389"/>
      <c r="U863" s="389"/>
      <c r="V863" s="389"/>
      <c r="W863" s="389"/>
      <c r="X863" s="389"/>
      <c r="Y863" s="389"/>
      <c r="Z863" s="389"/>
      <c r="AA863" s="389"/>
      <c r="AB863" s="389"/>
      <c r="AC863" s="389"/>
      <c r="AD863" s="389"/>
      <c r="AE863" s="389"/>
      <c r="AF863" s="389"/>
    </row>
    <row r="864" hidden="1">
      <c r="A864" s="389"/>
      <c r="B864" s="389"/>
      <c r="C864" s="389"/>
      <c r="D864" s="389"/>
      <c r="E864" s="389"/>
      <c r="F864" s="392"/>
      <c r="G864" s="392"/>
      <c r="H864" s="389"/>
      <c r="I864" s="389"/>
      <c r="J864" s="389"/>
      <c r="K864" s="389"/>
      <c r="L864" s="389"/>
      <c r="M864" s="389"/>
      <c r="N864" s="389"/>
      <c r="O864" s="389"/>
      <c r="P864" s="389"/>
      <c r="Q864" s="389"/>
      <c r="R864" s="389"/>
      <c r="S864" s="389"/>
      <c r="T864" s="389"/>
      <c r="U864" s="389"/>
      <c r="V864" s="389"/>
      <c r="W864" s="389"/>
      <c r="X864" s="389"/>
      <c r="Y864" s="389"/>
      <c r="Z864" s="389"/>
      <c r="AA864" s="389"/>
      <c r="AB864" s="389"/>
      <c r="AC864" s="389"/>
      <c r="AD864" s="389"/>
      <c r="AE864" s="389"/>
      <c r="AF864" s="389"/>
    </row>
    <row r="865" hidden="1">
      <c r="A865" s="389"/>
      <c r="B865" s="389"/>
      <c r="C865" s="389"/>
      <c r="D865" s="389"/>
      <c r="E865" s="389"/>
      <c r="F865" s="392"/>
      <c r="G865" s="392"/>
      <c r="H865" s="389"/>
      <c r="I865" s="389"/>
      <c r="J865" s="389"/>
      <c r="K865" s="389"/>
      <c r="L865" s="389"/>
      <c r="M865" s="389"/>
      <c r="N865" s="389"/>
      <c r="O865" s="389"/>
      <c r="P865" s="389"/>
      <c r="Q865" s="389"/>
      <c r="R865" s="389"/>
      <c r="S865" s="389"/>
      <c r="T865" s="389"/>
      <c r="U865" s="389"/>
      <c r="V865" s="389"/>
      <c r="W865" s="389"/>
      <c r="X865" s="389"/>
      <c r="Y865" s="389"/>
      <c r="Z865" s="389"/>
      <c r="AA865" s="389"/>
      <c r="AB865" s="389"/>
      <c r="AC865" s="389"/>
      <c r="AD865" s="389"/>
      <c r="AE865" s="389"/>
      <c r="AF865" s="389"/>
    </row>
    <row r="866" hidden="1">
      <c r="A866" s="389"/>
      <c r="B866" s="389"/>
      <c r="C866" s="389"/>
      <c r="D866" s="389"/>
      <c r="E866" s="389"/>
      <c r="F866" s="392"/>
      <c r="G866" s="392"/>
      <c r="H866" s="389"/>
      <c r="I866" s="389"/>
      <c r="J866" s="389"/>
      <c r="K866" s="389"/>
      <c r="L866" s="389"/>
      <c r="M866" s="389"/>
      <c r="N866" s="389"/>
      <c r="O866" s="389"/>
      <c r="P866" s="389"/>
      <c r="Q866" s="389"/>
      <c r="R866" s="389"/>
      <c r="S866" s="389"/>
      <c r="T866" s="389"/>
      <c r="U866" s="389"/>
      <c r="V866" s="389"/>
      <c r="W866" s="389"/>
      <c r="X866" s="389"/>
      <c r="Y866" s="389"/>
      <c r="Z866" s="389"/>
      <c r="AA866" s="389"/>
      <c r="AB866" s="389"/>
      <c r="AC866" s="389"/>
      <c r="AD866" s="389"/>
      <c r="AE866" s="389"/>
      <c r="AF866" s="389"/>
    </row>
    <row r="867" hidden="1">
      <c r="A867" s="389"/>
      <c r="B867" s="389"/>
      <c r="C867" s="389"/>
      <c r="D867" s="389"/>
      <c r="E867" s="389"/>
      <c r="F867" s="392"/>
      <c r="G867" s="392"/>
      <c r="H867" s="389"/>
      <c r="I867" s="389"/>
      <c r="J867" s="389"/>
      <c r="K867" s="389"/>
      <c r="L867" s="389"/>
      <c r="M867" s="389"/>
      <c r="N867" s="389"/>
      <c r="O867" s="389"/>
      <c r="P867" s="389"/>
      <c r="Q867" s="389"/>
      <c r="R867" s="389"/>
      <c r="S867" s="389"/>
      <c r="T867" s="389"/>
      <c r="U867" s="389"/>
      <c r="V867" s="389"/>
      <c r="W867" s="389"/>
      <c r="X867" s="389"/>
      <c r="Y867" s="389"/>
      <c r="Z867" s="389"/>
      <c r="AA867" s="389"/>
      <c r="AB867" s="389"/>
      <c r="AC867" s="389"/>
      <c r="AD867" s="389"/>
      <c r="AE867" s="389"/>
      <c r="AF867" s="389"/>
    </row>
    <row r="868" hidden="1">
      <c r="A868" s="389"/>
      <c r="B868" s="389"/>
      <c r="C868" s="389"/>
      <c r="D868" s="389"/>
      <c r="E868" s="389"/>
      <c r="F868" s="392"/>
      <c r="G868" s="392"/>
      <c r="H868" s="389"/>
      <c r="I868" s="389"/>
      <c r="J868" s="389"/>
      <c r="K868" s="389"/>
      <c r="L868" s="389"/>
      <c r="M868" s="389"/>
      <c r="N868" s="389"/>
      <c r="O868" s="389"/>
      <c r="P868" s="389"/>
      <c r="Q868" s="389"/>
      <c r="R868" s="389"/>
      <c r="S868" s="389"/>
      <c r="T868" s="389"/>
      <c r="U868" s="389"/>
      <c r="V868" s="389"/>
      <c r="W868" s="389"/>
      <c r="X868" s="389"/>
      <c r="Y868" s="389"/>
      <c r="Z868" s="389"/>
      <c r="AA868" s="389"/>
      <c r="AB868" s="389"/>
      <c r="AC868" s="389"/>
      <c r="AD868" s="389"/>
      <c r="AE868" s="389"/>
      <c r="AF868" s="389"/>
    </row>
    <row r="869" hidden="1">
      <c r="A869" s="389"/>
      <c r="B869" s="389"/>
      <c r="C869" s="389"/>
      <c r="D869" s="389"/>
      <c r="E869" s="389"/>
      <c r="F869" s="392"/>
      <c r="G869" s="392"/>
      <c r="H869" s="389"/>
      <c r="I869" s="389"/>
      <c r="J869" s="389"/>
      <c r="K869" s="389"/>
      <c r="L869" s="389"/>
      <c r="M869" s="389"/>
      <c r="N869" s="389"/>
      <c r="O869" s="389"/>
      <c r="P869" s="389"/>
      <c r="Q869" s="389"/>
      <c r="R869" s="389"/>
      <c r="S869" s="389"/>
      <c r="T869" s="389"/>
      <c r="U869" s="389"/>
      <c r="V869" s="389"/>
      <c r="W869" s="389"/>
      <c r="X869" s="389"/>
      <c r="Y869" s="389"/>
      <c r="Z869" s="389"/>
      <c r="AA869" s="389"/>
      <c r="AB869" s="389"/>
      <c r="AC869" s="389"/>
      <c r="AD869" s="389"/>
      <c r="AE869" s="389"/>
      <c r="AF869" s="389"/>
    </row>
    <row r="870" hidden="1">
      <c r="A870" s="389"/>
      <c r="B870" s="389"/>
      <c r="C870" s="389"/>
      <c r="D870" s="389"/>
      <c r="E870" s="389"/>
      <c r="F870" s="392"/>
      <c r="G870" s="392"/>
      <c r="H870" s="389"/>
      <c r="I870" s="389"/>
      <c r="J870" s="389"/>
      <c r="K870" s="389"/>
      <c r="L870" s="389"/>
      <c r="M870" s="389"/>
      <c r="N870" s="389"/>
      <c r="O870" s="389"/>
      <c r="P870" s="389"/>
      <c r="Q870" s="389"/>
      <c r="R870" s="389"/>
      <c r="S870" s="389"/>
      <c r="T870" s="389"/>
      <c r="U870" s="389"/>
      <c r="V870" s="389"/>
      <c r="W870" s="389"/>
      <c r="X870" s="389"/>
      <c r="Y870" s="389"/>
      <c r="Z870" s="389"/>
      <c r="AA870" s="389"/>
      <c r="AB870" s="389"/>
      <c r="AC870" s="389"/>
      <c r="AD870" s="389"/>
      <c r="AE870" s="389"/>
      <c r="AF870" s="389"/>
    </row>
    <row r="871" hidden="1">
      <c r="A871" s="389"/>
      <c r="B871" s="389"/>
      <c r="C871" s="389"/>
      <c r="D871" s="389"/>
      <c r="E871" s="389"/>
      <c r="F871" s="392"/>
      <c r="G871" s="392"/>
      <c r="H871" s="389"/>
      <c r="I871" s="389"/>
      <c r="J871" s="389"/>
      <c r="K871" s="389"/>
      <c r="L871" s="389"/>
      <c r="M871" s="389"/>
      <c r="N871" s="389"/>
      <c r="O871" s="389"/>
      <c r="P871" s="389"/>
      <c r="Q871" s="389"/>
      <c r="R871" s="389"/>
      <c r="S871" s="389"/>
      <c r="T871" s="389"/>
      <c r="U871" s="389"/>
      <c r="V871" s="389"/>
      <c r="W871" s="389"/>
      <c r="X871" s="389"/>
      <c r="Y871" s="389"/>
      <c r="Z871" s="389"/>
      <c r="AA871" s="389"/>
      <c r="AB871" s="389"/>
      <c r="AC871" s="389"/>
      <c r="AD871" s="389"/>
      <c r="AE871" s="389"/>
      <c r="AF871" s="389"/>
    </row>
    <row r="872" hidden="1">
      <c r="A872" s="389"/>
      <c r="B872" s="389"/>
      <c r="C872" s="389"/>
      <c r="D872" s="389"/>
      <c r="E872" s="389"/>
      <c r="F872" s="392"/>
      <c r="G872" s="392"/>
      <c r="H872" s="389"/>
      <c r="I872" s="389"/>
      <c r="J872" s="389"/>
      <c r="K872" s="389"/>
      <c r="L872" s="389"/>
      <c r="M872" s="389"/>
      <c r="N872" s="389"/>
      <c r="O872" s="389"/>
      <c r="P872" s="389"/>
      <c r="Q872" s="389"/>
      <c r="R872" s="389"/>
      <c r="S872" s="389"/>
      <c r="T872" s="389"/>
      <c r="U872" s="389"/>
      <c r="V872" s="389"/>
      <c r="W872" s="389"/>
      <c r="X872" s="389"/>
      <c r="Y872" s="389"/>
      <c r="Z872" s="389"/>
      <c r="AA872" s="389"/>
      <c r="AB872" s="389"/>
      <c r="AC872" s="389"/>
      <c r="AD872" s="389"/>
      <c r="AE872" s="389"/>
      <c r="AF872" s="389"/>
    </row>
    <row r="873" hidden="1">
      <c r="A873" s="389"/>
      <c r="B873" s="389"/>
      <c r="C873" s="389"/>
      <c r="D873" s="389"/>
      <c r="E873" s="389"/>
      <c r="F873" s="392"/>
      <c r="G873" s="392"/>
      <c r="H873" s="389"/>
      <c r="I873" s="389"/>
      <c r="J873" s="389"/>
      <c r="K873" s="389"/>
      <c r="L873" s="389"/>
      <c r="M873" s="389"/>
      <c r="N873" s="389"/>
      <c r="O873" s="389"/>
      <c r="P873" s="389"/>
      <c r="Q873" s="389"/>
      <c r="R873" s="389"/>
      <c r="S873" s="389"/>
      <c r="T873" s="389"/>
      <c r="U873" s="389"/>
      <c r="V873" s="389"/>
      <c r="W873" s="389"/>
      <c r="X873" s="389"/>
      <c r="Y873" s="389"/>
      <c r="Z873" s="389"/>
      <c r="AA873" s="389"/>
      <c r="AB873" s="389"/>
      <c r="AC873" s="389"/>
      <c r="AD873" s="389"/>
      <c r="AE873" s="389"/>
      <c r="AF873" s="389"/>
    </row>
    <row r="874" hidden="1">
      <c r="A874" s="389"/>
      <c r="B874" s="389"/>
      <c r="C874" s="389"/>
      <c r="D874" s="389"/>
      <c r="E874" s="389"/>
      <c r="F874" s="392"/>
      <c r="G874" s="392"/>
      <c r="H874" s="389"/>
      <c r="I874" s="389"/>
      <c r="J874" s="389"/>
      <c r="K874" s="389"/>
      <c r="L874" s="389"/>
      <c r="M874" s="389"/>
      <c r="N874" s="389"/>
      <c r="O874" s="389"/>
      <c r="P874" s="389"/>
      <c r="Q874" s="389"/>
      <c r="R874" s="389"/>
      <c r="S874" s="389"/>
      <c r="T874" s="389"/>
      <c r="U874" s="389"/>
      <c r="V874" s="389"/>
      <c r="W874" s="389"/>
      <c r="X874" s="389"/>
      <c r="Y874" s="389"/>
      <c r="Z874" s="389"/>
      <c r="AA874" s="389"/>
      <c r="AB874" s="389"/>
      <c r="AC874" s="389"/>
      <c r="AD874" s="389"/>
      <c r="AE874" s="389"/>
      <c r="AF874" s="389"/>
    </row>
    <row r="875" hidden="1">
      <c r="A875" s="389"/>
      <c r="B875" s="389"/>
      <c r="C875" s="389"/>
      <c r="D875" s="389"/>
      <c r="E875" s="389"/>
      <c r="F875" s="392"/>
      <c r="G875" s="392"/>
      <c r="H875" s="389"/>
      <c r="I875" s="389"/>
      <c r="J875" s="389"/>
      <c r="K875" s="389"/>
      <c r="L875" s="389"/>
      <c r="M875" s="389"/>
      <c r="N875" s="389"/>
      <c r="O875" s="389"/>
      <c r="P875" s="389"/>
      <c r="Q875" s="389"/>
      <c r="R875" s="389"/>
      <c r="S875" s="389"/>
      <c r="T875" s="389"/>
      <c r="U875" s="389"/>
      <c r="V875" s="389"/>
      <c r="W875" s="389"/>
      <c r="X875" s="389"/>
      <c r="Y875" s="389"/>
      <c r="Z875" s="389"/>
      <c r="AA875" s="389"/>
      <c r="AB875" s="389"/>
      <c r="AC875" s="389"/>
      <c r="AD875" s="389"/>
      <c r="AE875" s="389"/>
      <c r="AF875" s="389"/>
    </row>
    <row r="876" hidden="1">
      <c r="A876" s="389"/>
      <c r="B876" s="389"/>
      <c r="C876" s="389"/>
      <c r="D876" s="389"/>
      <c r="E876" s="389"/>
      <c r="F876" s="392"/>
      <c r="G876" s="392"/>
      <c r="H876" s="389"/>
      <c r="I876" s="389"/>
      <c r="J876" s="389"/>
      <c r="K876" s="389"/>
      <c r="L876" s="389"/>
      <c r="M876" s="389"/>
      <c r="N876" s="389"/>
      <c r="O876" s="389"/>
      <c r="P876" s="389"/>
      <c r="Q876" s="389"/>
      <c r="R876" s="389"/>
      <c r="S876" s="389"/>
      <c r="T876" s="389"/>
      <c r="U876" s="389"/>
      <c r="V876" s="389"/>
      <c r="W876" s="389"/>
      <c r="X876" s="389"/>
      <c r="Y876" s="389"/>
      <c r="Z876" s="389"/>
      <c r="AA876" s="389"/>
      <c r="AB876" s="389"/>
      <c r="AC876" s="389"/>
      <c r="AD876" s="389"/>
      <c r="AE876" s="389"/>
      <c r="AF876" s="389"/>
    </row>
    <row r="877" hidden="1">
      <c r="A877" s="389"/>
      <c r="B877" s="389"/>
      <c r="C877" s="389"/>
      <c r="D877" s="389"/>
      <c r="E877" s="389"/>
      <c r="F877" s="392"/>
      <c r="G877" s="392"/>
      <c r="H877" s="389"/>
      <c r="I877" s="389"/>
      <c r="J877" s="389"/>
      <c r="K877" s="389"/>
      <c r="L877" s="389"/>
      <c r="M877" s="389"/>
      <c r="N877" s="389"/>
      <c r="O877" s="389"/>
      <c r="P877" s="389"/>
      <c r="Q877" s="389"/>
      <c r="R877" s="389"/>
      <c r="S877" s="389"/>
      <c r="T877" s="389"/>
      <c r="U877" s="389"/>
      <c r="V877" s="389"/>
      <c r="W877" s="389"/>
      <c r="X877" s="389"/>
      <c r="Y877" s="389"/>
      <c r="Z877" s="389"/>
      <c r="AA877" s="389"/>
      <c r="AB877" s="389"/>
      <c r="AC877" s="389"/>
      <c r="AD877" s="389"/>
      <c r="AE877" s="389"/>
      <c r="AF877" s="389"/>
    </row>
    <row r="878" hidden="1">
      <c r="A878" s="389"/>
      <c r="B878" s="389"/>
      <c r="C878" s="389"/>
      <c r="D878" s="389"/>
      <c r="E878" s="389"/>
      <c r="F878" s="392"/>
      <c r="G878" s="392"/>
      <c r="H878" s="389"/>
      <c r="I878" s="389"/>
      <c r="J878" s="389"/>
      <c r="K878" s="389"/>
      <c r="L878" s="389"/>
      <c r="M878" s="389"/>
      <c r="N878" s="389"/>
      <c r="O878" s="389"/>
      <c r="P878" s="389"/>
      <c r="Q878" s="389"/>
      <c r="R878" s="389"/>
      <c r="S878" s="389"/>
      <c r="T878" s="389"/>
      <c r="U878" s="389"/>
      <c r="V878" s="389"/>
      <c r="W878" s="389"/>
      <c r="X878" s="389"/>
      <c r="Y878" s="389"/>
      <c r="Z878" s="389"/>
      <c r="AA878" s="389"/>
      <c r="AB878" s="389"/>
      <c r="AC878" s="389"/>
      <c r="AD878" s="389"/>
      <c r="AE878" s="389"/>
      <c r="AF878" s="389"/>
    </row>
    <row r="879" hidden="1">
      <c r="A879" s="389"/>
      <c r="B879" s="389"/>
      <c r="C879" s="389"/>
      <c r="D879" s="389"/>
      <c r="E879" s="389"/>
      <c r="F879" s="392"/>
      <c r="G879" s="392"/>
      <c r="H879" s="389"/>
      <c r="I879" s="389"/>
      <c r="J879" s="389"/>
      <c r="K879" s="389"/>
      <c r="L879" s="389"/>
      <c r="M879" s="389"/>
      <c r="N879" s="389"/>
      <c r="O879" s="389"/>
      <c r="P879" s="389"/>
      <c r="Q879" s="389"/>
      <c r="R879" s="389"/>
      <c r="S879" s="389"/>
      <c r="T879" s="389"/>
      <c r="U879" s="389"/>
      <c r="V879" s="389"/>
      <c r="W879" s="389"/>
      <c r="X879" s="389"/>
      <c r="Y879" s="389"/>
      <c r="Z879" s="389"/>
      <c r="AA879" s="389"/>
      <c r="AB879" s="389"/>
      <c r="AC879" s="389"/>
      <c r="AD879" s="389"/>
      <c r="AE879" s="389"/>
      <c r="AF879" s="389"/>
    </row>
    <row r="880" hidden="1">
      <c r="A880" s="389"/>
      <c r="B880" s="389"/>
      <c r="C880" s="389"/>
      <c r="D880" s="389"/>
      <c r="E880" s="389"/>
      <c r="F880" s="392"/>
      <c r="G880" s="392"/>
      <c r="H880" s="389"/>
      <c r="I880" s="389"/>
      <c r="J880" s="389"/>
      <c r="K880" s="389"/>
      <c r="L880" s="389"/>
      <c r="M880" s="389"/>
      <c r="N880" s="389"/>
      <c r="O880" s="389"/>
      <c r="P880" s="389"/>
      <c r="Q880" s="389"/>
      <c r="R880" s="389"/>
      <c r="S880" s="389"/>
      <c r="T880" s="389"/>
      <c r="U880" s="389"/>
      <c r="V880" s="389"/>
      <c r="W880" s="389"/>
      <c r="X880" s="389"/>
      <c r="Y880" s="389"/>
      <c r="Z880" s="389"/>
      <c r="AA880" s="389"/>
      <c r="AB880" s="389"/>
      <c r="AC880" s="389"/>
      <c r="AD880" s="389"/>
      <c r="AE880" s="389"/>
      <c r="AF880" s="389"/>
    </row>
    <row r="881" hidden="1">
      <c r="A881" s="389"/>
      <c r="B881" s="389"/>
      <c r="C881" s="389"/>
      <c r="D881" s="389"/>
      <c r="E881" s="389"/>
      <c r="F881" s="392"/>
      <c r="G881" s="392"/>
      <c r="H881" s="389"/>
      <c r="I881" s="389"/>
      <c r="J881" s="389"/>
      <c r="K881" s="389"/>
      <c r="L881" s="389"/>
      <c r="M881" s="389"/>
      <c r="N881" s="389"/>
      <c r="O881" s="389"/>
      <c r="P881" s="389"/>
      <c r="Q881" s="389"/>
      <c r="R881" s="389"/>
      <c r="S881" s="389"/>
      <c r="T881" s="389"/>
      <c r="U881" s="389"/>
      <c r="V881" s="389"/>
      <c r="W881" s="389"/>
      <c r="X881" s="389"/>
      <c r="Y881" s="389"/>
      <c r="Z881" s="389"/>
      <c r="AA881" s="389"/>
      <c r="AB881" s="389"/>
      <c r="AC881" s="389"/>
      <c r="AD881" s="389"/>
      <c r="AE881" s="389"/>
      <c r="AF881" s="389"/>
    </row>
    <row r="882" hidden="1">
      <c r="A882" s="389"/>
      <c r="B882" s="389"/>
      <c r="C882" s="389"/>
      <c r="D882" s="389"/>
      <c r="E882" s="389"/>
      <c r="F882" s="392"/>
      <c r="G882" s="392"/>
      <c r="H882" s="389"/>
      <c r="I882" s="389"/>
      <c r="J882" s="389"/>
      <c r="K882" s="389"/>
      <c r="L882" s="389"/>
      <c r="M882" s="389"/>
      <c r="N882" s="389"/>
      <c r="O882" s="389"/>
      <c r="P882" s="389"/>
      <c r="Q882" s="389"/>
      <c r="R882" s="389"/>
      <c r="S882" s="389"/>
      <c r="T882" s="389"/>
      <c r="U882" s="389"/>
      <c r="V882" s="389"/>
      <c r="W882" s="389"/>
      <c r="X882" s="389"/>
      <c r="Y882" s="389"/>
      <c r="Z882" s="389"/>
      <c r="AA882" s="389"/>
      <c r="AB882" s="389"/>
      <c r="AC882" s="389"/>
      <c r="AD882" s="389"/>
      <c r="AE882" s="389"/>
      <c r="AF882" s="389"/>
    </row>
    <row r="883" hidden="1">
      <c r="A883" s="389"/>
      <c r="B883" s="389"/>
      <c r="C883" s="389"/>
      <c r="D883" s="389"/>
      <c r="E883" s="389"/>
      <c r="F883" s="392"/>
      <c r="G883" s="392"/>
      <c r="H883" s="389"/>
      <c r="I883" s="389"/>
      <c r="J883" s="389"/>
      <c r="K883" s="389"/>
      <c r="L883" s="389"/>
      <c r="M883" s="389"/>
      <c r="N883" s="389"/>
      <c r="O883" s="389"/>
      <c r="P883" s="389"/>
      <c r="Q883" s="389"/>
      <c r="R883" s="389"/>
      <c r="S883" s="389"/>
      <c r="T883" s="389"/>
      <c r="U883" s="389"/>
      <c r="V883" s="389"/>
      <c r="W883" s="389"/>
      <c r="X883" s="389"/>
      <c r="Y883" s="389"/>
      <c r="Z883" s="389"/>
      <c r="AA883" s="389"/>
      <c r="AB883" s="389"/>
      <c r="AC883" s="389"/>
      <c r="AD883" s="389"/>
      <c r="AE883" s="389"/>
      <c r="AF883" s="389"/>
    </row>
    <row r="884" hidden="1">
      <c r="A884" s="389"/>
      <c r="B884" s="389"/>
      <c r="C884" s="389"/>
      <c r="D884" s="389"/>
      <c r="E884" s="389"/>
      <c r="F884" s="392"/>
      <c r="G884" s="392"/>
      <c r="H884" s="389"/>
      <c r="I884" s="389"/>
      <c r="J884" s="389"/>
      <c r="K884" s="389"/>
      <c r="L884" s="389"/>
      <c r="M884" s="389"/>
      <c r="N884" s="389"/>
      <c r="O884" s="389"/>
      <c r="P884" s="389"/>
      <c r="Q884" s="389"/>
      <c r="R884" s="389"/>
      <c r="S884" s="389"/>
      <c r="T884" s="389"/>
      <c r="U884" s="389"/>
      <c r="V884" s="389"/>
      <c r="W884" s="389"/>
      <c r="X884" s="389"/>
      <c r="Y884" s="389"/>
      <c r="Z884" s="389"/>
      <c r="AA884" s="389"/>
      <c r="AB884" s="389"/>
      <c r="AC884" s="389"/>
      <c r="AD884" s="389"/>
      <c r="AE884" s="389"/>
      <c r="AF884" s="389"/>
    </row>
    <row r="885" hidden="1">
      <c r="A885" s="389"/>
      <c r="B885" s="389"/>
      <c r="C885" s="389"/>
      <c r="D885" s="389"/>
      <c r="E885" s="389"/>
      <c r="F885" s="392"/>
      <c r="G885" s="392"/>
      <c r="H885" s="389"/>
      <c r="I885" s="389"/>
      <c r="J885" s="389"/>
      <c r="K885" s="389"/>
      <c r="L885" s="389"/>
      <c r="M885" s="389"/>
      <c r="N885" s="389"/>
      <c r="O885" s="389"/>
      <c r="P885" s="389"/>
      <c r="Q885" s="389"/>
      <c r="R885" s="389"/>
      <c r="S885" s="389"/>
      <c r="T885" s="389"/>
      <c r="U885" s="389"/>
      <c r="V885" s="389"/>
      <c r="W885" s="389"/>
      <c r="X885" s="389"/>
      <c r="Y885" s="389"/>
      <c r="Z885" s="389"/>
      <c r="AA885" s="389"/>
      <c r="AB885" s="389"/>
      <c r="AC885" s="389"/>
      <c r="AD885" s="389"/>
      <c r="AE885" s="389"/>
      <c r="AF885" s="389"/>
    </row>
    <row r="886" hidden="1">
      <c r="A886" s="389"/>
      <c r="B886" s="389"/>
      <c r="C886" s="389"/>
      <c r="D886" s="389"/>
      <c r="E886" s="389"/>
      <c r="F886" s="392"/>
      <c r="G886" s="392"/>
      <c r="H886" s="389"/>
      <c r="I886" s="389"/>
      <c r="J886" s="389"/>
      <c r="K886" s="389"/>
      <c r="L886" s="389"/>
      <c r="M886" s="389"/>
      <c r="N886" s="389"/>
      <c r="O886" s="389"/>
      <c r="P886" s="389"/>
      <c r="Q886" s="389"/>
      <c r="R886" s="389"/>
      <c r="S886" s="389"/>
      <c r="T886" s="389"/>
      <c r="U886" s="389"/>
      <c r="V886" s="389"/>
      <c r="W886" s="389"/>
      <c r="X886" s="389"/>
      <c r="Y886" s="389"/>
      <c r="Z886" s="389"/>
      <c r="AA886" s="389"/>
      <c r="AB886" s="389"/>
      <c r="AC886" s="389"/>
      <c r="AD886" s="389"/>
      <c r="AE886" s="389"/>
      <c r="AF886" s="389"/>
    </row>
    <row r="887" hidden="1">
      <c r="A887" s="389"/>
      <c r="B887" s="389"/>
      <c r="C887" s="389"/>
      <c r="D887" s="389"/>
      <c r="E887" s="389"/>
      <c r="F887" s="392"/>
      <c r="G887" s="392"/>
      <c r="H887" s="389"/>
      <c r="I887" s="389"/>
      <c r="J887" s="389"/>
      <c r="K887" s="389"/>
      <c r="L887" s="389"/>
      <c r="M887" s="389"/>
      <c r="N887" s="389"/>
      <c r="O887" s="389"/>
      <c r="P887" s="389"/>
      <c r="Q887" s="389"/>
      <c r="R887" s="389"/>
      <c r="S887" s="389"/>
      <c r="T887" s="389"/>
      <c r="U887" s="389"/>
      <c r="V887" s="389"/>
      <c r="W887" s="389"/>
      <c r="X887" s="389"/>
      <c r="Y887" s="389"/>
      <c r="Z887" s="389"/>
      <c r="AA887" s="389"/>
      <c r="AB887" s="389"/>
      <c r="AC887" s="389"/>
      <c r="AD887" s="389"/>
      <c r="AE887" s="389"/>
      <c r="AF887" s="389"/>
    </row>
    <row r="888" hidden="1">
      <c r="A888" s="389"/>
      <c r="B888" s="389"/>
      <c r="C888" s="389"/>
      <c r="D888" s="389"/>
      <c r="E888" s="389"/>
      <c r="F888" s="392"/>
      <c r="G888" s="392"/>
      <c r="H888" s="389"/>
      <c r="I888" s="389"/>
      <c r="J888" s="389"/>
      <c r="K888" s="389"/>
      <c r="L888" s="389"/>
      <c r="M888" s="389"/>
      <c r="N888" s="389"/>
      <c r="O888" s="389"/>
      <c r="P888" s="389"/>
      <c r="Q888" s="389"/>
      <c r="R888" s="389"/>
      <c r="S888" s="389"/>
      <c r="T888" s="389"/>
      <c r="U888" s="389"/>
      <c r="V888" s="389"/>
      <c r="W888" s="389"/>
      <c r="X888" s="389"/>
      <c r="Y888" s="389"/>
      <c r="Z888" s="389"/>
      <c r="AA888" s="389"/>
      <c r="AB888" s="389"/>
      <c r="AC888" s="389"/>
      <c r="AD888" s="389"/>
      <c r="AE888" s="389"/>
      <c r="AF888" s="389"/>
    </row>
    <row r="889" hidden="1">
      <c r="A889" s="389"/>
      <c r="B889" s="389"/>
      <c r="C889" s="389"/>
      <c r="D889" s="389"/>
      <c r="E889" s="389"/>
      <c r="F889" s="392"/>
      <c r="G889" s="392"/>
      <c r="H889" s="389"/>
      <c r="I889" s="389"/>
      <c r="J889" s="389"/>
      <c r="K889" s="389"/>
      <c r="L889" s="389"/>
      <c r="M889" s="389"/>
      <c r="N889" s="389"/>
      <c r="O889" s="389"/>
      <c r="P889" s="389"/>
      <c r="Q889" s="389"/>
      <c r="R889" s="389"/>
      <c r="S889" s="389"/>
      <c r="T889" s="389"/>
      <c r="U889" s="389"/>
      <c r="V889" s="389"/>
      <c r="W889" s="389"/>
      <c r="X889" s="389"/>
      <c r="Y889" s="389"/>
      <c r="Z889" s="389"/>
      <c r="AA889" s="389"/>
      <c r="AB889" s="389"/>
      <c r="AC889" s="389"/>
      <c r="AD889" s="389"/>
      <c r="AE889" s="389"/>
      <c r="AF889" s="389"/>
    </row>
    <row r="890" hidden="1">
      <c r="A890" s="389"/>
      <c r="B890" s="389"/>
      <c r="C890" s="389"/>
      <c r="D890" s="389"/>
      <c r="E890" s="389"/>
      <c r="F890" s="392"/>
      <c r="G890" s="392"/>
      <c r="H890" s="389"/>
      <c r="I890" s="389"/>
      <c r="J890" s="389"/>
      <c r="K890" s="389"/>
      <c r="L890" s="389"/>
      <c r="M890" s="389"/>
      <c r="N890" s="389"/>
      <c r="O890" s="389"/>
      <c r="P890" s="389"/>
      <c r="Q890" s="389"/>
      <c r="R890" s="389"/>
      <c r="S890" s="389"/>
      <c r="T890" s="389"/>
      <c r="U890" s="389"/>
      <c r="V890" s="389"/>
      <c r="W890" s="389"/>
      <c r="X890" s="389"/>
      <c r="Y890" s="389"/>
      <c r="Z890" s="389"/>
      <c r="AA890" s="389"/>
      <c r="AB890" s="389"/>
      <c r="AC890" s="389"/>
      <c r="AD890" s="389"/>
      <c r="AE890" s="389"/>
      <c r="AF890" s="389"/>
    </row>
    <row r="891" hidden="1">
      <c r="A891" s="389"/>
      <c r="B891" s="389"/>
      <c r="C891" s="389"/>
      <c r="D891" s="389"/>
      <c r="E891" s="389"/>
      <c r="F891" s="392"/>
      <c r="G891" s="392"/>
      <c r="H891" s="389"/>
      <c r="I891" s="389"/>
      <c r="J891" s="389"/>
      <c r="K891" s="389"/>
      <c r="L891" s="389"/>
      <c r="M891" s="389"/>
      <c r="N891" s="389"/>
      <c r="O891" s="389"/>
      <c r="P891" s="389"/>
      <c r="Q891" s="389"/>
      <c r="R891" s="389"/>
      <c r="S891" s="389"/>
      <c r="T891" s="389"/>
      <c r="U891" s="389"/>
      <c r="V891" s="389"/>
      <c r="W891" s="389"/>
      <c r="X891" s="389"/>
      <c r="Y891" s="389"/>
      <c r="Z891" s="389"/>
      <c r="AA891" s="389"/>
      <c r="AB891" s="389"/>
      <c r="AC891" s="389"/>
      <c r="AD891" s="389"/>
      <c r="AE891" s="389"/>
      <c r="AF891" s="389"/>
    </row>
    <row r="892" hidden="1">
      <c r="A892" s="389"/>
      <c r="B892" s="389"/>
      <c r="C892" s="389"/>
      <c r="D892" s="389"/>
      <c r="E892" s="389"/>
      <c r="F892" s="392"/>
      <c r="G892" s="392"/>
      <c r="H892" s="389"/>
      <c r="I892" s="389"/>
      <c r="J892" s="389"/>
      <c r="K892" s="389"/>
      <c r="L892" s="389"/>
      <c r="M892" s="389"/>
      <c r="N892" s="389"/>
      <c r="O892" s="389"/>
      <c r="P892" s="389"/>
      <c r="Q892" s="389"/>
      <c r="R892" s="389"/>
      <c r="S892" s="389"/>
      <c r="T892" s="389"/>
      <c r="U892" s="389"/>
      <c r="V892" s="389"/>
      <c r="W892" s="389"/>
      <c r="X892" s="389"/>
      <c r="Y892" s="389"/>
      <c r="Z892" s="389"/>
      <c r="AA892" s="389"/>
      <c r="AB892" s="389"/>
      <c r="AC892" s="389"/>
      <c r="AD892" s="389"/>
      <c r="AE892" s="389"/>
      <c r="AF892" s="389"/>
    </row>
    <row r="893" hidden="1">
      <c r="A893" s="389"/>
      <c r="B893" s="389"/>
      <c r="C893" s="389"/>
      <c r="D893" s="389"/>
      <c r="E893" s="389"/>
      <c r="F893" s="392"/>
      <c r="G893" s="392"/>
      <c r="H893" s="389"/>
      <c r="I893" s="389"/>
      <c r="J893" s="389"/>
      <c r="K893" s="389"/>
      <c r="L893" s="389"/>
      <c r="M893" s="389"/>
      <c r="N893" s="389"/>
      <c r="O893" s="389"/>
      <c r="P893" s="389"/>
      <c r="Q893" s="389"/>
      <c r="R893" s="389"/>
      <c r="S893" s="389"/>
      <c r="T893" s="389"/>
      <c r="U893" s="389"/>
      <c r="V893" s="389"/>
      <c r="W893" s="389"/>
      <c r="X893" s="389"/>
      <c r="Y893" s="389"/>
      <c r="Z893" s="389"/>
      <c r="AA893" s="389"/>
      <c r="AB893" s="389"/>
      <c r="AC893" s="389"/>
      <c r="AD893" s="389"/>
      <c r="AE893" s="389"/>
      <c r="AF893" s="389"/>
    </row>
    <row r="894" hidden="1">
      <c r="A894" s="389"/>
      <c r="B894" s="389"/>
      <c r="C894" s="389"/>
      <c r="D894" s="389"/>
      <c r="E894" s="389"/>
      <c r="F894" s="392"/>
      <c r="G894" s="392"/>
      <c r="H894" s="389"/>
      <c r="I894" s="389"/>
      <c r="J894" s="389"/>
      <c r="K894" s="389"/>
      <c r="L894" s="389"/>
      <c r="M894" s="389"/>
      <c r="N894" s="389"/>
      <c r="O894" s="389"/>
      <c r="P894" s="389"/>
      <c r="Q894" s="389"/>
      <c r="R894" s="389"/>
      <c r="S894" s="389"/>
      <c r="T894" s="389"/>
      <c r="U894" s="389"/>
      <c r="V894" s="389"/>
      <c r="W894" s="389"/>
      <c r="X894" s="389"/>
      <c r="Y894" s="389"/>
      <c r="Z894" s="389"/>
      <c r="AA894" s="389"/>
      <c r="AB894" s="389"/>
      <c r="AC894" s="389"/>
      <c r="AD894" s="389"/>
      <c r="AE894" s="389"/>
      <c r="AF894" s="389"/>
    </row>
    <row r="895" hidden="1">
      <c r="A895" s="389"/>
      <c r="B895" s="389"/>
      <c r="C895" s="389"/>
      <c r="D895" s="389"/>
      <c r="E895" s="389"/>
      <c r="F895" s="392"/>
      <c r="G895" s="392"/>
      <c r="H895" s="389"/>
      <c r="I895" s="389"/>
      <c r="J895" s="389"/>
      <c r="K895" s="389"/>
      <c r="L895" s="389"/>
      <c r="M895" s="389"/>
      <c r="N895" s="389"/>
      <c r="O895" s="389"/>
      <c r="P895" s="389"/>
      <c r="Q895" s="389"/>
      <c r="R895" s="389"/>
      <c r="S895" s="389"/>
      <c r="T895" s="389"/>
      <c r="U895" s="389"/>
      <c r="V895" s="389"/>
      <c r="W895" s="389"/>
      <c r="X895" s="389"/>
      <c r="Y895" s="389"/>
      <c r="Z895" s="389"/>
      <c r="AA895" s="389"/>
      <c r="AB895" s="389"/>
      <c r="AC895" s="389"/>
      <c r="AD895" s="389"/>
      <c r="AE895" s="389"/>
      <c r="AF895" s="389"/>
    </row>
    <row r="896" hidden="1">
      <c r="A896" s="389"/>
      <c r="B896" s="389"/>
      <c r="C896" s="389"/>
      <c r="D896" s="389"/>
      <c r="E896" s="389"/>
      <c r="F896" s="392"/>
      <c r="G896" s="392"/>
      <c r="H896" s="389"/>
      <c r="I896" s="389"/>
      <c r="J896" s="389"/>
      <c r="K896" s="389"/>
      <c r="L896" s="389"/>
      <c r="M896" s="389"/>
      <c r="N896" s="389"/>
      <c r="O896" s="389"/>
      <c r="P896" s="389"/>
      <c r="Q896" s="389"/>
      <c r="R896" s="389"/>
      <c r="S896" s="389"/>
      <c r="T896" s="389"/>
      <c r="U896" s="389"/>
      <c r="V896" s="389"/>
      <c r="W896" s="389"/>
      <c r="X896" s="389"/>
      <c r="Y896" s="389"/>
      <c r="Z896" s="389"/>
      <c r="AA896" s="389"/>
      <c r="AB896" s="389"/>
      <c r="AC896" s="389"/>
      <c r="AD896" s="389"/>
      <c r="AE896" s="389"/>
      <c r="AF896" s="389"/>
    </row>
    <row r="897" hidden="1">
      <c r="A897" s="389"/>
      <c r="B897" s="389"/>
      <c r="C897" s="389"/>
      <c r="D897" s="389"/>
      <c r="E897" s="389"/>
      <c r="F897" s="392"/>
      <c r="G897" s="392"/>
      <c r="H897" s="389"/>
      <c r="I897" s="389"/>
      <c r="J897" s="389"/>
      <c r="K897" s="389"/>
      <c r="L897" s="389"/>
      <c r="M897" s="389"/>
      <c r="N897" s="389"/>
      <c r="O897" s="389"/>
      <c r="P897" s="389"/>
      <c r="Q897" s="389"/>
      <c r="R897" s="389"/>
      <c r="S897" s="389"/>
      <c r="T897" s="389"/>
      <c r="U897" s="389"/>
      <c r="V897" s="389"/>
      <c r="W897" s="389"/>
      <c r="X897" s="389"/>
      <c r="Y897" s="389"/>
      <c r="Z897" s="389"/>
      <c r="AA897" s="389"/>
      <c r="AB897" s="389"/>
      <c r="AC897" s="389"/>
      <c r="AD897" s="389"/>
      <c r="AE897" s="389"/>
      <c r="AF897" s="389"/>
    </row>
    <row r="898" hidden="1">
      <c r="A898" s="389"/>
      <c r="B898" s="389"/>
      <c r="C898" s="389"/>
      <c r="D898" s="389"/>
      <c r="E898" s="389"/>
      <c r="F898" s="392"/>
      <c r="G898" s="392"/>
      <c r="H898" s="389"/>
      <c r="I898" s="389"/>
      <c r="J898" s="389"/>
      <c r="K898" s="389"/>
      <c r="L898" s="389"/>
      <c r="M898" s="389"/>
      <c r="N898" s="389"/>
      <c r="O898" s="389"/>
      <c r="P898" s="389"/>
      <c r="Q898" s="389"/>
      <c r="R898" s="389"/>
      <c r="S898" s="389"/>
      <c r="T898" s="389"/>
      <c r="U898" s="389"/>
      <c r="V898" s="389"/>
      <c r="W898" s="389"/>
      <c r="X898" s="389"/>
      <c r="Y898" s="389"/>
      <c r="Z898" s="389"/>
      <c r="AA898" s="389"/>
      <c r="AB898" s="389"/>
      <c r="AC898" s="389"/>
      <c r="AD898" s="389"/>
      <c r="AE898" s="389"/>
      <c r="AF898" s="389"/>
    </row>
    <row r="899" hidden="1">
      <c r="A899" s="389"/>
      <c r="B899" s="389"/>
      <c r="C899" s="389"/>
      <c r="D899" s="389"/>
      <c r="E899" s="389"/>
      <c r="F899" s="392"/>
      <c r="G899" s="392"/>
      <c r="H899" s="389"/>
      <c r="I899" s="389"/>
      <c r="J899" s="389"/>
      <c r="K899" s="389"/>
      <c r="L899" s="389"/>
      <c r="M899" s="389"/>
      <c r="N899" s="389"/>
      <c r="O899" s="389"/>
      <c r="P899" s="389"/>
      <c r="Q899" s="389"/>
      <c r="R899" s="389"/>
      <c r="S899" s="389"/>
      <c r="T899" s="389"/>
      <c r="U899" s="389"/>
      <c r="V899" s="389"/>
      <c r="W899" s="389"/>
      <c r="X899" s="389"/>
      <c r="Y899" s="389"/>
      <c r="Z899" s="389"/>
      <c r="AA899" s="389"/>
      <c r="AB899" s="389"/>
      <c r="AC899" s="389"/>
      <c r="AD899" s="389"/>
      <c r="AE899" s="389"/>
      <c r="AF899" s="389"/>
    </row>
    <row r="900" hidden="1">
      <c r="A900" s="389"/>
      <c r="B900" s="389"/>
      <c r="C900" s="389"/>
      <c r="D900" s="389"/>
      <c r="E900" s="389"/>
      <c r="F900" s="392"/>
      <c r="G900" s="392"/>
      <c r="H900" s="389"/>
      <c r="I900" s="389"/>
      <c r="J900" s="389"/>
      <c r="K900" s="389"/>
      <c r="L900" s="389"/>
      <c r="M900" s="389"/>
      <c r="N900" s="389"/>
      <c r="O900" s="389"/>
      <c r="P900" s="389"/>
      <c r="Q900" s="389"/>
      <c r="R900" s="389"/>
      <c r="S900" s="389"/>
      <c r="T900" s="389"/>
      <c r="U900" s="389"/>
      <c r="V900" s="389"/>
      <c r="W900" s="389"/>
      <c r="X900" s="389"/>
      <c r="Y900" s="389"/>
      <c r="Z900" s="389"/>
      <c r="AA900" s="389"/>
      <c r="AB900" s="389"/>
      <c r="AC900" s="389"/>
      <c r="AD900" s="389"/>
      <c r="AE900" s="389"/>
      <c r="AF900" s="389"/>
    </row>
    <row r="901" hidden="1">
      <c r="A901" s="389"/>
      <c r="B901" s="389"/>
      <c r="C901" s="389"/>
      <c r="D901" s="389"/>
      <c r="E901" s="389"/>
      <c r="F901" s="392"/>
      <c r="G901" s="392"/>
      <c r="H901" s="389"/>
      <c r="I901" s="389"/>
      <c r="J901" s="389"/>
      <c r="K901" s="389"/>
      <c r="L901" s="389"/>
      <c r="M901" s="389"/>
      <c r="N901" s="389"/>
      <c r="O901" s="389"/>
      <c r="P901" s="389"/>
      <c r="Q901" s="389"/>
      <c r="R901" s="389"/>
      <c r="S901" s="389"/>
      <c r="T901" s="389"/>
      <c r="U901" s="389"/>
      <c r="V901" s="389"/>
      <c r="W901" s="389"/>
      <c r="X901" s="389"/>
      <c r="Y901" s="389"/>
      <c r="Z901" s="389"/>
      <c r="AA901" s="389"/>
      <c r="AB901" s="389"/>
      <c r="AC901" s="389"/>
      <c r="AD901" s="389"/>
      <c r="AE901" s="389"/>
      <c r="AF901" s="389"/>
    </row>
    <row r="902" hidden="1">
      <c r="A902" s="389"/>
      <c r="B902" s="389"/>
      <c r="C902" s="389"/>
      <c r="D902" s="389"/>
      <c r="E902" s="389"/>
      <c r="F902" s="392"/>
      <c r="G902" s="392"/>
      <c r="H902" s="389"/>
      <c r="I902" s="389"/>
      <c r="J902" s="389"/>
      <c r="K902" s="389"/>
      <c r="L902" s="389"/>
      <c r="M902" s="389"/>
      <c r="N902" s="389"/>
      <c r="O902" s="389"/>
      <c r="P902" s="389"/>
      <c r="Q902" s="389"/>
      <c r="R902" s="389"/>
      <c r="S902" s="389"/>
      <c r="T902" s="389"/>
      <c r="U902" s="389"/>
      <c r="V902" s="389"/>
      <c r="W902" s="389"/>
      <c r="X902" s="389"/>
      <c r="Y902" s="389"/>
      <c r="Z902" s="389"/>
      <c r="AA902" s="389"/>
      <c r="AB902" s="389"/>
      <c r="AC902" s="389"/>
      <c r="AD902" s="389"/>
      <c r="AE902" s="389"/>
      <c r="AF902" s="389"/>
    </row>
    <row r="903" hidden="1">
      <c r="A903" s="389"/>
      <c r="B903" s="389"/>
      <c r="C903" s="389"/>
      <c r="D903" s="389"/>
      <c r="E903" s="389"/>
      <c r="F903" s="392"/>
      <c r="G903" s="392"/>
      <c r="H903" s="389"/>
      <c r="I903" s="389"/>
      <c r="J903" s="389"/>
      <c r="K903" s="389"/>
      <c r="L903" s="389"/>
      <c r="M903" s="389"/>
      <c r="N903" s="389"/>
      <c r="O903" s="389"/>
      <c r="P903" s="389"/>
      <c r="Q903" s="389"/>
      <c r="R903" s="389"/>
      <c r="S903" s="389"/>
      <c r="T903" s="389"/>
      <c r="U903" s="389"/>
      <c r="V903" s="389"/>
      <c r="W903" s="389"/>
      <c r="X903" s="389"/>
      <c r="Y903" s="389"/>
      <c r="Z903" s="389"/>
      <c r="AA903" s="389"/>
      <c r="AB903" s="389"/>
      <c r="AC903" s="389"/>
      <c r="AD903" s="389"/>
      <c r="AE903" s="389"/>
      <c r="AF903" s="389"/>
    </row>
    <row r="904" hidden="1">
      <c r="A904" s="389"/>
      <c r="B904" s="389"/>
      <c r="C904" s="389"/>
      <c r="D904" s="389"/>
      <c r="E904" s="389"/>
      <c r="F904" s="392"/>
      <c r="G904" s="392"/>
      <c r="H904" s="389"/>
      <c r="I904" s="389"/>
      <c r="J904" s="389"/>
      <c r="K904" s="389"/>
      <c r="L904" s="389"/>
      <c r="M904" s="389"/>
      <c r="N904" s="389"/>
      <c r="O904" s="389"/>
      <c r="P904" s="389"/>
      <c r="Q904" s="389"/>
      <c r="R904" s="389"/>
      <c r="S904" s="389"/>
      <c r="T904" s="389"/>
      <c r="U904" s="389"/>
      <c r="V904" s="389"/>
      <c r="W904" s="389"/>
      <c r="X904" s="389"/>
      <c r="Y904" s="389"/>
      <c r="Z904" s="389"/>
      <c r="AA904" s="389"/>
      <c r="AB904" s="389"/>
      <c r="AC904" s="389"/>
      <c r="AD904" s="389"/>
      <c r="AE904" s="389"/>
      <c r="AF904" s="389"/>
    </row>
    <row r="905" hidden="1">
      <c r="A905" s="389"/>
      <c r="B905" s="389"/>
      <c r="C905" s="389"/>
      <c r="D905" s="389"/>
      <c r="E905" s="389"/>
      <c r="F905" s="392"/>
      <c r="G905" s="392"/>
      <c r="H905" s="389"/>
      <c r="I905" s="389"/>
      <c r="J905" s="389"/>
      <c r="K905" s="389"/>
      <c r="L905" s="389"/>
      <c r="M905" s="389"/>
      <c r="N905" s="389"/>
      <c r="O905" s="389"/>
      <c r="P905" s="389"/>
      <c r="Q905" s="389"/>
      <c r="R905" s="389"/>
      <c r="S905" s="389"/>
      <c r="T905" s="389"/>
      <c r="U905" s="389"/>
      <c r="V905" s="389"/>
      <c r="W905" s="389"/>
      <c r="X905" s="389"/>
      <c r="Y905" s="389"/>
      <c r="Z905" s="389"/>
      <c r="AA905" s="389"/>
      <c r="AB905" s="389"/>
      <c r="AC905" s="389"/>
      <c r="AD905" s="389"/>
      <c r="AE905" s="389"/>
      <c r="AF905" s="389"/>
    </row>
    <row r="906" hidden="1">
      <c r="A906" s="389"/>
      <c r="B906" s="389"/>
      <c r="C906" s="389"/>
      <c r="D906" s="389"/>
      <c r="E906" s="389"/>
      <c r="F906" s="392"/>
      <c r="G906" s="392"/>
      <c r="H906" s="389"/>
      <c r="I906" s="389"/>
      <c r="J906" s="389"/>
      <c r="K906" s="389"/>
      <c r="L906" s="389"/>
      <c r="M906" s="389"/>
      <c r="N906" s="389"/>
      <c r="O906" s="389"/>
      <c r="P906" s="389"/>
      <c r="Q906" s="389"/>
      <c r="R906" s="389"/>
      <c r="S906" s="389"/>
      <c r="T906" s="389"/>
      <c r="U906" s="389"/>
      <c r="V906" s="389"/>
      <c r="W906" s="389"/>
      <c r="X906" s="389"/>
      <c r="Y906" s="389"/>
      <c r="Z906" s="389"/>
      <c r="AA906" s="389"/>
      <c r="AB906" s="389"/>
      <c r="AC906" s="389"/>
      <c r="AD906" s="389"/>
      <c r="AE906" s="389"/>
      <c r="AF906" s="389"/>
    </row>
    <row r="907" hidden="1">
      <c r="A907" s="389"/>
      <c r="B907" s="389"/>
      <c r="C907" s="389"/>
      <c r="D907" s="389"/>
      <c r="E907" s="389"/>
      <c r="F907" s="392"/>
      <c r="G907" s="392"/>
      <c r="H907" s="389"/>
      <c r="I907" s="389"/>
      <c r="J907" s="389"/>
      <c r="K907" s="389"/>
      <c r="L907" s="389"/>
      <c r="M907" s="389"/>
      <c r="N907" s="389"/>
      <c r="O907" s="389"/>
      <c r="P907" s="389"/>
      <c r="Q907" s="389"/>
      <c r="R907" s="389"/>
      <c r="S907" s="389"/>
      <c r="T907" s="389"/>
      <c r="U907" s="389"/>
      <c r="V907" s="389"/>
      <c r="W907" s="389"/>
      <c r="X907" s="389"/>
      <c r="Y907" s="389"/>
      <c r="Z907" s="389"/>
      <c r="AA907" s="389"/>
      <c r="AB907" s="389"/>
      <c r="AC907" s="389"/>
      <c r="AD907" s="389"/>
      <c r="AE907" s="389"/>
      <c r="AF907" s="389"/>
    </row>
    <row r="908" hidden="1">
      <c r="A908" s="389"/>
      <c r="B908" s="389"/>
      <c r="C908" s="389"/>
      <c r="D908" s="389"/>
      <c r="E908" s="389"/>
      <c r="F908" s="392"/>
      <c r="G908" s="392"/>
      <c r="H908" s="389"/>
      <c r="I908" s="389"/>
      <c r="J908" s="389"/>
      <c r="K908" s="389"/>
      <c r="L908" s="389"/>
      <c r="M908" s="389"/>
      <c r="N908" s="389"/>
      <c r="O908" s="389"/>
      <c r="P908" s="389"/>
      <c r="Q908" s="389"/>
      <c r="R908" s="389"/>
      <c r="S908" s="389"/>
      <c r="T908" s="389"/>
      <c r="U908" s="389"/>
      <c r="V908" s="389"/>
      <c r="W908" s="389"/>
      <c r="X908" s="389"/>
      <c r="Y908" s="389"/>
      <c r="Z908" s="389"/>
      <c r="AA908" s="389"/>
      <c r="AB908" s="389"/>
      <c r="AC908" s="389"/>
      <c r="AD908" s="389"/>
      <c r="AE908" s="389"/>
      <c r="AF908" s="389"/>
    </row>
    <row r="909" hidden="1">
      <c r="A909" s="389"/>
      <c r="B909" s="389"/>
      <c r="C909" s="389"/>
      <c r="D909" s="389"/>
      <c r="E909" s="389"/>
      <c r="F909" s="392"/>
      <c r="G909" s="392"/>
      <c r="H909" s="389"/>
      <c r="I909" s="389"/>
      <c r="J909" s="389"/>
      <c r="K909" s="389"/>
      <c r="L909" s="389"/>
      <c r="M909" s="389"/>
      <c r="N909" s="389"/>
      <c r="O909" s="389"/>
      <c r="P909" s="389"/>
      <c r="Q909" s="389"/>
      <c r="R909" s="389"/>
      <c r="S909" s="389"/>
      <c r="T909" s="389"/>
      <c r="U909" s="389"/>
      <c r="V909" s="389"/>
      <c r="W909" s="389"/>
      <c r="X909" s="389"/>
      <c r="Y909" s="389"/>
      <c r="Z909" s="389"/>
      <c r="AA909" s="389"/>
      <c r="AB909" s="389"/>
      <c r="AC909" s="389"/>
      <c r="AD909" s="389"/>
      <c r="AE909" s="389"/>
      <c r="AF909" s="389"/>
    </row>
    <row r="910" hidden="1">
      <c r="A910" s="389"/>
      <c r="B910" s="389"/>
      <c r="C910" s="389"/>
      <c r="D910" s="389"/>
      <c r="E910" s="389"/>
      <c r="F910" s="392"/>
      <c r="G910" s="392"/>
      <c r="H910" s="389"/>
      <c r="I910" s="389"/>
      <c r="J910" s="389"/>
      <c r="K910" s="389"/>
      <c r="L910" s="389"/>
      <c r="M910" s="389"/>
      <c r="N910" s="389"/>
      <c r="O910" s="389"/>
      <c r="P910" s="389"/>
      <c r="Q910" s="389"/>
      <c r="R910" s="389"/>
      <c r="S910" s="389"/>
      <c r="T910" s="389"/>
      <c r="U910" s="389"/>
      <c r="V910" s="389"/>
      <c r="W910" s="389"/>
      <c r="X910" s="389"/>
      <c r="Y910" s="389"/>
      <c r="Z910" s="389"/>
      <c r="AA910" s="389"/>
      <c r="AB910" s="389"/>
      <c r="AC910" s="389"/>
      <c r="AD910" s="389"/>
      <c r="AE910" s="389"/>
      <c r="AF910" s="389"/>
    </row>
    <row r="911" hidden="1">
      <c r="A911" s="389"/>
      <c r="B911" s="389"/>
      <c r="C911" s="389"/>
      <c r="D911" s="389"/>
      <c r="E911" s="389"/>
      <c r="F911" s="392"/>
      <c r="G911" s="392"/>
      <c r="H911" s="389"/>
      <c r="I911" s="389"/>
      <c r="J911" s="389"/>
      <c r="K911" s="389"/>
      <c r="L911" s="389"/>
      <c r="M911" s="389"/>
      <c r="N911" s="389"/>
      <c r="O911" s="389"/>
      <c r="P911" s="389"/>
      <c r="Q911" s="389"/>
      <c r="R911" s="389"/>
      <c r="S911" s="389"/>
      <c r="T911" s="389"/>
      <c r="U911" s="389"/>
      <c r="V911" s="389"/>
      <c r="W911" s="389"/>
      <c r="X911" s="389"/>
      <c r="Y911" s="389"/>
      <c r="Z911" s="389"/>
      <c r="AA911" s="389"/>
      <c r="AB911" s="389"/>
      <c r="AC911" s="389"/>
      <c r="AD911" s="389"/>
      <c r="AE911" s="389"/>
      <c r="AF911" s="389"/>
    </row>
    <row r="912" hidden="1">
      <c r="A912" s="389"/>
      <c r="B912" s="389"/>
      <c r="C912" s="389"/>
      <c r="D912" s="389"/>
      <c r="E912" s="389"/>
      <c r="F912" s="392"/>
      <c r="G912" s="392"/>
      <c r="H912" s="389"/>
      <c r="I912" s="389"/>
      <c r="J912" s="389"/>
      <c r="K912" s="389"/>
      <c r="L912" s="389"/>
      <c r="M912" s="389"/>
      <c r="N912" s="389"/>
      <c r="O912" s="389"/>
      <c r="P912" s="389"/>
      <c r="Q912" s="389"/>
      <c r="R912" s="389"/>
      <c r="S912" s="389"/>
      <c r="T912" s="389"/>
      <c r="U912" s="389"/>
      <c r="V912" s="389"/>
      <c r="W912" s="389"/>
      <c r="X912" s="389"/>
      <c r="Y912" s="389"/>
      <c r="Z912" s="389"/>
      <c r="AA912" s="389"/>
      <c r="AB912" s="389"/>
      <c r="AC912" s="389"/>
      <c r="AD912" s="389"/>
      <c r="AE912" s="389"/>
      <c r="AF912" s="389"/>
    </row>
    <row r="913" hidden="1">
      <c r="A913" s="389"/>
      <c r="B913" s="389"/>
      <c r="C913" s="389"/>
      <c r="D913" s="389"/>
      <c r="E913" s="389"/>
      <c r="F913" s="392"/>
      <c r="G913" s="392"/>
      <c r="H913" s="389"/>
      <c r="I913" s="389"/>
      <c r="J913" s="389"/>
      <c r="K913" s="389"/>
      <c r="L913" s="389"/>
      <c r="M913" s="389"/>
      <c r="N913" s="389"/>
      <c r="O913" s="389"/>
      <c r="P913" s="389"/>
      <c r="Q913" s="389"/>
      <c r="R913" s="389"/>
      <c r="S913" s="389"/>
      <c r="T913" s="389"/>
      <c r="U913" s="389"/>
      <c r="V913" s="389"/>
      <c r="W913" s="389"/>
      <c r="X913" s="389"/>
      <c r="Y913" s="389"/>
      <c r="Z913" s="389"/>
      <c r="AA913" s="389"/>
      <c r="AB913" s="389"/>
      <c r="AC913" s="389"/>
      <c r="AD913" s="389"/>
      <c r="AE913" s="389"/>
      <c r="AF913" s="389"/>
    </row>
    <row r="914" hidden="1">
      <c r="A914" s="389"/>
      <c r="B914" s="389"/>
      <c r="C914" s="389"/>
      <c r="D914" s="389"/>
      <c r="E914" s="389"/>
      <c r="F914" s="392"/>
      <c r="G914" s="392"/>
      <c r="H914" s="389"/>
      <c r="I914" s="389"/>
      <c r="J914" s="389"/>
      <c r="K914" s="389"/>
      <c r="L914" s="389"/>
      <c r="M914" s="389"/>
      <c r="N914" s="389"/>
      <c r="O914" s="389"/>
      <c r="P914" s="389"/>
      <c r="Q914" s="389"/>
      <c r="R914" s="389"/>
      <c r="S914" s="389"/>
      <c r="T914" s="389"/>
      <c r="U914" s="389"/>
      <c r="V914" s="389"/>
      <c r="W914" s="389"/>
      <c r="X914" s="389"/>
      <c r="Y914" s="389"/>
      <c r="Z914" s="389"/>
      <c r="AA914" s="389"/>
      <c r="AB914" s="389"/>
      <c r="AC914" s="389"/>
      <c r="AD914" s="389"/>
      <c r="AE914" s="389"/>
      <c r="AF914" s="389"/>
    </row>
    <row r="915" hidden="1">
      <c r="A915" s="389"/>
      <c r="B915" s="389"/>
      <c r="C915" s="389"/>
      <c r="D915" s="389"/>
      <c r="E915" s="389"/>
      <c r="F915" s="392"/>
      <c r="G915" s="392"/>
      <c r="H915" s="389"/>
      <c r="I915" s="389"/>
      <c r="J915" s="389"/>
      <c r="K915" s="389"/>
      <c r="L915" s="389"/>
      <c r="M915" s="389"/>
      <c r="N915" s="389"/>
      <c r="O915" s="389"/>
      <c r="P915" s="389"/>
      <c r="Q915" s="389"/>
      <c r="R915" s="389"/>
      <c r="S915" s="389"/>
      <c r="T915" s="389"/>
      <c r="U915" s="389"/>
      <c r="V915" s="389"/>
      <c r="W915" s="389"/>
      <c r="X915" s="389"/>
      <c r="Y915" s="389"/>
      <c r="Z915" s="389"/>
      <c r="AA915" s="389"/>
      <c r="AB915" s="389"/>
      <c r="AC915" s="389"/>
      <c r="AD915" s="389"/>
      <c r="AE915" s="389"/>
      <c r="AF915" s="389"/>
    </row>
    <row r="916" hidden="1">
      <c r="A916" s="389"/>
      <c r="B916" s="389"/>
      <c r="C916" s="389"/>
      <c r="D916" s="389"/>
      <c r="E916" s="389"/>
      <c r="F916" s="392"/>
      <c r="G916" s="392"/>
      <c r="H916" s="389"/>
      <c r="I916" s="389"/>
      <c r="J916" s="389"/>
      <c r="K916" s="389"/>
      <c r="L916" s="389"/>
      <c r="M916" s="389"/>
      <c r="N916" s="389"/>
      <c r="O916" s="389"/>
      <c r="P916" s="389"/>
      <c r="Q916" s="389"/>
      <c r="R916" s="389"/>
      <c r="S916" s="389"/>
      <c r="T916" s="389"/>
      <c r="U916" s="389"/>
      <c r="V916" s="389"/>
      <c r="W916" s="389"/>
      <c r="X916" s="389"/>
      <c r="Y916" s="389"/>
      <c r="Z916" s="389"/>
      <c r="AA916" s="389"/>
      <c r="AB916" s="389"/>
      <c r="AC916" s="389"/>
      <c r="AD916" s="389"/>
      <c r="AE916" s="389"/>
      <c r="AF916" s="389"/>
    </row>
    <row r="917" hidden="1">
      <c r="A917" s="389"/>
      <c r="B917" s="389"/>
      <c r="C917" s="389"/>
      <c r="D917" s="389"/>
      <c r="E917" s="389"/>
      <c r="F917" s="392"/>
      <c r="G917" s="392"/>
      <c r="H917" s="389"/>
      <c r="I917" s="389"/>
      <c r="J917" s="389"/>
      <c r="K917" s="389"/>
      <c r="L917" s="389"/>
      <c r="M917" s="389"/>
      <c r="N917" s="389"/>
      <c r="O917" s="389"/>
      <c r="P917" s="389"/>
      <c r="Q917" s="389"/>
      <c r="R917" s="389"/>
      <c r="S917" s="389"/>
      <c r="T917" s="389"/>
      <c r="U917" s="389"/>
      <c r="V917" s="389"/>
      <c r="W917" s="389"/>
      <c r="X917" s="389"/>
      <c r="Y917" s="389"/>
      <c r="Z917" s="389"/>
      <c r="AA917" s="389"/>
      <c r="AB917" s="389"/>
      <c r="AC917" s="389"/>
      <c r="AD917" s="389"/>
      <c r="AE917" s="389"/>
      <c r="AF917" s="389"/>
    </row>
    <row r="918" hidden="1">
      <c r="A918" s="389"/>
      <c r="B918" s="389"/>
      <c r="C918" s="389"/>
      <c r="D918" s="389"/>
      <c r="E918" s="389"/>
      <c r="F918" s="392"/>
      <c r="G918" s="392"/>
      <c r="H918" s="389"/>
      <c r="I918" s="389"/>
      <c r="J918" s="389"/>
      <c r="K918" s="389"/>
      <c r="L918" s="389"/>
      <c r="M918" s="389"/>
      <c r="N918" s="389"/>
      <c r="O918" s="389"/>
      <c r="P918" s="389"/>
      <c r="Q918" s="389"/>
      <c r="R918" s="389"/>
      <c r="S918" s="389"/>
      <c r="T918" s="389"/>
      <c r="U918" s="389"/>
      <c r="V918" s="389"/>
      <c r="W918" s="389"/>
      <c r="X918" s="389"/>
      <c r="Y918" s="389"/>
      <c r="Z918" s="389"/>
      <c r="AA918" s="389"/>
      <c r="AB918" s="389"/>
      <c r="AC918" s="389"/>
      <c r="AD918" s="389"/>
      <c r="AE918" s="389"/>
      <c r="AF918" s="389"/>
    </row>
    <row r="919" hidden="1">
      <c r="A919" s="389"/>
      <c r="B919" s="389"/>
      <c r="C919" s="389"/>
      <c r="D919" s="389"/>
      <c r="E919" s="389"/>
      <c r="F919" s="392"/>
      <c r="G919" s="392"/>
      <c r="H919" s="389"/>
      <c r="I919" s="389"/>
      <c r="J919" s="389"/>
      <c r="K919" s="389"/>
      <c r="L919" s="389"/>
      <c r="M919" s="389"/>
      <c r="N919" s="389"/>
      <c r="O919" s="389"/>
      <c r="P919" s="389"/>
      <c r="Q919" s="389"/>
      <c r="R919" s="389"/>
      <c r="S919" s="389"/>
      <c r="T919" s="389"/>
      <c r="U919" s="389"/>
      <c r="V919" s="389"/>
      <c r="W919" s="389"/>
      <c r="X919" s="389"/>
      <c r="Y919" s="389"/>
      <c r="Z919" s="389"/>
      <c r="AA919" s="389"/>
      <c r="AB919" s="389"/>
      <c r="AC919" s="389"/>
      <c r="AD919" s="389"/>
      <c r="AE919" s="389"/>
      <c r="AF919" s="389"/>
    </row>
    <row r="920" hidden="1">
      <c r="A920" s="389"/>
      <c r="B920" s="389"/>
      <c r="C920" s="389"/>
      <c r="D920" s="389"/>
      <c r="E920" s="389"/>
      <c r="F920" s="392"/>
      <c r="G920" s="392"/>
      <c r="H920" s="389"/>
      <c r="I920" s="389"/>
      <c r="J920" s="389"/>
      <c r="K920" s="389"/>
      <c r="L920" s="389"/>
      <c r="M920" s="389"/>
      <c r="N920" s="389"/>
      <c r="O920" s="389"/>
      <c r="P920" s="389"/>
      <c r="Q920" s="389"/>
      <c r="R920" s="389"/>
      <c r="S920" s="389"/>
      <c r="T920" s="389"/>
      <c r="U920" s="389"/>
      <c r="V920" s="389"/>
      <c r="W920" s="389"/>
      <c r="X920" s="389"/>
      <c r="Y920" s="389"/>
      <c r="Z920" s="389"/>
      <c r="AA920" s="389"/>
      <c r="AB920" s="389"/>
      <c r="AC920" s="389"/>
      <c r="AD920" s="389"/>
      <c r="AE920" s="389"/>
      <c r="AF920" s="389"/>
    </row>
    <row r="921" hidden="1">
      <c r="A921" s="389"/>
      <c r="B921" s="389"/>
      <c r="C921" s="389"/>
      <c r="D921" s="389"/>
      <c r="E921" s="389"/>
      <c r="F921" s="392"/>
      <c r="G921" s="392"/>
      <c r="H921" s="389"/>
      <c r="I921" s="389"/>
      <c r="J921" s="389"/>
      <c r="K921" s="389"/>
      <c r="L921" s="389"/>
      <c r="M921" s="389"/>
      <c r="N921" s="389"/>
      <c r="O921" s="389"/>
      <c r="P921" s="389"/>
      <c r="Q921" s="389"/>
      <c r="R921" s="389"/>
      <c r="S921" s="389"/>
      <c r="T921" s="389"/>
      <c r="U921" s="389"/>
      <c r="V921" s="389"/>
      <c r="W921" s="389"/>
      <c r="X921" s="389"/>
      <c r="Y921" s="389"/>
      <c r="Z921" s="389"/>
      <c r="AA921" s="389"/>
      <c r="AB921" s="389"/>
      <c r="AC921" s="389"/>
      <c r="AD921" s="389"/>
      <c r="AE921" s="389"/>
      <c r="AF921" s="389"/>
    </row>
    <row r="922" hidden="1">
      <c r="A922" s="389"/>
      <c r="B922" s="389"/>
      <c r="C922" s="389"/>
      <c r="D922" s="389"/>
      <c r="E922" s="389"/>
      <c r="F922" s="392"/>
      <c r="G922" s="392"/>
      <c r="H922" s="389"/>
      <c r="I922" s="389"/>
      <c r="J922" s="389"/>
      <c r="K922" s="389"/>
      <c r="L922" s="389"/>
      <c r="M922" s="389"/>
      <c r="N922" s="389"/>
      <c r="O922" s="389"/>
      <c r="P922" s="389"/>
      <c r="Q922" s="389"/>
      <c r="R922" s="389"/>
      <c r="S922" s="389"/>
      <c r="T922" s="389"/>
      <c r="U922" s="389"/>
      <c r="V922" s="389"/>
      <c r="W922" s="389"/>
      <c r="X922" s="389"/>
      <c r="Y922" s="389"/>
      <c r="Z922" s="389"/>
      <c r="AA922" s="389"/>
      <c r="AB922" s="389"/>
      <c r="AC922" s="389"/>
      <c r="AD922" s="389"/>
      <c r="AE922" s="389"/>
      <c r="AF922" s="389"/>
    </row>
    <row r="923" hidden="1">
      <c r="A923" s="389"/>
      <c r="B923" s="389"/>
      <c r="C923" s="389"/>
      <c r="D923" s="389"/>
      <c r="E923" s="389"/>
      <c r="F923" s="392"/>
      <c r="G923" s="392"/>
      <c r="H923" s="389"/>
      <c r="I923" s="389"/>
      <c r="J923" s="389"/>
      <c r="K923" s="389"/>
      <c r="L923" s="389"/>
      <c r="M923" s="389"/>
      <c r="N923" s="389"/>
      <c r="O923" s="389"/>
      <c r="P923" s="389"/>
      <c r="Q923" s="389"/>
      <c r="R923" s="389"/>
      <c r="S923" s="389"/>
      <c r="T923" s="389"/>
      <c r="U923" s="389"/>
      <c r="V923" s="389"/>
      <c r="W923" s="389"/>
      <c r="X923" s="389"/>
      <c r="Y923" s="389"/>
      <c r="Z923" s="389"/>
      <c r="AA923" s="389"/>
      <c r="AB923" s="389"/>
      <c r="AC923" s="389"/>
      <c r="AD923" s="389"/>
      <c r="AE923" s="389"/>
      <c r="AF923" s="389"/>
    </row>
    <row r="924" hidden="1">
      <c r="A924" s="389"/>
      <c r="B924" s="389"/>
      <c r="C924" s="389"/>
      <c r="D924" s="389"/>
      <c r="E924" s="389"/>
      <c r="F924" s="392"/>
      <c r="G924" s="392"/>
      <c r="H924" s="389"/>
      <c r="I924" s="389"/>
      <c r="J924" s="389"/>
      <c r="K924" s="389"/>
      <c r="L924" s="389"/>
      <c r="M924" s="389"/>
      <c r="N924" s="389"/>
      <c r="O924" s="389"/>
      <c r="P924" s="389"/>
      <c r="Q924" s="389"/>
      <c r="R924" s="389"/>
      <c r="S924" s="389"/>
      <c r="T924" s="389"/>
      <c r="U924" s="389"/>
      <c r="V924" s="389"/>
      <c r="W924" s="389"/>
      <c r="X924" s="389"/>
      <c r="Y924" s="389"/>
      <c r="Z924" s="389"/>
      <c r="AA924" s="389"/>
      <c r="AB924" s="389"/>
      <c r="AC924" s="389"/>
      <c r="AD924" s="389"/>
      <c r="AE924" s="389"/>
      <c r="AF924" s="389"/>
    </row>
    <row r="925" hidden="1">
      <c r="A925" s="389"/>
      <c r="B925" s="389"/>
      <c r="C925" s="389"/>
      <c r="D925" s="389"/>
      <c r="E925" s="389"/>
      <c r="F925" s="392"/>
      <c r="G925" s="392"/>
      <c r="H925" s="389"/>
      <c r="I925" s="389"/>
      <c r="J925" s="389"/>
      <c r="K925" s="389"/>
      <c r="L925" s="389"/>
      <c r="M925" s="389"/>
      <c r="N925" s="389"/>
      <c r="O925" s="389"/>
      <c r="P925" s="389"/>
      <c r="Q925" s="389"/>
      <c r="R925" s="389"/>
      <c r="S925" s="389"/>
      <c r="T925" s="389"/>
      <c r="U925" s="389"/>
      <c r="V925" s="389"/>
      <c r="W925" s="389"/>
      <c r="X925" s="389"/>
      <c r="Y925" s="389"/>
      <c r="Z925" s="389"/>
      <c r="AA925" s="389"/>
      <c r="AB925" s="389"/>
      <c r="AC925" s="389"/>
      <c r="AD925" s="389"/>
      <c r="AE925" s="389"/>
      <c r="AF925" s="389"/>
    </row>
    <row r="926" hidden="1">
      <c r="A926" s="389"/>
      <c r="B926" s="389"/>
      <c r="C926" s="389"/>
      <c r="D926" s="389"/>
      <c r="E926" s="389"/>
      <c r="F926" s="392"/>
      <c r="G926" s="392"/>
      <c r="H926" s="389"/>
      <c r="I926" s="389"/>
      <c r="J926" s="389"/>
      <c r="K926" s="389"/>
      <c r="L926" s="389"/>
      <c r="M926" s="389"/>
      <c r="N926" s="389"/>
      <c r="O926" s="389"/>
      <c r="P926" s="389"/>
      <c r="Q926" s="389"/>
      <c r="R926" s="389"/>
      <c r="S926" s="389"/>
      <c r="T926" s="389"/>
      <c r="U926" s="389"/>
      <c r="V926" s="389"/>
      <c r="W926" s="389"/>
      <c r="X926" s="389"/>
      <c r="Y926" s="389"/>
      <c r="Z926" s="389"/>
      <c r="AA926" s="389"/>
      <c r="AB926" s="389"/>
      <c r="AC926" s="389"/>
      <c r="AD926" s="389"/>
      <c r="AE926" s="389"/>
      <c r="AF926" s="389"/>
    </row>
    <row r="927" hidden="1">
      <c r="A927" s="389"/>
      <c r="B927" s="389"/>
      <c r="C927" s="389"/>
      <c r="D927" s="389"/>
      <c r="E927" s="389"/>
      <c r="F927" s="392"/>
      <c r="G927" s="392"/>
      <c r="H927" s="389"/>
      <c r="I927" s="389"/>
      <c r="J927" s="389"/>
      <c r="K927" s="389"/>
      <c r="L927" s="389"/>
      <c r="M927" s="389"/>
      <c r="N927" s="389"/>
      <c r="O927" s="389"/>
      <c r="P927" s="389"/>
      <c r="Q927" s="389"/>
      <c r="R927" s="389"/>
      <c r="S927" s="389"/>
      <c r="T927" s="389"/>
      <c r="U927" s="389"/>
      <c r="V927" s="389"/>
      <c r="W927" s="389"/>
      <c r="X927" s="389"/>
      <c r="Y927" s="389"/>
      <c r="Z927" s="389"/>
      <c r="AA927" s="389"/>
      <c r="AB927" s="389"/>
      <c r="AC927" s="389"/>
      <c r="AD927" s="389"/>
      <c r="AE927" s="389"/>
      <c r="AF927" s="389"/>
    </row>
    <row r="928" hidden="1">
      <c r="A928" s="389"/>
      <c r="B928" s="389"/>
      <c r="C928" s="389"/>
      <c r="D928" s="389"/>
      <c r="E928" s="389"/>
      <c r="F928" s="392"/>
      <c r="G928" s="392"/>
      <c r="H928" s="389"/>
      <c r="I928" s="389"/>
      <c r="J928" s="389"/>
      <c r="K928" s="389"/>
      <c r="L928" s="389"/>
      <c r="M928" s="389"/>
      <c r="N928" s="389"/>
      <c r="O928" s="389"/>
      <c r="P928" s="389"/>
      <c r="Q928" s="389"/>
      <c r="R928" s="389"/>
      <c r="S928" s="389"/>
      <c r="T928" s="389"/>
      <c r="U928" s="389"/>
      <c r="V928" s="389"/>
      <c r="W928" s="389"/>
      <c r="X928" s="389"/>
      <c r="Y928" s="389"/>
      <c r="Z928" s="389"/>
      <c r="AA928" s="389"/>
      <c r="AB928" s="389"/>
      <c r="AC928" s="389"/>
      <c r="AD928" s="389"/>
      <c r="AE928" s="389"/>
      <c r="AF928" s="389"/>
    </row>
    <row r="929" hidden="1">
      <c r="A929" s="389"/>
      <c r="B929" s="389"/>
      <c r="C929" s="389"/>
      <c r="D929" s="389"/>
      <c r="E929" s="389"/>
      <c r="F929" s="392"/>
      <c r="G929" s="392"/>
      <c r="H929" s="389"/>
      <c r="I929" s="389"/>
      <c r="J929" s="389"/>
      <c r="K929" s="389"/>
      <c r="L929" s="389"/>
      <c r="M929" s="389"/>
      <c r="N929" s="389"/>
      <c r="O929" s="389"/>
      <c r="P929" s="389"/>
      <c r="Q929" s="389"/>
      <c r="R929" s="389"/>
      <c r="S929" s="389"/>
      <c r="T929" s="389"/>
      <c r="U929" s="389"/>
      <c r="V929" s="389"/>
      <c r="W929" s="389"/>
      <c r="X929" s="389"/>
      <c r="Y929" s="389"/>
      <c r="Z929" s="389"/>
      <c r="AA929" s="389"/>
      <c r="AB929" s="389"/>
      <c r="AC929" s="389"/>
      <c r="AD929" s="389"/>
      <c r="AE929" s="389"/>
      <c r="AF929" s="389"/>
    </row>
    <row r="930" hidden="1">
      <c r="A930" s="389"/>
      <c r="B930" s="389"/>
      <c r="C930" s="389"/>
      <c r="D930" s="389"/>
      <c r="E930" s="389"/>
      <c r="F930" s="392"/>
      <c r="G930" s="392"/>
      <c r="H930" s="389"/>
      <c r="I930" s="389"/>
      <c r="J930" s="389"/>
      <c r="K930" s="389"/>
      <c r="L930" s="389"/>
      <c r="M930" s="389"/>
      <c r="N930" s="389"/>
      <c r="O930" s="389"/>
      <c r="P930" s="389"/>
      <c r="Q930" s="389"/>
      <c r="R930" s="389"/>
      <c r="S930" s="389"/>
      <c r="T930" s="389"/>
      <c r="U930" s="389"/>
      <c r="V930" s="389"/>
      <c r="W930" s="389"/>
      <c r="X930" s="389"/>
      <c r="Y930" s="389"/>
      <c r="Z930" s="389"/>
      <c r="AA930" s="389"/>
      <c r="AB930" s="389"/>
      <c r="AC930" s="389"/>
      <c r="AD930" s="389"/>
      <c r="AE930" s="389"/>
      <c r="AF930" s="389"/>
    </row>
    <row r="931" hidden="1">
      <c r="A931" s="389"/>
      <c r="B931" s="389"/>
      <c r="C931" s="389"/>
      <c r="D931" s="389"/>
      <c r="E931" s="389"/>
      <c r="F931" s="392"/>
      <c r="G931" s="392"/>
      <c r="H931" s="389"/>
      <c r="I931" s="389"/>
      <c r="J931" s="389"/>
      <c r="K931" s="389"/>
      <c r="L931" s="389"/>
      <c r="M931" s="389"/>
      <c r="N931" s="389"/>
      <c r="O931" s="389"/>
      <c r="P931" s="389"/>
      <c r="Q931" s="389"/>
      <c r="R931" s="389"/>
      <c r="S931" s="389"/>
      <c r="T931" s="389"/>
      <c r="U931" s="389"/>
      <c r="V931" s="389"/>
      <c r="W931" s="389"/>
      <c r="X931" s="389"/>
      <c r="Y931" s="389"/>
      <c r="Z931" s="389"/>
      <c r="AA931" s="389"/>
      <c r="AB931" s="389"/>
      <c r="AC931" s="389"/>
      <c r="AD931" s="389"/>
      <c r="AE931" s="389"/>
      <c r="AF931" s="389"/>
    </row>
    <row r="932" hidden="1">
      <c r="A932" s="389"/>
      <c r="B932" s="389"/>
      <c r="C932" s="389"/>
      <c r="D932" s="389"/>
      <c r="E932" s="389"/>
      <c r="F932" s="392"/>
      <c r="G932" s="392"/>
      <c r="H932" s="389"/>
      <c r="I932" s="389"/>
      <c r="J932" s="389"/>
      <c r="K932" s="389"/>
      <c r="L932" s="389"/>
      <c r="M932" s="389"/>
      <c r="N932" s="389"/>
      <c r="O932" s="389"/>
      <c r="P932" s="389"/>
      <c r="Q932" s="389"/>
      <c r="R932" s="389"/>
      <c r="S932" s="389"/>
      <c r="T932" s="389"/>
      <c r="U932" s="389"/>
      <c r="V932" s="389"/>
      <c r="W932" s="389"/>
      <c r="X932" s="389"/>
      <c r="Y932" s="389"/>
      <c r="Z932" s="389"/>
      <c r="AA932" s="389"/>
      <c r="AB932" s="389"/>
      <c r="AC932" s="389"/>
      <c r="AD932" s="389"/>
      <c r="AE932" s="389"/>
      <c r="AF932" s="389"/>
    </row>
    <row r="933" hidden="1">
      <c r="A933" s="389"/>
      <c r="B933" s="389"/>
      <c r="C933" s="389"/>
      <c r="D933" s="389"/>
      <c r="E933" s="389"/>
      <c r="F933" s="392"/>
      <c r="G933" s="392"/>
      <c r="H933" s="389"/>
      <c r="I933" s="389"/>
      <c r="J933" s="389"/>
      <c r="K933" s="389"/>
      <c r="L933" s="389"/>
      <c r="M933" s="389"/>
      <c r="N933" s="389"/>
      <c r="O933" s="389"/>
      <c r="P933" s="389"/>
      <c r="Q933" s="389"/>
      <c r="R933" s="389"/>
      <c r="S933" s="389"/>
      <c r="T933" s="389"/>
      <c r="U933" s="389"/>
      <c r="V933" s="389"/>
      <c r="W933" s="389"/>
      <c r="X933" s="389"/>
      <c r="Y933" s="389"/>
      <c r="Z933" s="389"/>
      <c r="AA933" s="389"/>
      <c r="AB933" s="389"/>
      <c r="AC933" s="389"/>
      <c r="AD933" s="389"/>
      <c r="AE933" s="389"/>
      <c r="AF933" s="389"/>
    </row>
    <row r="934" hidden="1">
      <c r="A934" s="389"/>
      <c r="B934" s="389"/>
      <c r="C934" s="389"/>
      <c r="D934" s="389"/>
      <c r="E934" s="389"/>
      <c r="F934" s="392"/>
      <c r="G934" s="392"/>
      <c r="H934" s="389"/>
      <c r="I934" s="389"/>
      <c r="J934" s="389"/>
      <c r="K934" s="389"/>
      <c r="L934" s="389"/>
      <c r="M934" s="389"/>
      <c r="N934" s="389"/>
      <c r="O934" s="389"/>
      <c r="P934" s="389"/>
      <c r="Q934" s="389"/>
      <c r="R934" s="389"/>
      <c r="S934" s="389"/>
      <c r="T934" s="389"/>
      <c r="U934" s="389"/>
      <c r="V934" s="389"/>
      <c r="W934" s="389"/>
      <c r="X934" s="389"/>
      <c r="Y934" s="389"/>
      <c r="Z934" s="389"/>
      <c r="AA934" s="389"/>
      <c r="AB934" s="389"/>
      <c r="AC934" s="389"/>
      <c r="AD934" s="389"/>
      <c r="AE934" s="389"/>
      <c r="AF934" s="389"/>
    </row>
    <row r="935" hidden="1">
      <c r="A935" s="389"/>
      <c r="B935" s="389"/>
      <c r="C935" s="389"/>
      <c r="D935" s="389"/>
      <c r="E935" s="389"/>
      <c r="F935" s="392"/>
      <c r="G935" s="392"/>
      <c r="H935" s="389"/>
      <c r="I935" s="389"/>
      <c r="J935" s="389"/>
      <c r="K935" s="389"/>
      <c r="L935" s="389"/>
      <c r="M935" s="389"/>
      <c r="N935" s="389"/>
      <c r="O935" s="389"/>
      <c r="P935" s="389"/>
      <c r="Q935" s="389"/>
      <c r="R935" s="389"/>
      <c r="S935" s="389"/>
      <c r="T935" s="389"/>
      <c r="U935" s="389"/>
      <c r="V935" s="389"/>
      <c r="W935" s="389"/>
      <c r="X935" s="389"/>
      <c r="Y935" s="389"/>
      <c r="Z935" s="389"/>
      <c r="AA935" s="389"/>
      <c r="AB935" s="389"/>
      <c r="AC935" s="389"/>
      <c r="AD935" s="389"/>
      <c r="AE935" s="389"/>
      <c r="AF935" s="389"/>
    </row>
    <row r="936" hidden="1">
      <c r="A936" s="389"/>
      <c r="B936" s="389"/>
      <c r="C936" s="389"/>
      <c r="D936" s="389"/>
      <c r="E936" s="389"/>
      <c r="F936" s="392"/>
      <c r="G936" s="392"/>
      <c r="H936" s="389"/>
      <c r="I936" s="389"/>
      <c r="J936" s="389"/>
      <c r="K936" s="389"/>
      <c r="L936" s="389"/>
      <c r="M936" s="389"/>
      <c r="N936" s="389"/>
      <c r="O936" s="389"/>
      <c r="P936" s="389"/>
      <c r="Q936" s="389"/>
      <c r="R936" s="389"/>
      <c r="S936" s="389"/>
      <c r="T936" s="389"/>
      <c r="U936" s="389"/>
      <c r="V936" s="389"/>
      <c r="W936" s="389"/>
      <c r="X936" s="389"/>
      <c r="Y936" s="389"/>
      <c r="Z936" s="389"/>
      <c r="AA936" s="389"/>
      <c r="AB936" s="389"/>
      <c r="AC936" s="389"/>
      <c r="AD936" s="389"/>
      <c r="AE936" s="389"/>
      <c r="AF936" s="389"/>
    </row>
    <row r="937" hidden="1">
      <c r="A937" s="389"/>
      <c r="B937" s="389"/>
      <c r="C937" s="389"/>
      <c r="D937" s="389"/>
      <c r="E937" s="389"/>
      <c r="F937" s="392"/>
      <c r="G937" s="392"/>
      <c r="H937" s="389"/>
      <c r="I937" s="389"/>
      <c r="J937" s="389"/>
      <c r="K937" s="389"/>
      <c r="L937" s="389"/>
      <c r="M937" s="389"/>
      <c r="N937" s="389"/>
      <c r="O937" s="389"/>
      <c r="P937" s="389"/>
      <c r="Q937" s="389"/>
      <c r="R937" s="389"/>
      <c r="S937" s="389"/>
      <c r="T937" s="389"/>
      <c r="U937" s="389"/>
      <c r="V937" s="389"/>
      <c r="W937" s="389"/>
      <c r="X937" s="389"/>
      <c r="Y937" s="389"/>
      <c r="Z937" s="389"/>
      <c r="AA937" s="389"/>
      <c r="AB937" s="389"/>
      <c r="AC937" s="389"/>
      <c r="AD937" s="389"/>
      <c r="AE937" s="389"/>
      <c r="AF937" s="389"/>
    </row>
    <row r="938" hidden="1">
      <c r="A938" s="389"/>
      <c r="B938" s="389"/>
      <c r="C938" s="389"/>
      <c r="D938" s="389"/>
      <c r="E938" s="389"/>
      <c r="F938" s="392"/>
      <c r="G938" s="392"/>
      <c r="H938" s="389"/>
      <c r="I938" s="389"/>
      <c r="J938" s="389"/>
      <c r="K938" s="389"/>
      <c r="L938" s="389"/>
      <c r="M938" s="389"/>
      <c r="N938" s="389"/>
      <c r="O938" s="389"/>
      <c r="P938" s="389"/>
      <c r="Q938" s="389"/>
      <c r="R938" s="389"/>
      <c r="S938" s="389"/>
      <c r="T938" s="389"/>
      <c r="U938" s="389"/>
      <c r="V938" s="389"/>
      <c r="W938" s="389"/>
      <c r="X938" s="389"/>
      <c r="Y938" s="389"/>
      <c r="Z938" s="389"/>
      <c r="AA938" s="389"/>
      <c r="AB938" s="389"/>
      <c r="AC938" s="389"/>
      <c r="AD938" s="389"/>
      <c r="AE938" s="389"/>
      <c r="AF938" s="389"/>
    </row>
    <row r="939" hidden="1">
      <c r="A939" s="389"/>
      <c r="B939" s="389"/>
      <c r="C939" s="389"/>
      <c r="D939" s="389"/>
      <c r="E939" s="389"/>
      <c r="F939" s="392"/>
      <c r="G939" s="392"/>
      <c r="H939" s="389"/>
      <c r="I939" s="389"/>
      <c r="J939" s="389"/>
      <c r="K939" s="389"/>
      <c r="L939" s="389"/>
      <c r="M939" s="389"/>
      <c r="N939" s="389"/>
      <c r="O939" s="389"/>
      <c r="P939" s="389"/>
      <c r="Q939" s="389"/>
      <c r="R939" s="389"/>
      <c r="S939" s="389"/>
      <c r="T939" s="389"/>
      <c r="U939" s="389"/>
      <c r="V939" s="389"/>
      <c r="W939" s="389"/>
      <c r="X939" s="389"/>
      <c r="Y939" s="389"/>
      <c r="Z939" s="389"/>
      <c r="AA939" s="389"/>
      <c r="AB939" s="389"/>
      <c r="AC939" s="389"/>
      <c r="AD939" s="389"/>
      <c r="AE939" s="389"/>
      <c r="AF939" s="389"/>
    </row>
    <row r="940" hidden="1">
      <c r="A940" s="389"/>
      <c r="B940" s="389"/>
      <c r="C940" s="389"/>
      <c r="D940" s="389"/>
      <c r="E940" s="389"/>
      <c r="F940" s="392"/>
      <c r="G940" s="392"/>
      <c r="H940" s="389"/>
      <c r="I940" s="389"/>
      <c r="J940" s="389"/>
      <c r="K940" s="389"/>
      <c r="L940" s="389"/>
      <c r="M940" s="389"/>
      <c r="N940" s="389"/>
      <c r="O940" s="389"/>
      <c r="P940" s="389"/>
      <c r="Q940" s="389"/>
      <c r="R940" s="389"/>
      <c r="S940" s="389"/>
      <c r="T940" s="389"/>
      <c r="U940" s="389"/>
      <c r="V940" s="389"/>
      <c r="W940" s="389"/>
      <c r="X940" s="389"/>
      <c r="Y940" s="389"/>
      <c r="Z940" s="389"/>
      <c r="AA940" s="389"/>
      <c r="AB940" s="389"/>
      <c r="AC940" s="389"/>
      <c r="AD940" s="389"/>
      <c r="AE940" s="389"/>
      <c r="AF940" s="389"/>
    </row>
    <row r="941" hidden="1">
      <c r="A941" s="389"/>
      <c r="B941" s="389"/>
      <c r="C941" s="389"/>
      <c r="D941" s="389"/>
      <c r="E941" s="389"/>
      <c r="F941" s="392"/>
      <c r="G941" s="392"/>
      <c r="H941" s="389"/>
      <c r="I941" s="389"/>
      <c r="J941" s="389"/>
      <c r="K941" s="389"/>
      <c r="L941" s="389"/>
      <c r="M941" s="389"/>
      <c r="N941" s="389"/>
      <c r="O941" s="389"/>
      <c r="P941" s="389"/>
      <c r="Q941" s="389"/>
      <c r="R941" s="389"/>
      <c r="S941" s="389"/>
      <c r="T941" s="389"/>
      <c r="U941" s="389"/>
      <c r="V941" s="389"/>
      <c r="W941" s="389"/>
      <c r="X941" s="389"/>
      <c r="Y941" s="389"/>
      <c r="Z941" s="389"/>
      <c r="AA941" s="389"/>
      <c r="AB941" s="389"/>
      <c r="AC941" s="389"/>
      <c r="AD941" s="389"/>
      <c r="AE941" s="389"/>
      <c r="AF941" s="389"/>
    </row>
    <row r="942" hidden="1">
      <c r="A942" s="389"/>
      <c r="B942" s="389"/>
      <c r="C942" s="389"/>
      <c r="D942" s="389"/>
      <c r="E942" s="389"/>
      <c r="F942" s="392"/>
      <c r="G942" s="392"/>
      <c r="H942" s="389"/>
      <c r="I942" s="389"/>
      <c r="J942" s="389"/>
      <c r="K942" s="389"/>
      <c r="L942" s="389"/>
      <c r="M942" s="389"/>
      <c r="N942" s="389"/>
      <c r="O942" s="389"/>
      <c r="P942" s="389"/>
      <c r="Q942" s="389"/>
      <c r="R942" s="389"/>
      <c r="S942" s="389"/>
      <c r="T942" s="389"/>
      <c r="U942" s="389"/>
      <c r="V942" s="389"/>
      <c r="W942" s="389"/>
      <c r="X942" s="389"/>
      <c r="Y942" s="389"/>
      <c r="Z942" s="389"/>
      <c r="AA942" s="389"/>
      <c r="AB942" s="389"/>
      <c r="AC942" s="389"/>
      <c r="AD942" s="389"/>
      <c r="AE942" s="389"/>
      <c r="AF942" s="389"/>
    </row>
    <row r="943" hidden="1">
      <c r="A943" s="389"/>
      <c r="B943" s="389"/>
      <c r="C943" s="389"/>
      <c r="D943" s="389"/>
      <c r="E943" s="389"/>
      <c r="F943" s="392"/>
      <c r="G943" s="392"/>
      <c r="H943" s="389"/>
      <c r="I943" s="389"/>
      <c r="J943" s="389"/>
      <c r="K943" s="389"/>
      <c r="L943" s="389"/>
      <c r="M943" s="389"/>
      <c r="N943" s="389"/>
      <c r="O943" s="389"/>
      <c r="P943" s="389"/>
      <c r="Q943" s="389"/>
      <c r="R943" s="389"/>
      <c r="S943" s="389"/>
      <c r="T943" s="389"/>
      <c r="U943" s="389"/>
      <c r="V943" s="389"/>
      <c r="W943" s="389"/>
      <c r="X943" s="389"/>
      <c r="Y943" s="389"/>
      <c r="Z943" s="389"/>
      <c r="AA943" s="389"/>
      <c r="AB943" s="389"/>
      <c r="AC943" s="389"/>
      <c r="AD943" s="389"/>
      <c r="AE943" s="389"/>
      <c r="AF943" s="389"/>
    </row>
    <row r="944" hidden="1">
      <c r="A944" s="389"/>
      <c r="B944" s="389"/>
      <c r="C944" s="389"/>
      <c r="D944" s="389"/>
      <c r="E944" s="389"/>
      <c r="F944" s="392"/>
      <c r="G944" s="392"/>
      <c r="H944" s="389"/>
      <c r="I944" s="389"/>
      <c r="J944" s="389"/>
      <c r="K944" s="389"/>
      <c r="L944" s="389"/>
      <c r="M944" s="389"/>
      <c r="N944" s="389"/>
      <c r="O944" s="389"/>
      <c r="P944" s="389"/>
      <c r="Q944" s="389"/>
      <c r="R944" s="389"/>
      <c r="S944" s="389"/>
      <c r="T944" s="389"/>
      <c r="U944" s="389"/>
      <c r="V944" s="389"/>
      <c r="W944" s="389"/>
      <c r="X944" s="389"/>
      <c r="Y944" s="389"/>
      <c r="Z944" s="389"/>
      <c r="AA944" s="389"/>
      <c r="AB944" s="389"/>
      <c r="AC944" s="389"/>
      <c r="AD944" s="389"/>
      <c r="AE944" s="389"/>
      <c r="AF944" s="389"/>
    </row>
    <row r="945" hidden="1">
      <c r="A945" s="389"/>
      <c r="B945" s="389"/>
      <c r="C945" s="389"/>
      <c r="D945" s="389"/>
      <c r="E945" s="389"/>
      <c r="F945" s="392"/>
      <c r="G945" s="392"/>
      <c r="H945" s="389"/>
      <c r="I945" s="389"/>
      <c r="J945" s="389"/>
      <c r="K945" s="389"/>
      <c r="L945" s="389"/>
      <c r="M945" s="389"/>
      <c r="N945" s="389"/>
      <c r="O945" s="389"/>
      <c r="P945" s="389"/>
      <c r="Q945" s="389"/>
      <c r="R945" s="389"/>
      <c r="S945" s="389"/>
      <c r="T945" s="389"/>
      <c r="U945" s="389"/>
      <c r="V945" s="389"/>
      <c r="W945" s="389"/>
      <c r="X945" s="389"/>
      <c r="Y945" s="389"/>
      <c r="Z945" s="389"/>
      <c r="AA945" s="389"/>
      <c r="AB945" s="389"/>
      <c r="AC945" s="389"/>
      <c r="AD945" s="389"/>
      <c r="AE945" s="389"/>
      <c r="AF945" s="389"/>
    </row>
    <row r="946" hidden="1">
      <c r="A946" s="389"/>
      <c r="B946" s="389"/>
      <c r="C946" s="389"/>
      <c r="D946" s="389"/>
      <c r="E946" s="389"/>
      <c r="F946" s="392"/>
      <c r="G946" s="392"/>
      <c r="H946" s="389"/>
      <c r="I946" s="389"/>
      <c r="J946" s="389"/>
      <c r="K946" s="389"/>
      <c r="L946" s="389"/>
      <c r="M946" s="389"/>
      <c r="N946" s="389"/>
      <c r="O946" s="389"/>
      <c r="P946" s="389"/>
      <c r="Q946" s="389"/>
      <c r="R946" s="389"/>
      <c r="S946" s="389"/>
      <c r="T946" s="389"/>
      <c r="U946" s="389"/>
      <c r="V946" s="389"/>
      <c r="W946" s="389"/>
      <c r="X946" s="389"/>
      <c r="Y946" s="389"/>
      <c r="Z946" s="389"/>
      <c r="AA946" s="389"/>
      <c r="AB946" s="389"/>
      <c r="AC946" s="389"/>
      <c r="AD946" s="389"/>
      <c r="AE946" s="389"/>
      <c r="AF946" s="389"/>
    </row>
    <row r="947" hidden="1">
      <c r="A947" s="389"/>
      <c r="B947" s="389"/>
      <c r="C947" s="389"/>
      <c r="D947" s="389"/>
      <c r="E947" s="389"/>
      <c r="F947" s="392"/>
      <c r="G947" s="392"/>
      <c r="H947" s="389"/>
      <c r="I947" s="389"/>
      <c r="J947" s="389"/>
      <c r="K947" s="389"/>
      <c r="L947" s="389"/>
      <c r="M947" s="389"/>
      <c r="N947" s="389"/>
      <c r="O947" s="389"/>
      <c r="P947" s="389"/>
      <c r="Q947" s="389"/>
      <c r="R947" s="389"/>
      <c r="S947" s="389"/>
      <c r="T947" s="389"/>
      <c r="U947" s="389"/>
      <c r="V947" s="389"/>
      <c r="W947" s="389"/>
      <c r="X947" s="389"/>
      <c r="Y947" s="389"/>
      <c r="Z947" s="389"/>
      <c r="AA947" s="389"/>
      <c r="AB947" s="389"/>
      <c r="AC947" s="389"/>
      <c r="AD947" s="389"/>
      <c r="AE947" s="389"/>
      <c r="AF947" s="389"/>
    </row>
    <row r="948" hidden="1">
      <c r="A948" s="389"/>
      <c r="B948" s="389"/>
      <c r="C948" s="389"/>
      <c r="D948" s="389"/>
      <c r="E948" s="389"/>
      <c r="F948" s="392"/>
      <c r="G948" s="392"/>
      <c r="H948" s="389"/>
      <c r="I948" s="389"/>
      <c r="J948" s="389"/>
      <c r="K948" s="389"/>
      <c r="L948" s="389"/>
      <c r="M948" s="389"/>
      <c r="N948" s="389"/>
      <c r="O948" s="389"/>
      <c r="P948" s="389"/>
      <c r="Q948" s="389"/>
      <c r="R948" s="389"/>
      <c r="S948" s="389"/>
      <c r="T948" s="389"/>
      <c r="U948" s="389"/>
      <c r="V948" s="389"/>
      <c r="W948" s="389"/>
      <c r="X948" s="389"/>
      <c r="Y948" s="389"/>
      <c r="Z948" s="389"/>
      <c r="AA948" s="389"/>
      <c r="AB948" s="389"/>
      <c r="AC948" s="389"/>
      <c r="AD948" s="389"/>
      <c r="AE948" s="389"/>
      <c r="AF948" s="389"/>
    </row>
    <row r="949" hidden="1">
      <c r="A949" s="389"/>
      <c r="B949" s="389"/>
      <c r="C949" s="389"/>
      <c r="D949" s="389"/>
      <c r="E949" s="389"/>
      <c r="F949" s="392"/>
      <c r="G949" s="392"/>
      <c r="H949" s="389"/>
      <c r="I949" s="389"/>
      <c r="J949" s="389"/>
      <c r="K949" s="389"/>
      <c r="L949" s="389"/>
      <c r="M949" s="389"/>
      <c r="N949" s="389"/>
      <c r="O949" s="389"/>
      <c r="P949" s="389"/>
      <c r="Q949" s="389"/>
      <c r="R949" s="389"/>
      <c r="S949" s="389"/>
      <c r="T949" s="389"/>
      <c r="U949" s="389"/>
      <c r="V949" s="389"/>
      <c r="W949" s="389"/>
      <c r="X949" s="389"/>
      <c r="Y949" s="389"/>
      <c r="Z949" s="389"/>
      <c r="AA949" s="389"/>
      <c r="AB949" s="389"/>
      <c r="AC949" s="389"/>
      <c r="AD949" s="389"/>
      <c r="AE949" s="389"/>
      <c r="AF949" s="389"/>
    </row>
    <row r="950" hidden="1">
      <c r="A950" s="389"/>
      <c r="B950" s="389"/>
      <c r="C950" s="389"/>
      <c r="D950" s="389"/>
      <c r="E950" s="389"/>
      <c r="F950" s="392"/>
      <c r="G950" s="392"/>
      <c r="H950" s="389"/>
      <c r="I950" s="389"/>
      <c r="J950" s="389"/>
      <c r="K950" s="389"/>
      <c r="L950" s="389"/>
      <c r="M950" s="389"/>
      <c r="N950" s="389"/>
      <c r="O950" s="389"/>
      <c r="P950" s="389"/>
      <c r="Q950" s="389"/>
      <c r="R950" s="389"/>
      <c r="S950" s="389"/>
      <c r="T950" s="389"/>
      <c r="U950" s="389"/>
      <c r="V950" s="389"/>
      <c r="W950" s="389"/>
      <c r="X950" s="389"/>
      <c r="Y950" s="389"/>
      <c r="Z950" s="389"/>
      <c r="AA950" s="389"/>
      <c r="AB950" s="389"/>
      <c r="AC950" s="389"/>
      <c r="AD950" s="389"/>
      <c r="AE950" s="389"/>
      <c r="AF950" s="389"/>
    </row>
    <row r="951" hidden="1">
      <c r="A951" s="389"/>
      <c r="B951" s="389"/>
      <c r="C951" s="389"/>
      <c r="D951" s="389"/>
      <c r="E951" s="389"/>
      <c r="F951" s="392"/>
      <c r="G951" s="392"/>
      <c r="H951" s="389"/>
      <c r="I951" s="389"/>
      <c r="J951" s="389"/>
      <c r="K951" s="389"/>
      <c r="L951" s="389"/>
      <c r="M951" s="389"/>
      <c r="N951" s="389"/>
      <c r="O951" s="389"/>
      <c r="P951" s="389"/>
      <c r="Q951" s="389"/>
      <c r="R951" s="389"/>
      <c r="S951" s="389"/>
      <c r="T951" s="389"/>
      <c r="U951" s="389"/>
      <c r="V951" s="389"/>
      <c r="W951" s="389"/>
      <c r="X951" s="389"/>
      <c r="Y951" s="389"/>
      <c r="Z951" s="389"/>
      <c r="AA951" s="389"/>
      <c r="AB951" s="389"/>
      <c r="AC951" s="389"/>
      <c r="AD951" s="389"/>
      <c r="AE951" s="389"/>
      <c r="AF951" s="389"/>
    </row>
    <row r="952" hidden="1">
      <c r="A952" s="389"/>
      <c r="B952" s="389"/>
      <c r="C952" s="389"/>
      <c r="D952" s="389"/>
      <c r="E952" s="389"/>
      <c r="F952" s="392"/>
      <c r="G952" s="392"/>
      <c r="H952" s="389"/>
      <c r="I952" s="389"/>
      <c r="J952" s="389"/>
      <c r="K952" s="389"/>
      <c r="L952" s="389"/>
      <c r="M952" s="389"/>
      <c r="N952" s="389"/>
      <c r="O952" s="389"/>
      <c r="P952" s="389"/>
      <c r="Q952" s="389"/>
      <c r="R952" s="389"/>
      <c r="S952" s="389"/>
      <c r="T952" s="389"/>
      <c r="U952" s="389"/>
      <c r="V952" s="389"/>
      <c r="W952" s="389"/>
      <c r="X952" s="389"/>
      <c r="Y952" s="389"/>
      <c r="Z952" s="389"/>
      <c r="AA952" s="389"/>
      <c r="AB952" s="389"/>
      <c r="AC952" s="389"/>
      <c r="AD952" s="389"/>
      <c r="AE952" s="389"/>
      <c r="AF952" s="389"/>
    </row>
    <row r="953" hidden="1">
      <c r="A953" s="389"/>
      <c r="B953" s="389"/>
      <c r="C953" s="389"/>
      <c r="D953" s="389"/>
      <c r="E953" s="389"/>
      <c r="F953" s="392"/>
      <c r="G953" s="392"/>
      <c r="H953" s="389"/>
      <c r="I953" s="389"/>
      <c r="J953" s="389"/>
      <c r="K953" s="389"/>
      <c r="L953" s="389"/>
      <c r="M953" s="389"/>
      <c r="N953" s="389"/>
      <c r="O953" s="389"/>
      <c r="P953" s="389"/>
      <c r="Q953" s="389"/>
      <c r="R953" s="389"/>
      <c r="S953" s="389"/>
      <c r="T953" s="389"/>
      <c r="U953" s="389"/>
      <c r="V953" s="389"/>
      <c r="W953" s="389"/>
      <c r="X953" s="389"/>
      <c r="Y953" s="389"/>
      <c r="Z953" s="389"/>
      <c r="AA953" s="389"/>
      <c r="AB953" s="389"/>
      <c r="AC953" s="389"/>
      <c r="AD953" s="389"/>
      <c r="AE953" s="389"/>
      <c r="AF953" s="389"/>
    </row>
    <row r="954" hidden="1">
      <c r="A954" s="389"/>
      <c r="B954" s="389"/>
      <c r="C954" s="389"/>
      <c r="D954" s="389"/>
      <c r="E954" s="389"/>
      <c r="F954" s="392"/>
      <c r="G954" s="392"/>
      <c r="H954" s="389"/>
      <c r="I954" s="389"/>
      <c r="J954" s="389"/>
      <c r="K954" s="389"/>
      <c r="L954" s="389"/>
      <c r="M954" s="389"/>
      <c r="N954" s="389"/>
      <c r="O954" s="389"/>
      <c r="P954" s="389"/>
      <c r="Q954" s="389"/>
      <c r="R954" s="389"/>
      <c r="S954" s="389"/>
      <c r="T954" s="389"/>
      <c r="U954" s="389"/>
      <c r="V954" s="389"/>
      <c r="W954" s="389"/>
      <c r="X954" s="389"/>
      <c r="Y954" s="389"/>
      <c r="Z954" s="389"/>
      <c r="AA954" s="389"/>
      <c r="AB954" s="389"/>
      <c r="AC954" s="389"/>
      <c r="AD954" s="389"/>
      <c r="AE954" s="389"/>
      <c r="AF954" s="389"/>
    </row>
    <row r="955" hidden="1">
      <c r="A955" s="389"/>
      <c r="B955" s="389"/>
      <c r="C955" s="389"/>
      <c r="D955" s="389"/>
      <c r="E955" s="389"/>
      <c r="F955" s="392"/>
      <c r="G955" s="392"/>
      <c r="H955" s="389"/>
      <c r="I955" s="389"/>
      <c r="J955" s="389"/>
      <c r="K955" s="389"/>
      <c r="L955" s="389"/>
      <c r="M955" s="389"/>
      <c r="N955" s="389"/>
      <c r="O955" s="389"/>
      <c r="P955" s="389"/>
      <c r="Q955" s="389"/>
      <c r="R955" s="389"/>
      <c r="S955" s="389"/>
      <c r="T955" s="389"/>
      <c r="U955" s="389"/>
      <c r="V955" s="389"/>
      <c r="W955" s="389"/>
      <c r="X955" s="389"/>
      <c r="Y955" s="389"/>
      <c r="Z955" s="389"/>
      <c r="AA955" s="389"/>
      <c r="AB955" s="389"/>
      <c r="AC955" s="389"/>
      <c r="AD955" s="389"/>
      <c r="AE955" s="389"/>
      <c r="AF955" s="389"/>
    </row>
    <row r="956" hidden="1">
      <c r="A956" s="389"/>
      <c r="B956" s="389"/>
      <c r="C956" s="389"/>
      <c r="D956" s="389"/>
      <c r="E956" s="389"/>
      <c r="F956" s="392"/>
      <c r="G956" s="392"/>
      <c r="H956" s="389"/>
      <c r="I956" s="389"/>
      <c r="J956" s="389"/>
      <c r="K956" s="389"/>
      <c r="L956" s="389"/>
      <c r="M956" s="389"/>
      <c r="N956" s="389"/>
      <c r="O956" s="389"/>
      <c r="P956" s="389"/>
      <c r="Q956" s="389"/>
      <c r="R956" s="389"/>
      <c r="S956" s="389"/>
      <c r="T956" s="389"/>
      <c r="U956" s="389"/>
      <c r="V956" s="389"/>
      <c r="W956" s="389"/>
      <c r="X956" s="389"/>
      <c r="Y956" s="389"/>
      <c r="Z956" s="389"/>
      <c r="AA956" s="389"/>
      <c r="AB956" s="389"/>
      <c r="AC956" s="389"/>
      <c r="AD956" s="389"/>
      <c r="AE956" s="389"/>
      <c r="AF956" s="389"/>
    </row>
    <row r="957" hidden="1">
      <c r="A957" s="389"/>
      <c r="B957" s="389"/>
      <c r="C957" s="389"/>
      <c r="D957" s="389"/>
      <c r="E957" s="389"/>
      <c r="F957" s="392"/>
      <c r="G957" s="392"/>
      <c r="H957" s="389"/>
      <c r="I957" s="389"/>
      <c r="J957" s="389"/>
      <c r="K957" s="389"/>
      <c r="L957" s="389"/>
      <c r="M957" s="389"/>
      <c r="N957" s="389"/>
      <c r="O957" s="389"/>
      <c r="P957" s="389"/>
      <c r="Q957" s="389"/>
      <c r="R957" s="389"/>
      <c r="S957" s="389"/>
      <c r="T957" s="389"/>
      <c r="U957" s="389"/>
      <c r="V957" s="389"/>
      <c r="W957" s="389"/>
      <c r="X957" s="389"/>
      <c r="Y957" s="389"/>
      <c r="Z957" s="389"/>
      <c r="AA957" s="389"/>
      <c r="AB957" s="389"/>
      <c r="AC957" s="389"/>
      <c r="AD957" s="389"/>
      <c r="AE957" s="389"/>
      <c r="AF957" s="389"/>
    </row>
    <row r="958" hidden="1">
      <c r="A958" s="389"/>
      <c r="B958" s="389"/>
      <c r="C958" s="389"/>
      <c r="D958" s="389"/>
      <c r="E958" s="389"/>
      <c r="F958" s="392"/>
      <c r="G958" s="392"/>
      <c r="H958" s="389"/>
      <c r="I958" s="389"/>
      <c r="J958" s="389"/>
      <c r="K958" s="389"/>
      <c r="L958" s="389"/>
      <c r="M958" s="389"/>
      <c r="N958" s="389"/>
      <c r="O958" s="389"/>
      <c r="P958" s="389"/>
      <c r="Q958" s="389"/>
      <c r="R958" s="389"/>
      <c r="S958" s="389"/>
      <c r="T958" s="389"/>
      <c r="U958" s="389"/>
      <c r="V958" s="389"/>
      <c r="W958" s="389"/>
      <c r="X958" s="389"/>
      <c r="Y958" s="389"/>
      <c r="Z958" s="389"/>
      <c r="AA958" s="389"/>
      <c r="AB958" s="389"/>
      <c r="AC958" s="389"/>
      <c r="AD958" s="389"/>
      <c r="AE958" s="389"/>
      <c r="AF958" s="389"/>
    </row>
    <row r="959" hidden="1">
      <c r="A959" s="389"/>
      <c r="B959" s="389"/>
      <c r="C959" s="389"/>
      <c r="D959" s="389"/>
      <c r="E959" s="389"/>
      <c r="F959" s="392"/>
      <c r="G959" s="392"/>
      <c r="H959" s="389"/>
      <c r="I959" s="389"/>
      <c r="J959" s="389"/>
      <c r="K959" s="389"/>
      <c r="L959" s="389"/>
      <c r="M959" s="389"/>
      <c r="N959" s="389"/>
      <c r="O959" s="389"/>
      <c r="P959" s="389"/>
      <c r="Q959" s="389"/>
      <c r="R959" s="389"/>
      <c r="S959" s="389"/>
      <c r="T959" s="389"/>
      <c r="U959" s="389"/>
      <c r="V959" s="389"/>
      <c r="W959" s="389"/>
      <c r="X959" s="389"/>
      <c r="Y959" s="389"/>
      <c r="Z959" s="389"/>
      <c r="AA959" s="389"/>
      <c r="AB959" s="389"/>
      <c r="AC959" s="389"/>
      <c r="AD959" s="389"/>
      <c r="AE959" s="389"/>
      <c r="AF959" s="389"/>
    </row>
    <row r="960" hidden="1">
      <c r="A960" s="389"/>
      <c r="B960" s="389"/>
      <c r="C960" s="389"/>
      <c r="D960" s="389"/>
      <c r="E960" s="389"/>
      <c r="F960" s="392"/>
      <c r="G960" s="392"/>
      <c r="H960" s="389"/>
      <c r="I960" s="389"/>
      <c r="J960" s="389"/>
      <c r="K960" s="389"/>
      <c r="L960" s="389"/>
      <c r="M960" s="389"/>
      <c r="N960" s="389"/>
      <c r="O960" s="389"/>
      <c r="P960" s="389"/>
      <c r="Q960" s="389"/>
      <c r="R960" s="389"/>
      <c r="S960" s="389"/>
      <c r="T960" s="389"/>
      <c r="U960" s="389"/>
      <c r="V960" s="389"/>
      <c r="W960" s="389"/>
      <c r="X960" s="389"/>
      <c r="Y960" s="389"/>
      <c r="Z960" s="389"/>
      <c r="AA960" s="389"/>
      <c r="AB960" s="389"/>
      <c r="AC960" s="389"/>
      <c r="AD960" s="389"/>
      <c r="AE960" s="389"/>
      <c r="AF960" s="389"/>
    </row>
    <row r="961" hidden="1">
      <c r="A961" s="389"/>
      <c r="B961" s="389"/>
      <c r="C961" s="389"/>
      <c r="D961" s="389"/>
      <c r="E961" s="389"/>
      <c r="F961" s="392"/>
      <c r="G961" s="392"/>
      <c r="H961" s="389"/>
      <c r="I961" s="389"/>
      <c r="J961" s="389"/>
      <c r="K961" s="389"/>
      <c r="L961" s="389"/>
      <c r="M961" s="389"/>
      <c r="N961" s="389"/>
      <c r="O961" s="389"/>
      <c r="P961" s="389"/>
      <c r="Q961" s="389"/>
      <c r="R961" s="389"/>
      <c r="S961" s="389"/>
      <c r="T961" s="389"/>
      <c r="U961" s="389"/>
      <c r="V961" s="389"/>
      <c r="W961" s="389"/>
      <c r="X961" s="389"/>
      <c r="Y961" s="389"/>
      <c r="Z961" s="389"/>
      <c r="AA961" s="389"/>
      <c r="AB961" s="389"/>
      <c r="AC961" s="389"/>
      <c r="AD961" s="389"/>
      <c r="AE961" s="389"/>
      <c r="AF961" s="389"/>
    </row>
    <row r="962" hidden="1">
      <c r="A962" s="389"/>
      <c r="B962" s="389"/>
      <c r="C962" s="389"/>
      <c r="D962" s="389"/>
      <c r="E962" s="389"/>
      <c r="F962" s="392"/>
      <c r="G962" s="392"/>
      <c r="H962" s="389"/>
      <c r="I962" s="389"/>
      <c r="J962" s="389"/>
      <c r="K962" s="389"/>
      <c r="L962" s="389"/>
      <c r="M962" s="389"/>
      <c r="N962" s="389"/>
      <c r="O962" s="389"/>
      <c r="P962" s="389"/>
      <c r="Q962" s="389"/>
      <c r="R962" s="389"/>
      <c r="S962" s="389"/>
      <c r="T962" s="389"/>
      <c r="U962" s="389"/>
      <c r="V962" s="389"/>
      <c r="W962" s="389"/>
      <c r="X962" s="389"/>
      <c r="Y962" s="389"/>
      <c r="Z962" s="389"/>
      <c r="AA962" s="389"/>
      <c r="AB962" s="389"/>
      <c r="AC962" s="389"/>
      <c r="AD962" s="389"/>
      <c r="AE962" s="389"/>
      <c r="AF962" s="389"/>
    </row>
    <row r="963" hidden="1">
      <c r="A963" s="389"/>
      <c r="B963" s="389"/>
      <c r="C963" s="389"/>
      <c r="D963" s="389"/>
      <c r="E963" s="389"/>
      <c r="F963" s="392"/>
      <c r="G963" s="392"/>
      <c r="H963" s="389"/>
      <c r="I963" s="389"/>
      <c r="J963" s="389"/>
      <c r="K963" s="389"/>
      <c r="L963" s="389"/>
      <c r="M963" s="389"/>
      <c r="N963" s="389"/>
      <c r="O963" s="389"/>
      <c r="P963" s="389"/>
      <c r="Q963" s="389"/>
      <c r="R963" s="389"/>
      <c r="S963" s="389"/>
      <c r="T963" s="389"/>
      <c r="U963" s="389"/>
      <c r="V963" s="389"/>
      <c r="W963" s="389"/>
      <c r="X963" s="389"/>
      <c r="Y963" s="389"/>
      <c r="Z963" s="389"/>
      <c r="AA963" s="389"/>
      <c r="AB963" s="389"/>
      <c r="AC963" s="389"/>
      <c r="AD963" s="389"/>
      <c r="AE963" s="389"/>
      <c r="AF963" s="389"/>
    </row>
    <row r="964" hidden="1">
      <c r="A964" s="389"/>
      <c r="B964" s="389"/>
      <c r="C964" s="389"/>
      <c r="D964" s="389"/>
      <c r="E964" s="389"/>
      <c r="F964" s="392"/>
      <c r="G964" s="392"/>
      <c r="H964" s="389"/>
      <c r="I964" s="389"/>
      <c r="J964" s="389"/>
      <c r="K964" s="389"/>
      <c r="L964" s="389"/>
      <c r="M964" s="389"/>
      <c r="N964" s="389"/>
      <c r="O964" s="389"/>
      <c r="P964" s="389"/>
      <c r="Q964" s="389"/>
      <c r="R964" s="389"/>
      <c r="S964" s="389"/>
      <c r="T964" s="389"/>
      <c r="U964" s="389"/>
      <c r="V964" s="389"/>
      <c r="W964" s="389"/>
      <c r="X964" s="389"/>
      <c r="Y964" s="389"/>
      <c r="Z964" s="389"/>
      <c r="AA964" s="389"/>
      <c r="AB964" s="389"/>
      <c r="AC964" s="389"/>
      <c r="AD964" s="389"/>
      <c r="AE964" s="389"/>
      <c r="AF964" s="389"/>
    </row>
    <row r="965" hidden="1">
      <c r="A965" s="389"/>
      <c r="B965" s="389"/>
      <c r="C965" s="389"/>
      <c r="D965" s="389"/>
      <c r="E965" s="389"/>
      <c r="F965" s="392"/>
      <c r="G965" s="392"/>
      <c r="H965" s="389"/>
      <c r="I965" s="389"/>
      <c r="J965" s="389"/>
      <c r="K965" s="389"/>
      <c r="L965" s="389"/>
      <c r="M965" s="389"/>
      <c r="N965" s="389"/>
      <c r="O965" s="389"/>
      <c r="P965" s="389"/>
      <c r="Q965" s="389"/>
      <c r="R965" s="389"/>
      <c r="S965" s="389"/>
      <c r="T965" s="389"/>
      <c r="U965" s="389"/>
      <c r="V965" s="389"/>
      <c r="W965" s="389"/>
      <c r="X965" s="389"/>
      <c r="Y965" s="389"/>
      <c r="Z965" s="389"/>
      <c r="AA965" s="389"/>
      <c r="AB965" s="389"/>
      <c r="AC965" s="389"/>
      <c r="AD965" s="389"/>
      <c r="AE965" s="389"/>
      <c r="AF965" s="389"/>
    </row>
    <row r="966" hidden="1">
      <c r="A966" s="389"/>
      <c r="B966" s="389"/>
      <c r="C966" s="389"/>
      <c r="D966" s="389"/>
      <c r="E966" s="389"/>
      <c r="F966" s="392"/>
      <c r="G966" s="392"/>
      <c r="H966" s="389"/>
      <c r="I966" s="389"/>
      <c r="J966" s="389"/>
      <c r="K966" s="389"/>
      <c r="L966" s="389"/>
      <c r="M966" s="389"/>
      <c r="N966" s="389"/>
      <c r="O966" s="389"/>
      <c r="P966" s="389"/>
      <c r="Q966" s="389"/>
      <c r="R966" s="389"/>
      <c r="S966" s="389"/>
      <c r="T966" s="389"/>
      <c r="U966" s="389"/>
      <c r="V966" s="389"/>
      <c r="W966" s="389"/>
      <c r="X966" s="389"/>
      <c r="Y966" s="389"/>
      <c r="Z966" s="389"/>
      <c r="AA966" s="389"/>
      <c r="AB966" s="389"/>
      <c r="AC966" s="389"/>
      <c r="AD966" s="389"/>
      <c r="AE966" s="389"/>
      <c r="AF966" s="389"/>
    </row>
    <row r="967" hidden="1">
      <c r="A967" s="389"/>
      <c r="B967" s="389"/>
      <c r="C967" s="389"/>
      <c r="D967" s="389"/>
      <c r="E967" s="389"/>
      <c r="F967" s="392"/>
      <c r="G967" s="392"/>
      <c r="H967" s="389"/>
      <c r="I967" s="389"/>
      <c r="J967" s="389"/>
      <c r="K967" s="389"/>
      <c r="L967" s="389"/>
      <c r="M967" s="389"/>
      <c r="N967" s="389"/>
      <c r="O967" s="389"/>
      <c r="P967" s="389"/>
      <c r="Q967" s="389"/>
      <c r="R967" s="389"/>
      <c r="S967" s="389"/>
      <c r="T967" s="389"/>
      <c r="U967" s="389"/>
      <c r="V967" s="389"/>
      <c r="W967" s="389"/>
      <c r="X967" s="389"/>
      <c r="Y967" s="389"/>
      <c r="Z967" s="389"/>
      <c r="AA967" s="389"/>
      <c r="AB967" s="389"/>
      <c r="AC967" s="389"/>
      <c r="AD967" s="389"/>
      <c r="AE967" s="389"/>
      <c r="AF967" s="389"/>
    </row>
    <row r="968" hidden="1">
      <c r="A968" s="389"/>
      <c r="B968" s="389"/>
      <c r="C968" s="389"/>
      <c r="D968" s="389"/>
      <c r="E968" s="389"/>
      <c r="F968" s="392"/>
      <c r="G968" s="392"/>
      <c r="H968" s="389"/>
      <c r="I968" s="389"/>
      <c r="J968" s="389"/>
      <c r="K968" s="389"/>
      <c r="L968" s="389"/>
      <c r="M968" s="389"/>
      <c r="N968" s="389"/>
      <c r="O968" s="389"/>
      <c r="P968" s="389"/>
      <c r="Q968" s="389"/>
      <c r="R968" s="389"/>
      <c r="S968" s="389"/>
      <c r="T968" s="389"/>
      <c r="U968" s="389"/>
      <c r="V968" s="389"/>
      <c r="W968" s="389"/>
      <c r="X968" s="389"/>
      <c r="Y968" s="389"/>
      <c r="Z968" s="389"/>
      <c r="AA968" s="389"/>
      <c r="AB968" s="389"/>
      <c r="AC968" s="389"/>
      <c r="AD968" s="389"/>
      <c r="AE968" s="389"/>
      <c r="AF968" s="389"/>
    </row>
    <row r="969" hidden="1">
      <c r="A969" s="389"/>
      <c r="B969" s="389"/>
      <c r="C969" s="389"/>
      <c r="D969" s="389"/>
      <c r="E969" s="389"/>
      <c r="F969" s="392"/>
      <c r="G969" s="392"/>
      <c r="H969" s="389"/>
      <c r="I969" s="389"/>
      <c r="J969" s="389"/>
      <c r="K969" s="389"/>
      <c r="L969" s="389"/>
      <c r="M969" s="389"/>
      <c r="N969" s="389"/>
      <c r="O969" s="389"/>
      <c r="P969" s="389"/>
      <c r="Q969" s="389"/>
      <c r="R969" s="389"/>
      <c r="S969" s="389"/>
      <c r="T969" s="389"/>
      <c r="U969" s="389"/>
      <c r="V969" s="389"/>
      <c r="W969" s="389"/>
      <c r="X969" s="389"/>
      <c r="Y969" s="389"/>
      <c r="Z969" s="389"/>
      <c r="AA969" s="389"/>
      <c r="AB969" s="389"/>
      <c r="AC969" s="389"/>
      <c r="AD969" s="389"/>
      <c r="AE969" s="389"/>
      <c r="AF969" s="389"/>
    </row>
    <row r="970" hidden="1">
      <c r="A970" s="389"/>
      <c r="B970" s="389"/>
      <c r="C970" s="389"/>
      <c r="D970" s="389"/>
      <c r="E970" s="389"/>
      <c r="F970" s="392"/>
      <c r="G970" s="392"/>
      <c r="H970" s="389"/>
      <c r="I970" s="389"/>
      <c r="J970" s="389"/>
      <c r="K970" s="389"/>
      <c r="L970" s="389"/>
      <c r="M970" s="389"/>
      <c r="N970" s="389"/>
      <c r="O970" s="389"/>
      <c r="P970" s="389"/>
      <c r="Q970" s="389"/>
      <c r="R970" s="389"/>
      <c r="S970" s="389"/>
      <c r="T970" s="389"/>
      <c r="U970" s="389"/>
      <c r="V970" s="389"/>
      <c r="W970" s="389"/>
      <c r="X970" s="389"/>
      <c r="Y970" s="389"/>
      <c r="Z970" s="389"/>
      <c r="AA970" s="389"/>
      <c r="AB970" s="389"/>
      <c r="AC970" s="389"/>
      <c r="AD970" s="389"/>
      <c r="AE970" s="389"/>
      <c r="AF970" s="389"/>
    </row>
    <row r="971" hidden="1">
      <c r="A971" s="389"/>
      <c r="B971" s="389"/>
      <c r="C971" s="389"/>
      <c r="D971" s="389"/>
      <c r="E971" s="389"/>
      <c r="F971" s="392"/>
      <c r="G971" s="392"/>
      <c r="H971" s="389"/>
      <c r="I971" s="389"/>
      <c r="J971" s="389"/>
      <c r="K971" s="389"/>
      <c r="L971" s="389"/>
      <c r="M971" s="389"/>
      <c r="N971" s="389"/>
      <c r="O971" s="389"/>
      <c r="P971" s="389"/>
      <c r="Q971" s="389"/>
      <c r="R971" s="389"/>
      <c r="S971" s="389"/>
      <c r="T971" s="389"/>
      <c r="U971" s="389"/>
      <c r="V971" s="389"/>
      <c r="W971" s="389"/>
      <c r="X971" s="389"/>
      <c r="Y971" s="389"/>
      <c r="Z971" s="389"/>
      <c r="AA971" s="389"/>
      <c r="AB971" s="389"/>
      <c r="AC971" s="389"/>
      <c r="AD971" s="389"/>
      <c r="AE971" s="389"/>
      <c r="AF971" s="389"/>
    </row>
    <row r="972" hidden="1">
      <c r="A972" s="389"/>
      <c r="B972" s="389"/>
      <c r="C972" s="389"/>
      <c r="D972" s="389"/>
      <c r="E972" s="389"/>
      <c r="F972" s="392"/>
      <c r="G972" s="392"/>
      <c r="H972" s="389"/>
      <c r="I972" s="389"/>
      <c r="J972" s="389"/>
      <c r="K972" s="389"/>
      <c r="L972" s="389"/>
      <c r="M972" s="389"/>
      <c r="N972" s="389"/>
      <c r="O972" s="389"/>
      <c r="P972" s="389"/>
      <c r="Q972" s="389"/>
      <c r="R972" s="389"/>
      <c r="S972" s="389"/>
      <c r="T972" s="389"/>
      <c r="U972" s="389"/>
      <c r="V972" s="389"/>
      <c r="W972" s="389"/>
      <c r="X972" s="389"/>
      <c r="Y972" s="389"/>
      <c r="Z972" s="389"/>
      <c r="AA972" s="389"/>
      <c r="AB972" s="389"/>
      <c r="AC972" s="389"/>
      <c r="AD972" s="389"/>
      <c r="AE972" s="389"/>
      <c r="AF972" s="389"/>
    </row>
    <row r="973" hidden="1">
      <c r="A973" s="389"/>
      <c r="B973" s="389"/>
      <c r="C973" s="389"/>
      <c r="D973" s="389"/>
      <c r="E973" s="389"/>
      <c r="F973" s="392"/>
      <c r="G973" s="392"/>
      <c r="H973" s="389"/>
      <c r="I973" s="389"/>
      <c r="J973" s="389"/>
      <c r="K973" s="389"/>
      <c r="L973" s="389"/>
      <c r="M973" s="389"/>
      <c r="N973" s="389"/>
      <c r="O973" s="389"/>
      <c r="P973" s="389"/>
      <c r="Q973" s="389"/>
      <c r="R973" s="389"/>
      <c r="S973" s="389"/>
      <c r="T973" s="389"/>
      <c r="U973" s="389"/>
      <c r="V973" s="389"/>
      <c r="W973" s="389"/>
      <c r="X973" s="389"/>
      <c r="Y973" s="389"/>
      <c r="Z973" s="389"/>
      <c r="AA973" s="389"/>
      <c r="AB973" s="389"/>
      <c r="AC973" s="389"/>
      <c r="AD973" s="389"/>
      <c r="AE973" s="389"/>
      <c r="AF973" s="389"/>
    </row>
    <row r="974" hidden="1">
      <c r="A974" s="389"/>
      <c r="B974" s="389"/>
      <c r="C974" s="389"/>
      <c r="D974" s="389"/>
      <c r="E974" s="389"/>
      <c r="F974" s="392"/>
      <c r="G974" s="392"/>
      <c r="H974" s="389"/>
      <c r="I974" s="389"/>
      <c r="J974" s="389"/>
      <c r="K974" s="389"/>
      <c r="L974" s="389"/>
      <c r="M974" s="389"/>
      <c r="N974" s="389"/>
      <c r="O974" s="389"/>
      <c r="P974" s="389"/>
      <c r="Q974" s="389"/>
      <c r="R974" s="389"/>
      <c r="S974" s="389"/>
      <c r="T974" s="389"/>
      <c r="U974" s="389"/>
      <c r="V974" s="389"/>
      <c r="W974" s="389"/>
      <c r="X974" s="389"/>
      <c r="Y974" s="389"/>
      <c r="Z974" s="389"/>
      <c r="AA974" s="389"/>
      <c r="AB974" s="389"/>
      <c r="AC974" s="389"/>
      <c r="AD974" s="389"/>
      <c r="AE974" s="389"/>
      <c r="AF974" s="389"/>
    </row>
    <row r="975" hidden="1">
      <c r="A975" s="389"/>
      <c r="B975" s="389"/>
      <c r="C975" s="389"/>
      <c r="D975" s="389"/>
      <c r="E975" s="389"/>
      <c r="F975" s="392"/>
      <c r="G975" s="392"/>
      <c r="H975" s="389"/>
      <c r="I975" s="389"/>
      <c r="J975" s="389"/>
      <c r="K975" s="389"/>
      <c r="L975" s="389"/>
      <c r="M975" s="389"/>
      <c r="N975" s="389"/>
      <c r="O975" s="389"/>
      <c r="P975" s="389"/>
      <c r="Q975" s="389"/>
      <c r="R975" s="389"/>
      <c r="S975" s="389"/>
      <c r="T975" s="389"/>
      <c r="U975" s="389"/>
      <c r="V975" s="389"/>
      <c r="W975" s="389"/>
      <c r="X975" s="389"/>
      <c r="Y975" s="389"/>
      <c r="Z975" s="389"/>
      <c r="AA975" s="389"/>
      <c r="AB975" s="389"/>
      <c r="AC975" s="389"/>
      <c r="AD975" s="389"/>
      <c r="AE975" s="389"/>
      <c r="AF975" s="389"/>
    </row>
    <row r="976" hidden="1">
      <c r="A976" s="389"/>
      <c r="B976" s="389"/>
      <c r="C976" s="389"/>
      <c r="D976" s="389"/>
      <c r="E976" s="389"/>
      <c r="F976" s="392"/>
      <c r="G976" s="392"/>
      <c r="H976" s="389"/>
      <c r="I976" s="389"/>
      <c r="J976" s="389"/>
      <c r="K976" s="389"/>
      <c r="L976" s="389"/>
      <c r="M976" s="389"/>
      <c r="N976" s="389"/>
      <c r="O976" s="389"/>
      <c r="P976" s="389"/>
      <c r="Q976" s="389"/>
      <c r="R976" s="389"/>
      <c r="S976" s="389"/>
      <c r="T976" s="389"/>
      <c r="U976" s="389"/>
      <c r="V976" s="389"/>
      <c r="W976" s="389"/>
      <c r="X976" s="389"/>
      <c r="Y976" s="389"/>
      <c r="Z976" s="389"/>
      <c r="AA976" s="389"/>
      <c r="AB976" s="389"/>
      <c r="AC976" s="389"/>
      <c r="AD976" s="389"/>
      <c r="AE976" s="389"/>
      <c r="AF976" s="389"/>
    </row>
    <row r="977" hidden="1">
      <c r="A977" s="389"/>
      <c r="B977" s="389"/>
      <c r="C977" s="389"/>
      <c r="D977" s="389"/>
      <c r="E977" s="389"/>
      <c r="F977" s="392"/>
      <c r="G977" s="392"/>
      <c r="H977" s="389"/>
      <c r="I977" s="389"/>
      <c r="J977" s="389"/>
      <c r="K977" s="389"/>
      <c r="L977" s="389"/>
      <c r="M977" s="389"/>
      <c r="N977" s="389"/>
      <c r="O977" s="389"/>
      <c r="P977" s="389"/>
      <c r="Q977" s="389"/>
      <c r="R977" s="389"/>
      <c r="S977" s="389"/>
      <c r="T977" s="389"/>
      <c r="U977" s="389"/>
      <c r="V977" s="389"/>
      <c r="W977" s="389"/>
      <c r="X977" s="389"/>
      <c r="Y977" s="389"/>
      <c r="Z977" s="389"/>
      <c r="AA977" s="389"/>
      <c r="AB977" s="389"/>
      <c r="AC977" s="389"/>
      <c r="AD977" s="389"/>
      <c r="AE977" s="389"/>
      <c r="AF977" s="389"/>
    </row>
    <row r="978" hidden="1">
      <c r="A978" s="389"/>
      <c r="B978" s="389"/>
      <c r="C978" s="389"/>
      <c r="D978" s="389"/>
      <c r="E978" s="389"/>
      <c r="F978" s="392"/>
      <c r="G978" s="392"/>
      <c r="H978" s="389"/>
      <c r="I978" s="389"/>
      <c r="J978" s="389"/>
      <c r="K978" s="389"/>
      <c r="L978" s="389"/>
      <c r="M978" s="389"/>
      <c r="N978" s="389"/>
      <c r="O978" s="389"/>
      <c r="P978" s="389"/>
      <c r="Q978" s="389"/>
      <c r="R978" s="389"/>
      <c r="S978" s="389"/>
      <c r="T978" s="389"/>
      <c r="U978" s="389"/>
      <c r="V978" s="389"/>
      <c r="W978" s="389"/>
      <c r="X978" s="389"/>
      <c r="Y978" s="389"/>
      <c r="Z978" s="389"/>
      <c r="AA978" s="389"/>
      <c r="AB978" s="389"/>
      <c r="AC978" s="389"/>
      <c r="AD978" s="389"/>
      <c r="AE978" s="389"/>
      <c r="AF978" s="389"/>
    </row>
    <row r="979" hidden="1">
      <c r="A979" s="389"/>
      <c r="B979" s="389"/>
      <c r="C979" s="389"/>
      <c r="D979" s="389"/>
      <c r="E979" s="389"/>
      <c r="F979" s="392"/>
      <c r="G979" s="392"/>
      <c r="H979" s="389"/>
      <c r="I979" s="389"/>
      <c r="J979" s="389"/>
      <c r="K979" s="389"/>
      <c r="L979" s="389"/>
      <c r="M979" s="389"/>
      <c r="N979" s="389"/>
      <c r="O979" s="389"/>
      <c r="P979" s="389"/>
      <c r="Q979" s="389"/>
      <c r="R979" s="389"/>
      <c r="S979" s="389"/>
      <c r="T979" s="389"/>
      <c r="U979" s="389"/>
      <c r="V979" s="389"/>
      <c r="W979" s="389"/>
      <c r="X979" s="389"/>
      <c r="Y979" s="389"/>
      <c r="Z979" s="389"/>
      <c r="AA979" s="389"/>
      <c r="AB979" s="389"/>
      <c r="AC979" s="389"/>
      <c r="AD979" s="389"/>
      <c r="AE979" s="389"/>
      <c r="AF979" s="389"/>
    </row>
    <row r="980" hidden="1">
      <c r="A980" s="389"/>
      <c r="B980" s="389"/>
      <c r="C980" s="389"/>
      <c r="D980" s="389"/>
      <c r="E980" s="389"/>
      <c r="F980" s="392"/>
      <c r="G980" s="392"/>
      <c r="H980" s="389"/>
      <c r="I980" s="389"/>
      <c r="J980" s="389"/>
      <c r="K980" s="389"/>
      <c r="L980" s="389"/>
      <c r="M980" s="389"/>
      <c r="N980" s="389"/>
      <c r="O980" s="389"/>
      <c r="P980" s="389"/>
      <c r="Q980" s="389"/>
      <c r="R980" s="389"/>
      <c r="S980" s="389"/>
      <c r="T980" s="389"/>
      <c r="U980" s="389"/>
      <c r="V980" s="389"/>
      <c r="W980" s="389"/>
      <c r="X980" s="389"/>
      <c r="Y980" s="389"/>
      <c r="Z980" s="389"/>
      <c r="AA980" s="389"/>
      <c r="AB980" s="389"/>
      <c r="AC980" s="389"/>
      <c r="AD980" s="389"/>
      <c r="AE980" s="389"/>
      <c r="AF980" s="389"/>
    </row>
    <row r="981" hidden="1">
      <c r="A981" s="389"/>
      <c r="B981" s="389"/>
      <c r="C981" s="389"/>
      <c r="D981" s="389"/>
      <c r="E981" s="389"/>
      <c r="F981" s="392"/>
      <c r="G981" s="392"/>
      <c r="H981" s="389"/>
      <c r="I981" s="389"/>
      <c r="J981" s="389"/>
      <c r="K981" s="389"/>
      <c r="L981" s="389"/>
      <c r="M981" s="389"/>
      <c r="N981" s="389"/>
      <c r="O981" s="389"/>
      <c r="P981" s="389"/>
      <c r="Q981" s="389"/>
      <c r="R981" s="389"/>
      <c r="S981" s="389"/>
      <c r="T981" s="389"/>
      <c r="U981" s="389"/>
      <c r="V981" s="389"/>
      <c r="W981" s="389"/>
      <c r="X981" s="389"/>
      <c r="Y981" s="389"/>
      <c r="Z981" s="389"/>
      <c r="AA981" s="389"/>
      <c r="AB981" s="389"/>
      <c r="AC981" s="389"/>
      <c r="AD981" s="389"/>
      <c r="AE981" s="389"/>
      <c r="AF981" s="389"/>
    </row>
    <row r="982" hidden="1">
      <c r="A982" s="389"/>
      <c r="B982" s="389"/>
      <c r="C982" s="389"/>
      <c r="D982" s="389"/>
      <c r="E982" s="389"/>
      <c r="F982" s="392"/>
      <c r="G982" s="392"/>
      <c r="H982" s="389"/>
      <c r="I982" s="389"/>
      <c r="J982" s="389"/>
      <c r="K982" s="389"/>
      <c r="L982" s="389"/>
      <c r="M982" s="389"/>
      <c r="N982" s="389"/>
      <c r="O982" s="389"/>
      <c r="P982" s="389"/>
      <c r="Q982" s="389"/>
      <c r="R982" s="389"/>
      <c r="S982" s="389"/>
      <c r="T982" s="389"/>
      <c r="U982" s="389"/>
      <c r="V982" s="389"/>
      <c r="W982" s="389"/>
      <c r="X982" s="389"/>
      <c r="Y982" s="389"/>
      <c r="Z982" s="389"/>
      <c r="AA982" s="389"/>
      <c r="AB982" s="389"/>
      <c r="AC982" s="389"/>
      <c r="AD982" s="389"/>
      <c r="AE982" s="389"/>
      <c r="AF982" s="389"/>
    </row>
    <row r="983" hidden="1">
      <c r="A983" s="389"/>
      <c r="B983" s="389"/>
      <c r="C983" s="389"/>
      <c r="D983" s="389"/>
      <c r="E983" s="389"/>
      <c r="F983" s="392"/>
      <c r="G983" s="392"/>
      <c r="H983" s="389"/>
      <c r="I983" s="389"/>
      <c r="J983" s="389"/>
      <c r="K983" s="389"/>
      <c r="L983" s="389"/>
      <c r="M983" s="389"/>
      <c r="N983" s="389"/>
      <c r="O983" s="389"/>
      <c r="P983" s="389"/>
      <c r="Q983" s="389"/>
      <c r="R983" s="389"/>
      <c r="S983" s="389"/>
      <c r="T983" s="389"/>
      <c r="U983" s="389"/>
      <c r="V983" s="389"/>
      <c r="W983" s="389"/>
      <c r="X983" s="389"/>
      <c r="Y983" s="389"/>
      <c r="Z983" s="389"/>
      <c r="AA983" s="389"/>
      <c r="AB983" s="389"/>
      <c r="AC983" s="389"/>
      <c r="AD983" s="389"/>
      <c r="AE983" s="389"/>
      <c r="AF983" s="389"/>
    </row>
    <row r="984" hidden="1">
      <c r="A984" s="389"/>
      <c r="B984" s="389"/>
      <c r="C984" s="389"/>
      <c r="D984" s="389"/>
      <c r="E984" s="389"/>
      <c r="F984" s="392"/>
      <c r="G984" s="392"/>
      <c r="H984" s="389"/>
      <c r="I984" s="389"/>
      <c r="J984" s="389"/>
      <c r="K984" s="389"/>
      <c r="L984" s="389"/>
      <c r="M984" s="389"/>
      <c r="N984" s="389"/>
      <c r="O984" s="389"/>
      <c r="P984" s="389"/>
      <c r="Q984" s="389"/>
      <c r="R984" s="389"/>
      <c r="S984" s="389"/>
      <c r="T984" s="389"/>
      <c r="U984" s="389"/>
      <c r="V984" s="389"/>
      <c r="W984" s="389"/>
      <c r="X984" s="389"/>
      <c r="Y984" s="389"/>
      <c r="Z984" s="389"/>
      <c r="AA984" s="389"/>
      <c r="AB984" s="389"/>
      <c r="AC984" s="389"/>
      <c r="AD984" s="389"/>
      <c r="AE984" s="389"/>
      <c r="AF984" s="389"/>
    </row>
    <row r="985" hidden="1">
      <c r="A985" s="389"/>
      <c r="B985" s="389"/>
      <c r="C985" s="389"/>
      <c r="D985" s="389"/>
      <c r="E985" s="389"/>
      <c r="F985" s="392"/>
      <c r="G985" s="392"/>
      <c r="H985" s="389"/>
      <c r="I985" s="389"/>
      <c r="J985" s="389"/>
      <c r="K985" s="389"/>
      <c r="L985" s="389"/>
      <c r="M985" s="389"/>
      <c r="N985" s="389"/>
      <c r="O985" s="389"/>
      <c r="P985" s="389"/>
      <c r="Q985" s="389"/>
      <c r="R985" s="389"/>
      <c r="S985" s="389"/>
      <c r="T985" s="389"/>
      <c r="U985" s="389"/>
      <c r="V985" s="389"/>
      <c r="W985" s="389"/>
      <c r="X985" s="389"/>
      <c r="Y985" s="389"/>
      <c r="Z985" s="389"/>
      <c r="AA985" s="389"/>
      <c r="AB985" s="389"/>
      <c r="AC985" s="389"/>
      <c r="AD985" s="389"/>
      <c r="AE985" s="389"/>
      <c r="AF985" s="389"/>
    </row>
    <row r="986" hidden="1">
      <c r="A986" s="389"/>
      <c r="B986" s="389"/>
      <c r="C986" s="389"/>
      <c r="D986" s="389"/>
      <c r="E986" s="389"/>
      <c r="F986" s="392"/>
      <c r="G986" s="392"/>
      <c r="H986" s="389"/>
      <c r="I986" s="389"/>
      <c r="J986" s="389"/>
      <c r="K986" s="389"/>
      <c r="L986" s="389"/>
      <c r="M986" s="389"/>
      <c r="N986" s="389"/>
      <c r="O986" s="389"/>
      <c r="P986" s="389"/>
      <c r="Q986" s="389"/>
      <c r="R986" s="389"/>
      <c r="S986" s="389"/>
      <c r="T986" s="389"/>
      <c r="U986" s="389"/>
      <c r="V986" s="389"/>
      <c r="W986" s="389"/>
      <c r="X986" s="389"/>
      <c r="Y986" s="389"/>
      <c r="Z986" s="389"/>
      <c r="AA986" s="389"/>
      <c r="AB986" s="389"/>
      <c r="AC986" s="389"/>
      <c r="AD986" s="389"/>
      <c r="AE986" s="389"/>
      <c r="AF986" s="389"/>
    </row>
    <row r="987" hidden="1">
      <c r="A987" s="389"/>
      <c r="B987" s="389"/>
      <c r="C987" s="389"/>
      <c r="D987" s="389"/>
      <c r="E987" s="389"/>
      <c r="F987" s="392"/>
      <c r="G987" s="392"/>
      <c r="H987" s="389"/>
      <c r="I987" s="389"/>
      <c r="J987" s="389"/>
      <c r="K987" s="389"/>
      <c r="L987" s="389"/>
      <c r="M987" s="389"/>
      <c r="N987" s="389"/>
      <c r="O987" s="389"/>
      <c r="P987" s="389"/>
      <c r="Q987" s="389"/>
      <c r="R987" s="389"/>
      <c r="S987" s="389"/>
      <c r="T987" s="389"/>
      <c r="U987" s="389"/>
      <c r="V987" s="389"/>
      <c r="W987" s="389"/>
      <c r="X987" s="389"/>
      <c r="Y987" s="389"/>
      <c r="Z987" s="389"/>
      <c r="AA987" s="389"/>
      <c r="AB987" s="389"/>
      <c r="AC987" s="389"/>
      <c r="AD987" s="389"/>
      <c r="AE987" s="389"/>
      <c r="AF987" s="389"/>
    </row>
    <row r="988" hidden="1">
      <c r="A988" s="389"/>
      <c r="B988" s="389"/>
      <c r="C988" s="389"/>
      <c r="D988" s="389"/>
      <c r="E988" s="389"/>
      <c r="F988" s="392"/>
      <c r="G988" s="392"/>
      <c r="H988" s="389"/>
      <c r="I988" s="389"/>
      <c r="J988" s="389"/>
      <c r="K988" s="389"/>
      <c r="L988" s="389"/>
      <c r="M988" s="389"/>
      <c r="N988" s="389"/>
      <c r="O988" s="389"/>
      <c r="P988" s="389"/>
      <c r="Q988" s="389"/>
      <c r="R988" s="389"/>
      <c r="S988" s="389"/>
      <c r="T988" s="389"/>
      <c r="U988" s="389"/>
      <c r="V988" s="389"/>
      <c r="W988" s="389"/>
      <c r="X988" s="389"/>
      <c r="Y988" s="389"/>
      <c r="Z988" s="389"/>
      <c r="AA988" s="389"/>
      <c r="AB988" s="389"/>
      <c r="AC988" s="389"/>
      <c r="AD988" s="389"/>
      <c r="AE988" s="389"/>
      <c r="AF988" s="389"/>
    </row>
    <row r="989" hidden="1">
      <c r="A989" s="389"/>
      <c r="B989" s="389"/>
      <c r="C989" s="389"/>
      <c r="D989" s="389"/>
      <c r="E989" s="389"/>
      <c r="F989" s="392"/>
      <c r="G989" s="392"/>
      <c r="H989" s="389"/>
      <c r="I989" s="389"/>
      <c r="J989" s="389"/>
      <c r="K989" s="389"/>
      <c r="L989" s="389"/>
      <c r="M989" s="389"/>
      <c r="N989" s="389"/>
      <c r="O989" s="389"/>
      <c r="P989" s="389"/>
      <c r="Q989" s="389"/>
      <c r="R989" s="389"/>
      <c r="S989" s="389"/>
      <c r="T989" s="389"/>
      <c r="U989" s="389"/>
      <c r="V989" s="389"/>
      <c r="W989" s="389"/>
      <c r="X989" s="389"/>
      <c r="Y989" s="389"/>
      <c r="Z989" s="389"/>
      <c r="AA989" s="389"/>
      <c r="AB989" s="389"/>
      <c r="AC989" s="389"/>
      <c r="AD989" s="389"/>
      <c r="AE989" s="389"/>
      <c r="AF989" s="389"/>
    </row>
    <row r="990" hidden="1">
      <c r="A990" s="389"/>
      <c r="B990" s="389"/>
      <c r="C990" s="389"/>
      <c r="D990" s="389"/>
      <c r="E990" s="389"/>
      <c r="F990" s="392"/>
      <c r="G990" s="392"/>
      <c r="H990" s="389"/>
      <c r="I990" s="389"/>
      <c r="J990" s="389"/>
      <c r="K990" s="389"/>
      <c r="L990" s="389"/>
      <c r="M990" s="389"/>
      <c r="N990" s="389"/>
      <c r="O990" s="389"/>
      <c r="P990" s="389"/>
      <c r="Q990" s="389"/>
      <c r="R990" s="389"/>
      <c r="S990" s="389"/>
      <c r="T990" s="389"/>
      <c r="U990" s="389"/>
      <c r="V990" s="389"/>
      <c r="W990" s="389"/>
      <c r="X990" s="389"/>
      <c r="Y990" s="389"/>
      <c r="Z990" s="389"/>
      <c r="AA990" s="389"/>
      <c r="AB990" s="389"/>
      <c r="AC990" s="389"/>
      <c r="AD990" s="389"/>
      <c r="AE990" s="389"/>
      <c r="AF990" s="389"/>
    </row>
    <row r="991" hidden="1">
      <c r="A991" s="389"/>
      <c r="B991" s="389"/>
      <c r="C991" s="389"/>
      <c r="D991" s="389"/>
      <c r="E991" s="389"/>
      <c r="F991" s="392"/>
      <c r="G991" s="392"/>
      <c r="H991" s="389"/>
      <c r="I991" s="389"/>
      <c r="J991" s="389"/>
      <c r="K991" s="389"/>
      <c r="L991" s="389"/>
      <c r="M991" s="389"/>
      <c r="N991" s="389"/>
      <c r="O991" s="389"/>
      <c r="P991" s="389"/>
      <c r="Q991" s="389"/>
      <c r="R991" s="389"/>
      <c r="S991" s="389"/>
      <c r="T991" s="389"/>
      <c r="U991" s="389"/>
      <c r="V991" s="389"/>
      <c r="W991" s="389"/>
      <c r="X991" s="389"/>
      <c r="Y991" s="389"/>
      <c r="Z991" s="389"/>
      <c r="AA991" s="389"/>
      <c r="AB991" s="389"/>
      <c r="AC991" s="389"/>
      <c r="AD991" s="389"/>
      <c r="AE991" s="389"/>
      <c r="AF991" s="389"/>
    </row>
    <row r="992" hidden="1">
      <c r="A992" s="389"/>
      <c r="B992" s="389"/>
      <c r="C992" s="389"/>
      <c r="D992" s="389"/>
      <c r="E992" s="389"/>
      <c r="F992" s="392"/>
      <c r="G992" s="392"/>
      <c r="H992" s="389"/>
      <c r="I992" s="389"/>
      <c r="J992" s="389"/>
      <c r="K992" s="389"/>
      <c r="L992" s="389"/>
      <c r="M992" s="389"/>
      <c r="N992" s="389"/>
      <c r="O992" s="389"/>
      <c r="P992" s="389"/>
      <c r="Q992" s="389"/>
      <c r="R992" s="389"/>
      <c r="S992" s="389"/>
      <c r="T992" s="389"/>
      <c r="U992" s="389"/>
      <c r="V992" s="389"/>
      <c r="W992" s="389"/>
      <c r="X992" s="389"/>
      <c r="Y992" s="389"/>
      <c r="Z992" s="389"/>
      <c r="AA992" s="389"/>
      <c r="AB992" s="389"/>
      <c r="AC992" s="389"/>
      <c r="AD992" s="389"/>
      <c r="AE992" s="389"/>
      <c r="AF992" s="389"/>
    </row>
    <row r="993" hidden="1">
      <c r="A993" s="389"/>
      <c r="B993" s="389"/>
      <c r="C993" s="389"/>
      <c r="D993" s="389"/>
      <c r="E993" s="389"/>
      <c r="F993" s="392"/>
      <c r="G993" s="392"/>
      <c r="H993" s="389"/>
      <c r="I993" s="389"/>
      <c r="J993" s="389"/>
      <c r="K993" s="389"/>
      <c r="L993" s="389"/>
      <c r="M993" s="389"/>
      <c r="N993" s="389"/>
      <c r="O993" s="389"/>
      <c r="P993" s="389"/>
      <c r="Q993" s="389"/>
      <c r="R993" s="389"/>
      <c r="S993" s="389"/>
      <c r="T993" s="389"/>
      <c r="U993" s="389"/>
      <c r="V993" s="389"/>
      <c r="W993" s="389"/>
      <c r="X993" s="389"/>
      <c r="Y993" s="389"/>
      <c r="Z993" s="389"/>
      <c r="AA993" s="389"/>
      <c r="AB993" s="389"/>
      <c r="AC993" s="389"/>
      <c r="AD993" s="389"/>
      <c r="AE993" s="389"/>
      <c r="AF993" s="389"/>
    </row>
    <row r="994" hidden="1">
      <c r="A994" s="389"/>
      <c r="B994" s="389"/>
      <c r="C994" s="389"/>
      <c r="D994" s="389"/>
      <c r="E994" s="389"/>
      <c r="F994" s="392"/>
      <c r="G994" s="392"/>
      <c r="H994" s="389"/>
      <c r="I994" s="389"/>
      <c r="J994" s="389"/>
      <c r="K994" s="389"/>
      <c r="L994" s="389"/>
      <c r="M994" s="389"/>
      <c r="N994" s="389"/>
      <c r="O994" s="389"/>
      <c r="P994" s="389"/>
      <c r="Q994" s="389"/>
      <c r="R994" s="389"/>
      <c r="S994" s="389"/>
      <c r="T994" s="389"/>
      <c r="U994" s="389"/>
      <c r="V994" s="389"/>
      <c r="W994" s="389"/>
      <c r="X994" s="389"/>
      <c r="Y994" s="389"/>
      <c r="Z994" s="389"/>
      <c r="AA994" s="389"/>
      <c r="AB994" s="389"/>
      <c r="AC994" s="389"/>
      <c r="AD994" s="389"/>
      <c r="AE994" s="389"/>
      <c r="AF994" s="389"/>
    </row>
    <row r="995" hidden="1">
      <c r="A995" s="389"/>
      <c r="B995" s="389"/>
      <c r="C995" s="389"/>
      <c r="D995" s="389"/>
      <c r="E995" s="389"/>
      <c r="F995" s="392"/>
      <c r="G995" s="392"/>
      <c r="H995" s="389"/>
      <c r="I995" s="389"/>
      <c r="J995" s="389"/>
      <c r="K995" s="389"/>
      <c r="L995" s="389"/>
      <c r="M995" s="389"/>
      <c r="N995" s="389"/>
      <c r="O995" s="389"/>
      <c r="P995" s="389"/>
      <c r="Q995" s="389"/>
      <c r="R995" s="389"/>
      <c r="S995" s="389"/>
      <c r="T995" s="389"/>
      <c r="U995" s="389"/>
      <c r="V995" s="389"/>
      <c r="W995" s="389"/>
      <c r="X995" s="389"/>
      <c r="Y995" s="389"/>
      <c r="Z995" s="389"/>
      <c r="AA995" s="389"/>
      <c r="AB995" s="389"/>
      <c r="AC995" s="389"/>
      <c r="AD995" s="389"/>
      <c r="AE995" s="389"/>
      <c r="AF995" s="389"/>
    </row>
    <row r="996" hidden="1">
      <c r="A996" s="389"/>
      <c r="B996" s="389"/>
      <c r="C996" s="389"/>
      <c r="D996" s="389"/>
      <c r="E996" s="389"/>
      <c r="F996" s="392"/>
      <c r="G996" s="392"/>
      <c r="H996" s="389"/>
      <c r="I996" s="389"/>
      <c r="J996" s="389"/>
      <c r="K996" s="389"/>
      <c r="L996" s="389"/>
      <c r="M996" s="389"/>
      <c r="N996" s="389"/>
      <c r="O996" s="389"/>
      <c r="P996" s="389"/>
      <c r="Q996" s="389"/>
      <c r="R996" s="389"/>
      <c r="S996" s="389"/>
      <c r="T996" s="389"/>
      <c r="U996" s="389"/>
      <c r="V996" s="389"/>
      <c r="W996" s="389"/>
      <c r="X996" s="389"/>
      <c r="Y996" s="389"/>
      <c r="Z996" s="389"/>
      <c r="AA996" s="389"/>
      <c r="AB996" s="389"/>
      <c r="AC996" s="389"/>
      <c r="AD996" s="389"/>
      <c r="AE996" s="389"/>
      <c r="AF996" s="389"/>
    </row>
    <row r="997" hidden="1">
      <c r="A997" s="389"/>
      <c r="B997" s="389"/>
      <c r="C997" s="389"/>
      <c r="D997" s="389"/>
      <c r="E997" s="389"/>
      <c r="F997" s="392"/>
      <c r="G997" s="392"/>
      <c r="H997" s="389"/>
      <c r="I997" s="389"/>
      <c r="J997" s="389"/>
      <c r="K997" s="389"/>
      <c r="L997" s="389"/>
      <c r="M997" s="389"/>
      <c r="N997" s="389"/>
      <c r="O997" s="389"/>
      <c r="P997" s="389"/>
      <c r="Q997" s="389"/>
      <c r="R997" s="389"/>
      <c r="S997" s="389"/>
      <c r="T997" s="389"/>
      <c r="U997" s="389"/>
      <c r="V997" s="389"/>
      <c r="W997" s="389"/>
      <c r="X997" s="389"/>
      <c r="Y997" s="389"/>
      <c r="Z997" s="389"/>
      <c r="AA997" s="389"/>
      <c r="AB997" s="389"/>
      <c r="AC997" s="389"/>
      <c r="AD997" s="389"/>
      <c r="AE997" s="389"/>
      <c r="AF997" s="389"/>
    </row>
    <row r="998" hidden="1">
      <c r="A998" s="389"/>
      <c r="B998" s="389"/>
      <c r="C998" s="389"/>
      <c r="D998" s="389"/>
      <c r="E998" s="389"/>
      <c r="F998" s="392"/>
      <c r="G998" s="392"/>
      <c r="H998" s="389"/>
      <c r="I998" s="389"/>
      <c r="J998" s="389"/>
      <c r="K998" s="389"/>
      <c r="L998" s="389"/>
      <c r="M998" s="389"/>
      <c r="N998" s="389"/>
      <c r="O998" s="389"/>
      <c r="P998" s="389"/>
      <c r="Q998" s="389"/>
      <c r="R998" s="389"/>
      <c r="S998" s="389"/>
      <c r="T998" s="389"/>
      <c r="U998" s="389"/>
      <c r="V998" s="389"/>
      <c r="W998" s="389"/>
      <c r="X998" s="389"/>
      <c r="Y998" s="389"/>
      <c r="Z998" s="389"/>
      <c r="AA998" s="389"/>
      <c r="AB998" s="389"/>
      <c r="AC998" s="389"/>
      <c r="AD998" s="389"/>
      <c r="AE998" s="389"/>
      <c r="AF998" s="389"/>
    </row>
    <row r="999" hidden="1">
      <c r="A999" s="389"/>
      <c r="B999" s="389"/>
      <c r="C999" s="389"/>
      <c r="D999" s="389"/>
      <c r="E999" s="389"/>
      <c r="F999" s="392"/>
      <c r="G999" s="392"/>
      <c r="H999" s="389"/>
      <c r="I999" s="389"/>
      <c r="J999" s="389"/>
      <c r="K999" s="389"/>
      <c r="L999" s="389"/>
      <c r="M999" s="389"/>
      <c r="N999" s="389"/>
      <c r="O999" s="389"/>
      <c r="P999" s="389"/>
      <c r="Q999" s="389"/>
      <c r="R999" s="389"/>
      <c r="S999" s="389"/>
      <c r="T999" s="389"/>
      <c r="U999" s="389"/>
      <c r="V999" s="389"/>
      <c r="W999" s="389"/>
      <c r="X999" s="389"/>
      <c r="Y999" s="389"/>
      <c r="Z999" s="389"/>
      <c r="AA999" s="389"/>
      <c r="AB999" s="389"/>
      <c r="AC999" s="389"/>
      <c r="AD999" s="389"/>
      <c r="AE999" s="389"/>
      <c r="AF999" s="389"/>
    </row>
    <row r="1000" hidden="1">
      <c r="A1000" s="389"/>
      <c r="B1000" s="389"/>
      <c r="C1000" s="389"/>
      <c r="D1000" s="389"/>
      <c r="E1000" s="389"/>
      <c r="F1000" s="392"/>
      <c r="G1000" s="392"/>
      <c r="H1000" s="389"/>
      <c r="I1000" s="389"/>
      <c r="J1000" s="389"/>
      <c r="K1000" s="389"/>
      <c r="L1000" s="389"/>
      <c r="M1000" s="389"/>
      <c r="N1000" s="389"/>
      <c r="O1000" s="389"/>
      <c r="P1000" s="389"/>
      <c r="Q1000" s="389"/>
      <c r="R1000" s="389"/>
      <c r="S1000" s="389"/>
      <c r="T1000" s="389"/>
      <c r="U1000" s="389"/>
      <c r="V1000" s="389"/>
      <c r="W1000" s="389"/>
      <c r="X1000" s="389"/>
      <c r="Y1000" s="389"/>
      <c r="Z1000" s="389"/>
      <c r="AA1000" s="389"/>
      <c r="AB1000" s="389"/>
      <c r="AC1000" s="389"/>
      <c r="AD1000" s="389"/>
      <c r="AE1000" s="389"/>
      <c r="AF1000" s="389"/>
    </row>
    <row r="1001" hidden="1">
      <c r="A1001" s="389"/>
      <c r="B1001" s="389"/>
      <c r="C1001" s="389"/>
      <c r="D1001" s="389"/>
      <c r="E1001" s="389"/>
      <c r="F1001" s="392"/>
      <c r="G1001" s="392"/>
      <c r="H1001" s="389"/>
      <c r="I1001" s="389"/>
      <c r="J1001" s="389"/>
      <c r="K1001" s="389"/>
      <c r="L1001" s="389"/>
      <c r="M1001" s="389"/>
      <c r="N1001" s="389"/>
      <c r="O1001" s="389"/>
      <c r="P1001" s="389"/>
      <c r="Q1001" s="389"/>
      <c r="R1001" s="389"/>
      <c r="S1001" s="389"/>
      <c r="T1001" s="389"/>
      <c r="U1001" s="389"/>
      <c r="V1001" s="389"/>
      <c r="W1001" s="389"/>
      <c r="X1001" s="389"/>
      <c r="Y1001" s="389"/>
      <c r="Z1001" s="389"/>
      <c r="AA1001" s="389"/>
      <c r="AB1001" s="389"/>
      <c r="AC1001" s="389"/>
      <c r="AD1001" s="389"/>
      <c r="AE1001" s="389"/>
      <c r="AF1001" s="389"/>
    </row>
    <row r="1002" hidden="1">
      <c r="A1002" s="389"/>
      <c r="B1002" s="389"/>
      <c r="C1002" s="389"/>
      <c r="D1002" s="389"/>
      <c r="E1002" s="389"/>
      <c r="F1002" s="392"/>
      <c r="G1002" s="392"/>
      <c r="H1002" s="389"/>
      <c r="I1002" s="389"/>
      <c r="J1002" s="389"/>
      <c r="K1002" s="389"/>
      <c r="L1002" s="389"/>
      <c r="M1002" s="389"/>
      <c r="N1002" s="389"/>
      <c r="O1002" s="389"/>
      <c r="P1002" s="389"/>
      <c r="Q1002" s="389"/>
      <c r="R1002" s="389"/>
      <c r="S1002" s="389"/>
      <c r="T1002" s="389"/>
      <c r="U1002" s="389"/>
      <c r="V1002" s="389"/>
      <c r="W1002" s="389"/>
      <c r="X1002" s="389"/>
      <c r="Y1002" s="389"/>
      <c r="Z1002" s="389"/>
      <c r="AA1002" s="389"/>
      <c r="AB1002" s="389"/>
      <c r="AC1002" s="389"/>
      <c r="AD1002" s="389"/>
      <c r="AE1002" s="389"/>
      <c r="AF1002" s="389"/>
    </row>
    <row r="1003" hidden="1">
      <c r="A1003" s="389"/>
      <c r="B1003" s="389"/>
      <c r="C1003" s="389"/>
      <c r="D1003" s="389"/>
      <c r="E1003" s="389"/>
      <c r="F1003" s="392"/>
      <c r="G1003" s="392"/>
      <c r="H1003" s="389"/>
      <c r="I1003" s="389"/>
      <c r="J1003" s="389"/>
      <c r="K1003" s="389"/>
      <c r="L1003" s="389"/>
      <c r="M1003" s="389"/>
      <c r="N1003" s="389"/>
      <c r="O1003" s="389"/>
      <c r="P1003" s="389"/>
      <c r="Q1003" s="389"/>
      <c r="R1003" s="389"/>
      <c r="S1003" s="389"/>
      <c r="T1003" s="389"/>
      <c r="U1003" s="389"/>
      <c r="V1003" s="389"/>
      <c r="W1003" s="389"/>
      <c r="X1003" s="389"/>
      <c r="Y1003" s="389"/>
      <c r="Z1003" s="389"/>
      <c r="AA1003" s="389"/>
      <c r="AB1003" s="389"/>
      <c r="AC1003" s="389"/>
      <c r="AD1003" s="389"/>
      <c r="AE1003" s="389"/>
      <c r="AF1003" s="389"/>
    </row>
    <row r="1004" hidden="1">
      <c r="A1004" s="389"/>
      <c r="B1004" s="389"/>
      <c r="C1004" s="389"/>
      <c r="D1004" s="389"/>
      <c r="E1004" s="389"/>
      <c r="F1004" s="392"/>
      <c r="G1004" s="392"/>
      <c r="H1004" s="389"/>
      <c r="I1004" s="389"/>
      <c r="J1004" s="389"/>
      <c r="K1004" s="389"/>
      <c r="L1004" s="389"/>
      <c r="M1004" s="389"/>
      <c r="N1004" s="389"/>
      <c r="O1004" s="389"/>
      <c r="P1004" s="389"/>
      <c r="Q1004" s="389"/>
      <c r="R1004" s="389"/>
      <c r="S1004" s="389"/>
      <c r="T1004" s="389"/>
      <c r="U1004" s="389"/>
      <c r="V1004" s="389"/>
      <c r="W1004" s="389"/>
      <c r="X1004" s="389"/>
      <c r="Y1004" s="389"/>
      <c r="Z1004" s="389"/>
      <c r="AA1004" s="389"/>
      <c r="AB1004" s="389"/>
      <c r="AC1004" s="389"/>
      <c r="AD1004" s="389"/>
      <c r="AE1004" s="389"/>
      <c r="AF1004" s="389"/>
    </row>
    <row r="1005" hidden="1">
      <c r="A1005" s="389"/>
      <c r="B1005" s="389"/>
      <c r="C1005" s="389"/>
      <c r="D1005" s="389"/>
      <c r="E1005" s="389"/>
      <c r="F1005" s="392"/>
      <c r="G1005" s="392"/>
      <c r="H1005" s="389"/>
      <c r="I1005" s="389"/>
      <c r="J1005" s="389"/>
      <c r="K1005" s="389"/>
      <c r="L1005" s="389"/>
      <c r="M1005" s="389"/>
      <c r="N1005" s="389"/>
      <c r="O1005" s="389"/>
      <c r="P1005" s="389"/>
      <c r="Q1005" s="389"/>
      <c r="R1005" s="389"/>
      <c r="S1005" s="389"/>
      <c r="T1005" s="389"/>
      <c r="U1005" s="389"/>
      <c r="V1005" s="389"/>
      <c r="W1005" s="389"/>
      <c r="X1005" s="389"/>
      <c r="Y1005" s="389"/>
      <c r="Z1005" s="389"/>
      <c r="AA1005" s="389"/>
      <c r="AB1005" s="389"/>
      <c r="AC1005" s="389"/>
      <c r="AD1005" s="389"/>
      <c r="AE1005" s="389"/>
      <c r="AF1005" s="389"/>
    </row>
    <row r="1006" hidden="1">
      <c r="A1006" s="389"/>
      <c r="B1006" s="389"/>
      <c r="C1006" s="389"/>
      <c r="D1006" s="389"/>
      <c r="E1006" s="389"/>
      <c r="F1006" s="392"/>
      <c r="G1006" s="392"/>
      <c r="H1006" s="389"/>
      <c r="I1006" s="389"/>
      <c r="J1006" s="389"/>
      <c r="K1006" s="389"/>
      <c r="L1006" s="389"/>
      <c r="M1006" s="389"/>
      <c r="N1006" s="389"/>
      <c r="O1006" s="389"/>
      <c r="P1006" s="389"/>
      <c r="Q1006" s="389"/>
      <c r="R1006" s="389"/>
      <c r="S1006" s="389"/>
      <c r="T1006" s="389"/>
      <c r="U1006" s="389"/>
      <c r="V1006" s="389"/>
      <c r="W1006" s="389"/>
      <c r="X1006" s="389"/>
      <c r="Y1006" s="389"/>
      <c r="Z1006" s="389"/>
      <c r="AA1006" s="389"/>
      <c r="AB1006" s="389"/>
      <c r="AC1006" s="389"/>
      <c r="AD1006" s="389"/>
      <c r="AE1006" s="389"/>
      <c r="AF1006" s="389"/>
    </row>
    <row r="1007" hidden="1">
      <c r="A1007" s="389"/>
      <c r="B1007" s="389"/>
      <c r="C1007" s="389"/>
      <c r="D1007" s="389"/>
      <c r="E1007" s="389"/>
      <c r="F1007" s="392"/>
      <c r="G1007" s="392"/>
      <c r="H1007" s="389"/>
      <c r="I1007" s="389"/>
      <c r="J1007" s="389"/>
      <c r="K1007" s="389"/>
      <c r="L1007" s="389"/>
      <c r="M1007" s="389"/>
      <c r="N1007" s="389"/>
      <c r="O1007" s="389"/>
      <c r="P1007" s="389"/>
      <c r="Q1007" s="389"/>
      <c r="R1007" s="389"/>
      <c r="S1007" s="389"/>
      <c r="T1007" s="389"/>
      <c r="U1007" s="389"/>
      <c r="V1007" s="389"/>
      <c r="W1007" s="389"/>
      <c r="X1007" s="389"/>
      <c r="Y1007" s="389"/>
      <c r="Z1007" s="389"/>
      <c r="AA1007" s="389"/>
      <c r="AB1007" s="389"/>
      <c r="AC1007" s="389"/>
      <c r="AD1007" s="389"/>
      <c r="AE1007" s="389"/>
      <c r="AF1007" s="389"/>
    </row>
    <row r="1008" hidden="1">
      <c r="A1008" s="389"/>
      <c r="B1008" s="389"/>
      <c r="C1008" s="389"/>
      <c r="D1008" s="389"/>
      <c r="E1008" s="389"/>
      <c r="F1008" s="392"/>
      <c r="G1008" s="392"/>
      <c r="H1008" s="389"/>
      <c r="I1008" s="389"/>
      <c r="J1008" s="389"/>
      <c r="K1008" s="389"/>
      <c r="L1008" s="389"/>
      <c r="M1008" s="389"/>
      <c r="N1008" s="389"/>
      <c r="O1008" s="389"/>
      <c r="P1008" s="389"/>
      <c r="Q1008" s="389"/>
      <c r="R1008" s="389"/>
      <c r="S1008" s="389"/>
      <c r="T1008" s="389"/>
      <c r="U1008" s="389"/>
      <c r="V1008" s="389"/>
      <c r="W1008" s="389"/>
      <c r="X1008" s="389"/>
      <c r="Y1008" s="389"/>
      <c r="Z1008" s="389"/>
      <c r="AA1008" s="389"/>
      <c r="AB1008" s="389"/>
      <c r="AC1008" s="389"/>
      <c r="AD1008" s="389"/>
      <c r="AE1008" s="389"/>
      <c r="AF1008" s="389"/>
    </row>
    <row r="1009" hidden="1">
      <c r="A1009" s="389"/>
      <c r="B1009" s="389"/>
      <c r="C1009" s="389"/>
      <c r="D1009" s="389"/>
      <c r="E1009" s="389"/>
      <c r="F1009" s="392"/>
      <c r="G1009" s="392"/>
      <c r="H1009" s="389"/>
      <c r="I1009" s="389"/>
      <c r="J1009" s="389"/>
      <c r="K1009" s="389"/>
      <c r="L1009" s="389"/>
      <c r="M1009" s="389"/>
      <c r="N1009" s="389"/>
      <c r="O1009" s="389"/>
      <c r="P1009" s="389"/>
      <c r="Q1009" s="389"/>
      <c r="R1009" s="389"/>
      <c r="S1009" s="389"/>
      <c r="T1009" s="389"/>
      <c r="U1009" s="389"/>
      <c r="V1009" s="389"/>
      <c r="W1009" s="389"/>
      <c r="X1009" s="389"/>
      <c r="Y1009" s="389"/>
      <c r="Z1009" s="389"/>
      <c r="AA1009" s="389"/>
      <c r="AB1009" s="389"/>
      <c r="AC1009" s="389"/>
      <c r="AD1009" s="389"/>
      <c r="AE1009" s="389"/>
      <c r="AF1009" s="389"/>
    </row>
  </sheetData>
  <autoFilter ref="$D$1:$D$1009">
    <filterColumn colId="0">
      <filters>
        <filter val="+971 50 830 7962"/>
        <filter val="0509914647"/>
        <filter val="971-5-241-86676"/>
        <filter val="0506162248"/>
        <filter val="0509279079"/>
        <filter val="+971 58 598 3918"/>
        <filter val="524224969"/>
        <filter val="+971556451786"/>
        <filter val="5125215521"/>
        <filter val="+971 55 375 9261"/>
        <filter val="+971566524698"/>
        <filter val="503551529"/>
        <filter val="+971 55 556 5772"/>
        <filter val="+971 50 504 2562"/>
        <filter val="+971 56 298 6211"/>
        <filter val="1 502 622-8201"/>
        <filter val="+971 58 536 4778"/>
        <filter val="=966 50 290 0015"/>
        <filter val="+971565107682"/>
        <filter val="0506031164"/>
        <filter val="+971565209702"/>
        <filter val="0508791336"/>
        <filter val="0553005159"/>
        <filter val="+971508489949"/>
        <filter val="+971 50 458 7833"/>
        <filter val="+971 55 240 5552"/>
      </filters>
    </filterColumn>
  </autoFilter>
  <hyperlinks>
    <hyperlink r:id="rId1" ref="E3"/>
    <hyperlink r:id="rId2" ref="E5"/>
    <hyperlink r:id="rId3" ref="I5"/>
    <hyperlink r:id="rId4" ref="E6"/>
    <hyperlink r:id="rId5" ref="I6"/>
    <hyperlink r:id="rId6" ref="E7"/>
    <hyperlink r:id="rId7" ref="E8"/>
    <hyperlink r:id="rId8" ref="E9"/>
    <hyperlink r:id="rId9" ref="E12"/>
    <hyperlink r:id="rId10" ref="E15"/>
    <hyperlink r:id="rId11" ref="E16"/>
    <hyperlink r:id="rId12" ref="E18"/>
    <hyperlink r:id="rId13" ref="E20"/>
    <hyperlink r:id="rId14" ref="E22"/>
    <hyperlink r:id="rId15" ref="E24"/>
    <hyperlink r:id="rId16" ref="I24"/>
    <hyperlink r:id="rId17" ref="E26"/>
    <hyperlink r:id="rId18" ref="I26"/>
    <hyperlink r:id="rId19" ref="E29"/>
    <hyperlink r:id="rId20" ref="E30"/>
    <hyperlink r:id="rId21" ref="E39"/>
    <hyperlink r:id="rId22" ref="E40"/>
    <hyperlink r:id="rId23" ref="E41"/>
    <hyperlink r:id="rId24" ref="E42"/>
    <hyperlink r:id="rId25" ref="E44"/>
    <hyperlink r:id="rId26" ref="E46"/>
    <hyperlink r:id="rId27" ref="E47"/>
    <hyperlink r:id="rId28" ref="E48"/>
    <hyperlink r:id="rId29" ref="E49"/>
    <hyperlink r:id="rId30" ref="E50"/>
    <hyperlink r:id="rId31" ref="I50"/>
    <hyperlink r:id="rId32" ref="E51"/>
    <hyperlink r:id="rId33" ref="E56"/>
    <hyperlink r:id="rId34" ref="E57"/>
    <hyperlink r:id="rId35" ref="I57"/>
    <hyperlink r:id="rId36" ref="E60"/>
    <hyperlink r:id="rId37" ref="E64"/>
    <hyperlink r:id="rId38" ref="E66"/>
    <hyperlink r:id="rId39" ref="I66"/>
    <hyperlink r:id="rId40" ref="E68"/>
    <hyperlink r:id="rId41" ref="E70"/>
    <hyperlink r:id="rId42" ref="E71"/>
    <hyperlink r:id="rId43" ref="E72"/>
    <hyperlink r:id="rId44" ref="E73"/>
    <hyperlink r:id="rId45" ref="E76"/>
    <hyperlink r:id="rId46" ref="E77"/>
    <hyperlink r:id="rId47" ref="E79"/>
    <hyperlink r:id="rId48" ref="I79"/>
    <hyperlink r:id="rId49" ref="E80"/>
    <hyperlink r:id="rId50" ref="E81"/>
  </hyperlinks>
  <drawing r:id="rId5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7" max="7" width="8.14"/>
    <col customWidth="1" min="8" max="8" width="37.86"/>
    <col customWidth="1" min="10" max="10" width="38.14"/>
  </cols>
  <sheetData>
    <row r="1">
      <c r="A1" s="495" t="s">
        <v>0</v>
      </c>
      <c r="B1" s="386" t="s">
        <v>1</v>
      </c>
      <c r="C1" s="386" t="s">
        <v>1817</v>
      </c>
      <c r="D1" s="386" t="s">
        <v>2</v>
      </c>
      <c r="E1" s="386" t="s">
        <v>3</v>
      </c>
      <c r="F1" s="386" t="s">
        <v>4</v>
      </c>
      <c r="G1" s="386" t="s">
        <v>6</v>
      </c>
      <c r="H1" s="387" t="s">
        <v>8</v>
      </c>
      <c r="I1" s="386" t="s">
        <v>9</v>
      </c>
      <c r="J1" s="391"/>
      <c r="K1" s="106"/>
      <c r="L1" s="106"/>
      <c r="M1" s="106"/>
      <c r="N1" s="106"/>
      <c r="O1" s="106"/>
      <c r="P1" s="106"/>
      <c r="Q1" s="106"/>
      <c r="R1" s="106"/>
      <c r="S1" s="106"/>
      <c r="T1" s="106"/>
      <c r="U1" s="106"/>
      <c r="V1" s="106"/>
      <c r="W1" s="106"/>
      <c r="X1" s="106"/>
      <c r="Y1" s="106"/>
      <c r="Z1" s="106"/>
      <c r="AA1" s="106"/>
      <c r="AB1" s="106"/>
      <c r="AC1" s="106"/>
      <c r="AD1" s="106"/>
      <c r="AE1" s="106"/>
      <c r="AF1" s="106"/>
    </row>
    <row r="2">
      <c r="A2" s="262">
        <v>42737.0</v>
      </c>
      <c r="F2" s="329"/>
      <c r="G2" s="329"/>
      <c r="H2" s="401"/>
    </row>
    <row r="3">
      <c r="A3" s="405"/>
      <c r="B3" s="496" t="s">
        <v>4044</v>
      </c>
      <c r="C3" s="405"/>
      <c r="D3" s="497" t="s">
        <v>4045</v>
      </c>
      <c r="E3" s="499" t="s">
        <v>4047</v>
      </c>
      <c r="F3" s="404" t="s">
        <v>2440</v>
      </c>
      <c r="G3" s="501"/>
      <c r="H3" s="502" t="s">
        <v>4049</v>
      </c>
      <c r="I3" s="405"/>
      <c r="J3" s="503" t="s">
        <v>4052</v>
      </c>
    </row>
    <row r="4">
      <c r="A4" s="262">
        <v>42738.0</v>
      </c>
      <c r="F4" s="329"/>
      <c r="G4" s="329"/>
      <c r="H4" s="401"/>
    </row>
    <row r="5">
      <c r="B5" s="394" t="s">
        <v>4053</v>
      </c>
      <c r="D5" s="124" t="s">
        <v>4054</v>
      </c>
      <c r="E5" s="36" t="s">
        <v>4055</v>
      </c>
      <c r="F5" s="291" t="s">
        <v>2283</v>
      </c>
      <c r="G5" s="329"/>
      <c r="H5" s="442" t="s">
        <v>4056</v>
      </c>
    </row>
    <row r="6">
      <c r="A6" s="405"/>
      <c r="B6" s="496" t="s">
        <v>4057</v>
      </c>
      <c r="C6" s="405"/>
      <c r="D6" s="504" t="s">
        <v>4059</v>
      </c>
      <c r="E6" s="499" t="s">
        <v>4062</v>
      </c>
      <c r="F6" s="404" t="s">
        <v>2440</v>
      </c>
      <c r="G6" s="501"/>
      <c r="H6" s="505" t="s">
        <v>4064</v>
      </c>
      <c r="I6" s="364" t="s">
        <v>32</v>
      </c>
      <c r="J6" s="405"/>
      <c r="K6" s="405"/>
      <c r="L6" s="405"/>
      <c r="M6" s="405"/>
      <c r="N6" s="405"/>
      <c r="O6" s="405"/>
      <c r="P6" s="405"/>
      <c r="Q6" s="405"/>
      <c r="R6" s="405"/>
      <c r="S6" s="405"/>
      <c r="T6" s="405"/>
      <c r="U6" s="405"/>
      <c r="V6" s="405"/>
      <c r="W6" s="405"/>
      <c r="X6" s="405"/>
      <c r="Y6" s="405"/>
      <c r="Z6" s="405"/>
      <c r="AA6" s="405"/>
      <c r="AB6" s="405"/>
      <c r="AC6" s="405"/>
      <c r="AD6" s="405"/>
      <c r="AE6" s="405"/>
      <c r="AF6" s="405"/>
    </row>
    <row r="7">
      <c r="A7" s="262">
        <v>43104.0</v>
      </c>
      <c r="F7" s="329"/>
      <c r="G7" s="329"/>
      <c r="H7" s="401"/>
    </row>
    <row r="8">
      <c r="B8" s="117" t="s">
        <v>20</v>
      </c>
      <c r="D8" s="126" t="s">
        <v>4068</v>
      </c>
      <c r="E8" s="257" t="s">
        <v>4069</v>
      </c>
      <c r="F8" s="291" t="s">
        <v>2293</v>
      </c>
      <c r="G8" s="329"/>
      <c r="H8" s="396" t="s">
        <v>4071</v>
      </c>
      <c r="J8" s="36" t="s">
        <v>4072</v>
      </c>
    </row>
    <row r="9">
      <c r="A9" s="262">
        <v>43106.0</v>
      </c>
      <c r="F9" s="329"/>
      <c r="G9" s="329"/>
      <c r="H9" s="401"/>
    </row>
    <row r="10">
      <c r="B10" s="394" t="s">
        <v>4073</v>
      </c>
      <c r="D10" s="124" t="s">
        <v>4074</v>
      </c>
      <c r="E10" s="398" t="s">
        <v>4075</v>
      </c>
      <c r="F10" s="291" t="s">
        <v>2283</v>
      </c>
      <c r="G10" s="291" t="s">
        <v>3496</v>
      </c>
      <c r="H10" s="396" t="s">
        <v>4079</v>
      </c>
    </row>
    <row r="11">
      <c r="A11" s="262">
        <v>43107.0</v>
      </c>
      <c r="F11" s="329"/>
      <c r="G11" s="329"/>
      <c r="H11" s="401"/>
    </row>
    <row r="12">
      <c r="B12" s="36" t="s">
        <v>4080</v>
      </c>
      <c r="D12" s="124" t="s">
        <v>4081</v>
      </c>
      <c r="E12" s="257" t="s">
        <v>4082</v>
      </c>
      <c r="F12" s="291" t="s">
        <v>2293</v>
      </c>
      <c r="G12" s="329"/>
      <c r="H12" s="396" t="s">
        <v>4083</v>
      </c>
      <c r="I12" s="36" t="s">
        <v>4084</v>
      </c>
    </row>
    <row r="13">
      <c r="A13" s="262">
        <v>43108.0</v>
      </c>
      <c r="F13" s="329"/>
      <c r="G13" s="329"/>
      <c r="H13" s="401"/>
    </row>
    <row r="14">
      <c r="B14" s="394" t="s">
        <v>4086</v>
      </c>
      <c r="D14" s="126" t="s">
        <v>4087</v>
      </c>
      <c r="E14" s="398" t="s">
        <v>4088</v>
      </c>
      <c r="F14" s="291" t="s">
        <v>2283</v>
      </c>
      <c r="G14" s="329"/>
      <c r="H14" s="396" t="s">
        <v>4092</v>
      </c>
      <c r="I14" s="36" t="s">
        <v>32</v>
      </c>
    </row>
    <row r="15">
      <c r="A15" s="262">
        <v>43110.0</v>
      </c>
      <c r="F15" s="329"/>
      <c r="G15" s="329"/>
      <c r="H15" s="401"/>
    </row>
    <row r="16">
      <c r="B16" s="394" t="s">
        <v>4093</v>
      </c>
      <c r="D16" s="36">
        <v>5.09291845E8</v>
      </c>
      <c r="E16" s="398" t="s">
        <v>4094</v>
      </c>
      <c r="F16" s="291" t="s">
        <v>2283</v>
      </c>
      <c r="G16" s="291" t="s">
        <v>3496</v>
      </c>
      <c r="H16" s="117" t="s">
        <v>3478</v>
      </c>
    </row>
    <row r="17">
      <c r="A17" s="262">
        <v>43113.0</v>
      </c>
      <c r="F17" s="329"/>
      <c r="G17" s="329"/>
      <c r="H17" s="401"/>
    </row>
    <row r="18">
      <c r="B18" s="394" t="s">
        <v>4096</v>
      </c>
      <c r="D18" s="124" t="s">
        <v>4097</v>
      </c>
      <c r="E18" s="398" t="s">
        <v>4098</v>
      </c>
      <c r="F18" s="291" t="s">
        <v>2283</v>
      </c>
      <c r="G18" s="291" t="s">
        <v>3496</v>
      </c>
      <c r="H18" s="396" t="s">
        <v>4102</v>
      </c>
    </row>
    <row r="19">
      <c r="B19" s="394" t="s">
        <v>4103</v>
      </c>
      <c r="D19" s="124" t="s">
        <v>4105</v>
      </c>
      <c r="E19" s="36" t="s">
        <v>4106</v>
      </c>
      <c r="F19" s="291" t="s">
        <v>2283</v>
      </c>
      <c r="G19" s="291" t="s">
        <v>3496</v>
      </c>
      <c r="H19" s="396" t="s">
        <v>4107</v>
      </c>
    </row>
    <row r="20">
      <c r="B20" s="117" t="s">
        <v>4108</v>
      </c>
      <c r="D20" s="126" t="s">
        <v>4109</v>
      </c>
      <c r="E20" s="257" t="s">
        <v>4110</v>
      </c>
      <c r="F20" s="291" t="s">
        <v>2293</v>
      </c>
      <c r="G20" s="329"/>
      <c r="H20" s="445" t="s">
        <v>4113</v>
      </c>
    </row>
    <row r="21">
      <c r="A21" s="262">
        <v>43114.0</v>
      </c>
      <c r="F21" s="329"/>
      <c r="G21" s="329"/>
      <c r="H21" s="401"/>
    </row>
    <row r="22">
      <c r="B22" s="394" t="s">
        <v>4118</v>
      </c>
      <c r="D22" s="126" t="s">
        <v>4120</v>
      </c>
      <c r="E22" s="398" t="s">
        <v>4121</v>
      </c>
      <c r="F22" s="291" t="s">
        <v>2283</v>
      </c>
      <c r="G22" s="329"/>
      <c r="H22" s="117" t="s">
        <v>4126</v>
      </c>
      <c r="I22" s="36" t="s">
        <v>32</v>
      </c>
    </row>
    <row r="23">
      <c r="A23" s="262">
        <v>43115.0</v>
      </c>
      <c r="F23" s="329"/>
      <c r="G23" s="329"/>
      <c r="H23" s="401"/>
    </row>
    <row r="24">
      <c r="B24" s="117" t="s">
        <v>4108</v>
      </c>
      <c r="D24" s="126" t="s">
        <v>4109</v>
      </c>
      <c r="E24" s="257" t="s">
        <v>4110</v>
      </c>
      <c r="F24" s="291" t="s">
        <v>2293</v>
      </c>
      <c r="G24" s="329"/>
      <c r="H24" s="257" t="s">
        <v>4128</v>
      </c>
      <c r="I24" s="36" t="s">
        <v>158</v>
      </c>
    </row>
    <row r="25">
      <c r="A25" s="262">
        <v>43116.0</v>
      </c>
      <c r="F25" s="329"/>
      <c r="G25" s="329"/>
      <c r="H25" s="401"/>
    </row>
    <row r="26">
      <c r="B26" s="394" t="s">
        <v>4135</v>
      </c>
      <c r="D26" s="126" t="s">
        <v>4136</v>
      </c>
      <c r="E26" s="398" t="s">
        <v>4137</v>
      </c>
      <c r="F26" s="291" t="s">
        <v>2283</v>
      </c>
      <c r="G26" s="329"/>
      <c r="H26" s="396" t="s">
        <v>3900</v>
      </c>
      <c r="I26" s="36" t="s">
        <v>2344</v>
      </c>
    </row>
    <row r="27">
      <c r="A27" s="262">
        <v>43118.0</v>
      </c>
      <c r="F27" s="329"/>
      <c r="G27" s="329"/>
      <c r="H27" s="401"/>
    </row>
    <row r="28">
      <c r="B28" s="394" t="s">
        <v>4141</v>
      </c>
      <c r="D28" s="126" t="s">
        <v>4143</v>
      </c>
      <c r="E28" s="398" t="s">
        <v>4144</v>
      </c>
      <c r="F28" s="291" t="s">
        <v>2283</v>
      </c>
      <c r="G28" s="329"/>
      <c r="H28" s="396" t="s">
        <v>4145</v>
      </c>
      <c r="I28" s="36" t="s">
        <v>803</v>
      </c>
    </row>
    <row r="29">
      <c r="A29" s="262">
        <v>43122.0</v>
      </c>
      <c r="F29" s="329"/>
      <c r="G29" s="329"/>
      <c r="H29" s="401"/>
    </row>
    <row r="30">
      <c r="B30" s="394" t="s">
        <v>4146</v>
      </c>
      <c r="D30" s="124" t="s">
        <v>4147</v>
      </c>
      <c r="E30" s="398" t="s">
        <v>4148</v>
      </c>
      <c r="F30" s="291" t="s">
        <v>2283</v>
      </c>
      <c r="G30" s="329"/>
      <c r="H30" s="437" t="s">
        <v>4152</v>
      </c>
      <c r="I30" s="36" t="s">
        <v>803</v>
      </c>
    </row>
    <row r="31">
      <c r="B31" s="394" t="s">
        <v>4154</v>
      </c>
      <c r="D31" s="126" t="s">
        <v>4155</v>
      </c>
      <c r="E31" s="398" t="s">
        <v>4156</v>
      </c>
      <c r="F31" s="291" t="s">
        <v>2283</v>
      </c>
      <c r="G31" s="329"/>
      <c r="H31" s="396" t="s">
        <v>4162</v>
      </c>
    </row>
    <row r="32">
      <c r="A32" s="262">
        <v>43127.0</v>
      </c>
      <c r="F32" s="329"/>
      <c r="G32" s="329"/>
      <c r="H32" s="401"/>
    </row>
    <row r="33">
      <c r="B33" s="117" t="s">
        <v>4164</v>
      </c>
      <c r="D33" s="124" t="s">
        <v>4165</v>
      </c>
      <c r="E33" s="257" t="s">
        <v>4166</v>
      </c>
      <c r="F33" s="291" t="s">
        <v>2293</v>
      </c>
      <c r="G33" s="329"/>
      <c r="H33" s="117" t="s">
        <v>4169</v>
      </c>
      <c r="I33" s="36" t="s">
        <v>32</v>
      </c>
    </row>
    <row r="34">
      <c r="B34" s="394" t="s">
        <v>4171</v>
      </c>
      <c r="D34" s="124" t="s">
        <v>4172</v>
      </c>
      <c r="E34" s="398" t="s">
        <v>4173</v>
      </c>
      <c r="F34" s="291" t="s">
        <v>2283</v>
      </c>
      <c r="G34" s="329"/>
      <c r="H34" s="396" t="s">
        <v>4178</v>
      </c>
      <c r="I34" s="36" t="s">
        <v>2311</v>
      </c>
    </row>
    <row r="35">
      <c r="A35" s="262">
        <v>43129.0</v>
      </c>
      <c r="F35" s="329"/>
      <c r="G35" s="329"/>
      <c r="H35" s="401"/>
    </row>
    <row r="36">
      <c r="B36" s="394" t="s">
        <v>4179</v>
      </c>
      <c r="D36" s="126" t="s">
        <v>4180</v>
      </c>
      <c r="E36" s="398" t="s">
        <v>4181</v>
      </c>
      <c r="F36" s="291" t="s">
        <v>2283</v>
      </c>
      <c r="G36" s="329"/>
      <c r="H36" s="396" t="s">
        <v>4183</v>
      </c>
      <c r="I36" s="36" t="s">
        <v>803</v>
      </c>
    </row>
    <row r="37">
      <c r="B37" s="117" t="s">
        <v>4185</v>
      </c>
      <c r="D37" s="126" t="s">
        <v>4186</v>
      </c>
      <c r="E37" s="257" t="s">
        <v>4187</v>
      </c>
      <c r="F37" s="291" t="s">
        <v>2293</v>
      </c>
      <c r="G37" s="329"/>
      <c r="H37" s="396" t="s">
        <v>4189</v>
      </c>
      <c r="I37" s="36" t="s">
        <v>4190</v>
      </c>
    </row>
    <row r="38">
      <c r="B38" s="222" t="s">
        <v>4191</v>
      </c>
      <c r="D38" s="124" t="s">
        <v>4192</v>
      </c>
      <c r="E38" s="403" t="s">
        <v>4193</v>
      </c>
      <c r="F38" s="404" t="s">
        <v>2440</v>
      </c>
      <c r="G38" s="501"/>
      <c r="H38" s="496" t="s">
        <v>4195</v>
      </c>
      <c r="I38" s="36" t="s">
        <v>32</v>
      </c>
    </row>
    <row r="39">
      <c r="A39" s="262">
        <v>43131.0</v>
      </c>
      <c r="F39" s="329"/>
      <c r="G39" s="329"/>
      <c r="H39" s="401"/>
    </row>
    <row r="40">
      <c r="B40" s="394" t="s">
        <v>4197</v>
      </c>
      <c r="D40" s="126" t="s">
        <v>4198</v>
      </c>
      <c r="E40" s="398" t="s">
        <v>4199</v>
      </c>
      <c r="F40" s="291" t="s">
        <v>2283</v>
      </c>
      <c r="G40" s="329"/>
      <c r="H40" s="394"/>
    </row>
    <row r="41">
      <c r="F41" s="329"/>
      <c r="G41" s="329"/>
      <c r="H41" s="401"/>
    </row>
    <row r="42">
      <c r="F42" s="329"/>
      <c r="G42" s="329"/>
      <c r="H42" s="401"/>
    </row>
    <row r="43">
      <c r="F43" s="329"/>
      <c r="G43" s="329"/>
      <c r="H43" s="401"/>
    </row>
    <row r="44">
      <c r="F44" s="329"/>
      <c r="G44" s="329"/>
      <c r="H44" s="401"/>
    </row>
    <row r="45">
      <c r="F45" s="329"/>
      <c r="G45" s="329"/>
      <c r="H45" s="401"/>
    </row>
    <row r="46">
      <c r="F46" s="329"/>
      <c r="G46" s="329"/>
      <c r="H46" s="401"/>
    </row>
    <row r="47">
      <c r="F47" s="329"/>
      <c r="G47" s="329"/>
      <c r="H47" s="401"/>
    </row>
    <row r="48">
      <c r="F48" s="329"/>
      <c r="G48" s="329"/>
      <c r="H48" s="401"/>
    </row>
    <row r="49">
      <c r="F49" s="329"/>
      <c r="G49" s="329"/>
      <c r="H49" s="401"/>
    </row>
    <row r="50">
      <c r="F50" s="329"/>
      <c r="G50" s="329"/>
      <c r="H50" s="401"/>
    </row>
    <row r="51">
      <c r="F51" s="329"/>
      <c r="G51" s="329"/>
      <c r="H51" s="401"/>
    </row>
    <row r="52">
      <c r="F52" s="329"/>
      <c r="G52" s="329"/>
      <c r="H52" s="401"/>
    </row>
    <row r="53">
      <c r="F53" s="329"/>
      <c r="G53" s="329"/>
      <c r="H53" s="401"/>
    </row>
    <row r="54">
      <c r="F54" s="329"/>
      <c r="G54" s="329"/>
      <c r="H54" s="401"/>
    </row>
    <row r="55">
      <c r="F55" s="329"/>
      <c r="G55" s="329"/>
      <c r="H55" s="401"/>
    </row>
    <row r="56">
      <c r="F56" s="329"/>
      <c r="G56" s="329"/>
      <c r="H56" s="401"/>
    </row>
    <row r="57">
      <c r="F57" s="329"/>
      <c r="G57" s="329"/>
      <c r="H57" s="401"/>
    </row>
    <row r="58">
      <c r="F58" s="329"/>
      <c r="G58" s="329"/>
      <c r="H58" s="401"/>
    </row>
    <row r="59">
      <c r="F59" s="329"/>
      <c r="G59" s="329"/>
      <c r="H59" s="401"/>
    </row>
    <row r="60">
      <c r="F60" s="329"/>
      <c r="G60" s="329"/>
      <c r="H60" s="401"/>
    </row>
    <row r="61">
      <c r="F61" s="329"/>
      <c r="G61" s="329"/>
      <c r="H61" s="401"/>
    </row>
    <row r="62">
      <c r="F62" s="329"/>
      <c r="G62" s="329"/>
      <c r="H62" s="401"/>
    </row>
    <row r="63">
      <c r="F63" s="329"/>
      <c r="G63" s="329"/>
      <c r="H63" s="401"/>
    </row>
    <row r="64">
      <c r="F64" s="329"/>
      <c r="G64" s="329"/>
      <c r="H64" s="401"/>
    </row>
    <row r="65">
      <c r="F65" s="329"/>
      <c r="G65" s="329"/>
      <c r="H65" s="401"/>
    </row>
    <row r="66">
      <c r="F66" s="329"/>
      <c r="G66" s="329"/>
      <c r="H66" s="401"/>
    </row>
    <row r="67">
      <c r="F67" s="329"/>
      <c r="G67" s="329"/>
      <c r="H67" s="401"/>
    </row>
    <row r="68">
      <c r="F68" s="329"/>
      <c r="G68" s="329"/>
      <c r="H68" s="401"/>
    </row>
    <row r="69">
      <c r="F69" s="329"/>
      <c r="G69" s="329"/>
      <c r="H69" s="401"/>
    </row>
    <row r="70">
      <c r="F70" s="329"/>
      <c r="G70" s="329"/>
      <c r="H70" s="401"/>
    </row>
    <row r="71">
      <c r="F71" s="329"/>
      <c r="G71" s="329"/>
      <c r="H71" s="401"/>
    </row>
    <row r="72">
      <c r="F72" s="329"/>
      <c r="G72" s="329"/>
      <c r="H72" s="401"/>
    </row>
    <row r="73">
      <c r="F73" s="329"/>
      <c r="G73" s="329"/>
      <c r="H73" s="401"/>
    </row>
    <row r="74">
      <c r="F74" s="329"/>
      <c r="G74" s="329"/>
      <c r="H74" s="401"/>
    </row>
    <row r="75">
      <c r="F75" s="329"/>
      <c r="G75" s="329"/>
      <c r="H75" s="401"/>
    </row>
    <row r="76">
      <c r="F76" s="329"/>
      <c r="G76" s="329"/>
      <c r="H76" s="401"/>
    </row>
    <row r="77">
      <c r="F77" s="329"/>
      <c r="G77" s="329"/>
      <c r="H77" s="401"/>
    </row>
    <row r="78">
      <c r="F78" s="329"/>
      <c r="G78" s="329"/>
      <c r="H78" s="401"/>
    </row>
    <row r="79">
      <c r="F79" s="329"/>
      <c r="G79" s="329"/>
      <c r="H79" s="401"/>
    </row>
    <row r="80">
      <c r="F80" s="329"/>
      <c r="G80" s="329"/>
      <c r="H80" s="401"/>
    </row>
    <row r="81">
      <c r="F81" s="329"/>
      <c r="G81" s="329"/>
      <c r="H81" s="401"/>
    </row>
    <row r="82">
      <c r="F82" s="329"/>
      <c r="G82" s="329"/>
      <c r="H82" s="401"/>
    </row>
    <row r="83">
      <c r="F83" s="329"/>
      <c r="G83" s="329"/>
      <c r="H83" s="401"/>
    </row>
    <row r="84">
      <c r="F84" s="329"/>
      <c r="G84" s="329"/>
      <c r="H84" s="401"/>
    </row>
    <row r="85">
      <c r="F85" s="329"/>
      <c r="G85" s="329"/>
      <c r="H85" s="401"/>
    </row>
    <row r="86">
      <c r="F86" s="329"/>
      <c r="G86" s="329"/>
      <c r="H86" s="401"/>
    </row>
    <row r="87">
      <c r="F87" s="329"/>
      <c r="G87" s="329"/>
      <c r="H87" s="401"/>
    </row>
    <row r="88">
      <c r="F88" s="329"/>
      <c r="G88" s="329"/>
      <c r="H88" s="401"/>
    </row>
    <row r="89">
      <c r="F89" s="329"/>
      <c r="G89" s="329"/>
      <c r="H89" s="401"/>
    </row>
    <row r="90">
      <c r="F90" s="329"/>
      <c r="G90" s="329"/>
      <c r="H90" s="401"/>
    </row>
    <row r="91">
      <c r="F91" s="329"/>
      <c r="G91" s="329"/>
      <c r="H91" s="401"/>
    </row>
    <row r="92">
      <c r="F92" s="329"/>
      <c r="G92" s="329"/>
      <c r="H92" s="401"/>
    </row>
    <row r="93">
      <c r="F93" s="329"/>
      <c r="G93" s="329"/>
      <c r="H93" s="401"/>
    </row>
    <row r="94">
      <c r="F94" s="329"/>
      <c r="G94" s="329"/>
      <c r="H94" s="401"/>
    </row>
    <row r="95">
      <c r="F95" s="329"/>
      <c r="G95" s="329"/>
      <c r="H95" s="401"/>
    </row>
    <row r="96">
      <c r="F96" s="329"/>
      <c r="G96" s="329"/>
      <c r="H96" s="401"/>
    </row>
    <row r="97">
      <c r="F97" s="329"/>
      <c r="G97" s="329"/>
      <c r="H97" s="401"/>
    </row>
    <row r="98">
      <c r="F98" s="329"/>
      <c r="G98" s="329"/>
      <c r="H98" s="401"/>
    </row>
    <row r="99">
      <c r="F99" s="329"/>
      <c r="G99" s="329"/>
      <c r="H99" s="401"/>
    </row>
    <row r="100">
      <c r="F100" s="329"/>
      <c r="G100" s="329"/>
      <c r="H100" s="401"/>
    </row>
    <row r="101">
      <c r="F101" s="329"/>
      <c r="G101" s="329"/>
      <c r="H101" s="401"/>
    </row>
    <row r="102">
      <c r="F102" s="329"/>
      <c r="G102" s="329"/>
      <c r="H102" s="401"/>
    </row>
    <row r="103">
      <c r="F103" s="329"/>
      <c r="G103" s="329"/>
      <c r="H103" s="401"/>
    </row>
    <row r="104">
      <c r="F104" s="329"/>
      <c r="G104" s="329"/>
      <c r="H104" s="401"/>
    </row>
    <row r="105">
      <c r="F105" s="329"/>
      <c r="G105" s="329"/>
      <c r="H105" s="401"/>
    </row>
    <row r="106">
      <c r="F106" s="329"/>
      <c r="G106" s="329"/>
      <c r="H106" s="401"/>
    </row>
    <row r="107">
      <c r="F107" s="329"/>
      <c r="G107" s="329"/>
      <c r="H107" s="401"/>
    </row>
    <row r="108">
      <c r="F108" s="329"/>
      <c r="G108" s="329"/>
      <c r="H108" s="401"/>
    </row>
    <row r="109">
      <c r="F109" s="329"/>
      <c r="G109" s="329"/>
      <c r="H109" s="401"/>
    </row>
    <row r="110">
      <c r="F110" s="329"/>
      <c r="G110" s="329"/>
      <c r="H110" s="401"/>
    </row>
    <row r="111">
      <c r="F111" s="329"/>
      <c r="G111" s="329"/>
      <c r="H111" s="401"/>
    </row>
    <row r="112">
      <c r="F112" s="329"/>
      <c r="G112" s="329"/>
      <c r="H112" s="401"/>
    </row>
    <row r="113">
      <c r="F113" s="329"/>
      <c r="G113" s="329"/>
      <c r="H113" s="401"/>
    </row>
    <row r="114">
      <c r="F114" s="329"/>
      <c r="G114" s="329"/>
      <c r="H114" s="401"/>
    </row>
    <row r="115">
      <c r="F115" s="329"/>
      <c r="G115" s="329"/>
      <c r="H115" s="401"/>
    </row>
    <row r="116">
      <c r="F116" s="329"/>
      <c r="G116" s="329"/>
      <c r="H116" s="401"/>
    </row>
    <row r="117">
      <c r="F117" s="329"/>
      <c r="G117" s="329"/>
      <c r="H117" s="401"/>
    </row>
    <row r="118">
      <c r="F118" s="329"/>
      <c r="G118" s="329"/>
      <c r="H118" s="401"/>
    </row>
    <row r="119">
      <c r="F119" s="329"/>
      <c r="G119" s="329"/>
      <c r="H119" s="401"/>
    </row>
    <row r="120">
      <c r="F120" s="329"/>
      <c r="G120" s="329"/>
      <c r="H120" s="401"/>
    </row>
    <row r="121">
      <c r="F121" s="329"/>
      <c r="G121" s="329"/>
      <c r="H121" s="401"/>
    </row>
    <row r="122">
      <c r="F122" s="329"/>
      <c r="G122" s="329"/>
      <c r="H122" s="401"/>
    </row>
    <row r="123">
      <c r="F123" s="329"/>
      <c r="G123" s="329"/>
      <c r="H123" s="401"/>
    </row>
    <row r="124">
      <c r="F124" s="329"/>
      <c r="G124" s="329"/>
      <c r="H124" s="401"/>
    </row>
    <row r="125">
      <c r="F125" s="329"/>
      <c r="G125" s="329"/>
      <c r="H125" s="401"/>
    </row>
    <row r="126">
      <c r="F126" s="329"/>
      <c r="G126" s="329"/>
      <c r="H126" s="401"/>
    </row>
    <row r="127">
      <c r="F127" s="329"/>
      <c r="G127" s="329"/>
      <c r="H127" s="401"/>
    </row>
    <row r="128">
      <c r="F128" s="329"/>
      <c r="G128" s="329"/>
      <c r="H128" s="401"/>
    </row>
    <row r="129">
      <c r="F129" s="329"/>
      <c r="G129" s="329"/>
      <c r="H129" s="401"/>
    </row>
    <row r="130">
      <c r="F130" s="329"/>
      <c r="G130" s="329"/>
      <c r="H130" s="401"/>
    </row>
    <row r="131">
      <c r="F131" s="329"/>
      <c r="G131" s="329"/>
      <c r="H131" s="401"/>
    </row>
    <row r="132">
      <c r="F132" s="329"/>
      <c r="G132" s="329"/>
      <c r="H132" s="401"/>
    </row>
    <row r="133">
      <c r="F133" s="329"/>
      <c r="G133" s="329"/>
      <c r="H133" s="401"/>
    </row>
    <row r="134">
      <c r="F134" s="329"/>
      <c r="G134" s="329"/>
      <c r="H134" s="401"/>
    </row>
    <row r="135">
      <c r="F135" s="329"/>
      <c r="G135" s="329"/>
      <c r="H135" s="401"/>
    </row>
    <row r="136">
      <c r="F136" s="329"/>
      <c r="G136" s="329"/>
      <c r="H136" s="401"/>
    </row>
    <row r="137">
      <c r="F137" s="329"/>
      <c r="G137" s="329"/>
      <c r="H137" s="401"/>
    </row>
    <row r="138">
      <c r="F138" s="329"/>
      <c r="G138" s="329"/>
      <c r="H138" s="401"/>
    </row>
    <row r="139">
      <c r="F139" s="329"/>
      <c r="G139" s="329"/>
      <c r="H139" s="401"/>
    </row>
    <row r="140">
      <c r="F140" s="329"/>
      <c r="G140" s="329"/>
      <c r="H140" s="401"/>
    </row>
    <row r="141">
      <c r="F141" s="329"/>
      <c r="G141" s="329"/>
      <c r="H141" s="401"/>
    </row>
    <row r="142">
      <c r="F142" s="329"/>
      <c r="G142" s="329"/>
      <c r="H142" s="401"/>
    </row>
    <row r="143">
      <c r="F143" s="329"/>
      <c r="G143" s="329"/>
      <c r="H143" s="401"/>
    </row>
    <row r="144">
      <c r="F144" s="329"/>
      <c r="G144" s="329"/>
      <c r="H144" s="401"/>
    </row>
    <row r="145">
      <c r="F145" s="329"/>
      <c r="G145" s="329"/>
      <c r="H145" s="401"/>
    </row>
    <row r="146">
      <c r="F146" s="329"/>
      <c r="G146" s="329"/>
      <c r="H146" s="401"/>
    </row>
    <row r="147">
      <c r="F147" s="329"/>
      <c r="G147" s="329"/>
      <c r="H147" s="401"/>
    </row>
    <row r="148">
      <c r="F148" s="329"/>
      <c r="G148" s="329"/>
      <c r="H148" s="401"/>
    </row>
    <row r="149">
      <c r="F149" s="329"/>
      <c r="G149" s="329"/>
      <c r="H149" s="401"/>
    </row>
    <row r="150">
      <c r="F150" s="329"/>
      <c r="G150" s="329"/>
      <c r="H150" s="401"/>
    </row>
    <row r="151">
      <c r="F151" s="329"/>
      <c r="G151" s="329"/>
      <c r="H151" s="401"/>
    </row>
    <row r="152">
      <c r="F152" s="329"/>
      <c r="G152" s="329"/>
      <c r="H152" s="401"/>
    </row>
    <row r="153">
      <c r="F153" s="329"/>
      <c r="G153" s="329"/>
      <c r="H153" s="401"/>
    </row>
    <row r="154">
      <c r="F154" s="329"/>
      <c r="G154" s="329"/>
      <c r="H154" s="401"/>
    </row>
    <row r="155">
      <c r="F155" s="329"/>
      <c r="G155" s="329"/>
      <c r="H155" s="401"/>
    </row>
    <row r="156">
      <c r="F156" s="329"/>
      <c r="G156" s="329"/>
      <c r="H156" s="401"/>
    </row>
    <row r="157">
      <c r="F157" s="329"/>
      <c r="G157" s="329"/>
      <c r="H157" s="401"/>
    </row>
    <row r="158">
      <c r="F158" s="329"/>
      <c r="G158" s="329"/>
      <c r="H158" s="401"/>
    </row>
    <row r="159">
      <c r="F159" s="329"/>
      <c r="G159" s="329"/>
      <c r="H159" s="401"/>
    </row>
    <row r="160">
      <c r="F160" s="329"/>
      <c r="G160" s="329"/>
      <c r="H160" s="401"/>
    </row>
    <row r="161">
      <c r="F161" s="329"/>
      <c r="G161" s="329"/>
      <c r="H161" s="401"/>
    </row>
    <row r="162">
      <c r="F162" s="329"/>
      <c r="G162" s="329"/>
      <c r="H162" s="401"/>
    </row>
    <row r="163">
      <c r="F163" s="329"/>
      <c r="G163" s="329"/>
      <c r="H163" s="401"/>
    </row>
    <row r="164">
      <c r="F164" s="329"/>
      <c r="G164" s="329"/>
      <c r="H164" s="401"/>
    </row>
    <row r="165">
      <c r="F165" s="329"/>
      <c r="G165" s="329"/>
      <c r="H165" s="401"/>
    </row>
    <row r="166">
      <c r="F166" s="329"/>
      <c r="G166" s="329"/>
      <c r="H166" s="401"/>
    </row>
    <row r="167">
      <c r="F167" s="329"/>
      <c r="G167" s="329"/>
      <c r="H167" s="401"/>
    </row>
    <row r="168">
      <c r="F168" s="329"/>
      <c r="G168" s="329"/>
      <c r="H168" s="401"/>
    </row>
    <row r="169">
      <c r="F169" s="329"/>
      <c r="G169" s="329"/>
      <c r="H169" s="401"/>
    </row>
    <row r="170">
      <c r="F170" s="329"/>
      <c r="G170" s="329"/>
      <c r="H170" s="401"/>
    </row>
    <row r="171">
      <c r="F171" s="329"/>
      <c r="G171" s="329"/>
      <c r="H171" s="401"/>
    </row>
    <row r="172">
      <c r="F172" s="329"/>
      <c r="G172" s="329"/>
      <c r="H172" s="401"/>
    </row>
    <row r="173">
      <c r="F173" s="329"/>
      <c r="G173" s="329"/>
      <c r="H173" s="401"/>
    </row>
    <row r="174">
      <c r="F174" s="329"/>
      <c r="G174" s="329"/>
      <c r="H174" s="401"/>
    </row>
    <row r="175">
      <c r="F175" s="329"/>
      <c r="G175" s="329"/>
      <c r="H175" s="401"/>
    </row>
    <row r="176">
      <c r="F176" s="329"/>
      <c r="G176" s="329"/>
      <c r="H176" s="401"/>
    </row>
    <row r="177">
      <c r="F177" s="329"/>
      <c r="G177" s="329"/>
      <c r="H177" s="401"/>
    </row>
    <row r="178">
      <c r="F178" s="329"/>
      <c r="G178" s="329"/>
      <c r="H178" s="401"/>
    </row>
    <row r="179">
      <c r="F179" s="329"/>
      <c r="G179" s="329"/>
      <c r="H179" s="401"/>
    </row>
    <row r="180">
      <c r="F180" s="329"/>
      <c r="G180" s="329"/>
      <c r="H180" s="401"/>
    </row>
    <row r="181">
      <c r="F181" s="329"/>
      <c r="G181" s="329"/>
      <c r="H181" s="401"/>
    </row>
    <row r="182">
      <c r="F182" s="329"/>
      <c r="G182" s="329"/>
      <c r="H182" s="401"/>
    </row>
    <row r="183">
      <c r="F183" s="329"/>
      <c r="G183" s="329"/>
      <c r="H183" s="401"/>
    </row>
    <row r="184">
      <c r="F184" s="329"/>
      <c r="G184" s="329"/>
      <c r="H184" s="401"/>
    </row>
    <row r="185">
      <c r="F185" s="329"/>
      <c r="G185" s="329"/>
      <c r="H185" s="401"/>
    </row>
    <row r="186">
      <c r="F186" s="329"/>
      <c r="G186" s="329"/>
      <c r="H186" s="401"/>
    </row>
    <row r="187">
      <c r="F187" s="329"/>
      <c r="G187" s="329"/>
      <c r="H187" s="401"/>
    </row>
    <row r="188">
      <c r="F188" s="329"/>
      <c r="G188" s="329"/>
      <c r="H188" s="401"/>
    </row>
    <row r="189">
      <c r="F189" s="329"/>
      <c r="G189" s="329"/>
      <c r="H189" s="401"/>
    </row>
    <row r="190">
      <c r="F190" s="329"/>
      <c r="G190" s="329"/>
      <c r="H190" s="401"/>
    </row>
    <row r="191">
      <c r="F191" s="329"/>
      <c r="G191" s="329"/>
      <c r="H191" s="401"/>
    </row>
    <row r="192">
      <c r="F192" s="329"/>
      <c r="G192" s="329"/>
      <c r="H192" s="401"/>
    </row>
    <row r="193">
      <c r="F193" s="329"/>
      <c r="G193" s="329"/>
      <c r="H193" s="401"/>
    </row>
    <row r="194">
      <c r="F194" s="329"/>
      <c r="G194" s="329"/>
      <c r="H194" s="401"/>
    </row>
    <row r="195">
      <c r="F195" s="329"/>
      <c r="G195" s="329"/>
      <c r="H195" s="401"/>
    </row>
    <row r="196">
      <c r="F196" s="329"/>
      <c r="G196" s="329"/>
      <c r="H196" s="401"/>
    </row>
    <row r="197">
      <c r="F197" s="329"/>
      <c r="G197" s="329"/>
      <c r="H197" s="401"/>
    </row>
    <row r="198">
      <c r="F198" s="329"/>
      <c r="G198" s="329"/>
      <c r="H198" s="401"/>
    </row>
    <row r="199">
      <c r="F199" s="329"/>
      <c r="G199" s="329"/>
      <c r="H199" s="401"/>
    </row>
    <row r="200">
      <c r="F200" s="329"/>
      <c r="G200" s="329"/>
      <c r="H200" s="401"/>
    </row>
    <row r="201">
      <c r="F201" s="329"/>
      <c r="G201" s="329"/>
      <c r="H201" s="401"/>
    </row>
    <row r="202">
      <c r="F202" s="329"/>
      <c r="G202" s="329"/>
      <c r="H202" s="401"/>
    </row>
    <row r="203">
      <c r="F203" s="329"/>
      <c r="G203" s="329"/>
      <c r="H203" s="401"/>
    </row>
    <row r="204">
      <c r="F204" s="329"/>
      <c r="G204" s="329"/>
      <c r="H204" s="401"/>
    </row>
    <row r="205">
      <c r="F205" s="329"/>
      <c r="G205" s="329"/>
      <c r="H205" s="401"/>
    </row>
    <row r="206">
      <c r="F206" s="329"/>
      <c r="G206" s="329"/>
      <c r="H206" s="401"/>
    </row>
    <row r="207">
      <c r="F207" s="329"/>
      <c r="G207" s="329"/>
      <c r="H207" s="401"/>
    </row>
    <row r="208">
      <c r="F208" s="329"/>
      <c r="G208" s="329"/>
      <c r="H208" s="401"/>
    </row>
    <row r="209">
      <c r="F209" s="329"/>
      <c r="G209" s="329"/>
      <c r="H209" s="401"/>
    </row>
    <row r="210">
      <c r="F210" s="329"/>
      <c r="G210" s="329"/>
      <c r="H210" s="401"/>
    </row>
    <row r="211">
      <c r="F211" s="329"/>
      <c r="G211" s="329"/>
      <c r="H211" s="401"/>
    </row>
    <row r="212">
      <c r="F212" s="329"/>
      <c r="G212" s="329"/>
      <c r="H212" s="401"/>
    </row>
    <row r="213">
      <c r="F213" s="329"/>
      <c r="G213" s="329"/>
      <c r="H213" s="401"/>
    </row>
    <row r="214">
      <c r="F214" s="329"/>
      <c r="G214" s="329"/>
      <c r="H214" s="401"/>
    </row>
    <row r="215">
      <c r="F215" s="329"/>
      <c r="G215" s="329"/>
      <c r="H215" s="401"/>
    </row>
    <row r="216">
      <c r="F216" s="329"/>
      <c r="G216" s="329"/>
      <c r="H216" s="401"/>
    </row>
    <row r="217">
      <c r="F217" s="329"/>
      <c r="G217" s="329"/>
      <c r="H217" s="401"/>
    </row>
    <row r="218">
      <c r="F218" s="329"/>
      <c r="G218" s="329"/>
      <c r="H218" s="401"/>
    </row>
    <row r="219">
      <c r="F219" s="329"/>
      <c r="G219" s="329"/>
      <c r="H219" s="401"/>
    </row>
    <row r="220">
      <c r="F220" s="329"/>
      <c r="G220" s="329"/>
      <c r="H220" s="401"/>
    </row>
    <row r="221">
      <c r="F221" s="329"/>
      <c r="G221" s="329"/>
      <c r="H221" s="401"/>
    </row>
    <row r="222">
      <c r="F222" s="329"/>
      <c r="G222" s="329"/>
      <c r="H222" s="401"/>
    </row>
    <row r="223">
      <c r="F223" s="329"/>
      <c r="G223" s="329"/>
      <c r="H223" s="401"/>
    </row>
    <row r="224">
      <c r="F224" s="329"/>
      <c r="G224" s="329"/>
      <c r="H224" s="401"/>
    </row>
    <row r="225">
      <c r="F225" s="329"/>
      <c r="G225" s="329"/>
      <c r="H225" s="401"/>
    </row>
    <row r="226">
      <c r="F226" s="329"/>
      <c r="G226" s="329"/>
      <c r="H226" s="401"/>
    </row>
    <row r="227">
      <c r="F227" s="329"/>
      <c r="G227" s="329"/>
      <c r="H227" s="401"/>
    </row>
    <row r="228">
      <c r="F228" s="329"/>
      <c r="G228" s="329"/>
      <c r="H228" s="401"/>
    </row>
    <row r="229">
      <c r="F229" s="329"/>
      <c r="G229" s="329"/>
      <c r="H229" s="401"/>
    </row>
    <row r="230">
      <c r="F230" s="329"/>
      <c r="G230" s="329"/>
      <c r="H230" s="401"/>
    </row>
    <row r="231">
      <c r="F231" s="329"/>
      <c r="G231" s="329"/>
      <c r="H231" s="401"/>
    </row>
    <row r="232">
      <c r="F232" s="329"/>
      <c r="G232" s="329"/>
      <c r="H232" s="401"/>
    </row>
    <row r="233">
      <c r="F233" s="329"/>
      <c r="G233" s="329"/>
      <c r="H233" s="401"/>
    </row>
    <row r="234">
      <c r="F234" s="329"/>
      <c r="G234" s="329"/>
      <c r="H234" s="401"/>
    </row>
    <row r="235">
      <c r="F235" s="329"/>
      <c r="G235" s="329"/>
      <c r="H235" s="401"/>
    </row>
    <row r="236">
      <c r="F236" s="329"/>
      <c r="G236" s="329"/>
      <c r="H236" s="401"/>
    </row>
    <row r="237">
      <c r="F237" s="329"/>
      <c r="G237" s="329"/>
      <c r="H237" s="401"/>
    </row>
    <row r="238">
      <c r="F238" s="329"/>
      <c r="G238" s="329"/>
      <c r="H238" s="401"/>
    </row>
    <row r="239">
      <c r="F239" s="329"/>
      <c r="G239" s="329"/>
      <c r="H239" s="401"/>
    </row>
    <row r="240">
      <c r="F240" s="329"/>
      <c r="G240" s="329"/>
      <c r="H240" s="401"/>
    </row>
    <row r="241">
      <c r="F241" s="329"/>
      <c r="G241" s="329"/>
      <c r="H241" s="401"/>
    </row>
    <row r="242">
      <c r="F242" s="329"/>
      <c r="G242" s="329"/>
      <c r="H242" s="401"/>
    </row>
    <row r="243">
      <c r="F243" s="329"/>
      <c r="G243" s="329"/>
      <c r="H243" s="401"/>
    </row>
    <row r="244">
      <c r="F244" s="329"/>
      <c r="G244" s="329"/>
      <c r="H244" s="401"/>
    </row>
    <row r="245">
      <c r="F245" s="329"/>
      <c r="G245" s="329"/>
      <c r="H245" s="401"/>
    </row>
    <row r="246">
      <c r="F246" s="329"/>
      <c r="G246" s="329"/>
      <c r="H246" s="401"/>
    </row>
    <row r="247">
      <c r="F247" s="329"/>
      <c r="G247" s="329"/>
      <c r="H247" s="401"/>
    </row>
    <row r="248">
      <c r="F248" s="329"/>
      <c r="G248" s="329"/>
      <c r="H248" s="401"/>
    </row>
    <row r="249">
      <c r="F249" s="329"/>
      <c r="G249" s="329"/>
      <c r="H249" s="401"/>
    </row>
    <row r="250">
      <c r="F250" s="329"/>
      <c r="G250" s="329"/>
      <c r="H250" s="401"/>
    </row>
    <row r="251">
      <c r="F251" s="329"/>
      <c r="G251" s="329"/>
      <c r="H251" s="401"/>
    </row>
    <row r="252">
      <c r="F252" s="329"/>
      <c r="G252" s="329"/>
      <c r="H252" s="401"/>
    </row>
    <row r="253">
      <c r="F253" s="329"/>
      <c r="G253" s="329"/>
      <c r="H253" s="401"/>
    </row>
    <row r="254">
      <c r="F254" s="329"/>
      <c r="G254" s="329"/>
      <c r="H254" s="401"/>
    </row>
    <row r="255">
      <c r="F255" s="329"/>
      <c r="G255" s="329"/>
      <c r="H255" s="401"/>
    </row>
    <row r="256">
      <c r="F256" s="329"/>
      <c r="G256" s="329"/>
      <c r="H256" s="401"/>
    </row>
    <row r="257">
      <c r="F257" s="329"/>
      <c r="G257" s="329"/>
      <c r="H257" s="401"/>
    </row>
    <row r="258">
      <c r="F258" s="329"/>
      <c r="G258" s="329"/>
      <c r="H258" s="401"/>
    </row>
    <row r="259">
      <c r="F259" s="329"/>
      <c r="G259" s="329"/>
      <c r="H259" s="401"/>
    </row>
    <row r="260">
      <c r="F260" s="329"/>
      <c r="G260" s="329"/>
      <c r="H260" s="401"/>
    </row>
    <row r="261">
      <c r="F261" s="329"/>
      <c r="G261" s="329"/>
      <c r="H261" s="401"/>
    </row>
    <row r="262">
      <c r="F262" s="329"/>
      <c r="G262" s="329"/>
      <c r="H262" s="401"/>
    </row>
    <row r="263">
      <c r="F263" s="329"/>
      <c r="G263" s="329"/>
      <c r="H263" s="401"/>
    </row>
    <row r="264">
      <c r="F264" s="329"/>
      <c r="G264" s="329"/>
      <c r="H264" s="401"/>
    </row>
    <row r="265">
      <c r="F265" s="329"/>
      <c r="G265" s="329"/>
      <c r="H265" s="401"/>
    </row>
    <row r="266">
      <c r="F266" s="329"/>
      <c r="G266" s="329"/>
      <c r="H266" s="401"/>
    </row>
    <row r="267">
      <c r="F267" s="329"/>
      <c r="G267" s="329"/>
      <c r="H267" s="401"/>
    </row>
    <row r="268">
      <c r="F268" s="329"/>
      <c r="G268" s="329"/>
      <c r="H268" s="401"/>
    </row>
    <row r="269">
      <c r="F269" s="329"/>
      <c r="G269" s="329"/>
      <c r="H269" s="401"/>
    </row>
    <row r="270">
      <c r="F270" s="329"/>
      <c r="G270" s="329"/>
      <c r="H270" s="401"/>
    </row>
    <row r="271">
      <c r="F271" s="329"/>
      <c r="G271" s="329"/>
      <c r="H271" s="401"/>
    </row>
    <row r="272">
      <c r="F272" s="329"/>
      <c r="G272" s="329"/>
      <c r="H272" s="401"/>
    </row>
    <row r="273">
      <c r="F273" s="329"/>
      <c r="G273" s="329"/>
      <c r="H273" s="401"/>
    </row>
    <row r="274">
      <c r="F274" s="329"/>
      <c r="G274" s="329"/>
      <c r="H274" s="401"/>
    </row>
    <row r="275">
      <c r="F275" s="329"/>
      <c r="G275" s="329"/>
      <c r="H275" s="401"/>
    </row>
    <row r="276">
      <c r="F276" s="329"/>
      <c r="G276" s="329"/>
      <c r="H276" s="401"/>
    </row>
    <row r="277">
      <c r="F277" s="329"/>
      <c r="G277" s="329"/>
      <c r="H277" s="401"/>
    </row>
    <row r="278">
      <c r="F278" s="329"/>
      <c r="G278" s="329"/>
      <c r="H278" s="401"/>
    </row>
    <row r="279">
      <c r="F279" s="329"/>
      <c r="G279" s="329"/>
      <c r="H279" s="401"/>
    </row>
    <row r="280">
      <c r="F280" s="329"/>
      <c r="G280" s="329"/>
      <c r="H280" s="401"/>
    </row>
    <row r="281">
      <c r="F281" s="329"/>
      <c r="G281" s="329"/>
      <c r="H281" s="401"/>
    </row>
    <row r="282">
      <c r="F282" s="329"/>
      <c r="G282" s="329"/>
      <c r="H282" s="401"/>
    </row>
    <row r="283">
      <c r="F283" s="329"/>
      <c r="G283" s="329"/>
      <c r="H283" s="401"/>
    </row>
    <row r="284">
      <c r="F284" s="329"/>
      <c r="G284" s="329"/>
      <c r="H284" s="401"/>
    </row>
    <row r="285">
      <c r="F285" s="329"/>
      <c r="G285" s="329"/>
      <c r="H285" s="401"/>
    </row>
    <row r="286">
      <c r="F286" s="329"/>
      <c r="G286" s="329"/>
      <c r="H286" s="401"/>
    </row>
    <row r="287">
      <c r="F287" s="329"/>
      <c r="G287" s="329"/>
      <c r="H287" s="401"/>
    </row>
    <row r="288">
      <c r="F288" s="329"/>
      <c r="G288" s="329"/>
      <c r="H288" s="401"/>
    </row>
    <row r="289">
      <c r="F289" s="329"/>
      <c r="G289" s="329"/>
      <c r="H289" s="401"/>
    </row>
    <row r="290">
      <c r="F290" s="329"/>
      <c r="G290" s="329"/>
      <c r="H290" s="401"/>
    </row>
    <row r="291">
      <c r="F291" s="329"/>
      <c r="G291" s="329"/>
      <c r="H291" s="401"/>
    </row>
    <row r="292">
      <c r="F292" s="329"/>
      <c r="G292" s="329"/>
      <c r="H292" s="401"/>
    </row>
    <row r="293">
      <c r="F293" s="329"/>
      <c r="G293" s="329"/>
      <c r="H293" s="401"/>
    </row>
    <row r="294">
      <c r="F294" s="329"/>
      <c r="G294" s="329"/>
      <c r="H294" s="401"/>
    </row>
    <row r="295">
      <c r="F295" s="329"/>
      <c r="G295" s="329"/>
      <c r="H295" s="401"/>
    </row>
    <row r="296">
      <c r="F296" s="329"/>
      <c r="G296" s="329"/>
      <c r="H296" s="401"/>
    </row>
    <row r="297">
      <c r="F297" s="329"/>
      <c r="G297" s="329"/>
      <c r="H297" s="401"/>
    </row>
    <row r="298">
      <c r="F298" s="329"/>
      <c r="G298" s="329"/>
      <c r="H298" s="401"/>
    </row>
    <row r="299">
      <c r="F299" s="329"/>
      <c r="G299" s="329"/>
      <c r="H299" s="401"/>
    </row>
    <row r="300">
      <c r="F300" s="329"/>
      <c r="G300" s="329"/>
      <c r="H300" s="401"/>
    </row>
    <row r="301">
      <c r="F301" s="329"/>
      <c r="G301" s="329"/>
      <c r="H301" s="401"/>
    </row>
    <row r="302">
      <c r="F302" s="329"/>
      <c r="G302" s="329"/>
      <c r="H302" s="401"/>
    </row>
    <row r="303">
      <c r="F303" s="329"/>
      <c r="G303" s="329"/>
      <c r="H303" s="401"/>
    </row>
    <row r="304">
      <c r="F304" s="329"/>
      <c r="G304" s="329"/>
      <c r="H304" s="401"/>
    </row>
    <row r="305">
      <c r="F305" s="329"/>
      <c r="G305" s="329"/>
      <c r="H305" s="401"/>
    </row>
    <row r="306">
      <c r="F306" s="329"/>
      <c r="G306" s="329"/>
      <c r="H306" s="401"/>
    </row>
    <row r="307">
      <c r="F307" s="329"/>
      <c r="G307" s="329"/>
      <c r="H307" s="401"/>
    </row>
    <row r="308">
      <c r="F308" s="329"/>
      <c r="G308" s="329"/>
      <c r="H308" s="401"/>
    </row>
    <row r="309">
      <c r="F309" s="329"/>
      <c r="G309" s="329"/>
      <c r="H309" s="401"/>
    </row>
    <row r="310">
      <c r="F310" s="329"/>
      <c r="G310" s="329"/>
      <c r="H310" s="401"/>
    </row>
    <row r="311">
      <c r="F311" s="329"/>
      <c r="G311" s="329"/>
      <c r="H311" s="401"/>
    </row>
    <row r="312">
      <c r="F312" s="329"/>
      <c r="G312" s="329"/>
      <c r="H312" s="401"/>
    </row>
    <row r="313">
      <c r="F313" s="329"/>
      <c r="G313" s="329"/>
      <c r="H313" s="401"/>
    </row>
    <row r="314">
      <c r="F314" s="329"/>
      <c r="G314" s="329"/>
      <c r="H314" s="401"/>
    </row>
    <row r="315">
      <c r="F315" s="329"/>
      <c r="G315" s="329"/>
      <c r="H315" s="401"/>
    </row>
    <row r="316">
      <c r="F316" s="329"/>
      <c r="G316" s="329"/>
      <c r="H316" s="401"/>
    </row>
    <row r="317">
      <c r="F317" s="329"/>
      <c r="G317" s="329"/>
      <c r="H317" s="401"/>
    </row>
    <row r="318">
      <c r="F318" s="329"/>
      <c r="G318" s="329"/>
      <c r="H318" s="401"/>
    </row>
    <row r="319">
      <c r="F319" s="329"/>
      <c r="G319" s="329"/>
      <c r="H319" s="401"/>
    </row>
    <row r="320">
      <c r="F320" s="329"/>
      <c r="G320" s="329"/>
      <c r="H320" s="401"/>
    </row>
    <row r="321">
      <c r="F321" s="329"/>
      <c r="G321" s="329"/>
      <c r="H321" s="401"/>
    </row>
    <row r="322">
      <c r="F322" s="329"/>
      <c r="G322" s="329"/>
      <c r="H322" s="401"/>
    </row>
    <row r="323">
      <c r="F323" s="329"/>
      <c r="G323" s="329"/>
      <c r="H323" s="401"/>
    </row>
    <row r="324">
      <c r="F324" s="329"/>
      <c r="G324" s="329"/>
      <c r="H324" s="401"/>
    </row>
    <row r="325">
      <c r="F325" s="329"/>
      <c r="G325" s="329"/>
      <c r="H325" s="401"/>
    </row>
    <row r="326">
      <c r="F326" s="329"/>
      <c r="G326" s="329"/>
      <c r="H326" s="401"/>
    </row>
    <row r="327">
      <c r="F327" s="329"/>
      <c r="G327" s="329"/>
      <c r="H327" s="401"/>
    </row>
    <row r="328">
      <c r="F328" s="329"/>
      <c r="G328" s="329"/>
      <c r="H328" s="401"/>
    </row>
    <row r="329">
      <c r="F329" s="329"/>
      <c r="G329" s="329"/>
      <c r="H329" s="401"/>
    </row>
    <row r="330">
      <c r="F330" s="329"/>
      <c r="G330" s="329"/>
      <c r="H330" s="401"/>
    </row>
    <row r="331">
      <c r="F331" s="329"/>
      <c r="G331" s="329"/>
      <c r="H331" s="401"/>
    </row>
    <row r="332">
      <c r="F332" s="329"/>
      <c r="G332" s="329"/>
      <c r="H332" s="401"/>
    </row>
    <row r="333">
      <c r="F333" s="329"/>
      <c r="G333" s="329"/>
      <c r="H333" s="401"/>
    </row>
    <row r="334">
      <c r="F334" s="329"/>
      <c r="G334" s="329"/>
      <c r="H334" s="401"/>
    </row>
    <row r="335">
      <c r="F335" s="329"/>
      <c r="G335" s="329"/>
      <c r="H335" s="401"/>
    </row>
    <row r="336">
      <c r="F336" s="329"/>
      <c r="G336" s="329"/>
      <c r="H336" s="401"/>
    </row>
    <row r="337">
      <c r="F337" s="329"/>
      <c r="G337" s="329"/>
      <c r="H337" s="401"/>
    </row>
    <row r="338">
      <c r="F338" s="329"/>
      <c r="G338" s="329"/>
      <c r="H338" s="401"/>
    </row>
    <row r="339">
      <c r="F339" s="329"/>
      <c r="G339" s="329"/>
      <c r="H339" s="401"/>
    </row>
    <row r="340">
      <c r="F340" s="329"/>
      <c r="G340" s="329"/>
      <c r="H340" s="401"/>
    </row>
    <row r="341">
      <c r="F341" s="329"/>
      <c r="G341" s="329"/>
      <c r="H341" s="401"/>
    </row>
    <row r="342">
      <c r="F342" s="329"/>
      <c r="G342" s="329"/>
      <c r="H342" s="401"/>
    </row>
    <row r="343">
      <c r="F343" s="329"/>
      <c r="G343" s="329"/>
      <c r="H343" s="401"/>
    </row>
    <row r="344">
      <c r="F344" s="329"/>
      <c r="G344" s="329"/>
      <c r="H344" s="401"/>
    </row>
    <row r="345">
      <c r="F345" s="329"/>
      <c r="G345" s="329"/>
      <c r="H345" s="401"/>
    </row>
    <row r="346">
      <c r="F346" s="329"/>
      <c r="G346" s="329"/>
      <c r="H346" s="401"/>
    </row>
    <row r="347">
      <c r="F347" s="329"/>
      <c r="G347" s="329"/>
      <c r="H347" s="401"/>
    </row>
    <row r="348">
      <c r="F348" s="329"/>
      <c r="G348" s="329"/>
      <c r="H348" s="401"/>
    </row>
    <row r="349">
      <c r="F349" s="329"/>
      <c r="G349" s="329"/>
      <c r="H349" s="401"/>
    </row>
    <row r="350">
      <c r="F350" s="329"/>
      <c r="G350" s="329"/>
      <c r="H350" s="401"/>
    </row>
    <row r="351">
      <c r="F351" s="329"/>
      <c r="G351" s="329"/>
      <c r="H351" s="401"/>
    </row>
    <row r="352">
      <c r="F352" s="329"/>
      <c r="G352" s="329"/>
      <c r="H352" s="401"/>
    </row>
    <row r="353">
      <c r="F353" s="329"/>
      <c r="G353" s="329"/>
      <c r="H353" s="401"/>
    </row>
    <row r="354">
      <c r="F354" s="329"/>
      <c r="G354" s="329"/>
      <c r="H354" s="401"/>
    </row>
    <row r="355">
      <c r="F355" s="329"/>
      <c r="G355" s="329"/>
      <c r="H355" s="401"/>
    </row>
    <row r="356">
      <c r="F356" s="329"/>
      <c r="G356" s="329"/>
      <c r="H356" s="401"/>
    </row>
    <row r="357">
      <c r="F357" s="329"/>
      <c r="G357" s="329"/>
      <c r="H357" s="401"/>
    </row>
    <row r="358">
      <c r="F358" s="329"/>
      <c r="G358" s="329"/>
      <c r="H358" s="401"/>
    </row>
    <row r="359">
      <c r="F359" s="329"/>
      <c r="G359" s="329"/>
      <c r="H359" s="401"/>
    </row>
    <row r="360">
      <c r="F360" s="329"/>
      <c r="G360" s="329"/>
      <c r="H360" s="401"/>
    </row>
    <row r="361">
      <c r="F361" s="329"/>
      <c r="G361" s="329"/>
      <c r="H361" s="401"/>
    </row>
    <row r="362">
      <c r="F362" s="329"/>
      <c r="G362" s="329"/>
      <c r="H362" s="401"/>
    </row>
    <row r="363">
      <c r="F363" s="329"/>
      <c r="G363" s="329"/>
      <c r="H363" s="401"/>
    </row>
    <row r="364">
      <c r="F364" s="329"/>
      <c r="G364" s="329"/>
      <c r="H364" s="401"/>
    </row>
    <row r="365">
      <c r="F365" s="329"/>
      <c r="G365" s="329"/>
      <c r="H365" s="401"/>
    </row>
    <row r="366">
      <c r="F366" s="329"/>
      <c r="G366" s="329"/>
      <c r="H366" s="401"/>
    </row>
    <row r="367">
      <c r="F367" s="329"/>
      <c r="G367" s="329"/>
      <c r="H367" s="401"/>
    </row>
    <row r="368">
      <c r="F368" s="329"/>
      <c r="G368" s="329"/>
      <c r="H368" s="401"/>
    </row>
    <row r="369">
      <c r="F369" s="329"/>
      <c r="G369" s="329"/>
      <c r="H369" s="401"/>
    </row>
    <row r="370">
      <c r="F370" s="329"/>
      <c r="G370" s="329"/>
      <c r="H370" s="401"/>
    </row>
    <row r="371">
      <c r="F371" s="329"/>
      <c r="G371" s="329"/>
      <c r="H371" s="401"/>
    </row>
    <row r="372">
      <c r="F372" s="329"/>
      <c r="G372" s="329"/>
      <c r="H372" s="401"/>
    </row>
    <row r="373">
      <c r="F373" s="329"/>
      <c r="G373" s="329"/>
      <c r="H373" s="401"/>
    </row>
    <row r="374">
      <c r="F374" s="329"/>
      <c r="G374" s="329"/>
      <c r="H374" s="401"/>
    </row>
    <row r="375">
      <c r="F375" s="329"/>
      <c r="G375" s="329"/>
      <c r="H375" s="401"/>
    </row>
    <row r="376">
      <c r="F376" s="329"/>
      <c r="G376" s="329"/>
      <c r="H376" s="401"/>
    </row>
    <row r="377">
      <c r="F377" s="329"/>
      <c r="G377" s="329"/>
      <c r="H377" s="401"/>
    </row>
    <row r="378">
      <c r="F378" s="329"/>
      <c r="G378" s="329"/>
      <c r="H378" s="401"/>
    </row>
    <row r="379">
      <c r="F379" s="329"/>
      <c r="G379" s="329"/>
      <c r="H379" s="401"/>
    </row>
    <row r="380">
      <c r="F380" s="329"/>
      <c r="G380" s="329"/>
      <c r="H380" s="401"/>
    </row>
    <row r="381">
      <c r="F381" s="329"/>
      <c r="G381" s="329"/>
      <c r="H381" s="401"/>
    </row>
    <row r="382">
      <c r="F382" s="329"/>
      <c r="G382" s="329"/>
      <c r="H382" s="401"/>
    </row>
    <row r="383">
      <c r="F383" s="329"/>
      <c r="G383" s="329"/>
      <c r="H383" s="401"/>
    </row>
    <row r="384">
      <c r="F384" s="329"/>
      <c r="G384" s="329"/>
      <c r="H384" s="401"/>
    </row>
    <row r="385">
      <c r="F385" s="329"/>
      <c r="G385" s="329"/>
      <c r="H385" s="401"/>
    </row>
    <row r="386">
      <c r="F386" s="329"/>
      <c r="G386" s="329"/>
      <c r="H386" s="401"/>
    </row>
    <row r="387">
      <c r="F387" s="329"/>
      <c r="G387" s="329"/>
      <c r="H387" s="401"/>
    </row>
    <row r="388">
      <c r="F388" s="329"/>
      <c r="G388" s="329"/>
      <c r="H388" s="401"/>
    </row>
    <row r="389">
      <c r="F389" s="329"/>
      <c r="G389" s="329"/>
      <c r="H389" s="401"/>
    </row>
    <row r="390">
      <c r="F390" s="329"/>
      <c r="G390" s="329"/>
      <c r="H390" s="401"/>
    </row>
    <row r="391">
      <c r="F391" s="329"/>
      <c r="G391" s="329"/>
      <c r="H391" s="401"/>
    </row>
    <row r="392">
      <c r="F392" s="329"/>
      <c r="G392" s="329"/>
      <c r="H392" s="401"/>
    </row>
    <row r="393">
      <c r="F393" s="329"/>
      <c r="G393" s="329"/>
      <c r="H393" s="401"/>
    </row>
    <row r="394">
      <c r="F394" s="329"/>
      <c r="G394" s="329"/>
      <c r="H394" s="401"/>
    </row>
    <row r="395">
      <c r="F395" s="329"/>
      <c r="G395" s="329"/>
      <c r="H395" s="401"/>
    </row>
    <row r="396">
      <c r="F396" s="329"/>
      <c r="G396" s="329"/>
      <c r="H396" s="401"/>
    </row>
    <row r="397">
      <c r="F397" s="329"/>
      <c r="G397" s="329"/>
      <c r="H397" s="401"/>
    </row>
    <row r="398">
      <c r="F398" s="329"/>
      <c r="G398" s="329"/>
      <c r="H398" s="401"/>
    </row>
    <row r="399">
      <c r="F399" s="329"/>
      <c r="G399" s="329"/>
      <c r="H399" s="401"/>
    </row>
    <row r="400">
      <c r="F400" s="329"/>
      <c r="G400" s="329"/>
      <c r="H400" s="401"/>
    </row>
    <row r="401">
      <c r="F401" s="329"/>
      <c r="G401" s="329"/>
      <c r="H401" s="401"/>
    </row>
    <row r="402">
      <c r="F402" s="329"/>
      <c r="G402" s="329"/>
      <c r="H402" s="401"/>
    </row>
    <row r="403">
      <c r="F403" s="329"/>
      <c r="G403" s="329"/>
      <c r="H403" s="401"/>
    </row>
    <row r="404">
      <c r="F404" s="329"/>
      <c r="G404" s="329"/>
      <c r="H404" s="401"/>
    </row>
    <row r="405">
      <c r="F405" s="329"/>
      <c r="G405" s="329"/>
      <c r="H405" s="401"/>
    </row>
    <row r="406">
      <c r="F406" s="329"/>
      <c r="G406" s="329"/>
      <c r="H406" s="401"/>
    </row>
    <row r="407">
      <c r="F407" s="329"/>
      <c r="G407" s="329"/>
      <c r="H407" s="401"/>
    </row>
    <row r="408">
      <c r="F408" s="329"/>
      <c r="G408" s="329"/>
      <c r="H408" s="401"/>
    </row>
    <row r="409">
      <c r="F409" s="329"/>
      <c r="G409" s="329"/>
      <c r="H409" s="401"/>
    </row>
    <row r="410">
      <c r="F410" s="329"/>
      <c r="G410" s="329"/>
      <c r="H410" s="401"/>
    </row>
    <row r="411">
      <c r="F411" s="329"/>
      <c r="G411" s="329"/>
      <c r="H411" s="401"/>
    </row>
    <row r="412">
      <c r="F412" s="329"/>
      <c r="G412" s="329"/>
      <c r="H412" s="401"/>
    </row>
    <row r="413">
      <c r="F413" s="329"/>
      <c r="G413" s="329"/>
      <c r="H413" s="401"/>
    </row>
    <row r="414">
      <c r="F414" s="329"/>
      <c r="G414" s="329"/>
      <c r="H414" s="401"/>
    </row>
    <row r="415">
      <c r="F415" s="329"/>
      <c r="G415" s="329"/>
      <c r="H415" s="401"/>
    </row>
    <row r="416">
      <c r="F416" s="329"/>
      <c r="G416" s="329"/>
      <c r="H416" s="401"/>
    </row>
    <row r="417">
      <c r="F417" s="329"/>
      <c r="G417" s="329"/>
      <c r="H417" s="401"/>
    </row>
    <row r="418">
      <c r="F418" s="329"/>
      <c r="G418" s="329"/>
      <c r="H418" s="401"/>
    </row>
    <row r="419">
      <c r="F419" s="329"/>
      <c r="G419" s="329"/>
      <c r="H419" s="401"/>
    </row>
    <row r="420">
      <c r="F420" s="329"/>
      <c r="G420" s="329"/>
      <c r="H420" s="401"/>
    </row>
    <row r="421">
      <c r="F421" s="329"/>
      <c r="G421" s="329"/>
      <c r="H421" s="401"/>
    </row>
    <row r="422">
      <c r="F422" s="329"/>
      <c r="G422" s="329"/>
      <c r="H422" s="401"/>
    </row>
    <row r="423">
      <c r="F423" s="329"/>
      <c r="G423" s="329"/>
      <c r="H423" s="401"/>
    </row>
    <row r="424">
      <c r="F424" s="329"/>
      <c r="G424" s="329"/>
      <c r="H424" s="401"/>
    </row>
    <row r="425">
      <c r="F425" s="329"/>
      <c r="G425" s="329"/>
      <c r="H425" s="401"/>
    </row>
    <row r="426">
      <c r="F426" s="329"/>
      <c r="G426" s="329"/>
      <c r="H426" s="401"/>
    </row>
    <row r="427">
      <c r="F427" s="329"/>
      <c r="G427" s="329"/>
      <c r="H427" s="401"/>
    </row>
    <row r="428">
      <c r="F428" s="329"/>
      <c r="G428" s="329"/>
      <c r="H428" s="401"/>
    </row>
    <row r="429">
      <c r="F429" s="329"/>
      <c r="G429" s="329"/>
      <c r="H429" s="401"/>
    </row>
    <row r="430">
      <c r="F430" s="329"/>
      <c r="G430" s="329"/>
      <c r="H430" s="401"/>
    </row>
    <row r="431">
      <c r="F431" s="329"/>
      <c r="G431" s="329"/>
      <c r="H431" s="401"/>
    </row>
    <row r="432">
      <c r="F432" s="329"/>
      <c r="G432" s="329"/>
      <c r="H432" s="401"/>
    </row>
    <row r="433">
      <c r="F433" s="329"/>
      <c r="G433" s="329"/>
      <c r="H433" s="401"/>
    </row>
    <row r="434">
      <c r="F434" s="329"/>
      <c r="G434" s="329"/>
      <c r="H434" s="401"/>
    </row>
    <row r="435">
      <c r="F435" s="329"/>
      <c r="G435" s="329"/>
      <c r="H435" s="401"/>
    </row>
    <row r="436">
      <c r="F436" s="329"/>
      <c r="G436" s="329"/>
      <c r="H436" s="401"/>
    </row>
    <row r="437">
      <c r="F437" s="329"/>
      <c r="G437" s="329"/>
      <c r="H437" s="401"/>
    </row>
    <row r="438">
      <c r="F438" s="329"/>
      <c r="G438" s="329"/>
      <c r="H438" s="401"/>
    </row>
    <row r="439">
      <c r="F439" s="329"/>
      <c r="G439" s="329"/>
      <c r="H439" s="401"/>
    </row>
    <row r="440">
      <c r="F440" s="329"/>
      <c r="G440" s="329"/>
      <c r="H440" s="401"/>
    </row>
    <row r="441">
      <c r="F441" s="329"/>
      <c r="G441" s="329"/>
      <c r="H441" s="401"/>
    </row>
    <row r="442">
      <c r="F442" s="329"/>
      <c r="G442" s="329"/>
      <c r="H442" s="401"/>
    </row>
    <row r="443">
      <c r="F443" s="329"/>
      <c r="G443" s="329"/>
      <c r="H443" s="401"/>
    </row>
    <row r="444">
      <c r="F444" s="329"/>
      <c r="G444" s="329"/>
      <c r="H444" s="401"/>
    </row>
    <row r="445">
      <c r="F445" s="329"/>
      <c r="G445" s="329"/>
      <c r="H445" s="401"/>
    </row>
    <row r="446">
      <c r="F446" s="329"/>
      <c r="G446" s="329"/>
      <c r="H446" s="401"/>
    </row>
    <row r="447">
      <c r="F447" s="329"/>
      <c r="G447" s="329"/>
      <c r="H447" s="401"/>
    </row>
    <row r="448">
      <c r="F448" s="329"/>
      <c r="G448" s="329"/>
      <c r="H448" s="401"/>
    </row>
    <row r="449">
      <c r="F449" s="329"/>
      <c r="G449" s="329"/>
      <c r="H449" s="401"/>
    </row>
    <row r="450">
      <c r="F450" s="329"/>
      <c r="G450" s="329"/>
      <c r="H450" s="401"/>
    </row>
    <row r="451">
      <c r="F451" s="329"/>
      <c r="G451" s="329"/>
      <c r="H451" s="401"/>
    </row>
    <row r="452">
      <c r="F452" s="329"/>
      <c r="G452" s="329"/>
      <c r="H452" s="401"/>
    </row>
    <row r="453">
      <c r="F453" s="329"/>
      <c r="G453" s="329"/>
      <c r="H453" s="401"/>
    </row>
    <row r="454">
      <c r="F454" s="329"/>
      <c r="G454" s="329"/>
      <c r="H454" s="401"/>
    </row>
    <row r="455">
      <c r="F455" s="329"/>
      <c r="G455" s="329"/>
      <c r="H455" s="401"/>
    </row>
    <row r="456">
      <c r="F456" s="329"/>
      <c r="G456" s="329"/>
      <c r="H456" s="401"/>
    </row>
    <row r="457">
      <c r="F457" s="329"/>
      <c r="G457" s="329"/>
      <c r="H457" s="401"/>
    </row>
    <row r="458">
      <c r="F458" s="329"/>
      <c r="G458" s="329"/>
      <c r="H458" s="401"/>
    </row>
    <row r="459">
      <c r="F459" s="329"/>
      <c r="G459" s="329"/>
      <c r="H459" s="401"/>
    </row>
    <row r="460">
      <c r="F460" s="329"/>
      <c r="G460" s="329"/>
      <c r="H460" s="401"/>
    </row>
    <row r="461">
      <c r="F461" s="329"/>
      <c r="G461" s="329"/>
      <c r="H461" s="401"/>
    </row>
    <row r="462">
      <c r="F462" s="329"/>
      <c r="G462" s="329"/>
      <c r="H462" s="401"/>
    </row>
    <row r="463">
      <c r="F463" s="329"/>
      <c r="G463" s="329"/>
      <c r="H463" s="401"/>
    </row>
    <row r="464">
      <c r="F464" s="329"/>
      <c r="G464" s="329"/>
      <c r="H464" s="401"/>
    </row>
    <row r="465">
      <c r="F465" s="329"/>
      <c r="G465" s="329"/>
      <c r="H465" s="401"/>
    </row>
    <row r="466">
      <c r="F466" s="329"/>
      <c r="G466" s="329"/>
      <c r="H466" s="401"/>
    </row>
    <row r="467">
      <c r="F467" s="329"/>
      <c r="G467" s="329"/>
      <c r="H467" s="401"/>
    </row>
    <row r="468">
      <c r="F468" s="329"/>
      <c r="G468" s="329"/>
      <c r="H468" s="401"/>
    </row>
    <row r="469">
      <c r="F469" s="329"/>
      <c r="G469" s="329"/>
      <c r="H469" s="401"/>
    </row>
    <row r="470">
      <c r="F470" s="329"/>
      <c r="G470" s="329"/>
      <c r="H470" s="401"/>
    </row>
    <row r="471">
      <c r="F471" s="329"/>
      <c r="G471" s="329"/>
      <c r="H471" s="401"/>
    </row>
    <row r="472">
      <c r="F472" s="329"/>
      <c r="G472" s="329"/>
      <c r="H472" s="401"/>
    </row>
    <row r="473">
      <c r="F473" s="329"/>
      <c r="G473" s="329"/>
      <c r="H473" s="401"/>
    </row>
    <row r="474">
      <c r="F474" s="329"/>
      <c r="G474" s="329"/>
      <c r="H474" s="401"/>
    </row>
    <row r="475">
      <c r="F475" s="329"/>
      <c r="G475" s="329"/>
      <c r="H475" s="401"/>
    </row>
    <row r="476">
      <c r="F476" s="329"/>
      <c r="G476" s="329"/>
      <c r="H476" s="401"/>
    </row>
    <row r="477">
      <c r="F477" s="329"/>
      <c r="G477" s="329"/>
      <c r="H477" s="401"/>
    </row>
    <row r="478">
      <c r="F478" s="329"/>
      <c r="G478" s="329"/>
      <c r="H478" s="401"/>
    </row>
    <row r="479">
      <c r="F479" s="329"/>
      <c r="G479" s="329"/>
      <c r="H479" s="401"/>
    </row>
    <row r="480">
      <c r="F480" s="329"/>
      <c r="G480" s="329"/>
      <c r="H480" s="401"/>
    </row>
    <row r="481">
      <c r="F481" s="329"/>
      <c r="G481" s="329"/>
      <c r="H481" s="401"/>
    </row>
    <row r="482">
      <c r="F482" s="329"/>
      <c r="G482" s="329"/>
      <c r="H482" s="401"/>
    </row>
    <row r="483">
      <c r="F483" s="329"/>
      <c r="G483" s="329"/>
      <c r="H483" s="401"/>
    </row>
    <row r="484">
      <c r="F484" s="329"/>
      <c r="G484" s="329"/>
      <c r="H484" s="401"/>
    </row>
    <row r="485">
      <c r="F485" s="329"/>
      <c r="G485" s="329"/>
      <c r="H485" s="401"/>
    </row>
    <row r="486">
      <c r="F486" s="329"/>
      <c r="G486" s="329"/>
      <c r="H486" s="401"/>
    </row>
    <row r="487">
      <c r="F487" s="329"/>
      <c r="G487" s="329"/>
      <c r="H487" s="401"/>
    </row>
    <row r="488">
      <c r="F488" s="329"/>
      <c r="G488" s="329"/>
      <c r="H488" s="401"/>
    </row>
    <row r="489">
      <c r="F489" s="329"/>
      <c r="G489" s="329"/>
      <c r="H489" s="401"/>
    </row>
    <row r="490">
      <c r="F490" s="329"/>
      <c r="G490" s="329"/>
      <c r="H490" s="401"/>
    </row>
    <row r="491">
      <c r="F491" s="329"/>
      <c r="G491" s="329"/>
      <c r="H491" s="401"/>
    </row>
    <row r="492">
      <c r="F492" s="329"/>
      <c r="G492" s="329"/>
      <c r="H492" s="401"/>
    </row>
    <row r="493">
      <c r="F493" s="329"/>
      <c r="G493" s="329"/>
      <c r="H493" s="401"/>
    </row>
    <row r="494">
      <c r="F494" s="329"/>
      <c r="G494" s="329"/>
      <c r="H494" s="401"/>
    </row>
    <row r="495">
      <c r="F495" s="329"/>
      <c r="G495" s="329"/>
      <c r="H495" s="401"/>
    </row>
    <row r="496">
      <c r="F496" s="329"/>
      <c r="G496" s="329"/>
      <c r="H496" s="401"/>
    </row>
    <row r="497">
      <c r="F497" s="329"/>
      <c r="G497" s="329"/>
      <c r="H497" s="401"/>
    </row>
    <row r="498">
      <c r="F498" s="329"/>
      <c r="G498" s="329"/>
      <c r="H498" s="401"/>
    </row>
    <row r="499">
      <c r="F499" s="329"/>
      <c r="G499" s="329"/>
      <c r="H499" s="401"/>
    </row>
    <row r="500">
      <c r="F500" s="329"/>
      <c r="G500" s="329"/>
      <c r="H500" s="401"/>
    </row>
    <row r="501">
      <c r="F501" s="329"/>
      <c r="G501" s="329"/>
      <c r="H501" s="401"/>
    </row>
    <row r="502">
      <c r="F502" s="329"/>
      <c r="G502" s="329"/>
      <c r="H502" s="401"/>
    </row>
    <row r="503">
      <c r="F503" s="329"/>
      <c r="G503" s="329"/>
      <c r="H503" s="401"/>
    </row>
    <row r="504">
      <c r="F504" s="329"/>
      <c r="G504" s="329"/>
      <c r="H504" s="401"/>
    </row>
    <row r="505">
      <c r="F505" s="329"/>
      <c r="G505" s="329"/>
      <c r="H505" s="401"/>
    </row>
    <row r="506">
      <c r="F506" s="329"/>
      <c r="G506" s="329"/>
      <c r="H506" s="401"/>
    </row>
    <row r="507">
      <c r="F507" s="329"/>
      <c r="G507" s="329"/>
      <c r="H507" s="401"/>
    </row>
    <row r="508">
      <c r="F508" s="329"/>
      <c r="G508" s="329"/>
      <c r="H508" s="401"/>
    </row>
    <row r="509">
      <c r="F509" s="329"/>
      <c r="G509" s="329"/>
      <c r="H509" s="401"/>
    </row>
    <row r="510">
      <c r="F510" s="329"/>
      <c r="G510" s="329"/>
      <c r="H510" s="401"/>
    </row>
    <row r="511">
      <c r="F511" s="329"/>
      <c r="G511" s="329"/>
      <c r="H511" s="401"/>
    </row>
    <row r="512">
      <c r="F512" s="329"/>
      <c r="G512" s="329"/>
      <c r="H512" s="401"/>
    </row>
    <row r="513">
      <c r="F513" s="329"/>
      <c r="G513" s="329"/>
      <c r="H513" s="401"/>
    </row>
    <row r="514">
      <c r="F514" s="329"/>
      <c r="G514" s="329"/>
      <c r="H514" s="401"/>
    </row>
    <row r="515">
      <c r="F515" s="329"/>
      <c r="G515" s="329"/>
      <c r="H515" s="401"/>
    </row>
    <row r="516">
      <c r="F516" s="329"/>
      <c r="G516" s="329"/>
      <c r="H516" s="401"/>
    </row>
    <row r="517">
      <c r="F517" s="329"/>
      <c r="G517" s="329"/>
      <c r="H517" s="401"/>
    </row>
    <row r="518">
      <c r="F518" s="329"/>
      <c r="G518" s="329"/>
      <c r="H518" s="401"/>
    </row>
    <row r="519">
      <c r="F519" s="329"/>
      <c r="G519" s="329"/>
      <c r="H519" s="401"/>
    </row>
    <row r="520">
      <c r="F520" s="329"/>
      <c r="G520" s="329"/>
      <c r="H520" s="401"/>
    </row>
    <row r="521">
      <c r="F521" s="329"/>
      <c r="G521" s="329"/>
      <c r="H521" s="401"/>
    </row>
    <row r="522">
      <c r="F522" s="329"/>
      <c r="G522" s="329"/>
      <c r="H522" s="401"/>
    </row>
    <row r="523">
      <c r="F523" s="329"/>
      <c r="G523" s="329"/>
      <c r="H523" s="401"/>
    </row>
    <row r="524">
      <c r="F524" s="329"/>
      <c r="G524" s="329"/>
      <c r="H524" s="401"/>
    </row>
    <row r="525">
      <c r="F525" s="329"/>
      <c r="G525" s="329"/>
      <c r="H525" s="401"/>
    </row>
    <row r="526">
      <c r="F526" s="329"/>
      <c r="G526" s="329"/>
      <c r="H526" s="401"/>
    </row>
    <row r="527">
      <c r="F527" s="329"/>
      <c r="G527" s="329"/>
      <c r="H527" s="401"/>
    </row>
    <row r="528">
      <c r="F528" s="329"/>
      <c r="G528" s="329"/>
      <c r="H528" s="401"/>
    </row>
    <row r="529">
      <c r="F529" s="329"/>
      <c r="G529" s="329"/>
      <c r="H529" s="401"/>
    </row>
    <row r="530">
      <c r="F530" s="329"/>
      <c r="G530" s="329"/>
      <c r="H530" s="401"/>
    </row>
    <row r="531">
      <c r="F531" s="329"/>
      <c r="G531" s="329"/>
      <c r="H531" s="401"/>
    </row>
    <row r="532">
      <c r="F532" s="329"/>
      <c r="G532" s="329"/>
      <c r="H532" s="401"/>
    </row>
    <row r="533">
      <c r="F533" s="329"/>
      <c r="G533" s="329"/>
      <c r="H533" s="401"/>
    </row>
    <row r="534">
      <c r="F534" s="329"/>
      <c r="G534" s="329"/>
      <c r="H534" s="401"/>
    </row>
    <row r="535">
      <c r="F535" s="329"/>
      <c r="G535" s="329"/>
      <c r="H535" s="401"/>
    </row>
    <row r="536">
      <c r="F536" s="329"/>
      <c r="G536" s="329"/>
      <c r="H536" s="401"/>
    </row>
    <row r="537">
      <c r="F537" s="329"/>
      <c r="G537" s="329"/>
      <c r="H537" s="401"/>
    </row>
    <row r="538">
      <c r="F538" s="329"/>
      <c r="G538" s="329"/>
      <c r="H538" s="401"/>
    </row>
    <row r="539">
      <c r="F539" s="329"/>
      <c r="G539" s="329"/>
      <c r="H539" s="401"/>
    </row>
    <row r="540">
      <c r="F540" s="329"/>
      <c r="G540" s="329"/>
      <c r="H540" s="401"/>
    </row>
    <row r="541">
      <c r="F541" s="329"/>
      <c r="G541" s="329"/>
      <c r="H541" s="401"/>
    </row>
    <row r="542">
      <c r="F542" s="329"/>
      <c r="G542" s="329"/>
      <c r="H542" s="401"/>
    </row>
    <row r="543">
      <c r="F543" s="329"/>
      <c r="G543" s="329"/>
      <c r="H543" s="401"/>
    </row>
    <row r="544">
      <c r="F544" s="329"/>
      <c r="G544" s="329"/>
      <c r="H544" s="401"/>
    </row>
    <row r="545">
      <c r="F545" s="329"/>
      <c r="G545" s="329"/>
      <c r="H545" s="401"/>
    </row>
    <row r="546">
      <c r="F546" s="329"/>
      <c r="G546" s="329"/>
      <c r="H546" s="401"/>
    </row>
    <row r="547">
      <c r="F547" s="329"/>
      <c r="G547" s="329"/>
      <c r="H547" s="401"/>
    </row>
    <row r="548">
      <c r="F548" s="329"/>
      <c r="G548" s="329"/>
      <c r="H548" s="401"/>
    </row>
    <row r="549">
      <c r="F549" s="329"/>
      <c r="G549" s="329"/>
      <c r="H549" s="401"/>
    </row>
    <row r="550">
      <c r="F550" s="329"/>
      <c r="G550" s="329"/>
      <c r="H550" s="401"/>
    </row>
    <row r="551">
      <c r="F551" s="329"/>
      <c r="G551" s="329"/>
      <c r="H551" s="401"/>
    </row>
    <row r="552">
      <c r="F552" s="329"/>
      <c r="G552" s="329"/>
      <c r="H552" s="401"/>
    </row>
    <row r="553">
      <c r="F553" s="329"/>
      <c r="G553" s="329"/>
      <c r="H553" s="401"/>
    </row>
    <row r="554">
      <c r="F554" s="329"/>
      <c r="G554" s="329"/>
      <c r="H554" s="401"/>
    </row>
    <row r="555">
      <c r="F555" s="329"/>
      <c r="G555" s="329"/>
      <c r="H555" s="401"/>
    </row>
    <row r="556">
      <c r="F556" s="329"/>
      <c r="G556" s="329"/>
      <c r="H556" s="401"/>
    </row>
    <row r="557">
      <c r="F557" s="329"/>
      <c r="G557" s="329"/>
      <c r="H557" s="401"/>
    </row>
    <row r="558">
      <c r="F558" s="329"/>
      <c r="G558" s="329"/>
      <c r="H558" s="401"/>
    </row>
    <row r="559">
      <c r="F559" s="329"/>
      <c r="G559" s="329"/>
      <c r="H559" s="401"/>
    </row>
    <row r="560">
      <c r="F560" s="329"/>
      <c r="G560" s="329"/>
      <c r="H560" s="401"/>
    </row>
    <row r="561">
      <c r="F561" s="329"/>
      <c r="G561" s="329"/>
      <c r="H561" s="401"/>
    </row>
    <row r="562">
      <c r="F562" s="329"/>
      <c r="G562" s="329"/>
      <c r="H562" s="401"/>
    </row>
    <row r="563">
      <c r="F563" s="329"/>
      <c r="G563" s="329"/>
      <c r="H563" s="401"/>
    </row>
    <row r="564">
      <c r="F564" s="329"/>
      <c r="G564" s="329"/>
      <c r="H564" s="401"/>
    </row>
    <row r="565">
      <c r="F565" s="329"/>
      <c r="G565" s="329"/>
      <c r="H565" s="401"/>
    </row>
    <row r="566">
      <c r="F566" s="329"/>
      <c r="G566" s="329"/>
      <c r="H566" s="401"/>
    </row>
    <row r="567">
      <c r="F567" s="329"/>
      <c r="G567" s="329"/>
      <c r="H567" s="401"/>
    </row>
    <row r="568">
      <c r="F568" s="329"/>
      <c r="G568" s="329"/>
      <c r="H568" s="401"/>
    </row>
    <row r="569">
      <c r="F569" s="329"/>
      <c r="G569" s="329"/>
      <c r="H569" s="401"/>
    </row>
    <row r="570">
      <c r="F570" s="329"/>
      <c r="G570" s="329"/>
      <c r="H570" s="401"/>
    </row>
    <row r="571">
      <c r="F571" s="329"/>
      <c r="G571" s="329"/>
      <c r="H571" s="401"/>
    </row>
    <row r="572">
      <c r="F572" s="329"/>
      <c r="G572" s="329"/>
      <c r="H572" s="401"/>
    </row>
    <row r="573">
      <c r="F573" s="329"/>
      <c r="G573" s="329"/>
      <c r="H573" s="401"/>
    </row>
    <row r="574">
      <c r="F574" s="329"/>
      <c r="G574" s="329"/>
      <c r="H574" s="401"/>
    </row>
    <row r="575">
      <c r="F575" s="329"/>
      <c r="G575" s="329"/>
      <c r="H575" s="401"/>
    </row>
    <row r="576">
      <c r="F576" s="329"/>
      <c r="G576" s="329"/>
      <c r="H576" s="401"/>
    </row>
    <row r="577">
      <c r="F577" s="329"/>
      <c r="G577" s="329"/>
      <c r="H577" s="401"/>
    </row>
    <row r="578">
      <c r="F578" s="329"/>
      <c r="G578" s="329"/>
      <c r="H578" s="401"/>
    </row>
    <row r="579">
      <c r="F579" s="329"/>
      <c r="G579" s="329"/>
      <c r="H579" s="401"/>
    </row>
    <row r="580">
      <c r="F580" s="329"/>
      <c r="G580" s="329"/>
      <c r="H580" s="401"/>
    </row>
    <row r="581">
      <c r="F581" s="329"/>
      <c r="G581" s="329"/>
      <c r="H581" s="401"/>
    </row>
    <row r="582">
      <c r="F582" s="329"/>
      <c r="G582" s="329"/>
      <c r="H582" s="401"/>
    </row>
    <row r="583">
      <c r="F583" s="329"/>
      <c r="G583" s="329"/>
      <c r="H583" s="401"/>
    </row>
    <row r="584">
      <c r="F584" s="329"/>
      <c r="G584" s="329"/>
      <c r="H584" s="401"/>
    </row>
    <row r="585">
      <c r="F585" s="329"/>
      <c r="G585" s="329"/>
      <c r="H585" s="401"/>
    </row>
    <row r="586">
      <c r="F586" s="329"/>
      <c r="G586" s="329"/>
      <c r="H586" s="401"/>
    </row>
    <row r="587">
      <c r="F587" s="329"/>
      <c r="G587" s="329"/>
      <c r="H587" s="401"/>
    </row>
    <row r="588">
      <c r="F588" s="329"/>
      <c r="G588" s="329"/>
      <c r="H588" s="401"/>
    </row>
    <row r="589">
      <c r="F589" s="329"/>
      <c r="G589" s="329"/>
      <c r="H589" s="401"/>
    </row>
    <row r="590">
      <c r="F590" s="329"/>
      <c r="G590" s="329"/>
      <c r="H590" s="401"/>
    </row>
    <row r="591">
      <c r="F591" s="329"/>
      <c r="G591" s="329"/>
      <c r="H591" s="401"/>
    </row>
    <row r="592">
      <c r="F592" s="329"/>
      <c r="G592" s="329"/>
      <c r="H592" s="401"/>
    </row>
    <row r="593">
      <c r="F593" s="329"/>
      <c r="G593" s="329"/>
      <c r="H593" s="401"/>
    </row>
    <row r="594">
      <c r="F594" s="329"/>
      <c r="G594" s="329"/>
      <c r="H594" s="401"/>
    </row>
    <row r="595">
      <c r="F595" s="329"/>
      <c r="G595" s="329"/>
      <c r="H595" s="401"/>
    </row>
    <row r="596">
      <c r="F596" s="329"/>
      <c r="G596" s="329"/>
      <c r="H596" s="401"/>
    </row>
    <row r="597">
      <c r="F597" s="329"/>
      <c r="G597" s="329"/>
      <c r="H597" s="401"/>
    </row>
    <row r="598">
      <c r="F598" s="329"/>
      <c r="G598" s="329"/>
      <c r="H598" s="401"/>
    </row>
    <row r="599">
      <c r="F599" s="329"/>
      <c r="G599" s="329"/>
      <c r="H599" s="401"/>
    </row>
    <row r="600">
      <c r="F600" s="329"/>
      <c r="G600" s="329"/>
      <c r="H600" s="401"/>
    </row>
    <row r="601">
      <c r="F601" s="329"/>
      <c r="G601" s="329"/>
      <c r="H601" s="401"/>
    </row>
    <row r="602">
      <c r="F602" s="329"/>
      <c r="G602" s="329"/>
      <c r="H602" s="401"/>
    </row>
    <row r="603">
      <c r="F603" s="329"/>
      <c r="G603" s="329"/>
      <c r="H603" s="401"/>
    </row>
    <row r="604">
      <c r="F604" s="329"/>
      <c r="G604" s="329"/>
      <c r="H604" s="401"/>
    </row>
    <row r="605">
      <c r="F605" s="329"/>
      <c r="G605" s="329"/>
      <c r="H605" s="401"/>
    </row>
    <row r="606">
      <c r="F606" s="329"/>
      <c r="G606" s="329"/>
      <c r="H606" s="401"/>
    </row>
    <row r="607">
      <c r="F607" s="329"/>
      <c r="G607" s="329"/>
      <c r="H607" s="401"/>
    </row>
    <row r="608">
      <c r="F608" s="329"/>
      <c r="G608" s="329"/>
      <c r="H608" s="401"/>
    </row>
    <row r="609">
      <c r="F609" s="329"/>
      <c r="G609" s="329"/>
      <c r="H609" s="401"/>
    </row>
    <row r="610">
      <c r="F610" s="329"/>
      <c r="G610" s="329"/>
      <c r="H610" s="401"/>
    </row>
    <row r="611">
      <c r="F611" s="329"/>
      <c r="G611" s="329"/>
      <c r="H611" s="401"/>
    </row>
    <row r="612">
      <c r="F612" s="329"/>
      <c r="G612" s="329"/>
      <c r="H612" s="401"/>
    </row>
    <row r="613">
      <c r="F613" s="329"/>
      <c r="G613" s="329"/>
      <c r="H613" s="401"/>
    </row>
    <row r="614">
      <c r="F614" s="329"/>
      <c r="G614" s="329"/>
      <c r="H614" s="401"/>
    </row>
    <row r="615">
      <c r="F615" s="329"/>
      <c r="G615" s="329"/>
      <c r="H615" s="401"/>
    </row>
    <row r="616">
      <c r="F616" s="329"/>
      <c r="G616" s="329"/>
      <c r="H616" s="401"/>
    </row>
    <row r="617">
      <c r="F617" s="329"/>
      <c r="G617" s="329"/>
      <c r="H617" s="401"/>
    </row>
    <row r="618">
      <c r="F618" s="329"/>
      <c r="G618" s="329"/>
      <c r="H618" s="401"/>
    </row>
    <row r="619">
      <c r="F619" s="329"/>
      <c r="G619" s="329"/>
      <c r="H619" s="401"/>
    </row>
    <row r="620">
      <c r="F620" s="329"/>
      <c r="G620" s="329"/>
      <c r="H620" s="401"/>
    </row>
    <row r="621">
      <c r="F621" s="329"/>
      <c r="G621" s="329"/>
      <c r="H621" s="401"/>
    </row>
    <row r="622">
      <c r="F622" s="329"/>
      <c r="G622" s="329"/>
      <c r="H622" s="401"/>
    </row>
    <row r="623">
      <c r="F623" s="329"/>
      <c r="G623" s="329"/>
      <c r="H623" s="401"/>
    </row>
    <row r="624">
      <c r="F624" s="329"/>
      <c r="G624" s="329"/>
      <c r="H624" s="401"/>
    </row>
    <row r="625">
      <c r="F625" s="329"/>
      <c r="G625" s="329"/>
      <c r="H625" s="401"/>
    </row>
    <row r="626">
      <c r="F626" s="329"/>
      <c r="G626" s="329"/>
      <c r="H626" s="401"/>
    </row>
    <row r="627">
      <c r="F627" s="329"/>
      <c r="G627" s="329"/>
      <c r="H627" s="401"/>
    </row>
    <row r="628">
      <c r="F628" s="329"/>
      <c r="G628" s="329"/>
      <c r="H628" s="401"/>
    </row>
    <row r="629">
      <c r="F629" s="329"/>
      <c r="G629" s="329"/>
      <c r="H629" s="401"/>
    </row>
    <row r="630">
      <c r="F630" s="329"/>
      <c r="G630" s="329"/>
      <c r="H630" s="401"/>
    </row>
    <row r="631">
      <c r="F631" s="329"/>
      <c r="G631" s="329"/>
      <c r="H631" s="401"/>
    </row>
    <row r="632">
      <c r="F632" s="329"/>
      <c r="G632" s="329"/>
      <c r="H632" s="401"/>
    </row>
    <row r="633">
      <c r="F633" s="329"/>
      <c r="G633" s="329"/>
      <c r="H633" s="401"/>
    </row>
    <row r="634">
      <c r="F634" s="329"/>
      <c r="G634" s="329"/>
      <c r="H634" s="401"/>
    </row>
    <row r="635">
      <c r="F635" s="329"/>
      <c r="G635" s="329"/>
      <c r="H635" s="401"/>
    </row>
    <row r="636">
      <c r="F636" s="329"/>
      <c r="G636" s="329"/>
      <c r="H636" s="401"/>
    </row>
    <row r="637">
      <c r="F637" s="329"/>
      <c r="G637" s="329"/>
      <c r="H637" s="401"/>
    </row>
    <row r="638">
      <c r="F638" s="329"/>
      <c r="G638" s="329"/>
      <c r="H638" s="401"/>
    </row>
    <row r="639">
      <c r="F639" s="329"/>
      <c r="G639" s="329"/>
      <c r="H639" s="401"/>
    </row>
    <row r="640">
      <c r="F640" s="329"/>
      <c r="G640" s="329"/>
      <c r="H640" s="401"/>
    </row>
    <row r="641">
      <c r="F641" s="329"/>
      <c r="G641" s="329"/>
      <c r="H641" s="401"/>
    </row>
    <row r="642">
      <c r="F642" s="329"/>
      <c r="G642" s="329"/>
      <c r="H642" s="401"/>
    </row>
    <row r="643">
      <c r="F643" s="329"/>
      <c r="G643" s="329"/>
      <c r="H643" s="401"/>
    </row>
    <row r="644">
      <c r="F644" s="329"/>
      <c r="G644" s="329"/>
      <c r="H644" s="401"/>
    </row>
    <row r="645">
      <c r="F645" s="329"/>
      <c r="G645" s="329"/>
      <c r="H645" s="401"/>
    </row>
    <row r="646">
      <c r="F646" s="329"/>
      <c r="G646" s="329"/>
      <c r="H646" s="401"/>
    </row>
    <row r="647">
      <c r="F647" s="329"/>
      <c r="G647" s="329"/>
      <c r="H647" s="401"/>
    </row>
    <row r="648">
      <c r="F648" s="329"/>
      <c r="G648" s="329"/>
      <c r="H648" s="401"/>
    </row>
    <row r="649">
      <c r="F649" s="329"/>
      <c r="G649" s="329"/>
      <c r="H649" s="401"/>
    </row>
    <row r="650">
      <c r="F650" s="329"/>
      <c r="G650" s="329"/>
      <c r="H650" s="401"/>
    </row>
    <row r="651">
      <c r="F651" s="329"/>
      <c r="G651" s="329"/>
      <c r="H651" s="401"/>
    </row>
    <row r="652">
      <c r="F652" s="329"/>
      <c r="G652" s="329"/>
      <c r="H652" s="401"/>
    </row>
    <row r="653">
      <c r="F653" s="329"/>
      <c r="G653" s="329"/>
      <c r="H653" s="401"/>
    </row>
    <row r="654">
      <c r="F654" s="329"/>
      <c r="G654" s="329"/>
      <c r="H654" s="401"/>
    </row>
    <row r="655">
      <c r="F655" s="329"/>
      <c r="G655" s="329"/>
      <c r="H655" s="401"/>
    </row>
    <row r="656">
      <c r="F656" s="329"/>
      <c r="G656" s="329"/>
      <c r="H656" s="401"/>
    </row>
    <row r="657">
      <c r="F657" s="329"/>
      <c r="G657" s="329"/>
      <c r="H657" s="401"/>
    </row>
    <row r="658">
      <c r="F658" s="329"/>
      <c r="G658" s="329"/>
      <c r="H658" s="401"/>
    </row>
    <row r="659">
      <c r="F659" s="329"/>
      <c r="G659" s="329"/>
      <c r="H659" s="401"/>
    </row>
    <row r="660">
      <c r="F660" s="329"/>
      <c r="G660" s="329"/>
      <c r="H660" s="401"/>
    </row>
    <row r="661">
      <c r="F661" s="329"/>
      <c r="G661" s="329"/>
      <c r="H661" s="401"/>
    </row>
    <row r="662">
      <c r="F662" s="329"/>
      <c r="G662" s="329"/>
      <c r="H662" s="401"/>
    </row>
    <row r="663">
      <c r="F663" s="329"/>
      <c r="G663" s="329"/>
      <c r="H663" s="401"/>
    </row>
    <row r="664">
      <c r="F664" s="329"/>
      <c r="G664" s="329"/>
      <c r="H664" s="401"/>
    </row>
    <row r="665">
      <c r="F665" s="329"/>
      <c r="G665" s="329"/>
      <c r="H665" s="401"/>
    </row>
    <row r="666">
      <c r="F666" s="329"/>
      <c r="G666" s="329"/>
      <c r="H666" s="401"/>
    </row>
    <row r="667">
      <c r="F667" s="329"/>
      <c r="G667" s="329"/>
      <c r="H667" s="401"/>
    </row>
    <row r="668">
      <c r="F668" s="329"/>
      <c r="G668" s="329"/>
      <c r="H668" s="401"/>
    </row>
    <row r="669">
      <c r="F669" s="329"/>
      <c r="G669" s="329"/>
      <c r="H669" s="401"/>
    </row>
    <row r="670">
      <c r="F670" s="329"/>
      <c r="G670" s="329"/>
      <c r="H670" s="401"/>
    </row>
    <row r="671">
      <c r="F671" s="329"/>
      <c r="G671" s="329"/>
      <c r="H671" s="401"/>
    </row>
    <row r="672">
      <c r="F672" s="329"/>
      <c r="G672" s="329"/>
      <c r="H672" s="401"/>
    </row>
    <row r="673">
      <c r="F673" s="329"/>
      <c r="G673" s="329"/>
      <c r="H673" s="401"/>
    </row>
    <row r="674">
      <c r="F674" s="329"/>
      <c r="G674" s="329"/>
      <c r="H674" s="401"/>
    </row>
    <row r="675">
      <c r="F675" s="329"/>
      <c r="G675" s="329"/>
      <c r="H675" s="401"/>
    </row>
    <row r="676">
      <c r="F676" s="329"/>
      <c r="G676" s="329"/>
      <c r="H676" s="401"/>
    </row>
    <row r="677">
      <c r="F677" s="329"/>
      <c r="G677" s="329"/>
      <c r="H677" s="401"/>
    </row>
    <row r="678">
      <c r="F678" s="329"/>
      <c r="G678" s="329"/>
      <c r="H678" s="401"/>
    </row>
    <row r="679">
      <c r="F679" s="329"/>
      <c r="G679" s="329"/>
      <c r="H679" s="401"/>
    </row>
    <row r="680">
      <c r="F680" s="329"/>
      <c r="G680" s="329"/>
      <c r="H680" s="401"/>
    </row>
    <row r="681">
      <c r="F681" s="329"/>
      <c r="G681" s="329"/>
      <c r="H681" s="401"/>
    </row>
    <row r="682">
      <c r="F682" s="329"/>
      <c r="G682" s="329"/>
      <c r="H682" s="401"/>
    </row>
    <row r="683">
      <c r="F683" s="329"/>
      <c r="G683" s="329"/>
      <c r="H683" s="401"/>
    </row>
    <row r="684">
      <c r="F684" s="329"/>
      <c r="G684" s="329"/>
      <c r="H684" s="401"/>
    </row>
    <row r="685">
      <c r="F685" s="329"/>
      <c r="G685" s="329"/>
      <c r="H685" s="401"/>
    </row>
    <row r="686">
      <c r="F686" s="329"/>
      <c r="G686" s="329"/>
      <c r="H686" s="401"/>
    </row>
    <row r="687">
      <c r="F687" s="329"/>
      <c r="G687" s="329"/>
      <c r="H687" s="401"/>
    </row>
    <row r="688">
      <c r="F688" s="329"/>
      <c r="G688" s="329"/>
      <c r="H688" s="401"/>
    </row>
    <row r="689">
      <c r="F689" s="329"/>
      <c r="G689" s="329"/>
      <c r="H689" s="401"/>
    </row>
    <row r="690">
      <c r="F690" s="329"/>
      <c r="G690" s="329"/>
      <c r="H690" s="401"/>
    </row>
    <row r="691">
      <c r="F691" s="329"/>
      <c r="G691" s="329"/>
      <c r="H691" s="401"/>
    </row>
    <row r="692">
      <c r="F692" s="329"/>
      <c r="G692" s="329"/>
      <c r="H692" s="401"/>
    </row>
    <row r="693">
      <c r="F693" s="329"/>
      <c r="G693" s="329"/>
      <c r="H693" s="401"/>
    </row>
    <row r="694">
      <c r="F694" s="329"/>
      <c r="G694" s="329"/>
      <c r="H694" s="401"/>
    </row>
    <row r="695">
      <c r="F695" s="329"/>
      <c r="G695" s="329"/>
      <c r="H695" s="401"/>
    </row>
    <row r="696">
      <c r="F696" s="329"/>
      <c r="G696" s="329"/>
      <c r="H696" s="401"/>
    </row>
    <row r="697">
      <c r="F697" s="329"/>
      <c r="G697" s="329"/>
      <c r="H697" s="401"/>
    </row>
    <row r="698">
      <c r="F698" s="329"/>
      <c r="G698" s="329"/>
      <c r="H698" s="401"/>
    </row>
    <row r="699">
      <c r="F699" s="329"/>
      <c r="G699" s="329"/>
      <c r="H699" s="401"/>
    </row>
    <row r="700">
      <c r="F700" s="329"/>
      <c r="G700" s="329"/>
      <c r="H700" s="401"/>
    </row>
    <row r="701">
      <c r="F701" s="329"/>
      <c r="G701" s="329"/>
      <c r="H701" s="401"/>
    </row>
    <row r="702">
      <c r="F702" s="329"/>
      <c r="G702" s="329"/>
      <c r="H702" s="401"/>
    </row>
    <row r="703">
      <c r="F703" s="329"/>
      <c r="G703" s="329"/>
      <c r="H703" s="401"/>
    </row>
    <row r="704">
      <c r="F704" s="329"/>
      <c r="G704" s="329"/>
      <c r="H704" s="401"/>
    </row>
    <row r="705">
      <c r="F705" s="329"/>
      <c r="G705" s="329"/>
      <c r="H705" s="401"/>
    </row>
    <row r="706">
      <c r="F706" s="329"/>
      <c r="G706" s="329"/>
      <c r="H706" s="401"/>
    </row>
    <row r="707">
      <c r="F707" s="329"/>
      <c r="G707" s="329"/>
      <c r="H707" s="401"/>
    </row>
    <row r="708">
      <c r="F708" s="329"/>
      <c r="G708" s="329"/>
      <c r="H708" s="401"/>
    </row>
    <row r="709">
      <c r="F709" s="329"/>
      <c r="G709" s="329"/>
      <c r="H709" s="401"/>
    </row>
    <row r="710">
      <c r="F710" s="329"/>
      <c r="G710" s="329"/>
      <c r="H710" s="401"/>
    </row>
    <row r="711">
      <c r="F711" s="329"/>
      <c r="G711" s="329"/>
      <c r="H711" s="401"/>
    </row>
    <row r="712">
      <c r="F712" s="329"/>
      <c r="G712" s="329"/>
      <c r="H712" s="401"/>
    </row>
    <row r="713">
      <c r="F713" s="329"/>
      <c r="G713" s="329"/>
      <c r="H713" s="401"/>
    </row>
    <row r="714">
      <c r="F714" s="329"/>
      <c r="G714" s="329"/>
      <c r="H714" s="401"/>
    </row>
    <row r="715">
      <c r="F715" s="329"/>
      <c r="G715" s="329"/>
      <c r="H715" s="401"/>
    </row>
    <row r="716">
      <c r="F716" s="329"/>
      <c r="G716" s="329"/>
      <c r="H716" s="401"/>
    </row>
    <row r="717">
      <c r="F717" s="329"/>
      <c r="G717" s="329"/>
      <c r="H717" s="401"/>
    </row>
    <row r="718">
      <c r="F718" s="329"/>
      <c r="G718" s="329"/>
      <c r="H718" s="401"/>
    </row>
    <row r="719">
      <c r="F719" s="329"/>
      <c r="G719" s="329"/>
      <c r="H719" s="401"/>
    </row>
    <row r="720">
      <c r="F720" s="329"/>
      <c r="G720" s="329"/>
      <c r="H720" s="401"/>
    </row>
    <row r="721">
      <c r="F721" s="329"/>
      <c r="G721" s="329"/>
      <c r="H721" s="401"/>
    </row>
    <row r="722">
      <c r="F722" s="329"/>
      <c r="G722" s="329"/>
      <c r="H722" s="401"/>
    </row>
    <row r="723">
      <c r="F723" s="329"/>
      <c r="G723" s="329"/>
      <c r="H723" s="401"/>
    </row>
    <row r="724">
      <c r="F724" s="329"/>
      <c r="G724" s="329"/>
      <c r="H724" s="401"/>
    </row>
    <row r="725">
      <c r="F725" s="329"/>
      <c r="G725" s="329"/>
      <c r="H725" s="401"/>
    </row>
    <row r="726">
      <c r="F726" s="329"/>
      <c r="G726" s="329"/>
      <c r="H726" s="401"/>
    </row>
    <row r="727">
      <c r="F727" s="329"/>
      <c r="G727" s="329"/>
      <c r="H727" s="401"/>
    </row>
    <row r="728">
      <c r="F728" s="329"/>
      <c r="G728" s="329"/>
      <c r="H728" s="401"/>
    </row>
    <row r="729">
      <c r="F729" s="329"/>
      <c r="G729" s="329"/>
      <c r="H729" s="401"/>
    </row>
    <row r="730">
      <c r="F730" s="329"/>
      <c r="G730" s="329"/>
      <c r="H730" s="401"/>
    </row>
    <row r="731">
      <c r="F731" s="329"/>
      <c r="G731" s="329"/>
      <c r="H731" s="401"/>
    </row>
    <row r="732">
      <c r="F732" s="329"/>
      <c r="G732" s="329"/>
      <c r="H732" s="401"/>
    </row>
    <row r="733">
      <c r="F733" s="329"/>
      <c r="G733" s="329"/>
      <c r="H733" s="401"/>
    </row>
    <row r="734">
      <c r="F734" s="329"/>
      <c r="G734" s="329"/>
      <c r="H734" s="401"/>
    </row>
    <row r="735">
      <c r="F735" s="329"/>
      <c r="G735" s="329"/>
      <c r="H735" s="401"/>
    </row>
    <row r="736">
      <c r="F736" s="329"/>
      <c r="G736" s="329"/>
      <c r="H736" s="401"/>
    </row>
    <row r="737">
      <c r="F737" s="329"/>
      <c r="G737" s="329"/>
      <c r="H737" s="401"/>
    </row>
    <row r="738">
      <c r="F738" s="329"/>
      <c r="G738" s="329"/>
      <c r="H738" s="401"/>
    </row>
    <row r="739">
      <c r="F739" s="329"/>
      <c r="G739" s="329"/>
      <c r="H739" s="401"/>
    </row>
    <row r="740">
      <c r="F740" s="329"/>
      <c r="G740" s="329"/>
      <c r="H740" s="401"/>
    </row>
    <row r="741">
      <c r="F741" s="329"/>
      <c r="G741" s="329"/>
      <c r="H741" s="401"/>
    </row>
    <row r="742">
      <c r="F742" s="329"/>
      <c r="G742" s="329"/>
      <c r="H742" s="401"/>
    </row>
    <row r="743">
      <c r="F743" s="329"/>
      <c r="G743" s="329"/>
      <c r="H743" s="401"/>
    </row>
    <row r="744">
      <c r="F744" s="329"/>
      <c r="G744" s="329"/>
      <c r="H744" s="401"/>
    </row>
    <row r="745">
      <c r="F745" s="329"/>
      <c r="G745" s="329"/>
      <c r="H745" s="401"/>
    </row>
    <row r="746">
      <c r="F746" s="329"/>
      <c r="G746" s="329"/>
      <c r="H746" s="401"/>
    </row>
    <row r="747">
      <c r="F747" s="329"/>
      <c r="G747" s="329"/>
      <c r="H747" s="401"/>
    </row>
    <row r="748">
      <c r="F748" s="329"/>
      <c r="G748" s="329"/>
      <c r="H748" s="401"/>
    </row>
    <row r="749">
      <c r="F749" s="329"/>
      <c r="G749" s="329"/>
      <c r="H749" s="401"/>
    </row>
    <row r="750">
      <c r="F750" s="329"/>
      <c r="G750" s="329"/>
      <c r="H750" s="401"/>
    </row>
    <row r="751">
      <c r="F751" s="329"/>
      <c r="G751" s="329"/>
      <c r="H751" s="401"/>
    </row>
    <row r="752">
      <c r="F752" s="329"/>
      <c r="G752" s="329"/>
      <c r="H752" s="401"/>
    </row>
    <row r="753">
      <c r="F753" s="329"/>
      <c r="G753" s="329"/>
      <c r="H753" s="401"/>
    </row>
    <row r="754">
      <c r="F754" s="329"/>
      <c r="G754" s="329"/>
      <c r="H754" s="401"/>
    </row>
    <row r="755">
      <c r="F755" s="329"/>
      <c r="G755" s="329"/>
      <c r="H755" s="401"/>
    </row>
    <row r="756">
      <c r="F756" s="329"/>
      <c r="G756" s="329"/>
      <c r="H756" s="401"/>
    </row>
    <row r="757">
      <c r="F757" s="329"/>
      <c r="G757" s="329"/>
      <c r="H757" s="401"/>
    </row>
    <row r="758">
      <c r="F758" s="329"/>
      <c r="G758" s="329"/>
      <c r="H758" s="401"/>
    </row>
    <row r="759">
      <c r="F759" s="329"/>
      <c r="G759" s="329"/>
      <c r="H759" s="401"/>
    </row>
    <row r="760">
      <c r="F760" s="329"/>
      <c r="G760" s="329"/>
      <c r="H760" s="401"/>
    </row>
    <row r="761">
      <c r="F761" s="329"/>
      <c r="G761" s="329"/>
      <c r="H761" s="401"/>
    </row>
    <row r="762">
      <c r="F762" s="329"/>
      <c r="G762" s="329"/>
      <c r="H762" s="401"/>
    </row>
    <row r="763">
      <c r="F763" s="329"/>
      <c r="G763" s="329"/>
      <c r="H763" s="401"/>
    </row>
    <row r="764">
      <c r="F764" s="329"/>
      <c r="G764" s="329"/>
      <c r="H764" s="401"/>
    </row>
    <row r="765">
      <c r="F765" s="329"/>
      <c r="G765" s="329"/>
      <c r="H765" s="401"/>
    </row>
    <row r="766">
      <c r="F766" s="329"/>
      <c r="G766" s="329"/>
      <c r="H766" s="401"/>
    </row>
    <row r="767">
      <c r="F767" s="329"/>
      <c r="G767" s="329"/>
      <c r="H767" s="401"/>
    </row>
    <row r="768">
      <c r="F768" s="329"/>
      <c r="G768" s="329"/>
      <c r="H768" s="401"/>
    </row>
    <row r="769">
      <c r="F769" s="329"/>
      <c r="G769" s="329"/>
      <c r="H769" s="401"/>
    </row>
    <row r="770">
      <c r="F770" s="329"/>
      <c r="G770" s="329"/>
      <c r="H770" s="401"/>
    </row>
    <row r="771">
      <c r="F771" s="329"/>
      <c r="G771" s="329"/>
      <c r="H771" s="401"/>
    </row>
    <row r="772">
      <c r="F772" s="329"/>
      <c r="G772" s="329"/>
      <c r="H772" s="401"/>
    </row>
    <row r="773">
      <c r="F773" s="329"/>
      <c r="G773" s="329"/>
      <c r="H773" s="401"/>
    </row>
    <row r="774">
      <c r="F774" s="329"/>
      <c r="G774" s="329"/>
      <c r="H774" s="401"/>
    </row>
    <row r="775">
      <c r="F775" s="329"/>
      <c r="G775" s="329"/>
      <c r="H775" s="401"/>
    </row>
    <row r="776">
      <c r="F776" s="329"/>
      <c r="G776" s="329"/>
      <c r="H776" s="401"/>
    </row>
    <row r="777">
      <c r="F777" s="329"/>
      <c r="G777" s="329"/>
      <c r="H777" s="401"/>
    </row>
    <row r="778">
      <c r="F778" s="329"/>
      <c r="G778" s="329"/>
      <c r="H778" s="401"/>
    </row>
    <row r="779">
      <c r="F779" s="329"/>
      <c r="G779" s="329"/>
      <c r="H779" s="401"/>
    </row>
    <row r="780">
      <c r="F780" s="329"/>
      <c r="G780" s="329"/>
      <c r="H780" s="401"/>
    </row>
    <row r="781">
      <c r="F781" s="329"/>
      <c r="G781" s="329"/>
      <c r="H781" s="401"/>
    </row>
    <row r="782">
      <c r="F782" s="329"/>
      <c r="G782" s="329"/>
      <c r="H782" s="401"/>
    </row>
    <row r="783">
      <c r="F783" s="329"/>
      <c r="G783" s="329"/>
      <c r="H783" s="401"/>
    </row>
    <row r="784">
      <c r="F784" s="329"/>
      <c r="G784" s="329"/>
      <c r="H784" s="401"/>
    </row>
    <row r="785">
      <c r="F785" s="329"/>
      <c r="G785" s="329"/>
      <c r="H785" s="401"/>
    </row>
    <row r="786">
      <c r="F786" s="329"/>
      <c r="G786" s="329"/>
      <c r="H786" s="401"/>
    </row>
    <row r="787">
      <c r="F787" s="329"/>
      <c r="G787" s="329"/>
      <c r="H787" s="401"/>
    </row>
    <row r="788">
      <c r="F788" s="329"/>
      <c r="G788" s="329"/>
      <c r="H788" s="401"/>
    </row>
    <row r="789">
      <c r="F789" s="329"/>
      <c r="G789" s="329"/>
      <c r="H789" s="401"/>
    </row>
    <row r="790">
      <c r="F790" s="329"/>
      <c r="G790" s="329"/>
      <c r="H790" s="401"/>
    </row>
    <row r="791">
      <c r="F791" s="329"/>
      <c r="G791" s="329"/>
      <c r="H791" s="401"/>
    </row>
    <row r="792">
      <c r="F792" s="329"/>
      <c r="G792" s="329"/>
      <c r="H792" s="401"/>
    </row>
    <row r="793">
      <c r="F793" s="329"/>
      <c r="G793" s="329"/>
      <c r="H793" s="401"/>
    </row>
    <row r="794">
      <c r="F794" s="329"/>
      <c r="G794" s="329"/>
      <c r="H794" s="401"/>
    </row>
    <row r="795">
      <c r="F795" s="329"/>
      <c r="G795" s="329"/>
      <c r="H795" s="401"/>
    </row>
    <row r="796">
      <c r="F796" s="329"/>
      <c r="G796" s="329"/>
      <c r="H796" s="401"/>
    </row>
    <row r="797">
      <c r="F797" s="329"/>
      <c r="G797" s="329"/>
      <c r="H797" s="401"/>
    </row>
    <row r="798">
      <c r="F798" s="329"/>
      <c r="G798" s="329"/>
      <c r="H798" s="401"/>
    </row>
    <row r="799">
      <c r="F799" s="329"/>
      <c r="G799" s="329"/>
      <c r="H799" s="401"/>
    </row>
    <row r="800">
      <c r="F800" s="329"/>
      <c r="G800" s="329"/>
      <c r="H800" s="401"/>
    </row>
    <row r="801">
      <c r="F801" s="329"/>
      <c r="G801" s="329"/>
      <c r="H801" s="401"/>
    </row>
    <row r="802">
      <c r="F802" s="329"/>
      <c r="G802" s="329"/>
      <c r="H802" s="401"/>
    </row>
    <row r="803">
      <c r="F803" s="329"/>
      <c r="G803" s="329"/>
      <c r="H803" s="401"/>
    </row>
    <row r="804">
      <c r="F804" s="329"/>
      <c r="G804" s="329"/>
      <c r="H804" s="401"/>
    </row>
    <row r="805">
      <c r="F805" s="329"/>
      <c r="G805" s="329"/>
      <c r="H805" s="401"/>
    </row>
    <row r="806">
      <c r="F806" s="329"/>
      <c r="G806" s="329"/>
      <c r="H806" s="401"/>
    </row>
    <row r="807">
      <c r="F807" s="329"/>
      <c r="G807" s="329"/>
      <c r="H807" s="401"/>
    </row>
    <row r="808">
      <c r="F808" s="329"/>
      <c r="G808" s="329"/>
      <c r="H808" s="401"/>
    </row>
    <row r="809">
      <c r="F809" s="329"/>
      <c r="G809" s="329"/>
      <c r="H809" s="401"/>
    </row>
    <row r="810">
      <c r="F810" s="329"/>
      <c r="G810" s="329"/>
      <c r="H810" s="401"/>
    </row>
    <row r="811">
      <c r="F811" s="329"/>
      <c r="G811" s="329"/>
      <c r="H811" s="401"/>
    </row>
    <row r="812">
      <c r="F812" s="329"/>
      <c r="G812" s="329"/>
      <c r="H812" s="401"/>
    </row>
    <row r="813">
      <c r="F813" s="329"/>
      <c r="G813" s="329"/>
      <c r="H813" s="401"/>
    </row>
    <row r="814">
      <c r="F814" s="329"/>
      <c r="G814" s="329"/>
      <c r="H814" s="401"/>
    </row>
    <row r="815">
      <c r="F815" s="329"/>
      <c r="G815" s="329"/>
      <c r="H815" s="401"/>
    </row>
    <row r="816">
      <c r="F816" s="329"/>
      <c r="G816" s="329"/>
      <c r="H816" s="401"/>
    </row>
    <row r="817">
      <c r="F817" s="329"/>
      <c r="G817" s="329"/>
      <c r="H817" s="401"/>
    </row>
    <row r="818">
      <c r="F818" s="329"/>
      <c r="G818" s="329"/>
      <c r="H818" s="401"/>
    </row>
    <row r="819">
      <c r="F819" s="329"/>
      <c r="G819" s="329"/>
      <c r="H819" s="401"/>
    </row>
    <row r="820">
      <c r="F820" s="329"/>
      <c r="G820" s="329"/>
      <c r="H820" s="401"/>
    </row>
    <row r="821">
      <c r="F821" s="329"/>
      <c r="G821" s="329"/>
      <c r="H821" s="401"/>
    </row>
    <row r="822">
      <c r="F822" s="329"/>
      <c r="G822" s="329"/>
      <c r="H822" s="401"/>
    </row>
    <row r="823">
      <c r="F823" s="329"/>
      <c r="G823" s="329"/>
      <c r="H823" s="401"/>
    </row>
    <row r="824">
      <c r="F824" s="329"/>
      <c r="G824" s="329"/>
      <c r="H824" s="401"/>
    </row>
    <row r="825">
      <c r="F825" s="329"/>
      <c r="G825" s="329"/>
      <c r="H825" s="401"/>
    </row>
    <row r="826">
      <c r="F826" s="329"/>
      <c r="G826" s="329"/>
      <c r="H826" s="401"/>
    </row>
    <row r="827">
      <c r="F827" s="329"/>
      <c r="G827" s="329"/>
      <c r="H827" s="401"/>
    </row>
    <row r="828">
      <c r="F828" s="329"/>
      <c r="G828" s="329"/>
      <c r="H828" s="401"/>
    </row>
    <row r="829">
      <c r="F829" s="329"/>
      <c r="G829" s="329"/>
      <c r="H829" s="401"/>
    </row>
    <row r="830">
      <c r="F830" s="329"/>
      <c r="G830" s="329"/>
      <c r="H830" s="401"/>
    </row>
    <row r="831">
      <c r="F831" s="329"/>
      <c r="G831" s="329"/>
      <c r="H831" s="401"/>
    </row>
    <row r="832">
      <c r="F832" s="329"/>
      <c r="G832" s="329"/>
      <c r="H832" s="401"/>
    </row>
    <row r="833">
      <c r="F833" s="329"/>
      <c r="G833" s="329"/>
      <c r="H833" s="401"/>
    </row>
    <row r="834">
      <c r="F834" s="329"/>
      <c r="G834" s="329"/>
      <c r="H834" s="401"/>
    </row>
    <row r="835">
      <c r="F835" s="329"/>
      <c r="G835" s="329"/>
      <c r="H835" s="401"/>
    </row>
    <row r="836">
      <c r="F836" s="329"/>
      <c r="G836" s="329"/>
      <c r="H836" s="401"/>
    </row>
    <row r="837">
      <c r="F837" s="329"/>
      <c r="G837" s="329"/>
      <c r="H837" s="401"/>
    </row>
    <row r="838">
      <c r="F838" s="329"/>
      <c r="G838" s="329"/>
      <c r="H838" s="401"/>
    </row>
    <row r="839">
      <c r="F839" s="329"/>
      <c r="G839" s="329"/>
      <c r="H839" s="401"/>
    </row>
    <row r="840">
      <c r="F840" s="329"/>
      <c r="G840" s="329"/>
      <c r="H840" s="401"/>
    </row>
    <row r="841">
      <c r="F841" s="329"/>
      <c r="G841" s="329"/>
      <c r="H841" s="401"/>
    </row>
    <row r="842">
      <c r="F842" s="329"/>
      <c r="G842" s="329"/>
      <c r="H842" s="401"/>
    </row>
    <row r="843">
      <c r="F843" s="329"/>
      <c r="G843" s="329"/>
      <c r="H843" s="401"/>
    </row>
    <row r="844">
      <c r="F844" s="329"/>
      <c r="G844" s="329"/>
      <c r="H844" s="401"/>
    </row>
    <row r="845">
      <c r="F845" s="329"/>
      <c r="G845" s="329"/>
      <c r="H845" s="401"/>
    </row>
    <row r="846">
      <c r="F846" s="329"/>
      <c r="G846" s="329"/>
      <c r="H846" s="401"/>
    </row>
    <row r="847">
      <c r="F847" s="329"/>
      <c r="G847" s="329"/>
      <c r="H847" s="401"/>
    </row>
    <row r="848">
      <c r="F848" s="329"/>
      <c r="G848" s="329"/>
      <c r="H848" s="401"/>
    </row>
    <row r="849">
      <c r="F849" s="329"/>
      <c r="G849" s="329"/>
      <c r="H849" s="401"/>
    </row>
    <row r="850">
      <c r="F850" s="329"/>
      <c r="G850" s="329"/>
      <c r="H850" s="401"/>
    </row>
    <row r="851">
      <c r="F851" s="329"/>
      <c r="G851" s="329"/>
      <c r="H851" s="401"/>
    </row>
    <row r="852">
      <c r="F852" s="329"/>
      <c r="G852" s="329"/>
      <c r="H852" s="401"/>
    </row>
    <row r="853">
      <c r="F853" s="329"/>
      <c r="G853" s="329"/>
      <c r="H853" s="401"/>
    </row>
    <row r="854">
      <c r="F854" s="329"/>
      <c r="G854" s="329"/>
      <c r="H854" s="401"/>
    </row>
    <row r="855">
      <c r="F855" s="329"/>
      <c r="G855" s="329"/>
      <c r="H855" s="401"/>
    </row>
    <row r="856">
      <c r="F856" s="329"/>
      <c r="G856" s="329"/>
      <c r="H856" s="401"/>
    </row>
    <row r="857">
      <c r="F857" s="329"/>
      <c r="G857" s="329"/>
      <c r="H857" s="401"/>
    </row>
    <row r="858">
      <c r="F858" s="329"/>
      <c r="G858" s="329"/>
      <c r="H858" s="401"/>
    </row>
    <row r="859">
      <c r="F859" s="329"/>
      <c r="G859" s="329"/>
      <c r="H859" s="401"/>
    </row>
    <row r="860">
      <c r="F860" s="329"/>
      <c r="G860" s="329"/>
      <c r="H860" s="401"/>
    </row>
    <row r="861">
      <c r="F861" s="329"/>
      <c r="G861" s="329"/>
      <c r="H861" s="401"/>
    </row>
    <row r="862">
      <c r="F862" s="329"/>
      <c r="G862" s="329"/>
      <c r="H862" s="401"/>
    </row>
    <row r="863">
      <c r="F863" s="329"/>
      <c r="G863" s="329"/>
      <c r="H863" s="401"/>
    </row>
    <row r="864">
      <c r="F864" s="329"/>
      <c r="G864" s="329"/>
      <c r="H864" s="401"/>
    </row>
    <row r="865">
      <c r="F865" s="329"/>
      <c r="G865" s="329"/>
      <c r="H865" s="401"/>
    </row>
    <row r="866">
      <c r="F866" s="329"/>
      <c r="G866" s="329"/>
      <c r="H866" s="401"/>
    </row>
    <row r="867">
      <c r="F867" s="329"/>
      <c r="G867" s="329"/>
      <c r="H867" s="401"/>
    </row>
    <row r="868">
      <c r="F868" s="329"/>
      <c r="G868" s="329"/>
      <c r="H868" s="401"/>
    </row>
    <row r="869">
      <c r="F869" s="329"/>
      <c r="G869" s="329"/>
      <c r="H869" s="401"/>
    </row>
    <row r="870">
      <c r="F870" s="329"/>
      <c r="G870" s="329"/>
      <c r="H870" s="401"/>
    </row>
    <row r="871">
      <c r="F871" s="329"/>
      <c r="G871" s="329"/>
      <c r="H871" s="401"/>
    </row>
    <row r="872">
      <c r="F872" s="329"/>
      <c r="G872" s="329"/>
      <c r="H872" s="401"/>
    </row>
    <row r="873">
      <c r="F873" s="329"/>
      <c r="G873" s="329"/>
      <c r="H873" s="401"/>
    </row>
    <row r="874">
      <c r="F874" s="329"/>
      <c r="G874" s="329"/>
      <c r="H874" s="401"/>
    </row>
    <row r="875">
      <c r="F875" s="329"/>
      <c r="G875" s="329"/>
      <c r="H875" s="401"/>
    </row>
    <row r="876">
      <c r="F876" s="329"/>
      <c r="G876" s="329"/>
      <c r="H876" s="401"/>
    </row>
    <row r="877">
      <c r="F877" s="329"/>
      <c r="G877" s="329"/>
      <c r="H877" s="401"/>
    </row>
    <row r="878">
      <c r="F878" s="329"/>
      <c r="G878" s="329"/>
      <c r="H878" s="401"/>
    </row>
    <row r="879">
      <c r="F879" s="329"/>
      <c r="G879" s="329"/>
      <c r="H879" s="401"/>
    </row>
    <row r="880">
      <c r="F880" s="329"/>
      <c r="G880" s="329"/>
      <c r="H880" s="401"/>
    </row>
    <row r="881">
      <c r="F881" s="329"/>
      <c r="G881" s="329"/>
      <c r="H881" s="401"/>
    </row>
    <row r="882">
      <c r="F882" s="329"/>
      <c r="G882" s="329"/>
      <c r="H882" s="401"/>
    </row>
    <row r="883">
      <c r="F883" s="329"/>
      <c r="G883" s="329"/>
      <c r="H883" s="401"/>
    </row>
    <row r="884">
      <c r="F884" s="329"/>
      <c r="G884" s="329"/>
      <c r="H884" s="401"/>
    </row>
    <row r="885">
      <c r="F885" s="329"/>
      <c r="G885" s="329"/>
      <c r="H885" s="401"/>
    </row>
    <row r="886">
      <c r="F886" s="329"/>
      <c r="G886" s="329"/>
      <c r="H886" s="401"/>
    </row>
    <row r="887">
      <c r="F887" s="329"/>
      <c r="G887" s="329"/>
      <c r="H887" s="401"/>
    </row>
    <row r="888">
      <c r="F888" s="329"/>
      <c r="G888" s="329"/>
      <c r="H888" s="401"/>
    </row>
    <row r="889">
      <c r="F889" s="329"/>
      <c r="G889" s="329"/>
      <c r="H889" s="401"/>
    </row>
    <row r="890">
      <c r="F890" s="329"/>
      <c r="G890" s="329"/>
      <c r="H890" s="401"/>
    </row>
    <row r="891">
      <c r="F891" s="329"/>
      <c r="G891" s="329"/>
      <c r="H891" s="401"/>
    </row>
    <row r="892">
      <c r="F892" s="329"/>
      <c r="G892" s="329"/>
      <c r="H892" s="401"/>
    </row>
    <row r="893">
      <c r="F893" s="329"/>
      <c r="G893" s="329"/>
      <c r="H893" s="401"/>
    </row>
    <row r="894">
      <c r="F894" s="329"/>
      <c r="G894" s="329"/>
      <c r="H894" s="401"/>
    </row>
    <row r="895">
      <c r="F895" s="329"/>
      <c r="G895" s="329"/>
      <c r="H895" s="401"/>
    </row>
    <row r="896">
      <c r="F896" s="329"/>
      <c r="G896" s="329"/>
      <c r="H896" s="401"/>
    </row>
    <row r="897">
      <c r="F897" s="329"/>
      <c r="G897" s="329"/>
      <c r="H897" s="401"/>
    </row>
    <row r="898">
      <c r="F898" s="329"/>
      <c r="G898" s="329"/>
      <c r="H898" s="401"/>
    </row>
    <row r="899">
      <c r="F899" s="329"/>
      <c r="G899" s="329"/>
      <c r="H899" s="401"/>
    </row>
    <row r="900">
      <c r="F900" s="329"/>
      <c r="G900" s="329"/>
      <c r="H900" s="401"/>
    </row>
    <row r="901">
      <c r="F901" s="329"/>
      <c r="G901" s="329"/>
      <c r="H901" s="401"/>
    </row>
    <row r="902">
      <c r="F902" s="329"/>
      <c r="G902" s="329"/>
      <c r="H902" s="401"/>
    </row>
    <row r="903">
      <c r="F903" s="329"/>
      <c r="G903" s="329"/>
      <c r="H903" s="401"/>
    </row>
    <row r="904">
      <c r="F904" s="329"/>
      <c r="G904" s="329"/>
      <c r="H904" s="401"/>
    </row>
    <row r="905">
      <c r="F905" s="329"/>
      <c r="G905" s="329"/>
      <c r="H905" s="401"/>
    </row>
    <row r="906">
      <c r="F906" s="329"/>
      <c r="G906" s="329"/>
      <c r="H906" s="401"/>
    </row>
    <row r="907">
      <c r="F907" s="329"/>
      <c r="G907" s="329"/>
      <c r="H907" s="401"/>
    </row>
    <row r="908">
      <c r="F908" s="329"/>
      <c r="G908" s="329"/>
      <c r="H908" s="401"/>
    </row>
    <row r="909">
      <c r="F909" s="329"/>
      <c r="G909" s="329"/>
      <c r="H909" s="401"/>
    </row>
    <row r="910">
      <c r="F910" s="329"/>
      <c r="G910" s="329"/>
      <c r="H910" s="401"/>
    </row>
    <row r="911">
      <c r="F911" s="329"/>
      <c r="G911" s="329"/>
      <c r="H911" s="401"/>
    </row>
    <row r="912">
      <c r="F912" s="329"/>
      <c r="G912" s="329"/>
      <c r="H912" s="401"/>
    </row>
    <row r="913">
      <c r="F913" s="329"/>
      <c r="G913" s="329"/>
      <c r="H913" s="401"/>
    </row>
    <row r="914">
      <c r="F914" s="329"/>
      <c r="G914" s="329"/>
      <c r="H914" s="401"/>
    </row>
    <row r="915">
      <c r="F915" s="329"/>
      <c r="G915" s="329"/>
      <c r="H915" s="401"/>
    </row>
    <row r="916">
      <c r="F916" s="329"/>
      <c r="G916" s="329"/>
      <c r="H916" s="401"/>
    </row>
    <row r="917">
      <c r="F917" s="329"/>
      <c r="G917" s="329"/>
      <c r="H917" s="401"/>
    </row>
    <row r="918">
      <c r="F918" s="329"/>
      <c r="G918" s="329"/>
      <c r="H918" s="401"/>
    </row>
    <row r="919">
      <c r="F919" s="329"/>
      <c r="G919" s="329"/>
      <c r="H919" s="401"/>
    </row>
    <row r="920">
      <c r="F920" s="329"/>
      <c r="G920" s="329"/>
      <c r="H920" s="401"/>
    </row>
    <row r="921">
      <c r="F921" s="329"/>
      <c r="G921" s="329"/>
      <c r="H921" s="401"/>
    </row>
    <row r="922">
      <c r="F922" s="329"/>
      <c r="G922" s="329"/>
      <c r="H922" s="401"/>
    </row>
    <row r="923">
      <c r="F923" s="329"/>
      <c r="G923" s="329"/>
      <c r="H923" s="401"/>
    </row>
    <row r="924">
      <c r="F924" s="329"/>
      <c r="G924" s="329"/>
      <c r="H924" s="401"/>
    </row>
    <row r="925">
      <c r="F925" s="329"/>
      <c r="G925" s="329"/>
      <c r="H925" s="401"/>
    </row>
    <row r="926">
      <c r="F926" s="329"/>
      <c r="G926" s="329"/>
      <c r="H926" s="401"/>
    </row>
    <row r="927">
      <c r="F927" s="329"/>
      <c r="G927" s="329"/>
      <c r="H927" s="401"/>
    </row>
    <row r="928">
      <c r="F928" s="329"/>
      <c r="G928" s="329"/>
      <c r="H928" s="401"/>
    </row>
    <row r="929">
      <c r="F929" s="329"/>
      <c r="G929" s="329"/>
      <c r="H929" s="401"/>
    </row>
    <row r="930">
      <c r="F930" s="329"/>
      <c r="G930" s="329"/>
      <c r="H930" s="401"/>
    </row>
    <row r="931">
      <c r="F931" s="329"/>
      <c r="G931" s="329"/>
      <c r="H931" s="401"/>
    </row>
    <row r="932">
      <c r="F932" s="329"/>
      <c r="G932" s="329"/>
      <c r="H932" s="401"/>
    </row>
    <row r="933">
      <c r="F933" s="329"/>
      <c r="G933" s="329"/>
      <c r="H933" s="401"/>
    </row>
    <row r="934">
      <c r="F934" s="329"/>
      <c r="G934" s="329"/>
      <c r="H934" s="401"/>
    </row>
    <row r="935">
      <c r="F935" s="329"/>
      <c r="G935" s="329"/>
      <c r="H935" s="401"/>
    </row>
    <row r="936">
      <c r="F936" s="329"/>
      <c r="G936" s="329"/>
      <c r="H936" s="401"/>
    </row>
    <row r="937">
      <c r="F937" s="329"/>
      <c r="G937" s="329"/>
      <c r="H937" s="401"/>
    </row>
    <row r="938">
      <c r="F938" s="329"/>
      <c r="G938" s="329"/>
      <c r="H938" s="401"/>
    </row>
    <row r="939">
      <c r="F939" s="329"/>
      <c r="G939" s="329"/>
      <c r="H939" s="401"/>
    </row>
    <row r="940">
      <c r="F940" s="329"/>
      <c r="G940" s="329"/>
      <c r="H940" s="401"/>
    </row>
    <row r="941">
      <c r="F941" s="329"/>
      <c r="G941" s="329"/>
      <c r="H941" s="401"/>
    </row>
    <row r="942">
      <c r="F942" s="329"/>
      <c r="G942" s="329"/>
      <c r="H942" s="401"/>
    </row>
    <row r="943">
      <c r="F943" s="329"/>
      <c r="G943" s="329"/>
      <c r="H943" s="401"/>
    </row>
    <row r="944">
      <c r="F944" s="329"/>
      <c r="G944" s="329"/>
      <c r="H944" s="401"/>
    </row>
    <row r="945">
      <c r="F945" s="329"/>
      <c r="G945" s="329"/>
      <c r="H945" s="401"/>
    </row>
    <row r="946">
      <c r="F946" s="329"/>
      <c r="G946" s="329"/>
      <c r="H946" s="401"/>
    </row>
    <row r="947">
      <c r="F947" s="329"/>
      <c r="G947" s="329"/>
      <c r="H947" s="401"/>
    </row>
    <row r="948">
      <c r="F948" s="329"/>
      <c r="G948" s="329"/>
      <c r="H948" s="401"/>
    </row>
    <row r="949">
      <c r="F949" s="329"/>
      <c r="G949" s="329"/>
      <c r="H949" s="401"/>
    </row>
    <row r="950">
      <c r="F950" s="329"/>
      <c r="G950" s="329"/>
      <c r="H950" s="401"/>
    </row>
    <row r="951">
      <c r="F951" s="329"/>
      <c r="G951" s="329"/>
      <c r="H951" s="401"/>
    </row>
    <row r="952">
      <c r="F952" s="329"/>
      <c r="G952" s="329"/>
      <c r="H952" s="401"/>
    </row>
    <row r="953">
      <c r="F953" s="329"/>
      <c r="G953" s="329"/>
      <c r="H953" s="401"/>
    </row>
    <row r="954">
      <c r="F954" s="329"/>
      <c r="G954" s="329"/>
      <c r="H954" s="401"/>
    </row>
    <row r="955">
      <c r="F955" s="329"/>
      <c r="G955" s="329"/>
      <c r="H955" s="401"/>
    </row>
    <row r="956">
      <c r="F956" s="329"/>
      <c r="G956" s="329"/>
      <c r="H956" s="401"/>
    </row>
    <row r="957">
      <c r="F957" s="329"/>
      <c r="G957" s="329"/>
      <c r="H957" s="401"/>
    </row>
    <row r="958">
      <c r="F958" s="329"/>
      <c r="G958" s="329"/>
      <c r="H958" s="401"/>
    </row>
    <row r="959">
      <c r="F959" s="329"/>
      <c r="G959" s="329"/>
      <c r="H959" s="401"/>
    </row>
    <row r="960">
      <c r="F960" s="329"/>
      <c r="G960" s="329"/>
      <c r="H960" s="401"/>
    </row>
    <row r="961">
      <c r="F961" s="329"/>
      <c r="G961" s="329"/>
      <c r="H961" s="401"/>
    </row>
    <row r="962">
      <c r="F962" s="329"/>
      <c r="G962" s="329"/>
      <c r="H962" s="401"/>
    </row>
    <row r="963">
      <c r="F963" s="329"/>
      <c r="G963" s="329"/>
      <c r="H963" s="401"/>
    </row>
    <row r="964">
      <c r="F964" s="329"/>
      <c r="G964" s="329"/>
      <c r="H964" s="401"/>
    </row>
    <row r="965">
      <c r="F965" s="329"/>
      <c r="G965" s="329"/>
      <c r="H965" s="401"/>
    </row>
    <row r="966">
      <c r="F966" s="329"/>
      <c r="G966" s="329"/>
      <c r="H966" s="401"/>
    </row>
    <row r="967">
      <c r="F967" s="329"/>
      <c r="G967" s="329"/>
      <c r="H967" s="401"/>
    </row>
    <row r="968">
      <c r="F968" s="329"/>
      <c r="G968" s="329"/>
      <c r="H968" s="401"/>
    </row>
    <row r="969">
      <c r="F969" s="329"/>
      <c r="G969" s="329"/>
      <c r="H969" s="401"/>
    </row>
    <row r="970">
      <c r="F970" s="329"/>
      <c r="G970" s="329"/>
      <c r="H970" s="401"/>
    </row>
    <row r="971">
      <c r="F971" s="329"/>
      <c r="G971" s="329"/>
      <c r="H971" s="401"/>
    </row>
    <row r="972">
      <c r="F972" s="329"/>
      <c r="G972" s="329"/>
      <c r="H972" s="401"/>
    </row>
    <row r="973">
      <c r="F973" s="329"/>
      <c r="G973" s="329"/>
      <c r="H973" s="401"/>
    </row>
    <row r="974">
      <c r="F974" s="329"/>
      <c r="G974" s="329"/>
      <c r="H974" s="401"/>
    </row>
    <row r="975">
      <c r="F975" s="329"/>
      <c r="G975" s="329"/>
      <c r="H975" s="401"/>
    </row>
    <row r="976">
      <c r="F976" s="329"/>
      <c r="G976" s="329"/>
      <c r="H976" s="401"/>
    </row>
    <row r="977">
      <c r="F977" s="329"/>
      <c r="G977" s="329"/>
      <c r="H977" s="401"/>
    </row>
    <row r="978">
      <c r="F978" s="329"/>
      <c r="G978" s="329"/>
      <c r="H978" s="401"/>
    </row>
    <row r="979">
      <c r="F979" s="329"/>
      <c r="G979" s="329"/>
      <c r="H979" s="401"/>
    </row>
    <row r="980">
      <c r="F980" s="329"/>
      <c r="G980" s="329"/>
      <c r="H980" s="401"/>
    </row>
    <row r="981">
      <c r="F981" s="329"/>
      <c r="G981" s="329"/>
      <c r="H981" s="401"/>
    </row>
    <row r="982">
      <c r="F982" s="329"/>
      <c r="G982" s="329"/>
      <c r="H982" s="401"/>
    </row>
    <row r="983">
      <c r="F983" s="329"/>
      <c r="G983" s="329"/>
      <c r="H983" s="401"/>
    </row>
    <row r="984">
      <c r="F984" s="329"/>
      <c r="G984" s="329"/>
      <c r="H984" s="401"/>
    </row>
    <row r="985">
      <c r="F985" s="329"/>
      <c r="G985" s="329"/>
      <c r="H985" s="401"/>
    </row>
    <row r="986">
      <c r="F986" s="329"/>
      <c r="G986" s="329"/>
      <c r="H986" s="401"/>
    </row>
    <row r="987">
      <c r="F987" s="329"/>
      <c r="G987" s="329"/>
      <c r="H987" s="401"/>
    </row>
    <row r="988">
      <c r="F988" s="329"/>
      <c r="G988" s="329"/>
      <c r="H988" s="401"/>
    </row>
    <row r="989">
      <c r="F989" s="329"/>
      <c r="G989" s="329"/>
      <c r="H989" s="401"/>
    </row>
    <row r="990">
      <c r="F990" s="329"/>
      <c r="G990" s="329"/>
      <c r="H990" s="401"/>
    </row>
    <row r="991">
      <c r="F991" s="329"/>
      <c r="G991" s="329"/>
      <c r="H991" s="401"/>
    </row>
    <row r="992">
      <c r="F992" s="329"/>
      <c r="G992" s="329"/>
      <c r="H992" s="401"/>
    </row>
    <row r="993">
      <c r="F993" s="329"/>
      <c r="G993" s="329"/>
      <c r="H993" s="401"/>
    </row>
    <row r="994">
      <c r="F994" s="329"/>
      <c r="G994" s="329"/>
      <c r="H994" s="401"/>
    </row>
    <row r="995">
      <c r="F995" s="329"/>
      <c r="G995" s="329"/>
      <c r="H995" s="401"/>
    </row>
    <row r="996">
      <c r="F996" s="329"/>
      <c r="G996" s="329"/>
      <c r="H996" s="401"/>
    </row>
    <row r="997">
      <c r="F997" s="329"/>
      <c r="G997" s="329"/>
      <c r="H997" s="401"/>
    </row>
    <row r="998">
      <c r="F998" s="329"/>
      <c r="G998" s="329"/>
      <c r="H998" s="401"/>
    </row>
    <row r="999">
      <c r="F999" s="329"/>
      <c r="G999" s="329"/>
      <c r="H999" s="401"/>
    </row>
    <row r="1000">
      <c r="F1000" s="329"/>
      <c r="G1000" s="329"/>
      <c r="H1000" s="401"/>
    </row>
  </sheetData>
  <autoFilter ref="$D$1:$D$1000"/>
  <customSheetViews>
    <customSheetView guid="{3F517011-DA5E-46BD-A2D4-296A5DF083B2}" filter="1" showAutoFilter="1">
      <autoFilter ref="$D$1:$D$1000"/>
    </customSheetView>
    <customSheetView guid="{9D2F5B4C-BA7D-479C-B7FF-4F2FBA79609E}" filter="1" showAutoFilter="1">
      <autoFilter ref="$D$1:$D$1000"/>
    </customSheetView>
  </customSheetViews>
  <hyperlinks>
    <hyperlink r:id="rId1" ref="E3"/>
    <hyperlink r:id="rId2" ref="E6"/>
    <hyperlink r:id="rId3" ref="E8"/>
    <hyperlink r:id="rId4" ref="E10"/>
    <hyperlink r:id="rId5" ref="E12"/>
    <hyperlink r:id="rId6" ref="E14"/>
    <hyperlink r:id="rId7" ref="E16"/>
    <hyperlink r:id="rId8" ref="E18"/>
    <hyperlink r:id="rId9" ref="E20"/>
    <hyperlink r:id="rId10" ref="H20"/>
    <hyperlink r:id="rId11" ref="E22"/>
    <hyperlink r:id="rId12" ref="E24"/>
    <hyperlink r:id="rId13" ref="H24"/>
    <hyperlink r:id="rId14" ref="E26"/>
    <hyperlink r:id="rId15" ref="E28"/>
    <hyperlink r:id="rId16" ref="E30"/>
    <hyperlink r:id="rId17" ref="E31"/>
    <hyperlink r:id="rId18" ref="E33"/>
    <hyperlink r:id="rId19" ref="E34"/>
    <hyperlink r:id="rId20" ref="E36"/>
    <hyperlink r:id="rId21" ref="E37"/>
    <hyperlink r:id="rId22" ref="E38"/>
    <hyperlink r:id="rId23" ref="E40"/>
  </hyperlinks>
  <drawing r:id="rId24"/>
</worksheet>
</file>