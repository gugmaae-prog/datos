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- 8th May" sheetId="1" r:id="rId4"/>
    <sheet state="visible" name="Sheet3" sheetId="2" r:id="rId5"/>
    <sheet state="visible" name="Day 2- 9th May" sheetId="3" r:id="rId6"/>
    <sheet state="visible" name="MAY 11" sheetId="4" r:id="rId7"/>
    <sheet state="visible" name="Sheet5" sheetId="5" r:id="rId8"/>
    <sheet state="visible" name="Sheet6" sheetId="6" r:id="rId9"/>
    <sheet state="visible" name="Sheet7" sheetId="7" r:id="rId10"/>
  </sheets>
  <definedNames>
    <definedName hidden="1" localSheetId="0" name="_xlnm._FilterDatabase">'Day 1- 8th May'!$F$1:$F$236</definedName>
    <definedName hidden="1" localSheetId="2" name="_xlnm._FilterDatabase">'Day 2- 9th May'!$B$1:$B$220</definedName>
    <definedName hidden="1" localSheetId="6" name="_xlnm._FilterDatabase">Sheet7!$B$1:$B$220</definedName>
  </definedNames>
  <calcPr/>
</workbook>
</file>

<file path=xl/sharedStrings.xml><?xml version="1.0" encoding="utf-8"?>
<sst xmlns="http://schemas.openxmlformats.org/spreadsheetml/2006/main" count="1327" uniqueCount="659">
  <si>
    <t>DATE</t>
  </si>
  <si>
    <t>PROJECT</t>
  </si>
  <si>
    <t>NAME</t>
  </si>
  <si>
    <t>EMAIL</t>
  </si>
  <si>
    <t>MOBILE</t>
  </si>
  <si>
    <t>COMMENT</t>
  </si>
  <si>
    <t>SOURCE</t>
  </si>
  <si>
    <t>AGENT 1</t>
  </si>
  <si>
    <t>8th May</t>
  </si>
  <si>
    <t>GOLF VITA</t>
  </si>
  <si>
    <t>Shahid</t>
  </si>
  <si>
    <t>salishahid9@gmail.com</t>
  </si>
  <si>
    <t xml:space="preserve">RIHANNA </t>
  </si>
  <si>
    <t>LA ROSA</t>
  </si>
  <si>
    <t>Aronne Cardinho</t>
  </si>
  <si>
    <t>acaschmidt@gmail.com</t>
  </si>
  <si>
    <t>VIKAS</t>
  </si>
  <si>
    <t>MERANO</t>
  </si>
  <si>
    <t>Abdulai Sesay</t>
  </si>
  <si>
    <t>dulmansesay@gmail.com</t>
  </si>
  <si>
    <t>AMAN</t>
  </si>
  <si>
    <t>EMAAR PANORAMA</t>
  </si>
  <si>
    <t>Mir Aslam Thaheem</t>
  </si>
  <si>
    <t>mir_thaheem@hotmail.com</t>
  </si>
  <si>
    <t>ELENA</t>
  </si>
  <si>
    <t>Anir Torres</t>
  </si>
  <si>
    <t>noreena_rubio@yahoo.com</t>
  </si>
  <si>
    <t>NADIA</t>
  </si>
  <si>
    <t>EMAAR CHINESE AD</t>
  </si>
  <si>
    <t>Christine Sung Christine Sung Christine Sung</t>
  </si>
  <si>
    <t>chris665tw@gmail.com</t>
  </si>
  <si>
    <t>HAN</t>
  </si>
  <si>
    <t>AYKON HEIGHTS</t>
  </si>
  <si>
    <t>Aziz Mohammed</t>
  </si>
  <si>
    <t>aaziz@winpro-erp.com</t>
  </si>
  <si>
    <t>ARSHEE</t>
  </si>
  <si>
    <t>Mohamed Elbalkimy</t>
  </si>
  <si>
    <t>m.fekry1982@hotmail.com</t>
  </si>
  <si>
    <t>KHALID</t>
  </si>
  <si>
    <t>Yasir Ilyas</t>
  </si>
  <si>
    <t>yasir.modi@yahoo.com</t>
  </si>
  <si>
    <t>Syed Farooq</t>
  </si>
  <si>
    <t>s_gowhar@hotmail.com</t>
  </si>
  <si>
    <t>VIDIT</t>
  </si>
  <si>
    <t>Javed Khan</t>
  </si>
  <si>
    <t>ak.fisheries@gmail.com</t>
  </si>
  <si>
    <t>EMAA SIGNATURE LINE</t>
  </si>
  <si>
    <t>Muhammad Awan</t>
  </si>
  <si>
    <t>nasirmehmoodawan@hotmail.com</t>
  </si>
  <si>
    <t>TINA</t>
  </si>
  <si>
    <t>Saif ur Rehman</t>
  </si>
  <si>
    <t>s.rehman.acma@gmail.com</t>
  </si>
  <si>
    <t>Muhammad Imran</t>
  </si>
  <si>
    <t>emran_0321@live.com</t>
  </si>
  <si>
    <t>Moiz Ezzi</t>
  </si>
  <si>
    <t>coolbuddy78@hotmail.com</t>
  </si>
  <si>
    <t>SAIRA</t>
  </si>
  <si>
    <t>Aftab Alam</t>
  </si>
  <si>
    <t>aalamranchi@gmail.com</t>
  </si>
  <si>
    <t>BASHEER</t>
  </si>
  <si>
    <t>Ghulam Memon</t>
  </si>
  <si>
    <t>memonghulamasghar1@gmail.com</t>
  </si>
  <si>
    <t>Faisal Hanif</t>
  </si>
  <si>
    <t>faisalhanif95@gmail.com</t>
  </si>
  <si>
    <t>Deepak Bhatt</t>
  </si>
  <si>
    <t>deepakmohanbhatt@gmail.com</t>
  </si>
  <si>
    <t>SHRUTI</t>
  </si>
  <si>
    <t>DAMAC ALA CARTE VILLA</t>
  </si>
  <si>
    <t>Nikica Gacesa</t>
  </si>
  <si>
    <t>gacesanikica@yahoo.com</t>
  </si>
  <si>
    <t>Pawan Dawani</t>
  </si>
  <si>
    <t>pawandawani@hotmail.com</t>
  </si>
  <si>
    <t>Jacqueline Fatehi</t>
  </si>
  <si>
    <t>j.fatehi@dsgs.ae</t>
  </si>
  <si>
    <t>PARAMOUNT TOWERS</t>
  </si>
  <si>
    <t>Thirungnna S Elango</t>
  </si>
  <si>
    <t>elangot@yahoo.com</t>
  </si>
  <si>
    <t>Registered twice. 1st with Akoya, said he bought already</t>
  </si>
  <si>
    <t>Sohail Sattar</t>
  </si>
  <si>
    <t>sohail1121@yahoo.com</t>
  </si>
  <si>
    <t>Henry Yep</t>
  </si>
  <si>
    <t>henryc.yeh@huawei.com</t>
  </si>
  <si>
    <t>WING</t>
  </si>
  <si>
    <t>陳宛琳</t>
  </si>
  <si>
    <t>c73w05l01@yahoo.com.tw</t>
  </si>
  <si>
    <t>GARY</t>
  </si>
  <si>
    <t>Farrukh Ismail</t>
  </si>
  <si>
    <t>farrukh_navy@hotmail.com</t>
  </si>
  <si>
    <t>VICKY</t>
  </si>
  <si>
    <t>Shariq Jamal</t>
  </si>
  <si>
    <t>shariq1964@gmail.com</t>
  </si>
  <si>
    <t>Sudhakara Shetty</t>
  </si>
  <si>
    <t>shettysudhakar1@gmail.com</t>
  </si>
  <si>
    <t>arshad Zaidi</t>
  </si>
  <si>
    <t>faarzaidi@gmail.com</t>
  </si>
  <si>
    <t>Ali Syed</t>
  </si>
  <si>
    <t>alisyedq8@gmail.com</t>
  </si>
  <si>
    <t>Rechel Aguilar</t>
  </si>
  <si>
    <t>rechelevangelista@yahoo.com</t>
  </si>
  <si>
    <t>Ujjwal Jain</t>
  </si>
  <si>
    <t>ujjwaljain1984@gmail.com</t>
  </si>
  <si>
    <t>Aletta Wilson</t>
  </si>
  <si>
    <t>aletwilson010@gmail.com</t>
  </si>
  <si>
    <t>Chia Freeman</t>
  </si>
  <si>
    <t>bryantchia2000@yahoo.com.tw</t>
  </si>
  <si>
    <t>Today at 5:56 PM</t>
  </si>
  <si>
    <t>Qualified Interest (Sales Pipeline)</t>
  </si>
  <si>
    <t>Vikas Mangwani (vikas@hsproperties.ae)</t>
  </si>
  <si>
    <t>--</t>
  </si>
  <si>
    <t>1.2 la rosa 3 bed hows payment plan</t>
  </si>
  <si>
    <t xml:space="preserve">Leith Abbas
</t>
  </si>
  <si>
    <t>055 6969002</t>
  </si>
  <si>
    <t>Today at 6:01 PM</t>
  </si>
  <si>
    <t>Shahid شاھدبلوچPreview</t>
  </si>
  <si>
    <t>Today at 4:02 PM</t>
  </si>
  <si>
    <t>Inbound Lead (Sales Pipeline)</t>
  </si>
  <si>
    <t>Rihanna (rihanna@hsproperties.ae)</t>
  </si>
  <si>
    <t>Today at 4:03 PM</t>
  </si>
  <si>
    <t>Mehamdi AminePreview</t>
  </si>
  <si>
    <t>Today at 1:57 PM</t>
  </si>
  <si>
    <t>Developer Visit Done (Sales Pipeline)</t>
  </si>
  <si>
    <t>Arshe Noor (arshe@hsproperties.ae)</t>
  </si>
  <si>
    <t>aminemehamdi@gmail.com</t>
  </si>
  <si>
    <t>Today at 1:58 PM</t>
  </si>
  <si>
    <t>Javed Khan Facebook Lead Ads: Panorama Pakistan-4Preview</t>
  </si>
  <si>
    <t>Yesterday at 1:22 AM</t>
  </si>
  <si>
    <t>Lost (Sales Pipeline)</t>
  </si>
  <si>
    <t>Elena Ruxandraq (elena@hsproperties.ae)</t>
  </si>
  <si>
    <t>Today at 1:06 PM</t>
  </si>
  <si>
    <t>Mehmood Arain Facebook Lead Ads: Panorama Pakistan-4Preview</t>
  </si>
  <si>
    <t>Today at 1:56 PM</t>
  </si>
  <si>
    <t>Emad Haq (emad@hsproperties.ae)</t>
  </si>
  <si>
    <t>Mehmood Arain</t>
  </si>
  <si>
    <t>mehmood2020123@yahoo.co.uk</t>
  </si>
  <si>
    <t>Roy Abraham Facebook Lead Ads: moreno-2-2Preview</t>
  </si>
  <si>
    <t>Today at 10:28 AM</t>
  </si>
  <si>
    <t>Contact Made (Sales Pipeline)</t>
  </si>
  <si>
    <t>Maryam Pourgholam (maryam.p@hsproperties.ae)</t>
  </si>
  <si>
    <t>Roy Abraham</t>
  </si>
  <si>
    <t>roykidangil@yahoo.com</t>
  </si>
  <si>
    <t>Today at 3:48 PM</t>
  </si>
  <si>
    <t>Manzoo elemam Facebook Lead Ads: moreno-2-2Preview</t>
  </si>
  <si>
    <t>Today at 4:35 AM</t>
  </si>
  <si>
    <t>Khalid Idrissi (idrissi@hsproperties.ae)</t>
  </si>
  <si>
    <t>Manzoo elemam</t>
  </si>
  <si>
    <t>mhonaidah@gmail.com</t>
  </si>
  <si>
    <t>Today at 3:05 PM</t>
  </si>
  <si>
    <t>Abrar Zafar Facebook Lead Ads: Signature-Line-2020-3Preview</t>
  </si>
  <si>
    <t>Today at 5:44 AM</t>
  </si>
  <si>
    <t>Jessica San Jose Donair (jessica@hsproperties.ae)</t>
  </si>
  <si>
    <t>Abrar Zafar</t>
  </si>
  <si>
    <t>az@odoo.ie</t>
  </si>
  <si>
    <t>Today at 3:04 PM</t>
  </si>
  <si>
    <t>朱恆吉 朱 Facebook Lead Ads: Emaar-CH-3Preview</t>
  </si>
  <si>
    <t>Today at 4:56 AM</t>
  </si>
  <si>
    <t>Han Wu (han@hsproperties.ae)</t>
  </si>
  <si>
    <t>朱 朱恆吉</t>
  </si>
  <si>
    <t>a2786@ptfire.gov.tw</t>
  </si>
  <si>
    <t>Today at 3:08 PM</t>
  </si>
  <si>
    <t>林于倫 林 Facebook Lead Ads: Emaar-CH-3Preview</t>
  </si>
  <si>
    <t>Today at 4:20 AM</t>
  </si>
  <si>
    <t>Ying Wang (ying@hsproperties.ae)</t>
  </si>
  <si>
    <t>林 林于倫</t>
  </si>
  <si>
    <t>linifen2003@yahoo.com.tw</t>
  </si>
  <si>
    <t>Today at 3:09 PM</t>
  </si>
  <si>
    <t>Asiya Ejaz Facebook Lead Ads: Panorama Pakistan-4Preview</t>
  </si>
  <si>
    <t>Today at 1:56 AM</t>
  </si>
  <si>
    <t>Asiya Ejaz</t>
  </si>
  <si>
    <t>asiyarashid1@gmail.com</t>
  </si>
  <si>
    <t>B Victor SandhuPreview</t>
  </si>
  <si>
    <t>Today at 2:06 AM</t>
  </si>
  <si>
    <t>B Victor Sandhu</t>
  </si>
  <si>
    <t>harrysam079@gmail.com</t>
  </si>
  <si>
    <t>Fahad Zia Facebook Lead Ads: Panorama Pakistan-4Preview</t>
  </si>
  <si>
    <t>Today at 12:46 AM</t>
  </si>
  <si>
    <t>Maaz Tariq (maaz@hsproperties.ae)</t>
  </si>
  <si>
    <t>Fahad Zia</t>
  </si>
  <si>
    <t>replyfahad@gmail.com</t>
  </si>
  <si>
    <t>Today at 2:20 PM</t>
  </si>
  <si>
    <t>Marium HarisPreview</t>
  </si>
  <si>
    <t>Today at 1:29 AM</t>
  </si>
  <si>
    <t>Marium Haris</t>
  </si>
  <si>
    <t>marium.kutchi2@gmail.com</t>
  </si>
  <si>
    <t>Aatif Siddiqui Facebook Lead Ads: Panorama Pakistan-4Preview</t>
  </si>
  <si>
    <t>Today at 1:28 AM</t>
  </si>
  <si>
    <t>No Answer (Sales Pipeline)</t>
  </si>
  <si>
    <t>Saira Aziz (saira@hsproperties.ae)</t>
  </si>
  <si>
    <t>Aatif Siddiqui</t>
  </si>
  <si>
    <t>aatifsiddiqui@gmail.com</t>
  </si>
  <si>
    <t>Today at 1:19 PM</t>
  </si>
  <si>
    <t>Syed Badar Naqvi Facebook Lead Ads: Panorama Pakistan-4Preview</t>
  </si>
  <si>
    <t>Today at 1:21 AM</t>
  </si>
  <si>
    <t>Syed Badar Naqvi</t>
  </si>
  <si>
    <t>baddar.shuja@zameen.com</t>
  </si>
  <si>
    <t>DrTofique Jumani Abu Zohan Facebook Lead Ads: Panorama Pakistan-4Preview</t>
  </si>
  <si>
    <t>Today at 1:02 AM</t>
  </si>
  <si>
    <t>DrTofique Jumani Abu Zohan</t>
  </si>
  <si>
    <t>tofiqjumani@yahoo.com</t>
  </si>
  <si>
    <t>Prince Bilal Shah Facebook Lead Ads: Panorama Pakistan-4Preview</t>
  </si>
  <si>
    <t>Today at 12:36 AM</t>
  </si>
  <si>
    <t>Prince Bilal Shah</t>
  </si>
  <si>
    <t>qadribilalshah@gmail.com</t>
  </si>
  <si>
    <t>Omran SyasnaPreview</t>
  </si>
  <si>
    <t>Today at 12:42 AM</t>
  </si>
  <si>
    <t>Waqas Anwar Khan (waqas@hsproperties.ae)</t>
  </si>
  <si>
    <t>Omran Syasna</t>
  </si>
  <si>
    <t>omran43@yahoo.com</t>
  </si>
  <si>
    <t>Ralena Rodrigues Facebook Lead Ads: ala carte-6Preview</t>
  </si>
  <si>
    <t>Today at 12:32 AM</t>
  </si>
  <si>
    <t>Ralena Rodrigues</t>
  </si>
  <si>
    <t>ral610@hotmail.com</t>
  </si>
  <si>
    <t>Safwan Khan Facebook Lead Ads: Panorama Pakistan-3Preview</t>
  </si>
  <si>
    <t>Today at 1:23 AM</t>
  </si>
  <si>
    <t>Safwan Khan</t>
  </si>
  <si>
    <t>abuhassaan2012@gmail.com</t>
  </si>
  <si>
    <t>Johri Farrukh Facebook Lead Ads: Panorama Pakistan-4Preview</t>
  </si>
  <si>
    <t>Today at 12:58 AM</t>
  </si>
  <si>
    <t>Johri Farrukh</t>
  </si>
  <si>
    <t>johri.enterprises@yahoo.com</t>
  </si>
  <si>
    <t>Jongga Patupa Hutbon Simbolon Facebook Lead Ads: Aykon Heights-6Preview</t>
  </si>
  <si>
    <t>Today at 12:52 AM</t>
  </si>
  <si>
    <t>Jongga Patupa Hutbon Simbolon</t>
  </si>
  <si>
    <t>jongga02@gmail.com</t>
  </si>
  <si>
    <t>Sujit Nair Facebook Lead Ads: ala carte-6Preview</t>
  </si>
  <si>
    <t>Today at 12:27 AM</t>
  </si>
  <si>
    <t>Sujit Nair</t>
  </si>
  <si>
    <t>sujitn@outlook.com</t>
  </si>
  <si>
    <t>شاھدبلوچ شاھدبلوچ Facebook Lead Ads: Golfvita-hns-2Preview</t>
  </si>
  <si>
    <t>Yesterday at 6:18 PM</t>
  </si>
  <si>
    <t>Vidit Kumar (vidit@hsproperties.ae)</t>
  </si>
  <si>
    <t>شاھدبلوچ شاھدبلوچ</t>
  </si>
  <si>
    <t>Today at 3:42 PM</t>
  </si>
  <si>
    <t>FadiPreview</t>
  </si>
  <si>
    <t>Yesterday at 2:26 PM</t>
  </si>
  <si>
    <t>Fadi</t>
  </si>
  <si>
    <t>massouhf@gmail.com</t>
  </si>
  <si>
    <t>Today at 10:27 PM</t>
  </si>
  <si>
    <t>Aronne Cardinho Facebook Lead Ads: Larosa hns-3Preview</t>
  </si>
  <si>
    <t>Yesterday at 11:13 AM</t>
  </si>
  <si>
    <t>Today at 3:10 PM</t>
  </si>
  <si>
    <t>Abdulai Sesay Facebook Lead Ads: moreno-2-2Preview</t>
  </si>
  <si>
    <t>Yesterday at 9:56 AM</t>
  </si>
  <si>
    <t>Aman Kaur (aman@hsproperties.ae)</t>
  </si>
  <si>
    <t>Today at 3:13 PM</t>
  </si>
  <si>
    <t>Mir Aslam ThaheemPreview</t>
  </si>
  <si>
    <t>Today at 1:05 PM</t>
  </si>
  <si>
    <t>Anir Torres Facebook Lead Ads: Golfvita-hns-2Preview</t>
  </si>
  <si>
    <t>Yesterday at 4:34 AM</t>
  </si>
  <si>
    <t>Nadia Burtea (nadia@hsproperties.ae)</t>
  </si>
  <si>
    <t>Christine Sung Christine Sung Christine Sung Facebook Lead Ads: Emaar-CHPreview</t>
  </si>
  <si>
    <t>Yesterday at 4:02 AM</t>
  </si>
  <si>
    <t>Aziz Mohammed Facebook Lead Ads: Aykon Heights-6Preview</t>
  </si>
  <si>
    <t>Yesterday at 4:18 AM</t>
  </si>
  <si>
    <t>Reviewing Options (Sales Pipeline)</t>
  </si>
  <si>
    <t>Today at 3:14 PM</t>
  </si>
  <si>
    <t>Mohamed Elbalkimy Facebook Lead Ads: Aykon Heights-6Preview</t>
  </si>
  <si>
    <t>Yesterday at 3:39 AM</t>
  </si>
  <si>
    <t>Today at 3:19 PM</t>
  </si>
  <si>
    <t>Yasir Ilyas Facebook Lead Ads: Panorama Pakistan-4Preview</t>
  </si>
  <si>
    <t>Yesterday at 5:05 AM</t>
  </si>
  <si>
    <t>Syed Farooq Facebook Lead Ads: Aykon Heights-6Preview</t>
  </si>
  <si>
    <t>Today at 3:41 PM</t>
  </si>
  <si>
    <t>Muhammad Awan Facebook Lead Ads: Signature-Line-2020-3Preview</t>
  </si>
  <si>
    <t>Yesterday at 1:34 AM</t>
  </si>
  <si>
    <t>Low Budget (Sales Pipeline)</t>
  </si>
  <si>
    <t>Tina Elahi (tina@hsproperties.ae)</t>
  </si>
  <si>
    <t>Saif ur Rehman Facebook Lead Ads: Panorama Pakistan-4Preview</t>
  </si>
  <si>
    <t>Yesterday at 1:19 AM</t>
  </si>
  <si>
    <t>Muhammad Imran Facebook Lead Ads: Panorama Pakistan-4Preview</t>
  </si>
  <si>
    <t>Moiz Ezzi Facebook Lead Ads: Panorama Pakistan-4Preview</t>
  </si>
  <si>
    <t>Today at 1:17 PM</t>
  </si>
  <si>
    <t>Aftab AlamPreview</t>
  </si>
  <si>
    <t>Basheer Mohammed (basheeruddin@hsproperties.ae)</t>
  </si>
  <si>
    <t>Ghulam MemonPreview</t>
  </si>
  <si>
    <t>Faisal Hanif Facebook Lead Ads: Panorama Pakistan-4Preview</t>
  </si>
  <si>
    <t>Yesterday at 12:39 AM</t>
  </si>
  <si>
    <t>Deepak Bhatt Facebook Lead Ads: Aykon Heights-6Preview</t>
  </si>
  <si>
    <t>Yesterday at 1:00 AM</t>
  </si>
  <si>
    <t>Shruti Rastogi (shruti@hsproperties.ae)</t>
  </si>
  <si>
    <t>Today at 3:20 PM</t>
  </si>
  <si>
    <t>Nikica Gacesa Facebook Lead Ads: ala carte-6Preview</t>
  </si>
  <si>
    <t>Pawan Dawani Facebook Lead Ads: Aykon Heights-6Preview</t>
  </si>
  <si>
    <t>Yesterday at 12:31 AM</t>
  </si>
  <si>
    <t>Today at 2:53 PM</t>
  </si>
  <si>
    <t>Jacqueline FatehiPreview</t>
  </si>
  <si>
    <t>Yesterday at 12:54 AM</t>
  </si>
  <si>
    <t>Sohail Sattar Facebook Lead Ads: Panorama Pakistan-4Preview</t>
  </si>
  <si>
    <t>Yesterday at 1:11 AM</t>
  </si>
  <si>
    <t>Henry Yep Facebook Lead Ads: Emaar-CH-3Preview</t>
  </si>
  <si>
    <t>Yesterday at 1:10 AM</t>
  </si>
  <si>
    <t>Today at 3:12 PM</t>
  </si>
  <si>
    <t>Mohamed zakirPreview</t>
  </si>
  <si>
    <t>Mohamed zakir</t>
  </si>
  <si>
    <t>This lead has registered with Merano, Golf Vita and Aykon Heights. No Good Feedback.</t>
  </si>
  <si>
    <t>mzo.zakir@gmail.com</t>
  </si>
  <si>
    <t>Today at 10:45 PM</t>
  </si>
  <si>
    <t>NebrasPreview</t>
  </si>
  <si>
    <t>Sama Seyid (sama@hsproperties.ae)</t>
  </si>
  <si>
    <t>Nebras</t>
  </si>
  <si>
    <t>nebras4@hotmail.com</t>
  </si>
  <si>
    <t>Today at 4:16 PM</t>
  </si>
  <si>
    <t>陳宛琳Preview</t>
  </si>
  <si>
    <t>Gary Liang (gary@hsproperties.ae)</t>
  </si>
  <si>
    <t>not for aykon heights...</t>
  </si>
  <si>
    <t>Today at 3:50 PM</t>
  </si>
  <si>
    <t>Farrukh IsmailPreview</t>
  </si>
  <si>
    <t>Victoria Kochergina (vicky.k@hsproperties.ae)</t>
  </si>
  <si>
    <t>Today at 3:32 PM</t>
  </si>
  <si>
    <t>BaasabPreview</t>
  </si>
  <si>
    <t>Baasab</t>
  </si>
  <si>
    <t>baasab.deyb@rsm.ae</t>
  </si>
  <si>
    <t>Today at 10:32 PM</t>
  </si>
  <si>
    <t>Surinder SinghPreview</t>
  </si>
  <si>
    <t>Surinder Singh</t>
  </si>
  <si>
    <t>surinder@kalsi.network</t>
  </si>
  <si>
    <t>Today at 4:11 PM</t>
  </si>
  <si>
    <t>Shariq JamalPreview</t>
  </si>
  <si>
    <t>Sumaiya KhanPreview</t>
  </si>
  <si>
    <t>Tommy Nwankwo (tommy@hsproperties.ae)</t>
  </si>
  <si>
    <t>Sumaiya Khan</t>
  </si>
  <si>
    <t>sumaiyakhandxb@gmail.com</t>
  </si>
  <si>
    <t>Today at 7:06 PM</t>
  </si>
  <si>
    <t>Aseena ThahaPreview</t>
  </si>
  <si>
    <t>Shahrzad Rahanjam (shahrzad@hsproperties.ae)</t>
  </si>
  <si>
    <t>Aseena Thaha</t>
  </si>
  <si>
    <t>dr.aseenathaha@gmail.com</t>
  </si>
  <si>
    <t>Today at 6:04 PM</t>
  </si>
  <si>
    <t>Khaled Alabdullatif - Emaar Signature LinePreview</t>
  </si>
  <si>
    <t>Hediyeh Makki (heidi@hsproperties.ae)</t>
  </si>
  <si>
    <t>Khaled Alabdullatif</t>
  </si>
  <si>
    <t>abdellatif.k.f@gmail.com</t>
  </si>
  <si>
    <t>Today at 6:59 PM</t>
  </si>
  <si>
    <t>Sudhakara ShettyPreview</t>
  </si>
  <si>
    <t>Today at 3:26 PM</t>
  </si>
  <si>
    <t>arshad ZaidiPreview</t>
  </si>
  <si>
    <t>Today at 3:27 PM</t>
  </si>
  <si>
    <t>Ali SyedPreview</t>
  </si>
  <si>
    <t>Today at 11:55 AM</t>
  </si>
  <si>
    <t>Rechel AguilarPreview</t>
  </si>
  <si>
    <t>Ujjwal JainPreview</t>
  </si>
  <si>
    <t>Today at 11:54 AM</t>
  </si>
  <si>
    <t>Ammar ALhayjaPreview</t>
  </si>
  <si>
    <t>Ammar ALhayja</t>
  </si>
  <si>
    <t>ammar_baracks@hotmail.com</t>
  </si>
  <si>
    <t>Aletta WilsonPreview</t>
  </si>
  <si>
    <t>Today at 11:57 AM</t>
  </si>
  <si>
    <t>Chia FreemanPreview</t>
  </si>
  <si>
    <t>Today at 11:53 AM</t>
  </si>
  <si>
    <t>Zeke QUinnPreview</t>
  </si>
  <si>
    <t>Zeke QUinn</t>
  </si>
  <si>
    <t>zekequinn@hotmail.com</t>
  </si>
  <si>
    <t>Today at 4:10 PM</t>
  </si>
  <si>
    <t>anoudPreview</t>
  </si>
  <si>
    <t>Mohammad Zohaib (zohaib@hsproperties.ae)</t>
  </si>
  <si>
    <t>anoud</t>
  </si>
  <si>
    <t>anoud5588@gmail.com</t>
  </si>
  <si>
    <t>Today at 4:07 PM</t>
  </si>
  <si>
    <t>Mohamed SofianePreview</t>
  </si>
  <si>
    <t>Mohamed Sofiane</t>
  </si>
  <si>
    <t>sofiane_baffoun@hotmail.com</t>
  </si>
  <si>
    <t>Today at 4:08 PM</t>
  </si>
  <si>
    <t>FEEDBACK</t>
  </si>
  <si>
    <t>AGENT 2</t>
  </si>
  <si>
    <t>9th May</t>
  </si>
  <si>
    <t>EMAAR Signature Line</t>
  </si>
  <si>
    <t>FB</t>
  </si>
  <si>
    <t>JESSICA</t>
  </si>
  <si>
    <t>Inbound Stage - no feedback</t>
  </si>
  <si>
    <t xml:space="preserve">call him to discuss / no response moved to contact made </t>
  </si>
  <si>
    <t>no feedback - moved to contact made</t>
  </si>
  <si>
    <t>BAKHTAWER</t>
  </si>
  <si>
    <t>DAMAC ALA CARTE</t>
  </si>
  <si>
    <t>WAQAS</t>
  </si>
  <si>
    <t>Arabic Speaking
Sharing details lets see</t>
  </si>
  <si>
    <t>ARIF</t>
  </si>
  <si>
    <t>Moved to contact made, no comment</t>
  </si>
  <si>
    <t>MARYAM</t>
  </si>
  <si>
    <t xml:space="preserve">Im gonna show him Dubai hills 2br Acacia, Damac hills 3br, 4br Nshama on Saturday starting from 10am </t>
  </si>
  <si>
    <t>No feedback</t>
  </si>
  <si>
    <t>No answer</t>
  </si>
  <si>
    <t>Aykon Heights</t>
  </si>
  <si>
    <t xml:space="preserve">Mohamed Sofiane </t>
  </si>
  <si>
    <t>PXL</t>
  </si>
  <si>
    <t>ZOHAIB</t>
  </si>
  <si>
    <t>Merano</t>
  </si>
  <si>
    <t xml:space="preserve">anoud </t>
  </si>
  <si>
    <t>Tilal Al Ghaf</t>
  </si>
  <si>
    <t xml:space="preserve">Zeke QUinn </t>
  </si>
  <si>
    <t xml:space="preserve">Surinder Singh </t>
  </si>
  <si>
    <t xml:space="preserve">Client wants to deal with developer, i will share the contact number with Roshan’s team. </t>
  </si>
  <si>
    <t xml:space="preserve">Baasab </t>
  </si>
  <si>
    <t xml:space="preserve">Follow up watsapp is sent
</t>
  </si>
  <si>
    <t>Bellavista</t>
  </si>
  <si>
    <t xml:space="preserve">MITRE NEJKOV </t>
  </si>
  <si>
    <t>dr.mitrenejkov@gmail.com</t>
  </si>
  <si>
    <t xml:space="preserve">Nebras </t>
  </si>
  <si>
    <t>SAMA</t>
  </si>
  <si>
    <t>Kiara</t>
  </si>
  <si>
    <t xml:space="preserve">Mohamed zakir </t>
  </si>
  <si>
    <t>He will buy after 4-5 month</t>
  </si>
  <si>
    <t xml:space="preserve">Fadi </t>
  </si>
  <si>
    <t>Met the client in Tilal Al Ghaf, approval sent for the unit will finalize in a day or two - FINAL DECISION on Tuesday.</t>
  </si>
  <si>
    <t>Radhakrishna Painoli</t>
  </si>
  <si>
    <t>radhakrishnapainoli@yahoo.com</t>
  </si>
  <si>
    <t>Michelle Delleva Facebook Lead Ads: moreno-2-2Preview</t>
  </si>
  <si>
    <t>Michelle Delleva</t>
  </si>
  <si>
    <t>michelle.delleva@yahoo.com</t>
  </si>
  <si>
    <t>Rajesh TandonPreview</t>
  </si>
  <si>
    <t>Rajesh Tandon</t>
  </si>
  <si>
    <t>tanawa08@yahoo.com</t>
  </si>
  <si>
    <t>Hazari Bin Abdul MajeedPreview</t>
  </si>
  <si>
    <t>Hazari Bin Abdul Majeed</t>
  </si>
  <si>
    <t>hazrihotdj@gmail.com</t>
  </si>
  <si>
    <t>Manish Rathor Facebook Lead Ads: moreno-2-2Preview</t>
  </si>
  <si>
    <t>Manish Rathor</t>
  </si>
  <si>
    <t>rathormanish79@gmail.com</t>
  </si>
  <si>
    <t>蔡明基 蔡 Facebook Lead Ads: Emaar-CH-3Preview</t>
  </si>
  <si>
    <t>蔡 蔡明基</t>
  </si>
  <si>
    <t>tsai8563@gmail.com</t>
  </si>
  <si>
    <t>Khaled El Agami Facebook Lead Ads: Emaar-Egypt-hnsPreview</t>
  </si>
  <si>
    <t>EMAAR EGYPT</t>
  </si>
  <si>
    <t>Khaled El Agami</t>
  </si>
  <si>
    <t>khaled.elagami@hotmail.com</t>
  </si>
  <si>
    <t>Kashif Khan Facebook Lead Ads: Panorama Pakistan-4Preview</t>
  </si>
  <si>
    <t>Kashif Khan</t>
  </si>
  <si>
    <t>mkkaiys@gmail.com</t>
  </si>
  <si>
    <t>Mostafa Waked Facebook Lead Ads: Emaar-Egypt-hnsPreview</t>
  </si>
  <si>
    <t>Mostafa Waked</t>
  </si>
  <si>
    <t>wakod@hotmail.com</t>
  </si>
  <si>
    <t>Abdul Mannan Facebook Lead Ads: Panorama Pakistan-4Preview</t>
  </si>
  <si>
    <t>Abdul Mannan</t>
  </si>
  <si>
    <t>abdul.mannan@hotmail.com</t>
  </si>
  <si>
    <t>Khalid Jatoi Facebook Lead Ads: Panorama Pakistan-4Preview</t>
  </si>
  <si>
    <t>Khalid Jatoi</t>
  </si>
  <si>
    <t>kashanshaikh_7@hotmail.com</t>
  </si>
  <si>
    <t>Sameera KhanPreview</t>
  </si>
  <si>
    <t>Sameera Khan</t>
  </si>
  <si>
    <t>sameera.khanuae.sk@gmail.com</t>
  </si>
  <si>
    <t>Kehkushan Waris Facebook Lead Ads: Panorama Pakistan-4Preview</t>
  </si>
  <si>
    <t>Kehkushan Waris</t>
  </si>
  <si>
    <t>Amal Allaithy Facebook Lead Ads: Emaar-Egypt-hnsPreview</t>
  </si>
  <si>
    <t>Amal Allaithy</t>
  </si>
  <si>
    <t>amalallaithy@hotmail.com</t>
  </si>
  <si>
    <t>Ossama Maharem Facebook Lead Ads: Emaar-Egypt-hnsPreview</t>
  </si>
  <si>
    <t>Ossama Maharem</t>
  </si>
  <si>
    <t>ossamamaharem@gmail.com</t>
  </si>
  <si>
    <t>Feng-Chi Ho Facebook Lead Ads: Emaar-CH-3Preview</t>
  </si>
  <si>
    <t>Feng-Chi Ho</t>
  </si>
  <si>
    <t>medicou@gmail.com</t>
  </si>
  <si>
    <t>Haitham K. Malkawi Facebook Lead Ads: Emaar-Egypt-hnsPreview</t>
  </si>
  <si>
    <t>Haitham K. Malkawi</t>
  </si>
  <si>
    <t>hkm_arc@yahoo.com</t>
  </si>
  <si>
    <t>salah Hussein Facebook Lead Ads: Emaar-Egypt-hnsPreview</t>
  </si>
  <si>
    <t>salah Hussein</t>
  </si>
  <si>
    <t>salah_hussein@hotmail.com</t>
  </si>
  <si>
    <t>Javed Umer Facebook Lead Ads: Panorama Pakistan-4Preview</t>
  </si>
  <si>
    <t>Javed Umer</t>
  </si>
  <si>
    <t>jawedu15@gmail.com</t>
  </si>
  <si>
    <t>Mohamed Darwiche Facebook Lead Ads: ala carte-6Preview</t>
  </si>
  <si>
    <t>Mohamed Darwiche</t>
  </si>
  <si>
    <t>mohameddarwiche@hotmail.com</t>
  </si>
  <si>
    <t>Rajat Bahirwani Facebook Lead Ads: Aykon Heights-6Preview</t>
  </si>
  <si>
    <t>Rajat Bahirwani</t>
  </si>
  <si>
    <t>rajat_25@hotmail.com</t>
  </si>
  <si>
    <t>Mian Ahmed Facebook Lead Ads: Panorama Pakistan-4Preview</t>
  </si>
  <si>
    <t>Mian Ahmed</t>
  </si>
  <si>
    <t>mianfaraz2013@gmail.com</t>
  </si>
  <si>
    <t>Mohammed Khidir Facebook Lead Ads: Emaar-Egypt-hnsPreview</t>
  </si>
  <si>
    <t>Mohammed Khidir</t>
  </si>
  <si>
    <t>mohd.abdulaziz@hak-arch.com</t>
  </si>
  <si>
    <t>burj_khalifa</t>
  </si>
  <si>
    <t>maheshPreview</t>
  </si>
  <si>
    <t>mahesh</t>
  </si>
  <si>
    <t>vangani@eim.ae</t>
  </si>
  <si>
    <t>Mahdiyah Bukhari Facebook Lead Ads: moreno-2-2Preview</t>
  </si>
  <si>
    <t>Today at 1:27 PM</t>
  </si>
  <si>
    <t>Mahdiyah Bukhari</t>
  </si>
  <si>
    <t>Kamelia Azawi Facebook Lead Ads: moreno-2-2Preview</t>
  </si>
  <si>
    <t>Today at 7:11 AM</t>
  </si>
  <si>
    <t>Kamelia Azawi</t>
  </si>
  <si>
    <t>drkameliaa@yahoo.co.nz</t>
  </si>
  <si>
    <t>shivashankar ramachandranPreview</t>
  </si>
  <si>
    <t>Today at 6:40 AM</t>
  </si>
  <si>
    <t>shivashankar ramachandran</t>
  </si>
  <si>
    <t>shankar@lightvisiondubai.com</t>
  </si>
  <si>
    <t>Moataz Hamza Facebook Lead Ads: moreno-2-2Preview</t>
  </si>
  <si>
    <t>Today at 6:09 AM</t>
  </si>
  <si>
    <t>Moataz Hamza</t>
  </si>
  <si>
    <t>moataz_hamz@hotmail.com</t>
  </si>
  <si>
    <t>sameh Mohamed Facebook Lead Ads: Beachfront-2020Preview</t>
  </si>
  <si>
    <t>Today at 3:53 AM</t>
  </si>
  <si>
    <t>sameh Mohamed</t>
  </si>
  <si>
    <t>khaledaa@gmail.com</t>
  </si>
  <si>
    <t>Ghalib Brahimi Facebook Lead Ads: Signature-Line-2020-3Preview</t>
  </si>
  <si>
    <t>Today at 3:45 AM</t>
  </si>
  <si>
    <t>Ghalib Brahimi</t>
  </si>
  <si>
    <t>ghalib.brahimi@gmail.com</t>
  </si>
  <si>
    <t>Peter Liu Liu Facebook Lead Ads: Emaar-CH-3Preview</t>
  </si>
  <si>
    <t>Today at 3:10 AM</t>
  </si>
  <si>
    <t>Peter Liu Liu</t>
  </si>
  <si>
    <t>msliu2000@yahoo.com</t>
  </si>
  <si>
    <t>Khuram Memon Facebook Lead Ads: Panorama Pakistan-4Preview</t>
  </si>
  <si>
    <t>Today at 2:37 AM</t>
  </si>
  <si>
    <t>Khuram Memon</t>
  </si>
  <si>
    <t>khurammemon202@gmail.com</t>
  </si>
  <si>
    <t>Mohammed UmarPreview</t>
  </si>
  <si>
    <t>Today at 2:27 AM</t>
  </si>
  <si>
    <t>Mohammed Umar</t>
  </si>
  <si>
    <t>umar.mhd@icloud.com</t>
  </si>
  <si>
    <t>Fahad SheikhPreview</t>
  </si>
  <si>
    <t>Today at 3:16 AM</t>
  </si>
  <si>
    <t>Fahad Sheikh</t>
  </si>
  <si>
    <t>fahad_sheikh86@yahoo.com</t>
  </si>
  <si>
    <t>Fareed AhmedPreview</t>
  </si>
  <si>
    <t>Today at 2:08 AM</t>
  </si>
  <si>
    <t>Fareed Ahmed</t>
  </si>
  <si>
    <t>fareedlashari7@gmail.com</t>
  </si>
  <si>
    <t>Pir Muhammad Yousuf Jan Sarhandi Facebook Lead Ads: Panorama Pakistan-4Preview</t>
  </si>
  <si>
    <t>Today at 2:20 AM</t>
  </si>
  <si>
    <t>Pir Muhammad Yousuf Jan Sarhandi</t>
  </si>
  <si>
    <t>Mustafa Sherif Facebook Lead Ads: Emaar-Egypt-hnsPreview</t>
  </si>
  <si>
    <t>Today at 1:01 AM</t>
  </si>
  <si>
    <t>Mustafa Sherif</t>
  </si>
  <si>
    <t>bm535i@hotmail.com</t>
  </si>
  <si>
    <t>Amro Elakkad Facebook Lead Ads: Emaar-Egypt-hnsPreview</t>
  </si>
  <si>
    <t>Amro Elakkad</t>
  </si>
  <si>
    <t>amrelakkad@yahoo.com</t>
  </si>
  <si>
    <t>Ossama Hussien Facebook Lead Ads: Emaar-Egypt-hnsPreview</t>
  </si>
  <si>
    <t>Today at 1:03 AM</t>
  </si>
  <si>
    <t>Ossama Hussien</t>
  </si>
  <si>
    <t>osama.hussein.eg@gmail.com</t>
  </si>
  <si>
    <t>sayed ahmed Facebook Lead Ads: Emaar-Egypt-hnsPreview</t>
  </si>
  <si>
    <t>Today at 1:05 AM</t>
  </si>
  <si>
    <t>sayed ahmed</t>
  </si>
  <si>
    <t>mas_gn@hotmail.com</t>
  </si>
  <si>
    <t>Manuela Melinescu Facebook Lead Ads: Aykon Heights-6Preview</t>
  </si>
  <si>
    <t>Today at 1:06 AM</t>
  </si>
  <si>
    <t>Manuela Melinescu</t>
  </si>
  <si>
    <t>manu.melinescu@yahoo.com</t>
  </si>
  <si>
    <t>Alla RevaPreview</t>
  </si>
  <si>
    <t>Today at 1:04 AM</t>
  </si>
  <si>
    <t>Alla Reva</t>
  </si>
  <si>
    <t>alla2009reva@ukr.net</t>
  </si>
  <si>
    <t>Bu Abdulla Al Khulsan Facebook Lead Ads: Aykon Heights-6Preview</t>
  </si>
  <si>
    <t>Today at 12:47 AM</t>
  </si>
  <si>
    <t>Bu Abdulla Al Khulsan</t>
  </si>
  <si>
    <t>sustain1619@gmail.com</t>
  </si>
  <si>
    <t>Syed Ahmed Facebook Lead Ads: Panorama Pakistan-4Preview</t>
  </si>
  <si>
    <t>Today at 1:11 AM</t>
  </si>
  <si>
    <t>Syed Ahmed</t>
  </si>
  <si>
    <t>shakeelacit@yahoo.com</t>
  </si>
  <si>
    <t>Hany Mohamed Facebook Lead Ads: Golfvita-hns-2Preview</t>
  </si>
  <si>
    <t>Today at 1:07 AM</t>
  </si>
  <si>
    <t>Hany Mohamed</t>
  </si>
  <si>
    <t>eman3089@gamil.com</t>
  </si>
  <si>
    <t>PrevYou are currently on Page1Next100 per page</t>
  </si>
  <si>
    <t>Today at 4:06 AM</t>
  </si>
  <si>
    <t>Kyu Lin Lin</t>
  </si>
  <si>
    <t>hiya678@gmail.com</t>
  </si>
  <si>
    <t>H&amp;S Facebook</t>
  </si>
  <si>
    <t>Today at 4:05 AM</t>
  </si>
  <si>
    <t>Sulaiman Alsammahi</t>
  </si>
  <si>
    <t>sos-alsamahi1@hotmail.com</t>
  </si>
  <si>
    <t>Today at 3:34 AM</t>
  </si>
  <si>
    <t>Pamela J Jamalul</t>
  </si>
  <si>
    <t>fameelaa20@gmail.com</t>
  </si>
  <si>
    <t>Today at 2:52 AM</t>
  </si>
  <si>
    <t>李 李美貴</t>
  </si>
  <si>
    <t>joan322lee@gmail.com</t>
  </si>
  <si>
    <t>Today at 2:10 AM</t>
  </si>
  <si>
    <t>樂天 廖</t>
  </si>
  <si>
    <t>5978@hotmail.com</t>
  </si>
  <si>
    <t>Today at 1:43 AM</t>
  </si>
  <si>
    <t>Sheikh Mustafa</t>
  </si>
  <si>
    <t>soul_touch@hotmail.com</t>
  </si>
  <si>
    <t>Today at 2:07 AM</t>
  </si>
  <si>
    <t>Syed Hussain</t>
  </si>
  <si>
    <t>imdad_53@yahoo.com</t>
  </si>
  <si>
    <t>Today at 2:25 AM</t>
  </si>
  <si>
    <t>Szuszu Ma</t>
  </si>
  <si>
    <t>pinky1305@hotmail.com.tw</t>
  </si>
  <si>
    <t>Today at 2:34 AM</t>
  </si>
  <si>
    <t>Charles Wang Wang</t>
  </si>
  <si>
    <t>charleskentwang@gmail.com</t>
  </si>
  <si>
    <t>Mukhtiar Pathan</t>
  </si>
  <si>
    <t>drmukhtiar@gmail.com</t>
  </si>
  <si>
    <t>Today at 1:46 AM</t>
  </si>
  <si>
    <t>Munira Ali</t>
  </si>
  <si>
    <t>bmunirahussain@gmail.com</t>
  </si>
  <si>
    <t>Today at 1:47 AM</t>
  </si>
  <si>
    <t>Tak Tik</t>
  </si>
  <si>
    <t>ae@aol.com</t>
  </si>
  <si>
    <t>Today at 1:10 AM</t>
  </si>
  <si>
    <t>EMAAR SIGNATURE LINE</t>
  </si>
  <si>
    <t>Marin Neamt</t>
  </si>
  <si>
    <t>marinneamt4@gmail.com</t>
  </si>
  <si>
    <t>Ousseine Mmadi ahamada</t>
  </si>
  <si>
    <t>hahafatima13@hotmail.fr</t>
  </si>
  <si>
    <t>Today at 1:08 AM</t>
  </si>
  <si>
    <t>Annie Zaidi</t>
  </si>
  <si>
    <t>zaidi1185@yahoo.com</t>
  </si>
  <si>
    <t>Today at 1:30 AM</t>
  </si>
  <si>
    <t>EMAAR EGYPT RAMADAN OFFER</t>
  </si>
  <si>
    <t>Ahmad Watneey</t>
  </si>
  <si>
    <t>morden_ahmedwatany@yahoo.com</t>
  </si>
  <si>
    <t>Faten Hussein</t>
  </si>
  <si>
    <t>fatenhussein21@hotmail.com</t>
  </si>
  <si>
    <t>Today at 1:18 AM</t>
  </si>
  <si>
    <t>Mariane Mo</t>
  </si>
  <si>
    <t>mmariane@hotmail.com</t>
  </si>
  <si>
    <t>Today at 12:43 AM</t>
  </si>
  <si>
    <t>Alwaleed Almadani</t>
  </si>
  <si>
    <t>fadwa.tabaloc@gmail.com</t>
  </si>
  <si>
    <t>Today at 12:56 AM</t>
  </si>
  <si>
    <t>سناء Mohamed</t>
  </si>
  <si>
    <t>ourora1@yahoo.com</t>
  </si>
  <si>
    <t>Today at 12:59 AM</t>
  </si>
  <si>
    <t>Guillaume Pelletier</t>
  </si>
  <si>
    <t>guillaume.pelletier@dotvision.com</t>
  </si>
  <si>
    <t>ZeEshan Fateh</t>
  </si>
  <si>
    <t>zeeshan.fateh@hotmail.com</t>
  </si>
  <si>
    <t>Today at 12:54 AM</t>
  </si>
  <si>
    <t>Talib Faruqui</t>
  </si>
  <si>
    <t>talib.faruqui@ici.com.pk</t>
  </si>
  <si>
    <t>Today at 12:17 AM</t>
  </si>
  <si>
    <t>Rania Alhaj</t>
  </si>
  <si>
    <t>ladyranya@live.com</t>
  </si>
  <si>
    <t>Today at 12:57 AM</t>
  </si>
  <si>
    <t>Ihab Zamel</t>
  </si>
  <si>
    <t>ihabzamel@hotmail.com</t>
  </si>
  <si>
    <t>Sireen Hammoudeh</t>
  </si>
  <si>
    <t>hsireen@gmail.com</t>
  </si>
  <si>
    <t>Yesterday at 11:37 PM</t>
  </si>
  <si>
    <t>EMAAR SOUTHBEACH RUSSIAN LEAD</t>
  </si>
  <si>
    <t>Cu pasaport.</t>
  </si>
  <si>
    <t>cebanearoslav28@gmail.com</t>
  </si>
  <si>
    <t>Yesterday at 11:59 PM</t>
  </si>
  <si>
    <t>Sana Yasser</t>
  </si>
  <si>
    <t>sanaikramyasser.qureshi@gmail.com</t>
  </si>
  <si>
    <t>Yesterday at 8:49 PM</t>
  </si>
  <si>
    <t>Rafeeq Kunnekad</t>
  </si>
  <si>
    <t>rafeeqvattasseri@gmail.com</t>
  </si>
  <si>
    <t>Yesterday at 8:58 PM</t>
  </si>
  <si>
    <t>郭 郭添龍</t>
  </si>
  <si>
    <t>lung4356225@gmail.com</t>
  </si>
  <si>
    <t>Yesterday at 5:32 PM</t>
  </si>
  <si>
    <t>Nupur Murudkar</t>
  </si>
  <si>
    <t>nupur.murudkar@yahoo.com</t>
  </si>
  <si>
    <t>Emaar Chinese Ad</t>
  </si>
  <si>
    <t>Muhammad Ibrahim Adnan Arain</t>
  </si>
  <si>
    <t>drarainibrahim@yahoo.com</t>
  </si>
  <si>
    <t>Jahangir Alam</t>
  </si>
  <si>
    <t>alam8399@gmail.com</t>
  </si>
  <si>
    <t>江 江憲瑞</t>
  </si>
  <si>
    <t>ade8271@gmail.com</t>
  </si>
  <si>
    <t>榮 榮璧華</t>
  </si>
  <si>
    <t>y052778940@gmail.com</t>
  </si>
  <si>
    <t>張 張若敏</t>
  </si>
  <si>
    <t>chang23364993@gmail.com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</si>
</sst>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35">
    <font>
      <sz val="10.0"/>
      <color rgb="FF000000"/>
      <name val="Arial"/>
    </font>
    <font>
      <b/>
      <sz val="12.0"/>
      <color theme="1"/>
      <name val="Times New Roman"/>
    </font>
    <font>
      <b/>
      <sz val="12.0"/>
      <color rgb="FF33475B"/>
      <name val="Times New Roman"/>
    </font>
    <font>
      <b/>
      <sz val="12.0"/>
      <color rgb="FF000000"/>
      <name val="Times New Roman"/>
    </font>
    <font>
      <b/>
      <sz val="12.0"/>
      <color theme="1"/>
      <name val="Arial"/>
    </font>
    <font>
      <sz val="12.0"/>
      <color rgb="FF000000"/>
      <name val="Times New Roman"/>
    </font>
    <font>
      <u/>
      <sz val="12.0"/>
      <color rgb="FF000000"/>
      <name val="Times New Roman"/>
    </font>
    <font>
      <color theme="1"/>
      <name val="Arial"/>
    </font>
    <font>
      <sz val="12.0"/>
      <color theme="1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sz val="12.0"/>
      <color rgb="FF33475B"/>
      <name val="Times New Roman"/>
    </font>
    <font>
      <u/>
      <sz val="12.0"/>
      <color rgb="FF33475B"/>
      <name val="Times New Roman"/>
    </font>
    <font>
      <sz val="11.0"/>
      <color rgb="FF33475B"/>
      <name val="Times New Roman"/>
    </font>
    <font>
      <color theme="1"/>
      <name val="Times New Roman"/>
    </font>
    <font>
      <sz val="11.0"/>
      <color rgb="FF33475B"/>
      <name val="Arial"/>
    </font>
    <font>
      <u/>
      <sz val="11.0"/>
      <color rgb="FF0091AE"/>
      <name val="Arial"/>
    </font>
    <font>
      <u/>
      <sz val="11.0"/>
      <color rgb="FF0091AE"/>
      <name val="Arial"/>
    </font>
    <font>
      <u/>
      <sz val="11.0"/>
      <color rgb="FF33475B"/>
      <name val="Arial"/>
    </font>
    <font>
      <u/>
      <sz val="11.0"/>
      <color rgb="FF33475B"/>
      <name val="Arial"/>
    </font>
    <font>
      <b/>
      <color theme="1"/>
      <name val="Times New Roman"/>
    </font>
    <font>
      <u/>
      <sz val="12.0"/>
      <color rgb="FF000000"/>
      <name val="Times New Roman"/>
    </font>
    <font>
      <u/>
      <sz val="11.0"/>
      <color rgb="FF33475B"/>
      <name val="Arial"/>
    </font>
    <font>
      <sz val="11.0"/>
      <color rgb="FF0091AE"/>
      <name val="Arial"/>
    </font>
    <font>
      <color theme="1"/>
      <name val="Verdana"/>
    </font>
    <font>
      <sz val="11.0"/>
      <color rgb="FF7C98B6"/>
      <name val="Arial"/>
    </font>
    <font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color rgb="FF000000"/>
      <name val="Times New Roman"/>
    </font>
    <font>
      <u/>
      <sz val="11.0"/>
      <color rgb="FF000000"/>
      <name val="Times New Roman"/>
    </font>
    <font>
      <u/>
      <sz val="11.0"/>
      <color rgb="FF000000"/>
      <name val="Times New Roman"/>
    </font>
    <font>
      <u/>
      <sz val="11.0"/>
      <color rgb="FF33475B"/>
      <name val="Times New Roman"/>
    </font>
    <font>
      <u/>
      <sz val="11.0"/>
      <color rgb="FF33475B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5F8FA"/>
        <bgColor rgb="FFF5F8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FE3EB"/>
      </left>
      <right style="thin">
        <color rgb="FFDFE3EB"/>
      </right>
      <top style="thin">
        <color rgb="FFDFE3EB"/>
      </top>
      <bottom style="thin">
        <color rgb="FFDFE3EB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horizontal="left" vertical="bottom"/>
    </xf>
    <xf borderId="1" fillId="2" fontId="1" numFmtId="0" xfId="0" applyAlignment="1" applyBorder="1" applyFont="1">
      <alignment shrinkToFit="0" wrapText="1"/>
    </xf>
    <xf borderId="1" fillId="0" fontId="1" numFmtId="0" xfId="0" applyBorder="1" applyFont="1"/>
    <xf borderId="1" fillId="3" fontId="1" numFmtId="0" xfId="0" applyAlignment="1" applyBorder="1" applyFill="1" applyFont="1">
      <alignment horizontal="center"/>
    </xf>
    <xf borderId="0" fillId="0" fontId="4" numFmtId="0" xfId="0" applyFont="1"/>
    <xf borderId="1" fillId="0" fontId="5" numFmtId="0" xfId="0" applyBorder="1" applyFont="1"/>
    <xf borderId="1" fillId="4" fontId="5" numFmtId="0" xfId="0" applyAlignment="1" applyBorder="1" applyFill="1" applyFont="1">
      <alignment shrinkToFit="0" wrapText="0"/>
    </xf>
    <xf borderId="1" fillId="0" fontId="6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horizontal="left" vertical="bottom"/>
    </xf>
    <xf borderId="1" fillId="0" fontId="7" numFmtId="0" xfId="0" applyBorder="1" applyFont="1"/>
    <xf borderId="1" fillId="0" fontId="8" numFmtId="0" xfId="0" applyAlignment="1" applyBorder="1" applyFont="1">
      <alignment shrinkToFit="0" wrapText="1"/>
    </xf>
    <xf borderId="1" fillId="4" fontId="9" numFmtId="0" xfId="0" applyAlignment="1" applyBorder="1" applyFont="1">
      <alignment shrinkToFit="0" wrapText="0"/>
    </xf>
    <xf borderId="1" fillId="0" fontId="10" numFmtId="0" xfId="0" applyAlignment="1" applyBorder="1" applyFont="1">
      <alignment horizontal="left" shrinkToFit="0" wrapText="0"/>
    </xf>
    <xf borderId="1" fillId="4" fontId="5" numFmtId="0" xfId="0" applyAlignment="1" applyBorder="1" applyFont="1">
      <alignment horizontal="left" shrinkToFit="0" wrapText="0"/>
    </xf>
    <xf borderId="1" fillId="3" fontId="8" numFmtId="0" xfId="0" applyAlignment="1" applyBorder="1" applyFont="1">
      <alignment shrinkToFit="0" wrapText="1"/>
    </xf>
    <xf borderId="1" fillId="3" fontId="11" numFmtId="0" xfId="0" applyAlignment="1" applyBorder="1" applyFont="1">
      <alignment horizontal="left" shrinkToFit="0" wrapText="0"/>
    </xf>
    <xf borderId="1" fillId="0" fontId="8" numFmtId="0" xfId="0" applyBorder="1" applyFont="1"/>
    <xf borderId="0" fillId="0" fontId="7" numFmtId="0" xfId="0" applyFont="1"/>
    <xf borderId="1" fillId="4" fontId="12" numFmtId="0" xfId="0" applyAlignment="1" applyBorder="1" applyFont="1">
      <alignment shrinkToFit="0" wrapText="0"/>
    </xf>
    <xf borderId="1" fillId="4" fontId="13" numFmtId="0" xfId="0" applyAlignment="1" applyBorder="1" applyFont="1">
      <alignment shrinkToFit="0" wrapText="0"/>
    </xf>
    <xf borderId="0" fillId="0" fontId="14" numFmtId="0" xfId="0" applyAlignment="1" applyFont="1">
      <alignment shrinkToFit="0" wrapText="0"/>
    </xf>
    <xf borderId="0" fillId="0" fontId="8" numFmtId="0" xfId="0" applyFont="1"/>
    <xf borderId="0" fillId="0" fontId="5" numFmtId="0" xfId="0" applyFont="1"/>
    <xf borderId="0" fillId="0" fontId="5" numFmtId="0" xfId="0" applyAlignment="1" applyFont="1">
      <alignment horizontal="left"/>
    </xf>
    <xf borderId="0" fillId="0" fontId="7" numFmtId="0" xfId="0" applyAlignment="1" applyFont="1">
      <alignment shrinkToFit="0" wrapText="1"/>
    </xf>
    <xf borderId="0" fillId="0" fontId="15" numFmtId="0" xfId="0" applyFont="1"/>
    <xf borderId="2" fillId="4" fontId="16" numFmtId="0" xfId="0" applyAlignment="1" applyBorder="1" applyFont="1">
      <alignment horizontal="left" shrinkToFit="0" wrapText="0"/>
    </xf>
    <xf borderId="2" fillId="4" fontId="16" numFmtId="0" xfId="0" applyAlignment="1" applyBorder="1" applyFont="1">
      <alignment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8" numFmtId="0" xfId="0" applyAlignment="1" applyBorder="1" applyFont="1">
      <alignment horizontal="left" shrinkToFit="0" wrapText="0"/>
    </xf>
    <xf borderId="2" fillId="4" fontId="19" numFmtId="0" xfId="0" applyAlignment="1" applyBorder="1" applyFont="1">
      <alignment shrinkToFit="0" wrapText="0"/>
    </xf>
    <xf borderId="2" fillId="4" fontId="20" numFmtId="0" xfId="0" applyAlignment="1" applyBorder="1" applyFont="1">
      <alignment readingOrder="0" shrinkToFit="0" wrapText="0"/>
    </xf>
    <xf borderId="2" fillId="4" fontId="16" numFmtId="164" xfId="0" applyAlignment="1" applyBorder="1" applyFont="1" applyNumberFormat="1">
      <alignment shrinkToFit="0" wrapText="0"/>
    </xf>
    <xf borderId="0" fillId="0" fontId="16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wrapText="1"/>
    </xf>
    <xf borderId="1" fillId="5" fontId="8" numFmtId="0" xfId="0" applyAlignment="1" applyBorder="1" applyFill="1" applyFont="1">
      <alignment shrinkToFit="0" vertical="bottom" wrapText="1"/>
    </xf>
    <xf borderId="1" fillId="0" fontId="21" numFmtId="0" xfId="0" applyBorder="1" applyFont="1"/>
    <xf borderId="1" fillId="0" fontId="5" numFmtId="0" xfId="0" applyAlignment="1" applyBorder="1" applyFont="1">
      <alignment horizontal="left" shrinkToFit="0" wrapText="0"/>
    </xf>
    <xf borderId="1" fillId="0" fontId="8" numFmtId="0" xfId="0" applyAlignment="1" applyBorder="1" applyFont="1">
      <alignment horizontal="center"/>
    </xf>
    <xf borderId="1" fillId="3" fontId="12" numFmtId="0" xfId="0" applyAlignment="1" applyBorder="1" applyFont="1">
      <alignment shrinkToFit="0" wrapText="0"/>
    </xf>
    <xf borderId="1" fillId="0" fontId="15" numFmtId="0" xfId="0" applyAlignment="1" applyBorder="1" applyFont="1">
      <alignment shrinkToFit="0" vertical="bottom" wrapText="1"/>
    </xf>
    <xf borderId="1" fillId="3" fontId="22" numFmtId="0" xfId="0" applyAlignment="1" applyBorder="1" applyFont="1">
      <alignment shrinkToFit="0" wrapText="0"/>
    </xf>
    <xf borderId="1" fillId="0" fontId="15" numFmtId="0" xfId="0" applyBorder="1" applyFont="1"/>
    <xf borderId="1" fillId="0" fontId="8" numFmtId="0" xfId="0" applyAlignment="1" applyBorder="1" applyFont="1">
      <alignment vertical="bottom"/>
    </xf>
    <xf borderId="1" fillId="0" fontId="8" numFmtId="49" xfId="0" applyAlignment="1" applyBorder="1" applyFont="1" applyNumberFormat="1">
      <alignment vertical="bottom"/>
    </xf>
    <xf borderId="1" fillId="4" fontId="5" numFmtId="0" xfId="0" applyAlignment="1" applyBorder="1" applyFont="1">
      <alignment horizontal="left" shrinkToFit="0" vertical="bottom" wrapText="0"/>
    </xf>
    <xf borderId="1" fillId="0" fontId="8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6" fontId="21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shrinkToFit="0" vertical="bottom" wrapText="1"/>
    </xf>
    <xf borderId="0" fillId="4" fontId="16" numFmtId="0" xfId="0" applyAlignment="1" applyFont="1">
      <alignment shrinkToFit="0" wrapText="0"/>
    </xf>
    <xf borderId="2" fillId="7" fontId="16" numFmtId="0" xfId="0" applyAlignment="1" applyBorder="1" applyFill="1" applyFont="1">
      <alignment shrinkToFit="0" wrapText="0"/>
    </xf>
    <xf borderId="2" fillId="7" fontId="23" numFmtId="0" xfId="0" applyAlignment="1" applyBorder="1" applyFont="1">
      <alignment shrinkToFit="0" wrapText="0"/>
    </xf>
    <xf borderId="2" fillId="7" fontId="16" numFmtId="0" xfId="0" applyAlignment="1" applyBorder="1" applyFont="1">
      <alignment horizontal="left" shrinkToFit="0" wrapText="0"/>
    </xf>
    <xf borderId="2" fillId="0" fontId="24" numFmtId="0" xfId="0" applyAlignment="1" applyBorder="1" applyFont="1">
      <alignment horizontal="left" shrinkToFit="0" wrapText="0"/>
    </xf>
    <xf borderId="0" fillId="0" fontId="25" numFmtId="0" xfId="0" applyAlignment="1" applyFont="1">
      <alignment horizontal="left" shrinkToFit="0" vertical="bottom" wrapText="0"/>
    </xf>
    <xf borderId="0" fillId="0" fontId="26" numFmtId="0" xfId="0" applyAlignment="1" applyFont="1">
      <alignment horizontal="left" shrinkToFit="0" wrapText="0"/>
    </xf>
    <xf borderId="2" fillId="4" fontId="27" numFmtId="0" xfId="0" applyAlignment="1" applyBorder="1" applyFont="1">
      <alignment horizontal="left" shrinkToFit="0" wrapText="0"/>
    </xf>
    <xf borderId="2" fillId="4" fontId="28" numFmtId="0" xfId="0" applyAlignment="1" applyBorder="1" applyFont="1">
      <alignment shrinkToFit="0" wrapText="0"/>
    </xf>
    <xf borderId="2" fillId="0" fontId="29" numFmtId="0" xfId="0" applyAlignment="1" applyBorder="1" applyFont="1">
      <alignment horizontal="left" shrinkToFit="0" wrapText="0"/>
    </xf>
    <xf borderId="2" fillId="4" fontId="27" numFmtId="0" xfId="0" applyAlignment="1" applyBorder="1" applyFont="1">
      <alignment shrinkToFit="0" wrapText="0"/>
    </xf>
    <xf borderId="0" fillId="0" fontId="30" numFmtId="0" xfId="0" applyFont="1"/>
    <xf borderId="2" fillId="4" fontId="31" numFmtId="0" xfId="0" applyAlignment="1" applyBorder="1" applyFont="1">
      <alignment readingOrder="0" shrinkToFit="0" wrapText="0"/>
    </xf>
    <xf borderId="2" fillId="7" fontId="27" numFmtId="0" xfId="0" applyAlignment="1" applyBorder="1" applyFont="1">
      <alignment horizontal="left" shrinkToFit="0" wrapText="0"/>
    </xf>
    <xf borderId="2" fillId="7" fontId="32" numFmtId="0" xfId="0" applyAlignment="1" applyBorder="1" applyFont="1">
      <alignment shrinkToFit="0" wrapText="0"/>
    </xf>
    <xf borderId="2" fillId="7" fontId="27" numFmtId="0" xfId="0" applyAlignment="1" applyBorder="1" applyFont="1">
      <alignment shrinkToFit="0" wrapText="0"/>
    </xf>
    <xf borderId="0" fillId="0" fontId="15" numFmtId="0" xfId="0" applyAlignment="1" applyFont="1">
      <alignment horizontal="left"/>
    </xf>
    <xf borderId="2" fillId="4" fontId="33" numFmtId="0" xfId="0" applyAlignment="1" applyBorder="1" applyFont="1">
      <alignment horizontal="left" shrinkToFit="0" wrapText="0"/>
    </xf>
    <xf borderId="2" fillId="4" fontId="14" numFmtId="0" xfId="0" applyAlignment="1" applyBorder="1" applyFont="1">
      <alignment horizontal="left" shrinkToFit="0" wrapText="0"/>
    </xf>
    <xf borderId="2" fillId="4" fontId="34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hubspot.com/contacts/6914917/contact/76351/" TargetMode="External"/><Relationship Id="rId42" Type="http://schemas.openxmlformats.org/officeDocument/2006/relationships/hyperlink" Target="https://app.hubspot.com/contacts/6914917/contact/76451/" TargetMode="External"/><Relationship Id="rId41" Type="http://schemas.openxmlformats.org/officeDocument/2006/relationships/hyperlink" Target="mailto:pawandawani@hotmail.com?bcc=6914917@bcc.hubspot.com" TargetMode="External"/><Relationship Id="rId44" Type="http://schemas.openxmlformats.org/officeDocument/2006/relationships/hyperlink" Target="https://app.hubspot.com/contacts/6914917/contact/45817/" TargetMode="External"/><Relationship Id="rId43" Type="http://schemas.openxmlformats.org/officeDocument/2006/relationships/hyperlink" Target="mailto:j.fatehi@dsgs.ae?bcc=6914917@bcc.hubspot.com" TargetMode="External"/><Relationship Id="rId46" Type="http://schemas.openxmlformats.org/officeDocument/2006/relationships/hyperlink" Target="https://app.hubspot.com/contacts/6914917/contact/76601/" TargetMode="External"/><Relationship Id="rId45" Type="http://schemas.openxmlformats.org/officeDocument/2006/relationships/hyperlink" Target="mailto:elangot@yahoo.com?bcc=6914917@bcc.hubspot.com" TargetMode="External"/><Relationship Id="rId1" Type="http://schemas.openxmlformats.org/officeDocument/2006/relationships/hyperlink" Target="mailto:salishahid9@gmail.com?bcc=6914917@bcc.hubspot.com" TargetMode="External"/><Relationship Id="rId2" Type="http://schemas.openxmlformats.org/officeDocument/2006/relationships/hyperlink" Target="https://app.hubspot.com/contacts/6914917/contact/77401/" TargetMode="External"/><Relationship Id="rId3" Type="http://schemas.openxmlformats.org/officeDocument/2006/relationships/hyperlink" Target="mailto:acaschmidt@gmail.com?bcc=6914917@bcc.hubspot.com" TargetMode="External"/><Relationship Id="rId4" Type="http://schemas.openxmlformats.org/officeDocument/2006/relationships/hyperlink" Target="https://app.hubspot.com/contacts/6914917/contact/77351/" TargetMode="External"/><Relationship Id="rId9" Type="http://schemas.openxmlformats.org/officeDocument/2006/relationships/hyperlink" Target="mailto:noreena_rubio@yahoo.com?bcc=6914917@bcc.hubspot.com" TargetMode="External"/><Relationship Id="rId48" Type="http://schemas.openxmlformats.org/officeDocument/2006/relationships/hyperlink" Target="https://app.hubspot.com/contacts/6914917/contact/76651/" TargetMode="External"/><Relationship Id="rId47" Type="http://schemas.openxmlformats.org/officeDocument/2006/relationships/hyperlink" Target="mailto:sohail1121@yahoo.com?bcc=6914917@bcc.hubspot.com" TargetMode="External"/><Relationship Id="rId49" Type="http://schemas.openxmlformats.org/officeDocument/2006/relationships/hyperlink" Target="mailto:henryc.yeh@huawei.com?bcc=6914917@bcc.hubspot.com" TargetMode="External"/><Relationship Id="rId5" Type="http://schemas.openxmlformats.org/officeDocument/2006/relationships/hyperlink" Target="mailto:dulmansesay@gmail.com?bcc=6914917@bcc.hubspot.com" TargetMode="External"/><Relationship Id="rId6" Type="http://schemas.openxmlformats.org/officeDocument/2006/relationships/hyperlink" Target="https://app.hubspot.com/contacts/6914917/contact/77301/" TargetMode="External"/><Relationship Id="rId7" Type="http://schemas.openxmlformats.org/officeDocument/2006/relationships/hyperlink" Target="mailto:mir_thaheem@hotmail.com?bcc=6914917@bcc.hubspot.com" TargetMode="External"/><Relationship Id="rId8" Type="http://schemas.openxmlformats.org/officeDocument/2006/relationships/hyperlink" Target="https://app.hubspot.com/contacts/6914917/contact/77201/" TargetMode="External"/><Relationship Id="rId31" Type="http://schemas.openxmlformats.org/officeDocument/2006/relationships/hyperlink" Target="mailto:aalamranchi@gmail.com?bcc=6914917@bcc.hubspot.com" TargetMode="External"/><Relationship Id="rId30" Type="http://schemas.openxmlformats.org/officeDocument/2006/relationships/hyperlink" Target="https://app.hubspot.com/contacts/6914917/contact/76851/" TargetMode="External"/><Relationship Id="rId33" Type="http://schemas.openxmlformats.org/officeDocument/2006/relationships/hyperlink" Target="mailto:memonghulamasghar1@gmail.com?bcc=6914917@bcc.hubspot.com" TargetMode="External"/><Relationship Id="rId32" Type="http://schemas.openxmlformats.org/officeDocument/2006/relationships/hyperlink" Target="https://app.hubspot.com/contacts/6914917/contact/76801/" TargetMode="External"/><Relationship Id="rId35" Type="http://schemas.openxmlformats.org/officeDocument/2006/relationships/hyperlink" Target="mailto:faisalhanif95@gmail.com?bcc=6914917@bcc.hubspot.com" TargetMode="External"/><Relationship Id="rId34" Type="http://schemas.openxmlformats.org/officeDocument/2006/relationships/hyperlink" Target="https://app.hubspot.com/contacts/6914917/contact/76401/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mailto:deepakmohanbhatt@gmail.com?bcc=6914917@bcc.hubspot.com" TargetMode="External"/><Relationship Id="rId36" Type="http://schemas.openxmlformats.org/officeDocument/2006/relationships/hyperlink" Target="https://app.hubspot.com/contacts/6914917/contact/76501/" TargetMode="External"/><Relationship Id="rId39" Type="http://schemas.openxmlformats.org/officeDocument/2006/relationships/hyperlink" Target="mailto:gacesanikica@yahoo.com?bcc=6914917@bcc.hubspot.com" TargetMode="External"/><Relationship Id="rId38" Type="http://schemas.openxmlformats.org/officeDocument/2006/relationships/hyperlink" Target="https://app.hubspot.com/contacts/6914917/contact/76551/" TargetMode="External"/><Relationship Id="rId62" Type="http://schemas.openxmlformats.org/officeDocument/2006/relationships/hyperlink" Target="https://app.hubspot.com/contacts/6914917/contact/51401/" TargetMode="External"/><Relationship Id="rId61" Type="http://schemas.openxmlformats.org/officeDocument/2006/relationships/hyperlink" Target="mailto:alisyedq8@gmail.com?bcc=6914917@bcc.hubspot.com" TargetMode="External"/><Relationship Id="rId20" Type="http://schemas.openxmlformats.org/officeDocument/2006/relationships/hyperlink" Target="https://app.hubspot.com/contacts/6914917/contact/76951/" TargetMode="External"/><Relationship Id="rId64" Type="http://schemas.openxmlformats.org/officeDocument/2006/relationships/hyperlink" Target="https://app.hubspot.com/contacts/6914917/contact/33851/" TargetMode="External"/><Relationship Id="rId63" Type="http://schemas.openxmlformats.org/officeDocument/2006/relationships/hyperlink" Target="mailto:rechelevangelista@yahoo.com?bcc=6914917@bcc.hubspot.com" TargetMode="External"/><Relationship Id="rId22" Type="http://schemas.openxmlformats.org/officeDocument/2006/relationships/hyperlink" Target="https://app.hubspot.com/contacts/6914917/contact/77001/" TargetMode="External"/><Relationship Id="rId66" Type="http://schemas.openxmlformats.org/officeDocument/2006/relationships/hyperlink" Target="https://app.hubspot.com/contacts/6914917/contact/52301/" TargetMode="External"/><Relationship Id="rId21" Type="http://schemas.openxmlformats.org/officeDocument/2006/relationships/hyperlink" Target="mailto:ak.fisheries@gmail.com?bcc=6914917@bcc.hubspot.com" TargetMode="External"/><Relationship Id="rId65" Type="http://schemas.openxmlformats.org/officeDocument/2006/relationships/hyperlink" Target="mailto:ujjwaljain1984@gmail.com?bcc=6914917@bcc.hubspot.com" TargetMode="External"/><Relationship Id="rId24" Type="http://schemas.openxmlformats.org/officeDocument/2006/relationships/hyperlink" Target="https://app.hubspot.com/contacts/6914917/contact/76701/" TargetMode="External"/><Relationship Id="rId68" Type="http://schemas.openxmlformats.org/officeDocument/2006/relationships/hyperlink" Target="https://app.hubspot.com/contacts/6914917/contact/51301/" TargetMode="External"/><Relationship Id="rId23" Type="http://schemas.openxmlformats.org/officeDocument/2006/relationships/hyperlink" Target="mailto:nasirmehmoodawan@hotmail.com?bcc=6914917@bcc.hubspot.com" TargetMode="External"/><Relationship Id="rId67" Type="http://schemas.openxmlformats.org/officeDocument/2006/relationships/hyperlink" Target="mailto:aletwilson010@gmail.com?bcc=6914917@bcc.hubspot.com" TargetMode="External"/><Relationship Id="rId60" Type="http://schemas.openxmlformats.org/officeDocument/2006/relationships/hyperlink" Target="https://app.hubspot.com/contacts/6914917/contact/33257/" TargetMode="External"/><Relationship Id="rId26" Type="http://schemas.openxmlformats.org/officeDocument/2006/relationships/hyperlink" Target="https://app.hubspot.com/contacts/6914917/contact/76751/" TargetMode="External"/><Relationship Id="rId25" Type="http://schemas.openxmlformats.org/officeDocument/2006/relationships/hyperlink" Target="mailto:s.rehman.acma@gmail.com?bcc=6914917@bcc.hubspot.com" TargetMode="External"/><Relationship Id="rId69" Type="http://schemas.openxmlformats.org/officeDocument/2006/relationships/hyperlink" Target="mailto:bryantchia2000@yahoo.com.tw?bcc=6914917@bcc.hubspot.com" TargetMode="External"/><Relationship Id="rId28" Type="http://schemas.openxmlformats.org/officeDocument/2006/relationships/hyperlink" Target="https://app.hubspot.com/contacts/6914917/contact/76901/" TargetMode="External"/><Relationship Id="rId27" Type="http://schemas.openxmlformats.org/officeDocument/2006/relationships/hyperlink" Target="mailto:emran_0321@live.com?bcc=6914917@bcc.hubspot.com" TargetMode="External"/><Relationship Id="rId29" Type="http://schemas.openxmlformats.org/officeDocument/2006/relationships/hyperlink" Target="mailto:coolbuddy78@hotmail.com?bcc=6914917@bcc.hubspot.com" TargetMode="External"/><Relationship Id="rId51" Type="http://schemas.openxmlformats.org/officeDocument/2006/relationships/hyperlink" Target="mailto:c73w05l01@yahoo.com.tw?bcc=6914917@bcc.hubspot.com" TargetMode="External"/><Relationship Id="rId50" Type="http://schemas.openxmlformats.org/officeDocument/2006/relationships/hyperlink" Target="https://app.hubspot.com/contacts/6914917/contact/48501/" TargetMode="External"/><Relationship Id="rId53" Type="http://schemas.openxmlformats.org/officeDocument/2006/relationships/hyperlink" Target="mailto:farrukh_navy@hotmail.com?bcc=6914917@bcc.hubspot.com" TargetMode="External"/><Relationship Id="rId52" Type="http://schemas.openxmlformats.org/officeDocument/2006/relationships/hyperlink" Target="https://app.hubspot.com/contacts/6914917/contact/54501/" TargetMode="External"/><Relationship Id="rId11" Type="http://schemas.openxmlformats.org/officeDocument/2006/relationships/hyperlink" Target="mailto:chris665tw@gmail.com?bcc=6914917@bcc.hubspot.com" TargetMode="External"/><Relationship Id="rId55" Type="http://schemas.openxmlformats.org/officeDocument/2006/relationships/hyperlink" Target="mailto:shariq1964@gmail.com?bcc=6914917@bcc.hubspot.com" TargetMode="External"/><Relationship Id="rId10" Type="http://schemas.openxmlformats.org/officeDocument/2006/relationships/hyperlink" Target="https://app.hubspot.com/contacts/6914917/contact/33274/" TargetMode="External"/><Relationship Id="rId54" Type="http://schemas.openxmlformats.org/officeDocument/2006/relationships/hyperlink" Target="https://app.hubspot.com/contacts/6914917/contact/51151/" TargetMode="External"/><Relationship Id="rId13" Type="http://schemas.openxmlformats.org/officeDocument/2006/relationships/hyperlink" Target="mailto:aaziz@winpro-erp.com?bcc=6914917@bcc.hubspot.com" TargetMode="External"/><Relationship Id="rId57" Type="http://schemas.openxmlformats.org/officeDocument/2006/relationships/hyperlink" Target="mailto:shettysudhakar1@gmail.com?bcc=6914917@bcc.hubspot.com" TargetMode="External"/><Relationship Id="rId12" Type="http://schemas.openxmlformats.org/officeDocument/2006/relationships/hyperlink" Target="https://app.hubspot.com/contacts/6914917/contact/77101/" TargetMode="External"/><Relationship Id="rId56" Type="http://schemas.openxmlformats.org/officeDocument/2006/relationships/hyperlink" Target="https://app.hubspot.com/contacts/6914917/contact/33703/" TargetMode="External"/><Relationship Id="rId15" Type="http://schemas.openxmlformats.org/officeDocument/2006/relationships/hyperlink" Target="mailto:m.fekry1982@hotmail.com?bcc=6914917@bcc.hubspot.com" TargetMode="External"/><Relationship Id="rId59" Type="http://schemas.openxmlformats.org/officeDocument/2006/relationships/hyperlink" Target="mailto:faarzaidi@gmail.com?bcc=6914917@bcc.hubspot.com" TargetMode="External"/><Relationship Id="rId14" Type="http://schemas.openxmlformats.org/officeDocument/2006/relationships/hyperlink" Target="https://app.hubspot.com/contacts/6914917/contact/77051/" TargetMode="External"/><Relationship Id="rId58" Type="http://schemas.openxmlformats.org/officeDocument/2006/relationships/hyperlink" Target="https://app.hubspot.com/contacts/6914917/contact/33258/" TargetMode="External"/><Relationship Id="rId17" Type="http://schemas.openxmlformats.org/officeDocument/2006/relationships/hyperlink" Target="mailto:yasir.modi@yahoo.com?bcc=6914917@bcc.hubspot.com" TargetMode="External"/><Relationship Id="rId16" Type="http://schemas.openxmlformats.org/officeDocument/2006/relationships/hyperlink" Target="https://app.hubspot.com/contacts/6914917/contact/77251/" TargetMode="External"/><Relationship Id="rId19" Type="http://schemas.openxmlformats.org/officeDocument/2006/relationships/hyperlink" Target="mailto:s_gowhar@hotmail.com?bcc=6914917@bcc.hubspot.com" TargetMode="External"/><Relationship Id="rId18" Type="http://schemas.openxmlformats.org/officeDocument/2006/relationships/hyperlink" Target="https://app.hubspot.com/contacts/6914917/contact/77151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aatifsiddiqui@gmail.com?bcc=6914917@bcc.hubspot.com" TargetMode="External"/><Relationship Id="rId190" Type="http://schemas.openxmlformats.org/officeDocument/2006/relationships/hyperlink" Target="mailto:aletwilson010@gmail.com?bcc=6914917@bcc.hubspot.com" TargetMode="External"/><Relationship Id="rId42" Type="http://schemas.openxmlformats.org/officeDocument/2006/relationships/hyperlink" Target="https://app.hubspot.com/contacts/6914917/contact/78001/" TargetMode="External"/><Relationship Id="rId41" Type="http://schemas.openxmlformats.org/officeDocument/2006/relationships/hyperlink" Target="https://app.hubspot.com/contacts/6914917/deal/1979604229/" TargetMode="External"/><Relationship Id="rId44" Type="http://schemas.openxmlformats.org/officeDocument/2006/relationships/hyperlink" Target="https://app.hubspot.com/contacts/6914917/deal/1979603939/" TargetMode="External"/><Relationship Id="rId194" Type="http://schemas.openxmlformats.org/officeDocument/2006/relationships/hyperlink" Target="https://app.hubspot.com/contacts/6914917/deal/1971791945/" TargetMode="External"/><Relationship Id="rId43" Type="http://schemas.openxmlformats.org/officeDocument/2006/relationships/hyperlink" Target="mailto:baddar.shuja@zameen.com?bcc=6914917@bcc.hubspot.com" TargetMode="External"/><Relationship Id="rId193" Type="http://schemas.openxmlformats.org/officeDocument/2006/relationships/hyperlink" Target="mailto:bryantchia2000@yahoo.com.tw?bcc=6914917@bcc.hubspot.com" TargetMode="External"/><Relationship Id="rId46" Type="http://schemas.openxmlformats.org/officeDocument/2006/relationships/hyperlink" Target="mailto:tofiqjumani@yahoo.com?bcc=6914917@bcc.hubspot.com" TargetMode="External"/><Relationship Id="rId192" Type="http://schemas.openxmlformats.org/officeDocument/2006/relationships/hyperlink" Target="https://app.hubspot.com/contacts/6914917/contact/51301/" TargetMode="External"/><Relationship Id="rId45" Type="http://schemas.openxmlformats.org/officeDocument/2006/relationships/hyperlink" Target="https://app.hubspot.com/contacts/6914917/contact/77951/" TargetMode="External"/><Relationship Id="rId191" Type="http://schemas.openxmlformats.org/officeDocument/2006/relationships/hyperlink" Target="https://app.hubspot.com/contacts/6914917/deal/1971885633/" TargetMode="External"/><Relationship Id="rId48" Type="http://schemas.openxmlformats.org/officeDocument/2006/relationships/hyperlink" Target="https://app.hubspot.com/contacts/6914917/contact/77701/" TargetMode="External"/><Relationship Id="rId187" Type="http://schemas.openxmlformats.org/officeDocument/2006/relationships/hyperlink" Target="mailto:ammar_baracks@hotmail.com?bcc=6914917@bcc.hubspot.com" TargetMode="External"/><Relationship Id="rId47" Type="http://schemas.openxmlformats.org/officeDocument/2006/relationships/hyperlink" Target="https://app.hubspot.com/contacts/6914917/deal/1979602557/" TargetMode="External"/><Relationship Id="rId186" Type="http://schemas.openxmlformats.org/officeDocument/2006/relationships/hyperlink" Target="https://app.hubspot.com/contacts/6914917/contact/32551/" TargetMode="External"/><Relationship Id="rId185" Type="http://schemas.openxmlformats.org/officeDocument/2006/relationships/hyperlink" Target="https://app.hubspot.com/contacts/6914917/deal/1971994626/" TargetMode="External"/><Relationship Id="rId49" Type="http://schemas.openxmlformats.org/officeDocument/2006/relationships/hyperlink" Target="mailto:qadribilalshah@gmail.com?bcc=6914917@bcc.hubspot.com" TargetMode="External"/><Relationship Id="rId184" Type="http://schemas.openxmlformats.org/officeDocument/2006/relationships/hyperlink" Target="mailto:ujjwaljain1984@gmail.com?bcc=6914917@bcc.hubspot.com" TargetMode="External"/><Relationship Id="rId189" Type="http://schemas.openxmlformats.org/officeDocument/2006/relationships/hyperlink" Target="https://app.hubspot.com/contacts/6914917/contact/52301/" TargetMode="External"/><Relationship Id="rId188" Type="http://schemas.openxmlformats.org/officeDocument/2006/relationships/hyperlink" Target="https://app.hubspot.com/contacts/6914917/deal/1971885660/" TargetMode="External"/><Relationship Id="rId31" Type="http://schemas.openxmlformats.org/officeDocument/2006/relationships/hyperlink" Target="mailto:harrysam079@gmail.com?bcc=6914917@bcc.hubspot.com" TargetMode="External"/><Relationship Id="rId30" Type="http://schemas.openxmlformats.org/officeDocument/2006/relationships/hyperlink" Target="https://app.hubspot.com/contacts/6914917/contact/78251/" TargetMode="External"/><Relationship Id="rId33" Type="http://schemas.openxmlformats.org/officeDocument/2006/relationships/hyperlink" Target="https://app.hubspot.com/contacts/6914917/contact/77801/" TargetMode="External"/><Relationship Id="rId183" Type="http://schemas.openxmlformats.org/officeDocument/2006/relationships/hyperlink" Target="https://app.hubspot.com/contacts/6914917/contact/33851/" TargetMode="External"/><Relationship Id="rId32" Type="http://schemas.openxmlformats.org/officeDocument/2006/relationships/hyperlink" Target="https://app.hubspot.com/contacts/6914917/deal/1979607576/" TargetMode="External"/><Relationship Id="rId182" Type="http://schemas.openxmlformats.org/officeDocument/2006/relationships/hyperlink" Target="https://app.hubspot.com/contacts/6914917/deal/1971995893/" TargetMode="External"/><Relationship Id="rId35" Type="http://schemas.openxmlformats.org/officeDocument/2006/relationships/hyperlink" Target="https://app.hubspot.com/contacts/6914917/deal/1979606217/" TargetMode="External"/><Relationship Id="rId181" Type="http://schemas.openxmlformats.org/officeDocument/2006/relationships/hyperlink" Target="mailto:rechelevangelista@yahoo.com?bcc=6914917@bcc.hubspot.com" TargetMode="External"/><Relationship Id="rId34" Type="http://schemas.openxmlformats.org/officeDocument/2006/relationships/hyperlink" Target="mailto:replyfahad@gmail.com?bcc=6914917@bcc.hubspot.com" TargetMode="External"/><Relationship Id="rId180" Type="http://schemas.openxmlformats.org/officeDocument/2006/relationships/hyperlink" Target="https://app.hubspot.com/contacts/6914917/contact/51401/" TargetMode="External"/><Relationship Id="rId37" Type="http://schemas.openxmlformats.org/officeDocument/2006/relationships/hyperlink" Target="mailto:marium.kutchi2@gmail.com?bcc=6914917@bcc.hubspot.com" TargetMode="External"/><Relationship Id="rId176" Type="http://schemas.openxmlformats.org/officeDocument/2006/relationships/hyperlink" Target="https://app.hubspot.com/contacts/6914917/deal/1971996674/" TargetMode="External"/><Relationship Id="rId36" Type="http://schemas.openxmlformats.org/officeDocument/2006/relationships/hyperlink" Target="https://app.hubspot.com/contacts/6914917/contact/78101/" TargetMode="External"/><Relationship Id="rId175" Type="http://schemas.openxmlformats.org/officeDocument/2006/relationships/hyperlink" Target="mailto:faarzaidi@gmail.com?bcc=6914917@bcc.hubspot.com" TargetMode="External"/><Relationship Id="rId39" Type="http://schemas.openxmlformats.org/officeDocument/2006/relationships/hyperlink" Target="https://app.hubspot.com/contacts/6914917/contact/78051/" TargetMode="External"/><Relationship Id="rId174" Type="http://schemas.openxmlformats.org/officeDocument/2006/relationships/hyperlink" Target="https://app.hubspot.com/contacts/6914917/contact/33258/" TargetMode="External"/><Relationship Id="rId38" Type="http://schemas.openxmlformats.org/officeDocument/2006/relationships/hyperlink" Target="https://app.hubspot.com/contacts/6914917/deal/1979605194/" TargetMode="External"/><Relationship Id="rId173" Type="http://schemas.openxmlformats.org/officeDocument/2006/relationships/hyperlink" Target="https://app.hubspot.com/contacts/6914917/deal/1971997379/" TargetMode="External"/><Relationship Id="rId179" Type="http://schemas.openxmlformats.org/officeDocument/2006/relationships/hyperlink" Target="https://app.hubspot.com/contacts/6914917/deal/1971995899/" TargetMode="External"/><Relationship Id="rId178" Type="http://schemas.openxmlformats.org/officeDocument/2006/relationships/hyperlink" Target="mailto:alisyedq8@gmail.com?bcc=6914917@bcc.hubspot.com" TargetMode="External"/><Relationship Id="rId177" Type="http://schemas.openxmlformats.org/officeDocument/2006/relationships/hyperlink" Target="https://app.hubspot.com/contacts/6914917/contact/33257/" TargetMode="External"/><Relationship Id="rId20" Type="http://schemas.openxmlformats.org/officeDocument/2006/relationships/hyperlink" Target="https://app.hubspot.com/contacts/6914917/deal/1980194504/" TargetMode="External"/><Relationship Id="rId22" Type="http://schemas.openxmlformats.org/officeDocument/2006/relationships/hyperlink" Target="mailto:a2786@ptfire.gov.tw?bcc=6914917@bcc.hubspot.com" TargetMode="External"/><Relationship Id="rId21" Type="http://schemas.openxmlformats.org/officeDocument/2006/relationships/hyperlink" Target="https://app.hubspot.com/contacts/6914917/contact/78451/" TargetMode="External"/><Relationship Id="rId24" Type="http://schemas.openxmlformats.org/officeDocument/2006/relationships/hyperlink" Target="https://app.hubspot.com/contacts/6914917/contact/78351/" TargetMode="External"/><Relationship Id="rId23" Type="http://schemas.openxmlformats.org/officeDocument/2006/relationships/hyperlink" Target="https://app.hubspot.com/contacts/6914917/deal/1979743980/" TargetMode="External"/><Relationship Id="rId26" Type="http://schemas.openxmlformats.org/officeDocument/2006/relationships/hyperlink" Target="https://app.hubspot.com/contacts/6914917/deal/1979667089/" TargetMode="External"/><Relationship Id="rId25" Type="http://schemas.openxmlformats.org/officeDocument/2006/relationships/hyperlink" Target="mailto:linifen2003@yahoo.com.tw?bcc=6914917@bcc.hubspot.com" TargetMode="External"/><Relationship Id="rId28" Type="http://schemas.openxmlformats.org/officeDocument/2006/relationships/hyperlink" Target="mailto:asiyarashid1@gmail.com?bcc=6914917@bcc.hubspot.com" TargetMode="External"/><Relationship Id="rId27" Type="http://schemas.openxmlformats.org/officeDocument/2006/relationships/hyperlink" Target="https://app.hubspot.com/contacts/6914917/contact/78201/" TargetMode="External"/><Relationship Id="rId29" Type="http://schemas.openxmlformats.org/officeDocument/2006/relationships/hyperlink" Target="https://app.hubspot.com/contacts/6914917/deal/1979664640/" TargetMode="External"/><Relationship Id="rId11" Type="http://schemas.openxmlformats.org/officeDocument/2006/relationships/hyperlink" Target="https://app.hubspot.com/contacts/6914917/deal/1980337980/" TargetMode="External"/><Relationship Id="rId10" Type="http://schemas.openxmlformats.org/officeDocument/2006/relationships/hyperlink" Target="mailto:mehmood2020123@yahoo.co.uk?bcc=6914917@bcc.hubspot.com" TargetMode="External"/><Relationship Id="rId13" Type="http://schemas.openxmlformats.org/officeDocument/2006/relationships/hyperlink" Target="mailto:roykidangil@yahoo.com?bcc=6914917@bcc.hubspot.com" TargetMode="External"/><Relationship Id="rId12" Type="http://schemas.openxmlformats.org/officeDocument/2006/relationships/hyperlink" Target="https://app.hubspot.com/contacts/6914917/contact/78601/" TargetMode="External"/><Relationship Id="rId15" Type="http://schemas.openxmlformats.org/officeDocument/2006/relationships/hyperlink" Target="https://app.hubspot.com/contacts/6914917/contact/78401/" TargetMode="External"/><Relationship Id="rId198" Type="http://schemas.openxmlformats.org/officeDocument/2006/relationships/hyperlink" Target="https://app.hubspot.com/contacts/6914917/contact/54701/" TargetMode="External"/><Relationship Id="rId14" Type="http://schemas.openxmlformats.org/officeDocument/2006/relationships/hyperlink" Target="https://app.hubspot.com/contacts/6914917/deal/1980203229/" TargetMode="External"/><Relationship Id="rId197" Type="http://schemas.openxmlformats.org/officeDocument/2006/relationships/hyperlink" Target="https://app.hubspot.com/contacts/6914917/deal/1971732988/" TargetMode="External"/><Relationship Id="rId17" Type="http://schemas.openxmlformats.org/officeDocument/2006/relationships/hyperlink" Target="https://app.hubspot.com/contacts/6914917/deal/1980203168/" TargetMode="External"/><Relationship Id="rId196" Type="http://schemas.openxmlformats.org/officeDocument/2006/relationships/hyperlink" Target="mailto:zekequinn@hotmail.com?bcc=6914917@bcc.hubspot.com" TargetMode="External"/><Relationship Id="rId16" Type="http://schemas.openxmlformats.org/officeDocument/2006/relationships/hyperlink" Target="mailto:mhonaidah@gmail.com?bcc=6914917@bcc.hubspot.com" TargetMode="External"/><Relationship Id="rId195" Type="http://schemas.openxmlformats.org/officeDocument/2006/relationships/hyperlink" Target="https://app.hubspot.com/contacts/6914917/contact/54751/" TargetMode="External"/><Relationship Id="rId19" Type="http://schemas.openxmlformats.org/officeDocument/2006/relationships/hyperlink" Target="mailto:az@odoo.ie?bcc=6914917@bcc.hubspot.com" TargetMode="External"/><Relationship Id="rId18" Type="http://schemas.openxmlformats.org/officeDocument/2006/relationships/hyperlink" Target="https://app.hubspot.com/contacts/6914917/contact/78501/" TargetMode="External"/><Relationship Id="rId199" Type="http://schemas.openxmlformats.org/officeDocument/2006/relationships/hyperlink" Target="mailto:anoud5588@gmail.com?bcc=6914917@bcc.hubspot.com" TargetMode="External"/><Relationship Id="rId84" Type="http://schemas.openxmlformats.org/officeDocument/2006/relationships/hyperlink" Target="https://app.hubspot.com/contacts/6914917/contact/77201/" TargetMode="External"/><Relationship Id="rId83" Type="http://schemas.openxmlformats.org/officeDocument/2006/relationships/hyperlink" Target="https://app.hubspot.com/contacts/6914917/deal/1977307739/" TargetMode="External"/><Relationship Id="rId86" Type="http://schemas.openxmlformats.org/officeDocument/2006/relationships/hyperlink" Target="https://app.hubspot.com/contacts/6914917/deal/1977291425/" TargetMode="External"/><Relationship Id="rId85" Type="http://schemas.openxmlformats.org/officeDocument/2006/relationships/hyperlink" Target="mailto:noreena_rubio@yahoo.com?bcc=6914917@bcc.hubspot.com" TargetMode="External"/><Relationship Id="rId88" Type="http://schemas.openxmlformats.org/officeDocument/2006/relationships/hyperlink" Target="mailto:chris665tw@gmail.com?bcc=6914917@bcc.hubspot.com" TargetMode="External"/><Relationship Id="rId150" Type="http://schemas.openxmlformats.org/officeDocument/2006/relationships/hyperlink" Target="https://app.hubspot.com/contacts/6914917/contact/54501/" TargetMode="External"/><Relationship Id="rId87" Type="http://schemas.openxmlformats.org/officeDocument/2006/relationships/hyperlink" Target="https://app.hubspot.com/contacts/6914917/contact/33274/" TargetMode="External"/><Relationship Id="rId89" Type="http://schemas.openxmlformats.org/officeDocument/2006/relationships/hyperlink" Target="https://app.hubspot.com/contacts/6914917/deal/1977289108/" TargetMode="External"/><Relationship Id="rId80" Type="http://schemas.openxmlformats.org/officeDocument/2006/relationships/hyperlink" Target="https://app.hubspot.com/contacts/6914917/deal/1977544908/" TargetMode="External"/><Relationship Id="rId82" Type="http://schemas.openxmlformats.org/officeDocument/2006/relationships/hyperlink" Target="mailto:mir_thaheem@hotmail.com?bcc=6914917@bcc.hubspot.com" TargetMode="External"/><Relationship Id="rId81" Type="http://schemas.openxmlformats.org/officeDocument/2006/relationships/hyperlink" Target="https://app.hubspot.com/contacts/6914917/contact/77301/" TargetMode="External"/><Relationship Id="rId1" Type="http://schemas.openxmlformats.org/officeDocument/2006/relationships/hyperlink" Target="https://app.hubspot.com/contacts/6914917/deal/1980619437/" TargetMode="External"/><Relationship Id="rId2" Type="http://schemas.openxmlformats.org/officeDocument/2006/relationships/hyperlink" Target="mailto:salishahid9@gmail.com?bcc=6914917@bcc.hubspot.com" TargetMode="External"/><Relationship Id="rId3" Type="http://schemas.openxmlformats.org/officeDocument/2006/relationships/hyperlink" Target="https://app.hubspot.com/contacts/6914917/deal/1980506810/" TargetMode="External"/><Relationship Id="rId149" Type="http://schemas.openxmlformats.org/officeDocument/2006/relationships/hyperlink" Target="https://app.hubspot.com/contacts/6914917/deal/1972692895/" TargetMode="External"/><Relationship Id="rId4" Type="http://schemas.openxmlformats.org/officeDocument/2006/relationships/hyperlink" Target="mailto:aminemehamdi@gmail.com?bcc=6914917@bcc.hubspot.com" TargetMode="External"/><Relationship Id="rId148" Type="http://schemas.openxmlformats.org/officeDocument/2006/relationships/hyperlink" Target="mailto:c73w05l01@yahoo.com.tw?bcc=6914917@bcc.hubspot.com" TargetMode="External"/><Relationship Id="rId9" Type="http://schemas.openxmlformats.org/officeDocument/2006/relationships/hyperlink" Target="https://app.hubspot.com/contacts/6914917/contact/78651/" TargetMode="External"/><Relationship Id="rId143" Type="http://schemas.openxmlformats.org/officeDocument/2006/relationships/hyperlink" Target="https://app.hubspot.com/contacts/6914917/deal/1975377338/" TargetMode="External"/><Relationship Id="rId142" Type="http://schemas.openxmlformats.org/officeDocument/2006/relationships/hyperlink" Target="mailto:mzo.zakir@gmail.com?bcc=6914917@bcc.hubspot.com" TargetMode="External"/><Relationship Id="rId141" Type="http://schemas.openxmlformats.org/officeDocument/2006/relationships/hyperlink" Target="https://app.hubspot.com/contacts/6914917/contact/76151/" TargetMode="External"/><Relationship Id="rId140" Type="http://schemas.openxmlformats.org/officeDocument/2006/relationships/hyperlink" Target="https://app.hubspot.com/contacts/6914917/deal/1975463055/" TargetMode="External"/><Relationship Id="rId5" Type="http://schemas.openxmlformats.org/officeDocument/2006/relationships/hyperlink" Target="https://app.hubspot.com/contacts/6914917/deal/1976654156/" TargetMode="External"/><Relationship Id="rId147" Type="http://schemas.openxmlformats.org/officeDocument/2006/relationships/hyperlink" Target="https://app.hubspot.com/contacts/6914917/contact/48501/" TargetMode="External"/><Relationship Id="rId6" Type="http://schemas.openxmlformats.org/officeDocument/2006/relationships/hyperlink" Target="https://app.hubspot.com/contacts/6914917/contact/76951/" TargetMode="External"/><Relationship Id="rId146" Type="http://schemas.openxmlformats.org/officeDocument/2006/relationships/hyperlink" Target="https://app.hubspot.com/contacts/6914917/deal/1972693504/" TargetMode="External"/><Relationship Id="rId7" Type="http://schemas.openxmlformats.org/officeDocument/2006/relationships/hyperlink" Target="mailto:ak.fisheries@gmail.com?bcc=6914917@bcc.hubspot.com" TargetMode="External"/><Relationship Id="rId145" Type="http://schemas.openxmlformats.org/officeDocument/2006/relationships/hyperlink" Target="mailto:nebras4@hotmail.com?bcc=6914917@bcc.hubspot.com" TargetMode="External"/><Relationship Id="rId8" Type="http://schemas.openxmlformats.org/officeDocument/2006/relationships/hyperlink" Target="https://app.hubspot.com/contacts/6914917/deal/1980481438/" TargetMode="External"/><Relationship Id="rId144" Type="http://schemas.openxmlformats.org/officeDocument/2006/relationships/hyperlink" Target="https://app.hubspot.com/contacts/6914917/contact/76051/" TargetMode="External"/><Relationship Id="rId73" Type="http://schemas.openxmlformats.org/officeDocument/2006/relationships/hyperlink" Target="mailto:massouhf@gmail.com?bcc=6914917@bcc.hubspot.com" TargetMode="External"/><Relationship Id="rId72" Type="http://schemas.openxmlformats.org/officeDocument/2006/relationships/hyperlink" Target="https://app.hubspot.com/contacts/6914917/contact/77451/" TargetMode="External"/><Relationship Id="rId75" Type="http://schemas.openxmlformats.org/officeDocument/2006/relationships/hyperlink" Target="https://app.hubspot.com/contacts/6914917/contact/77401/" TargetMode="External"/><Relationship Id="rId74" Type="http://schemas.openxmlformats.org/officeDocument/2006/relationships/hyperlink" Target="https://app.hubspot.com/contacts/6914917/deal/1978281563/" TargetMode="External"/><Relationship Id="rId77" Type="http://schemas.openxmlformats.org/officeDocument/2006/relationships/hyperlink" Target="https://app.hubspot.com/contacts/6914917/deal/1977546737/" TargetMode="External"/><Relationship Id="rId76" Type="http://schemas.openxmlformats.org/officeDocument/2006/relationships/hyperlink" Target="mailto:acaschmidt@gmail.com?bcc=6914917@bcc.hubspot.com" TargetMode="External"/><Relationship Id="rId79" Type="http://schemas.openxmlformats.org/officeDocument/2006/relationships/hyperlink" Target="mailto:dulmansesay@gmail.com?bcc=6914917@bcc.hubspot.com" TargetMode="External"/><Relationship Id="rId78" Type="http://schemas.openxmlformats.org/officeDocument/2006/relationships/hyperlink" Target="https://app.hubspot.com/contacts/6914917/contact/77351/" TargetMode="External"/><Relationship Id="rId71" Type="http://schemas.openxmlformats.org/officeDocument/2006/relationships/hyperlink" Target="https://app.hubspot.com/contacts/6914917/deal/1978444412/" TargetMode="External"/><Relationship Id="rId70" Type="http://schemas.openxmlformats.org/officeDocument/2006/relationships/hyperlink" Target="mailto:salishahid9@gmail.com?bcc=6914917@bcc.hubspot.com" TargetMode="External"/><Relationship Id="rId139" Type="http://schemas.openxmlformats.org/officeDocument/2006/relationships/hyperlink" Target="mailto:henryc.yeh@huawei.com?bcc=6914917@bcc.hubspot.com" TargetMode="External"/><Relationship Id="rId138" Type="http://schemas.openxmlformats.org/officeDocument/2006/relationships/hyperlink" Target="https://app.hubspot.com/contacts/6914917/contact/76651/" TargetMode="External"/><Relationship Id="rId137" Type="http://schemas.openxmlformats.org/officeDocument/2006/relationships/hyperlink" Target="https://app.hubspot.com/contacts/6914917/deal/1976263079/" TargetMode="External"/><Relationship Id="rId132" Type="http://schemas.openxmlformats.org/officeDocument/2006/relationships/hyperlink" Target="https://app.hubspot.com/contacts/6914917/contact/76451/" TargetMode="External"/><Relationship Id="rId131" Type="http://schemas.openxmlformats.org/officeDocument/2006/relationships/hyperlink" Target="https://app.hubspot.com/contacts/6914917/deal/1976572089/" TargetMode="External"/><Relationship Id="rId130" Type="http://schemas.openxmlformats.org/officeDocument/2006/relationships/hyperlink" Target="mailto:pawandawani@hotmail.com?bcc=6914917@bcc.hubspot.com" TargetMode="External"/><Relationship Id="rId136" Type="http://schemas.openxmlformats.org/officeDocument/2006/relationships/hyperlink" Target="mailto:sohail1121@yahoo.com?bcc=6914917@bcc.hubspot.com" TargetMode="External"/><Relationship Id="rId135" Type="http://schemas.openxmlformats.org/officeDocument/2006/relationships/hyperlink" Target="https://app.hubspot.com/contacts/6914917/contact/76601/" TargetMode="External"/><Relationship Id="rId134" Type="http://schemas.openxmlformats.org/officeDocument/2006/relationships/hyperlink" Target="https://app.hubspot.com/contacts/6914917/deal/1976263083/" TargetMode="External"/><Relationship Id="rId133" Type="http://schemas.openxmlformats.org/officeDocument/2006/relationships/hyperlink" Target="mailto:j.fatehi@dsgs.ae?bcc=6914917@bcc.hubspot.com" TargetMode="External"/><Relationship Id="rId62" Type="http://schemas.openxmlformats.org/officeDocument/2006/relationships/hyperlink" Target="https://app.hubspot.com/contacts/6914917/deal/1979517713/" TargetMode="External"/><Relationship Id="rId61" Type="http://schemas.openxmlformats.org/officeDocument/2006/relationships/hyperlink" Target="mailto:johri.enterprises@yahoo.com?bcc=6914917@bcc.hubspot.com" TargetMode="External"/><Relationship Id="rId64" Type="http://schemas.openxmlformats.org/officeDocument/2006/relationships/hyperlink" Target="mailto:jongga02@gmail.com?bcc=6914917@bcc.hubspot.com" TargetMode="External"/><Relationship Id="rId63" Type="http://schemas.openxmlformats.org/officeDocument/2006/relationships/hyperlink" Target="https://app.hubspot.com/contacts/6914917/contact/77851/" TargetMode="External"/><Relationship Id="rId66" Type="http://schemas.openxmlformats.org/officeDocument/2006/relationships/hyperlink" Target="https://app.hubspot.com/contacts/6914917/contact/77601/" TargetMode="External"/><Relationship Id="rId172" Type="http://schemas.openxmlformats.org/officeDocument/2006/relationships/hyperlink" Target="mailto:shettysudhakar1@gmail.com?bcc=6914917@bcc.hubspot.com" TargetMode="External"/><Relationship Id="rId65" Type="http://schemas.openxmlformats.org/officeDocument/2006/relationships/hyperlink" Target="https://app.hubspot.com/contacts/6914917/deal/1979516227/" TargetMode="External"/><Relationship Id="rId171" Type="http://schemas.openxmlformats.org/officeDocument/2006/relationships/hyperlink" Target="https://app.hubspot.com/contacts/6914917/contact/33703/" TargetMode="External"/><Relationship Id="rId68" Type="http://schemas.openxmlformats.org/officeDocument/2006/relationships/hyperlink" Target="https://app.hubspot.com/contacts/6914917/deal/1978703952/" TargetMode="External"/><Relationship Id="rId170" Type="http://schemas.openxmlformats.org/officeDocument/2006/relationships/hyperlink" Target="https://app.hubspot.com/contacts/6914917/deal/1971998116/" TargetMode="External"/><Relationship Id="rId67" Type="http://schemas.openxmlformats.org/officeDocument/2006/relationships/hyperlink" Target="mailto:sujitn@outlook.com?bcc=6914917@bcc.hubspot.com" TargetMode="External"/><Relationship Id="rId60" Type="http://schemas.openxmlformats.org/officeDocument/2006/relationships/hyperlink" Target="https://app.hubspot.com/contacts/6914917/contact/77901/" TargetMode="External"/><Relationship Id="rId165" Type="http://schemas.openxmlformats.org/officeDocument/2006/relationships/hyperlink" Target="https://app.hubspot.com/contacts/6914917/contact/32867/" TargetMode="External"/><Relationship Id="rId69" Type="http://schemas.openxmlformats.org/officeDocument/2006/relationships/hyperlink" Target="https://app.hubspot.com/contacts/6914917/contact/77551/" TargetMode="External"/><Relationship Id="rId164" Type="http://schemas.openxmlformats.org/officeDocument/2006/relationships/hyperlink" Target="https://app.hubspot.com/contacts/6914917/deal/1971998138/" TargetMode="External"/><Relationship Id="rId163" Type="http://schemas.openxmlformats.org/officeDocument/2006/relationships/hyperlink" Target="mailto:sumaiyakhandxb@gmail.com?bcc=6914917@bcc.hubspot.com" TargetMode="External"/><Relationship Id="rId162" Type="http://schemas.openxmlformats.org/officeDocument/2006/relationships/hyperlink" Target="https://app.hubspot.com/contacts/6914917/contact/32251/" TargetMode="External"/><Relationship Id="rId169" Type="http://schemas.openxmlformats.org/officeDocument/2006/relationships/hyperlink" Target="mailto:abdellatif.k.f@gmail.com?bcc=6914917@bcc.hubspot.com" TargetMode="External"/><Relationship Id="rId168" Type="http://schemas.openxmlformats.org/officeDocument/2006/relationships/hyperlink" Target="https://app.hubspot.com/contacts/6914917/contact/20681/" TargetMode="External"/><Relationship Id="rId167" Type="http://schemas.openxmlformats.org/officeDocument/2006/relationships/hyperlink" Target="https://app.hubspot.com/contacts/6914917/deal/1971998135/" TargetMode="External"/><Relationship Id="rId166" Type="http://schemas.openxmlformats.org/officeDocument/2006/relationships/hyperlink" Target="mailto:dr.aseenathaha@gmail.com?bcc=6914917@bcc.hubspot.com" TargetMode="External"/><Relationship Id="rId51" Type="http://schemas.openxmlformats.org/officeDocument/2006/relationships/hyperlink" Target="https://app.hubspot.com/contacts/6914917/contact/77751/" TargetMode="External"/><Relationship Id="rId50" Type="http://schemas.openxmlformats.org/officeDocument/2006/relationships/hyperlink" Target="https://app.hubspot.com/contacts/6914917/deal/1979599467/" TargetMode="External"/><Relationship Id="rId53" Type="http://schemas.openxmlformats.org/officeDocument/2006/relationships/hyperlink" Target="https://app.hubspot.com/contacts/6914917/deal/1979599375/" TargetMode="External"/><Relationship Id="rId52" Type="http://schemas.openxmlformats.org/officeDocument/2006/relationships/hyperlink" Target="mailto:omran43@yahoo.com?bcc=6914917@bcc.hubspot.com" TargetMode="External"/><Relationship Id="rId55" Type="http://schemas.openxmlformats.org/officeDocument/2006/relationships/hyperlink" Target="mailto:ral610@hotmail.com?bcc=6914917@bcc.hubspot.com" TargetMode="External"/><Relationship Id="rId161" Type="http://schemas.openxmlformats.org/officeDocument/2006/relationships/hyperlink" Target="https://app.hubspot.com/contacts/6914917/deal/1971998176/" TargetMode="External"/><Relationship Id="rId54" Type="http://schemas.openxmlformats.org/officeDocument/2006/relationships/hyperlink" Target="https://app.hubspot.com/contacts/6914917/contact/77651/" TargetMode="External"/><Relationship Id="rId160" Type="http://schemas.openxmlformats.org/officeDocument/2006/relationships/hyperlink" Target="mailto:shariq1964@gmail.com?bcc=6914917@bcc.hubspot.com" TargetMode="External"/><Relationship Id="rId57" Type="http://schemas.openxmlformats.org/officeDocument/2006/relationships/hyperlink" Target="https://app.hubspot.com/contacts/6914917/contact/40606/" TargetMode="External"/><Relationship Id="rId56" Type="http://schemas.openxmlformats.org/officeDocument/2006/relationships/hyperlink" Target="https://app.hubspot.com/contacts/6914917/deal/1979597577/" TargetMode="External"/><Relationship Id="rId159" Type="http://schemas.openxmlformats.org/officeDocument/2006/relationships/hyperlink" Target="https://app.hubspot.com/contacts/6914917/contact/51151/" TargetMode="External"/><Relationship Id="rId59" Type="http://schemas.openxmlformats.org/officeDocument/2006/relationships/hyperlink" Target="https://app.hubspot.com/contacts/6914917/deal/1979564969/" TargetMode="External"/><Relationship Id="rId154" Type="http://schemas.openxmlformats.org/officeDocument/2006/relationships/hyperlink" Target="mailto:baasab.deyb@rsm.ae?bcc=6914917@bcc.hubspot.com" TargetMode="External"/><Relationship Id="rId58" Type="http://schemas.openxmlformats.org/officeDocument/2006/relationships/hyperlink" Target="mailto:abuhassaan2012@gmail.com?bcc=6914917@bcc.hubspot.com" TargetMode="External"/><Relationship Id="rId153" Type="http://schemas.openxmlformats.org/officeDocument/2006/relationships/hyperlink" Target="https://app.hubspot.com/contacts/6914917/contact/54901/" TargetMode="External"/><Relationship Id="rId152" Type="http://schemas.openxmlformats.org/officeDocument/2006/relationships/hyperlink" Target="https://app.hubspot.com/contacts/6914917/deal/1972649644/" TargetMode="External"/><Relationship Id="rId151" Type="http://schemas.openxmlformats.org/officeDocument/2006/relationships/hyperlink" Target="mailto:farrukh_navy@hotmail.com?bcc=6914917@bcc.hubspot.com" TargetMode="External"/><Relationship Id="rId158" Type="http://schemas.openxmlformats.org/officeDocument/2006/relationships/hyperlink" Target="https://app.hubspot.com/contacts/6914917/deal/1971999607/" TargetMode="External"/><Relationship Id="rId157" Type="http://schemas.openxmlformats.org/officeDocument/2006/relationships/hyperlink" Target="mailto:surinder@kalsi.network?bcc=6914917@bcc.hubspot.com" TargetMode="External"/><Relationship Id="rId156" Type="http://schemas.openxmlformats.org/officeDocument/2006/relationships/hyperlink" Target="https://app.hubspot.com/contacts/6914917/contact/54801/" TargetMode="External"/><Relationship Id="rId155" Type="http://schemas.openxmlformats.org/officeDocument/2006/relationships/hyperlink" Target="https://app.hubspot.com/contacts/6914917/deal/1972467671/" TargetMode="External"/><Relationship Id="rId107" Type="http://schemas.openxmlformats.org/officeDocument/2006/relationships/hyperlink" Target="https://app.hubspot.com/contacts/6914917/deal/1976627568/" TargetMode="External"/><Relationship Id="rId106" Type="http://schemas.openxmlformats.org/officeDocument/2006/relationships/hyperlink" Target="mailto:s.rehman.acma@gmail.com?bcc=6914917@bcc.hubspot.com" TargetMode="External"/><Relationship Id="rId105" Type="http://schemas.openxmlformats.org/officeDocument/2006/relationships/hyperlink" Target="https://app.hubspot.com/contacts/6914917/contact/76701/" TargetMode="External"/><Relationship Id="rId104" Type="http://schemas.openxmlformats.org/officeDocument/2006/relationships/hyperlink" Target="https://app.hubspot.com/contacts/6914917/deal/1976628961/" TargetMode="External"/><Relationship Id="rId109" Type="http://schemas.openxmlformats.org/officeDocument/2006/relationships/hyperlink" Target="mailto:emran_0321@live.com?bcc=6914917@bcc.hubspot.com" TargetMode="External"/><Relationship Id="rId108" Type="http://schemas.openxmlformats.org/officeDocument/2006/relationships/hyperlink" Target="https://app.hubspot.com/contacts/6914917/contact/76751/" TargetMode="External"/><Relationship Id="rId103" Type="http://schemas.openxmlformats.org/officeDocument/2006/relationships/hyperlink" Target="mailto:nasirmehmoodawan@hotmail.com?bcc=6914917@bcc.hubspot.com" TargetMode="External"/><Relationship Id="rId102" Type="http://schemas.openxmlformats.org/officeDocument/2006/relationships/hyperlink" Target="https://app.hubspot.com/contacts/6914917/contact/77001/" TargetMode="External"/><Relationship Id="rId101" Type="http://schemas.openxmlformats.org/officeDocument/2006/relationships/hyperlink" Target="https://app.hubspot.com/contacts/6914917/deal/1976647152/" TargetMode="External"/><Relationship Id="rId100" Type="http://schemas.openxmlformats.org/officeDocument/2006/relationships/hyperlink" Target="mailto:s_gowhar@hotmail.com?bcc=6914917@bcc.hubspot.com" TargetMode="External"/><Relationship Id="rId129" Type="http://schemas.openxmlformats.org/officeDocument/2006/relationships/hyperlink" Target="https://app.hubspot.com/contacts/6914917/contact/76351/" TargetMode="External"/><Relationship Id="rId128" Type="http://schemas.openxmlformats.org/officeDocument/2006/relationships/hyperlink" Target="https://app.hubspot.com/contacts/6914917/deal/1976576215/" TargetMode="External"/><Relationship Id="rId127" Type="http://schemas.openxmlformats.org/officeDocument/2006/relationships/hyperlink" Target="mailto:gacesanikica@yahoo.com?bcc=6914917@bcc.hubspot.com" TargetMode="External"/><Relationship Id="rId126" Type="http://schemas.openxmlformats.org/officeDocument/2006/relationships/hyperlink" Target="https://app.hubspot.com/contacts/6914917/contact/76551/" TargetMode="External"/><Relationship Id="rId121" Type="http://schemas.openxmlformats.org/officeDocument/2006/relationships/hyperlink" Target="mailto:faisalhanif95@gmail.com?bcc=6914917@bcc.hubspot.com" TargetMode="External"/><Relationship Id="rId120" Type="http://schemas.openxmlformats.org/officeDocument/2006/relationships/hyperlink" Target="https://app.hubspot.com/contacts/6914917/contact/76401/" TargetMode="External"/><Relationship Id="rId125" Type="http://schemas.openxmlformats.org/officeDocument/2006/relationships/hyperlink" Target="https://app.hubspot.com/contacts/6914917/deal/1976577635/" TargetMode="External"/><Relationship Id="rId124" Type="http://schemas.openxmlformats.org/officeDocument/2006/relationships/hyperlink" Target="mailto:deepakmohanbhatt@gmail.com?bcc=6914917@bcc.hubspot.com" TargetMode="External"/><Relationship Id="rId123" Type="http://schemas.openxmlformats.org/officeDocument/2006/relationships/hyperlink" Target="https://app.hubspot.com/contacts/6914917/contact/76501/" TargetMode="External"/><Relationship Id="rId122" Type="http://schemas.openxmlformats.org/officeDocument/2006/relationships/hyperlink" Target="https://app.hubspot.com/contacts/6914917/deal/1976578635/" TargetMode="External"/><Relationship Id="rId95" Type="http://schemas.openxmlformats.org/officeDocument/2006/relationships/hyperlink" Target="https://app.hubspot.com/contacts/6914917/deal/1976841033/" TargetMode="External"/><Relationship Id="rId94" Type="http://schemas.openxmlformats.org/officeDocument/2006/relationships/hyperlink" Target="mailto:m.fekry1982@hotmail.com?bcc=6914917@bcc.hubspot.com" TargetMode="External"/><Relationship Id="rId97" Type="http://schemas.openxmlformats.org/officeDocument/2006/relationships/hyperlink" Target="mailto:yasir.modi@yahoo.com?bcc=6914917@bcc.hubspot.com" TargetMode="External"/><Relationship Id="rId96" Type="http://schemas.openxmlformats.org/officeDocument/2006/relationships/hyperlink" Target="https://app.hubspot.com/contacts/6914917/contact/77251/" TargetMode="External"/><Relationship Id="rId99" Type="http://schemas.openxmlformats.org/officeDocument/2006/relationships/hyperlink" Target="https://app.hubspot.com/contacts/6914917/contact/77151/" TargetMode="External"/><Relationship Id="rId98" Type="http://schemas.openxmlformats.org/officeDocument/2006/relationships/hyperlink" Target="https://app.hubspot.com/contacts/6914917/deal/1976822749/" TargetMode="External"/><Relationship Id="rId91" Type="http://schemas.openxmlformats.org/officeDocument/2006/relationships/hyperlink" Target="mailto:aaziz@winpro-erp.com?bcc=6914917@bcc.hubspot.com" TargetMode="External"/><Relationship Id="rId90" Type="http://schemas.openxmlformats.org/officeDocument/2006/relationships/hyperlink" Target="https://app.hubspot.com/contacts/6914917/contact/77101/" TargetMode="External"/><Relationship Id="rId93" Type="http://schemas.openxmlformats.org/officeDocument/2006/relationships/hyperlink" Target="https://app.hubspot.com/contacts/6914917/contact/77051/" TargetMode="External"/><Relationship Id="rId92" Type="http://schemas.openxmlformats.org/officeDocument/2006/relationships/hyperlink" Target="https://app.hubspot.com/contacts/6914917/deal/1977287735/" TargetMode="External"/><Relationship Id="rId118" Type="http://schemas.openxmlformats.org/officeDocument/2006/relationships/hyperlink" Target="mailto:memonghulamasghar1@gmail.com?bcc=6914917@bcc.hubspot.com" TargetMode="External"/><Relationship Id="rId117" Type="http://schemas.openxmlformats.org/officeDocument/2006/relationships/hyperlink" Target="https://app.hubspot.com/contacts/6914917/contact/76801/" TargetMode="External"/><Relationship Id="rId116" Type="http://schemas.openxmlformats.org/officeDocument/2006/relationships/hyperlink" Target="https://app.hubspot.com/contacts/6914917/deal/1976591335/" TargetMode="External"/><Relationship Id="rId115" Type="http://schemas.openxmlformats.org/officeDocument/2006/relationships/hyperlink" Target="mailto:aalamranchi@gmail.com?bcc=6914917@bcc.hubspot.com" TargetMode="External"/><Relationship Id="rId119" Type="http://schemas.openxmlformats.org/officeDocument/2006/relationships/hyperlink" Target="https://app.hubspot.com/contacts/6914917/deal/1976579586/" TargetMode="External"/><Relationship Id="rId110" Type="http://schemas.openxmlformats.org/officeDocument/2006/relationships/hyperlink" Target="https://app.hubspot.com/contacts/6914917/deal/1976607442/" TargetMode="External"/><Relationship Id="rId114" Type="http://schemas.openxmlformats.org/officeDocument/2006/relationships/hyperlink" Target="https://app.hubspot.com/contacts/6914917/contact/76851/" TargetMode="External"/><Relationship Id="rId113" Type="http://schemas.openxmlformats.org/officeDocument/2006/relationships/hyperlink" Target="https://app.hubspot.com/contacts/6914917/deal/1976592482/" TargetMode="External"/><Relationship Id="rId112" Type="http://schemas.openxmlformats.org/officeDocument/2006/relationships/hyperlink" Target="mailto:coolbuddy78@hotmail.com?bcc=6914917@bcc.hubspot.com" TargetMode="External"/><Relationship Id="rId111" Type="http://schemas.openxmlformats.org/officeDocument/2006/relationships/hyperlink" Target="https://app.hubspot.com/contacts/6914917/contact/76901/" TargetMode="External"/><Relationship Id="rId203" Type="http://schemas.openxmlformats.org/officeDocument/2006/relationships/drawing" Target="../drawings/drawing2.xml"/><Relationship Id="rId202" Type="http://schemas.openxmlformats.org/officeDocument/2006/relationships/hyperlink" Target="mailto:sofiane_baffoun@hotmail.com?bcc=6914917@bcc.hubspot.com" TargetMode="External"/><Relationship Id="rId201" Type="http://schemas.openxmlformats.org/officeDocument/2006/relationships/hyperlink" Target="https://app.hubspot.com/contacts/6914917/contact/54651/" TargetMode="External"/><Relationship Id="rId200" Type="http://schemas.openxmlformats.org/officeDocument/2006/relationships/hyperlink" Target="https://app.hubspot.com/contacts/6914917/deal/1971731239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hubspot.com/contacts/6914917/contact/78601/" TargetMode="External"/><Relationship Id="rId10" Type="http://schemas.openxmlformats.org/officeDocument/2006/relationships/hyperlink" Target="mailto:omran43@yahoo.com?bcc=6914917@bcc.hubspot.com" TargetMode="External"/><Relationship Id="rId13" Type="http://schemas.openxmlformats.org/officeDocument/2006/relationships/hyperlink" Target="https://app.hubspot.com/contacts/6914917/contact/77601/" TargetMode="External"/><Relationship Id="rId12" Type="http://schemas.openxmlformats.org/officeDocument/2006/relationships/hyperlink" Target="mailto:roykidangil@yahoo.com?bcc=6914917@bcc.hubspot.com" TargetMode="External"/><Relationship Id="rId15" Type="http://schemas.openxmlformats.org/officeDocument/2006/relationships/hyperlink" Target="https://app.hubspot.com/contacts/6914917/contact/78451/" TargetMode="External"/><Relationship Id="rId14" Type="http://schemas.openxmlformats.org/officeDocument/2006/relationships/hyperlink" Target="mailto:sujitn@outlook.com?bcc=6914917@bcc.hubspot.com" TargetMode="External"/><Relationship Id="rId17" Type="http://schemas.openxmlformats.org/officeDocument/2006/relationships/hyperlink" Target="https://app.hubspot.com/contacts/6914917/contact/78351/" TargetMode="External"/><Relationship Id="rId16" Type="http://schemas.openxmlformats.org/officeDocument/2006/relationships/hyperlink" Target="mailto:a2786@ptfire.gov.tw?bcc=6914917@bcc.hubspot.com" TargetMode="External"/><Relationship Id="rId19" Type="http://schemas.openxmlformats.org/officeDocument/2006/relationships/drawing" Target="../drawings/drawing3.xml"/><Relationship Id="rId18" Type="http://schemas.openxmlformats.org/officeDocument/2006/relationships/hyperlink" Target="mailto:linifen2003@yahoo.com.tw?bcc=6914917@bcc.hubspot.com" TargetMode="External"/><Relationship Id="rId1" Type="http://schemas.openxmlformats.org/officeDocument/2006/relationships/hyperlink" Target="https://app.hubspot.com/contacts/6914917/contact/78501/" TargetMode="External"/><Relationship Id="rId2" Type="http://schemas.openxmlformats.org/officeDocument/2006/relationships/hyperlink" Target="mailto:az@odoo.ie?bcc=6914917@bcc.hubspot.com" TargetMode="External"/><Relationship Id="rId3" Type="http://schemas.openxmlformats.org/officeDocument/2006/relationships/hyperlink" Target="https://app.hubspot.com/contacts/6914917/contact/77851/" TargetMode="External"/><Relationship Id="rId4" Type="http://schemas.openxmlformats.org/officeDocument/2006/relationships/hyperlink" Target="mailto:jongga02@gmail.com?bcc=6914917@bcc.hubspot.com" TargetMode="External"/><Relationship Id="rId9" Type="http://schemas.openxmlformats.org/officeDocument/2006/relationships/hyperlink" Target="https://app.hubspot.com/contacts/6914917/contact/77751/" TargetMode="External"/><Relationship Id="rId5" Type="http://schemas.openxmlformats.org/officeDocument/2006/relationships/hyperlink" Target="https://app.hubspot.com/contacts/6914917/contact/78401/" TargetMode="External"/><Relationship Id="rId6" Type="http://schemas.openxmlformats.org/officeDocument/2006/relationships/hyperlink" Target="mailto:mhonaidah@gmail.com?bcc=6914917@bcc.hubspot.com" TargetMode="External"/><Relationship Id="rId7" Type="http://schemas.openxmlformats.org/officeDocument/2006/relationships/hyperlink" Target="https://app.hubspot.com/contacts/6914917/contact/78101/" TargetMode="External"/><Relationship Id="rId8" Type="http://schemas.openxmlformats.org/officeDocument/2006/relationships/hyperlink" Target="mailto:marium.kutchi2@gmail.com?bcc=6914917@bcc.hubspot.com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amalallaithy@hotmail.com?bcc=6914917@bcc.hubspot.com" TargetMode="External"/><Relationship Id="rId42" Type="http://schemas.openxmlformats.org/officeDocument/2006/relationships/hyperlink" Target="https://app.hubspot.com/contacts/6914917/contact/81751/" TargetMode="External"/><Relationship Id="rId41" Type="http://schemas.openxmlformats.org/officeDocument/2006/relationships/hyperlink" Target="https://app.hubspot.com/contacts/6914917/deal/1983172876/" TargetMode="External"/><Relationship Id="rId44" Type="http://schemas.openxmlformats.org/officeDocument/2006/relationships/hyperlink" Target="https://app.hubspot.com/contacts/6914917/deal/1983172681/" TargetMode="External"/><Relationship Id="rId43" Type="http://schemas.openxmlformats.org/officeDocument/2006/relationships/hyperlink" Target="mailto:ossamamaharem@gmail.com?bcc=6914917@bcc.hubspot.com" TargetMode="External"/><Relationship Id="rId46" Type="http://schemas.openxmlformats.org/officeDocument/2006/relationships/hyperlink" Target="mailto:medicou@gmail.com?bcc=6914917@bcc.hubspot.com" TargetMode="External"/><Relationship Id="rId45" Type="http://schemas.openxmlformats.org/officeDocument/2006/relationships/hyperlink" Target="https://app.hubspot.com/contacts/6914917/contact/81501/" TargetMode="External"/><Relationship Id="rId48" Type="http://schemas.openxmlformats.org/officeDocument/2006/relationships/hyperlink" Target="https://app.hubspot.com/contacts/6914917/contact/81201/" TargetMode="External"/><Relationship Id="rId47" Type="http://schemas.openxmlformats.org/officeDocument/2006/relationships/hyperlink" Target="https://app.hubspot.com/contacts/6914917/deal/1983170716/" TargetMode="External"/><Relationship Id="rId49" Type="http://schemas.openxmlformats.org/officeDocument/2006/relationships/hyperlink" Target="mailto:hkm_arc@yahoo.com?bcc=6914917@bcc.hubspot.com" TargetMode="External"/><Relationship Id="rId31" Type="http://schemas.openxmlformats.org/officeDocument/2006/relationships/hyperlink" Target="https://app.hubspot.com/contacts/6914917/contact/81551/" TargetMode="External"/><Relationship Id="rId30" Type="http://schemas.openxmlformats.org/officeDocument/2006/relationships/hyperlink" Target="https://app.hubspot.com/contacts/6914917/deal/1983174686/" TargetMode="External"/><Relationship Id="rId33" Type="http://schemas.openxmlformats.org/officeDocument/2006/relationships/hyperlink" Target="https://app.hubspot.com/contacts/6914917/deal/1983174594/" TargetMode="External"/><Relationship Id="rId32" Type="http://schemas.openxmlformats.org/officeDocument/2006/relationships/hyperlink" Target="mailto:kashanshaikh_7@hotmail.com?bcc=6914917@bcc.hubspot.com" TargetMode="External"/><Relationship Id="rId35" Type="http://schemas.openxmlformats.org/officeDocument/2006/relationships/hyperlink" Target="mailto:sameera.khanuae.sk@gmail.com?bcc=6914917@bcc.hubspot.com" TargetMode="External"/><Relationship Id="rId34" Type="http://schemas.openxmlformats.org/officeDocument/2006/relationships/hyperlink" Target="https://app.hubspot.com/contacts/6914917/contact/81451/" TargetMode="External"/><Relationship Id="rId37" Type="http://schemas.openxmlformats.org/officeDocument/2006/relationships/hyperlink" Target="https://app.hubspot.com/contacts/6914917/contact/81401/" TargetMode="External"/><Relationship Id="rId36" Type="http://schemas.openxmlformats.org/officeDocument/2006/relationships/hyperlink" Target="https://app.hubspot.com/contacts/6914917/deal/1983173714/" TargetMode="External"/><Relationship Id="rId39" Type="http://schemas.openxmlformats.org/officeDocument/2006/relationships/hyperlink" Target="https://app.hubspot.com/contacts/6914917/contact/81701/" TargetMode="External"/><Relationship Id="rId38" Type="http://schemas.openxmlformats.org/officeDocument/2006/relationships/hyperlink" Target="https://app.hubspot.com/contacts/6914917/deal/1983173254/" TargetMode="External"/><Relationship Id="rId20" Type="http://schemas.openxmlformats.org/officeDocument/2006/relationships/hyperlink" Target="mailto:khaled.elagami@hotmail.com?bcc=6914917@bcc.hubspot.com" TargetMode="External"/><Relationship Id="rId22" Type="http://schemas.openxmlformats.org/officeDocument/2006/relationships/hyperlink" Target="https://app.hubspot.com/contacts/6914917/contact/81801/" TargetMode="External"/><Relationship Id="rId21" Type="http://schemas.openxmlformats.org/officeDocument/2006/relationships/hyperlink" Target="https://app.hubspot.com/contacts/6914917/deal/1983258904/" TargetMode="External"/><Relationship Id="rId24" Type="http://schemas.openxmlformats.org/officeDocument/2006/relationships/hyperlink" Target="https://app.hubspot.com/contacts/6914917/deal/1983196806/" TargetMode="External"/><Relationship Id="rId23" Type="http://schemas.openxmlformats.org/officeDocument/2006/relationships/hyperlink" Target="mailto:mkkaiys@gmail.com?bcc=6914917@bcc.hubspot.com" TargetMode="External"/><Relationship Id="rId26" Type="http://schemas.openxmlformats.org/officeDocument/2006/relationships/hyperlink" Target="mailto:wakod@hotmail.com?bcc=6914917@bcc.hubspot.com" TargetMode="External"/><Relationship Id="rId25" Type="http://schemas.openxmlformats.org/officeDocument/2006/relationships/hyperlink" Target="https://app.hubspot.com/contacts/6914917/contact/81651/" TargetMode="External"/><Relationship Id="rId28" Type="http://schemas.openxmlformats.org/officeDocument/2006/relationships/hyperlink" Target="https://app.hubspot.com/contacts/6914917/contact/81601/" TargetMode="External"/><Relationship Id="rId27" Type="http://schemas.openxmlformats.org/officeDocument/2006/relationships/hyperlink" Target="https://app.hubspot.com/contacts/6914917/deal/1983175080/" TargetMode="External"/><Relationship Id="rId29" Type="http://schemas.openxmlformats.org/officeDocument/2006/relationships/hyperlink" Target="mailto:abdul.mannan@hotmail.com?bcc=6914917@bcc.hubspot.com" TargetMode="External"/><Relationship Id="rId11" Type="http://schemas.openxmlformats.org/officeDocument/2006/relationships/hyperlink" Target="mailto:hazrihotdj@gmail.com?bcc=6914917@bcc.hubspot.com" TargetMode="External"/><Relationship Id="rId10" Type="http://schemas.openxmlformats.org/officeDocument/2006/relationships/hyperlink" Target="https://app.hubspot.com/contacts/6914917/contact/82001/" TargetMode="External"/><Relationship Id="rId13" Type="http://schemas.openxmlformats.org/officeDocument/2006/relationships/hyperlink" Target="https://app.hubspot.com/contacts/6914917/contact/81951/" TargetMode="External"/><Relationship Id="rId12" Type="http://schemas.openxmlformats.org/officeDocument/2006/relationships/hyperlink" Target="https://app.hubspot.com/contacts/6914917/deal/1983412070/" TargetMode="External"/><Relationship Id="rId15" Type="http://schemas.openxmlformats.org/officeDocument/2006/relationships/hyperlink" Target="https://app.hubspot.com/contacts/6914917/deal/1983390361/" TargetMode="External"/><Relationship Id="rId14" Type="http://schemas.openxmlformats.org/officeDocument/2006/relationships/hyperlink" Target="mailto:rathormanish79@gmail.com?bcc=6914917@bcc.hubspot.com" TargetMode="External"/><Relationship Id="rId17" Type="http://schemas.openxmlformats.org/officeDocument/2006/relationships/hyperlink" Target="mailto:tsai8563@gmail.com?bcc=6914917@bcc.hubspot.com" TargetMode="External"/><Relationship Id="rId16" Type="http://schemas.openxmlformats.org/officeDocument/2006/relationships/hyperlink" Target="https://app.hubspot.com/contacts/6914917/contact/81901/" TargetMode="External"/><Relationship Id="rId19" Type="http://schemas.openxmlformats.org/officeDocument/2006/relationships/hyperlink" Target="https://app.hubspot.com/contacts/6914917/contact/81851/" TargetMode="External"/><Relationship Id="rId18" Type="http://schemas.openxmlformats.org/officeDocument/2006/relationships/hyperlink" Target="https://app.hubspot.com/contacts/6914917/deal/1983283843/" TargetMode="External"/><Relationship Id="rId1" Type="http://schemas.openxmlformats.org/officeDocument/2006/relationships/hyperlink" Target="https://app.hubspot.com/contacts/6914917/contact/82201/" TargetMode="External"/><Relationship Id="rId2" Type="http://schemas.openxmlformats.org/officeDocument/2006/relationships/hyperlink" Target="mailto:radhakrishnapainoli@yahoo.com?bcc=6914917@bcc.hubspot.com" TargetMode="External"/><Relationship Id="rId3" Type="http://schemas.openxmlformats.org/officeDocument/2006/relationships/hyperlink" Target="https://app.hubspot.com/contacts/6914917/deal/1983625837/" TargetMode="External"/><Relationship Id="rId4" Type="http://schemas.openxmlformats.org/officeDocument/2006/relationships/hyperlink" Target="https://app.hubspot.com/contacts/6914917/contact/82101/" TargetMode="External"/><Relationship Id="rId9" Type="http://schemas.openxmlformats.org/officeDocument/2006/relationships/hyperlink" Target="https://app.hubspot.com/contacts/6914917/deal/1983412710/" TargetMode="External"/><Relationship Id="rId5" Type="http://schemas.openxmlformats.org/officeDocument/2006/relationships/hyperlink" Target="mailto:michelle.delleva@yahoo.com?bcc=6914917@bcc.hubspot.com" TargetMode="External"/><Relationship Id="rId6" Type="http://schemas.openxmlformats.org/officeDocument/2006/relationships/hyperlink" Target="https://app.hubspot.com/contacts/6914917/deal/1983602189/" TargetMode="External"/><Relationship Id="rId7" Type="http://schemas.openxmlformats.org/officeDocument/2006/relationships/hyperlink" Target="https://app.hubspot.com/contacts/6914917/contact/82051/" TargetMode="External"/><Relationship Id="rId8" Type="http://schemas.openxmlformats.org/officeDocument/2006/relationships/hyperlink" Target="mailto:tanawa08@yahoo.com?bcc=6914917@bcc.hubspot.com" TargetMode="External"/><Relationship Id="rId73" Type="http://schemas.openxmlformats.org/officeDocument/2006/relationships/drawing" Target="../drawings/drawing4.xml"/><Relationship Id="rId72" Type="http://schemas.openxmlformats.org/officeDocument/2006/relationships/hyperlink" Target="https://app.hubspot.com/contacts/6914917/contact/82301/" TargetMode="External"/><Relationship Id="rId71" Type="http://schemas.openxmlformats.org/officeDocument/2006/relationships/hyperlink" Target="https://app.hubspot.com/contacts/6914917/deal/1983859275/" TargetMode="External"/><Relationship Id="rId70" Type="http://schemas.openxmlformats.org/officeDocument/2006/relationships/hyperlink" Target="mailto:vangani@eim.ae?bcc=6914917@bcc.hubspot.com" TargetMode="External"/><Relationship Id="rId62" Type="http://schemas.openxmlformats.org/officeDocument/2006/relationships/hyperlink" Target="https://app.hubspot.com/contacts/6914917/deal/1983154173/" TargetMode="External"/><Relationship Id="rId61" Type="http://schemas.openxmlformats.org/officeDocument/2006/relationships/hyperlink" Target="mailto:rajat_25@hotmail.com?bcc=6914917@bcc.hubspot.com" TargetMode="External"/><Relationship Id="rId64" Type="http://schemas.openxmlformats.org/officeDocument/2006/relationships/hyperlink" Target="mailto:mianfaraz2013@gmail.com?bcc=6914917@bcc.hubspot.com" TargetMode="External"/><Relationship Id="rId63" Type="http://schemas.openxmlformats.org/officeDocument/2006/relationships/hyperlink" Target="https://app.hubspot.com/contacts/6914917/contact/81251/" TargetMode="External"/><Relationship Id="rId66" Type="http://schemas.openxmlformats.org/officeDocument/2006/relationships/hyperlink" Target="https://app.hubspot.com/contacts/6914917/contact/81151/" TargetMode="External"/><Relationship Id="rId65" Type="http://schemas.openxmlformats.org/officeDocument/2006/relationships/hyperlink" Target="https://app.hubspot.com/contacts/6914917/deal/1983146657/" TargetMode="External"/><Relationship Id="rId68" Type="http://schemas.openxmlformats.org/officeDocument/2006/relationships/hyperlink" Target="https://app.hubspot.com/contacts/6914917/deal/1984096976/" TargetMode="External"/><Relationship Id="rId67" Type="http://schemas.openxmlformats.org/officeDocument/2006/relationships/hyperlink" Target="mailto:mohd.abdulaziz@hak-arch.com?bcc=6914917@bcc.hubspot.com" TargetMode="External"/><Relationship Id="rId60" Type="http://schemas.openxmlformats.org/officeDocument/2006/relationships/hyperlink" Target="https://app.hubspot.com/contacts/6914917/contact/81351/" TargetMode="External"/><Relationship Id="rId69" Type="http://schemas.openxmlformats.org/officeDocument/2006/relationships/hyperlink" Target="https://app.hubspot.com/contacts/6914917/contact/82351/" TargetMode="External"/><Relationship Id="rId51" Type="http://schemas.openxmlformats.org/officeDocument/2006/relationships/hyperlink" Target="https://app.hubspot.com/contacts/6914917/contact/81101/" TargetMode="External"/><Relationship Id="rId50" Type="http://schemas.openxmlformats.org/officeDocument/2006/relationships/hyperlink" Target="https://app.hubspot.com/contacts/6914917/deal/1983166842/" TargetMode="External"/><Relationship Id="rId53" Type="http://schemas.openxmlformats.org/officeDocument/2006/relationships/hyperlink" Target="https://app.hubspot.com/contacts/6914917/deal/1983155665/" TargetMode="External"/><Relationship Id="rId52" Type="http://schemas.openxmlformats.org/officeDocument/2006/relationships/hyperlink" Target="mailto:salah_hussein@hotmail.com?bcc=6914917@bcc.hubspot.com" TargetMode="External"/><Relationship Id="rId55" Type="http://schemas.openxmlformats.org/officeDocument/2006/relationships/hyperlink" Target="mailto:jawedu15@gmail.com?bcc=6914917@bcc.hubspot.com" TargetMode="External"/><Relationship Id="rId54" Type="http://schemas.openxmlformats.org/officeDocument/2006/relationships/hyperlink" Target="https://app.hubspot.com/contacts/6914917/contact/81301/" TargetMode="External"/><Relationship Id="rId57" Type="http://schemas.openxmlformats.org/officeDocument/2006/relationships/hyperlink" Target="https://app.hubspot.com/contacts/6914917/contact/81051/" TargetMode="External"/><Relationship Id="rId56" Type="http://schemas.openxmlformats.org/officeDocument/2006/relationships/hyperlink" Target="https://app.hubspot.com/contacts/6914917/deal/1983155494/" TargetMode="External"/><Relationship Id="rId59" Type="http://schemas.openxmlformats.org/officeDocument/2006/relationships/hyperlink" Target="https://app.hubspot.com/contacts/6914917/deal/1983154248/" TargetMode="External"/><Relationship Id="rId58" Type="http://schemas.openxmlformats.org/officeDocument/2006/relationships/hyperlink" Target="mailto:mohameddarwiche@hotmail.com?bcc=6914917@bcc.hubspot.com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pp.hubspot.com/contacts/6914917/contact/82951/" TargetMode="External"/><Relationship Id="rId42" Type="http://schemas.openxmlformats.org/officeDocument/2006/relationships/hyperlink" Target="https://app.hubspot.com/contacts/6914917/deal/1985367459/" TargetMode="External"/><Relationship Id="rId41" Type="http://schemas.openxmlformats.org/officeDocument/2006/relationships/hyperlink" Target="mailto:osama.hussein.eg@gmail.com?bcc=6914917@bcc.hubspot.com" TargetMode="External"/><Relationship Id="rId44" Type="http://schemas.openxmlformats.org/officeDocument/2006/relationships/hyperlink" Target="mailto:mas_gn@hotmail.com?bcc=6914917@bcc.hubspot.com" TargetMode="External"/><Relationship Id="rId43" Type="http://schemas.openxmlformats.org/officeDocument/2006/relationships/hyperlink" Target="https://app.hubspot.com/contacts/6914917/contact/83051/" TargetMode="External"/><Relationship Id="rId46" Type="http://schemas.openxmlformats.org/officeDocument/2006/relationships/hyperlink" Target="https://app.hubspot.com/contacts/6914917/contact/83101/" TargetMode="External"/><Relationship Id="rId45" Type="http://schemas.openxmlformats.org/officeDocument/2006/relationships/hyperlink" Target="https://app.hubspot.com/contacts/6914917/deal/1985365920/" TargetMode="External"/><Relationship Id="rId48" Type="http://schemas.openxmlformats.org/officeDocument/2006/relationships/hyperlink" Target="https://app.hubspot.com/contacts/6914917/deal/1985365890/" TargetMode="External"/><Relationship Id="rId47" Type="http://schemas.openxmlformats.org/officeDocument/2006/relationships/hyperlink" Target="mailto:manu.melinescu@yahoo.com?bcc=6914917@bcc.hubspot.com" TargetMode="External"/><Relationship Id="rId49" Type="http://schemas.openxmlformats.org/officeDocument/2006/relationships/hyperlink" Target="https://app.hubspot.com/contacts/6914917/contact/83001/" TargetMode="External"/><Relationship Id="rId31" Type="http://schemas.openxmlformats.org/officeDocument/2006/relationships/hyperlink" Target="https://app.hubspot.com/contacts/6914917/deal/1985534444/" TargetMode="External"/><Relationship Id="rId30" Type="http://schemas.openxmlformats.org/officeDocument/2006/relationships/hyperlink" Target="mailto:fareedlashari7@gmail.com?bcc=6914917@bcc.hubspot.com" TargetMode="External"/><Relationship Id="rId33" Type="http://schemas.openxmlformats.org/officeDocument/2006/relationships/hyperlink" Target="https://app.hubspot.com/contacts/6914917/deal/1985394529/" TargetMode="External"/><Relationship Id="rId32" Type="http://schemas.openxmlformats.org/officeDocument/2006/relationships/hyperlink" Target="https://app.hubspot.com/contacts/6914917/contact/83301/" TargetMode="External"/><Relationship Id="rId35" Type="http://schemas.openxmlformats.org/officeDocument/2006/relationships/hyperlink" Target="mailto:bm535i@hotmail.com?bcc=6914917@bcc.hubspot.com" TargetMode="External"/><Relationship Id="rId34" Type="http://schemas.openxmlformats.org/officeDocument/2006/relationships/hyperlink" Target="https://app.hubspot.com/contacts/6914917/contact/82851/" TargetMode="External"/><Relationship Id="rId37" Type="http://schemas.openxmlformats.org/officeDocument/2006/relationships/hyperlink" Target="https://app.hubspot.com/contacts/6914917/contact/82901/" TargetMode="External"/><Relationship Id="rId36" Type="http://schemas.openxmlformats.org/officeDocument/2006/relationships/hyperlink" Target="https://app.hubspot.com/contacts/6914917/deal/1985393276/" TargetMode="External"/><Relationship Id="rId39" Type="http://schemas.openxmlformats.org/officeDocument/2006/relationships/hyperlink" Target="https://app.hubspot.com/contacts/6914917/deal/1985370250/" TargetMode="External"/><Relationship Id="rId38" Type="http://schemas.openxmlformats.org/officeDocument/2006/relationships/hyperlink" Target="mailto:amrelakkad@yahoo.com?bcc=6914917@bcc.hubspot.com" TargetMode="External"/><Relationship Id="rId20" Type="http://schemas.openxmlformats.org/officeDocument/2006/relationships/hyperlink" Target="https://app.hubspot.com/contacts/6914917/contact/83401/" TargetMode="External"/><Relationship Id="rId22" Type="http://schemas.openxmlformats.org/officeDocument/2006/relationships/hyperlink" Target="https://app.hubspot.com/contacts/6914917/deal/1985895456/" TargetMode="External"/><Relationship Id="rId21" Type="http://schemas.openxmlformats.org/officeDocument/2006/relationships/hyperlink" Target="mailto:khurammemon202@gmail.com?bcc=6914917@bcc.hubspot.com" TargetMode="External"/><Relationship Id="rId24" Type="http://schemas.openxmlformats.org/officeDocument/2006/relationships/hyperlink" Target="mailto:umar.mhd@icloud.com?bcc=6914917@bcc.hubspot.com" TargetMode="External"/><Relationship Id="rId23" Type="http://schemas.openxmlformats.org/officeDocument/2006/relationships/hyperlink" Target="https://app.hubspot.com/contacts/6914917/contact/83351/" TargetMode="External"/><Relationship Id="rId26" Type="http://schemas.openxmlformats.org/officeDocument/2006/relationships/hyperlink" Target="https://app.hubspot.com/contacts/6914917/contact/83501/" TargetMode="External"/><Relationship Id="rId25" Type="http://schemas.openxmlformats.org/officeDocument/2006/relationships/hyperlink" Target="https://app.hubspot.com/contacts/6914917/deal/1985894461/" TargetMode="External"/><Relationship Id="rId28" Type="http://schemas.openxmlformats.org/officeDocument/2006/relationships/hyperlink" Target="https://app.hubspot.com/contacts/6914917/deal/1985886989/" TargetMode="External"/><Relationship Id="rId27" Type="http://schemas.openxmlformats.org/officeDocument/2006/relationships/hyperlink" Target="mailto:fahad_sheikh86@yahoo.com?bcc=6914917@bcc.hubspot.com" TargetMode="External"/><Relationship Id="rId29" Type="http://schemas.openxmlformats.org/officeDocument/2006/relationships/hyperlink" Target="https://app.hubspot.com/contacts/6914917/contact/83251/" TargetMode="External"/><Relationship Id="rId11" Type="http://schemas.openxmlformats.org/officeDocument/2006/relationships/hyperlink" Target="https://app.hubspot.com/contacts/6914917/contact/35251/" TargetMode="External"/><Relationship Id="rId10" Type="http://schemas.openxmlformats.org/officeDocument/2006/relationships/hyperlink" Target="https://app.hubspot.com/contacts/6914917/deal/1985999813/" TargetMode="External"/><Relationship Id="rId13" Type="http://schemas.openxmlformats.org/officeDocument/2006/relationships/hyperlink" Target="https://app.hubspot.com/contacts/6914917/deal/1985976483/" TargetMode="External"/><Relationship Id="rId12" Type="http://schemas.openxmlformats.org/officeDocument/2006/relationships/hyperlink" Target="mailto:khaledaa@gmail.com?bcc=6914917@bcc.hubspot.com" TargetMode="External"/><Relationship Id="rId15" Type="http://schemas.openxmlformats.org/officeDocument/2006/relationships/hyperlink" Target="mailto:ghalib.brahimi@gmail.com?bcc=6914917@bcc.hubspot.com" TargetMode="External"/><Relationship Id="rId14" Type="http://schemas.openxmlformats.org/officeDocument/2006/relationships/hyperlink" Target="https://app.hubspot.com/contacts/6914917/contact/83551/" TargetMode="External"/><Relationship Id="rId17" Type="http://schemas.openxmlformats.org/officeDocument/2006/relationships/hyperlink" Target="https://app.hubspot.com/contacts/6914917/contact/83451/" TargetMode="External"/><Relationship Id="rId16" Type="http://schemas.openxmlformats.org/officeDocument/2006/relationships/hyperlink" Target="https://app.hubspot.com/contacts/6914917/deal/1985949512/" TargetMode="External"/><Relationship Id="rId19" Type="http://schemas.openxmlformats.org/officeDocument/2006/relationships/hyperlink" Target="https://app.hubspot.com/contacts/6914917/deal/1985901030/" TargetMode="External"/><Relationship Id="rId18" Type="http://schemas.openxmlformats.org/officeDocument/2006/relationships/hyperlink" Target="mailto:msliu2000@yahoo.com?bcc=6914917@bcc.hubspot.com" TargetMode="External"/><Relationship Id="rId1" Type="http://schemas.openxmlformats.org/officeDocument/2006/relationships/hyperlink" Target="https://app.hubspot.com/contacts/6914917/deal/1986192155/" TargetMode="External"/><Relationship Id="rId2" Type="http://schemas.openxmlformats.org/officeDocument/2006/relationships/hyperlink" Target="https://app.hubspot.com/contacts/6914917/contact/83701/" TargetMode="External"/><Relationship Id="rId3" Type="http://schemas.openxmlformats.org/officeDocument/2006/relationships/hyperlink" Target="mailto:drkameliaa@yahoo.co.nz?bcc=6914917@bcc.hubspot.com" TargetMode="External"/><Relationship Id="rId4" Type="http://schemas.openxmlformats.org/officeDocument/2006/relationships/hyperlink" Target="https://app.hubspot.com/contacts/6914917/deal/1986170469/" TargetMode="External"/><Relationship Id="rId9" Type="http://schemas.openxmlformats.org/officeDocument/2006/relationships/hyperlink" Target="mailto:moataz_hamz@hotmail.com?bcc=6914917@bcc.hubspot.com" TargetMode="External"/><Relationship Id="rId5" Type="http://schemas.openxmlformats.org/officeDocument/2006/relationships/hyperlink" Target="https://app.hubspot.com/contacts/6914917/contact/83651/" TargetMode="External"/><Relationship Id="rId6" Type="http://schemas.openxmlformats.org/officeDocument/2006/relationships/hyperlink" Target="mailto:shankar@lightvisiondubai.com?bcc=6914917@bcc.hubspot.com" TargetMode="External"/><Relationship Id="rId7" Type="http://schemas.openxmlformats.org/officeDocument/2006/relationships/hyperlink" Target="https://app.hubspot.com/contacts/6914917/deal/1986076381/" TargetMode="External"/><Relationship Id="rId8" Type="http://schemas.openxmlformats.org/officeDocument/2006/relationships/hyperlink" Target="https://app.hubspot.com/contacts/6914917/contact/83601/" TargetMode="External"/><Relationship Id="rId60" Type="http://schemas.openxmlformats.org/officeDocument/2006/relationships/drawing" Target="../drawings/drawing5.xml"/><Relationship Id="rId51" Type="http://schemas.openxmlformats.org/officeDocument/2006/relationships/hyperlink" Target="https://app.hubspot.com/contacts/6914917/deal/1985365583/" TargetMode="External"/><Relationship Id="rId50" Type="http://schemas.openxmlformats.org/officeDocument/2006/relationships/hyperlink" Target="mailto:alla2009reva@ukr.net?bcc=6914917@bcc.hubspot.com" TargetMode="External"/><Relationship Id="rId53" Type="http://schemas.openxmlformats.org/officeDocument/2006/relationships/hyperlink" Target="mailto:sustain1619@gmail.com?bcc=6914917@bcc.hubspot.com" TargetMode="External"/><Relationship Id="rId52" Type="http://schemas.openxmlformats.org/officeDocument/2006/relationships/hyperlink" Target="https://app.hubspot.com/contacts/6914917/contact/82801/" TargetMode="External"/><Relationship Id="rId55" Type="http://schemas.openxmlformats.org/officeDocument/2006/relationships/hyperlink" Target="https://app.hubspot.com/contacts/6914917/contact/83201/" TargetMode="External"/><Relationship Id="rId54" Type="http://schemas.openxmlformats.org/officeDocument/2006/relationships/hyperlink" Target="https://app.hubspot.com/contacts/6914917/deal/1985359255/" TargetMode="External"/><Relationship Id="rId57" Type="http://schemas.openxmlformats.org/officeDocument/2006/relationships/hyperlink" Target="https://app.hubspot.com/contacts/6914917/deal/1985359130/" TargetMode="External"/><Relationship Id="rId56" Type="http://schemas.openxmlformats.org/officeDocument/2006/relationships/hyperlink" Target="mailto:shakeelacit@yahoo.com?bcc=6914917@bcc.hubspot.com" TargetMode="External"/><Relationship Id="rId59" Type="http://schemas.openxmlformats.org/officeDocument/2006/relationships/hyperlink" Target="mailto:eman3089@gamil.com?bcc=6914917@bcc.hubspot.com" TargetMode="External"/><Relationship Id="rId58" Type="http://schemas.openxmlformats.org/officeDocument/2006/relationships/hyperlink" Target="https://app.hubspot.com/contacts/6914917/contact/83151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ourora1@yahoo.com?bcc=6914917@bcc.hubspot.com" TargetMode="External"/><Relationship Id="rId42" Type="http://schemas.openxmlformats.org/officeDocument/2006/relationships/hyperlink" Target="mailto:guillaume.pelletier@dotvision.com?bcc=6914917@bcc.hubspot.com" TargetMode="External"/><Relationship Id="rId41" Type="http://schemas.openxmlformats.org/officeDocument/2006/relationships/hyperlink" Target="https://app.hubspot.com/contacts/6914917/contact/105451/" TargetMode="External"/><Relationship Id="rId44" Type="http://schemas.openxmlformats.org/officeDocument/2006/relationships/hyperlink" Target="mailto:zeeshan.fateh@hotmail.com?bcc=6914917@bcc.hubspot.com" TargetMode="External"/><Relationship Id="rId43" Type="http://schemas.openxmlformats.org/officeDocument/2006/relationships/hyperlink" Target="https://app.hubspot.com/contacts/6914917/contact/105401/" TargetMode="External"/><Relationship Id="rId46" Type="http://schemas.openxmlformats.org/officeDocument/2006/relationships/hyperlink" Target="mailto:talib.faruqui@ici.com.pk?bcc=6914917@bcc.hubspot.com" TargetMode="External"/><Relationship Id="rId45" Type="http://schemas.openxmlformats.org/officeDocument/2006/relationships/hyperlink" Target="https://app.hubspot.com/contacts/6914917/contact/105201/" TargetMode="External"/><Relationship Id="rId48" Type="http://schemas.openxmlformats.org/officeDocument/2006/relationships/hyperlink" Target="mailto:ladyranya@live.com?bcc=6914917@bcc.hubspot.com" TargetMode="External"/><Relationship Id="rId47" Type="http://schemas.openxmlformats.org/officeDocument/2006/relationships/hyperlink" Target="https://app.hubspot.com/contacts/6914917/contact/105101/" TargetMode="External"/><Relationship Id="rId49" Type="http://schemas.openxmlformats.org/officeDocument/2006/relationships/hyperlink" Target="https://app.hubspot.com/contacts/6914917/contact/105351/" TargetMode="External"/><Relationship Id="rId31" Type="http://schemas.openxmlformats.org/officeDocument/2006/relationships/hyperlink" Target="https://app.hubspot.com/contacts/6914917/contact/105751/" TargetMode="External"/><Relationship Id="rId30" Type="http://schemas.openxmlformats.org/officeDocument/2006/relationships/hyperlink" Target="mailto:zaidi1185@yahoo.com?bcc=6914917@bcc.hubspot.com" TargetMode="External"/><Relationship Id="rId33" Type="http://schemas.openxmlformats.org/officeDocument/2006/relationships/hyperlink" Target="https://app.hubspot.com/contacts/6914917/contact/105651/" TargetMode="External"/><Relationship Id="rId32" Type="http://schemas.openxmlformats.org/officeDocument/2006/relationships/hyperlink" Target="mailto:morden_ahmedwatany@yahoo.com?bcc=6914917@bcc.hubspot.com" TargetMode="External"/><Relationship Id="rId35" Type="http://schemas.openxmlformats.org/officeDocument/2006/relationships/hyperlink" Target="https://app.hubspot.com/contacts/6914917/contact/105701/" TargetMode="External"/><Relationship Id="rId34" Type="http://schemas.openxmlformats.org/officeDocument/2006/relationships/hyperlink" Target="mailto:fatenhussein21@hotmail.com?bcc=6914917@bcc.hubspot.com" TargetMode="External"/><Relationship Id="rId37" Type="http://schemas.openxmlformats.org/officeDocument/2006/relationships/hyperlink" Target="https://app.hubspot.com/contacts/6914917/contact/105151/" TargetMode="External"/><Relationship Id="rId36" Type="http://schemas.openxmlformats.org/officeDocument/2006/relationships/hyperlink" Target="mailto:mmariane@hotmail.com?bcc=6914917@bcc.hubspot.com" TargetMode="External"/><Relationship Id="rId39" Type="http://schemas.openxmlformats.org/officeDocument/2006/relationships/hyperlink" Target="https://app.hubspot.com/contacts/6914917/contact/105301/" TargetMode="External"/><Relationship Id="rId38" Type="http://schemas.openxmlformats.org/officeDocument/2006/relationships/hyperlink" Target="mailto:fadwa.tabaloc@gmail.com?bcc=6914917@bcc.hubspot.com" TargetMode="External"/><Relationship Id="rId20" Type="http://schemas.openxmlformats.org/officeDocument/2006/relationships/hyperlink" Target="mailto:drmukhtiar@gmail.com?bcc=6914917@bcc.hubspot.com" TargetMode="External"/><Relationship Id="rId22" Type="http://schemas.openxmlformats.org/officeDocument/2006/relationships/hyperlink" Target="mailto:bmunirahussain@gmail.com?bcc=6914917@bcc.hubspot.com" TargetMode="External"/><Relationship Id="rId21" Type="http://schemas.openxmlformats.org/officeDocument/2006/relationships/hyperlink" Target="https://app.hubspot.com/contacts/6914917/contact/105851/" TargetMode="External"/><Relationship Id="rId24" Type="http://schemas.openxmlformats.org/officeDocument/2006/relationships/hyperlink" Target="mailto:ae@aol.com?bcc=6914917@bcc.hubspot.com" TargetMode="External"/><Relationship Id="rId23" Type="http://schemas.openxmlformats.org/officeDocument/2006/relationships/hyperlink" Target="https://app.hubspot.com/contacts/6914917/contact/105901/" TargetMode="External"/><Relationship Id="rId26" Type="http://schemas.openxmlformats.org/officeDocument/2006/relationships/hyperlink" Target="mailto:marinneamt4@gmail.com?bcc=6914917@bcc.hubspot.com" TargetMode="External"/><Relationship Id="rId25" Type="http://schemas.openxmlformats.org/officeDocument/2006/relationships/hyperlink" Target="https://app.hubspot.com/contacts/6914917/contact/105601/" TargetMode="External"/><Relationship Id="rId28" Type="http://schemas.openxmlformats.org/officeDocument/2006/relationships/hyperlink" Target="mailto:hahafatima13@hotmail.fr?bcc=6914917@bcc.hubspot.com" TargetMode="External"/><Relationship Id="rId27" Type="http://schemas.openxmlformats.org/officeDocument/2006/relationships/hyperlink" Target="https://app.hubspot.com/contacts/6914917/contact/105501/" TargetMode="External"/><Relationship Id="rId29" Type="http://schemas.openxmlformats.org/officeDocument/2006/relationships/hyperlink" Target="https://app.hubspot.com/contacts/6914917/contact/105551/" TargetMode="External"/><Relationship Id="rId11" Type="http://schemas.openxmlformats.org/officeDocument/2006/relationships/hyperlink" Target="https://app.hubspot.com/contacts/6914917/contact/105801/" TargetMode="External"/><Relationship Id="rId10" Type="http://schemas.openxmlformats.org/officeDocument/2006/relationships/hyperlink" Target="mailto:5978@hotmail.com?bcc=6914917@bcc.hubspot.com" TargetMode="External"/><Relationship Id="rId13" Type="http://schemas.openxmlformats.org/officeDocument/2006/relationships/hyperlink" Target="https://app.hubspot.com/contacts/6914917/contact/106001/" TargetMode="External"/><Relationship Id="rId12" Type="http://schemas.openxmlformats.org/officeDocument/2006/relationships/hyperlink" Target="mailto:soul_touch@hotmail.com?bcc=6914917@bcc.hubspot.com" TargetMode="External"/><Relationship Id="rId15" Type="http://schemas.openxmlformats.org/officeDocument/2006/relationships/hyperlink" Target="https://app.hubspot.com/contacts/6914917/contact/106151/" TargetMode="External"/><Relationship Id="rId14" Type="http://schemas.openxmlformats.org/officeDocument/2006/relationships/hyperlink" Target="mailto:imdad_53@yahoo.com?bcc=6914917@bcc.hubspot.com" TargetMode="External"/><Relationship Id="rId17" Type="http://schemas.openxmlformats.org/officeDocument/2006/relationships/hyperlink" Target="https://app.hubspot.com/contacts/6914917/contact/106201/" TargetMode="External"/><Relationship Id="rId16" Type="http://schemas.openxmlformats.org/officeDocument/2006/relationships/hyperlink" Target="mailto:pinky1305@hotmail.com.tw?bcc=6914917@bcc.hubspot.com" TargetMode="External"/><Relationship Id="rId19" Type="http://schemas.openxmlformats.org/officeDocument/2006/relationships/hyperlink" Target="https://app.hubspot.com/contacts/6914917/contact/106051/" TargetMode="External"/><Relationship Id="rId18" Type="http://schemas.openxmlformats.org/officeDocument/2006/relationships/hyperlink" Target="mailto:charleskentwang@gmail.com?bcc=6914917@bcc.hubspot.com" TargetMode="External"/><Relationship Id="rId1" Type="http://schemas.openxmlformats.org/officeDocument/2006/relationships/hyperlink" Target="https://app.hubspot.com/contacts/6914917/contact/106401/" TargetMode="External"/><Relationship Id="rId2" Type="http://schemas.openxmlformats.org/officeDocument/2006/relationships/hyperlink" Target="mailto:hiya678@gmail.com?bcc=6914917@bcc.hubspot.com" TargetMode="External"/><Relationship Id="rId3" Type="http://schemas.openxmlformats.org/officeDocument/2006/relationships/hyperlink" Target="https://app.hubspot.com/contacts/6914917/contact/106351/" TargetMode="External"/><Relationship Id="rId4" Type="http://schemas.openxmlformats.org/officeDocument/2006/relationships/hyperlink" Target="mailto:sos-alsamahi1@hotmail.com?bcc=6914917@bcc.hubspot.com" TargetMode="External"/><Relationship Id="rId9" Type="http://schemas.openxmlformats.org/officeDocument/2006/relationships/hyperlink" Target="https://app.hubspot.com/contacts/6914917/contact/106101/" TargetMode="External"/><Relationship Id="rId5" Type="http://schemas.openxmlformats.org/officeDocument/2006/relationships/hyperlink" Target="https://app.hubspot.com/contacts/6914917/contact/106301/" TargetMode="External"/><Relationship Id="rId6" Type="http://schemas.openxmlformats.org/officeDocument/2006/relationships/hyperlink" Target="mailto:fameelaa20@gmail.com?bcc=6914917@bcc.hubspot.com" TargetMode="External"/><Relationship Id="rId7" Type="http://schemas.openxmlformats.org/officeDocument/2006/relationships/hyperlink" Target="https://app.hubspot.com/contacts/6914917/contact/106251/" TargetMode="External"/><Relationship Id="rId8" Type="http://schemas.openxmlformats.org/officeDocument/2006/relationships/hyperlink" Target="mailto:joan322lee@gmail.com?bcc=6914917@bcc.hubspot.com" TargetMode="External"/><Relationship Id="rId62" Type="http://schemas.openxmlformats.org/officeDocument/2006/relationships/hyperlink" Target="mailto:nupur.murudkar@yahoo.com?bcc=6914917@bcc.hubspot.com" TargetMode="External"/><Relationship Id="rId61" Type="http://schemas.openxmlformats.org/officeDocument/2006/relationships/hyperlink" Target="https://app.hubspot.com/contacts/6914917/contact/25120/" TargetMode="External"/><Relationship Id="rId63" Type="http://schemas.openxmlformats.org/officeDocument/2006/relationships/drawing" Target="../drawings/drawing6.xml"/><Relationship Id="rId60" Type="http://schemas.openxmlformats.org/officeDocument/2006/relationships/hyperlink" Target="mailto:lung4356225@gmail.com?bcc=6914917@bcc.hubspot.com" TargetMode="External"/><Relationship Id="rId51" Type="http://schemas.openxmlformats.org/officeDocument/2006/relationships/hyperlink" Target="https://app.hubspot.com/contacts/6914917/contact/105251/" TargetMode="External"/><Relationship Id="rId50" Type="http://schemas.openxmlformats.org/officeDocument/2006/relationships/hyperlink" Target="mailto:ihabzamel@hotmail.com?bcc=6914917@bcc.hubspot.com" TargetMode="External"/><Relationship Id="rId53" Type="http://schemas.openxmlformats.org/officeDocument/2006/relationships/hyperlink" Target="https://app.hubspot.com/contacts/6914917/contact/105001/" TargetMode="External"/><Relationship Id="rId52" Type="http://schemas.openxmlformats.org/officeDocument/2006/relationships/hyperlink" Target="mailto:hsireen@gmail.com?bcc=6914917@bcc.hubspot.com" TargetMode="External"/><Relationship Id="rId55" Type="http://schemas.openxmlformats.org/officeDocument/2006/relationships/hyperlink" Target="https://app.hubspot.com/contacts/6914917/contact/105051/" TargetMode="External"/><Relationship Id="rId54" Type="http://schemas.openxmlformats.org/officeDocument/2006/relationships/hyperlink" Target="mailto:cebanearoslav28@gmail.com?bcc=6914917@bcc.hubspot.com" TargetMode="External"/><Relationship Id="rId57" Type="http://schemas.openxmlformats.org/officeDocument/2006/relationships/hyperlink" Target="https://app.hubspot.com/contacts/6914917/contact/104901/" TargetMode="External"/><Relationship Id="rId56" Type="http://schemas.openxmlformats.org/officeDocument/2006/relationships/hyperlink" Target="mailto:sanaikramyasser.qureshi@gmail.com?bcc=6914917@bcc.hubspot.com" TargetMode="External"/><Relationship Id="rId59" Type="http://schemas.openxmlformats.org/officeDocument/2006/relationships/hyperlink" Target="https://app.hubspot.com/contacts/6914917/contact/104951/" TargetMode="External"/><Relationship Id="rId58" Type="http://schemas.openxmlformats.org/officeDocument/2006/relationships/hyperlink" Target="mailto:rafeeqvattasseri@gmail.com?bcc=6914917@bcc.hubspot.com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mailto:ade8271@gmail.com?bcc=6914917@bcc.hubspot.com" TargetMode="External"/><Relationship Id="rId22" Type="http://schemas.openxmlformats.org/officeDocument/2006/relationships/hyperlink" Target="mailto:y052778940@gmail.com?bcc=6914917@bcc.hubspot.com" TargetMode="External"/><Relationship Id="rId21" Type="http://schemas.openxmlformats.org/officeDocument/2006/relationships/hyperlink" Target="https://app.hubspot.com/contacts/6914917/contact/103501/" TargetMode="External"/><Relationship Id="rId24" Type="http://schemas.openxmlformats.org/officeDocument/2006/relationships/hyperlink" Target="mailto:chang23364993@gmail.com?bcc=6914917@bcc.hubspot.com" TargetMode="External"/><Relationship Id="rId23" Type="http://schemas.openxmlformats.org/officeDocument/2006/relationships/hyperlink" Target="https://app.hubspot.com/contacts/6914917/contact/101401/" TargetMode="External"/><Relationship Id="rId25" Type="http://schemas.openxmlformats.org/officeDocument/2006/relationships/drawing" Target="../drawings/drawing7.xml"/><Relationship Id="rId11" Type="http://schemas.openxmlformats.org/officeDocument/2006/relationships/hyperlink" Target="https://app.hubspot.com/contacts/6914917/contact/105151/" TargetMode="External"/><Relationship Id="rId10" Type="http://schemas.openxmlformats.org/officeDocument/2006/relationships/hyperlink" Target="mailto:mmariane@hotmail.com?bcc=6914917@bcc.hubspot.com" TargetMode="External"/><Relationship Id="rId13" Type="http://schemas.openxmlformats.org/officeDocument/2006/relationships/hyperlink" Target="https://app.hubspot.com/contacts/6914917/contact/105301/" TargetMode="External"/><Relationship Id="rId12" Type="http://schemas.openxmlformats.org/officeDocument/2006/relationships/hyperlink" Target="mailto:fadwa.tabaloc@gmail.com?bcc=6914917@bcc.hubspot.com" TargetMode="External"/><Relationship Id="rId15" Type="http://schemas.openxmlformats.org/officeDocument/2006/relationships/hyperlink" Target="https://app.hubspot.com/contacts/6914917/contact/104301/" TargetMode="External"/><Relationship Id="rId14" Type="http://schemas.openxmlformats.org/officeDocument/2006/relationships/hyperlink" Target="mailto:ourora1@yahoo.com?bcc=6914917@bcc.hubspot.com" TargetMode="External"/><Relationship Id="rId17" Type="http://schemas.openxmlformats.org/officeDocument/2006/relationships/hyperlink" Target="https://app.hubspot.com/contacts/6914917/contact/104851/" TargetMode="External"/><Relationship Id="rId16" Type="http://schemas.openxmlformats.org/officeDocument/2006/relationships/hyperlink" Target="mailto:drarainibrahim@yahoo.com?bcc=6914917@bcc.hubspot.com" TargetMode="External"/><Relationship Id="rId19" Type="http://schemas.openxmlformats.org/officeDocument/2006/relationships/hyperlink" Target="https://app.hubspot.com/contacts/6914917/contact/104751/" TargetMode="External"/><Relationship Id="rId18" Type="http://schemas.openxmlformats.org/officeDocument/2006/relationships/hyperlink" Target="mailto:alam8399@gmail.com?bcc=6914917@bcc.hubspot.com" TargetMode="External"/><Relationship Id="rId1" Type="http://schemas.openxmlformats.org/officeDocument/2006/relationships/hyperlink" Target="https://app.hubspot.com/contacts/6914917/contact/106401/" TargetMode="External"/><Relationship Id="rId2" Type="http://schemas.openxmlformats.org/officeDocument/2006/relationships/hyperlink" Target="mailto:hiya678@gmail.com?bcc=6914917@bcc.hubspot.com" TargetMode="External"/><Relationship Id="rId3" Type="http://schemas.openxmlformats.org/officeDocument/2006/relationships/hyperlink" Target="https://app.hubspot.com/contacts/6914917/contact/106351/" TargetMode="External"/><Relationship Id="rId4" Type="http://schemas.openxmlformats.org/officeDocument/2006/relationships/hyperlink" Target="mailto:sos-alsamahi1@hotmail.com?bcc=6914917@bcc.hubspot.com" TargetMode="External"/><Relationship Id="rId9" Type="http://schemas.openxmlformats.org/officeDocument/2006/relationships/hyperlink" Target="https://app.hubspot.com/contacts/6914917/contact/105701/" TargetMode="External"/><Relationship Id="rId5" Type="http://schemas.openxmlformats.org/officeDocument/2006/relationships/hyperlink" Target="https://app.hubspot.com/contacts/6914917/contact/106301/" TargetMode="External"/><Relationship Id="rId6" Type="http://schemas.openxmlformats.org/officeDocument/2006/relationships/hyperlink" Target="mailto:fameelaa20@gmail.comu?bcc=6914917@bcc.hubspot.com" TargetMode="External"/><Relationship Id="rId7" Type="http://schemas.openxmlformats.org/officeDocument/2006/relationships/hyperlink" Target="https://app.hubspot.com/contacts/6914917/contact/106101/" TargetMode="External"/><Relationship Id="rId8" Type="http://schemas.openxmlformats.org/officeDocument/2006/relationships/hyperlink" Target="mailto:5978@hotmail.com?bcc=6914917@bcc.hubspo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1.14"/>
    <col customWidth="1" min="2" max="2" width="25.43"/>
    <col customWidth="1" min="3" max="4" width="29.29"/>
    <col customWidth="1" min="5" max="5" width="19.14"/>
    <col customWidth="1" min="6" max="6" width="24.43"/>
    <col customWidth="1" min="7" max="7" width="11.14"/>
    <col customWidth="1" min="9" max="9" width="20.4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ht="15.75" customHeight="1">
      <c r="A2" s="9" t="s">
        <v>8</v>
      </c>
      <c r="B2" s="9" t="s">
        <v>9</v>
      </c>
      <c r="C2" s="10" t="s">
        <v>10</v>
      </c>
      <c r="D2" s="11" t="s">
        <v>11</v>
      </c>
      <c r="E2" s="12">
        <f>+971562267628</f>
        <v>971562267628</v>
      </c>
      <c r="F2" s="13"/>
      <c r="G2" s="13"/>
      <c r="H2" s="14" t="s">
        <v>12</v>
      </c>
    </row>
    <row r="3" ht="15.75" customHeight="1">
      <c r="A3" s="9" t="s">
        <v>8</v>
      </c>
      <c r="B3" s="10" t="s">
        <v>13</v>
      </c>
      <c r="C3" s="15" t="s">
        <v>14</v>
      </c>
      <c r="D3" s="16" t="s">
        <v>15</v>
      </c>
      <c r="E3" s="17">
        <f>+971509230813</f>
        <v>971509230813</v>
      </c>
      <c r="F3" s="13"/>
      <c r="G3" s="13"/>
      <c r="H3" s="18" t="s">
        <v>16</v>
      </c>
    </row>
    <row r="4" ht="15.75" customHeight="1">
      <c r="A4" s="9" t="s">
        <v>8</v>
      </c>
      <c r="B4" s="10" t="s">
        <v>17</v>
      </c>
      <c r="C4" s="15" t="s">
        <v>18</v>
      </c>
      <c r="D4" s="16" t="s">
        <v>19</v>
      </c>
      <c r="E4" s="17">
        <f>+96551536710</f>
        <v>96551536710</v>
      </c>
      <c r="F4" s="13"/>
      <c r="G4" s="13"/>
      <c r="H4" s="14" t="s">
        <v>20</v>
      </c>
    </row>
    <row r="5" ht="15.75" hidden="1" customHeight="1">
      <c r="A5" s="9" t="s">
        <v>8</v>
      </c>
      <c r="B5" s="10" t="s">
        <v>21</v>
      </c>
      <c r="C5" s="15" t="s">
        <v>22</v>
      </c>
      <c r="D5" s="19" t="s">
        <v>23</v>
      </c>
      <c r="E5" s="17">
        <f>+923337395399</f>
        <v>923337395399</v>
      </c>
      <c r="F5" s="13"/>
      <c r="G5" s="13"/>
      <c r="H5" s="14" t="s">
        <v>24</v>
      </c>
    </row>
    <row r="6" ht="15.75" customHeight="1">
      <c r="A6" s="9" t="s">
        <v>8</v>
      </c>
      <c r="B6" s="9" t="s">
        <v>9</v>
      </c>
      <c r="C6" s="15" t="s">
        <v>25</v>
      </c>
      <c r="D6" s="16" t="s">
        <v>26</v>
      </c>
      <c r="E6" s="17">
        <f>+971582703588</f>
        <v>971582703588</v>
      </c>
      <c r="F6" s="13"/>
      <c r="G6" s="13"/>
      <c r="H6" s="18" t="s">
        <v>27</v>
      </c>
    </row>
    <row r="7" ht="15.75" customHeight="1">
      <c r="A7" s="9" t="s">
        <v>8</v>
      </c>
      <c r="B7" s="10" t="s">
        <v>28</v>
      </c>
      <c r="C7" s="15" t="s">
        <v>29</v>
      </c>
      <c r="D7" s="16" t="s">
        <v>30</v>
      </c>
      <c r="E7" s="17">
        <f>+886983437029</f>
        <v>886983437029</v>
      </c>
      <c r="F7" s="13"/>
      <c r="G7" s="13"/>
      <c r="H7" s="14" t="s">
        <v>31</v>
      </c>
    </row>
    <row r="8" ht="15.75" customHeight="1">
      <c r="A8" s="9" t="s">
        <v>8</v>
      </c>
      <c r="B8" s="10" t="s">
        <v>32</v>
      </c>
      <c r="C8" s="15" t="s">
        <v>33</v>
      </c>
      <c r="D8" s="16" t="s">
        <v>34</v>
      </c>
      <c r="E8" s="17">
        <f>+966553126271</f>
        <v>966553126271</v>
      </c>
      <c r="F8" s="13"/>
      <c r="G8" s="13"/>
      <c r="H8" s="18" t="s">
        <v>35</v>
      </c>
    </row>
    <row r="9" ht="15.75" customHeight="1">
      <c r="A9" s="9" t="s">
        <v>8</v>
      </c>
      <c r="B9" s="10" t="s">
        <v>32</v>
      </c>
      <c r="C9" s="15" t="s">
        <v>36</v>
      </c>
      <c r="D9" s="16" t="s">
        <v>37</v>
      </c>
      <c r="E9" s="17">
        <f>+9660535001056</f>
        <v>9660535001056</v>
      </c>
      <c r="F9" s="13"/>
      <c r="G9" s="13"/>
      <c r="H9" s="14" t="s">
        <v>38</v>
      </c>
    </row>
    <row r="10" ht="15.75" hidden="1" customHeight="1">
      <c r="A10" s="9" t="s">
        <v>8</v>
      </c>
      <c r="B10" s="10" t="s">
        <v>21</v>
      </c>
      <c r="C10" s="15" t="s">
        <v>39</v>
      </c>
      <c r="D10" s="19" t="s">
        <v>40</v>
      </c>
      <c r="E10" s="17">
        <f>+923332311922</f>
        <v>923332311922</v>
      </c>
      <c r="F10" s="13"/>
      <c r="G10" s="13"/>
      <c r="H10" s="14" t="s">
        <v>24</v>
      </c>
    </row>
    <row r="11" ht="15.75" customHeight="1">
      <c r="A11" s="9" t="s">
        <v>8</v>
      </c>
      <c r="B11" s="10" t="s">
        <v>32</v>
      </c>
      <c r="C11" s="15" t="s">
        <v>41</v>
      </c>
      <c r="D11" s="16" t="s">
        <v>42</v>
      </c>
      <c r="E11" s="17">
        <f>+96550111061</f>
        <v>96550111061</v>
      </c>
      <c r="F11" s="13"/>
      <c r="G11" s="13"/>
      <c r="H11" s="14" t="s">
        <v>43</v>
      </c>
    </row>
    <row r="12" ht="15.75" hidden="1" customHeight="1">
      <c r="A12" s="9" t="s">
        <v>8</v>
      </c>
      <c r="B12" s="10" t="s">
        <v>21</v>
      </c>
      <c r="C12" s="15" t="s">
        <v>44</v>
      </c>
      <c r="D12" s="19" t="s">
        <v>45</v>
      </c>
      <c r="E12" s="17">
        <f>+923402376183</f>
        <v>923402376183</v>
      </c>
      <c r="F12" s="13"/>
      <c r="G12" s="13"/>
      <c r="H12" s="14" t="s">
        <v>24</v>
      </c>
    </row>
    <row r="13" ht="15.75" customHeight="1">
      <c r="A13" s="9" t="s">
        <v>8</v>
      </c>
      <c r="B13" s="10" t="s">
        <v>46</v>
      </c>
      <c r="C13" s="15" t="s">
        <v>47</v>
      </c>
      <c r="D13" s="16" t="s">
        <v>48</v>
      </c>
      <c r="E13" s="17">
        <f>+9718489755</f>
        <v>9718489755</v>
      </c>
      <c r="F13" s="13"/>
      <c r="G13" s="13"/>
      <c r="H13" s="14" t="s">
        <v>49</v>
      </c>
    </row>
    <row r="14" ht="15.75" hidden="1" customHeight="1">
      <c r="A14" s="9" t="s">
        <v>8</v>
      </c>
      <c r="B14" s="10" t="s">
        <v>21</v>
      </c>
      <c r="C14" s="15" t="s">
        <v>50</v>
      </c>
      <c r="D14" s="19" t="s">
        <v>51</v>
      </c>
      <c r="E14" s="17">
        <f>+92332447766</f>
        <v>92332447766</v>
      </c>
      <c r="F14" s="13"/>
      <c r="G14" s="13"/>
      <c r="H14" s="14" t="s">
        <v>24</v>
      </c>
    </row>
    <row r="15" ht="15.75" hidden="1" customHeight="1">
      <c r="A15" s="9" t="s">
        <v>8</v>
      </c>
      <c r="B15" s="10" t="s">
        <v>21</v>
      </c>
      <c r="C15" s="15" t="s">
        <v>52</v>
      </c>
      <c r="D15" s="19" t="s">
        <v>53</v>
      </c>
      <c r="E15" s="17">
        <f>+923218434681</f>
        <v>923218434681</v>
      </c>
      <c r="F15" s="13"/>
      <c r="G15" s="13"/>
      <c r="H15" s="14" t="s">
        <v>24</v>
      </c>
    </row>
    <row r="16" ht="15.75" hidden="1" customHeight="1">
      <c r="A16" s="9" t="s">
        <v>8</v>
      </c>
      <c r="B16" s="10" t="s">
        <v>21</v>
      </c>
      <c r="C16" s="15" t="s">
        <v>54</v>
      </c>
      <c r="D16" s="19" t="s">
        <v>55</v>
      </c>
      <c r="E16" s="17">
        <f>+923003399448</f>
        <v>923003399448</v>
      </c>
      <c r="F16" s="13"/>
      <c r="G16" s="13"/>
      <c r="H16" s="14" t="s">
        <v>56</v>
      </c>
    </row>
    <row r="17" ht="15.75" customHeight="1">
      <c r="A17" s="9" t="s">
        <v>8</v>
      </c>
      <c r="B17" s="10" t="s">
        <v>32</v>
      </c>
      <c r="C17" s="15" t="s">
        <v>57</v>
      </c>
      <c r="D17" s="16" t="s">
        <v>58</v>
      </c>
      <c r="E17" s="17">
        <f>+971562651373</f>
        <v>971562651373</v>
      </c>
      <c r="F17" s="13"/>
      <c r="G17" s="13"/>
      <c r="H17" s="14" t="s">
        <v>59</v>
      </c>
    </row>
    <row r="18" ht="15.75" hidden="1" customHeight="1">
      <c r="A18" s="9" t="s">
        <v>8</v>
      </c>
      <c r="B18" s="10" t="s">
        <v>21</v>
      </c>
      <c r="C18" s="15" t="s">
        <v>60</v>
      </c>
      <c r="D18" s="19" t="s">
        <v>61</v>
      </c>
      <c r="E18" s="17">
        <f>+923133986768</f>
        <v>923133986768</v>
      </c>
      <c r="F18" s="13"/>
      <c r="G18" s="13"/>
      <c r="H18" s="14" t="s">
        <v>56</v>
      </c>
    </row>
    <row r="19" ht="15.75" hidden="1" customHeight="1">
      <c r="A19" s="9" t="s">
        <v>8</v>
      </c>
      <c r="B19" s="10" t="s">
        <v>21</v>
      </c>
      <c r="C19" s="15" t="s">
        <v>62</v>
      </c>
      <c r="D19" s="19" t="s">
        <v>63</v>
      </c>
      <c r="E19" s="17">
        <f>+923002921765</f>
        <v>923002921765</v>
      </c>
      <c r="F19" s="13"/>
      <c r="G19" s="13"/>
      <c r="H19" s="14" t="s">
        <v>56</v>
      </c>
    </row>
    <row r="20" ht="15.75" customHeight="1">
      <c r="A20" s="9" t="s">
        <v>8</v>
      </c>
      <c r="B20" s="10" t="s">
        <v>32</v>
      </c>
      <c r="C20" s="15" t="s">
        <v>64</v>
      </c>
      <c r="D20" s="16" t="s">
        <v>65</v>
      </c>
      <c r="E20" s="17">
        <f>+918826003232</f>
        <v>918826003232</v>
      </c>
      <c r="F20" s="13"/>
      <c r="G20" s="13"/>
      <c r="H20" s="14" t="s">
        <v>66</v>
      </c>
    </row>
    <row r="21" ht="15.75" customHeight="1">
      <c r="A21" s="9" t="s">
        <v>8</v>
      </c>
      <c r="B21" s="10" t="s">
        <v>67</v>
      </c>
      <c r="C21" s="15" t="s">
        <v>68</v>
      </c>
      <c r="D21" s="16" t="s">
        <v>69</v>
      </c>
      <c r="E21" s="17">
        <f>+9710522936819</f>
        <v>9710522936819</v>
      </c>
      <c r="F21" s="13"/>
      <c r="G21" s="13"/>
      <c r="H21" s="14" t="s">
        <v>66</v>
      </c>
    </row>
    <row r="22" ht="15.75" customHeight="1">
      <c r="A22" s="9" t="s">
        <v>8</v>
      </c>
      <c r="B22" s="10" t="s">
        <v>32</v>
      </c>
      <c r="C22" s="15" t="s">
        <v>70</v>
      </c>
      <c r="D22" s="16" t="s">
        <v>71</v>
      </c>
      <c r="E22" s="17">
        <f>+971505391170</f>
        <v>971505391170</v>
      </c>
      <c r="F22" s="13"/>
      <c r="G22" s="13"/>
      <c r="H22" s="18" t="s">
        <v>16</v>
      </c>
    </row>
    <row r="23" ht="15.75" customHeight="1">
      <c r="A23" s="9" t="s">
        <v>8</v>
      </c>
      <c r="B23" s="10" t="s">
        <v>67</v>
      </c>
      <c r="C23" s="15" t="s">
        <v>72</v>
      </c>
      <c r="D23" s="16" t="s">
        <v>73</v>
      </c>
      <c r="E23" s="17">
        <f>+971505358746</f>
        <v>971505358746</v>
      </c>
      <c r="F23" s="13"/>
      <c r="G23" s="13"/>
      <c r="H23" s="14" t="s">
        <v>43</v>
      </c>
    </row>
    <row r="24" ht="15.75" customHeight="1">
      <c r="A24" s="9" t="s">
        <v>8</v>
      </c>
      <c r="B24" s="10" t="s">
        <v>74</v>
      </c>
      <c r="C24" s="15" t="s">
        <v>75</v>
      </c>
      <c r="D24" s="16" t="s">
        <v>76</v>
      </c>
      <c r="E24" s="17">
        <f>+971506458603</f>
        <v>971506458603</v>
      </c>
      <c r="F24" s="14" t="s">
        <v>77</v>
      </c>
      <c r="G24" s="13"/>
      <c r="H24" s="20"/>
    </row>
    <row r="25" ht="15.75" hidden="1" customHeight="1">
      <c r="A25" s="9" t="s">
        <v>8</v>
      </c>
      <c r="B25" s="10" t="s">
        <v>21</v>
      </c>
      <c r="C25" s="15" t="s">
        <v>78</v>
      </c>
      <c r="D25" s="19" t="s">
        <v>79</v>
      </c>
      <c r="E25" s="17">
        <f>+923000061121</f>
        <v>923000061121</v>
      </c>
      <c r="F25" s="14" t="s">
        <v>56</v>
      </c>
      <c r="G25" s="13"/>
      <c r="H25" s="20"/>
    </row>
    <row r="26" ht="15.75" customHeight="1">
      <c r="A26" s="9" t="s">
        <v>8</v>
      </c>
      <c r="B26" s="10" t="s">
        <v>28</v>
      </c>
      <c r="C26" s="15" t="s">
        <v>80</v>
      </c>
      <c r="D26" s="16" t="s">
        <v>81</v>
      </c>
      <c r="E26" s="17">
        <f>+97333179652</f>
        <v>97333179652</v>
      </c>
      <c r="F26" s="14"/>
      <c r="G26" s="13"/>
      <c r="H26" s="18" t="s">
        <v>82</v>
      </c>
    </row>
    <row r="27" ht="15.75" customHeight="1">
      <c r="A27" s="9" t="s">
        <v>8</v>
      </c>
      <c r="B27" s="10" t="s">
        <v>28</v>
      </c>
      <c r="C27" s="15" t="s">
        <v>83</v>
      </c>
      <c r="D27" s="16" t="s">
        <v>84</v>
      </c>
      <c r="E27" s="17">
        <v>9.78534054E8</v>
      </c>
      <c r="F27" s="13"/>
      <c r="G27" s="13"/>
      <c r="H27" s="14" t="s">
        <v>85</v>
      </c>
    </row>
    <row r="28" ht="15.75" customHeight="1">
      <c r="A28" s="9" t="s">
        <v>8</v>
      </c>
      <c r="B28" s="10" t="s">
        <v>9</v>
      </c>
      <c r="C28" s="15" t="s">
        <v>86</v>
      </c>
      <c r="D28" s="16" t="s">
        <v>87</v>
      </c>
      <c r="E28" s="17">
        <f>+971502214902</f>
        <v>971502214902</v>
      </c>
      <c r="F28" s="13"/>
      <c r="G28" s="13"/>
      <c r="H28" s="14" t="s">
        <v>88</v>
      </c>
    </row>
    <row r="29" ht="15.75" customHeight="1">
      <c r="A29" s="9" t="s">
        <v>8</v>
      </c>
      <c r="B29" s="10" t="s">
        <v>13</v>
      </c>
      <c r="C29" s="15" t="s">
        <v>89</v>
      </c>
      <c r="D29" s="16" t="s">
        <v>90</v>
      </c>
      <c r="E29" s="17">
        <f>+966504240137</f>
        <v>966504240137</v>
      </c>
      <c r="F29" s="13"/>
      <c r="G29" s="13"/>
      <c r="H29" s="21" t="s">
        <v>66</v>
      </c>
    </row>
    <row r="30" ht="15.75" customHeight="1">
      <c r="A30" s="9" t="s">
        <v>8</v>
      </c>
      <c r="B30" s="10" t="s">
        <v>17</v>
      </c>
      <c r="C30" s="15" t="s">
        <v>91</v>
      </c>
      <c r="D30" s="16" t="s">
        <v>92</v>
      </c>
      <c r="E30" s="17">
        <f>+9710558893845</f>
        <v>9710558893845</v>
      </c>
      <c r="F30" s="13"/>
      <c r="G30" s="13"/>
      <c r="H30" s="14" t="s">
        <v>66</v>
      </c>
    </row>
    <row r="31" ht="15.75" customHeight="1">
      <c r="A31" s="9" t="s">
        <v>8</v>
      </c>
      <c r="B31" s="10" t="s">
        <v>17</v>
      </c>
      <c r="C31" s="15" t="s">
        <v>93</v>
      </c>
      <c r="D31" s="16" t="s">
        <v>94</v>
      </c>
      <c r="E31" s="17">
        <f>+971502294007</f>
        <v>971502294007</v>
      </c>
      <c r="F31" s="13"/>
      <c r="G31" s="13"/>
    </row>
    <row r="32" ht="15.75" customHeight="1">
      <c r="A32" s="9" t="s">
        <v>8</v>
      </c>
      <c r="B32" s="10" t="s">
        <v>17</v>
      </c>
      <c r="C32" s="15" t="s">
        <v>95</v>
      </c>
      <c r="D32" s="16" t="s">
        <v>96</v>
      </c>
      <c r="E32" s="17">
        <f>+96550747384</f>
        <v>96550747384</v>
      </c>
      <c r="G32" s="13"/>
      <c r="H32" s="14" t="s">
        <v>35</v>
      </c>
    </row>
    <row r="33" ht="15.75" customHeight="1">
      <c r="A33" s="9" t="s">
        <v>8</v>
      </c>
      <c r="B33" s="10" t="s">
        <v>17</v>
      </c>
      <c r="C33" s="15" t="s">
        <v>97</v>
      </c>
      <c r="D33" s="16" t="s">
        <v>98</v>
      </c>
      <c r="E33" s="17">
        <f>+96560913748</f>
        <v>96560913748</v>
      </c>
      <c r="F33" s="14"/>
      <c r="G33" s="13"/>
      <c r="H33" s="20" t="s">
        <v>43</v>
      </c>
    </row>
    <row r="34" ht="15.75" customHeight="1">
      <c r="A34" s="9" t="s">
        <v>8</v>
      </c>
      <c r="B34" s="10" t="s">
        <v>17</v>
      </c>
      <c r="C34" s="15" t="s">
        <v>99</v>
      </c>
      <c r="D34" s="16" t="s">
        <v>100</v>
      </c>
      <c r="E34" s="17">
        <f>+971556208711</f>
        <v>971556208711</v>
      </c>
      <c r="F34" s="14"/>
      <c r="G34" s="13"/>
      <c r="H34" s="20" t="s">
        <v>20</v>
      </c>
    </row>
    <row r="35" ht="15.75" customHeight="1">
      <c r="A35" s="9" t="s">
        <v>8</v>
      </c>
      <c r="B35" s="10" t="s">
        <v>32</v>
      </c>
      <c r="C35" s="15" t="s">
        <v>101</v>
      </c>
      <c r="D35" s="16" t="s">
        <v>102</v>
      </c>
      <c r="E35" s="17">
        <f>+270614007914</f>
        <v>270614007914</v>
      </c>
      <c r="F35" s="14"/>
      <c r="G35" s="13"/>
      <c r="H35" s="20" t="s">
        <v>59</v>
      </c>
    </row>
    <row r="36" ht="15.75" customHeight="1">
      <c r="A36" s="20" t="s">
        <v>8</v>
      </c>
      <c r="B36" s="22" t="s">
        <v>28</v>
      </c>
      <c r="C36" s="23" t="s">
        <v>103</v>
      </c>
      <c r="D36" s="16" t="s">
        <v>104</v>
      </c>
      <c r="E36" s="17">
        <f>+886955885581</f>
        <v>886955885581</v>
      </c>
      <c r="F36" s="14"/>
      <c r="G36" s="13"/>
      <c r="H36" s="20" t="s">
        <v>31</v>
      </c>
    </row>
    <row r="37" ht="15.75" customHeight="1">
      <c r="A37" s="24"/>
      <c r="B37" s="24"/>
      <c r="C37" s="25"/>
      <c r="D37" s="26"/>
      <c r="E37" s="27"/>
      <c r="F37" s="28"/>
    </row>
    <row r="38" ht="15.75" customHeight="1">
      <c r="A38" s="29"/>
      <c r="B38" s="29"/>
      <c r="C38" s="25"/>
      <c r="D38" s="26"/>
      <c r="E38" s="27"/>
      <c r="F38" s="28"/>
    </row>
    <row r="39" ht="15.75" customHeight="1">
      <c r="A39" s="29"/>
      <c r="B39" s="29"/>
      <c r="C39" s="25"/>
      <c r="D39" s="26"/>
      <c r="E39" s="27"/>
      <c r="F39" s="28"/>
    </row>
    <row r="40" ht="15.75" customHeight="1">
      <c r="A40" s="29"/>
      <c r="B40" s="29"/>
      <c r="C40" s="25"/>
      <c r="D40" s="26"/>
      <c r="E40" s="27"/>
      <c r="F40" s="28"/>
    </row>
    <row r="41" ht="15.75" customHeight="1">
      <c r="A41" s="29"/>
      <c r="B41" s="29"/>
      <c r="C41" s="25"/>
      <c r="D41" s="26"/>
      <c r="E41" s="27"/>
      <c r="F41" s="28"/>
    </row>
    <row r="42" ht="15.75" customHeight="1">
      <c r="A42" s="29"/>
      <c r="B42" s="29"/>
      <c r="C42" s="25"/>
      <c r="D42" s="26"/>
      <c r="E42" s="27"/>
      <c r="F42" s="28"/>
    </row>
    <row r="43" ht="15.75" customHeight="1">
      <c r="A43" s="29"/>
      <c r="B43" s="29"/>
      <c r="C43" s="25"/>
      <c r="D43" s="26"/>
      <c r="E43" s="27"/>
      <c r="F43" s="28"/>
    </row>
    <row r="44" ht="15.75" customHeight="1">
      <c r="A44" s="29"/>
      <c r="B44" s="29"/>
      <c r="C44" s="25"/>
      <c r="D44" s="26"/>
      <c r="E44" s="27"/>
      <c r="F44" s="28"/>
    </row>
    <row r="45" ht="15.75" customHeight="1">
      <c r="A45" s="29"/>
      <c r="B45" s="29"/>
      <c r="C45" s="25"/>
      <c r="D45" s="26"/>
      <c r="E45" s="27"/>
      <c r="F45" s="28"/>
    </row>
    <row r="46" ht="15.75" customHeight="1">
      <c r="A46" s="29"/>
      <c r="B46" s="29"/>
      <c r="C46" s="25"/>
      <c r="D46" s="26"/>
      <c r="E46" s="27"/>
      <c r="F46" s="28"/>
    </row>
    <row r="47" ht="15.75" customHeight="1">
      <c r="A47" s="29"/>
      <c r="B47" s="29"/>
      <c r="C47" s="25"/>
      <c r="D47" s="26"/>
      <c r="E47" s="27"/>
      <c r="F47" s="28"/>
    </row>
    <row r="48" ht="15.75" customHeight="1">
      <c r="A48" s="29"/>
      <c r="B48" s="29"/>
      <c r="C48" s="25"/>
      <c r="D48" s="26"/>
      <c r="E48" s="27"/>
      <c r="F48" s="28"/>
    </row>
    <row r="49" ht="15.75" customHeight="1">
      <c r="A49" s="29"/>
      <c r="B49" s="29"/>
      <c r="C49" s="25"/>
      <c r="D49" s="26"/>
      <c r="E49" s="27"/>
      <c r="F49" s="28"/>
    </row>
    <row r="50" ht="15.75" customHeight="1">
      <c r="A50" s="29"/>
      <c r="B50" s="29"/>
      <c r="C50" s="25"/>
      <c r="D50" s="26"/>
      <c r="E50" s="27"/>
      <c r="F50" s="28"/>
    </row>
    <row r="51" ht="15.75" customHeight="1">
      <c r="A51" s="29"/>
      <c r="B51" s="29"/>
      <c r="C51" s="25"/>
      <c r="D51" s="26"/>
      <c r="E51" s="27"/>
      <c r="F51" s="28"/>
    </row>
    <row r="52" ht="15.75" customHeight="1">
      <c r="A52" s="29"/>
      <c r="B52" s="29"/>
      <c r="C52" s="25"/>
      <c r="D52" s="26"/>
      <c r="E52" s="27"/>
      <c r="F52" s="28"/>
    </row>
    <row r="53" ht="15.75" customHeight="1">
      <c r="A53" s="29"/>
      <c r="B53" s="29"/>
      <c r="C53" s="25"/>
      <c r="D53" s="26"/>
      <c r="E53" s="27"/>
      <c r="F53" s="28"/>
    </row>
    <row r="54" ht="15.75" customHeight="1">
      <c r="A54" s="29"/>
      <c r="B54" s="29"/>
      <c r="C54" s="25"/>
      <c r="D54" s="26"/>
      <c r="E54" s="27"/>
      <c r="F54" s="28"/>
    </row>
    <row r="55" ht="15.75" customHeight="1">
      <c r="A55" s="29"/>
      <c r="B55" s="29"/>
      <c r="C55" s="25"/>
      <c r="D55" s="26"/>
      <c r="E55" s="27"/>
      <c r="F55" s="28"/>
    </row>
    <row r="56" ht="15.75" customHeight="1">
      <c r="A56" s="29"/>
      <c r="B56" s="29"/>
      <c r="C56" s="25"/>
      <c r="D56" s="26"/>
      <c r="E56" s="27"/>
      <c r="F56" s="28"/>
    </row>
    <row r="57" ht="15.75" customHeight="1">
      <c r="A57" s="29"/>
      <c r="B57" s="29"/>
      <c r="C57" s="25"/>
      <c r="D57" s="26"/>
      <c r="E57" s="27"/>
      <c r="F57" s="28"/>
    </row>
    <row r="58" ht="15.75" customHeight="1">
      <c r="A58" s="29"/>
      <c r="B58" s="29"/>
      <c r="C58" s="25"/>
      <c r="D58" s="26"/>
      <c r="E58" s="27"/>
      <c r="F58" s="28"/>
    </row>
    <row r="59" ht="15.75" customHeight="1">
      <c r="A59" s="29"/>
      <c r="B59" s="29"/>
      <c r="C59" s="25"/>
      <c r="D59" s="26"/>
      <c r="E59" s="27"/>
      <c r="F59" s="28"/>
    </row>
    <row r="60" ht="15.75" customHeight="1">
      <c r="A60" s="29"/>
      <c r="B60" s="29"/>
      <c r="C60" s="25"/>
      <c r="D60" s="26"/>
      <c r="E60" s="27"/>
      <c r="F60" s="28"/>
    </row>
    <row r="61" ht="15.75" customHeight="1">
      <c r="A61" s="29"/>
      <c r="B61" s="29"/>
      <c r="C61" s="25"/>
      <c r="D61" s="26"/>
      <c r="E61" s="27"/>
      <c r="F61" s="28"/>
    </row>
    <row r="62" ht="15.75" customHeight="1">
      <c r="A62" s="29"/>
      <c r="B62" s="29"/>
      <c r="C62" s="25"/>
      <c r="D62" s="26"/>
      <c r="E62" s="27"/>
      <c r="F62" s="28"/>
    </row>
    <row r="63" ht="15.75" customHeight="1">
      <c r="A63" s="29"/>
      <c r="B63" s="29"/>
      <c r="C63" s="25"/>
      <c r="D63" s="26"/>
      <c r="E63" s="27"/>
      <c r="F63" s="28"/>
    </row>
    <row r="64" ht="15.75" customHeight="1">
      <c r="A64" s="29"/>
      <c r="B64" s="29"/>
      <c r="C64" s="25"/>
      <c r="D64" s="26"/>
      <c r="E64" s="27"/>
      <c r="F64" s="28"/>
    </row>
    <row r="65" ht="15.75" customHeight="1">
      <c r="A65" s="29"/>
      <c r="B65" s="29"/>
      <c r="C65" s="25"/>
      <c r="D65" s="26"/>
      <c r="E65" s="27"/>
      <c r="F65" s="28"/>
    </row>
    <row r="66" ht="15.75" customHeight="1">
      <c r="A66" s="29"/>
      <c r="B66" s="29"/>
      <c r="C66" s="25"/>
      <c r="D66" s="26"/>
      <c r="E66" s="27"/>
      <c r="F66" s="28"/>
    </row>
    <row r="67" ht="15.75" customHeight="1">
      <c r="A67" s="29"/>
      <c r="B67" s="29"/>
      <c r="C67" s="25"/>
      <c r="D67" s="26"/>
      <c r="E67" s="27"/>
      <c r="F67" s="28"/>
    </row>
    <row r="68" ht="15.75" customHeight="1">
      <c r="A68" s="29"/>
      <c r="B68" s="29"/>
      <c r="C68" s="25"/>
      <c r="D68" s="26"/>
      <c r="E68" s="27"/>
      <c r="F68" s="28"/>
    </row>
    <row r="69" ht="15.75" customHeight="1">
      <c r="A69" s="29"/>
      <c r="B69" s="29"/>
      <c r="C69" s="25"/>
      <c r="D69" s="26"/>
      <c r="E69" s="27"/>
      <c r="F69" s="28"/>
    </row>
    <row r="70" ht="15.75" customHeight="1">
      <c r="A70" s="29"/>
      <c r="B70" s="29"/>
      <c r="C70" s="25"/>
      <c r="D70" s="26"/>
      <c r="E70" s="27"/>
      <c r="F70" s="28"/>
    </row>
    <row r="71" ht="15.75" customHeight="1">
      <c r="A71" s="29"/>
      <c r="B71" s="29"/>
      <c r="C71" s="25"/>
      <c r="D71" s="26"/>
      <c r="E71" s="27"/>
      <c r="F71" s="28"/>
    </row>
    <row r="72" ht="15.75" customHeight="1">
      <c r="A72" s="29"/>
      <c r="B72" s="29"/>
      <c r="C72" s="25"/>
      <c r="D72" s="26"/>
      <c r="E72" s="27"/>
      <c r="F72" s="28"/>
    </row>
    <row r="73" ht="15.75" customHeight="1">
      <c r="A73" s="29"/>
      <c r="B73" s="29"/>
      <c r="C73" s="25"/>
      <c r="D73" s="26"/>
      <c r="E73" s="27"/>
      <c r="F73" s="28"/>
    </row>
    <row r="74" ht="15.75" customHeight="1">
      <c r="A74" s="29"/>
      <c r="B74" s="29"/>
      <c r="C74" s="25"/>
      <c r="D74" s="26"/>
      <c r="E74" s="27"/>
      <c r="F74" s="28"/>
    </row>
    <row r="75" ht="15.75" customHeight="1">
      <c r="A75" s="29"/>
      <c r="B75" s="29"/>
      <c r="C75" s="25"/>
      <c r="D75" s="26"/>
      <c r="E75" s="27"/>
      <c r="F75" s="28"/>
    </row>
    <row r="76" ht="15.75" customHeight="1">
      <c r="A76" s="29"/>
      <c r="B76" s="29"/>
      <c r="C76" s="25"/>
      <c r="D76" s="26"/>
      <c r="E76" s="27"/>
      <c r="F76" s="28"/>
    </row>
    <row r="77" ht="15.75" customHeight="1">
      <c r="A77" s="29"/>
      <c r="B77" s="29"/>
      <c r="C77" s="25"/>
      <c r="D77" s="26"/>
      <c r="E77" s="27"/>
      <c r="F77" s="28"/>
    </row>
    <row r="78" ht="15.75" customHeight="1">
      <c r="A78" s="29"/>
      <c r="B78" s="29"/>
      <c r="C78" s="25"/>
      <c r="D78" s="26"/>
      <c r="E78" s="27"/>
      <c r="F78" s="28"/>
    </row>
    <row r="79" ht="15.75" customHeight="1">
      <c r="A79" s="29"/>
      <c r="B79" s="29"/>
      <c r="C79" s="25"/>
      <c r="D79" s="26"/>
      <c r="E79" s="27"/>
      <c r="F79" s="28"/>
    </row>
    <row r="80" ht="15.75" customHeight="1">
      <c r="A80" s="29"/>
      <c r="B80" s="29"/>
      <c r="C80" s="25"/>
      <c r="D80" s="26"/>
      <c r="E80" s="27"/>
      <c r="F80" s="28"/>
    </row>
    <row r="81" ht="15.75" customHeight="1">
      <c r="A81" s="29"/>
      <c r="B81" s="29"/>
      <c r="C81" s="25"/>
      <c r="D81" s="26"/>
      <c r="E81" s="27"/>
      <c r="F81" s="28"/>
    </row>
    <row r="82" ht="15.75" customHeight="1">
      <c r="A82" s="29"/>
      <c r="B82" s="29"/>
      <c r="C82" s="25"/>
      <c r="D82" s="26"/>
      <c r="E82" s="27"/>
      <c r="F82" s="28"/>
    </row>
    <row r="83" ht="15.75" customHeight="1">
      <c r="A83" s="29"/>
      <c r="B83" s="29"/>
      <c r="C83" s="25"/>
      <c r="D83" s="26"/>
      <c r="E83" s="27"/>
      <c r="F83" s="28"/>
    </row>
    <row r="84" ht="15.75" customHeight="1">
      <c r="A84" s="29"/>
      <c r="B84" s="29"/>
      <c r="C84" s="25"/>
      <c r="D84" s="26"/>
      <c r="E84" s="27"/>
      <c r="F84" s="28"/>
    </row>
    <row r="85" ht="15.75" customHeight="1">
      <c r="A85" s="29"/>
      <c r="B85" s="29"/>
      <c r="C85" s="25"/>
      <c r="D85" s="26"/>
      <c r="E85" s="27"/>
      <c r="F85" s="28"/>
    </row>
    <row r="86" ht="15.75" customHeight="1">
      <c r="A86" s="29"/>
      <c r="B86" s="29"/>
      <c r="C86" s="25"/>
      <c r="D86" s="26"/>
      <c r="E86" s="27"/>
      <c r="F86" s="28"/>
    </row>
    <row r="87" ht="15.75" customHeight="1">
      <c r="A87" s="29"/>
      <c r="B87" s="29"/>
      <c r="C87" s="25"/>
      <c r="D87" s="26"/>
      <c r="E87" s="27"/>
      <c r="F87" s="28"/>
    </row>
    <row r="88" ht="15.75" customHeight="1">
      <c r="A88" s="29"/>
      <c r="B88" s="29"/>
      <c r="C88" s="25"/>
      <c r="D88" s="26"/>
      <c r="E88" s="27"/>
      <c r="F88" s="28"/>
    </row>
    <row r="89" ht="15.75" customHeight="1">
      <c r="A89" s="29"/>
      <c r="B89" s="29"/>
      <c r="C89" s="25"/>
      <c r="D89" s="26"/>
      <c r="E89" s="27"/>
      <c r="F89" s="28"/>
    </row>
    <row r="90" ht="15.75" customHeight="1">
      <c r="A90" s="29"/>
      <c r="B90" s="29"/>
      <c r="C90" s="25"/>
      <c r="D90" s="26"/>
      <c r="E90" s="27"/>
      <c r="F90" s="28"/>
    </row>
    <row r="91" ht="15.75" customHeight="1">
      <c r="A91" s="29"/>
      <c r="B91" s="29"/>
      <c r="C91" s="25"/>
      <c r="D91" s="26"/>
      <c r="E91" s="27"/>
      <c r="F91" s="28"/>
    </row>
    <row r="92" ht="15.75" customHeight="1">
      <c r="A92" s="29"/>
      <c r="B92" s="29"/>
      <c r="C92" s="25"/>
      <c r="D92" s="26"/>
      <c r="E92" s="27"/>
      <c r="F92" s="28"/>
    </row>
    <row r="93" ht="15.75" customHeight="1">
      <c r="A93" s="29"/>
      <c r="B93" s="29"/>
      <c r="C93" s="25"/>
      <c r="D93" s="26"/>
      <c r="E93" s="27"/>
      <c r="F93" s="28"/>
    </row>
    <row r="94" ht="15.75" customHeight="1">
      <c r="A94" s="29"/>
      <c r="B94" s="29"/>
      <c r="C94" s="25"/>
      <c r="D94" s="26"/>
      <c r="E94" s="27"/>
      <c r="F94" s="28"/>
    </row>
    <row r="95" ht="15.75" customHeight="1">
      <c r="A95" s="29"/>
      <c r="B95" s="29"/>
      <c r="C95" s="25"/>
      <c r="D95" s="26"/>
      <c r="E95" s="27"/>
      <c r="F95" s="28"/>
    </row>
    <row r="96" ht="15.75" customHeight="1">
      <c r="A96" s="29"/>
      <c r="B96" s="29"/>
      <c r="C96" s="25"/>
      <c r="D96" s="26"/>
      <c r="E96" s="27"/>
      <c r="F96" s="28"/>
    </row>
    <row r="97" ht="15.75" customHeight="1">
      <c r="A97" s="29"/>
      <c r="B97" s="29"/>
      <c r="C97" s="25"/>
      <c r="D97" s="26"/>
      <c r="E97" s="27"/>
      <c r="F97" s="28"/>
    </row>
    <row r="98" ht="15.75" customHeight="1">
      <c r="A98" s="29"/>
      <c r="B98" s="29"/>
      <c r="C98" s="25"/>
      <c r="D98" s="26"/>
      <c r="E98" s="27"/>
      <c r="F98" s="28"/>
    </row>
    <row r="99" ht="15.75" customHeight="1">
      <c r="A99" s="29"/>
      <c r="B99" s="29"/>
      <c r="C99" s="25"/>
      <c r="D99" s="26"/>
      <c r="E99" s="27"/>
      <c r="F99" s="28"/>
    </row>
    <row r="100" ht="15.75" customHeight="1">
      <c r="A100" s="29"/>
      <c r="B100" s="29"/>
      <c r="C100" s="25"/>
      <c r="D100" s="26"/>
      <c r="E100" s="27"/>
      <c r="F100" s="28"/>
    </row>
    <row r="101" ht="15.75" customHeight="1">
      <c r="A101" s="29"/>
      <c r="B101" s="29"/>
      <c r="C101" s="25"/>
      <c r="D101" s="26"/>
      <c r="E101" s="27"/>
      <c r="F101" s="28"/>
    </row>
    <row r="102" ht="15.75" customHeight="1">
      <c r="A102" s="29"/>
      <c r="B102" s="29"/>
      <c r="C102" s="25"/>
      <c r="D102" s="26"/>
      <c r="E102" s="27"/>
      <c r="F102" s="28"/>
    </row>
    <row r="103" ht="15.75" customHeight="1">
      <c r="A103" s="29"/>
      <c r="B103" s="29"/>
      <c r="C103" s="25"/>
      <c r="D103" s="26"/>
      <c r="E103" s="27"/>
      <c r="F103" s="28"/>
    </row>
    <row r="104" ht="15.75" customHeight="1">
      <c r="A104" s="29"/>
      <c r="B104" s="29"/>
      <c r="C104" s="25"/>
      <c r="D104" s="26"/>
      <c r="E104" s="27"/>
      <c r="F104" s="28"/>
    </row>
    <row r="105" ht="15.75" customHeight="1">
      <c r="A105" s="29"/>
      <c r="B105" s="29"/>
      <c r="C105" s="25"/>
      <c r="D105" s="26"/>
      <c r="E105" s="27"/>
      <c r="F105" s="28"/>
    </row>
    <row r="106" ht="15.75" customHeight="1">
      <c r="A106" s="29"/>
      <c r="B106" s="29"/>
      <c r="C106" s="25"/>
      <c r="D106" s="26"/>
      <c r="E106" s="27"/>
      <c r="F106" s="28"/>
    </row>
    <row r="107" ht="15.75" customHeight="1">
      <c r="A107" s="29"/>
      <c r="B107" s="29"/>
      <c r="C107" s="25"/>
      <c r="D107" s="26"/>
      <c r="E107" s="27"/>
      <c r="F107" s="28"/>
    </row>
    <row r="108" ht="15.75" customHeight="1">
      <c r="A108" s="29"/>
      <c r="B108" s="29"/>
      <c r="C108" s="25"/>
      <c r="D108" s="26"/>
      <c r="E108" s="27"/>
      <c r="F108" s="28"/>
    </row>
    <row r="109" ht="15.75" customHeight="1">
      <c r="A109" s="29"/>
      <c r="B109" s="29"/>
      <c r="C109" s="25"/>
      <c r="D109" s="26"/>
      <c r="E109" s="27"/>
      <c r="F109" s="28"/>
    </row>
    <row r="110" ht="15.75" customHeight="1">
      <c r="A110" s="29"/>
      <c r="B110" s="29"/>
      <c r="C110" s="25"/>
      <c r="D110" s="26"/>
      <c r="E110" s="27"/>
      <c r="F110" s="28"/>
    </row>
    <row r="111" ht="15.75" customHeight="1">
      <c r="A111" s="29"/>
      <c r="B111" s="29"/>
      <c r="C111" s="25"/>
      <c r="D111" s="26"/>
      <c r="E111" s="27"/>
      <c r="F111" s="28"/>
    </row>
    <row r="112" ht="15.75" customHeight="1">
      <c r="A112" s="29"/>
      <c r="B112" s="29"/>
      <c r="C112" s="25"/>
      <c r="D112" s="26"/>
      <c r="E112" s="27"/>
      <c r="F112" s="28"/>
    </row>
    <row r="113" ht="15.75" customHeight="1">
      <c r="A113" s="29"/>
      <c r="B113" s="29"/>
      <c r="C113" s="25"/>
      <c r="D113" s="26"/>
      <c r="E113" s="27"/>
      <c r="F113" s="28"/>
    </row>
    <row r="114" ht="15.75" customHeight="1">
      <c r="A114" s="29"/>
      <c r="B114" s="29"/>
      <c r="C114" s="25"/>
      <c r="D114" s="26"/>
      <c r="E114" s="27"/>
      <c r="F114" s="28"/>
    </row>
    <row r="115" ht="15.75" customHeight="1">
      <c r="A115" s="29"/>
      <c r="B115" s="29"/>
      <c r="C115" s="25"/>
      <c r="D115" s="26"/>
      <c r="E115" s="27"/>
      <c r="F115" s="28"/>
    </row>
    <row r="116" ht="15.75" customHeight="1">
      <c r="A116" s="29"/>
      <c r="B116" s="29"/>
      <c r="C116" s="25"/>
      <c r="D116" s="26"/>
      <c r="E116" s="27"/>
      <c r="F116" s="28"/>
    </row>
    <row r="117" ht="15.75" customHeight="1">
      <c r="A117" s="29"/>
      <c r="B117" s="29"/>
      <c r="C117" s="25"/>
      <c r="D117" s="26"/>
      <c r="E117" s="27"/>
      <c r="F117" s="28"/>
    </row>
    <row r="118" ht="15.75" customHeight="1">
      <c r="A118" s="29"/>
      <c r="B118" s="29"/>
      <c r="C118" s="25"/>
      <c r="D118" s="26"/>
      <c r="E118" s="27"/>
      <c r="F118" s="28"/>
    </row>
    <row r="119" ht="15.75" customHeight="1">
      <c r="A119" s="29"/>
      <c r="B119" s="29"/>
      <c r="C119" s="25"/>
      <c r="D119" s="26"/>
      <c r="E119" s="27"/>
      <c r="F119" s="28"/>
    </row>
    <row r="120" ht="15.75" customHeight="1">
      <c r="A120" s="29"/>
      <c r="B120" s="29"/>
      <c r="C120" s="25"/>
      <c r="D120" s="26"/>
      <c r="E120" s="27"/>
      <c r="F120" s="28"/>
    </row>
    <row r="121" ht="15.75" customHeight="1">
      <c r="A121" s="29"/>
      <c r="B121" s="29"/>
      <c r="C121" s="25"/>
      <c r="D121" s="26"/>
      <c r="E121" s="27"/>
      <c r="F121" s="28"/>
    </row>
    <row r="122" ht="15.75" customHeight="1">
      <c r="A122" s="29"/>
      <c r="B122" s="29"/>
      <c r="C122" s="25"/>
      <c r="D122" s="26"/>
      <c r="E122" s="27"/>
      <c r="F122" s="28"/>
    </row>
    <row r="123" ht="15.75" customHeight="1">
      <c r="A123" s="29"/>
      <c r="B123" s="29"/>
      <c r="C123" s="25"/>
      <c r="D123" s="26"/>
      <c r="E123" s="27"/>
      <c r="F123" s="28"/>
    </row>
    <row r="124" ht="15.75" customHeight="1">
      <c r="A124" s="29"/>
      <c r="B124" s="29"/>
      <c r="C124" s="25"/>
      <c r="D124" s="26"/>
      <c r="E124" s="27"/>
      <c r="F124" s="28"/>
    </row>
    <row r="125" ht="15.75" customHeight="1">
      <c r="A125" s="29"/>
      <c r="B125" s="29"/>
      <c r="C125" s="25"/>
      <c r="D125" s="26"/>
      <c r="E125" s="27"/>
      <c r="F125" s="28"/>
    </row>
    <row r="126" ht="15.75" customHeight="1">
      <c r="A126" s="29"/>
      <c r="B126" s="29"/>
      <c r="C126" s="25"/>
      <c r="D126" s="26"/>
      <c r="E126" s="27"/>
      <c r="F126" s="28"/>
    </row>
    <row r="127" ht="15.75" customHeight="1">
      <c r="A127" s="29"/>
      <c r="B127" s="29"/>
      <c r="C127" s="25"/>
      <c r="D127" s="26"/>
      <c r="E127" s="27"/>
      <c r="F127" s="28"/>
    </row>
    <row r="128" ht="15.75" customHeight="1">
      <c r="A128" s="29"/>
      <c r="B128" s="29"/>
      <c r="C128" s="25"/>
      <c r="D128" s="26"/>
      <c r="E128" s="27"/>
      <c r="F128" s="28"/>
    </row>
    <row r="129" ht="15.75" customHeight="1">
      <c r="A129" s="29"/>
      <c r="B129" s="29"/>
      <c r="C129" s="25"/>
      <c r="D129" s="26"/>
      <c r="E129" s="27"/>
      <c r="F129" s="28"/>
    </row>
    <row r="130" ht="15.75" customHeight="1">
      <c r="A130" s="29"/>
      <c r="B130" s="29"/>
      <c r="C130" s="25"/>
      <c r="D130" s="26"/>
      <c r="E130" s="27"/>
      <c r="F130" s="28"/>
    </row>
    <row r="131" ht="15.75" customHeight="1">
      <c r="A131" s="29"/>
      <c r="B131" s="29"/>
      <c r="C131" s="25"/>
      <c r="D131" s="26"/>
      <c r="E131" s="27"/>
      <c r="F131" s="28"/>
    </row>
    <row r="132" ht="15.75" customHeight="1">
      <c r="A132" s="29"/>
      <c r="B132" s="29"/>
      <c r="C132" s="25"/>
      <c r="D132" s="26"/>
      <c r="E132" s="27"/>
      <c r="F132" s="28"/>
    </row>
    <row r="133" ht="15.75" customHeight="1">
      <c r="A133" s="29"/>
      <c r="B133" s="29"/>
      <c r="C133" s="25"/>
      <c r="D133" s="26"/>
      <c r="E133" s="27"/>
      <c r="F133" s="28"/>
    </row>
    <row r="134" ht="15.75" customHeight="1">
      <c r="A134" s="29"/>
      <c r="B134" s="29"/>
      <c r="C134" s="25"/>
      <c r="D134" s="26"/>
      <c r="E134" s="27"/>
      <c r="F134" s="28"/>
    </row>
    <row r="135" ht="15.75" customHeight="1">
      <c r="A135" s="29"/>
      <c r="B135" s="29"/>
      <c r="C135" s="25"/>
      <c r="D135" s="26"/>
      <c r="E135" s="27"/>
      <c r="F135" s="28"/>
    </row>
    <row r="136" ht="15.75" customHeight="1">
      <c r="A136" s="29"/>
      <c r="B136" s="29"/>
      <c r="C136" s="25"/>
      <c r="D136" s="26"/>
      <c r="E136" s="27"/>
      <c r="F136" s="28"/>
    </row>
    <row r="137" ht="15.75" customHeight="1">
      <c r="A137" s="29"/>
      <c r="B137" s="29"/>
      <c r="C137" s="25"/>
      <c r="D137" s="26"/>
      <c r="E137" s="27"/>
      <c r="F137" s="28"/>
    </row>
    <row r="138" ht="15.75" customHeight="1">
      <c r="A138" s="29"/>
      <c r="B138" s="29"/>
      <c r="C138" s="25"/>
      <c r="D138" s="26"/>
      <c r="E138" s="27"/>
      <c r="F138" s="28"/>
    </row>
    <row r="139" ht="15.75" customHeight="1">
      <c r="A139" s="29"/>
      <c r="B139" s="29"/>
      <c r="C139" s="25"/>
      <c r="D139" s="26"/>
      <c r="E139" s="27"/>
      <c r="F139" s="28"/>
    </row>
    <row r="140" ht="15.75" customHeight="1">
      <c r="A140" s="29"/>
      <c r="B140" s="29"/>
      <c r="C140" s="25"/>
      <c r="D140" s="26"/>
      <c r="E140" s="27"/>
      <c r="F140" s="28"/>
    </row>
    <row r="141" ht="15.75" customHeight="1">
      <c r="A141" s="29"/>
      <c r="B141" s="29"/>
      <c r="C141" s="25"/>
      <c r="D141" s="26"/>
      <c r="E141" s="27"/>
      <c r="F141" s="28"/>
    </row>
    <row r="142" ht="15.75" customHeight="1">
      <c r="A142" s="29"/>
      <c r="B142" s="29"/>
      <c r="C142" s="25"/>
      <c r="D142" s="26"/>
      <c r="E142" s="27"/>
      <c r="F142" s="28"/>
    </row>
    <row r="143" ht="15.75" customHeight="1">
      <c r="A143" s="29"/>
      <c r="B143" s="29"/>
      <c r="C143" s="25"/>
      <c r="D143" s="26"/>
      <c r="E143" s="27"/>
      <c r="F143" s="28"/>
    </row>
    <row r="144" ht="15.75" customHeight="1">
      <c r="A144" s="29"/>
      <c r="B144" s="29"/>
      <c r="C144" s="25"/>
      <c r="D144" s="26"/>
      <c r="E144" s="27"/>
      <c r="F144" s="28"/>
    </row>
    <row r="145" ht="15.75" customHeight="1">
      <c r="A145" s="29"/>
      <c r="B145" s="29"/>
      <c r="C145" s="25"/>
      <c r="D145" s="26"/>
      <c r="E145" s="27"/>
      <c r="F145" s="28"/>
    </row>
    <row r="146" ht="15.75" customHeight="1">
      <c r="A146" s="29"/>
      <c r="B146" s="29"/>
      <c r="C146" s="25"/>
      <c r="D146" s="26"/>
      <c r="E146" s="27"/>
      <c r="F146" s="28"/>
    </row>
    <row r="147" ht="15.75" customHeight="1">
      <c r="A147" s="29"/>
      <c r="B147" s="29"/>
      <c r="C147" s="25"/>
      <c r="D147" s="26"/>
      <c r="E147" s="27"/>
      <c r="F147" s="28"/>
    </row>
    <row r="148" ht="15.75" customHeight="1">
      <c r="A148" s="29"/>
      <c r="B148" s="29"/>
      <c r="C148" s="25"/>
      <c r="D148" s="26"/>
      <c r="E148" s="27"/>
      <c r="F148" s="28"/>
    </row>
    <row r="149" ht="15.75" customHeight="1">
      <c r="A149" s="29"/>
      <c r="B149" s="29"/>
      <c r="C149" s="25"/>
      <c r="D149" s="26"/>
      <c r="E149" s="27"/>
      <c r="F149" s="28"/>
    </row>
    <row r="150" ht="15.75" customHeight="1">
      <c r="A150" s="29"/>
      <c r="B150" s="29"/>
      <c r="C150" s="25"/>
      <c r="D150" s="26"/>
      <c r="E150" s="27"/>
      <c r="F150" s="28"/>
    </row>
    <row r="151" ht="15.75" customHeight="1">
      <c r="A151" s="29"/>
      <c r="B151" s="29"/>
      <c r="C151" s="25"/>
      <c r="D151" s="26"/>
      <c r="E151" s="27"/>
      <c r="F151" s="28"/>
    </row>
    <row r="152" ht="15.75" customHeight="1">
      <c r="A152" s="29"/>
      <c r="B152" s="29"/>
      <c r="C152" s="25"/>
      <c r="D152" s="26"/>
      <c r="E152" s="27"/>
      <c r="F152" s="28"/>
    </row>
    <row r="153" ht="15.75" customHeight="1">
      <c r="A153" s="29"/>
      <c r="B153" s="29"/>
      <c r="C153" s="25"/>
      <c r="D153" s="26"/>
      <c r="E153" s="27"/>
      <c r="F153" s="28"/>
    </row>
    <row r="154" ht="15.75" customHeight="1">
      <c r="A154" s="29"/>
      <c r="B154" s="29"/>
      <c r="C154" s="25"/>
      <c r="D154" s="26"/>
      <c r="E154" s="27"/>
      <c r="F154" s="28"/>
    </row>
    <row r="155" ht="15.75" customHeight="1">
      <c r="A155" s="29"/>
      <c r="B155" s="29"/>
      <c r="C155" s="25"/>
      <c r="D155" s="26"/>
      <c r="E155" s="27"/>
      <c r="F155" s="28"/>
    </row>
    <row r="156" ht="15.75" customHeight="1">
      <c r="A156" s="29"/>
      <c r="B156" s="29"/>
      <c r="C156" s="25"/>
      <c r="D156" s="26"/>
      <c r="E156" s="27"/>
      <c r="F156" s="28"/>
    </row>
    <row r="157" ht="15.75" customHeight="1">
      <c r="A157" s="29"/>
      <c r="B157" s="29"/>
      <c r="C157" s="25"/>
      <c r="D157" s="26"/>
      <c r="E157" s="27"/>
      <c r="F157" s="28"/>
    </row>
    <row r="158" ht="15.75" customHeight="1">
      <c r="A158" s="29"/>
      <c r="B158" s="29"/>
      <c r="C158" s="25"/>
      <c r="D158" s="26"/>
      <c r="E158" s="27"/>
      <c r="F158" s="28"/>
    </row>
    <row r="159" ht="15.75" customHeight="1">
      <c r="A159" s="29"/>
      <c r="B159" s="29"/>
      <c r="C159" s="25"/>
      <c r="D159" s="26"/>
      <c r="E159" s="27"/>
      <c r="F159" s="28"/>
    </row>
    <row r="160" ht="15.75" customHeight="1">
      <c r="A160" s="29"/>
      <c r="B160" s="29"/>
      <c r="C160" s="25"/>
      <c r="D160" s="26"/>
      <c r="E160" s="27"/>
      <c r="F160" s="28"/>
    </row>
    <row r="161" ht="15.75" customHeight="1">
      <c r="A161" s="29"/>
      <c r="B161" s="29"/>
      <c r="C161" s="25"/>
      <c r="D161" s="26"/>
      <c r="E161" s="27"/>
      <c r="F161" s="28"/>
    </row>
    <row r="162" ht="15.75" customHeight="1">
      <c r="A162" s="29"/>
      <c r="B162" s="29"/>
      <c r="C162" s="25"/>
      <c r="D162" s="26"/>
      <c r="E162" s="27"/>
      <c r="F162" s="28"/>
    </row>
    <row r="163" ht="15.75" customHeight="1">
      <c r="A163" s="29"/>
      <c r="B163" s="29"/>
      <c r="C163" s="25"/>
      <c r="D163" s="26"/>
      <c r="E163" s="27"/>
      <c r="F163" s="28"/>
    </row>
    <row r="164" ht="15.75" customHeight="1">
      <c r="A164" s="29"/>
      <c r="B164" s="29"/>
      <c r="C164" s="25"/>
      <c r="D164" s="26"/>
      <c r="E164" s="27"/>
      <c r="F164" s="28"/>
    </row>
    <row r="165" ht="15.75" customHeight="1">
      <c r="A165" s="29"/>
      <c r="B165" s="29"/>
      <c r="C165" s="25"/>
      <c r="D165" s="26"/>
      <c r="E165" s="27"/>
      <c r="F165" s="28"/>
    </row>
    <row r="166" ht="15.75" customHeight="1">
      <c r="A166" s="29"/>
      <c r="B166" s="29"/>
      <c r="C166" s="25"/>
      <c r="D166" s="26"/>
      <c r="E166" s="27"/>
      <c r="F166" s="28"/>
    </row>
    <row r="167" ht="15.75" customHeight="1">
      <c r="A167" s="29"/>
      <c r="B167" s="29"/>
      <c r="C167" s="25"/>
      <c r="D167" s="26"/>
      <c r="E167" s="27"/>
      <c r="F167" s="28"/>
    </row>
    <row r="168" ht="15.75" customHeight="1">
      <c r="A168" s="29"/>
      <c r="B168" s="29"/>
      <c r="C168" s="25"/>
      <c r="D168" s="26"/>
      <c r="E168" s="27"/>
      <c r="F168" s="28"/>
    </row>
    <row r="169" ht="15.75" customHeight="1">
      <c r="A169" s="29"/>
      <c r="B169" s="29"/>
      <c r="C169" s="25"/>
      <c r="D169" s="26"/>
      <c r="E169" s="27"/>
      <c r="F169" s="28"/>
    </row>
    <row r="170" ht="15.75" customHeight="1">
      <c r="A170" s="29"/>
      <c r="B170" s="29"/>
      <c r="C170" s="25"/>
      <c r="D170" s="26"/>
      <c r="E170" s="27"/>
      <c r="F170" s="28"/>
    </row>
    <row r="171" ht="15.75" customHeight="1">
      <c r="A171" s="29"/>
      <c r="B171" s="29"/>
      <c r="C171" s="25"/>
      <c r="D171" s="26"/>
      <c r="E171" s="27"/>
      <c r="F171" s="28"/>
    </row>
    <row r="172" ht="15.75" customHeight="1">
      <c r="A172" s="29"/>
      <c r="B172" s="29"/>
      <c r="C172" s="25"/>
      <c r="D172" s="26"/>
      <c r="E172" s="27"/>
      <c r="F172" s="28"/>
    </row>
    <row r="173" ht="15.75" customHeight="1">
      <c r="A173" s="29"/>
      <c r="B173" s="29"/>
      <c r="C173" s="25"/>
      <c r="D173" s="26"/>
      <c r="E173" s="27"/>
      <c r="F173" s="28"/>
    </row>
    <row r="174" ht="15.75" customHeight="1">
      <c r="A174" s="29"/>
      <c r="B174" s="29"/>
      <c r="C174" s="25"/>
      <c r="D174" s="26"/>
      <c r="E174" s="27"/>
      <c r="F174" s="28"/>
    </row>
    <row r="175" ht="15.75" customHeight="1">
      <c r="A175" s="29"/>
      <c r="B175" s="29"/>
      <c r="C175" s="25"/>
      <c r="D175" s="26"/>
      <c r="E175" s="27"/>
      <c r="F175" s="28"/>
    </row>
    <row r="176" ht="15.75" customHeight="1">
      <c r="A176" s="29"/>
      <c r="B176" s="29"/>
      <c r="C176" s="25"/>
      <c r="D176" s="26"/>
      <c r="E176" s="27"/>
      <c r="F176" s="28"/>
    </row>
    <row r="177" ht="15.75" customHeight="1">
      <c r="A177" s="29"/>
      <c r="B177" s="29"/>
      <c r="C177" s="25"/>
      <c r="D177" s="26"/>
      <c r="E177" s="27"/>
      <c r="F177" s="28"/>
    </row>
    <row r="178" ht="15.75" customHeight="1">
      <c r="A178" s="29"/>
      <c r="B178" s="29"/>
      <c r="C178" s="25"/>
      <c r="D178" s="26"/>
      <c r="E178" s="27"/>
      <c r="F178" s="28"/>
    </row>
    <row r="179" ht="15.75" customHeight="1">
      <c r="A179" s="29"/>
      <c r="B179" s="29"/>
      <c r="C179" s="25"/>
      <c r="D179" s="26"/>
      <c r="E179" s="27"/>
      <c r="F179" s="28"/>
    </row>
    <row r="180" ht="15.75" customHeight="1">
      <c r="A180" s="29"/>
      <c r="B180" s="29"/>
      <c r="C180" s="25"/>
      <c r="D180" s="26"/>
      <c r="E180" s="27"/>
      <c r="F180" s="28"/>
    </row>
    <row r="181" ht="15.75" customHeight="1">
      <c r="A181" s="29"/>
      <c r="B181" s="29"/>
      <c r="C181" s="25"/>
      <c r="D181" s="26"/>
      <c r="E181" s="27"/>
      <c r="F181" s="28"/>
    </row>
    <row r="182" ht="15.75" customHeight="1">
      <c r="A182" s="29"/>
      <c r="B182" s="29"/>
      <c r="C182" s="25"/>
      <c r="D182" s="26"/>
      <c r="E182" s="27"/>
      <c r="F182" s="28"/>
    </row>
    <row r="183" ht="15.75" customHeight="1">
      <c r="A183" s="29"/>
      <c r="B183" s="29"/>
      <c r="C183" s="25"/>
      <c r="D183" s="26"/>
      <c r="E183" s="27"/>
      <c r="F183" s="28"/>
    </row>
    <row r="184" ht="15.75" customHeight="1">
      <c r="A184" s="29"/>
      <c r="B184" s="29"/>
      <c r="C184" s="25"/>
      <c r="D184" s="26"/>
      <c r="E184" s="27"/>
      <c r="F184" s="28"/>
    </row>
    <row r="185" ht="15.75" customHeight="1">
      <c r="A185" s="29"/>
      <c r="B185" s="29"/>
      <c r="C185" s="25"/>
      <c r="D185" s="26"/>
      <c r="E185" s="27"/>
      <c r="F185" s="28"/>
    </row>
    <row r="186" ht="15.75" customHeight="1">
      <c r="A186" s="29"/>
      <c r="B186" s="29"/>
      <c r="C186" s="25"/>
      <c r="D186" s="26"/>
      <c r="E186" s="27"/>
      <c r="F186" s="28"/>
    </row>
    <row r="187" ht="15.75" customHeight="1">
      <c r="A187" s="29"/>
      <c r="B187" s="29"/>
      <c r="C187" s="25"/>
      <c r="D187" s="26"/>
      <c r="E187" s="27"/>
      <c r="F187" s="28"/>
    </row>
    <row r="188" ht="15.75" customHeight="1">
      <c r="A188" s="29"/>
      <c r="B188" s="29"/>
      <c r="C188" s="25"/>
      <c r="D188" s="26"/>
      <c r="E188" s="27"/>
      <c r="F188" s="28"/>
    </row>
    <row r="189" ht="15.75" customHeight="1">
      <c r="A189" s="29"/>
      <c r="B189" s="29"/>
      <c r="C189" s="25"/>
      <c r="D189" s="26"/>
      <c r="E189" s="27"/>
      <c r="F189" s="28"/>
    </row>
    <row r="190" ht="15.75" customHeight="1">
      <c r="A190" s="29"/>
      <c r="B190" s="29"/>
      <c r="C190" s="25"/>
      <c r="D190" s="26"/>
      <c r="E190" s="27"/>
      <c r="F190" s="28"/>
    </row>
    <row r="191" ht="15.75" customHeight="1">
      <c r="A191" s="29"/>
      <c r="B191" s="29"/>
      <c r="C191" s="25"/>
      <c r="D191" s="26"/>
      <c r="E191" s="27"/>
      <c r="F191" s="28"/>
    </row>
    <row r="192" ht="15.75" customHeight="1">
      <c r="A192" s="29"/>
      <c r="B192" s="29"/>
      <c r="C192" s="25"/>
      <c r="D192" s="26"/>
      <c r="E192" s="27"/>
      <c r="F192" s="28"/>
    </row>
    <row r="193" ht="15.75" customHeight="1">
      <c r="A193" s="29"/>
      <c r="B193" s="29"/>
      <c r="C193" s="25"/>
      <c r="D193" s="26"/>
      <c r="E193" s="27"/>
      <c r="F193" s="28"/>
    </row>
    <row r="194" ht="15.75" customHeight="1">
      <c r="A194" s="29"/>
      <c r="B194" s="29"/>
      <c r="C194" s="25"/>
      <c r="D194" s="26"/>
      <c r="E194" s="27"/>
      <c r="F194" s="28"/>
    </row>
    <row r="195" ht="15.75" customHeight="1">
      <c r="A195" s="29"/>
      <c r="B195" s="29"/>
      <c r="C195" s="25"/>
      <c r="D195" s="26"/>
      <c r="E195" s="27"/>
      <c r="F195" s="28"/>
    </row>
    <row r="196" ht="15.75" customHeight="1">
      <c r="A196" s="29"/>
      <c r="B196" s="29"/>
      <c r="C196" s="25"/>
      <c r="D196" s="26"/>
      <c r="E196" s="27"/>
      <c r="F196" s="28"/>
    </row>
    <row r="197" ht="15.75" customHeight="1">
      <c r="A197" s="29"/>
      <c r="B197" s="29"/>
      <c r="C197" s="25"/>
      <c r="D197" s="26"/>
      <c r="E197" s="27"/>
      <c r="F197" s="28"/>
    </row>
    <row r="198" ht="15.75" customHeight="1">
      <c r="A198" s="29"/>
      <c r="B198" s="29"/>
      <c r="C198" s="25"/>
      <c r="D198" s="26"/>
      <c r="E198" s="27"/>
      <c r="F198" s="28"/>
    </row>
    <row r="199" ht="15.75" customHeight="1">
      <c r="A199" s="29"/>
      <c r="B199" s="29"/>
      <c r="C199" s="25"/>
      <c r="D199" s="26"/>
      <c r="E199" s="27"/>
      <c r="F199" s="28"/>
    </row>
    <row r="200" ht="15.75" customHeight="1">
      <c r="A200" s="29"/>
      <c r="B200" s="29"/>
      <c r="C200" s="25"/>
      <c r="D200" s="26"/>
      <c r="E200" s="27"/>
      <c r="F200" s="28"/>
    </row>
    <row r="201" ht="15.75" customHeight="1">
      <c r="A201" s="29"/>
      <c r="B201" s="29"/>
      <c r="C201" s="25"/>
      <c r="D201" s="26"/>
      <c r="E201" s="27"/>
      <c r="F201" s="28"/>
    </row>
    <row r="202" ht="15.75" customHeight="1">
      <c r="A202" s="29"/>
      <c r="B202" s="29"/>
      <c r="C202" s="25"/>
      <c r="D202" s="26"/>
      <c r="E202" s="27"/>
      <c r="F202" s="28"/>
    </row>
    <row r="203" ht="15.75" customHeight="1">
      <c r="A203" s="29"/>
      <c r="B203" s="29"/>
      <c r="C203" s="25"/>
      <c r="D203" s="26"/>
      <c r="E203" s="27"/>
      <c r="F203" s="28"/>
    </row>
    <row r="204" ht="15.75" customHeight="1">
      <c r="A204" s="29"/>
      <c r="B204" s="29"/>
      <c r="C204" s="25"/>
      <c r="D204" s="26"/>
      <c r="E204" s="27"/>
      <c r="F204" s="28"/>
    </row>
    <row r="205" ht="15.75" customHeight="1">
      <c r="A205" s="29"/>
      <c r="B205" s="29"/>
      <c r="C205" s="25"/>
      <c r="D205" s="26"/>
      <c r="E205" s="27"/>
      <c r="F205" s="28"/>
    </row>
    <row r="206" ht="15.75" customHeight="1">
      <c r="A206" s="29"/>
      <c r="B206" s="29"/>
      <c r="C206" s="25"/>
      <c r="D206" s="26"/>
      <c r="E206" s="27"/>
      <c r="F206" s="28"/>
    </row>
    <row r="207" ht="15.75" customHeight="1">
      <c r="A207" s="29"/>
      <c r="B207" s="29"/>
      <c r="C207" s="25"/>
      <c r="D207" s="26"/>
      <c r="E207" s="27"/>
      <c r="F207" s="28"/>
    </row>
    <row r="208" ht="15.75" customHeight="1">
      <c r="A208" s="29"/>
      <c r="B208" s="29"/>
      <c r="C208" s="25"/>
      <c r="D208" s="26"/>
      <c r="E208" s="27"/>
      <c r="F208" s="28"/>
    </row>
    <row r="209" ht="15.75" customHeight="1">
      <c r="A209" s="29"/>
      <c r="B209" s="29"/>
      <c r="C209" s="25"/>
      <c r="D209" s="26"/>
      <c r="E209" s="27"/>
      <c r="F209" s="28"/>
    </row>
    <row r="210" ht="15.75" customHeight="1">
      <c r="A210" s="29"/>
      <c r="B210" s="29"/>
      <c r="C210" s="25"/>
      <c r="D210" s="26"/>
      <c r="E210" s="27"/>
      <c r="F210" s="28"/>
    </row>
    <row r="211" ht="15.75" customHeight="1">
      <c r="A211" s="29"/>
      <c r="B211" s="29"/>
      <c r="C211" s="25"/>
      <c r="D211" s="26"/>
      <c r="E211" s="27"/>
      <c r="F211" s="28"/>
    </row>
    <row r="212" ht="15.75" customHeight="1">
      <c r="A212" s="29"/>
      <c r="B212" s="29"/>
      <c r="C212" s="25"/>
      <c r="D212" s="26"/>
      <c r="E212" s="27"/>
      <c r="F212" s="28"/>
    </row>
    <row r="213" ht="15.75" customHeight="1">
      <c r="A213" s="29"/>
      <c r="B213" s="29"/>
      <c r="C213" s="25"/>
      <c r="D213" s="26"/>
      <c r="E213" s="27"/>
      <c r="F213" s="28"/>
    </row>
    <row r="214" ht="15.75" customHeight="1">
      <c r="A214" s="29"/>
      <c r="B214" s="29"/>
      <c r="C214" s="25"/>
      <c r="D214" s="26"/>
      <c r="E214" s="27"/>
      <c r="F214" s="28"/>
    </row>
    <row r="215" ht="15.75" customHeight="1">
      <c r="A215" s="29"/>
      <c r="B215" s="29"/>
      <c r="C215" s="25"/>
      <c r="D215" s="26"/>
      <c r="E215" s="27"/>
      <c r="F215" s="28"/>
    </row>
    <row r="216" ht="15.75" customHeight="1">
      <c r="A216" s="29"/>
      <c r="B216" s="29"/>
      <c r="C216" s="25"/>
      <c r="D216" s="26"/>
      <c r="E216" s="27"/>
      <c r="F216" s="28"/>
    </row>
    <row r="217" ht="15.75" customHeight="1">
      <c r="A217" s="29"/>
      <c r="B217" s="29"/>
      <c r="C217" s="25"/>
      <c r="D217" s="26"/>
      <c r="E217" s="27"/>
      <c r="F217" s="28"/>
    </row>
    <row r="218" ht="15.75" customHeight="1">
      <c r="A218" s="29"/>
      <c r="B218" s="29"/>
      <c r="C218" s="25"/>
      <c r="D218" s="26"/>
      <c r="E218" s="27"/>
      <c r="F218" s="28"/>
    </row>
    <row r="219" ht="15.75" customHeight="1">
      <c r="A219" s="29"/>
      <c r="B219" s="29"/>
      <c r="C219" s="25"/>
      <c r="D219" s="26"/>
      <c r="E219" s="27"/>
      <c r="F219" s="28"/>
    </row>
    <row r="220" ht="15.75" customHeight="1">
      <c r="A220" s="29"/>
      <c r="B220" s="29"/>
      <c r="C220" s="25"/>
      <c r="D220" s="26"/>
      <c r="E220" s="27"/>
      <c r="F220" s="28"/>
    </row>
    <row r="221" ht="15.75" customHeight="1">
      <c r="A221" s="29"/>
      <c r="B221" s="29"/>
      <c r="C221" s="25"/>
      <c r="D221" s="26"/>
      <c r="E221" s="27"/>
      <c r="F221" s="28"/>
    </row>
    <row r="222" ht="15.75" customHeight="1">
      <c r="A222" s="29"/>
      <c r="B222" s="29"/>
      <c r="C222" s="25"/>
      <c r="D222" s="26"/>
      <c r="E222" s="27"/>
      <c r="F222" s="28"/>
    </row>
    <row r="223" ht="15.75" customHeight="1">
      <c r="A223" s="29"/>
      <c r="B223" s="29"/>
      <c r="C223" s="25"/>
      <c r="D223" s="26"/>
      <c r="E223" s="27"/>
      <c r="F223" s="28"/>
    </row>
    <row r="224" ht="15.75" customHeight="1">
      <c r="A224" s="29"/>
      <c r="B224" s="29"/>
      <c r="C224" s="25"/>
      <c r="D224" s="26"/>
      <c r="E224" s="27"/>
      <c r="F224" s="28"/>
    </row>
    <row r="225" ht="15.75" customHeight="1">
      <c r="A225" s="29"/>
      <c r="B225" s="29"/>
      <c r="C225" s="25"/>
      <c r="D225" s="26"/>
      <c r="E225" s="27"/>
      <c r="F225" s="28"/>
    </row>
    <row r="226" ht="15.75" customHeight="1">
      <c r="A226" s="29"/>
      <c r="B226" s="29"/>
      <c r="C226" s="25"/>
      <c r="D226" s="26"/>
      <c r="E226" s="27"/>
      <c r="F226" s="28"/>
    </row>
    <row r="227" ht="15.75" customHeight="1">
      <c r="A227" s="29"/>
      <c r="B227" s="29"/>
      <c r="C227" s="25"/>
      <c r="D227" s="26"/>
      <c r="E227" s="27"/>
      <c r="F227" s="28"/>
    </row>
    <row r="228" ht="15.75" customHeight="1">
      <c r="A228" s="29"/>
      <c r="B228" s="29"/>
      <c r="C228" s="25"/>
      <c r="D228" s="26"/>
      <c r="E228" s="27"/>
      <c r="F228" s="28"/>
    </row>
    <row r="229" ht="15.75" customHeight="1">
      <c r="A229" s="29"/>
      <c r="B229" s="29"/>
      <c r="C229" s="25"/>
      <c r="D229" s="26"/>
      <c r="E229" s="27"/>
      <c r="F229" s="28"/>
    </row>
    <row r="230" ht="15.75" customHeight="1">
      <c r="A230" s="29"/>
      <c r="B230" s="29"/>
      <c r="C230" s="25"/>
      <c r="D230" s="26"/>
      <c r="E230" s="27"/>
      <c r="F230" s="28"/>
    </row>
    <row r="231" ht="15.75" customHeight="1">
      <c r="A231" s="29"/>
      <c r="B231" s="29"/>
      <c r="C231" s="25"/>
      <c r="D231" s="26"/>
      <c r="E231" s="27"/>
      <c r="F231" s="28"/>
    </row>
    <row r="232" ht="15.75" customHeight="1">
      <c r="A232" s="29"/>
      <c r="B232" s="29"/>
      <c r="C232" s="25"/>
      <c r="D232" s="26"/>
      <c r="E232" s="27"/>
      <c r="F232" s="28"/>
    </row>
    <row r="233" ht="15.75" customHeight="1">
      <c r="A233" s="29"/>
      <c r="B233" s="29"/>
      <c r="C233" s="25"/>
      <c r="D233" s="26"/>
      <c r="E233" s="27"/>
      <c r="F233" s="28"/>
    </row>
    <row r="234" ht="15.75" customHeight="1">
      <c r="A234" s="29"/>
      <c r="B234" s="29"/>
      <c r="C234" s="25"/>
      <c r="D234" s="26"/>
      <c r="E234" s="27"/>
      <c r="F234" s="28"/>
    </row>
    <row r="235" ht="15.75" customHeight="1">
      <c r="A235" s="29"/>
      <c r="B235" s="29"/>
      <c r="C235" s="25"/>
      <c r="D235" s="26"/>
      <c r="E235" s="27"/>
      <c r="F235" s="28"/>
    </row>
    <row r="236" ht="15.75" customHeight="1">
      <c r="A236" s="29"/>
      <c r="B236" s="29"/>
      <c r="C236" s="25"/>
      <c r="D236" s="26"/>
      <c r="E236" s="27"/>
      <c r="F236" s="28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F$1:$F$236"/>
  <hyperlinks>
    <hyperlink r:id="rId1" ref="D2"/>
    <hyperlink r:id="rId2" ref="C3"/>
    <hyperlink r:id="rId3" ref="D3"/>
    <hyperlink r:id="rId4" ref="C4"/>
    <hyperlink r:id="rId5" ref="D4"/>
    <hyperlink r:id="rId6" ref="C5"/>
    <hyperlink r:id="rId7" ref="D5"/>
    <hyperlink r:id="rId8" ref="C6"/>
    <hyperlink r:id="rId9" ref="D6"/>
    <hyperlink r:id="rId10" ref="C7"/>
    <hyperlink r:id="rId11" ref="D7"/>
    <hyperlink r:id="rId12" ref="C8"/>
    <hyperlink r:id="rId13" ref="D8"/>
    <hyperlink r:id="rId14" ref="C9"/>
    <hyperlink r:id="rId15" ref="D9"/>
    <hyperlink r:id="rId16" ref="C10"/>
    <hyperlink r:id="rId17" ref="D10"/>
    <hyperlink r:id="rId18" ref="C11"/>
    <hyperlink r:id="rId19" ref="D11"/>
    <hyperlink r:id="rId20" ref="C12"/>
    <hyperlink r:id="rId21" ref="D12"/>
    <hyperlink r:id="rId22" ref="C13"/>
    <hyperlink r:id="rId23" ref="D13"/>
    <hyperlink r:id="rId24" ref="C14"/>
    <hyperlink r:id="rId25" ref="D14"/>
    <hyperlink r:id="rId26" ref="C15"/>
    <hyperlink r:id="rId27" ref="D15"/>
    <hyperlink r:id="rId28" ref="C16"/>
    <hyperlink r:id="rId29" ref="D16"/>
    <hyperlink r:id="rId30" ref="C17"/>
    <hyperlink r:id="rId31" ref="D17"/>
    <hyperlink r:id="rId32" ref="C18"/>
    <hyperlink r:id="rId33" ref="D18"/>
    <hyperlink r:id="rId34" ref="C19"/>
    <hyperlink r:id="rId35" ref="D19"/>
    <hyperlink r:id="rId36" ref="C20"/>
    <hyperlink r:id="rId37" ref="D20"/>
    <hyperlink r:id="rId38" ref="C21"/>
    <hyperlink r:id="rId39" ref="D21"/>
    <hyperlink r:id="rId40" ref="C22"/>
    <hyperlink r:id="rId41" ref="D22"/>
    <hyperlink r:id="rId42" ref="C23"/>
    <hyperlink r:id="rId43" ref="D23"/>
    <hyperlink r:id="rId44" ref="C24"/>
    <hyperlink r:id="rId45" ref="D24"/>
    <hyperlink r:id="rId46" ref="C25"/>
    <hyperlink r:id="rId47" ref="D25"/>
    <hyperlink r:id="rId48" ref="C26"/>
    <hyperlink r:id="rId49" ref="D26"/>
    <hyperlink r:id="rId50" ref="C27"/>
    <hyperlink r:id="rId51" ref="D27"/>
    <hyperlink r:id="rId52" ref="C28"/>
    <hyperlink r:id="rId53" ref="D28"/>
    <hyperlink r:id="rId54" ref="C29"/>
    <hyperlink r:id="rId55" ref="D29"/>
    <hyperlink r:id="rId56" ref="C30"/>
    <hyperlink r:id="rId57" ref="D30"/>
    <hyperlink r:id="rId58" ref="C31"/>
    <hyperlink r:id="rId59" ref="D31"/>
    <hyperlink r:id="rId60" ref="C32"/>
    <hyperlink r:id="rId61" ref="D32"/>
    <hyperlink r:id="rId62" ref="C33"/>
    <hyperlink r:id="rId63" ref="D33"/>
    <hyperlink r:id="rId64" ref="C34"/>
    <hyperlink r:id="rId65" ref="D34"/>
    <hyperlink r:id="rId66" ref="C35"/>
    <hyperlink r:id="rId67" ref="D35"/>
    <hyperlink r:id="rId68" ref="C36"/>
    <hyperlink r:id="rId69" ref="D36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4.43"/>
    <col customWidth="1" min="5" max="5" width="22.29"/>
    <col customWidth="1" min="6" max="6" width="32.0"/>
    <col customWidth="1" min="10" max="10" width="25.0"/>
  </cols>
  <sheetData>
    <row r="1" ht="15.75" customHeight="1">
      <c r="C1" s="30" t="s">
        <v>105</v>
      </c>
      <c r="D1" s="30" t="s">
        <v>106</v>
      </c>
      <c r="E1" s="31" t="s">
        <v>107</v>
      </c>
      <c r="F1" s="31" t="s">
        <v>108</v>
      </c>
      <c r="G1" s="30" t="s">
        <v>109</v>
      </c>
      <c r="H1" s="31" t="s">
        <v>110</v>
      </c>
      <c r="I1" s="30" t="s">
        <v>111</v>
      </c>
      <c r="J1" s="30" t="s">
        <v>112</v>
      </c>
    </row>
    <row r="2" ht="15.75" customHeight="1">
      <c r="A2" s="31"/>
      <c r="B2" s="32" t="s">
        <v>113</v>
      </c>
      <c r="C2" s="30" t="s">
        <v>114</v>
      </c>
      <c r="D2" s="30" t="s">
        <v>115</v>
      </c>
      <c r="E2" s="31" t="s">
        <v>116</v>
      </c>
      <c r="F2" s="31" t="s">
        <v>108</v>
      </c>
      <c r="G2" s="31" t="s">
        <v>108</v>
      </c>
      <c r="H2" s="33" t="s">
        <v>11</v>
      </c>
      <c r="I2" s="30">
        <f>+971562267628</f>
        <v>971562267628</v>
      </c>
      <c r="J2" s="30" t="s">
        <v>117</v>
      </c>
    </row>
    <row r="3" ht="15.75" customHeight="1">
      <c r="A3" s="31"/>
      <c r="B3" s="33" t="s">
        <v>118</v>
      </c>
      <c r="C3" s="30" t="s">
        <v>119</v>
      </c>
      <c r="D3" s="30" t="s">
        <v>120</v>
      </c>
      <c r="E3" s="31" t="s">
        <v>121</v>
      </c>
      <c r="F3" s="31" t="s">
        <v>108</v>
      </c>
      <c r="G3" s="31" t="s">
        <v>108</v>
      </c>
      <c r="H3" s="33" t="s">
        <v>122</v>
      </c>
      <c r="I3" s="30">
        <v>9.71502448311E11</v>
      </c>
      <c r="J3" s="30" t="s">
        <v>123</v>
      </c>
    </row>
    <row r="4" ht="15.75" customHeight="1">
      <c r="A4" s="31"/>
      <c r="B4" s="33" t="s">
        <v>124</v>
      </c>
      <c r="C4" s="30" t="s">
        <v>125</v>
      </c>
      <c r="D4" s="30" t="s">
        <v>126</v>
      </c>
      <c r="E4" s="31" t="s">
        <v>127</v>
      </c>
      <c r="F4" s="34" t="s">
        <v>44</v>
      </c>
      <c r="G4" s="31" t="s">
        <v>108</v>
      </c>
      <c r="H4" s="33" t="s">
        <v>45</v>
      </c>
      <c r="I4" s="30">
        <f>+923402376183</f>
        <v>923402376183</v>
      </c>
      <c r="J4" s="30" t="s">
        <v>128</v>
      </c>
    </row>
    <row r="5" ht="15.75" customHeight="1">
      <c r="A5" s="31"/>
      <c r="B5" s="33" t="s">
        <v>129</v>
      </c>
      <c r="C5" s="30" t="s">
        <v>130</v>
      </c>
      <c r="D5" s="30" t="s">
        <v>115</v>
      </c>
      <c r="E5" s="31" t="s">
        <v>131</v>
      </c>
      <c r="F5" s="34" t="s">
        <v>132</v>
      </c>
      <c r="G5" s="31" t="s">
        <v>108</v>
      </c>
      <c r="H5" s="33" t="s">
        <v>133</v>
      </c>
      <c r="I5" s="30">
        <f>+447411629033</f>
        <v>447411629033</v>
      </c>
      <c r="J5" s="30" t="s">
        <v>130</v>
      </c>
    </row>
    <row r="6" ht="15.75" customHeight="1">
      <c r="A6" s="31"/>
      <c r="B6" s="33" t="s">
        <v>134</v>
      </c>
      <c r="C6" s="30" t="s">
        <v>135</v>
      </c>
      <c r="D6" s="30" t="s">
        <v>136</v>
      </c>
      <c r="E6" s="31" t="s">
        <v>137</v>
      </c>
      <c r="F6" s="34" t="s">
        <v>138</v>
      </c>
      <c r="G6" s="31" t="s">
        <v>108</v>
      </c>
      <c r="H6" s="33" t="s">
        <v>139</v>
      </c>
      <c r="I6" s="30">
        <f>+971504868464</f>
        <v>971504868464</v>
      </c>
      <c r="J6" s="30" t="s">
        <v>140</v>
      </c>
    </row>
    <row r="7" ht="15.75" customHeight="1">
      <c r="A7" s="31"/>
      <c r="B7" s="33" t="s">
        <v>141</v>
      </c>
      <c r="C7" s="30" t="s">
        <v>142</v>
      </c>
      <c r="D7" s="30" t="s">
        <v>136</v>
      </c>
      <c r="E7" s="31" t="s">
        <v>143</v>
      </c>
      <c r="F7" s="34" t="s">
        <v>144</v>
      </c>
      <c r="G7" s="31" t="s">
        <v>108</v>
      </c>
      <c r="H7" s="33" t="s">
        <v>145</v>
      </c>
      <c r="I7" s="30">
        <f>+966532017368</f>
        <v>966532017368</v>
      </c>
      <c r="J7" s="30" t="s">
        <v>146</v>
      </c>
    </row>
    <row r="8" ht="15.75" customHeight="1">
      <c r="A8" s="31"/>
      <c r="B8" s="33" t="s">
        <v>147</v>
      </c>
      <c r="C8" s="30" t="s">
        <v>148</v>
      </c>
      <c r="D8" s="30" t="s">
        <v>115</v>
      </c>
      <c r="E8" s="31" t="s">
        <v>149</v>
      </c>
      <c r="F8" s="34" t="s">
        <v>150</v>
      </c>
      <c r="G8" s="31" t="s">
        <v>108</v>
      </c>
      <c r="H8" s="33" t="s">
        <v>151</v>
      </c>
      <c r="I8" s="30">
        <f>+353872672229</f>
        <v>353872672229</v>
      </c>
      <c r="J8" s="30" t="s">
        <v>152</v>
      </c>
    </row>
    <row r="9" ht="15.75" customHeight="1">
      <c r="A9" s="31"/>
      <c r="B9" s="33" t="s">
        <v>153</v>
      </c>
      <c r="C9" s="30" t="s">
        <v>154</v>
      </c>
      <c r="D9" s="30" t="s">
        <v>115</v>
      </c>
      <c r="E9" s="31" t="s">
        <v>155</v>
      </c>
      <c r="F9" s="34" t="s">
        <v>156</v>
      </c>
      <c r="G9" s="31" t="s">
        <v>108</v>
      </c>
      <c r="H9" s="33" t="s">
        <v>157</v>
      </c>
      <c r="I9" s="30">
        <f>+886970391590</f>
        <v>886970391590</v>
      </c>
      <c r="J9" s="30" t="s">
        <v>158</v>
      </c>
    </row>
    <row r="10" ht="15.75" customHeight="1">
      <c r="A10" s="31"/>
      <c r="B10" s="33" t="s">
        <v>159</v>
      </c>
      <c r="C10" s="30" t="s">
        <v>160</v>
      </c>
      <c r="D10" s="30" t="s">
        <v>115</v>
      </c>
      <c r="E10" s="31" t="s">
        <v>161</v>
      </c>
      <c r="F10" s="34" t="s">
        <v>162</v>
      </c>
      <c r="G10" s="31" t="s">
        <v>108</v>
      </c>
      <c r="H10" s="33" t="s">
        <v>163</v>
      </c>
      <c r="I10" s="30">
        <f>+886956171908</f>
        <v>886956171908</v>
      </c>
      <c r="J10" s="30" t="s">
        <v>164</v>
      </c>
    </row>
    <row r="11" ht="15.75" customHeight="1">
      <c r="A11" s="31"/>
      <c r="B11" s="33" t="s">
        <v>165</v>
      </c>
      <c r="C11" s="30" t="s">
        <v>166</v>
      </c>
      <c r="D11" s="30" t="s">
        <v>115</v>
      </c>
      <c r="E11" s="31" t="s">
        <v>131</v>
      </c>
      <c r="F11" s="34" t="s">
        <v>167</v>
      </c>
      <c r="G11" s="31" t="s">
        <v>108</v>
      </c>
      <c r="H11" s="33" t="s">
        <v>168</v>
      </c>
      <c r="I11" s="30">
        <f>+9203332158357</f>
        <v>9203332158357</v>
      </c>
      <c r="J11" s="30" t="s">
        <v>166</v>
      </c>
    </row>
    <row r="12" ht="15.75" customHeight="1">
      <c r="A12" s="31"/>
      <c r="B12" s="33" t="s">
        <v>169</v>
      </c>
      <c r="C12" s="30" t="s">
        <v>170</v>
      </c>
      <c r="D12" s="30" t="s">
        <v>115</v>
      </c>
      <c r="E12" s="31" t="s">
        <v>131</v>
      </c>
      <c r="F12" s="34" t="s">
        <v>171</v>
      </c>
      <c r="G12" s="31" t="s">
        <v>108</v>
      </c>
      <c r="H12" s="33" t="s">
        <v>172</v>
      </c>
      <c r="I12" s="30">
        <f>+923142041694</f>
        <v>923142041694</v>
      </c>
      <c r="J12" s="30" t="s">
        <v>170</v>
      </c>
    </row>
    <row r="13" ht="15.75" customHeight="1">
      <c r="A13" s="31"/>
      <c r="B13" s="33" t="s">
        <v>173</v>
      </c>
      <c r="C13" s="30" t="s">
        <v>174</v>
      </c>
      <c r="D13" s="30" t="s">
        <v>115</v>
      </c>
      <c r="E13" s="31" t="s">
        <v>175</v>
      </c>
      <c r="F13" s="34" t="s">
        <v>176</v>
      </c>
      <c r="G13" s="31" t="s">
        <v>108</v>
      </c>
      <c r="H13" s="33" t="s">
        <v>177</v>
      </c>
      <c r="I13" s="30">
        <f>+923008240465</f>
        <v>923008240465</v>
      </c>
      <c r="J13" s="30" t="s">
        <v>178</v>
      </c>
    </row>
    <row r="14" ht="15.75" customHeight="1">
      <c r="A14" s="31"/>
      <c r="B14" s="33" t="s">
        <v>179</v>
      </c>
      <c r="C14" s="30" t="s">
        <v>180</v>
      </c>
      <c r="D14" s="30" t="s">
        <v>115</v>
      </c>
      <c r="E14" s="31" t="s">
        <v>131</v>
      </c>
      <c r="F14" s="34" t="s">
        <v>181</v>
      </c>
      <c r="G14" s="31" t="s">
        <v>108</v>
      </c>
      <c r="H14" s="33" t="s">
        <v>182</v>
      </c>
      <c r="I14" s="30">
        <f>+9203222056805</f>
        <v>9203222056805</v>
      </c>
      <c r="J14" s="30" t="s">
        <v>180</v>
      </c>
    </row>
    <row r="15" ht="15.75" customHeight="1">
      <c r="A15" s="31"/>
      <c r="B15" s="33" t="s">
        <v>183</v>
      </c>
      <c r="C15" s="30" t="s">
        <v>184</v>
      </c>
      <c r="D15" s="30" t="s">
        <v>185</v>
      </c>
      <c r="E15" s="31" t="s">
        <v>186</v>
      </c>
      <c r="F15" s="34" t="s">
        <v>187</v>
      </c>
      <c r="G15" s="31" t="s">
        <v>108</v>
      </c>
      <c r="H15" s="33" t="s">
        <v>188</v>
      </c>
      <c r="I15" s="30">
        <f>+923322226456</f>
        <v>923322226456</v>
      </c>
      <c r="J15" s="30" t="s">
        <v>189</v>
      </c>
    </row>
    <row r="16" ht="15.75" customHeight="1">
      <c r="A16" s="31"/>
      <c r="B16" s="33" t="s">
        <v>190</v>
      </c>
      <c r="C16" s="30" t="s">
        <v>191</v>
      </c>
      <c r="D16" s="30" t="s">
        <v>115</v>
      </c>
      <c r="E16" s="31" t="s">
        <v>131</v>
      </c>
      <c r="F16" s="34" t="s">
        <v>192</v>
      </c>
      <c r="G16" s="31" t="s">
        <v>108</v>
      </c>
      <c r="H16" s="33" t="s">
        <v>193</v>
      </c>
      <c r="I16" s="30">
        <f>+923008151699</f>
        <v>923008151699</v>
      </c>
      <c r="J16" s="30" t="s">
        <v>191</v>
      </c>
    </row>
    <row r="17" ht="15.75" customHeight="1">
      <c r="A17" s="31"/>
      <c r="B17" s="33" t="s">
        <v>194</v>
      </c>
      <c r="C17" s="30" t="s">
        <v>195</v>
      </c>
      <c r="D17" s="30" t="s">
        <v>115</v>
      </c>
      <c r="E17" s="31" t="s">
        <v>175</v>
      </c>
      <c r="F17" s="34" t="s">
        <v>196</v>
      </c>
      <c r="G17" s="31" t="s">
        <v>108</v>
      </c>
      <c r="H17" s="33" t="s">
        <v>197</v>
      </c>
      <c r="I17" s="30">
        <f>+96893781911</f>
        <v>96893781911</v>
      </c>
      <c r="J17" s="30" t="s">
        <v>178</v>
      </c>
    </row>
    <row r="18" ht="15.75" customHeight="1">
      <c r="A18" s="31"/>
      <c r="B18" s="33" t="s">
        <v>198</v>
      </c>
      <c r="C18" s="30" t="s">
        <v>199</v>
      </c>
      <c r="D18" s="30" t="s">
        <v>115</v>
      </c>
      <c r="E18" s="31" t="s">
        <v>131</v>
      </c>
      <c r="F18" s="34" t="s">
        <v>200</v>
      </c>
      <c r="G18" s="31" t="s">
        <v>108</v>
      </c>
      <c r="H18" s="33" t="s">
        <v>201</v>
      </c>
      <c r="I18" s="30">
        <f>+9203131175979</f>
        <v>9203131175979</v>
      </c>
      <c r="J18" s="30" t="s">
        <v>199</v>
      </c>
    </row>
    <row r="19" ht="15.75" customHeight="1">
      <c r="A19" s="31"/>
      <c r="B19" s="33" t="s">
        <v>202</v>
      </c>
      <c r="C19" s="30" t="s">
        <v>203</v>
      </c>
      <c r="D19" s="30" t="s">
        <v>136</v>
      </c>
      <c r="E19" s="31" t="s">
        <v>204</v>
      </c>
      <c r="F19" s="34" t="s">
        <v>205</v>
      </c>
      <c r="G19" s="31" t="s">
        <v>108</v>
      </c>
      <c r="H19" s="33" t="s">
        <v>206</v>
      </c>
      <c r="I19" s="30">
        <f>+9710555369397</f>
        <v>9710555369397</v>
      </c>
      <c r="J19" s="30" t="s">
        <v>140</v>
      </c>
    </row>
    <row r="20" ht="15.75" customHeight="1">
      <c r="A20" s="31"/>
      <c r="B20" s="33" t="s">
        <v>207</v>
      </c>
      <c r="C20" s="30" t="s">
        <v>208</v>
      </c>
      <c r="D20" s="30" t="s">
        <v>115</v>
      </c>
      <c r="E20" s="31" t="s">
        <v>131</v>
      </c>
      <c r="F20" s="34" t="s">
        <v>209</v>
      </c>
      <c r="G20" s="31" t="s">
        <v>108</v>
      </c>
      <c r="H20" s="33" t="s">
        <v>210</v>
      </c>
      <c r="I20" s="30">
        <f>+971501002403</f>
        <v>971501002403</v>
      </c>
      <c r="J20" s="30" t="s">
        <v>208</v>
      </c>
    </row>
    <row r="21" ht="15.75" customHeight="1">
      <c r="A21" s="31"/>
      <c r="B21" s="33" t="s">
        <v>211</v>
      </c>
      <c r="C21" s="30" t="s">
        <v>212</v>
      </c>
      <c r="D21" s="30" t="s">
        <v>115</v>
      </c>
      <c r="E21" s="31" t="s">
        <v>175</v>
      </c>
      <c r="F21" s="34" t="s">
        <v>213</v>
      </c>
      <c r="G21" s="31" t="s">
        <v>108</v>
      </c>
      <c r="H21" s="33" t="s">
        <v>214</v>
      </c>
      <c r="I21" s="30">
        <f>+9203333422711</f>
        <v>9203333422711</v>
      </c>
      <c r="J21" s="30" t="s">
        <v>178</v>
      </c>
    </row>
    <row r="22" ht="15.75" customHeight="1">
      <c r="A22" s="31"/>
      <c r="B22" s="33" t="s">
        <v>215</v>
      </c>
      <c r="C22" s="30" t="s">
        <v>216</v>
      </c>
      <c r="D22" s="30" t="s">
        <v>115</v>
      </c>
      <c r="E22" s="31" t="s">
        <v>131</v>
      </c>
      <c r="F22" s="34" t="s">
        <v>217</v>
      </c>
      <c r="G22" s="31" t="s">
        <v>108</v>
      </c>
      <c r="H22" s="33" t="s">
        <v>218</v>
      </c>
      <c r="I22" s="30">
        <f>+923333766525</f>
        <v>923333766525</v>
      </c>
      <c r="J22" s="30" t="s">
        <v>216</v>
      </c>
    </row>
    <row r="23" ht="15.75" customHeight="1">
      <c r="A23" s="31"/>
      <c r="B23" s="33" t="s">
        <v>219</v>
      </c>
      <c r="C23" s="30" t="s">
        <v>220</v>
      </c>
      <c r="D23" s="30" t="s">
        <v>136</v>
      </c>
      <c r="E23" s="31" t="s">
        <v>143</v>
      </c>
      <c r="F23" s="34" t="s">
        <v>221</v>
      </c>
      <c r="G23" s="31" t="s">
        <v>108</v>
      </c>
      <c r="H23" s="33" t="s">
        <v>222</v>
      </c>
      <c r="I23" s="30">
        <f>+971504112986</f>
        <v>971504112986</v>
      </c>
      <c r="J23" s="30" t="s">
        <v>146</v>
      </c>
    </row>
    <row r="24" ht="15.75" customHeight="1">
      <c r="A24" s="31"/>
      <c r="B24" s="33" t="s">
        <v>223</v>
      </c>
      <c r="C24" s="30" t="s">
        <v>224</v>
      </c>
      <c r="D24" s="30" t="s">
        <v>136</v>
      </c>
      <c r="E24" s="31" t="s">
        <v>137</v>
      </c>
      <c r="F24" s="34" t="s">
        <v>225</v>
      </c>
      <c r="G24" s="31" t="s">
        <v>108</v>
      </c>
      <c r="H24" s="33" t="s">
        <v>226</v>
      </c>
      <c r="I24" s="30">
        <f>+971526089370</f>
        <v>971526089370</v>
      </c>
      <c r="J24" s="30" t="s">
        <v>140</v>
      </c>
    </row>
    <row r="25" ht="15.75" customHeight="1">
      <c r="A25" s="31"/>
      <c r="B25" s="33" t="s">
        <v>227</v>
      </c>
      <c r="C25" s="30" t="s">
        <v>228</v>
      </c>
      <c r="D25" s="30" t="s">
        <v>115</v>
      </c>
      <c r="E25" s="31" t="s">
        <v>229</v>
      </c>
      <c r="F25" s="35" t="s">
        <v>230</v>
      </c>
      <c r="G25" s="31" t="s">
        <v>108</v>
      </c>
      <c r="H25" s="33" t="s">
        <v>11</v>
      </c>
      <c r="I25" s="30">
        <f>+971562267628</f>
        <v>971562267628</v>
      </c>
      <c r="J25" s="30" t="s">
        <v>231</v>
      </c>
    </row>
    <row r="26" ht="15.75" customHeight="1">
      <c r="A26" s="31"/>
      <c r="B26" s="33" t="s">
        <v>232</v>
      </c>
      <c r="C26" s="30" t="s">
        <v>233</v>
      </c>
      <c r="D26" s="30" t="s">
        <v>115</v>
      </c>
      <c r="E26" s="31" t="s">
        <v>107</v>
      </c>
      <c r="F26" s="34" t="s">
        <v>234</v>
      </c>
      <c r="G26" s="31" t="s">
        <v>108</v>
      </c>
      <c r="H26" s="33" t="s">
        <v>235</v>
      </c>
      <c r="I26" s="30">
        <v>9.71563613155E11</v>
      </c>
      <c r="J26" s="30" t="s">
        <v>236</v>
      </c>
    </row>
    <row r="27" ht="15.75" customHeight="1">
      <c r="A27" s="31"/>
      <c r="B27" s="33" t="s">
        <v>237</v>
      </c>
      <c r="C27" s="30" t="s">
        <v>238</v>
      </c>
      <c r="D27" s="30" t="s">
        <v>136</v>
      </c>
      <c r="E27" s="31" t="s">
        <v>107</v>
      </c>
      <c r="F27" s="34" t="s">
        <v>14</v>
      </c>
      <c r="G27" s="31" t="s">
        <v>108</v>
      </c>
      <c r="H27" s="33" t="s">
        <v>15</v>
      </c>
      <c r="I27" s="30">
        <f>+971509230813</f>
        <v>971509230813</v>
      </c>
      <c r="J27" s="30" t="s">
        <v>239</v>
      </c>
    </row>
    <row r="28" ht="15.75" customHeight="1">
      <c r="A28" s="31"/>
      <c r="B28" s="33" t="s">
        <v>240</v>
      </c>
      <c r="C28" s="30" t="s">
        <v>241</v>
      </c>
      <c r="D28" s="30" t="s">
        <v>115</v>
      </c>
      <c r="E28" s="31" t="s">
        <v>242</v>
      </c>
      <c r="F28" s="34" t="s">
        <v>18</v>
      </c>
      <c r="G28" s="31" t="s">
        <v>108</v>
      </c>
      <c r="H28" s="33" t="s">
        <v>19</v>
      </c>
      <c r="I28" s="30">
        <f>+96551536710</f>
        <v>96551536710</v>
      </c>
      <c r="J28" s="30" t="s">
        <v>243</v>
      </c>
    </row>
    <row r="29" ht="15.75" customHeight="1">
      <c r="A29" s="31"/>
      <c r="B29" s="33" t="s">
        <v>244</v>
      </c>
      <c r="C29" s="30" t="s">
        <v>241</v>
      </c>
      <c r="D29" s="30" t="s">
        <v>136</v>
      </c>
      <c r="E29" s="31" t="s">
        <v>127</v>
      </c>
      <c r="F29" s="34" t="s">
        <v>22</v>
      </c>
      <c r="G29" s="31" t="s">
        <v>108</v>
      </c>
      <c r="H29" s="33" t="s">
        <v>23</v>
      </c>
      <c r="I29" s="30">
        <f>+923337395399</f>
        <v>923337395399</v>
      </c>
      <c r="J29" s="30" t="s">
        <v>245</v>
      </c>
    </row>
    <row r="30" ht="15.75" customHeight="1">
      <c r="A30" s="31"/>
      <c r="B30" s="33" t="s">
        <v>246</v>
      </c>
      <c r="C30" s="30" t="s">
        <v>247</v>
      </c>
      <c r="D30" s="30" t="s">
        <v>115</v>
      </c>
      <c r="E30" s="31" t="s">
        <v>248</v>
      </c>
      <c r="F30" s="34" t="s">
        <v>25</v>
      </c>
      <c r="G30" s="31" t="s">
        <v>108</v>
      </c>
      <c r="H30" s="33" t="s">
        <v>26</v>
      </c>
      <c r="I30" s="30">
        <f>+971582703588</f>
        <v>971582703588</v>
      </c>
      <c r="J30" s="30" t="s">
        <v>243</v>
      </c>
    </row>
    <row r="31" ht="15.75" customHeight="1">
      <c r="A31" s="31"/>
      <c r="B31" s="33" t="s">
        <v>249</v>
      </c>
      <c r="C31" s="30" t="s">
        <v>250</v>
      </c>
      <c r="D31" s="30" t="s">
        <v>115</v>
      </c>
      <c r="E31" s="31" t="s">
        <v>155</v>
      </c>
      <c r="F31" s="34" t="s">
        <v>29</v>
      </c>
      <c r="G31" s="31" t="s">
        <v>108</v>
      </c>
      <c r="H31" s="33" t="s">
        <v>30</v>
      </c>
      <c r="I31" s="30">
        <f>+886983437029</f>
        <v>886983437029</v>
      </c>
      <c r="J31" s="30" t="s">
        <v>243</v>
      </c>
    </row>
    <row r="32" ht="15.75" customHeight="1">
      <c r="A32" s="31"/>
      <c r="B32" s="33" t="s">
        <v>251</v>
      </c>
      <c r="C32" s="30" t="s">
        <v>252</v>
      </c>
      <c r="D32" s="30" t="s">
        <v>253</v>
      </c>
      <c r="E32" s="31" t="s">
        <v>121</v>
      </c>
      <c r="F32" s="34" t="s">
        <v>33</v>
      </c>
      <c r="G32" s="31" t="s">
        <v>108</v>
      </c>
      <c r="H32" s="33" t="s">
        <v>34</v>
      </c>
      <c r="I32" s="30">
        <f>+966553126271</f>
        <v>966553126271</v>
      </c>
      <c r="J32" s="30" t="s">
        <v>254</v>
      </c>
    </row>
    <row r="33" ht="15.75" customHeight="1">
      <c r="A33" s="31"/>
      <c r="B33" s="33" t="s">
        <v>255</v>
      </c>
      <c r="C33" s="30" t="s">
        <v>256</v>
      </c>
      <c r="D33" s="30" t="s">
        <v>136</v>
      </c>
      <c r="E33" s="31" t="s">
        <v>143</v>
      </c>
      <c r="F33" s="34" t="s">
        <v>36</v>
      </c>
      <c r="G33" s="31" t="s">
        <v>108</v>
      </c>
      <c r="H33" s="33" t="s">
        <v>37</v>
      </c>
      <c r="I33" s="30">
        <f>+9660535001056</f>
        <v>9660535001056</v>
      </c>
      <c r="J33" s="30" t="s">
        <v>257</v>
      </c>
    </row>
    <row r="34" ht="15.75" customHeight="1">
      <c r="A34" s="31"/>
      <c r="B34" s="33" t="s">
        <v>258</v>
      </c>
      <c r="C34" s="30" t="s">
        <v>259</v>
      </c>
      <c r="D34" s="30" t="s">
        <v>136</v>
      </c>
      <c r="E34" s="31" t="s">
        <v>127</v>
      </c>
      <c r="F34" s="34" t="s">
        <v>39</v>
      </c>
      <c r="G34" s="31" t="s">
        <v>108</v>
      </c>
      <c r="H34" s="33" t="s">
        <v>40</v>
      </c>
      <c r="I34" s="30">
        <f>+923332311922</f>
        <v>923332311922</v>
      </c>
      <c r="J34" s="30" t="s">
        <v>245</v>
      </c>
    </row>
    <row r="35" ht="15.75" customHeight="1">
      <c r="A35" s="31"/>
      <c r="B35" s="33" t="s">
        <v>260</v>
      </c>
      <c r="C35" s="30" t="s">
        <v>247</v>
      </c>
      <c r="D35" s="30" t="s">
        <v>115</v>
      </c>
      <c r="E35" s="31" t="s">
        <v>229</v>
      </c>
      <c r="F35" s="34" t="s">
        <v>41</v>
      </c>
      <c r="G35" s="31" t="s">
        <v>108</v>
      </c>
      <c r="H35" s="33" t="s">
        <v>42</v>
      </c>
      <c r="I35" s="30">
        <f>+96550111061</f>
        <v>96550111061</v>
      </c>
      <c r="J35" s="30" t="s">
        <v>261</v>
      </c>
    </row>
    <row r="36" ht="15.75" customHeight="1">
      <c r="A36" s="31"/>
      <c r="B36" s="33" t="s">
        <v>262</v>
      </c>
      <c r="C36" s="30" t="s">
        <v>263</v>
      </c>
      <c r="D36" s="30" t="s">
        <v>264</v>
      </c>
      <c r="E36" s="31" t="s">
        <v>265</v>
      </c>
      <c r="F36" s="34" t="s">
        <v>47</v>
      </c>
      <c r="G36" s="31" t="s">
        <v>108</v>
      </c>
      <c r="H36" s="33" t="s">
        <v>48</v>
      </c>
      <c r="I36" s="30">
        <f>+9718489755</f>
        <v>9718489755</v>
      </c>
      <c r="J36" s="30" t="s">
        <v>261</v>
      </c>
    </row>
    <row r="37" ht="15.75" customHeight="1">
      <c r="A37" s="31"/>
      <c r="B37" s="33" t="s">
        <v>266</v>
      </c>
      <c r="C37" s="30" t="s">
        <v>267</v>
      </c>
      <c r="D37" s="30" t="s">
        <v>185</v>
      </c>
      <c r="E37" s="31" t="s">
        <v>127</v>
      </c>
      <c r="F37" s="34" t="s">
        <v>50</v>
      </c>
      <c r="G37" s="31" t="s">
        <v>108</v>
      </c>
      <c r="H37" s="33" t="s">
        <v>51</v>
      </c>
      <c r="I37" s="30">
        <f>+92332447766</f>
        <v>92332447766</v>
      </c>
      <c r="J37" s="30" t="s">
        <v>128</v>
      </c>
    </row>
    <row r="38" ht="15.75" customHeight="1">
      <c r="A38" s="31"/>
      <c r="B38" s="33" t="s">
        <v>268</v>
      </c>
      <c r="C38" s="30" t="s">
        <v>267</v>
      </c>
      <c r="D38" s="30" t="s">
        <v>136</v>
      </c>
      <c r="E38" s="31" t="s">
        <v>127</v>
      </c>
      <c r="F38" s="34" t="s">
        <v>52</v>
      </c>
      <c r="G38" s="31" t="s">
        <v>108</v>
      </c>
      <c r="H38" s="33" t="s">
        <v>53</v>
      </c>
      <c r="I38" s="30">
        <f>+923218434681</f>
        <v>923218434681</v>
      </c>
      <c r="J38" s="30" t="s">
        <v>128</v>
      </c>
    </row>
    <row r="39" ht="15.75" customHeight="1">
      <c r="A39" s="31"/>
      <c r="B39" s="33" t="s">
        <v>269</v>
      </c>
      <c r="C39" s="30" t="s">
        <v>125</v>
      </c>
      <c r="D39" s="30" t="s">
        <v>185</v>
      </c>
      <c r="E39" s="31" t="s">
        <v>186</v>
      </c>
      <c r="F39" s="34" t="s">
        <v>54</v>
      </c>
      <c r="G39" s="31" t="s">
        <v>108</v>
      </c>
      <c r="H39" s="33" t="s">
        <v>55</v>
      </c>
      <c r="I39" s="30">
        <f>+923003399448</f>
        <v>923003399448</v>
      </c>
      <c r="J39" s="30" t="s">
        <v>270</v>
      </c>
    </row>
    <row r="40" ht="15.75" customHeight="1">
      <c r="A40" s="31"/>
      <c r="B40" s="33" t="s">
        <v>271</v>
      </c>
      <c r="C40" s="30" t="s">
        <v>125</v>
      </c>
      <c r="D40" s="30" t="s">
        <v>136</v>
      </c>
      <c r="E40" s="31" t="s">
        <v>272</v>
      </c>
      <c r="F40" s="34" t="s">
        <v>57</v>
      </c>
      <c r="G40" s="31" t="s">
        <v>108</v>
      </c>
      <c r="H40" s="33" t="s">
        <v>58</v>
      </c>
      <c r="I40" s="30">
        <f>+971562651373</f>
        <v>971562651373</v>
      </c>
      <c r="J40" s="30" t="s">
        <v>231</v>
      </c>
    </row>
    <row r="41" ht="15.75" customHeight="1">
      <c r="A41" s="31"/>
      <c r="B41" s="33" t="s">
        <v>273</v>
      </c>
      <c r="C41" s="30" t="s">
        <v>267</v>
      </c>
      <c r="D41" s="30" t="s">
        <v>136</v>
      </c>
      <c r="E41" s="31" t="s">
        <v>186</v>
      </c>
      <c r="F41" s="34" t="s">
        <v>60</v>
      </c>
      <c r="G41" s="31" t="s">
        <v>108</v>
      </c>
      <c r="H41" s="33" t="s">
        <v>61</v>
      </c>
      <c r="I41" s="30">
        <f>+923133986768</f>
        <v>923133986768</v>
      </c>
      <c r="J41" s="30" t="s">
        <v>270</v>
      </c>
    </row>
    <row r="42" ht="15.75" customHeight="1">
      <c r="A42" s="31"/>
      <c r="B42" s="33" t="s">
        <v>274</v>
      </c>
      <c r="C42" s="30" t="s">
        <v>275</v>
      </c>
      <c r="D42" s="30" t="s">
        <v>136</v>
      </c>
      <c r="E42" s="31" t="s">
        <v>186</v>
      </c>
      <c r="F42" s="34" t="s">
        <v>62</v>
      </c>
      <c r="G42" s="31" t="s">
        <v>108</v>
      </c>
      <c r="H42" s="33" t="s">
        <v>63</v>
      </c>
      <c r="I42" s="30">
        <f>+923002921765</f>
        <v>923002921765</v>
      </c>
      <c r="J42" s="30" t="s">
        <v>270</v>
      </c>
    </row>
    <row r="43" ht="15.75" customHeight="1">
      <c r="A43" s="31"/>
      <c r="B43" s="33" t="s">
        <v>276</v>
      </c>
      <c r="C43" s="30" t="s">
        <v>277</v>
      </c>
      <c r="D43" s="30" t="s">
        <v>185</v>
      </c>
      <c r="E43" s="31" t="s">
        <v>278</v>
      </c>
      <c r="F43" s="34" t="s">
        <v>64</v>
      </c>
      <c r="G43" s="31" t="s">
        <v>108</v>
      </c>
      <c r="H43" s="33" t="s">
        <v>65</v>
      </c>
      <c r="I43" s="30">
        <f>+918826003232</f>
        <v>918826003232</v>
      </c>
      <c r="J43" s="30" t="s">
        <v>279</v>
      </c>
    </row>
    <row r="44" ht="15.75" customHeight="1">
      <c r="A44" s="31"/>
      <c r="B44" s="33" t="s">
        <v>280</v>
      </c>
      <c r="C44" s="30" t="s">
        <v>277</v>
      </c>
      <c r="D44" s="30" t="s">
        <v>115</v>
      </c>
      <c r="E44" s="31" t="s">
        <v>278</v>
      </c>
      <c r="F44" s="34" t="s">
        <v>68</v>
      </c>
      <c r="G44" s="31" t="s">
        <v>108</v>
      </c>
      <c r="H44" s="33" t="s">
        <v>69</v>
      </c>
      <c r="I44" s="30">
        <f>+9710522936819</f>
        <v>9710522936819</v>
      </c>
      <c r="J44" s="30" t="s">
        <v>279</v>
      </c>
    </row>
    <row r="45" ht="15.75" customHeight="1">
      <c r="A45" s="31"/>
      <c r="B45" s="33" t="s">
        <v>281</v>
      </c>
      <c r="C45" s="30" t="s">
        <v>282</v>
      </c>
      <c r="D45" s="30" t="s">
        <v>106</v>
      </c>
      <c r="E45" s="31" t="s">
        <v>107</v>
      </c>
      <c r="F45" s="34" t="s">
        <v>70</v>
      </c>
      <c r="G45" s="31" t="s">
        <v>108</v>
      </c>
      <c r="H45" s="33" t="s">
        <v>71</v>
      </c>
      <c r="I45" s="30">
        <f>+971505391170</f>
        <v>971505391170</v>
      </c>
      <c r="J45" s="30" t="s">
        <v>283</v>
      </c>
    </row>
    <row r="46" ht="15.75" customHeight="1">
      <c r="A46" s="31"/>
      <c r="B46" s="33" t="s">
        <v>284</v>
      </c>
      <c r="C46" s="30" t="s">
        <v>285</v>
      </c>
      <c r="D46" s="30" t="s">
        <v>115</v>
      </c>
      <c r="E46" s="31" t="s">
        <v>229</v>
      </c>
      <c r="F46" s="34" t="s">
        <v>72</v>
      </c>
      <c r="G46" s="31" t="s">
        <v>108</v>
      </c>
      <c r="H46" s="33" t="s">
        <v>73</v>
      </c>
      <c r="I46" s="30">
        <f>+971505358746</f>
        <v>971505358746</v>
      </c>
      <c r="J46" s="30" t="s">
        <v>231</v>
      </c>
    </row>
    <row r="47" ht="15.75" customHeight="1">
      <c r="A47" s="31"/>
      <c r="B47" s="33" t="s">
        <v>286</v>
      </c>
      <c r="C47" s="30" t="s">
        <v>287</v>
      </c>
      <c r="D47" s="30" t="s">
        <v>185</v>
      </c>
      <c r="E47" s="31" t="s">
        <v>186</v>
      </c>
      <c r="F47" s="34" t="s">
        <v>78</v>
      </c>
      <c r="G47" s="31" t="s">
        <v>108</v>
      </c>
      <c r="H47" s="33" t="s">
        <v>79</v>
      </c>
      <c r="I47" s="30">
        <f>+923000061121</f>
        <v>923000061121</v>
      </c>
      <c r="J47" s="30" t="s">
        <v>270</v>
      </c>
    </row>
    <row r="48" ht="15.75" customHeight="1">
      <c r="A48" s="31"/>
      <c r="B48" s="33" t="s">
        <v>288</v>
      </c>
      <c r="C48" s="30" t="s">
        <v>289</v>
      </c>
      <c r="D48" s="30" t="s">
        <v>115</v>
      </c>
      <c r="E48" s="31" t="s">
        <v>161</v>
      </c>
      <c r="F48" s="34" t="s">
        <v>80</v>
      </c>
      <c r="G48" s="31" t="s">
        <v>108</v>
      </c>
      <c r="H48" s="33" t="s">
        <v>81</v>
      </c>
      <c r="I48" s="30">
        <f>+97333179652</f>
        <v>97333179652</v>
      </c>
      <c r="J48" s="30" t="s">
        <v>290</v>
      </c>
    </row>
    <row r="49" ht="15.75" customHeight="1">
      <c r="A49" s="31"/>
      <c r="B49" s="33" t="s">
        <v>291</v>
      </c>
      <c r="C49" s="36">
        <v>43958.0</v>
      </c>
      <c r="D49" s="30" t="s">
        <v>115</v>
      </c>
      <c r="E49" s="31" t="s">
        <v>229</v>
      </c>
      <c r="F49" s="34" t="s">
        <v>292</v>
      </c>
      <c r="G49" s="30" t="s">
        <v>293</v>
      </c>
      <c r="H49" s="33" t="s">
        <v>294</v>
      </c>
      <c r="I49" s="30">
        <v>9.71506254456E11</v>
      </c>
      <c r="J49" s="30" t="s">
        <v>295</v>
      </c>
    </row>
    <row r="50" ht="15.75" customHeight="1">
      <c r="A50" s="31"/>
      <c r="B50" s="33" t="s">
        <v>296</v>
      </c>
      <c r="C50" s="36">
        <v>43958.0</v>
      </c>
      <c r="D50" s="30" t="s">
        <v>115</v>
      </c>
      <c r="E50" s="31" t="s">
        <v>297</v>
      </c>
      <c r="F50" s="34" t="s">
        <v>298</v>
      </c>
      <c r="G50" s="31" t="s">
        <v>108</v>
      </c>
      <c r="H50" s="33" t="s">
        <v>299</v>
      </c>
      <c r="I50" s="30">
        <v>9.71507575764E11</v>
      </c>
      <c r="J50" s="30" t="s">
        <v>300</v>
      </c>
    </row>
    <row r="51" ht="15.75" customHeight="1">
      <c r="A51" s="31"/>
      <c r="B51" s="33" t="s">
        <v>301</v>
      </c>
      <c r="C51" s="36">
        <v>43957.0</v>
      </c>
      <c r="D51" s="30" t="s">
        <v>115</v>
      </c>
      <c r="E51" s="31" t="s">
        <v>302</v>
      </c>
      <c r="F51" s="34" t="s">
        <v>83</v>
      </c>
      <c r="G51" s="30" t="s">
        <v>303</v>
      </c>
      <c r="H51" s="33" t="s">
        <v>84</v>
      </c>
      <c r="I51" s="30">
        <v>9.78534054E8</v>
      </c>
      <c r="J51" s="30" t="s">
        <v>304</v>
      </c>
    </row>
    <row r="52" ht="15.75" customHeight="1">
      <c r="A52" s="31"/>
      <c r="B52" s="33" t="s">
        <v>305</v>
      </c>
      <c r="C52" s="36">
        <v>43957.0</v>
      </c>
      <c r="D52" s="30" t="s">
        <v>115</v>
      </c>
      <c r="E52" s="31" t="s">
        <v>306</v>
      </c>
      <c r="F52" s="34" t="s">
        <v>86</v>
      </c>
      <c r="G52" s="31" t="s">
        <v>108</v>
      </c>
      <c r="H52" s="33" t="s">
        <v>87</v>
      </c>
      <c r="I52" s="30">
        <f>+971502214902</f>
        <v>971502214902</v>
      </c>
      <c r="J52" s="30" t="s">
        <v>307</v>
      </c>
    </row>
    <row r="53" ht="15.75" customHeight="1">
      <c r="A53" s="31"/>
      <c r="B53" s="33" t="s">
        <v>308</v>
      </c>
      <c r="C53" s="36">
        <v>43957.0</v>
      </c>
      <c r="D53" s="30" t="s">
        <v>115</v>
      </c>
      <c r="E53" s="31" t="s">
        <v>306</v>
      </c>
      <c r="F53" s="34" t="s">
        <v>309</v>
      </c>
      <c r="G53" s="31" t="s">
        <v>108</v>
      </c>
      <c r="H53" s="33" t="s">
        <v>310</v>
      </c>
      <c r="I53" s="30">
        <v>9.71506527691E11</v>
      </c>
      <c r="J53" s="30" t="s">
        <v>311</v>
      </c>
    </row>
    <row r="54" ht="15.75" customHeight="1">
      <c r="A54" s="31"/>
      <c r="B54" s="33" t="s">
        <v>312</v>
      </c>
      <c r="C54" s="36">
        <v>43957.0</v>
      </c>
      <c r="D54" s="30" t="s">
        <v>253</v>
      </c>
      <c r="E54" s="31" t="s">
        <v>121</v>
      </c>
      <c r="F54" s="34" t="s">
        <v>313</v>
      </c>
      <c r="G54" s="31" t="s">
        <v>108</v>
      </c>
      <c r="H54" s="33" t="s">
        <v>314</v>
      </c>
      <c r="I54" s="30">
        <v>9.71581924914E11</v>
      </c>
      <c r="J54" s="30" t="s">
        <v>315</v>
      </c>
    </row>
    <row r="55" ht="15.75" customHeight="1">
      <c r="A55" s="31"/>
      <c r="B55" s="33" t="s">
        <v>316</v>
      </c>
      <c r="C55" s="36">
        <v>43957.0</v>
      </c>
      <c r="D55" s="30" t="s">
        <v>115</v>
      </c>
      <c r="E55" s="31" t="s">
        <v>278</v>
      </c>
      <c r="F55" s="34" t="s">
        <v>89</v>
      </c>
      <c r="G55" s="31" t="s">
        <v>108</v>
      </c>
      <c r="H55" s="33" t="s">
        <v>90</v>
      </c>
      <c r="I55" s="30">
        <f>+966504240137</f>
        <v>966504240137</v>
      </c>
      <c r="J55" s="30" t="s">
        <v>307</v>
      </c>
    </row>
    <row r="56" ht="15.75" customHeight="1">
      <c r="A56" s="31"/>
      <c r="B56" s="33" t="s">
        <v>317</v>
      </c>
      <c r="C56" s="36">
        <v>43957.0</v>
      </c>
      <c r="D56" s="30" t="s">
        <v>115</v>
      </c>
      <c r="E56" s="31" t="s">
        <v>318</v>
      </c>
      <c r="F56" s="34" t="s">
        <v>319</v>
      </c>
      <c r="G56" s="31" t="s">
        <v>108</v>
      </c>
      <c r="H56" s="33" t="s">
        <v>320</v>
      </c>
      <c r="I56" s="30">
        <f>+9710503900877</f>
        <v>9710503900877</v>
      </c>
      <c r="J56" s="30" t="s">
        <v>321</v>
      </c>
    </row>
    <row r="57" ht="15.75" customHeight="1">
      <c r="A57" s="31"/>
      <c r="B57" s="33" t="s">
        <v>322</v>
      </c>
      <c r="C57" s="36">
        <v>43957.0</v>
      </c>
      <c r="D57" s="30" t="s">
        <v>136</v>
      </c>
      <c r="E57" s="31" t="s">
        <v>323</v>
      </c>
      <c r="F57" s="34" t="s">
        <v>324</v>
      </c>
      <c r="G57" s="31" t="s">
        <v>108</v>
      </c>
      <c r="H57" s="33" t="s">
        <v>325</v>
      </c>
      <c r="I57" s="30">
        <v>5.51466046E8</v>
      </c>
      <c r="J57" s="30" t="s">
        <v>326</v>
      </c>
    </row>
    <row r="58" ht="15.75" customHeight="1">
      <c r="A58" s="31"/>
      <c r="B58" s="33" t="s">
        <v>327</v>
      </c>
      <c r="C58" s="36">
        <v>43957.0</v>
      </c>
      <c r="D58" s="30" t="s">
        <v>185</v>
      </c>
      <c r="E58" s="31" t="s">
        <v>328</v>
      </c>
      <c r="F58" s="34" t="s">
        <v>329</v>
      </c>
      <c r="G58" s="31" t="s">
        <v>108</v>
      </c>
      <c r="H58" s="33" t="s">
        <v>330</v>
      </c>
      <c r="I58" s="30" t="str">
        <f>+966 563936617</f>
        <v>#ERROR!</v>
      </c>
      <c r="J58" s="30" t="s">
        <v>331</v>
      </c>
    </row>
    <row r="59" ht="15.75" customHeight="1">
      <c r="A59" s="31"/>
      <c r="B59" s="33" t="s">
        <v>332</v>
      </c>
      <c r="C59" s="36">
        <v>43957.0</v>
      </c>
      <c r="D59" s="30" t="s">
        <v>115</v>
      </c>
      <c r="E59" s="31" t="s">
        <v>229</v>
      </c>
      <c r="F59" s="34" t="s">
        <v>91</v>
      </c>
      <c r="G59" s="31" t="s">
        <v>108</v>
      </c>
      <c r="H59" s="33" t="s">
        <v>92</v>
      </c>
      <c r="I59" s="30">
        <f>+9710558893845</f>
        <v>9710558893845</v>
      </c>
      <c r="J59" s="30" t="s">
        <v>333</v>
      </c>
    </row>
    <row r="60" ht="15.75" customHeight="1">
      <c r="A60" s="31"/>
      <c r="B60" s="33" t="s">
        <v>334</v>
      </c>
      <c r="C60" s="36">
        <v>43957.0</v>
      </c>
      <c r="D60" s="30" t="s">
        <v>115</v>
      </c>
      <c r="E60" s="31" t="s">
        <v>242</v>
      </c>
      <c r="F60" s="34" t="s">
        <v>93</v>
      </c>
      <c r="G60" s="31" t="s">
        <v>108</v>
      </c>
      <c r="H60" s="33" t="s">
        <v>94</v>
      </c>
      <c r="I60" s="30">
        <f>+971502294007</f>
        <v>971502294007</v>
      </c>
      <c r="J60" s="30" t="s">
        <v>335</v>
      </c>
    </row>
    <row r="61" ht="15.75" customHeight="1">
      <c r="A61" s="31"/>
      <c r="B61" s="33" t="s">
        <v>336</v>
      </c>
      <c r="C61" s="36">
        <v>43957.0</v>
      </c>
      <c r="D61" s="30" t="s">
        <v>115</v>
      </c>
      <c r="E61" s="31" t="s">
        <v>229</v>
      </c>
      <c r="F61" s="34" t="s">
        <v>95</v>
      </c>
      <c r="G61" s="31" t="s">
        <v>108</v>
      </c>
      <c r="H61" s="33" t="s">
        <v>96</v>
      </c>
      <c r="I61" s="30">
        <f>+96550747384</f>
        <v>96550747384</v>
      </c>
      <c r="J61" s="30" t="s">
        <v>337</v>
      </c>
    </row>
    <row r="62" ht="15.75" customHeight="1">
      <c r="A62" s="31"/>
      <c r="B62" s="33" t="s">
        <v>338</v>
      </c>
      <c r="C62" s="36">
        <v>43957.0</v>
      </c>
      <c r="D62" s="30" t="s">
        <v>185</v>
      </c>
      <c r="E62" s="31" t="s">
        <v>121</v>
      </c>
      <c r="F62" s="34" t="s">
        <v>97</v>
      </c>
      <c r="G62" s="31" t="s">
        <v>108</v>
      </c>
      <c r="H62" s="33" t="s">
        <v>98</v>
      </c>
      <c r="I62" s="30">
        <f>+96560913748</f>
        <v>96560913748</v>
      </c>
      <c r="J62" s="30" t="s">
        <v>337</v>
      </c>
    </row>
    <row r="63" ht="15.75" customHeight="1">
      <c r="A63" s="31"/>
      <c r="B63" s="33" t="s">
        <v>339</v>
      </c>
      <c r="C63" s="36">
        <v>43957.0</v>
      </c>
      <c r="D63" s="30" t="s">
        <v>253</v>
      </c>
      <c r="E63" s="31" t="s">
        <v>242</v>
      </c>
      <c r="F63" s="34" t="s">
        <v>99</v>
      </c>
      <c r="G63" s="31" t="s">
        <v>108</v>
      </c>
      <c r="H63" s="33" t="s">
        <v>100</v>
      </c>
      <c r="I63" s="30">
        <f>+971556208711</f>
        <v>971556208711</v>
      </c>
      <c r="J63" s="30" t="s">
        <v>340</v>
      </c>
    </row>
    <row r="64" ht="15.75" customHeight="1">
      <c r="A64" s="31"/>
      <c r="B64" s="33" t="s">
        <v>341</v>
      </c>
      <c r="C64" s="36">
        <v>43957.0</v>
      </c>
      <c r="D64" s="30" t="s">
        <v>115</v>
      </c>
      <c r="E64" s="31" t="s">
        <v>318</v>
      </c>
      <c r="F64" s="34" t="s">
        <v>342</v>
      </c>
      <c r="G64" s="31" t="s">
        <v>108</v>
      </c>
      <c r="H64" s="33" t="s">
        <v>343</v>
      </c>
      <c r="I64" s="30">
        <f>+971506648488</f>
        <v>971506648488</v>
      </c>
      <c r="J64" s="30" t="s">
        <v>321</v>
      </c>
    </row>
    <row r="65" ht="15.75" customHeight="1">
      <c r="A65" s="31"/>
      <c r="B65" s="33" t="s">
        <v>344</v>
      </c>
      <c r="C65" s="36">
        <v>43957.0</v>
      </c>
      <c r="D65" s="30" t="s">
        <v>115</v>
      </c>
      <c r="E65" s="31" t="s">
        <v>272</v>
      </c>
      <c r="F65" s="34" t="s">
        <v>101</v>
      </c>
      <c r="G65" s="31" t="s">
        <v>108</v>
      </c>
      <c r="H65" s="33" t="s">
        <v>102</v>
      </c>
      <c r="I65" s="30">
        <f>+270614007914</f>
        <v>270614007914</v>
      </c>
      <c r="J65" s="30" t="s">
        <v>345</v>
      </c>
    </row>
    <row r="66" ht="15.75" customHeight="1">
      <c r="A66" s="31"/>
      <c r="B66" s="33" t="s">
        <v>346</v>
      </c>
      <c r="C66" s="36">
        <v>43957.0</v>
      </c>
      <c r="D66" s="30" t="s">
        <v>115</v>
      </c>
      <c r="E66" s="31" t="s">
        <v>155</v>
      </c>
      <c r="F66" s="34" t="s">
        <v>103</v>
      </c>
      <c r="G66" s="31" t="s">
        <v>108</v>
      </c>
      <c r="H66" s="33" t="s">
        <v>104</v>
      </c>
      <c r="I66" s="30">
        <f>+886955885581</f>
        <v>886955885581</v>
      </c>
      <c r="J66" s="30" t="s">
        <v>347</v>
      </c>
    </row>
    <row r="67" ht="15.75" customHeight="1">
      <c r="A67" s="31"/>
      <c r="B67" s="33" t="s">
        <v>348</v>
      </c>
      <c r="C67" s="36">
        <v>43957.0</v>
      </c>
      <c r="D67" s="30" t="s">
        <v>185</v>
      </c>
      <c r="E67" s="31" t="s">
        <v>306</v>
      </c>
      <c r="F67" s="34" t="s">
        <v>349</v>
      </c>
      <c r="G67" s="31" t="s">
        <v>108</v>
      </c>
      <c r="H67" s="33" t="s">
        <v>350</v>
      </c>
      <c r="I67" s="30">
        <v>9.71564868469E11</v>
      </c>
      <c r="J67" s="30" t="s">
        <v>351</v>
      </c>
    </row>
    <row r="68" ht="15.75" customHeight="1">
      <c r="A68" s="31"/>
      <c r="B68" s="33" t="s">
        <v>352</v>
      </c>
      <c r="C68" s="36">
        <v>43957.0</v>
      </c>
      <c r="D68" s="30" t="s">
        <v>115</v>
      </c>
      <c r="E68" s="31" t="s">
        <v>353</v>
      </c>
      <c r="F68" s="34" t="s">
        <v>354</v>
      </c>
      <c r="G68" s="31" t="s">
        <v>108</v>
      </c>
      <c r="H68" s="33" t="s">
        <v>355</v>
      </c>
      <c r="I68" s="30">
        <v>9.71501000045E11</v>
      </c>
      <c r="J68" s="30" t="s">
        <v>356</v>
      </c>
    </row>
    <row r="69" ht="29.25" customHeight="1">
      <c r="A69" s="31"/>
      <c r="B69" s="33" t="s">
        <v>357</v>
      </c>
      <c r="C69" s="36">
        <v>43957.0</v>
      </c>
      <c r="D69" s="30" t="s">
        <v>115</v>
      </c>
      <c r="E69" s="31" t="s">
        <v>353</v>
      </c>
      <c r="F69" s="34" t="s">
        <v>358</v>
      </c>
      <c r="G69" s="31" t="s">
        <v>108</v>
      </c>
      <c r="H69" s="33" t="s">
        <v>359</v>
      </c>
      <c r="I69" s="30">
        <v>9.7155405775E11</v>
      </c>
      <c r="J69" s="30" t="s">
        <v>360</v>
      </c>
    </row>
    <row r="70" ht="15.75" customHeight="1">
      <c r="A70" s="37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H2"/>
    <hyperlink r:id="rId3" ref="B3"/>
    <hyperlink r:id="rId4" ref="H3"/>
    <hyperlink r:id="rId5" ref="B4"/>
    <hyperlink r:id="rId6" ref="F4"/>
    <hyperlink r:id="rId7" ref="H4"/>
    <hyperlink r:id="rId8" ref="B5"/>
    <hyperlink r:id="rId9" ref="F5"/>
    <hyperlink r:id="rId10" ref="H5"/>
    <hyperlink r:id="rId11" ref="B6"/>
    <hyperlink r:id="rId12" ref="F6"/>
    <hyperlink r:id="rId13" ref="H6"/>
    <hyperlink r:id="rId14" ref="B7"/>
    <hyperlink r:id="rId15" ref="F7"/>
    <hyperlink r:id="rId16" ref="H7"/>
    <hyperlink r:id="rId17" ref="B8"/>
    <hyperlink r:id="rId18" ref="F8"/>
    <hyperlink r:id="rId19" ref="H8"/>
    <hyperlink r:id="rId20" ref="B9"/>
    <hyperlink r:id="rId21" ref="F9"/>
    <hyperlink r:id="rId22" ref="H9"/>
    <hyperlink r:id="rId23" ref="B10"/>
    <hyperlink r:id="rId24" ref="F10"/>
    <hyperlink r:id="rId25" ref="H10"/>
    <hyperlink r:id="rId26" ref="B11"/>
    <hyperlink r:id="rId27" ref="F11"/>
    <hyperlink r:id="rId28" ref="H11"/>
    <hyperlink r:id="rId29" ref="B12"/>
    <hyperlink r:id="rId30" ref="F12"/>
    <hyperlink r:id="rId31" ref="H12"/>
    <hyperlink r:id="rId32" ref="B13"/>
    <hyperlink r:id="rId33" ref="F13"/>
    <hyperlink r:id="rId34" ref="H13"/>
    <hyperlink r:id="rId35" ref="B14"/>
    <hyperlink r:id="rId36" ref="F14"/>
    <hyperlink r:id="rId37" ref="H14"/>
    <hyperlink r:id="rId38" ref="B15"/>
    <hyperlink r:id="rId39" ref="F15"/>
    <hyperlink r:id="rId40" ref="H15"/>
    <hyperlink r:id="rId41" ref="B16"/>
    <hyperlink r:id="rId42" ref="F16"/>
    <hyperlink r:id="rId43" ref="H16"/>
    <hyperlink r:id="rId44" ref="B17"/>
    <hyperlink r:id="rId45" ref="F17"/>
    <hyperlink r:id="rId46" ref="H17"/>
    <hyperlink r:id="rId47" ref="B18"/>
    <hyperlink r:id="rId48" ref="F18"/>
    <hyperlink r:id="rId49" ref="H18"/>
    <hyperlink r:id="rId50" ref="B19"/>
    <hyperlink r:id="rId51" ref="F19"/>
    <hyperlink r:id="rId52" ref="H19"/>
    <hyperlink r:id="rId53" ref="B20"/>
    <hyperlink r:id="rId54" ref="F20"/>
    <hyperlink r:id="rId55" ref="H20"/>
    <hyperlink r:id="rId56" ref="B21"/>
    <hyperlink r:id="rId57" ref="F21"/>
    <hyperlink r:id="rId58" ref="H21"/>
    <hyperlink r:id="rId59" ref="B22"/>
    <hyperlink r:id="rId60" ref="F22"/>
    <hyperlink r:id="rId61" ref="H22"/>
    <hyperlink r:id="rId62" ref="B23"/>
    <hyperlink r:id="rId63" ref="F23"/>
    <hyperlink r:id="rId64" ref="H23"/>
    <hyperlink r:id="rId65" ref="B24"/>
    <hyperlink r:id="rId66" ref="F24"/>
    <hyperlink r:id="rId67" ref="H24"/>
    <hyperlink r:id="rId68" ref="B25"/>
    <hyperlink r:id="rId69" ref="F25"/>
    <hyperlink r:id="rId70" ref="H25"/>
    <hyperlink r:id="rId71" ref="B26"/>
    <hyperlink r:id="rId72" ref="F26"/>
    <hyperlink r:id="rId73" ref="H26"/>
    <hyperlink r:id="rId74" ref="B27"/>
    <hyperlink r:id="rId75" ref="F27"/>
    <hyperlink r:id="rId76" ref="H27"/>
    <hyperlink r:id="rId77" ref="B28"/>
    <hyperlink r:id="rId78" ref="F28"/>
    <hyperlink r:id="rId79" ref="H28"/>
    <hyperlink r:id="rId80" ref="B29"/>
    <hyperlink r:id="rId81" ref="F29"/>
    <hyperlink r:id="rId82" ref="H29"/>
    <hyperlink r:id="rId83" ref="B30"/>
    <hyperlink r:id="rId84" ref="F30"/>
    <hyperlink r:id="rId85" ref="H30"/>
    <hyperlink r:id="rId86" ref="B31"/>
    <hyperlink r:id="rId87" ref="F31"/>
    <hyperlink r:id="rId88" ref="H31"/>
    <hyperlink r:id="rId89" ref="B32"/>
    <hyperlink r:id="rId90" ref="F32"/>
    <hyperlink r:id="rId91" ref="H32"/>
    <hyperlink r:id="rId92" ref="B33"/>
    <hyperlink r:id="rId93" ref="F33"/>
    <hyperlink r:id="rId94" ref="H33"/>
    <hyperlink r:id="rId95" ref="B34"/>
    <hyperlink r:id="rId96" ref="F34"/>
    <hyperlink r:id="rId97" ref="H34"/>
    <hyperlink r:id="rId98" ref="B35"/>
    <hyperlink r:id="rId99" ref="F35"/>
    <hyperlink r:id="rId100" ref="H35"/>
    <hyperlink r:id="rId101" ref="B36"/>
    <hyperlink r:id="rId102" ref="F36"/>
    <hyperlink r:id="rId103" ref="H36"/>
    <hyperlink r:id="rId104" ref="B37"/>
    <hyperlink r:id="rId105" ref="F37"/>
    <hyperlink r:id="rId106" ref="H37"/>
    <hyperlink r:id="rId107" ref="B38"/>
    <hyperlink r:id="rId108" ref="F38"/>
    <hyperlink r:id="rId109" ref="H38"/>
    <hyperlink r:id="rId110" ref="B39"/>
    <hyperlink r:id="rId111" ref="F39"/>
    <hyperlink r:id="rId112" ref="H39"/>
    <hyperlink r:id="rId113" ref="B40"/>
    <hyperlink r:id="rId114" ref="F40"/>
    <hyperlink r:id="rId115" ref="H40"/>
    <hyperlink r:id="rId116" ref="B41"/>
    <hyperlink r:id="rId117" ref="F41"/>
    <hyperlink r:id="rId118" ref="H41"/>
    <hyperlink r:id="rId119" ref="B42"/>
    <hyperlink r:id="rId120" ref="F42"/>
    <hyperlink r:id="rId121" ref="H42"/>
    <hyperlink r:id="rId122" ref="B43"/>
    <hyperlink r:id="rId123" ref="F43"/>
    <hyperlink r:id="rId124" ref="H43"/>
    <hyperlink r:id="rId125" ref="B44"/>
    <hyperlink r:id="rId126" ref="F44"/>
    <hyperlink r:id="rId127" ref="H44"/>
    <hyperlink r:id="rId128" ref="B45"/>
    <hyperlink r:id="rId129" ref="F45"/>
    <hyperlink r:id="rId130" ref="H45"/>
    <hyperlink r:id="rId131" ref="B46"/>
    <hyperlink r:id="rId132" ref="F46"/>
    <hyperlink r:id="rId133" ref="H46"/>
    <hyperlink r:id="rId134" ref="B47"/>
    <hyperlink r:id="rId135" ref="F47"/>
    <hyperlink r:id="rId136" ref="H47"/>
    <hyperlink r:id="rId137" ref="B48"/>
    <hyperlink r:id="rId138" ref="F48"/>
    <hyperlink r:id="rId139" ref="H48"/>
    <hyperlink r:id="rId140" ref="B49"/>
    <hyperlink r:id="rId141" ref="F49"/>
    <hyperlink r:id="rId142" ref="H49"/>
    <hyperlink r:id="rId143" ref="B50"/>
    <hyperlink r:id="rId144" ref="F50"/>
    <hyperlink r:id="rId145" ref="H50"/>
    <hyperlink r:id="rId146" ref="B51"/>
    <hyperlink r:id="rId147" ref="F51"/>
    <hyperlink r:id="rId148" ref="H51"/>
    <hyperlink r:id="rId149" ref="B52"/>
    <hyperlink r:id="rId150" ref="F52"/>
    <hyperlink r:id="rId151" ref="H52"/>
    <hyperlink r:id="rId152" ref="B53"/>
    <hyperlink r:id="rId153" ref="F53"/>
    <hyperlink r:id="rId154" ref="H53"/>
    <hyperlink r:id="rId155" ref="B54"/>
    <hyperlink r:id="rId156" ref="F54"/>
    <hyperlink r:id="rId157" ref="H54"/>
    <hyperlink r:id="rId158" ref="B55"/>
    <hyperlink r:id="rId159" ref="F55"/>
    <hyperlink r:id="rId160" ref="H55"/>
    <hyperlink r:id="rId161" ref="B56"/>
    <hyperlink r:id="rId162" ref="F56"/>
    <hyperlink r:id="rId163" ref="H56"/>
    <hyperlink r:id="rId164" ref="B57"/>
    <hyperlink r:id="rId165" ref="F57"/>
    <hyperlink r:id="rId166" ref="H57"/>
    <hyperlink r:id="rId167" ref="B58"/>
    <hyperlink r:id="rId168" ref="F58"/>
    <hyperlink r:id="rId169" ref="H58"/>
    <hyperlink r:id="rId170" ref="B59"/>
    <hyperlink r:id="rId171" ref="F59"/>
    <hyperlink r:id="rId172" ref="H59"/>
    <hyperlink r:id="rId173" ref="B60"/>
    <hyperlink r:id="rId174" ref="F60"/>
    <hyperlink r:id="rId175" ref="H60"/>
    <hyperlink r:id="rId176" ref="B61"/>
    <hyperlink r:id="rId177" ref="F61"/>
    <hyperlink r:id="rId178" ref="H61"/>
    <hyperlink r:id="rId179" ref="B62"/>
    <hyperlink r:id="rId180" ref="F62"/>
    <hyperlink r:id="rId181" ref="H62"/>
    <hyperlink r:id="rId182" ref="B63"/>
    <hyperlink r:id="rId183" ref="F63"/>
    <hyperlink r:id="rId184" ref="H63"/>
    <hyperlink r:id="rId185" ref="B64"/>
    <hyperlink r:id="rId186" ref="F64"/>
    <hyperlink r:id="rId187" ref="H64"/>
    <hyperlink r:id="rId188" ref="B65"/>
    <hyperlink r:id="rId189" ref="F65"/>
    <hyperlink r:id="rId190" ref="H65"/>
    <hyperlink r:id="rId191" ref="B66"/>
    <hyperlink r:id="rId192" ref="F66"/>
    <hyperlink r:id="rId193" ref="H66"/>
    <hyperlink r:id="rId194" ref="B67"/>
    <hyperlink r:id="rId195" ref="F67"/>
    <hyperlink r:id="rId196" ref="H67"/>
    <hyperlink r:id="rId197" ref="B68"/>
    <hyperlink r:id="rId198" ref="F68"/>
    <hyperlink r:id="rId199" ref="H68"/>
    <hyperlink r:id="rId200" ref="B69"/>
    <hyperlink r:id="rId201" ref="F69"/>
    <hyperlink r:id="rId202" ref="H69"/>
  </hyperlinks>
  <drawing r:id="rId2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71"/>
    <col customWidth="1" min="3" max="3" width="17.71"/>
    <col customWidth="1" min="4" max="4" width="26.0"/>
    <col customWidth="1" min="5" max="6" width="14.43"/>
    <col customWidth="1" min="8" max="8" width="30.0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8" t="s">
        <v>6</v>
      </c>
      <c r="G1" s="7" t="s">
        <v>7</v>
      </c>
      <c r="H1" s="39" t="s">
        <v>361</v>
      </c>
      <c r="I1" s="40" t="s">
        <v>362</v>
      </c>
    </row>
    <row r="2" ht="15.75" customHeight="1">
      <c r="A2" s="17" t="s">
        <v>363</v>
      </c>
      <c r="B2" s="41" t="s">
        <v>364</v>
      </c>
      <c r="C2" s="15" t="s">
        <v>150</v>
      </c>
      <c r="D2" s="16" t="s">
        <v>151</v>
      </c>
      <c r="E2" s="17">
        <f>+353872672229</f>
        <v>353872672229</v>
      </c>
      <c r="F2" s="42" t="s">
        <v>365</v>
      </c>
      <c r="G2" s="43" t="s">
        <v>366</v>
      </c>
      <c r="H2" s="44" t="s">
        <v>367</v>
      </c>
      <c r="I2" s="13"/>
    </row>
    <row r="3" ht="15.75" customHeight="1">
      <c r="A3" s="17" t="s">
        <v>363</v>
      </c>
      <c r="B3" s="41" t="s">
        <v>32</v>
      </c>
      <c r="C3" s="45" t="s">
        <v>221</v>
      </c>
      <c r="D3" s="16" t="s">
        <v>222</v>
      </c>
      <c r="E3" s="17">
        <f>+971504112986</f>
        <v>971504112986</v>
      </c>
      <c r="F3" s="42" t="s">
        <v>365</v>
      </c>
      <c r="G3" s="22" t="s">
        <v>38</v>
      </c>
      <c r="H3" s="44" t="s">
        <v>368</v>
      </c>
      <c r="I3" s="13"/>
    </row>
    <row r="4" ht="15.75" customHeight="1">
      <c r="A4" s="17" t="s">
        <v>363</v>
      </c>
      <c r="B4" s="41" t="s">
        <v>17</v>
      </c>
      <c r="C4" s="45" t="s">
        <v>144</v>
      </c>
      <c r="D4" s="16" t="s">
        <v>145</v>
      </c>
      <c r="E4" s="17">
        <f>+966532017368</f>
        <v>966532017368</v>
      </c>
      <c r="F4" s="42" t="s">
        <v>365</v>
      </c>
      <c r="G4" s="22" t="s">
        <v>38</v>
      </c>
      <c r="H4" s="44" t="s">
        <v>369</v>
      </c>
      <c r="I4" s="13"/>
    </row>
    <row r="5" ht="15.75" customHeight="1">
      <c r="A5" s="17" t="s">
        <v>363</v>
      </c>
      <c r="B5" s="10" t="s">
        <v>21</v>
      </c>
      <c r="C5" s="45" t="s">
        <v>181</v>
      </c>
      <c r="D5" s="16" t="s">
        <v>182</v>
      </c>
      <c r="E5" s="17">
        <f>+9203222056805</f>
        <v>9203222056805</v>
      </c>
      <c r="F5" s="42" t="s">
        <v>365</v>
      </c>
      <c r="G5" s="22" t="s">
        <v>370</v>
      </c>
      <c r="H5" s="44"/>
      <c r="I5" s="13"/>
    </row>
    <row r="6" ht="15.75" customHeight="1">
      <c r="A6" s="17" t="s">
        <v>363</v>
      </c>
      <c r="B6" s="41" t="s">
        <v>371</v>
      </c>
      <c r="C6" s="15" t="s">
        <v>205</v>
      </c>
      <c r="D6" s="16" t="s">
        <v>206</v>
      </c>
      <c r="E6" s="17">
        <f>+9710555369397</f>
        <v>9710555369397</v>
      </c>
      <c r="F6" s="42" t="s">
        <v>365</v>
      </c>
      <c r="G6" s="22" t="s">
        <v>372</v>
      </c>
      <c r="H6" s="44" t="s">
        <v>373</v>
      </c>
      <c r="I6" s="13"/>
    </row>
    <row r="7" ht="15.75" customHeight="1">
      <c r="A7" s="17" t="s">
        <v>363</v>
      </c>
      <c r="B7" s="41" t="s">
        <v>371</v>
      </c>
      <c r="C7" s="15" t="s">
        <v>138</v>
      </c>
      <c r="D7" s="16" t="s">
        <v>139</v>
      </c>
      <c r="E7" s="17">
        <f>+971504868464</f>
        <v>971504868464</v>
      </c>
      <c r="F7" s="42" t="s">
        <v>365</v>
      </c>
      <c r="G7" s="22" t="s">
        <v>374</v>
      </c>
      <c r="H7" s="44" t="s">
        <v>375</v>
      </c>
      <c r="I7" s="13"/>
    </row>
    <row r="8" ht="15.75" customHeight="1">
      <c r="A8" s="17" t="s">
        <v>363</v>
      </c>
      <c r="B8" s="41" t="s">
        <v>371</v>
      </c>
      <c r="C8" s="15" t="s">
        <v>225</v>
      </c>
      <c r="D8" s="16" t="s">
        <v>226</v>
      </c>
      <c r="E8" s="17">
        <f>+971526089370</f>
        <v>971526089370</v>
      </c>
      <c r="F8" s="42" t="s">
        <v>365</v>
      </c>
      <c r="G8" s="22" t="s">
        <v>376</v>
      </c>
      <c r="H8" s="44" t="s">
        <v>377</v>
      </c>
      <c r="I8" s="13"/>
    </row>
    <row r="9" ht="15.75" customHeight="1">
      <c r="A9" s="17" t="s">
        <v>363</v>
      </c>
      <c r="B9" s="41" t="s">
        <v>28</v>
      </c>
      <c r="C9" s="15" t="s">
        <v>156</v>
      </c>
      <c r="D9" s="16" t="s">
        <v>157</v>
      </c>
      <c r="E9" s="17">
        <f>+886970391590</f>
        <v>886970391590</v>
      </c>
      <c r="F9" s="42" t="s">
        <v>365</v>
      </c>
      <c r="G9" s="22" t="s">
        <v>31</v>
      </c>
      <c r="H9" s="44" t="s">
        <v>378</v>
      </c>
      <c r="I9" s="13"/>
    </row>
    <row r="10" ht="15.75" customHeight="1">
      <c r="A10" s="17" t="s">
        <v>363</v>
      </c>
      <c r="B10" s="41" t="s">
        <v>28</v>
      </c>
      <c r="C10" s="15" t="s">
        <v>162</v>
      </c>
      <c r="D10" s="16" t="s">
        <v>163</v>
      </c>
      <c r="E10" s="17">
        <f>+886956171908</f>
        <v>886956171908</v>
      </c>
      <c r="F10" s="42" t="s">
        <v>365</v>
      </c>
      <c r="G10" s="46" t="s">
        <v>82</v>
      </c>
      <c r="H10" s="44" t="s">
        <v>379</v>
      </c>
      <c r="I10" s="13"/>
    </row>
    <row r="11" ht="15.75" customHeight="1">
      <c r="A11" s="17" t="s">
        <v>363</v>
      </c>
      <c r="B11" s="47" t="s">
        <v>380</v>
      </c>
      <c r="C11" s="47" t="s">
        <v>381</v>
      </c>
      <c r="D11" s="47" t="s">
        <v>359</v>
      </c>
      <c r="E11" s="48">
        <v>9.7155405775E11</v>
      </c>
      <c r="F11" s="42" t="s">
        <v>382</v>
      </c>
      <c r="G11" s="20" t="s">
        <v>383</v>
      </c>
      <c r="H11" s="44" t="s">
        <v>378</v>
      </c>
      <c r="I11" s="13"/>
    </row>
    <row r="12" ht="15.75" customHeight="1">
      <c r="A12" s="17" t="s">
        <v>363</v>
      </c>
      <c r="B12" s="47" t="s">
        <v>384</v>
      </c>
      <c r="C12" s="47" t="s">
        <v>385</v>
      </c>
      <c r="D12" s="47" t="s">
        <v>355</v>
      </c>
      <c r="E12" s="48">
        <v>9.71501000045E11</v>
      </c>
      <c r="F12" s="42" t="s">
        <v>382</v>
      </c>
      <c r="G12" s="20" t="s">
        <v>383</v>
      </c>
      <c r="H12" s="44" t="s">
        <v>378</v>
      </c>
      <c r="I12" s="13"/>
    </row>
    <row r="13" ht="15.75" customHeight="1">
      <c r="A13" s="17" t="s">
        <v>363</v>
      </c>
      <c r="B13" s="47" t="s">
        <v>386</v>
      </c>
      <c r="C13" s="47" t="s">
        <v>387</v>
      </c>
      <c r="D13" s="47" t="s">
        <v>350</v>
      </c>
      <c r="E13" s="48">
        <v>9.71564868469E11</v>
      </c>
      <c r="F13" s="42" t="s">
        <v>382</v>
      </c>
      <c r="G13" s="20" t="s">
        <v>88</v>
      </c>
      <c r="H13" s="44" t="s">
        <v>379</v>
      </c>
      <c r="I13" s="13"/>
    </row>
    <row r="14" ht="15.75" customHeight="1">
      <c r="A14" s="17" t="s">
        <v>363</v>
      </c>
      <c r="B14" s="47" t="s">
        <v>384</v>
      </c>
      <c r="C14" s="47" t="s">
        <v>388</v>
      </c>
      <c r="D14" s="47" t="s">
        <v>314</v>
      </c>
      <c r="E14" s="48">
        <v>9.71581924914E11</v>
      </c>
      <c r="F14" s="42" t="s">
        <v>382</v>
      </c>
      <c r="G14" s="20" t="s">
        <v>372</v>
      </c>
      <c r="H14" s="44" t="s">
        <v>389</v>
      </c>
      <c r="I14" s="13"/>
    </row>
    <row r="15" ht="15.75" customHeight="1">
      <c r="A15" s="49" t="s">
        <v>363</v>
      </c>
      <c r="B15" s="47" t="s">
        <v>386</v>
      </c>
      <c r="C15" s="47" t="s">
        <v>390</v>
      </c>
      <c r="D15" s="47" t="s">
        <v>310</v>
      </c>
      <c r="E15" s="48">
        <v>9.71506527691E11</v>
      </c>
      <c r="F15" s="50" t="s">
        <v>382</v>
      </c>
      <c r="G15" s="47" t="s">
        <v>88</v>
      </c>
      <c r="H15" s="44" t="s">
        <v>391</v>
      </c>
      <c r="I15" s="51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5.75" customHeight="1">
      <c r="A16" s="17" t="s">
        <v>363</v>
      </c>
      <c r="B16" s="47" t="s">
        <v>392</v>
      </c>
      <c r="C16" s="47" t="s">
        <v>393</v>
      </c>
      <c r="D16" s="47" t="s">
        <v>394</v>
      </c>
      <c r="E16" s="48">
        <v>9.71502828044E11</v>
      </c>
      <c r="F16" s="42" t="s">
        <v>382</v>
      </c>
      <c r="G16" s="20" t="s">
        <v>59</v>
      </c>
      <c r="H16" s="44" t="s">
        <v>369</v>
      </c>
      <c r="I16" s="13"/>
    </row>
    <row r="17" ht="15.75" customHeight="1">
      <c r="A17" s="17" t="s">
        <v>363</v>
      </c>
      <c r="B17" s="47" t="s">
        <v>386</v>
      </c>
      <c r="C17" s="47" t="s">
        <v>395</v>
      </c>
      <c r="D17" s="47" t="s">
        <v>299</v>
      </c>
      <c r="E17" s="48">
        <v>9.71507575764E11</v>
      </c>
      <c r="F17" s="42" t="s">
        <v>382</v>
      </c>
      <c r="G17" s="20" t="s">
        <v>396</v>
      </c>
      <c r="H17" s="44" t="s">
        <v>378</v>
      </c>
      <c r="I17" s="13"/>
    </row>
    <row r="18" ht="15.75" customHeight="1">
      <c r="A18" s="17" t="s">
        <v>363</v>
      </c>
      <c r="B18" s="47" t="s">
        <v>397</v>
      </c>
      <c r="C18" s="47" t="s">
        <v>398</v>
      </c>
      <c r="D18" s="47" t="s">
        <v>294</v>
      </c>
      <c r="E18" s="48">
        <v>9.71506254456E11</v>
      </c>
      <c r="F18" s="42" t="s">
        <v>382</v>
      </c>
      <c r="G18" s="20" t="s">
        <v>16</v>
      </c>
      <c r="H18" s="44" t="s">
        <v>399</v>
      </c>
      <c r="I18" s="13"/>
    </row>
    <row r="19" ht="78.0" customHeight="1">
      <c r="A19" s="17" t="s">
        <v>363</v>
      </c>
      <c r="B19" s="47" t="s">
        <v>386</v>
      </c>
      <c r="C19" s="47" t="s">
        <v>400</v>
      </c>
      <c r="D19" s="47" t="s">
        <v>235</v>
      </c>
      <c r="E19" s="48">
        <v>9.71563613155E11</v>
      </c>
      <c r="F19" s="42" t="s">
        <v>382</v>
      </c>
      <c r="G19" s="20" t="s">
        <v>16</v>
      </c>
      <c r="H19" s="53" t="s">
        <v>401</v>
      </c>
      <c r="I19" s="13"/>
    </row>
    <row r="20" ht="15.75" customHeight="1">
      <c r="G20" s="29"/>
      <c r="H20" s="54"/>
    </row>
    <row r="21" ht="15.75" customHeight="1">
      <c r="G21" s="29"/>
      <c r="H21" s="54"/>
    </row>
    <row r="22" ht="15.75" customHeight="1">
      <c r="G22" s="29"/>
      <c r="H22" s="54"/>
    </row>
    <row r="23" ht="15.75" customHeight="1">
      <c r="G23" s="29"/>
      <c r="H23" s="54"/>
    </row>
    <row r="24" ht="15.75" customHeight="1">
      <c r="G24" s="29"/>
      <c r="H24" s="54"/>
    </row>
    <row r="25" ht="15.75" customHeight="1">
      <c r="G25" s="29"/>
      <c r="H25" s="54"/>
    </row>
    <row r="26" ht="15.75" customHeight="1">
      <c r="G26" s="29"/>
      <c r="H26" s="54"/>
    </row>
    <row r="27" ht="15.75" customHeight="1">
      <c r="G27" s="29"/>
      <c r="H27" s="54"/>
    </row>
    <row r="28" ht="15.75" customHeight="1">
      <c r="G28" s="29"/>
      <c r="H28" s="54"/>
    </row>
    <row r="29" ht="15.75" customHeight="1">
      <c r="G29" s="29"/>
      <c r="H29" s="54"/>
    </row>
    <row r="30" ht="15.75" customHeight="1">
      <c r="G30" s="29"/>
      <c r="H30" s="54"/>
    </row>
    <row r="31" ht="15.75" customHeight="1">
      <c r="G31" s="29"/>
      <c r="H31" s="54"/>
    </row>
    <row r="32" ht="15.75" customHeight="1">
      <c r="G32" s="29"/>
      <c r="H32" s="54"/>
    </row>
    <row r="33" ht="15.75" customHeight="1">
      <c r="G33" s="29"/>
      <c r="H33" s="54"/>
    </row>
    <row r="34" ht="15.75" customHeight="1">
      <c r="G34" s="29"/>
      <c r="H34" s="54"/>
    </row>
    <row r="35" ht="15.75" customHeight="1">
      <c r="G35" s="29"/>
      <c r="H35" s="54"/>
    </row>
    <row r="36" ht="15.75" customHeight="1">
      <c r="G36" s="29"/>
      <c r="H36" s="54"/>
    </row>
    <row r="37" ht="15.75" customHeight="1">
      <c r="G37" s="29"/>
      <c r="H37" s="54"/>
    </row>
    <row r="38" ht="15.75" customHeight="1">
      <c r="G38" s="29"/>
      <c r="H38" s="54"/>
    </row>
    <row r="39" ht="15.75" customHeight="1">
      <c r="G39" s="29"/>
      <c r="H39" s="54"/>
    </row>
    <row r="40" ht="15.75" customHeight="1">
      <c r="G40" s="29"/>
      <c r="H40" s="54"/>
    </row>
    <row r="41" ht="15.75" customHeight="1">
      <c r="G41" s="29"/>
      <c r="H41" s="54"/>
    </row>
    <row r="42" ht="15.75" customHeight="1">
      <c r="G42" s="29"/>
      <c r="H42" s="54"/>
    </row>
    <row r="43" ht="15.75" customHeight="1">
      <c r="G43" s="29"/>
      <c r="H43" s="54"/>
    </row>
    <row r="44" ht="15.75" customHeight="1">
      <c r="G44" s="29"/>
      <c r="H44" s="54"/>
    </row>
    <row r="45" ht="15.75" customHeight="1">
      <c r="G45" s="29"/>
      <c r="H45" s="54"/>
    </row>
    <row r="46" ht="15.75" customHeight="1">
      <c r="G46" s="29"/>
      <c r="H46" s="54"/>
    </row>
    <row r="47" ht="15.75" customHeight="1">
      <c r="G47" s="29"/>
      <c r="H47" s="54"/>
    </row>
    <row r="48" ht="15.75" customHeight="1">
      <c r="G48" s="29"/>
      <c r="H48" s="54"/>
    </row>
    <row r="49" ht="15.75" customHeight="1">
      <c r="G49" s="29"/>
      <c r="H49" s="54"/>
    </row>
    <row r="50" ht="15.75" customHeight="1">
      <c r="G50" s="29"/>
      <c r="H50" s="54"/>
    </row>
    <row r="51" ht="15.75" customHeight="1">
      <c r="G51" s="29"/>
      <c r="H51" s="54"/>
    </row>
    <row r="52" ht="15.75" customHeight="1">
      <c r="G52" s="29"/>
      <c r="H52" s="54"/>
    </row>
    <row r="53" ht="15.75" customHeight="1">
      <c r="G53" s="29"/>
      <c r="H53" s="54"/>
    </row>
    <row r="54" ht="15.75" customHeight="1">
      <c r="G54" s="29"/>
      <c r="H54" s="54"/>
    </row>
    <row r="55" ht="15.75" customHeight="1">
      <c r="G55" s="29"/>
      <c r="H55" s="54"/>
    </row>
    <row r="56" ht="15.75" customHeight="1">
      <c r="G56" s="29"/>
      <c r="H56" s="54"/>
    </row>
    <row r="57" ht="15.75" customHeight="1">
      <c r="G57" s="29"/>
      <c r="H57" s="54"/>
    </row>
    <row r="58" ht="15.75" customHeight="1">
      <c r="G58" s="29"/>
      <c r="H58" s="54"/>
    </row>
    <row r="59" ht="15.75" customHeight="1">
      <c r="G59" s="29"/>
      <c r="H59" s="54"/>
    </row>
    <row r="60" ht="15.75" customHeight="1">
      <c r="G60" s="29"/>
      <c r="H60" s="54"/>
    </row>
    <row r="61" ht="15.75" customHeight="1">
      <c r="G61" s="29"/>
      <c r="H61" s="54"/>
    </row>
    <row r="62" ht="15.75" customHeight="1">
      <c r="G62" s="29"/>
      <c r="H62" s="54"/>
    </row>
    <row r="63" ht="15.75" customHeight="1">
      <c r="G63" s="29"/>
      <c r="H63" s="54"/>
    </row>
    <row r="64" ht="15.75" customHeight="1">
      <c r="G64" s="29"/>
      <c r="H64" s="54"/>
    </row>
    <row r="65" ht="15.75" customHeight="1">
      <c r="G65" s="29"/>
      <c r="H65" s="54"/>
    </row>
    <row r="66" ht="15.75" customHeight="1">
      <c r="G66" s="29"/>
      <c r="H66" s="54"/>
    </row>
    <row r="67" ht="15.75" customHeight="1">
      <c r="G67" s="29"/>
      <c r="H67" s="54"/>
    </row>
    <row r="68" ht="15.75" customHeight="1">
      <c r="G68" s="29"/>
      <c r="H68" s="54"/>
    </row>
    <row r="69" ht="15.75" customHeight="1">
      <c r="G69" s="29"/>
      <c r="H69" s="54"/>
    </row>
    <row r="70" ht="15.75" customHeight="1">
      <c r="G70" s="29"/>
      <c r="H70" s="54"/>
    </row>
    <row r="71" ht="15.75" customHeight="1">
      <c r="G71" s="29"/>
      <c r="H71" s="54"/>
    </row>
    <row r="72" ht="15.75" customHeight="1">
      <c r="G72" s="29"/>
      <c r="H72" s="54"/>
    </row>
    <row r="73" ht="15.75" customHeight="1">
      <c r="G73" s="29"/>
      <c r="H73" s="54"/>
    </row>
    <row r="74" ht="15.75" customHeight="1">
      <c r="G74" s="29"/>
      <c r="H74" s="54"/>
    </row>
    <row r="75" ht="15.75" customHeight="1">
      <c r="G75" s="29"/>
      <c r="H75" s="54"/>
    </row>
    <row r="76" ht="15.75" customHeight="1">
      <c r="G76" s="29"/>
      <c r="H76" s="54"/>
    </row>
    <row r="77" ht="15.75" customHeight="1">
      <c r="G77" s="29"/>
      <c r="H77" s="54"/>
    </row>
    <row r="78" ht="15.75" customHeight="1">
      <c r="G78" s="29"/>
      <c r="H78" s="54"/>
    </row>
    <row r="79" ht="15.75" customHeight="1">
      <c r="G79" s="29"/>
      <c r="H79" s="54"/>
    </row>
    <row r="80" ht="15.75" customHeight="1">
      <c r="G80" s="29"/>
      <c r="H80" s="54"/>
    </row>
    <row r="81" ht="15.75" customHeight="1">
      <c r="G81" s="29"/>
      <c r="H81" s="54"/>
    </row>
    <row r="82" ht="15.75" customHeight="1">
      <c r="G82" s="29"/>
      <c r="H82" s="54"/>
    </row>
    <row r="83" ht="15.75" customHeight="1">
      <c r="G83" s="29"/>
      <c r="H83" s="54"/>
    </row>
    <row r="84" ht="15.75" customHeight="1">
      <c r="G84" s="29"/>
      <c r="H84" s="54"/>
    </row>
    <row r="85" ht="15.75" customHeight="1">
      <c r="G85" s="29"/>
      <c r="H85" s="54"/>
    </row>
    <row r="86" ht="15.75" customHeight="1">
      <c r="G86" s="29"/>
      <c r="H86" s="54"/>
    </row>
    <row r="87" ht="15.75" customHeight="1">
      <c r="G87" s="29"/>
      <c r="H87" s="54"/>
    </row>
    <row r="88" ht="15.75" customHeight="1">
      <c r="G88" s="29"/>
      <c r="H88" s="54"/>
    </row>
    <row r="89" ht="15.75" customHeight="1">
      <c r="G89" s="29"/>
      <c r="H89" s="54"/>
    </row>
    <row r="90" ht="15.75" customHeight="1">
      <c r="G90" s="29"/>
      <c r="H90" s="54"/>
    </row>
    <row r="91" ht="15.75" customHeight="1">
      <c r="G91" s="29"/>
      <c r="H91" s="54"/>
    </row>
    <row r="92" ht="15.75" customHeight="1">
      <c r="G92" s="29"/>
      <c r="H92" s="54"/>
    </row>
    <row r="93" ht="15.75" customHeight="1">
      <c r="G93" s="29"/>
      <c r="H93" s="54"/>
    </row>
    <row r="94" ht="15.75" customHeight="1">
      <c r="G94" s="29"/>
      <c r="H94" s="54"/>
    </row>
    <row r="95" ht="15.75" customHeight="1">
      <c r="G95" s="29"/>
      <c r="H95" s="54"/>
    </row>
    <row r="96" ht="15.75" customHeight="1">
      <c r="G96" s="29"/>
      <c r="H96" s="54"/>
    </row>
    <row r="97" ht="15.75" customHeight="1">
      <c r="G97" s="29"/>
      <c r="H97" s="54"/>
    </row>
    <row r="98" ht="15.75" customHeight="1">
      <c r="G98" s="29"/>
      <c r="H98" s="54"/>
    </row>
    <row r="99" ht="15.75" customHeight="1">
      <c r="G99" s="29"/>
      <c r="H99" s="54"/>
    </row>
    <row r="100" ht="15.75" customHeight="1">
      <c r="G100" s="29"/>
      <c r="H100" s="54"/>
    </row>
    <row r="101" ht="15.75" customHeight="1">
      <c r="G101" s="29"/>
      <c r="H101" s="54"/>
    </row>
    <row r="102" ht="15.75" customHeight="1">
      <c r="G102" s="29"/>
      <c r="H102" s="54"/>
    </row>
    <row r="103" ht="15.75" customHeight="1">
      <c r="G103" s="29"/>
      <c r="H103" s="54"/>
    </row>
    <row r="104" ht="15.75" customHeight="1">
      <c r="G104" s="29"/>
      <c r="H104" s="54"/>
    </row>
    <row r="105" ht="15.75" customHeight="1">
      <c r="G105" s="29"/>
      <c r="H105" s="54"/>
    </row>
    <row r="106" ht="15.75" customHeight="1">
      <c r="G106" s="29"/>
      <c r="H106" s="54"/>
    </row>
    <row r="107" ht="15.75" customHeight="1">
      <c r="G107" s="29"/>
      <c r="H107" s="54"/>
    </row>
    <row r="108" ht="15.75" customHeight="1">
      <c r="G108" s="29"/>
      <c r="H108" s="54"/>
    </row>
    <row r="109" ht="15.75" customHeight="1">
      <c r="G109" s="29"/>
      <c r="H109" s="54"/>
    </row>
    <row r="110" ht="15.75" customHeight="1">
      <c r="G110" s="29"/>
      <c r="H110" s="54"/>
    </row>
    <row r="111" ht="15.75" customHeight="1">
      <c r="G111" s="29"/>
      <c r="H111" s="54"/>
    </row>
    <row r="112" ht="15.75" customHeight="1">
      <c r="G112" s="29"/>
      <c r="H112" s="54"/>
    </row>
    <row r="113" ht="15.75" customHeight="1">
      <c r="G113" s="29"/>
      <c r="H113" s="54"/>
    </row>
    <row r="114" ht="15.75" customHeight="1">
      <c r="G114" s="29"/>
      <c r="H114" s="54"/>
    </row>
    <row r="115" ht="15.75" customHeight="1">
      <c r="G115" s="29"/>
      <c r="H115" s="54"/>
    </row>
    <row r="116" ht="15.75" customHeight="1">
      <c r="G116" s="29"/>
      <c r="H116" s="54"/>
    </row>
    <row r="117" ht="15.75" customHeight="1">
      <c r="G117" s="29"/>
      <c r="H117" s="54"/>
    </row>
    <row r="118" ht="15.75" customHeight="1">
      <c r="G118" s="29"/>
      <c r="H118" s="54"/>
    </row>
    <row r="119" ht="15.75" customHeight="1">
      <c r="G119" s="29"/>
      <c r="H119" s="54"/>
    </row>
    <row r="120" ht="15.75" customHeight="1">
      <c r="G120" s="29"/>
      <c r="H120" s="54"/>
    </row>
    <row r="121" ht="15.75" customHeight="1">
      <c r="G121" s="29"/>
      <c r="H121" s="54"/>
    </row>
    <row r="122" ht="15.75" customHeight="1">
      <c r="G122" s="29"/>
      <c r="H122" s="54"/>
    </row>
    <row r="123" ht="15.75" customHeight="1">
      <c r="G123" s="29"/>
      <c r="H123" s="54"/>
    </row>
    <row r="124" ht="15.75" customHeight="1">
      <c r="G124" s="29"/>
      <c r="H124" s="54"/>
    </row>
    <row r="125" ht="15.75" customHeight="1">
      <c r="G125" s="29"/>
      <c r="H125" s="54"/>
    </row>
    <row r="126" ht="15.75" customHeight="1">
      <c r="G126" s="29"/>
      <c r="H126" s="54"/>
    </row>
    <row r="127" ht="15.75" customHeight="1">
      <c r="G127" s="29"/>
      <c r="H127" s="54"/>
    </row>
    <row r="128" ht="15.75" customHeight="1">
      <c r="G128" s="29"/>
      <c r="H128" s="54"/>
    </row>
    <row r="129" ht="15.75" customHeight="1">
      <c r="G129" s="29"/>
      <c r="H129" s="54"/>
    </row>
    <row r="130" ht="15.75" customHeight="1">
      <c r="G130" s="29"/>
      <c r="H130" s="54"/>
    </row>
    <row r="131" ht="15.75" customHeight="1">
      <c r="G131" s="29"/>
      <c r="H131" s="54"/>
    </row>
    <row r="132" ht="15.75" customHeight="1">
      <c r="G132" s="29"/>
      <c r="H132" s="54"/>
    </row>
    <row r="133" ht="15.75" customHeight="1">
      <c r="G133" s="29"/>
      <c r="H133" s="54"/>
    </row>
    <row r="134" ht="15.75" customHeight="1">
      <c r="G134" s="29"/>
      <c r="H134" s="54"/>
    </row>
    <row r="135" ht="15.75" customHeight="1">
      <c r="G135" s="29"/>
      <c r="H135" s="54"/>
    </row>
    <row r="136" ht="15.75" customHeight="1">
      <c r="G136" s="29"/>
      <c r="H136" s="54"/>
    </row>
    <row r="137" ht="15.75" customHeight="1">
      <c r="G137" s="29"/>
      <c r="H137" s="54"/>
    </row>
    <row r="138" ht="15.75" customHeight="1">
      <c r="G138" s="29"/>
      <c r="H138" s="54"/>
    </row>
    <row r="139" ht="15.75" customHeight="1">
      <c r="G139" s="29"/>
      <c r="H139" s="54"/>
    </row>
    <row r="140" ht="15.75" customHeight="1">
      <c r="G140" s="29"/>
      <c r="H140" s="54"/>
    </row>
    <row r="141" ht="15.75" customHeight="1">
      <c r="G141" s="29"/>
      <c r="H141" s="54"/>
    </row>
    <row r="142" ht="15.75" customHeight="1">
      <c r="G142" s="29"/>
      <c r="H142" s="54"/>
    </row>
    <row r="143" ht="15.75" customHeight="1">
      <c r="G143" s="29"/>
      <c r="H143" s="54"/>
    </row>
    <row r="144" ht="15.75" customHeight="1">
      <c r="G144" s="29"/>
      <c r="H144" s="54"/>
    </row>
    <row r="145" ht="15.75" customHeight="1">
      <c r="G145" s="29"/>
      <c r="H145" s="54"/>
    </row>
    <row r="146" ht="15.75" customHeight="1">
      <c r="G146" s="29"/>
      <c r="H146" s="54"/>
    </row>
    <row r="147" ht="15.75" customHeight="1">
      <c r="G147" s="29"/>
      <c r="H147" s="54"/>
    </row>
    <row r="148" ht="15.75" customHeight="1">
      <c r="G148" s="29"/>
      <c r="H148" s="54"/>
    </row>
    <row r="149" ht="15.75" customHeight="1">
      <c r="G149" s="29"/>
      <c r="H149" s="54"/>
    </row>
    <row r="150" ht="15.75" customHeight="1">
      <c r="G150" s="29"/>
      <c r="H150" s="54"/>
    </row>
    <row r="151" ht="15.75" customHeight="1">
      <c r="G151" s="29"/>
      <c r="H151" s="54"/>
    </row>
    <row r="152" ht="15.75" customHeight="1">
      <c r="G152" s="29"/>
      <c r="H152" s="54"/>
    </row>
    <row r="153" ht="15.75" customHeight="1">
      <c r="G153" s="29"/>
      <c r="H153" s="54"/>
    </row>
    <row r="154" ht="15.75" customHeight="1">
      <c r="G154" s="29"/>
      <c r="H154" s="54"/>
    </row>
    <row r="155" ht="15.75" customHeight="1">
      <c r="G155" s="29"/>
      <c r="H155" s="54"/>
    </row>
    <row r="156" ht="15.75" customHeight="1">
      <c r="G156" s="29"/>
      <c r="H156" s="54"/>
    </row>
    <row r="157" ht="15.75" customHeight="1">
      <c r="G157" s="29"/>
      <c r="H157" s="54"/>
    </row>
    <row r="158" ht="15.75" customHeight="1">
      <c r="G158" s="29"/>
      <c r="H158" s="54"/>
    </row>
    <row r="159" ht="15.75" customHeight="1">
      <c r="G159" s="29"/>
      <c r="H159" s="54"/>
    </row>
    <row r="160" ht="15.75" customHeight="1">
      <c r="G160" s="29"/>
      <c r="H160" s="54"/>
    </row>
    <row r="161" ht="15.75" customHeight="1">
      <c r="G161" s="29"/>
      <c r="H161" s="54"/>
    </row>
    <row r="162" ht="15.75" customHeight="1">
      <c r="G162" s="29"/>
      <c r="H162" s="54"/>
    </row>
    <row r="163" ht="15.75" customHeight="1">
      <c r="G163" s="29"/>
      <c r="H163" s="54"/>
    </row>
    <row r="164" ht="15.75" customHeight="1">
      <c r="G164" s="29"/>
      <c r="H164" s="54"/>
    </row>
    <row r="165" ht="15.75" customHeight="1">
      <c r="G165" s="29"/>
      <c r="H165" s="54"/>
    </row>
    <row r="166" ht="15.75" customHeight="1">
      <c r="G166" s="29"/>
      <c r="H166" s="54"/>
    </row>
    <row r="167" ht="15.75" customHeight="1">
      <c r="G167" s="29"/>
      <c r="H167" s="54"/>
    </row>
    <row r="168" ht="15.75" customHeight="1">
      <c r="G168" s="29"/>
      <c r="H168" s="54"/>
    </row>
    <row r="169" ht="15.75" customHeight="1">
      <c r="G169" s="29"/>
      <c r="H169" s="54"/>
    </row>
    <row r="170" ht="15.75" customHeight="1">
      <c r="G170" s="29"/>
      <c r="H170" s="54"/>
    </row>
    <row r="171" ht="15.75" customHeight="1">
      <c r="G171" s="29"/>
      <c r="H171" s="54"/>
    </row>
    <row r="172" ht="15.75" customHeight="1">
      <c r="G172" s="29"/>
      <c r="H172" s="54"/>
    </row>
    <row r="173" ht="15.75" customHeight="1">
      <c r="G173" s="29"/>
      <c r="H173" s="54"/>
    </row>
    <row r="174" ht="15.75" customHeight="1">
      <c r="G174" s="29"/>
      <c r="H174" s="54"/>
    </row>
    <row r="175" ht="15.75" customHeight="1">
      <c r="G175" s="29"/>
      <c r="H175" s="54"/>
    </row>
    <row r="176" ht="15.75" customHeight="1">
      <c r="G176" s="29"/>
      <c r="H176" s="54"/>
    </row>
    <row r="177" ht="15.75" customHeight="1">
      <c r="G177" s="29"/>
      <c r="H177" s="54"/>
    </row>
    <row r="178" ht="15.75" customHeight="1">
      <c r="G178" s="29"/>
      <c r="H178" s="54"/>
    </row>
    <row r="179" ht="15.75" customHeight="1">
      <c r="G179" s="29"/>
      <c r="H179" s="54"/>
    </row>
    <row r="180" ht="15.75" customHeight="1">
      <c r="G180" s="29"/>
      <c r="H180" s="54"/>
    </row>
    <row r="181" ht="15.75" customHeight="1">
      <c r="G181" s="29"/>
      <c r="H181" s="54"/>
    </row>
    <row r="182" ht="15.75" customHeight="1">
      <c r="G182" s="29"/>
      <c r="H182" s="54"/>
    </row>
    <row r="183" ht="15.75" customHeight="1">
      <c r="G183" s="29"/>
      <c r="H183" s="54"/>
    </row>
    <row r="184" ht="15.75" customHeight="1">
      <c r="G184" s="29"/>
      <c r="H184" s="54"/>
    </row>
    <row r="185" ht="15.75" customHeight="1">
      <c r="G185" s="29"/>
      <c r="H185" s="54"/>
    </row>
    <row r="186" ht="15.75" customHeight="1">
      <c r="G186" s="29"/>
      <c r="H186" s="54"/>
    </row>
    <row r="187" ht="15.75" customHeight="1">
      <c r="G187" s="29"/>
      <c r="H187" s="54"/>
    </row>
    <row r="188" ht="15.75" customHeight="1">
      <c r="G188" s="29"/>
      <c r="H188" s="54"/>
    </row>
    <row r="189" ht="15.75" customHeight="1">
      <c r="G189" s="29"/>
      <c r="H189" s="54"/>
    </row>
    <row r="190" ht="15.75" customHeight="1">
      <c r="G190" s="29"/>
      <c r="H190" s="54"/>
    </row>
    <row r="191" ht="15.75" customHeight="1">
      <c r="G191" s="29"/>
      <c r="H191" s="54"/>
    </row>
    <row r="192" ht="15.75" customHeight="1">
      <c r="G192" s="29"/>
      <c r="H192" s="54"/>
    </row>
    <row r="193" ht="15.75" customHeight="1">
      <c r="G193" s="29"/>
      <c r="H193" s="54"/>
    </row>
    <row r="194" ht="15.75" customHeight="1">
      <c r="G194" s="29"/>
      <c r="H194" s="54"/>
    </row>
    <row r="195" ht="15.75" customHeight="1">
      <c r="G195" s="29"/>
      <c r="H195" s="54"/>
    </row>
    <row r="196" ht="15.75" customHeight="1">
      <c r="G196" s="29"/>
      <c r="H196" s="54"/>
    </row>
    <row r="197" ht="15.75" customHeight="1">
      <c r="G197" s="29"/>
      <c r="H197" s="54"/>
    </row>
    <row r="198" ht="15.75" customHeight="1">
      <c r="G198" s="29"/>
      <c r="H198" s="54"/>
    </row>
    <row r="199" ht="15.75" customHeight="1">
      <c r="G199" s="29"/>
      <c r="H199" s="54"/>
    </row>
    <row r="200" ht="15.75" customHeight="1">
      <c r="G200" s="29"/>
      <c r="H200" s="54"/>
    </row>
    <row r="201" ht="15.75" customHeight="1">
      <c r="G201" s="29"/>
      <c r="H201" s="54"/>
    </row>
    <row r="202" ht="15.75" customHeight="1">
      <c r="G202" s="29"/>
      <c r="H202" s="54"/>
    </row>
    <row r="203" ht="15.75" customHeight="1">
      <c r="G203" s="29"/>
      <c r="H203" s="54"/>
    </row>
    <row r="204" ht="15.75" customHeight="1">
      <c r="G204" s="29"/>
      <c r="H204" s="54"/>
    </row>
    <row r="205" ht="15.75" customHeight="1">
      <c r="G205" s="29"/>
      <c r="H205" s="54"/>
    </row>
    <row r="206" ht="15.75" customHeight="1">
      <c r="G206" s="29"/>
      <c r="H206" s="54"/>
    </row>
    <row r="207" ht="15.75" customHeight="1">
      <c r="G207" s="29"/>
      <c r="H207" s="54"/>
    </row>
    <row r="208" ht="15.75" customHeight="1">
      <c r="G208" s="29"/>
      <c r="H208" s="54"/>
    </row>
    <row r="209" ht="15.75" customHeight="1">
      <c r="G209" s="29"/>
      <c r="H209" s="54"/>
    </row>
    <row r="210" ht="15.75" customHeight="1">
      <c r="G210" s="29"/>
      <c r="H210" s="54"/>
    </row>
    <row r="211" ht="15.75" customHeight="1">
      <c r="G211" s="29"/>
      <c r="H211" s="54"/>
    </row>
    <row r="212" ht="15.75" customHeight="1">
      <c r="G212" s="29"/>
      <c r="H212" s="54"/>
    </row>
    <row r="213" ht="15.75" customHeight="1">
      <c r="G213" s="29"/>
      <c r="H213" s="54"/>
    </row>
    <row r="214" ht="15.75" customHeight="1">
      <c r="G214" s="29"/>
      <c r="H214" s="54"/>
    </row>
    <row r="215" ht="15.75" customHeight="1">
      <c r="G215" s="29"/>
      <c r="H215" s="54"/>
    </row>
    <row r="216" ht="15.75" customHeight="1">
      <c r="G216" s="29"/>
      <c r="H216" s="54"/>
    </row>
    <row r="217" ht="15.75" customHeight="1">
      <c r="G217" s="29"/>
      <c r="H217" s="54"/>
    </row>
    <row r="218" ht="15.75" customHeight="1">
      <c r="G218" s="29"/>
      <c r="H218" s="54"/>
    </row>
    <row r="219" ht="15.75" customHeight="1">
      <c r="G219" s="29"/>
      <c r="H219" s="54"/>
    </row>
    <row r="220" ht="15.75" customHeight="1">
      <c r="G220" s="29"/>
      <c r="H220" s="5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220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65.29"/>
    <col customWidth="1" min="3" max="4" width="26.14"/>
    <col customWidth="1" min="5" max="5" width="34.29"/>
    <col customWidth="1" min="6" max="6" width="14.43"/>
  </cols>
  <sheetData>
    <row r="1" ht="15.75" customHeight="1">
      <c r="C1" s="55"/>
      <c r="D1" s="34" t="s">
        <v>402</v>
      </c>
      <c r="E1" s="33" t="s">
        <v>403</v>
      </c>
      <c r="F1" s="30">
        <f>+971508429480</f>
        <v>971508429480</v>
      </c>
    </row>
    <row r="2" ht="15.75" customHeight="1">
      <c r="A2" s="31"/>
      <c r="B2" s="33" t="s">
        <v>404</v>
      </c>
      <c r="C2" s="31" t="s">
        <v>17</v>
      </c>
      <c r="D2" s="34" t="s">
        <v>405</v>
      </c>
      <c r="E2" s="33" t="s">
        <v>406</v>
      </c>
      <c r="F2" s="30">
        <f>+9710561325888</f>
        <v>9710561325888</v>
      </c>
    </row>
    <row r="3" ht="15.75" customHeight="1">
      <c r="A3" s="31"/>
      <c r="B3" s="33" t="s">
        <v>407</v>
      </c>
      <c r="C3" s="31"/>
      <c r="D3" s="34" t="s">
        <v>408</v>
      </c>
      <c r="E3" s="33" t="s">
        <v>409</v>
      </c>
      <c r="F3" s="30">
        <f>+971502974602</f>
        <v>971502974602</v>
      </c>
    </row>
    <row r="4" ht="15.75" customHeight="1">
      <c r="A4" s="31"/>
      <c r="B4" s="33" t="s">
        <v>410</v>
      </c>
      <c r="C4" s="31" t="s">
        <v>17</v>
      </c>
      <c r="D4" s="34" t="s">
        <v>411</v>
      </c>
      <c r="E4" s="33" t="s">
        <v>412</v>
      </c>
      <c r="F4" s="30">
        <f>+966581107260</f>
        <v>966581107260</v>
      </c>
    </row>
    <row r="5" ht="15.75" customHeight="1">
      <c r="A5" s="31"/>
      <c r="B5" s="33" t="s">
        <v>413</v>
      </c>
      <c r="C5" s="31"/>
      <c r="D5" s="34" t="s">
        <v>414</v>
      </c>
      <c r="E5" s="33" t="s">
        <v>415</v>
      </c>
      <c r="F5" s="30">
        <f>+971566677955</f>
        <v>971566677955</v>
      </c>
    </row>
    <row r="6" ht="15.75" customHeight="1">
      <c r="A6" s="31"/>
      <c r="B6" s="33" t="s">
        <v>416</v>
      </c>
      <c r="C6" s="31" t="s">
        <v>28</v>
      </c>
      <c r="D6" s="34" t="s">
        <v>417</v>
      </c>
      <c r="E6" s="33" t="s">
        <v>418</v>
      </c>
      <c r="F6" s="30">
        <f>+886910403885</f>
        <v>886910403885</v>
      </c>
    </row>
    <row r="7" ht="15.75" customHeight="1">
      <c r="A7" s="31"/>
      <c r="B7" s="33" t="s">
        <v>419</v>
      </c>
      <c r="C7" s="31" t="s">
        <v>420</v>
      </c>
      <c r="D7" s="34" t="s">
        <v>421</v>
      </c>
      <c r="E7" s="33" t="s">
        <v>422</v>
      </c>
      <c r="F7" s="30">
        <f>+97450049508</f>
        <v>97450049508</v>
      </c>
    </row>
    <row r="8" ht="15.75" customHeight="1">
      <c r="A8" s="31"/>
      <c r="B8" s="33" t="s">
        <v>423</v>
      </c>
      <c r="C8" s="31"/>
      <c r="D8" s="34" t="s">
        <v>424</v>
      </c>
      <c r="E8" s="33" t="s">
        <v>425</v>
      </c>
      <c r="F8" s="30">
        <f>+923222257918</f>
        <v>923222257918</v>
      </c>
    </row>
    <row r="9" ht="15.75" customHeight="1">
      <c r="A9" s="31"/>
      <c r="B9" s="33" t="s">
        <v>426</v>
      </c>
      <c r="C9" s="31" t="s">
        <v>420</v>
      </c>
      <c r="D9" s="34" t="s">
        <v>427</v>
      </c>
      <c r="E9" s="33" t="s">
        <v>428</v>
      </c>
      <c r="F9" s="30">
        <f>+9660504453355</f>
        <v>9660504453355</v>
      </c>
    </row>
    <row r="10" ht="15.75" customHeight="1">
      <c r="A10" s="31"/>
      <c r="B10" s="33" t="s">
        <v>429</v>
      </c>
      <c r="C10" s="31"/>
      <c r="D10" s="34" t="s">
        <v>430</v>
      </c>
      <c r="E10" s="33" t="s">
        <v>431</v>
      </c>
      <c r="F10" s="30">
        <f>+923335240141</f>
        <v>923335240141</v>
      </c>
    </row>
    <row r="11" ht="15.75" customHeight="1">
      <c r="A11" s="31"/>
      <c r="B11" s="33" t="s">
        <v>432</v>
      </c>
      <c r="C11" s="31"/>
      <c r="D11" s="34" t="s">
        <v>433</v>
      </c>
      <c r="E11" s="33" t="s">
        <v>434</v>
      </c>
      <c r="F11" s="30">
        <f>+923008225837</f>
        <v>923008225837</v>
      </c>
    </row>
    <row r="12" ht="15.75" customHeight="1">
      <c r="A12" s="31"/>
      <c r="B12" s="33" t="s">
        <v>435</v>
      </c>
      <c r="C12" s="31"/>
      <c r="D12" s="34" t="s">
        <v>436</v>
      </c>
      <c r="E12" s="33" t="s">
        <v>437</v>
      </c>
      <c r="F12" s="30">
        <f>+923357700106</f>
        <v>923357700106</v>
      </c>
    </row>
    <row r="13" ht="15.75" customHeight="1">
      <c r="A13" s="56"/>
      <c r="B13" s="33" t="s">
        <v>438</v>
      </c>
      <c r="C13" s="56"/>
      <c r="D13" s="57" t="s">
        <v>439</v>
      </c>
      <c r="E13" s="56" t="s">
        <v>108</v>
      </c>
      <c r="F13" s="58">
        <f>+9203043545215</f>
        <v>9203043545215</v>
      </c>
    </row>
    <row r="14" ht="15.75" customHeight="1">
      <c r="A14" s="31"/>
      <c r="B14" s="33" t="s">
        <v>440</v>
      </c>
      <c r="C14" s="31" t="s">
        <v>420</v>
      </c>
      <c r="D14" s="34" t="s">
        <v>441</v>
      </c>
      <c r="E14" s="33" t="s">
        <v>442</v>
      </c>
      <c r="F14" s="30">
        <f>+97455902922</f>
        <v>97455902922</v>
      </c>
    </row>
    <row r="15" ht="15.75" customHeight="1">
      <c r="A15" s="31"/>
      <c r="B15" s="33" t="s">
        <v>443</v>
      </c>
      <c r="C15" s="31" t="s">
        <v>420</v>
      </c>
      <c r="D15" s="34" t="s">
        <v>444</v>
      </c>
      <c r="E15" s="33" t="s">
        <v>445</v>
      </c>
      <c r="F15" s="30">
        <f>+97430603770</f>
        <v>97430603770</v>
      </c>
    </row>
    <row r="16" ht="15.75" customHeight="1">
      <c r="A16" s="31"/>
      <c r="B16" s="33" t="s">
        <v>446</v>
      </c>
      <c r="C16" s="31"/>
      <c r="D16" s="34" t="s">
        <v>447</v>
      </c>
      <c r="E16" s="33" t="s">
        <v>448</v>
      </c>
      <c r="F16" s="30">
        <f>+8860918938588</f>
        <v>8860918938588</v>
      </c>
    </row>
    <row r="17" ht="15.75" customHeight="1">
      <c r="A17" s="31"/>
      <c r="B17" s="33" t="s">
        <v>449</v>
      </c>
      <c r="C17" s="31" t="s">
        <v>420</v>
      </c>
      <c r="D17" s="34" t="s">
        <v>450</v>
      </c>
      <c r="E17" s="33" t="s">
        <v>451</v>
      </c>
      <c r="F17" s="30">
        <f>+966506215723</f>
        <v>966506215723</v>
      </c>
    </row>
    <row r="18" ht="15.75" customHeight="1">
      <c r="A18" s="31"/>
      <c r="B18" s="33" t="s">
        <v>452</v>
      </c>
      <c r="C18" s="31" t="s">
        <v>420</v>
      </c>
      <c r="D18" s="34" t="s">
        <v>453</v>
      </c>
      <c r="E18" s="33" t="s">
        <v>454</v>
      </c>
      <c r="F18" s="30">
        <f>+966598866555</f>
        <v>966598866555</v>
      </c>
    </row>
    <row r="19" ht="15.75" customHeight="1">
      <c r="A19" s="31"/>
      <c r="B19" s="33" t="s">
        <v>455</v>
      </c>
      <c r="C19" s="31"/>
      <c r="D19" s="34" t="s">
        <v>456</v>
      </c>
      <c r="E19" s="33" t="s">
        <v>457</v>
      </c>
      <c r="F19" s="30">
        <f>+923152990878</f>
        <v>923152990878</v>
      </c>
    </row>
    <row r="20" ht="15.75" customHeight="1">
      <c r="A20" s="31"/>
      <c r="B20" s="33" t="s">
        <v>458</v>
      </c>
      <c r="C20" s="31" t="s">
        <v>371</v>
      </c>
      <c r="D20" s="34" t="s">
        <v>459</v>
      </c>
      <c r="E20" s="33" t="s">
        <v>460</v>
      </c>
      <c r="F20" s="30">
        <f>+971502592715</f>
        <v>971502592715</v>
      </c>
    </row>
    <row r="21" ht="15.75" customHeight="1">
      <c r="A21" s="31"/>
      <c r="B21" s="33" t="s">
        <v>461</v>
      </c>
      <c r="C21" s="31" t="s">
        <v>32</v>
      </c>
      <c r="D21" s="34" t="s">
        <v>462</v>
      </c>
      <c r="E21" s="33" t="s">
        <v>463</v>
      </c>
      <c r="F21" s="30">
        <f>+971503554033</f>
        <v>971503554033</v>
      </c>
    </row>
    <row r="22" ht="15.75" customHeight="1">
      <c r="A22" s="31"/>
      <c r="B22" s="33" t="s">
        <v>464</v>
      </c>
      <c r="C22" s="31"/>
      <c r="D22" s="34" t="s">
        <v>465</v>
      </c>
      <c r="E22" s="33" t="s">
        <v>466</v>
      </c>
      <c r="F22" s="30">
        <f>+923133244444</f>
        <v>923133244444</v>
      </c>
    </row>
    <row r="23" ht="15.75" customHeight="1">
      <c r="A23" s="31"/>
      <c r="B23" s="33" t="s">
        <v>467</v>
      </c>
      <c r="C23" s="31" t="s">
        <v>420</v>
      </c>
      <c r="D23" s="34" t="s">
        <v>468</v>
      </c>
      <c r="E23" s="33" t="s">
        <v>469</v>
      </c>
      <c r="F23" s="30">
        <f>+966500635407</f>
        <v>966500635407</v>
      </c>
    </row>
    <row r="24" ht="15.75" customHeight="1">
      <c r="A24" s="31"/>
      <c r="B24" s="59"/>
    </row>
    <row r="25" ht="15.75" customHeight="1">
      <c r="A25" s="56"/>
      <c r="B25" s="60" t="s">
        <v>411</v>
      </c>
      <c r="C25" s="60" t="s">
        <v>412</v>
      </c>
      <c r="D25" s="60">
        <f>+966581107260</f>
        <v>966581107260</v>
      </c>
      <c r="F25" s="60" t="s">
        <v>470</v>
      </c>
    </row>
    <row r="26" ht="15.75" customHeight="1">
      <c r="B26" s="33" t="s">
        <v>471</v>
      </c>
      <c r="C26" s="30" t="s">
        <v>178</v>
      </c>
      <c r="D26" s="30" t="s">
        <v>115</v>
      </c>
      <c r="E26" s="31" t="s">
        <v>131</v>
      </c>
      <c r="F26" s="31" t="s">
        <v>108</v>
      </c>
      <c r="G26" s="34" t="s">
        <v>472</v>
      </c>
      <c r="H26" s="31" t="s">
        <v>108</v>
      </c>
      <c r="I26" s="33" t="s">
        <v>473</v>
      </c>
      <c r="J26" s="30">
        <v>9.71551079366E11</v>
      </c>
    </row>
    <row r="27" ht="15.75" customHeight="1">
      <c r="B27" s="56"/>
      <c r="C27" s="33" t="s">
        <v>474</v>
      </c>
      <c r="D27" s="58" t="s">
        <v>475</v>
      </c>
      <c r="E27" s="58" t="s">
        <v>115</v>
      </c>
      <c r="F27" s="56" t="s">
        <v>131</v>
      </c>
      <c r="G27" s="56" t="s">
        <v>108</v>
      </c>
      <c r="H27" s="57" t="s">
        <v>476</v>
      </c>
    </row>
    <row r="28" ht="15.75" customHeight="1">
      <c r="B28" s="56"/>
      <c r="C28" s="56"/>
      <c r="D28" s="56"/>
      <c r="E28" s="59"/>
      <c r="G28" s="5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"/>
    <hyperlink r:id="rId2" ref="E1"/>
    <hyperlink r:id="rId3" ref="B2"/>
    <hyperlink r:id="rId4" ref="D2"/>
    <hyperlink r:id="rId5" ref="E2"/>
    <hyperlink r:id="rId6" ref="B3"/>
    <hyperlink r:id="rId7" ref="D3"/>
    <hyperlink r:id="rId8" ref="E3"/>
    <hyperlink r:id="rId9" ref="B4"/>
    <hyperlink r:id="rId10" ref="D4"/>
    <hyperlink r:id="rId11" ref="E4"/>
    <hyperlink r:id="rId12" ref="B5"/>
    <hyperlink r:id="rId13" ref="D5"/>
    <hyperlink r:id="rId14" ref="E5"/>
    <hyperlink r:id="rId15" ref="B6"/>
    <hyperlink r:id="rId16" ref="D6"/>
    <hyperlink r:id="rId17" ref="E6"/>
    <hyperlink r:id="rId18" ref="B7"/>
    <hyperlink r:id="rId19" ref="D7"/>
    <hyperlink r:id="rId20" ref="E7"/>
    <hyperlink r:id="rId21" ref="B8"/>
    <hyperlink r:id="rId22" ref="D8"/>
    <hyperlink r:id="rId23" ref="E8"/>
    <hyperlink r:id="rId24" ref="B9"/>
    <hyperlink r:id="rId25" ref="D9"/>
    <hyperlink r:id="rId26" ref="E9"/>
    <hyperlink r:id="rId27" ref="B10"/>
    <hyperlink r:id="rId28" ref="D10"/>
    <hyperlink r:id="rId29" ref="E10"/>
    <hyperlink r:id="rId30" ref="B11"/>
    <hyperlink r:id="rId31" ref="D11"/>
    <hyperlink r:id="rId32" ref="E11"/>
    <hyperlink r:id="rId33" ref="B12"/>
    <hyperlink r:id="rId34" ref="D12"/>
    <hyperlink r:id="rId35" ref="E12"/>
    <hyperlink r:id="rId36" ref="B13"/>
    <hyperlink r:id="rId37" ref="D13"/>
    <hyperlink r:id="rId38" ref="B14"/>
    <hyperlink r:id="rId39" ref="D14"/>
    <hyperlink r:id="rId40" ref="E14"/>
    <hyperlink r:id="rId41" ref="B15"/>
    <hyperlink r:id="rId42" ref="D15"/>
    <hyperlink r:id="rId43" ref="E15"/>
    <hyperlink r:id="rId44" ref="B16"/>
    <hyperlink r:id="rId45" ref="D16"/>
    <hyperlink r:id="rId46" ref="E16"/>
    <hyperlink r:id="rId47" ref="B17"/>
    <hyperlink r:id="rId48" ref="D17"/>
    <hyperlink r:id="rId49" ref="E17"/>
    <hyperlink r:id="rId50" ref="B18"/>
    <hyperlink r:id="rId51" ref="D18"/>
    <hyperlink r:id="rId52" ref="E18"/>
    <hyperlink r:id="rId53" ref="B19"/>
    <hyperlink r:id="rId54" ref="D19"/>
    <hyperlink r:id="rId55" ref="E19"/>
    <hyperlink r:id="rId56" ref="B20"/>
    <hyperlink r:id="rId57" ref="D20"/>
    <hyperlink r:id="rId58" ref="E20"/>
    <hyperlink r:id="rId59" ref="B21"/>
    <hyperlink r:id="rId60" ref="D21"/>
    <hyperlink r:id="rId61" ref="E21"/>
    <hyperlink r:id="rId62" ref="B22"/>
    <hyperlink r:id="rId63" ref="D22"/>
    <hyperlink r:id="rId64" ref="E22"/>
    <hyperlink r:id="rId65" ref="B23"/>
    <hyperlink r:id="rId66" ref="D23"/>
    <hyperlink r:id="rId67" ref="E23"/>
    <hyperlink r:id="rId68" ref="B26"/>
    <hyperlink r:id="rId69" ref="G26"/>
    <hyperlink r:id="rId70" ref="I26"/>
    <hyperlink r:id="rId71" ref="C27"/>
    <hyperlink r:id="rId72" ref="H27"/>
  </hyperlinks>
  <drawing r:id="rId7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63.43"/>
    <col customWidth="1" min="3" max="6" width="14.43"/>
  </cols>
  <sheetData>
    <row r="1" ht="15.75" customHeight="1">
      <c r="A1" s="33" t="s">
        <v>477</v>
      </c>
      <c r="B1" s="30" t="s">
        <v>478</v>
      </c>
      <c r="C1" s="30" t="s">
        <v>115</v>
      </c>
      <c r="D1" s="31" t="s">
        <v>131</v>
      </c>
      <c r="E1" s="31" t="s">
        <v>108</v>
      </c>
      <c r="F1" s="34" t="s">
        <v>479</v>
      </c>
      <c r="G1" s="31" t="s">
        <v>108</v>
      </c>
      <c r="H1" s="33" t="s">
        <v>480</v>
      </c>
      <c r="I1" s="30">
        <f>+971506146409</f>
        <v>971506146409</v>
      </c>
    </row>
    <row r="2" ht="15.75" customHeight="1">
      <c r="A2" s="31"/>
      <c r="B2" s="33" t="s">
        <v>481</v>
      </c>
      <c r="C2" s="30" t="s">
        <v>482</v>
      </c>
      <c r="D2" s="30" t="s">
        <v>115</v>
      </c>
      <c r="E2" s="31" t="s">
        <v>131</v>
      </c>
      <c r="F2" s="31" t="s">
        <v>108</v>
      </c>
      <c r="G2" s="34" t="s">
        <v>483</v>
      </c>
      <c r="H2" s="31" t="s">
        <v>108</v>
      </c>
      <c r="I2" s="33" t="s">
        <v>484</v>
      </c>
      <c r="J2" s="30">
        <v>9.71555669535E11</v>
      </c>
    </row>
    <row r="3" ht="15.75" customHeight="1">
      <c r="A3" s="31"/>
      <c r="B3" s="33" t="s">
        <v>485</v>
      </c>
      <c r="C3" s="30" t="s">
        <v>486</v>
      </c>
      <c r="D3" s="30" t="s">
        <v>115</v>
      </c>
      <c r="E3" s="31" t="s">
        <v>131</v>
      </c>
      <c r="F3" s="31" t="s">
        <v>108</v>
      </c>
      <c r="G3" s="34" t="s">
        <v>487</v>
      </c>
      <c r="H3" s="31" t="s">
        <v>108</v>
      </c>
      <c r="I3" s="33" t="s">
        <v>488</v>
      </c>
      <c r="J3" s="30">
        <f>+9710555225181</f>
        <v>9710555225181</v>
      </c>
    </row>
    <row r="4" ht="15.75" customHeight="1">
      <c r="A4" s="31"/>
      <c r="B4" s="33" t="s">
        <v>489</v>
      </c>
      <c r="C4" s="30" t="s">
        <v>490</v>
      </c>
      <c r="D4" s="30" t="s">
        <v>115</v>
      </c>
      <c r="E4" s="31" t="s">
        <v>131</v>
      </c>
      <c r="F4" s="31" t="s">
        <v>108</v>
      </c>
      <c r="G4" s="34" t="s">
        <v>491</v>
      </c>
      <c r="H4" s="31" t="s">
        <v>108</v>
      </c>
      <c r="I4" s="33" t="s">
        <v>492</v>
      </c>
      <c r="J4" s="30">
        <f>+971501459273</f>
        <v>971501459273</v>
      </c>
    </row>
    <row r="5" ht="15.75" customHeight="1">
      <c r="A5" s="31"/>
      <c r="B5" s="33" t="s">
        <v>493</v>
      </c>
      <c r="C5" s="30" t="s">
        <v>494</v>
      </c>
      <c r="D5" s="30" t="s">
        <v>115</v>
      </c>
      <c r="E5" s="31" t="s">
        <v>131</v>
      </c>
      <c r="F5" s="31" t="s">
        <v>108</v>
      </c>
      <c r="G5" s="34" t="s">
        <v>495</v>
      </c>
      <c r="H5" s="31" t="s">
        <v>108</v>
      </c>
      <c r="I5" s="33" t="s">
        <v>496</v>
      </c>
      <c r="J5" s="30">
        <f>+971504525933</f>
        <v>971504525933</v>
      </c>
    </row>
    <row r="6" ht="15.75" customHeight="1">
      <c r="A6" s="31"/>
      <c r="B6" s="33" t="s">
        <v>497</v>
      </c>
      <c r="C6" s="30" t="s">
        <v>498</v>
      </c>
      <c r="D6" s="30" t="s">
        <v>115</v>
      </c>
      <c r="E6" s="31" t="s">
        <v>131</v>
      </c>
      <c r="F6" s="31" t="s">
        <v>108</v>
      </c>
      <c r="G6" s="34" t="s">
        <v>499</v>
      </c>
      <c r="H6" s="31" t="s">
        <v>108</v>
      </c>
      <c r="I6" s="33" t="s">
        <v>500</v>
      </c>
      <c r="J6" s="30">
        <f>+886937407103</f>
        <v>886937407103</v>
      </c>
    </row>
    <row r="7" ht="15.75" customHeight="1">
      <c r="A7" s="31"/>
      <c r="B7" s="33" t="s">
        <v>501</v>
      </c>
      <c r="C7" s="30" t="s">
        <v>502</v>
      </c>
      <c r="D7" s="30" t="s">
        <v>115</v>
      </c>
      <c r="E7" s="31" t="s">
        <v>131</v>
      </c>
      <c r="F7" s="31" t="s">
        <v>108</v>
      </c>
      <c r="G7" s="34" t="s">
        <v>503</v>
      </c>
      <c r="H7" s="31" t="s">
        <v>108</v>
      </c>
      <c r="I7" s="33" t="s">
        <v>504</v>
      </c>
      <c r="J7" s="30">
        <f>+923009272922</f>
        <v>923009272922</v>
      </c>
    </row>
    <row r="8" ht="15.75" customHeight="1">
      <c r="A8" s="31"/>
      <c r="B8" s="33" t="s">
        <v>505</v>
      </c>
      <c r="C8" s="30" t="s">
        <v>506</v>
      </c>
      <c r="D8" s="30" t="s">
        <v>115</v>
      </c>
      <c r="E8" s="31" t="s">
        <v>131</v>
      </c>
      <c r="F8" s="31" t="s">
        <v>108</v>
      </c>
      <c r="G8" s="34" t="s">
        <v>507</v>
      </c>
      <c r="H8" s="31" t="s">
        <v>108</v>
      </c>
      <c r="I8" s="33" t="s">
        <v>508</v>
      </c>
      <c r="J8" s="30">
        <f>+9660500011095</f>
        <v>9660500011095</v>
      </c>
    </row>
    <row r="9" ht="15.75" customHeight="1">
      <c r="A9" s="31"/>
      <c r="B9" s="33" t="s">
        <v>509</v>
      </c>
      <c r="C9" s="30" t="s">
        <v>510</v>
      </c>
      <c r="D9" s="30" t="s">
        <v>115</v>
      </c>
      <c r="E9" s="31" t="s">
        <v>131</v>
      </c>
      <c r="F9" s="31" t="s">
        <v>108</v>
      </c>
      <c r="G9" s="34" t="s">
        <v>511</v>
      </c>
      <c r="H9" s="31" t="s">
        <v>108</v>
      </c>
      <c r="I9" s="33" t="s">
        <v>512</v>
      </c>
      <c r="J9" s="30">
        <f>+923002345358</f>
        <v>923002345358</v>
      </c>
    </row>
    <row r="10" ht="15.75" customHeight="1">
      <c r="A10" s="31"/>
      <c r="B10" s="33" t="s">
        <v>513</v>
      </c>
      <c r="C10" s="30" t="s">
        <v>514</v>
      </c>
      <c r="D10" s="30" t="s">
        <v>115</v>
      </c>
      <c r="E10" s="31" t="s">
        <v>131</v>
      </c>
      <c r="F10" s="31" t="s">
        <v>108</v>
      </c>
      <c r="G10" s="34" t="s">
        <v>515</v>
      </c>
      <c r="H10" s="31" t="s">
        <v>108</v>
      </c>
      <c r="I10" s="33" t="s">
        <v>516</v>
      </c>
      <c r="J10" s="30">
        <f>+923332198156</f>
        <v>923332198156</v>
      </c>
    </row>
    <row r="11" ht="15.75" customHeight="1">
      <c r="A11" s="31"/>
      <c r="B11" s="33" t="s">
        <v>517</v>
      </c>
      <c r="C11" s="30" t="s">
        <v>518</v>
      </c>
      <c r="D11" s="30" t="s">
        <v>115</v>
      </c>
      <c r="E11" s="31" t="s">
        <v>131</v>
      </c>
      <c r="F11" s="31" t="s">
        <v>108</v>
      </c>
      <c r="G11" s="34" t="s">
        <v>519</v>
      </c>
      <c r="H11" s="31" t="s">
        <v>108</v>
      </c>
      <c r="I11" s="31" t="s">
        <v>108</v>
      </c>
      <c r="J11" s="30">
        <f>+923048101185</f>
        <v>923048101185</v>
      </c>
    </row>
    <row r="12" ht="15.75" customHeight="1">
      <c r="A12" s="31"/>
      <c r="B12" s="33" t="s">
        <v>520</v>
      </c>
      <c r="C12" s="30" t="s">
        <v>521</v>
      </c>
      <c r="D12" s="30" t="s">
        <v>115</v>
      </c>
      <c r="E12" s="31" t="s">
        <v>131</v>
      </c>
      <c r="F12" s="31" t="s">
        <v>108</v>
      </c>
      <c r="G12" s="34" t="s">
        <v>522</v>
      </c>
      <c r="H12" s="31" t="s">
        <v>108</v>
      </c>
      <c r="I12" s="33" t="s">
        <v>523</v>
      </c>
      <c r="J12" s="30">
        <f>+97455541488</f>
        <v>97455541488</v>
      </c>
    </row>
    <row r="13" ht="15.75" customHeight="1">
      <c r="A13" s="31"/>
      <c r="B13" s="33" t="s">
        <v>524</v>
      </c>
      <c r="C13" s="30" t="s">
        <v>521</v>
      </c>
      <c r="D13" s="30" t="s">
        <v>115</v>
      </c>
      <c r="E13" s="31" t="s">
        <v>131</v>
      </c>
      <c r="F13" s="31" t="s">
        <v>108</v>
      </c>
      <c r="G13" s="34" t="s">
        <v>525</v>
      </c>
      <c r="H13" s="31" t="s">
        <v>108</v>
      </c>
      <c r="I13" s="33" t="s">
        <v>526</v>
      </c>
      <c r="J13" s="30">
        <f>+971554044142</f>
        <v>971554044142</v>
      </c>
    </row>
    <row r="14" ht="15.75" customHeight="1">
      <c r="A14" s="31"/>
      <c r="B14" s="33" t="s">
        <v>527</v>
      </c>
      <c r="C14" s="30" t="s">
        <v>528</v>
      </c>
      <c r="D14" s="30" t="s">
        <v>115</v>
      </c>
      <c r="E14" s="31" t="s">
        <v>131</v>
      </c>
      <c r="F14" s="31" t="s">
        <v>108</v>
      </c>
      <c r="G14" s="34" t="s">
        <v>529</v>
      </c>
      <c r="H14" s="31" t="s">
        <v>108</v>
      </c>
      <c r="I14" s="33" t="s">
        <v>530</v>
      </c>
      <c r="J14" s="30">
        <f>+971567442588</f>
        <v>971567442588</v>
      </c>
    </row>
    <row r="15" ht="15.75" customHeight="1">
      <c r="A15" s="31"/>
      <c r="B15" s="33" t="s">
        <v>531</v>
      </c>
      <c r="C15" s="30" t="s">
        <v>532</v>
      </c>
      <c r="D15" s="30" t="s">
        <v>115</v>
      </c>
      <c r="E15" s="31" t="s">
        <v>131</v>
      </c>
      <c r="F15" s="31" t="s">
        <v>108</v>
      </c>
      <c r="G15" s="34" t="s">
        <v>533</v>
      </c>
      <c r="H15" s="31" t="s">
        <v>108</v>
      </c>
      <c r="I15" s="33" t="s">
        <v>534</v>
      </c>
      <c r="J15" s="30">
        <f>+971507148312</f>
        <v>971507148312</v>
      </c>
    </row>
    <row r="16" ht="15.75" customHeight="1">
      <c r="A16" s="31"/>
      <c r="B16" s="33" t="s">
        <v>535</v>
      </c>
      <c r="C16" s="30" t="s">
        <v>536</v>
      </c>
      <c r="D16" s="30" t="s">
        <v>115</v>
      </c>
      <c r="E16" s="31" t="s">
        <v>131</v>
      </c>
      <c r="F16" s="31" t="s">
        <v>108</v>
      </c>
      <c r="G16" s="34" t="s">
        <v>537</v>
      </c>
      <c r="H16" s="31" t="s">
        <v>108</v>
      </c>
      <c r="I16" s="33" t="s">
        <v>538</v>
      </c>
      <c r="J16" s="30">
        <f>+97155555566</f>
        <v>97155555566</v>
      </c>
    </row>
    <row r="17" ht="15.75" customHeight="1">
      <c r="A17" s="31"/>
      <c r="B17" s="33" t="s">
        <v>539</v>
      </c>
      <c r="C17" s="30" t="s">
        <v>540</v>
      </c>
      <c r="D17" s="30" t="s">
        <v>115</v>
      </c>
      <c r="E17" s="31" t="s">
        <v>131</v>
      </c>
      <c r="F17" s="31" t="s">
        <v>108</v>
      </c>
      <c r="G17" s="34" t="s">
        <v>541</v>
      </c>
      <c r="H17" s="31" t="s">
        <v>108</v>
      </c>
      <c r="I17" s="33" t="s">
        <v>542</v>
      </c>
      <c r="J17" s="30">
        <f>+971551572315</f>
        <v>971551572315</v>
      </c>
    </row>
    <row r="18" ht="15.75" customHeight="1">
      <c r="A18" s="31"/>
      <c r="B18" s="33" t="s">
        <v>543</v>
      </c>
      <c r="C18" s="30" t="s">
        <v>544</v>
      </c>
      <c r="D18" s="30" t="s">
        <v>115</v>
      </c>
      <c r="E18" s="31" t="s">
        <v>131</v>
      </c>
      <c r="F18" s="31" t="s">
        <v>108</v>
      </c>
      <c r="G18" s="34" t="s">
        <v>545</v>
      </c>
      <c r="H18" s="31" t="s">
        <v>108</v>
      </c>
      <c r="I18" s="33" t="s">
        <v>546</v>
      </c>
      <c r="J18" s="30">
        <f>+971506685660</f>
        <v>971506685660</v>
      </c>
    </row>
    <row r="19" ht="15.75" customHeight="1">
      <c r="A19" s="31"/>
      <c r="B19" s="33" t="s">
        <v>547</v>
      </c>
      <c r="C19" s="30" t="s">
        <v>548</v>
      </c>
      <c r="D19" s="30" t="s">
        <v>115</v>
      </c>
      <c r="E19" s="31" t="s">
        <v>131</v>
      </c>
      <c r="F19" s="31" t="s">
        <v>108</v>
      </c>
      <c r="G19" s="34" t="s">
        <v>549</v>
      </c>
      <c r="H19" s="31" t="s">
        <v>108</v>
      </c>
      <c r="I19" s="33" t="s">
        <v>550</v>
      </c>
      <c r="J19" s="30">
        <f>+923222159189</f>
        <v>923222159189</v>
      </c>
    </row>
    <row r="20" ht="15.75" customHeight="1">
      <c r="A20" s="31"/>
      <c r="B20" s="33" t="s">
        <v>551</v>
      </c>
      <c r="C20" s="30" t="s">
        <v>552</v>
      </c>
      <c r="D20" s="30" t="s">
        <v>115</v>
      </c>
      <c r="E20" s="31" t="s">
        <v>131</v>
      </c>
      <c r="F20" s="31" t="s">
        <v>108</v>
      </c>
      <c r="G20" s="34" t="s">
        <v>553</v>
      </c>
      <c r="H20" s="31" t="s">
        <v>108</v>
      </c>
      <c r="I20" s="33" t="s">
        <v>554</v>
      </c>
      <c r="J20" s="30">
        <f>+9660500826584</f>
        <v>9660500826584</v>
      </c>
    </row>
    <row r="21" ht="15.75" customHeight="1">
      <c r="A21" s="61" t="s">
        <v>555</v>
      </c>
    </row>
    <row r="22" ht="15.75" customHeight="1">
      <c r="A22" s="3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  <hyperlink r:id="rId2" ref="F1"/>
    <hyperlink r:id="rId3" ref="H1"/>
    <hyperlink r:id="rId4" ref="B2"/>
    <hyperlink r:id="rId5" ref="G2"/>
    <hyperlink r:id="rId6" ref="I2"/>
    <hyperlink r:id="rId7" ref="B3"/>
    <hyperlink r:id="rId8" ref="G3"/>
    <hyperlink r:id="rId9" ref="I3"/>
    <hyperlink r:id="rId10" ref="B4"/>
    <hyperlink r:id="rId11" ref="G4"/>
    <hyperlink r:id="rId12" ref="I4"/>
    <hyperlink r:id="rId13" ref="B5"/>
    <hyperlink r:id="rId14" ref="G5"/>
    <hyperlink r:id="rId15" ref="I5"/>
    <hyperlink r:id="rId16" ref="B6"/>
    <hyperlink r:id="rId17" ref="G6"/>
    <hyperlink r:id="rId18" ref="I6"/>
    <hyperlink r:id="rId19" ref="B7"/>
    <hyperlink r:id="rId20" ref="G7"/>
    <hyperlink r:id="rId21" ref="I7"/>
    <hyperlink r:id="rId22" ref="B8"/>
    <hyperlink r:id="rId23" ref="G8"/>
    <hyperlink r:id="rId24" ref="I8"/>
    <hyperlink r:id="rId25" ref="B9"/>
    <hyperlink r:id="rId26" ref="G9"/>
    <hyperlink r:id="rId27" ref="I9"/>
    <hyperlink r:id="rId28" ref="B10"/>
    <hyperlink r:id="rId29" ref="G10"/>
    <hyperlink r:id="rId30" ref="I10"/>
    <hyperlink r:id="rId31" ref="B11"/>
    <hyperlink r:id="rId32" ref="G11"/>
    <hyperlink r:id="rId33" ref="B12"/>
    <hyperlink r:id="rId34" ref="G12"/>
    <hyperlink r:id="rId35" ref="I12"/>
    <hyperlink r:id="rId36" ref="B13"/>
    <hyperlink r:id="rId37" ref="G13"/>
    <hyperlink r:id="rId38" ref="I13"/>
    <hyperlink r:id="rId39" ref="B14"/>
    <hyperlink r:id="rId40" ref="G14"/>
    <hyperlink r:id="rId41" ref="I14"/>
    <hyperlink r:id="rId42" ref="B15"/>
    <hyperlink r:id="rId43" ref="G15"/>
    <hyperlink r:id="rId44" ref="I15"/>
    <hyperlink r:id="rId45" ref="B16"/>
    <hyperlink r:id="rId46" ref="G16"/>
    <hyperlink r:id="rId47" ref="I16"/>
    <hyperlink r:id="rId48" ref="B17"/>
    <hyperlink r:id="rId49" ref="G17"/>
    <hyperlink r:id="rId50" ref="I17"/>
    <hyperlink r:id="rId51" ref="B18"/>
    <hyperlink r:id="rId52" ref="G18"/>
    <hyperlink r:id="rId53" ref="I18"/>
    <hyperlink r:id="rId54" ref="B19"/>
    <hyperlink r:id="rId55" ref="G19"/>
    <hyperlink r:id="rId56" ref="I19"/>
    <hyperlink r:id="rId57" ref="B20"/>
    <hyperlink r:id="rId58" ref="G20"/>
    <hyperlink r:id="rId59" ref="I20"/>
  </hyperlinks>
  <drawing r:id="rId6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21.43"/>
    <col customWidth="1" min="4" max="4" width="14.43"/>
    <col customWidth="1" min="5" max="5" width="31.86"/>
    <col customWidth="1" min="6" max="6" width="21.71"/>
  </cols>
  <sheetData>
    <row r="1" ht="15.75" customHeight="1">
      <c r="B1" s="62" t="s">
        <v>556</v>
      </c>
      <c r="C1" s="62" t="s">
        <v>28</v>
      </c>
      <c r="D1" s="63" t="s">
        <v>557</v>
      </c>
      <c r="E1" s="64" t="s">
        <v>558</v>
      </c>
      <c r="F1" s="62">
        <f>+886936777120</f>
        <v>886936777120</v>
      </c>
      <c r="G1" s="62" t="s">
        <v>559</v>
      </c>
      <c r="H1" s="65" t="s">
        <v>108</v>
      </c>
      <c r="I1" s="66"/>
      <c r="J1" s="66"/>
    </row>
    <row r="2" ht="15.75" customHeight="1">
      <c r="A2" s="31"/>
      <c r="B2" s="62" t="s">
        <v>560</v>
      </c>
      <c r="C2" s="62" t="s">
        <v>17</v>
      </c>
      <c r="D2" s="63" t="s">
        <v>561</v>
      </c>
      <c r="E2" s="64" t="s">
        <v>562</v>
      </c>
      <c r="F2" s="62">
        <f>+9660556636677</f>
        <v>9660556636677</v>
      </c>
      <c r="G2" s="62" t="s">
        <v>559</v>
      </c>
      <c r="H2" s="65" t="s">
        <v>108</v>
      </c>
      <c r="I2" s="66"/>
      <c r="J2" s="66"/>
    </row>
    <row r="3" ht="15.75" customHeight="1">
      <c r="A3" s="31"/>
      <c r="B3" s="62" t="s">
        <v>563</v>
      </c>
      <c r="C3" s="62" t="s">
        <v>17</v>
      </c>
      <c r="D3" s="63" t="s">
        <v>564</v>
      </c>
      <c r="E3" s="64" t="s">
        <v>565</v>
      </c>
      <c r="F3" s="62">
        <f>+966508091045</f>
        <v>966508091045</v>
      </c>
      <c r="G3" s="62" t="s">
        <v>559</v>
      </c>
      <c r="H3" s="65" t="s">
        <v>108</v>
      </c>
      <c r="I3" s="66"/>
      <c r="J3" s="66"/>
    </row>
    <row r="4" ht="15.75" customHeight="1">
      <c r="A4" s="31"/>
      <c r="B4" s="62" t="s">
        <v>566</v>
      </c>
      <c r="C4" s="62" t="s">
        <v>28</v>
      </c>
      <c r="D4" s="63" t="s">
        <v>567</v>
      </c>
      <c r="E4" s="64" t="s">
        <v>568</v>
      </c>
      <c r="F4" s="62">
        <f>+886932760146</f>
        <v>886932760146</v>
      </c>
      <c r="G4" s="62" t="s">
        <v>559</v>
      </c>
      <c r="H4" s="65" t="s">
        <v>108</v>
      </c>
      <c r="I4" s="66"/>
      <c r="J4" s="66"/>
    </row>
    <row r="5" ht="15.75" customHeight="1">
      <c r="A5" s="31"/>
      <c r="B5" s="62" t="s">
        <v>569</v>
      </c>
      <c r="C5" s="62" t="s">
        <v>28</v>
      </c>
      <c r="D5" s="63" t="s">
        <v>570</v>
      </c>
      <c r="E5" s="64" t="s">
        <v>571</v>
      </c>
      <c r="F5" s="62">
        <f>+886982911538</f>
        <v>886982911538</v>
      </c>
      <c r="G5" s="62" t="s">
        <v>559</v>
      </c>
      <c r="H5" s="65" t="s">
        <v>108</v>
      </c>
      <c r="I5" s="66"/>
      <c r="J5" s="66"/>
    </row>
    <row r="6" ht="15.75" customHeight="1">
      <c r="A6" s="31"/>
      <c r="B6" s="62" t="s">
        <v>572</v>
      </c>
      <c r="C6" s="62" t="s">
        <v>21</v>
      </c>
      <c r="D6" s="63" t="s">
        <v>573</v>
      </c>
      <c r="E6" s="64" t="s">
        <v>574</v>
      </c>
      <c r="F6" s="62">
        <f>+923040401036</f>
        <v>923040401036</v>
      </c>
      <c r="G6" s="62" t="s">
        <v>559</v>
      </c>
      <c r="H6" s="65" t="s">
        <v>108</v>
      </c>
      <c r="I6" s="66"/>
      <c r="J6" s="66"/>
    </row>
    <row r="7" ht="15.75" customHeight="1">
      <c r="A7" s="31"/>
      <c r="B7" s="62" t="s">
        <v>575</v>
      </c>
      <c r="C7" s="62" t="s">
        <v>21</v>
      </c>
      <c r="D7" s="63" t="s">
        <v>576</v>
      </c>
      <c r="E7" s="64" t="s">
        <v>577</v>
      </c>
      <c r="F7" s="62">
        <f>+923362521399</f>
        <v>923362521399</v>
      </c>
      <c r="G7" s="62" t="s">
        <v>559</v>
      </c>
      <c r="H7" s="65" t="s">
        <v>108</v>
      </c>
      <c r="I7" s="66"/>
      <c r="J7" s="66"/>
    </row>
    <row r="8" ht="15.75" customHeight="1">
      <c r="A8" s="31"/>
      <c r="B8" s="62" t="s">
        <v>578</v>
      </c>
      <c r="C8" s="62" t="s">
        <v>28</v>
      </c>
      <c r="D8" s="63" t="s">
        <v>579</v>
      </c>
      <c r="E8" s="64" t="s">
        <v>580</v>
      </c>
      <c r="F8" s="62">
        <f>+886960933308</f>
        <v>886960933308</v>
      </c>
      <c r="G8" s="62" t="s">
        <v>559</v>
      </c>
      <c r="H8" s="65" t="s">
        <v>108</v>
      </c>
      <c r="I8" s="66"/>
      <c r="J8" s="66"/>
    </row>
    <row r="9" ht="15.75" customHeight="1">
      <c r="A9" s="31"/>
      <c r="B9" s="62" t="s">
        <v>581</v>
      </c>
      <c r="C9" s="62" t="s">
        <v>28</v>
      </c>
      <c r="D9" s="63" t="s">
        <v>582</v>
      </c>
      <c r="E9" s="64" t="s">
        <v>583</v>
      </c>
      <c r="F9" s="62">
        <f>+886917702333</f>
        <v>886917702333</v>
      </c>
      <c r="G9" s="62" t="s">
        <v>559</v>
      </c>
      <c r="H9" s="65" t="s">
        <v>108</v>
      </c>
      <c r="I9" s="66"/>
      <c r="J9" s="66"/>
    </row>
    <row r="10" ht="15.75" customHeight="1">
      <c r="A10" s="31"/>
      <c r="B10" s="62" t="s">
        <v>514</v>
      </c>
      <c r="C10" s="62" t="s">
        <v>21</v>
      </c>
      <c r="D10" s="63" t="s">
        <v>584</v>
      </c>
      <c r="E10" s="64" t="s">
        <v>585</v>
      </c>
      <c r="F10" s="62">
        <f>+923331373971</f>
        <v>923331373971</v>
      </c>
      <c r="G10" s="62" t="s">
        <v>559</v>
      </c>
      <c r="H10" s="65" t="s">
        <v>108</v>
      </c>
      <c r="I10" s="66"/>
      <c r="J10" s="66"/>
    </row>
    <row r="11" ht="15.75" customHeight="1">
      <c r="A11" s="31"/>
      <c r="B11" s="62" t="s">
        <v>586</v>
      </c>
      <c r="C11" s="62" t="s">
        <v>21</v>
      </c>
      <c r="D11" s="63" t="s">
        <v>587</v>
      </c>
      <c r="E11" s="64" t="s">
        <v>588</v>
      </c>
      <c r="F11" s="62">
        <f>+923218734984</f>
        <v>923218734984</v>
      </c>
      <c r="G11" s="62" t="s">
        <v>559</v>
      </c>
      <c r="H11" s="65" t="s">
        <v>108</v>
      </c>
      <c r="I11" s="66"/>
      <c r="J11" s="66"/>
    </row>
    <row r="12" ht="15.75" customHeight="1">
      <c r="A12" s="31"/>
      <c r="B12" s="62" t="s">
        <v>589</v>
      </c>
      <c r="C12" s="62" t="s">
        <v>9</v>
      </c>
      <c r="D12" s="63" t="s">
        <v>590</v>
      </c>
      <c r="E12" s="64" t="s">
        <v>591</v>
      </c>
      <c r="F12" s="62">
        <f>+9108562575412</f>
        <v>9108562575412</v>
      </c>
      <c r="G12" s="62" t="s">
        <v>559</v>
      </c>
      <c r="H12" s="65" t="s">
        <v>108</v>
      </c>
      <c r="I12" s="66"/>
      <c r="J12" s="66"/>
    </row>
    <row r="13" ht="15.75" customHeight="1">
      <c r="A13" s="31"/>
      <c r="B13" s="62" t="s">
        <v>592</v>
      </c>
      <c r="C13" s="62" t="s">
        <v>593</v>
      </c>
      <c r="D13" s="63" t="s">
        <v>594</v>
      </c>
      <c r="E13" s="64" t="s">
        <v>595</v>
      </c>
      <c r="F13" s="62">
        <f>+4915219030289</f>
        <v>4915219030289</v>
      </c>
      <c r="G13" s="62" t="s">
        <v>559</v>
      </c>
      <c r="H13" s="65" t="s">
        <v>108</v>
      </c>
      <c r="I13" s="66"/>
      <c r="J13" s="66"/>
    </row>
    <row r="14" ht="15.75" customHeight="1">
      <c r="A14" s="31"/>
      <c r="B14" s="62" t="s">
        <v>536</v>
      </c>
      <c r="C14" s="62" t="s">
        <v>593</v>
      </c>
      <c r="D14" s="63" t="s">
        <v>596</v>
      </c>
      <c r="E14" s="64" t="s">
        <v>597</v>
      </c>
      <c r="F14" s="62">
        <f>+33614357909</f>
        <v>33614357909</v>
      </c>
      <c r="G14" s="62" t="s">
        <v>559</v>
      </c>
      <c r="H14" s="65" t="s">
        <v>108</v>
      </c>
      <c r="I14" s="66"/>
      <c r="J14" s="66"/>
    </row>
    <row r="15" ht="15.75" customHeight="1">
      <c r="A15" s="31"/>
      <c r="B15" s="62" t="s">
        <v>598</v>
      </c>
      <c r="C15" s="62" t="s">
        <v>21</v>
      </c>
      <c r="D15" s="63" t="s">
        <v>599</v>
      </c>
      <c r="E15" s="64" t="s">
        <v>600</v>
      </c>
      <c r="F15" s="62">
        <f>+923332433211</f>
        <v>923332433211</v>
      </c>
      <c r="G15" s="62" t="s">
        <v>559</v>
      </c>
      <c r="H15" s="65" t="s">
        <v>108</v>
      </c>
      <c r="I15" s="66"/>
      <c r="J15" s="66"/>
    </row>
    <row r="16" ht="15.75" customHeight="1">
      <c r="A16" s="31"/>
      <c r="B16" s="62" t="s">
        <v>601</v>
      </c>
      <c r="C16" s="62" t="s">
        <v>602</v>
      </c>
      <c r="D16" s="63" t="s">
        <v>603</v>
      </c>
      <c r="E16" s="64" t="s">
        <v>604</v>
      </c>
      <c r="F16" s="62">
        <f>+97455754006</f>
        <v>97455754006</v>
      </c>
      <c r="G16" s="62" t="s">
        <v>559</v>
      </c>
      <c r="H16" s="65" t="s">
        <v>108</v>
      </c>
      <c r="I16" s="66"/>
      <c r="J16" s="66"/>
    </row>
    <row r="17" ht="15.75" customHeight="1">
      <c r="A17" s="31"/>
      <c r="B17" s="62" t="s">
        <v>548</v>
      </c>
      <c r="C17" s="62" t="s">
        <v>602</v>
      </c>
      <c r="D17" s="63" t="s">
        <v>605</v>
      </c>
      <c r="E17" s="64" t="s">
        <v>606</v>
      </c>
      <c r="F17" s="62">
        <f>+971559915882</f>
        <v>971559915882</v>
      </c>
      <c r="G17" s="62" t="s">
        <v>559</v>
      </c>
      <c r="H17" s="65" t="s">
        <v>108</v>
      </c>
      <c r="I17" s="66"/>
      <c r="J17" s="66"/>
    </row>
    <row r="18" ht="15.75" customHeight="1">
      <c r="A18" s="31"/>
      <c r="B18" s="62" t="s">
        <v>607</v>
      </c>
      <c r="C18" s="62" t="s">
        <v>32</v>
      </c>
      <c r="D18" s="63" t="s">
        <v>608</v>
      </c>
      <c r="E18" s="64" t="s">
        <v>609</v>
      </c>
      <c r="F18" s="62">
        <f>+971566563544</f>
        <v>971566563544</v>
      </c>
      <c r="G18" s="62" t="s">
        <v>559</v>
      </c>
      <c r="H18" s="65" t="s">
        <v>108</v>
      </c>
      <c r="I18" s="66"/>
      <c r="J18" s="66"/>
    </row>
    <row r="19" ht="15.75" customHeight="1">
      <c r="A19" s="31"/>
      <c r="B19" s="62" t="s">
        <v>610</v>
      </c>
      <c r="C19" s="62" t="s">
        <v>371</v>
      </c>
      <c r="D19" s="63" t="s">
        <v>611</v>
      </c>
      <c r="E19" s="64" t="s">
        <v>612</v>
      </c>
      <c r="F19" s="62">
        <f>+9660558765304</f>
        <v>9660558765304</v>
      </c>
      <c r="G19" s="62" t="s">
        <v>559</v>
      </c>
      <c r="H19" s="65" t="s">
        <v>108</v>
      </c>
      <c r="I19" s="66"/>
      <c r="J19" s="66"/>
    </row>
    <row r="20" ht="15.75" customHeight="1">
      <c r="A20" s="31"/>
      <c r="B20" s="62" t="s">
        <v>613</v>
      </c>
      <c r="C20" s="62" t="s">
        <v>602</v>
      </c>
      <c r="D20" s="67" t="s">
        <v>614</v>
      </c>
      <c r="E20" s="64" t="s">
        <v>615</v>
      </c>
      <c r="F20" s="62">
        <f>+971506404220</f>
        <v>971506404220</v>
      </c>
      <c r="G20" s="62" t="s">
        <v>559</v>
      </c>
      <c r="H20" s="65" t="s">
        <v>108</v>
      </c>
      <c r="I20" s="66"/>
      <c r="J20" s="66"/>
    </row>
    <row r="21" ht="15.75" customHeight="1">
      <c r="A21" s="31"/>
      <c r="B21" s="62" t="s">
        <v>616</v>
      </c>
      <c r="C21" s="62" t="s">
        <v>593</v>
      </c>
      <c r="D21" s="63" t="s">
        <v>617</v>
      </c>
      <c r="E21" s="64" t="s">
        <v>618</v>
      </c>
      <c r="F21" s="62">
        <f>+33607422630</f>
        <v>33607422630</v>
      </c>
      <c r="G21" s="62" t="s">
        <v>559</v>
      </c>
      <c r="H21" s="65" t="s">
        <v>108</v>
      </c>
      <c r="I21" s="66"/>
      <c r="J21" s="66"/>
    </row>
    <row r="22" ht="15.75" customHeight="1">
      <c r="A22" s="31"/>
      <c r="B22" s="62" t="s">
        <v>216</v>
      </c>
      <c r="C22" s="62" t="s">
        <v>21</v>
      </c>
      <c r="D22" s="63" t="s">
        <v>619</v>
      </c>
      <c r="E22" s="64" t="s">
        <v>620</v>
      </c>
      <c r="F22" s="62">
        <f>+923212823478</f>
        <v>923212823478</v>
      </c>
      <c r="G22" s="62" t="s">
        <v>559</v>
      </c>
      <c r="H22" s="65" t="s">
        <v>108</v>
      </c>
      <c r="I22" s="66"/>
      <c r="J22" s="66"/>
    </row>
    <row r="23" ht="15.75" customHeight="1">
      <c r="A23" s="31"/>
      <c r="B23" s="62" t="s">
        <v>621</v>
      </c>
      <c r="C23" s="62" t="s">
        <v>21</v>
      </c>
      <c r="D23" s="63" t="s">
        <v>622</v>
      </c>
      <c r="E23" s="64" t="s">
        <v>623</v>
      </c>
      <c r="F23" s="62">
        <f>+923008218261</f>
        <v>923008218261</v>
      </c>
      <c r="G23" s="62" t="s">
        <v>559</v>
      </c>
      <c r="H23" s="65" t="s">
        <v>108</v>
      </c>
      <c r="I23" s="66"/>
      <c r="J23" s="66"/>
    </row>
    <row r="24" ht="15.75" customHeight="1">
      <c r="A24" s="31"/>
      <c r="B24" s="62" t="s">
        <v>624</v>
      </c>
      <c r="C24" s="62" t="s">
        <v>9</v>
      </c>
      <c r="D24" s="63" t="s">
        <v>625</v>
      </c>
      <c r="E24" s="64" t="s">
        <v>626</v>
      </c>
      <c r="F24" s="62">
        <f>+971509874229</f>
        <v>971509874229</v>
      </c>
      <c r="G24" s="62" t="s">
        <v>559</v>
      </c>
      <c r="H24" s="65" t="s">
        <v>108</v>
      </c>
      <c r="I24" s="66"/>
      <c r="J24" s="66"/>
    </row>
    <row r="25" ht="15.75" customHeight="1">
      <c r="A25" s="31"/>
      <c r="B25" s="62" t="s">
        <v>627</v>
      </c>
      <c r="C25" s="62" t="s">
        <v>371</v>
      </c>
      <c r="D25" s="63" t="s">
        <v>628</v>
      </c>
      <c r="E25" s="64" t="s">
        <v>629</v>
      </c>
      <c r="F25" s="62">
        <f>+9710506790867</f>
        <v>9710506790867</v>
      </c>
      <c r="G25" s="62" t="s">
        <v>559</v>
      </c>
      <c r="H25" s="65" t="s">
        <v>108</v>
      </c>
      <c r="I25" s="66"/>
      <c r="J25" s="66"/>
    </row>
    <row r="26" ht="15.75" customHeight="1">
      <c r="A26" s="31"/>
      <c r="B26" s="62" t="s">
        <v>621</v>
      </c>
      <c r="C26" s="62" t="s">
        <v>371</v>
      </c>
      <c r="D26" s="63" t="s">
        <v>630</v>
      </c>
      <c r="E26" s="64" t="s">
        <v>631</v>
      </c>
      <c r="F26" s="62">
        <f>+971501472288</f>
        <v>971501472288</v>
      </c>
      <c r="G26" s="62" t="s">
        <v>559</v>
      </c>
      <c r="H26" s="65" t="s">
        <v>108</v>
      </c>
      <c r="I26" s="66"/>
      <c r="J26" s="66"/>
    </row>
    <row r="27" ht="15.75" customHeight="1">
      <c r="A27" s="31"/>
      <c r="B27" s="62" t="s">
        <v>632</v>
      </c>
      <c r="C27" s="62" t="s">
        <v>633</v>
      </c>
      <c r="D27" s="63" t="s">
        <v>634</v>
      </c>
      <c r="E27" s="64" t="s">
        <v>635</v>
      </c>
      <c r="F27" s="62">
        <f>+37368568075</f>
        <v>37368568075</v>
      </c>
      <c r="G27" s="62" t="s">
        <v>559</v>
      </c>
      <c r="H27" s="65" t="s">
        <v>108</v>
      </c>
      <c r="I27" s="66"/>
      <c r="J27" s="66"/>
    </row>
    <row r="28" ht="15.75" customHeight="1">
      <c r="A28" s="31"/>
      <c r="B28" s="62" t="s">
        <v>636</v>
      </c>
      <c r="C28" s="62" t="s">
        <v>21</v>
      </c>
      <c r="D28" s="63" t="s">
        <v>637</v>
      </c>
      <c r="E28" s="64" t="s">
        <v>638</v>
      </c>
      <c r="F28" s="62">
        <f>+923340122367</f>
        <v>923340122367</v>
      </c>
      <c r="G28" s="62" t="s">
        <v>559</v>
      </c>
      <c r="H28" s="65" t="s">
        <v>108</v>
      </c>
      <c r="I28" s="66"/>
      <c r="J28" s="66"/>
    </row>
    <row r="29" ht="15.75" customHeight="1">
      <c r="A29" s="31"/>
      <c r="B29" s="62" t="s">
        <v>639</v>
      </c>
      <c r="C29" s="62" t="s">
        <v>17</v>
      </c>
      <c r="D29" s="63" t="s">
        <v>640</v>
      </c>
      <c r="E29" s="64" t="s">
        <v>641</v>
      </c>
      <c r="F29" s="62">
        <f>+966569003748</f>
        <v>966569003748</v>
      </c>
      <c r="G29" s="62" t="s">
        <v>559</v>
      </c>
      <c r="H29" s="65" t="s">
        <v>108</v>
      </c>
      <c r="I29" s="66"/>
      <c r="J29" s="66"/>
    </row>
    <row r="30" ht="15.75" customHeight="1">
      <c r="A30" s="31"/>
      <c r="B30" s="62" t="s">
        <v>642</v>
      </c>
      <c r="C30" s="62" t="s">
        <v>28</v>
      </c>
      <c r="D30" s="63" t="s">
        <v>643</v>
      </c>
      <c r="E30" s="64" t="s">
        <v>644</v>
      </c>
      <c r="F30" s="62">
        <f>+886922111086</f>
        <v>886922111086</v>
      </c>
      <c r="G30" s="62" t="s">
        <v>559</v>
      </c>
      <c r="H30" s="65" t="s">
        <v>108</v>
      </c>
      <c r="I30" s="66"/>
      <c r="J30" s="66"/>
    </row>
    <row r="31" ht="15.75" customHeight="1">
      <c r="A31" s="56"/>
      <c r="B31" s="68" t="s">
        <v>645</v>
      </c>
      <c r="C31" s="68" t="s">
        <v>17</v>
      </c>
      <c r="D31" s="69" t="s">
        <v>646</v>
      </c>
      <c r="E31" s="64" t="s">
        <v>647</v>
      </c>
      <c r="F31" s="68">
        <f>+971564139958</f>
        <v>971564139958</v>
      </c>
      <c r="G31" s="68" t="s">
        <v>559</v>
      </c>
      <c r="H31" s="70" t="s">
        <v>108</v>
      </c>
      <c r="I31" s="66"/>
      <c r="J31" s="66"/>
    </row>
    <row r="32" ht="15.75" customHeight="1">
      <c r="B32" s="66"/>
      <c r="C32" s="66"/>
      <c r="D32" s="66"/>
      <c r="E32" s="66"/>
      <c r="F32" s="66"/>
      <c r="G32" s="66"/>
      <c r="H32" s="66"/>
      <c r="I32" s="66"/>
      <c r="J32" s="66"/>
    </row>
    <row r="33" ht="15.75" customHeight="1">
      <c r="B33" s="66"/>
      <c r="C33" s="66"/>
      <c r="D33" s="66"/>
      <c r="E33" s="66"/>
      <c r="F33" s="66"/>
      <c r="G33" s="66"/>
      <c r="H33" s="66"/>
      <c r="I33" s="66"/>
      <c r="J33" s="66"/>
    </row>
    <row r="34" ht="15.75" customHeight="1">
      <c r="B34" s="66"/>
      <c r="C34" s="66"/>
      <c r="D34" s="66"/>
      <c r="E34" s="66"/>
      <c r="F34" s="66"/>
      <c r="G34" s="66"/>
      <c r="H34" s="66"/>
      <c r="I34" s="66"/>
      <c r="J34" s="66"/>
    </row>
    <row r="35" ht="15.75" customHeight="1">
      <c r="B35" s="66"/>
      <c r="C35" s="66"/>
      <c r="D35" s="66"/>
      <c r="E35" s="66"/>
      <c r="F35" s="66"/>
      <c r="G35" s="66"/>
      <c r="H35" s="66"/>
      <c r="I35" s="66"/>
      <c r="J35" s="66"/>
    </row>
    <row r="36" ht="15.75" customHeight="1">
      <c r="B36" s="66"/>
      <c r="C36" s="66"/>
      <c r="D36" s="66"/>
      <c r="E36" s="66"/>
      <c r="F36" s="66"/>
      <c r="G36" s="66"/>
      <c r="H36" s="66"/>
      <c r="I36" s="66"/>
      <c r="J36" s="66"/>
    </row>
    <row r="37" ht="15.75" customHeight="1">
      <c r="B37" s="66"/>
      <c r="C37" s="66"/>
      <c r="D37" s="66"/>
      <c r="E37" s="66"/>
      <c r="F37" s="66"/>
      <c r="G37" s="66"/>
      <c r="H37" s="66"/>
      <c r="I37" s="66"/>
      <c r="J37" s="66"/>
    </row>
    <row r="38" ht="15.75" customHeight="1">
      <c r="B38" s="66"/>
      <c r="C38" s="66"/>
      <c r="D38" s="66"/>
      <c r="E38" s="66"/>
      <c r="F38" s="66"/>
      <c r="G38" s="66"/>
      <c r="H38" s="66"/>
      <c r="I38" s="66"/>
      <c r="J38" s="66"/>
    </row>
    <row r="39" ht="15.75" customHeight="1">
      <c r="B39" s="66"/>
      <c r="C39" s="66"/>
      <c r="D39" s="66"/>
      <c r="E39" s="66"/>
      <c r="F39" s="66"/>
      <c r="G39" s="66"/>
      <c r="H39" s="66"/>
      <c r="I39" s="66"/>
      <c r="J39" s="66"/>
    </row>
    <row r="40" ht="15.75" customHeight="1">
      <c r="B40" s="66"/>
      <c r="C40" s="66"/>
      <c r="D40" s="66"/>
      <c r="E40" s="66"/>
      <c r="F40" s="66"/>
      <c r="G40" s="66"/>
      <c r="H40" s="66"/>
      <c r="I40" s="66"/>
      <c r="J40" s="66"/>
    </row>
    <row r="41" ht="15.75" customHeight="1">
      <c r="B41" s="66"/>
      <c r="C41" s="66"/>
      <c r="D41" s="66"/>
      <c r="E41" s="66"/>
      <c r="F41" s="66"/>
      <c r="G41" s="66"/>
      <c r="H41" s="66"/>
      <c r="I41" s="66"/>
      <c r="J41" s="66"/>
    </row>
    <row r="42" ht="15.75" customHeight="1">
      <c r="B42" s="66"/>
      <c r="C42" s="66"/>
      <c r="D42" s="66"/>
      <c r="E42" s="66"/>
      <c r="F42" s="66"/>
      <c r="G42" s="66"/>
      <c r="H42" s="66"/>
      <c r="I42" s="66"/>
      <c r="J42" s="66"/>
    </row>
    <row r="43" ht="15.75" customHeight="1">
      <c r="B43" s="66"/>
      <c r="C43" s="66"/>
      <c r="D43" s="66"/>
      <c r="E43" s="66"/>
      <c r="F43" s="66"/>
      <c r="G43" s="66"/>
      <c r="H43" s="66"/>
      <c r="I43" s="66"/>
      <c r="J43" s="66"/>
    </row>
    <row r="44" ht="15.75" customHeight="1">
      <c r="B44" s="66"/>
      <c r="C44" s="66"/>
      <c r="D44" s="66"/>
      <c r="E44" s="66"/>
      <c r="F44" s="66"/>
      <c r="G44" s="66"/>
      <c r="H44" s="66"/>
      <c r="I44" s="66"/>
      <c r="J44" s="66"/>
    </row>
    <row r="45" ht="15.75" customHeight="1">
      <c r="B45" s="66"/>
      <c r="C45" s="66"/>
      <c r="D45" s="66"/>
      <c r="E45" s="66"/>
      <c r="F45" s="66"/>
      <c r="G45" s="66"/>
      <c r="H45" s="66"/>
      <c r="I45" s="66"/>
      <c r="J45" s="66"/>
    </row>
    <row r="46" ht="15.75" customHeight="1">
      <c r="B46" s="66"/>
      <c r="C46" s="66"/>
      <c r="D46" s="66"/>
      <c r="E46" s="66"/>
      <c r="F46" s="66"/>
      <c r="G46" s="66"/>
      <c r="H46" s="66"/>
      <c r="I46" s="66"/>
      <c r="J46" s="66"/>
    </row>
    <row r="47" ht="15.75" customHeight="1">
      <c r="B47" s="66"/>
      <c r="C47" s="66"/>
      <c r="D47" s="66"/>
      <c r="E47" s="66"/>
      <c r="F47" s="66"/>
      <c r="G47" s="66"/>
      <c r="H47" s="66"/>
      <c r="I47" s="66"/>
      <c r="J47" s="66"/>
    </row>
    <row r="48" ht="15.75" customHeight="1">
      <c r="B48" s="66"/>
      <c r="C48" s="66"/>
      <c r="D48" s="66"/>
      <c r="E48" s="66"/>
      <c r="F48" s="66"/>
      <c r="G48" s="66"/>
      <c r="H48" s="66"/>
      <c r="I48" s="66"/>
      <c r="J48" s="66"/>
    </row>
    <row r="49" ht="15.75" customHeight="1">
      <c r="B49" s="66"/>
      <c r="C49" s="66"/>
      <c r="D49" s="66"/>
      <c r="E49" s="66"/>
      <c r="F49" s="66"/>
      <c r="G49" s="66"/>
      <c r="H49" s="66"/>
      <c r="I49" s="66"/>
      <c r="J49" s="66"/>
    </row>
    <row r="50" ht="15.75" customHeight="1">
      <c r="B50" s="66"/>
      <c r="C50" s="66"/>
      <c r="D50" s="66"/>
      <c r="E50" s="66"/>
      <c r="F50" s="66"/>
      <c r="G50" s="66"/>
      <c r="H50" s="66"/>
      <c r="I50" s="66"/>
      <c r="J50" s="66"/>
    </row>
    <row r="51" ht="15.75" customHeight="1">
      <c r="B51" s="66"/>
      <c r="C51" s="66"/>
      <c r="D51" s="66"/>
      <c r="E51" s="66"/>
      <c r="F51" s="66"/>
      <c r="G51" s="66"/>
      <c r="H51" s="66"/>
      <c r="I51" s="66"/>
      <c r="J51" s="66"/>
    </row>
    <row r="52" ht="15.75" customHeight="1">
      <c r="B52" s="66"/>
      <c r="C52" s="66"/>
      <c r="D52" s="66"/>
      <c r="E52" s="66"/>
      <c r="F52" s="66"/>
      <c r="G52" s="66"/>
      <c r="H52" s="66"/>
      <c r="I52" s="66"/>
      <c r="J52" s="66"/>
    </row>
    <row r="53" ht="15.75" customHeight="1">
      <c r="B53" s="66"/>
      <c r="C53" s="66"/>
      <c r="D53" s="66"/>
      <c r="E53" s="66"/>
      <c r="F53" s="66"/>
      <c r="G53" s="66"/>
      <c r="H53" s="66"/>
      <c r="I53" s="66"/>
      <c r="J53" s="66"/>
    </row>
    <row r="54" ht="15.75" customHeight="1">
      <c r="B54" s="66"/>
      <c r="C54" s="66"/>
      <c r="D54" s="66"/>
      <c r="E54" s="66"/>
      <c r="F54" s="66"/>
      <c r="G54" s="66"/>
      <c r="H54" s="66"/>
      <c r="I54" s="66"/>
      <c r="J54" s="66"/>
    </row>
    <row r="55" ht="15.75" customHeight="1">
      <c r="B55" s="66"/>
      <c r="C55" s="66"/>
      <c r="D55" s="66"/>
      <c r="E55" s="66"/>
      <c r="F55" s="66"/>
      <c r="G55" s="66"/>
      <c r="H55" s="66"/>
      <c r="I55" s="66"/>
      <c r="J55" s="66"/>
    </row>
    <row r="56" ht="15.75" customHeight="1">
      <c r="B56" s="66"/>
      <c r="C56" s="66"/>
      <c r="D56" s="66"/>
      <c r="E56" s="66"/>
      <c r="F56" s="66"/>
      <c r="G56" s="66"/>
      <c r="H56" s="66"/>
      <c r="I56" s="66"/>
      <c r="J56" s="66"/>
    </row>
    <row r="57" ht="15.75" customHeight="1">
      <c r="B57" s="66"/>
      <c r="C57" s="66"/>
      <c r="D57" s="66"/>
      <c r="E57" s="66"/>
      <c r="F57" s="66"/>
      <c r="G57" s="66"/>
      <c r="H57" s="66"/>
      <c r="I57" s="66"/>
      <c r="J57" s="66"/>
    </row>
    <row r="58" ht="15.75" customHeight="1">
      <c r="B58" s="66"/>
      <c r="C58" s="66"/>
      <c r="D58" s="66"/>
      <c r="E58" s="66"/>
      <c r="F58" s="66"/>
      <c r="G58" s="66"/>
      <c r="H58" s="66"/>
      <c r="I58" s="66"/>
      <c r="J58" s="66"/>
    </row>
    <row r="59" ht="15.75" customHeight="1">
      <c r="B59" s="66"/>
      <c r="C59" s="66"/>
      <c r="D59" s="66"/>
      <c r="E59" s="66"/>
      <c r="F59" s="66"/>
      <c r="G59" s="66"/>
      <c r="H59" s="66"/>
      <c r="I59" s="66"/>
      <c r="J59" s="66"/>
    </row>
    <row r="60" ht="15.75" customHeight="1">
      <c r="B60" s="66"/>
      <c r="C60" s="66"/>
      <c r="D60" s="66"/>
      <c r="E60" s="66"/>
      <c r="F60" s="66"/>
      <c r="G60" s="66"/>
      <c r="H60" s="66"/>
      <c r="I60" s="66"/>
      <c r="J60" s="66"/>
    </row>
    <row r="61" ht="15.75" customHeight="1">
      <c r="B61" s="66"/>
      <c r="C61" s="66"/>
      <c r="D61" s="66"/>
      <c r="E61" s="66"/>
      <c r="F61" s="66"/>
      <c r="G61" s="66"/>
      <c r="H61" s="66"/>
      <c r="I61" s="66"/>
      <c r="J61" s="66"/>
    </row>
    <row r="62" ht="15.75" customHeight="1">
      <c r="B62" s="66"/>
      <c r="C62" s="66"/>
      <c r="D62" s="66"/>
      <c r="E62" s="66"/>
      <c r="F62" s="66"/>
      <c r="G62" s="66"/>
      <c r="H62" s="66"/>
      <c r="I62" s="66"/>
      <c r="J62" s="66"/>
    </row>
    <row r="63" ht="15.75" customHeight="1">
      <c r="B63" s="66"/>
      <c r="C63" s="66"/>
      <c r="D63" s="66"/>
      <c r="E63" s="66"/>
      <c r="F63" s="66"/>
      <c r="G63" s="66"/>
      <c r="H63" s="66"/>
      <c r="I63" s="66"/>
      <c r="J63" s="66"/>
    </row>
    <row r="64" ht="15.75" customHeight="1">
      <c r="B64" s="66"/>
      <c r="C64" s="66"/>
      <c r="D64" s="66"/>
      <c r="E64" s="66"/>
      <c r="F64" s="66"/>
      <c r="G64" s="66"/>
      <c r="H64" s="66"/>
      <c r="I64" s="66"/>
      <c r="J64" s="66"/>
    </row>
    <row r="65" ht="15.75" customHeight="1">
      <c r="B65" s="66"/>
      <c r="C65" s="66"/>
      <c r="D65" s="66"/>
      <c r="E65" s="66"/>
      <c r="F65" s="66"/>
      <c r="G65" s="66"/>
      <c r="H65" s="66"/>
      <c r="I65" s="66"/>
      <c r="J65" s="66"/>
    </row>
    <row r="66" ht="15.75" customHeight="1">
      <c r="B66" s="66"/>
      <c r="C66" s="66"/>
      <c r="D66" s="66"/>
      <c r="E66" s="66"/>
      <c r="F66" s="66"/>
      <c r="G66" s="66"/>
      <c r="H66" s="66"/>
      <c r="I66" s="66"/>
      <c r="J66" s="66"/>
    </row>
    <row r="67" ht="15.75" customHeight="1">
      <c r="B67" s="66"/>
      <c r="C67" s="66"/>
      <c r="D67" s="66"/>
      <c r="E67" s="66"/>
      <c r="F67" s="66"/>
      <c r="G67" s="66"/>
      <c r="H67" s="66"/>
      <c r="I67" s="66"/>
      <c r="J67" s="66"/>
    </row>
    <row r="68" ht="15.75" customHeight="1">
      <c r="B68" s="66"/>
      <c r="C68" s="66"/>
      <c r="D68" s="66"/>
      <c r="E68" s="66"/>
      <c r="F68" s="66"/>
      <c r="G68" s="66"/>
      <c r="H68" s="66"/>
      <c r="I68" s="66"/>
      <c r="J68" s="66"/>
    </row>
    <row r="69" ht="15.75" customHeight="1">
      <c r="B69" s="66"/>
      <c r="C69" s="66"/>
      <c r="D69" s="66"/>
      <c r="E69" s="66"/>
      <c r="F69" s="66"/>
      <c r="G69" s="66"/>
      <c r="H69" s="66"/>
      <c r="I69" s="66"/>
      <c r="J69" s="66"/>
    </row>
    <row r="70" ht="15.75" customHeight="1">
      <c r="B70" s="66"/>
      <c r="C70" s="66"/>
      <c r="D70" s="66"/>
      <c r="E70" s="66"/>
      <c r="F70" s="66"/>
      <c r="G70" s="66"/>
      <c r="H70" s="66"/>
      <c r="I70" s="66"/>
      <c r="J70" s="66"/>
    </row>
    <row r="71" ht="15.75" customHeight="1">
      <c r="B71" s="66"/>
      <c r="C71" s="66"/>
      <c r="D71" s="66"/>
      <c r="E71" s="66"/>
      <c r="F71" s="66"/>
      <c r="G71" s="66"/>
      <c r="H71" s="66"/>
      <c r="I71" s="66"/>
      <c r="J71" s="66"/>
    </row>
    <row r="72" ht="15.75" customHeight="1">
      <c r="B72" s="66"/>
      <c r="C72" s="66"/>
      <c r="D72" s="66"/>
      <c r="E72" s="66"/>
      <c r="F72" s="66"/>
      <c r="G72" s="66"/>
      <c r="H72" s="66"/>
      <c r="I72" s="66"/>
      <c r="J72" s="66"/>
    </row>
    <row r="73" ht="15.75" customHeight="1">
      <c r="B73" s="66"/>
      <c r="C73" s="66"/>
      <c r="D73" s="66"/>
      <c r="E73" s="66"/>
      <c r="F73" s="66"/>
      <c r="G73" s="66"/>
      <c r="H73" s="66"/>
      <c r="I73" s="66"/>
      <c r="J73" s="66"/>
    </row>
    <row r="74" ht="15.75" customHeight="1">
      <c r="B74" s="66"/>
      <c r="C74" s="66"/>
      <c r="D74" s="66"/>
      <c r="E74" s="66"/>
      <c r="F74" s="66"/>
      <c r="G74" s="66"/>
      <c r="H74" s="66"/>
      <c r="I74" s="66"/>
      <c r="J74" s="66"/>
    </row>
    <row r="75" ht="15.75" customHeight="1">
      <c r="B75" s="66"/>
      <c r="C75" s="66"/>
      <c r="D75" s="66"/>
      <c r="E75" s="66"/>
      <c r="F75" s="66"/>
      <c r="G75" s="66"/>
      <c r="H75" s="66"/>
      <c r="I75" s="66"/>
      <c r="J75" s="66"/>
    </row>
    <row r="76" ht="15.75" customHeight="1">
      <c r="B76" s="66"/>
      <c r="C76" s="66"/>
      <c r="D76" s="66"/>
      <c r="E76" s="66"/>
      <c r="F76" s="66"/>
      <c r="G76" s="66"/>
      <c r="H76" s="66"/>
      <c r="I76" s="66"/>
      <c r="J76" s="66"/>
    </row>
    <row r="77" ht="15.75" customHeight="1">
      <c r="B77" s="66"/>
      <c r="C77" s="66"/>
      <c r="D77" s="66"/>
      <c r="E77" s="66"/>
      <c r="F77" s="66"/>
      <c r="G77" s="66"/>
      <c r="H77" s="66"/>
      <c r="I77" s="66"/>
      <c r="J77" s="66"/>
    </row>
    <row r="78" ht="15.75" customHeight="1">
      <c r="B78" s="66"/>
      <c r="C78" s="66"/>
      <c r="D78" s="66"/>
      <c r="E78" s="66"/>
      <c r="F78" s="66"/>
      <c r="G78" s="66"/>
      <c r="H78" s="66"/>
      <c r="I78" s="66"/>
      <c r="J78" s="66"/>
    </row>
    <row r="79" ht="15.75" customHeight="1">
      <c r="B79" s="66"/>
      <c r="C79" s="66"/>
      <c r="D79" s="66"/>
      <c r="E79" s="66"/>
      <c r="F79" s="66"/>
      <c r="G79" s="66"/>
      <c r="H79" s="66"/>
      <c r="I79" s="66"/>
      <c r="J79" s="66"/>
    </row>
    <row r="80" ht="15.75" customHeight="1">
      <c r="B80" s="66"/>
      <c r="C80" s="66"/>
      <c r="D80" s="66"/>
      <c r="E80" s="66"/>
      <c r="F80" s="66"/>
      <c r="G80" s="66"/>
      <c r="H80" s="66"/>
      <c r="I80" s="66"/>
      <c r="J80" s="66"/>
    </row>
    <row r="81" ht="15.75" customHeight="1">
      <c r="B81" s="66"/>
      <c r="C81" s="66"/>
      <c r="D81" s="66"/>
      <c r="E81" s="66"/>
      <c r="F81" s="66"/>
      <c r="G81" s="66"/>
      <c r="H81" s="66"/>
      <c r="I81" s="66"/>
      <c r="J81" s="66"/>
    </row>
    <row r="82" ht="15.75" customHeight="1">
      <c r="B82" s="66"/>
      <c r="C82" s="66"/>
      <c r="D82" s="66"/>
      <c r="E82" s="66"/>
      <c r="F82" s="66"/>
      <c r="G82" s="66"/>
      <c r="H82" s="66"/>
      <c r="I82" s="66"/>
      <c r="J82" s="66"/>
    </row>
    <row r="83" ht="15.75" customHeight="1">
      <c r="B83" s="66"/>
      <c r="C83" s="66"/>
      <c r="D83" s="66"/>
      <c r="E83" s="66"/>
      <c r="F83" s="66"/>
      <c r="G83" s="66"/>
      <c r="H83" s="66"/>
      <c r="I83" s="66"/>
      <c r="J83" s="66"/>
    </row>
    <row r="84" ht="15.75" customHeight="1">
      <c r="B84" s="66"/>
      <c r="C84" s="66"/>
      <c r="D84" s="66"/>
      <c r="E84" s="66"/>
      <c r="F84" s="66"/>
      <c r="G84" s="66"/>
      <c r="H84" s="66"/>
      <c r="I84" s="66"/>
      <c r="J84" s="66"/>
    </row>
    <row r="85" ht="15.75" customHeight="1">
      <c r="B85" s="66"/>
      <c r="C85" s="66"/>
      <c r="D85" s="66"/>
      <c r="E85" s="66"/>
      <c r="F85" s="66"/>
      <c r="G85" s="66"/>
      <c r="H85" s="66"/>
      <c r="I85" s="66"/>
      <c r="J85" s="66"/>
    </row>
    <row r="86" ht="15.75" customHeight="1">
      <c r="B86" s="66"/>
      <c r="C86" s="66"/>
      <c r="D86" s="66"/>
      <c r="E86" s="66"/>
      <c r="F86" s="66"/>
      <c r="G86" s="66"/>
      <c r="H86" s="66"/>
      <c r="I86" s="66"/>
      <c r="J86" s="66"/>
    </row>
    <row r="87" ht="15.75" customHeight="1">
      <c r="B87" s="66"/>
      <c r="C87" s="66"/>
      <c r="D87" s="66"/>
      <c r="E87" s="66"/>
      <c r="F87" s="66"/>
      <c r="G87" s="66"/>
      <c r="H87" s="66"/>
      <c r="I87" s="66"/>
      <c r="J87" s="66"/>
    </row>
    <row r="88" ht="15.75" customHeight="1">
      <c r="B88" s="66"/>
      <c r="C88" s="66"/>
      <c r="D88" s="66"/>
      <c r="E88" s="66"/>
      <c r="F88" s="66"/>
      <c r="G88" s="66"/>
      <c r="H88" s="66"/>
      <c r="I88" s="66"/>
      <c r="J88" s="66"/>
    </row>
    <row r="89" ht="15.75" customHeight="1">
      <c r="B89" s="66"/>
      <c r="C89" s="66"/>
      <c r="D89" s="66"/>
      <c r="E89" s="66"/>
      <c r="F89" s="66"/>
      <c r="G89" s="66"/>
      <c r="H89" s="66"/>
      <c r="I89" s="66"/>
      <c r="J89" s="66"/>
    </row>
    <row r="90" ht="15.75" customHeight="1">
      <c r="B90" s="66"/>
      <c r="C90" s="66"/>
      <c r="D90" s="66"/>
      <c r="E90" s="66"/>
      <c r="F90" s="66"/>
      <c r="G90" s="66"/>
      <c r="H90" s="66"/>
      <c r="I90" s="66"/>
      <c r="J90" s="66"/>
    </row>
    <row r="91" ht="15.75" customHeight="1">
      <c r="B91" s="66"/>
      <c r="C91" s="66"/>
      <c r="D91" s="66"/>
      <c r="E91" s="66"/>
      <c r="F91" s="66"/>
      <c r="G91" s="66"/>
      <c r="H91" s="66"/>
      <c r="I91" s="66"/>
      <c r="J91" s="66"/>
    </row>
    <row r="92" ht="15.75" customHeight="1">
      <c r="B92" s="66"/>
      <c r="C92" s="66"/>
      <c r="D92" s="66"/>
      <c r="E92" s="66"/>
      <c r="F92" s="66"/>
      <c r="G92" s="66"/>
      <c r="H92" s="66"/>
      <c r="I92" s="66"/>
      <c r="J92" s="66"/>
    </row>
    <row r="93" ht="15.75" customHeight="1">
      <c r="B93" s="66"/>
      <c r="C93" s="66"/>
      <c r="D93" s="66"/>
      <c r="E93" s="66"/>
      <c r="F93" s="66"/>
      <c r="G93" s="66"/>
      <c r="H93" s="66"/>
      <c r="I93" s="66"/>
      <c r="J93" s="66"/>
    </row>
    <row r="94" ht="15.75" customHeight="1">
      <c r="B94" s="66"/>
      <c r="C94" s="66"/>
      <c r="D94" s="66"/>
      <c r="E94" s="66"/>
      <c r="F94" s="66"/>
      <c r="G94" s="66"/>
      <c r="H94" s="66"/>
      <c r="I94" s="66"/>
      <c r="J94" s="66"/>
    </row>
    <row r="95" ht="15.75" customHeight="1">
      <c r="B95" s="66"/>
      <c r="C95" s="66"/>
      <c r="D95" s="66"/>
      <c r="E95" s="66"/>
      <c r="F95" s="66"/>
      <c r="G95" s="66"/>
      <c r="H95" s="66"/>
      <c r="I95" s="66"/>
      <c r="J95" s="66"/>
    </row>
    <row r="96" ht="15.75" customHeight="1">
      <c r="B96" s="66"/>
      <c r="C96" s="66"/>
      <c r="D96" s="66"/>
      <c r="E96" s="66"/>
      <c r="F96" s="66"/>
      <c r="G96" s="66"/>
      <c r="H96" s="66"/>
      <c r="I96" s="66"/>
      <c r="J96" s="66"/>
    </row>
    <row r="97" ht="15.75" customHeight="1">
      <c r="B97" s="66"/>
      <c r="C97" s="66"/>
      <c r="D97" s="66"/>
      <c r="E97" s="66"/>
      <c r="F97" s="66"/>
      <c r="G97" s="66"/>
      <c r="H97" s="66"/>
      <c r="I97" s="66"/>
      <c r="J97" s="66"/>
    </row>
    <row r="98" ht="15.75" customHeight="1">
      <c r="B98" s="66"/>
      <c r="C98" s="66"/>
      <c r="D98" s="66"/>
      <c r="E98" s="66"/>
      <c r="F98" s="66"/>
      <c r="G98" s="66"/>
      <c r="H98" s="66"/>
      <c r="I98" s="66"/>
      <c r="J98" s="66"/>
    </row>
    <row r="99" ht="15.75" customHeight="1">
      <c r="B99" s="66"/>
      <c r="C99" s="66"/>
      <c r="D99" s="66"/>
      <c r="E99" s="66"/>
      <c r="F99" s="66"/>
      <c r="G99" s="66"/>
      <c r="H99" s="66"/>
      <c r="I99" s="66"/>
      <c r="J99" s="66"/>
    </row>
    <row r="100" ht="15.75" customHeight="1">
      <c r="B100" s="66"/>
      <c r="C100" s="66"/>
      <c r="D100" s="66"/>
      <c r="E100" s="66"/>
      <c r="F100" s="66"/>
      <c r="G100" s="66"/>
      <c r="H100" s="66"/>
      <c r="I100" s="66"/>
      <c r="J100" s="66"/>
    </row>
    <row r="101" ht="15.75" customHeight="1">
      <c r="B101" s="66"/>
      <c r="C101" s="66"/>
      <c r="D101" s="66"/>
      <c r="E101" s="66"/>
      <c r="F101" s="66"/>
      <c r="G101" s="66"/>
      <c r="H101" s="66"/>
      <c r="I101" s="66"/>
      <c r="J101" s="66"/>
    </row>
    <row r="102" ht="15.75" customHeight="1">
      <c r="B102" s="66"/>
      <c r="C102" s="66"/>
      <c r="D102" s="66"/>
      <c r="E102" s="66"/>
      <c r="F102" s="66"/>
      <c r="G102" s="66"/>
      <c r="H102" s="66"/>
      <c r="I102" s="66"/>
      <c r="J102" s="66"/>
    </row>
    <row r="103" ht="15.75" customHeight="1">
      <c r="B103" s="66"/>
      <c r="C103" s="66"/>
      <c r="D103" s="66"/>
      <c r="E103" s="66"/>
      <c r="F103" s="66"/>
      <c r="G103" s="66"/>
      <c r="H103" s="66"/>
      <c r="I103" s="66"/>
      <c r="J103" s="66"/>
    </row>
    <row r="104" ht="15.75" customHeight="1">
      <c r="B104" s="66"/>
      <c r="C104" s="66"/>
      <c r="D104" s="66"/>
      <c r="E104" s="66"/>
      <c r="F104" s="66"/>
      <c r="G104" s="66"/>
      <c r="H104" s="66"/>
      <c r="I104" s="66"/>
      <c r="J104" s="66"/>
    </row>
    <row r="105" ht="15.75" customHeight="1">
      <c r="B105" s="66"/>
      <c r="C105" s="66"/>
      <c r="D105" s="66"/>
      <c r="E105" s="66"/>
      <c r="F105" s="66"/>
      <c r="G105" s="66"/>
      <c r="H105" s="66"/>
      <c r="I105" s="66"/>
      <c r="J105" s="66"/>
    </row>
    <row r="106" ht="15.75" customHeight="1">
      <c r="B106" s="66"/>
      <c r="C106" s="66"/>
      <c r="D106" s="66"/>
      <c r="E106" s="66"/>
      <c r="F106" s="66"/>
      <c r="G106" s="66"/>
      <c r="H106" s="66"/>
      <c r="I106" s="66"/>
      <c r="J106" s="66"/>
    </row>
    <row r="107" ht="15.75" customHeight="1">
      <c r="B107" s="66"/>
      <c r="C107" s="66"/>
      <c r="D107" s="66"/>
      <c r="E107" s="66"/>
      <c r="F107" s="66"/>
      <c r="G107" s="66"/>
      <c r="H107" s="66"/>
      <c r="I107" s="66"/>
      <c r="J107" s="66"/>
    </row>
    <row r="108" ht="15.75" customHeight="1">
      <c r="B108" s="66"/>
      <c r="C108" s="66"/>
      <c r="D108" s="66"/>
      <c r="E108" s="66"/>
      <c r="F108" s="66"/>
      <c r="G108" s="66"/>
      <c r="H108" s="66"/>
      <c r="I108" s="66"/>
      <c r="J108" s="66"/>
    </row>
    <row r="109" ht="15.75" customHeight="1">
      <c r="B109" s="66"/>
      <c r="C109" s="66"/>
      <c r="D109" s="66"/>
      <c r="E109" s="66"/>
      <c r="F109" s="66"/>
      <c r="G109" s="66"/>
      <c r="H109" s="66"/>
      <c r="I109" s="66"/>
      <c r="J109" s="66"/>
    </row>
    <row r="110" ht="15.75" customHeight="1">
      <c r="B110" s="66"/>
      <c r="C110" s="66"/>
      <c r="D110" s="66"/>
      <c r="E110" s="66"/>
      <c r="F110" s="66"/>
      <c r="G110" s="66"/>
      <c r="H110" s="66"/>
      <c r="I110" s="66"/>
      <c r="J110" s="66"/>
    </row>
    <row r="111" ht="15.75" customHeight="1">
      <c r="B111" s="66"/>
      <c r="C111" s="66"/>
      <c r="D111" s="66"/>
      <c r="E111" s="66"/>
      <c r="F111" s="66"/>
      <c r="G111" s="66"/>
      <c r="H111" s="66"/>
      <c r="I111" s="66"/>
      <c r="J111" s="66"/>
    </row>
    <row r="112" ht="15.75" customHeight="1">
      <c r="B112" s="66"/>
      <c r="C112" s="66"/>
      <c r="D112" s="66"/>
      <c r="E112" s="66"/>
      <c r="F112" s="66"/>
      <c r="G112" s="66"/>
      <c r="H112" s="66"/>
      <c r="I112" s="66"/>
      <c r="J112" s="66"/>
    </row>
    <row r="113" ht="15.75" customHeight="1">
      <c r="B113" s="66"/>
      <c r="C113" s="66"/>
      <c r="D113" s="66"/>
      <c r="E113" s="66"/>
      <c r="F113" s="66"/>
      <c r="G113" s="66"/>
      <c r="H113" s="66"/>
      <c r="I113" s="66"/>
      <c r="J113" s="66"/>
    </row>
    <row r="114" ht="15.75" customHeight="1">
      <c r="B114" s="66"/>
      <c r="C114" s="66"/>
      <c r="D114" s="66"/>
      <c r="E114" s="66"/>
      <c r="F114" s="66"/>
      <c r="G114" s="66"/>
      <c r="H114" s="66"/>
      <c r="I114" s="66"/>
      <c r="J114" s="66"/>
    </row>
    <row r="115" ht="15.75" customHeight="1">
      <c r="B115" s="66"/>
      <c r="C115" s="66"/>
      <c r="D115" s="66"/>
      <c r="E115" s="66"/>
      <c r="F115" s="66"/>
      <c r="G115" s="66"/>
      <c r="H115" s="66"/>
      <c r="I115" s="66"/>
      <c r="J115" s="66"/>
    </row>
    <row r="116" ht="15.75" customHeight="1">
      <c r="B116" s="66"/>
      <c r="C116" s="66"/>
      <c r="D116" s="66"/>
      <c r="E116" s="66"/>
      <c r="F116" s="66"/>
      <c r="G116" s="66"/>
      <c r="H116" s="66"/>
      <c r="I116" s="66"/>
      <c r="J116" s="66"/>
    </row>
    <row r="117" ht="15.75" customHeight="1">
      <c r="B117" s="66"/>
      <c r="C117" s="66"/>
      <c r="D117" s="66"/>
      <c r="E117" s="66"/>
      <c r="F117" s="66"/>
      <c r="G117" s="66"/>
      <c r="H117" s="66"/>
      <c r="I117" s="66"/>
      <c r="J117" s="66"/>
    </row>
    <row r="118" ht="15.75" customHeight="1">
      <c r="B118" s="66"/>
      <c r="C118" s="66"/>
      <c r="D118" s="66"/>
      <c r="E118" s="66"/>
      <c r="F118" s="66"/>
      <c r="G118" s="66"/>
      <c r="H118" s="66"/>
      <c r="I118" s="66"/>
      <c r="J118" s="66"/>
    </row>
    <row r="119" ht="15.75" customHeight="1">
      <c r="B119" s="66"/>
      <c r="C119" s="66"/>
      <c r="D119" s="66"/>
      <c r="E119" s="66"/>
      <c r="F119" s="66"/>
      <c r="G119" s="66"/>
      <c r="H119" s="66"/>
      <c r="I119" s="66"/>
      <c r="J119" s="66"/>
    </row>
    <row r="120" ht="15.75" customHeight="1">
      <c r="B120" s="66"/>
      <c r="C120" s="66"/>
      <c r="D120" s="66"/>
      <c r="E120" s="66"/>
      <c r="F120" s="66"/>
      <c r="G120" s="66"/>
      <c r="H120" s="66"/>
      <c r="I120" s="66"/>
      <c r="J120" s="66"/>
    </row>
    <row r="121" ht="15.75" customHeight="1">
      <c r="B121" s="66"/>
      <c r="C121" s="66"/>
      <c r="D121" s="66"/>
      <c r="E121" s="66"/>
      <c r="F121" s="66"/>
      <c r="G121" s="66"/>
      <c r="H121" s="66"/>
      <c r="I121" s="66"/>
      <c r="J121" s="66"/>
    </row>
    <row r="122" ht="15.75" customHeight="1">
      <c r="B122" s="66"/>
      <c r="C122" s="66"/>
      <c r="D122" s="66"/>
      <c r="E122" s="66"/>
      <c r="F122" s="66"/>
      <c r="G122" s="66"/>
      <c r="H122" s="66"/>
      <c r="I122" s="66"/>
      <c r="J122" s="66"/>
    </row>
    <row r="123" ht="15.75" customHeight="1">
      <c r="B123" s="66"/>
      <c r="C123" s="66"/>
      <c r="D123" s="66"/>
      <c r="E123" s="66"/>
      <c r="F123" s="66"/>
      <c r="G123" s="66"/>
      <c r="H123" s="66"/>
      <c r="I123" s="66"/>
      <c r="J123" s="66"/>
    </row>
    <row r="124" ht="15.75" customHeight="1">
      <c r="B124" s="66"/>
      <c r="C124" s="66"/>
      <c r="D124" s="66"/>
      <c r="E124" s="66"/>
      <c r="F124" s="66"/>
      <c r="G124" s="66"/>
      <c r="H124" s="66"/>
      <c r="I124" s="66"/>
      <c r="J124" s="66"/>
    </row>
    <row r="125" ht="15.75" customHeight="1">
      <c r="B125" s="66"/>
      <c r="C125" s="66"/>
      <c r="D125" s="66"/>
      <c r="E125" s="66"/>
      <c r="F125" s="66"/>
      <c r="G125" s="66"/>
      <c r="H125" s="66"/>
      <c r="I125" s="66"/>
      <c r="J125" s="66"/>
    </row>
    <row r="126" ht="15.75" customHeight="1">
      <c r="B126" s="66"/>
      <c r="C126" s="66"/>
      <c r="D126" s="66"/>
      <c r="E126" s="66"/>
      <c r="F126" s="66"/>
      <c r="G126" s="66"/>
      <c r="H126" s="66"/>
      <c r="I126" s="66"/>
      <c r="J126" s="66"/>
    </row>
    <row r="127" ht="15.75" customHeight="1">
      <c r="B127" s="66"/>
      <c r="C127" s="66"/>
      <c r="D127" s="66"/>
      <c r="E127" s="66"/>
      <c r="F127" s="66"/>
      <c r="G127" s="66"/>
      <c r="H127" s="66"/>
      <c r="I127" s="66"/>
      <c r="J127" s="66"/>
    </row>
    <row r="128" ht="15.75" customHeight="1">
      <c r="B128" s="66"/>
      <c r="C128" s="66"/>
      <c r="D128" s="66"/>
      <c r="E128" s="66"/>
      <c r="F128" s="66"/>
      <c r="G128" s="66"/>
      <c r="H128" s="66"/>
      <c r="I128" s="66"/>
      <c r="J128" s="66"/>
    </row>
    <row r="129" ht="15.75" customHeight="1">
      <c r="B129" s="66"/>
      <c r="C129" s="66"/>
      <c r="D129" s="66"/>
      <c r="E129" s="66"/>
      <c r="F129" s="66"/>
      <c r="G129" s="66"/>
      <c r="H129" s="66"/>
      <c r="I129" s="66"/>
      <c r="J129" s="66"/>
    </row>
    <row r="130" ht="15.75" customHeight="1">
      <c r="B130" s="66"/>
      <c r="C130" s="66"/>
      <c r="D130" s="66"/>
      <c r="E130" s="66"/>
      <c r="F130" s="66"/>
      <c r="G130" s="66"/>
      <c r="H130" s="66"/>
      <c r="I130" s="66"/>
      <c r="J130" s="66"/>
    </row>
    <row r="131" ht="15.75" customHeight="1">
      <c r="B131" s="66"/>
      <c r="C131" s="66"/>
      <c r="D131" s="66"/>
      <c r="E131" s="66"/>
      <c r="F131" s="66"/>
      <c r="G131" s="66"/>
      <c r="H131" s="66"/>
      <c r="I131" s="66"/>
      <c r="J131" s="66"/>
    </row>
    <row r="132" ht="15.75" customHeight="1">
      <c r="B132" s="66"/>
      <c r="C132" s="66"/>
      <c r="D132" s="66"/>
      <c r="E132" s="66"/>
      <c r="F132" s="66"/>
      <c r="G132" s="66"/>
      <c r="H132" s="66"/>
      <c r="I132" s="66"/>
      <c r="J132" s="66"/>
    </row>
    <row r="133" ht="15.75" customHeight="1">
      <c r="B133" s="66"/>
      <c r="C133" s="66"/>
      <c r="D133" s="66"/>
      <c r="E133" s="66"/>
      <c r="F133" s="66"/>
      <c r="G133" s="66"/>
      <c r="H133" s="66"/>
      <c r="I133" s="66"/>
      <c r="J133" s="66"/>
    </row>
    <row r="134" ht="15.75" customHeight="1">
      <c r="B134" s="66"/>
      <c r="C134" s="66"/>
      <c r="D134" s="66"/>
      <c r="E134" s="66"/>
      <c r="F134" s="66"/>
      <c r="G134" s="66"/>
      <c r="H134" s="66"/>
      <c r="I134" s="66"/>
      <c r="J134" s="66"/>
    </row>
    <row r="135" ht="15.75" customHeight="1">
      <c r="B135" s="66"/>
      <c r="C135" s="66"/>
      <c r="D135" s="66"/>
      <c r="E135" s="66"/>
      <c r="F135" s="66"/>
      <c r="G135" s="66"/>
      <c r="H135" s="66"/>
      <c r="I135" s="66"/>
      <c r="J135" s="66"/>
    </row>
    <row r="136" ht="15.75" customHeight="1">
      <c r="B136" s="66"/>
      <c r="C136" s="66"/>
      <c r="D136" s="66"/>
      <c r="E136" s="66"/>
      <c r="F136" s="66"/>
      <c r="G136" s="66"/>
      <c r="H136" s="66"/>
      <c r="I136" s="66"/>
      <c r="J136" s="66"/>
    </row>
    <row r="137" ht="15.75" customHeight="1">
      <c r="B137" s="66"/>
      <c r="C137" s="66"/>
      <c r="D137" s="66"/>
      <c r="E137" s="66"/>
      <c r="F137" s="66"/>
      <c r="G137" s="66"/>
      <c r="H137" s="66"/>
      <c r="I137" s="66"/>
      <c r="J137" s="66"/>
    </row>
    <row r="138" ht="15.75" customHeight="1">
      <c r="B138" s="66"/>
      <c r="C138" s="66"/>
      <c r="D138" s="66"/>
      <c r="E138" s="66"/>
      <c r="F138" s="66"/>
      <c r="G138" s="66"/>
      <c r="H138" s="66"/>
      <c r="I138" s="66"/>
      <c r="J138" s="66"/>
    </row>
    <row r="139" ht="15.75" customHeight="1">
      <c r="B139" s="66"/>
      <c r="C139" s="66"/>
      <c r="D139" s="66"/>
      <c r="E139" s="66"/>
      <c r="F139" s="66"/>
      <c r="G139" s="66"/>
      <c r="H139" s="66"/>
      <c r="I139" s="66"/>
      <c r="J139" s="66"/>
    </row>
    <row r="140" ht="15.75" customHeight="1">
      <c r="B140" s="66"/>
      <c r="C140" s="66"/>
      <c r="D140" s="66"/>
      <c r="E140" s="66"/>
      <c r="F140" s="66"/>
      <c r="G140" s="66"/>
      <c r="H140" s="66"/>
      <c r="I140" s="66"/>
      <c r="J140" s="66"/>
    </row>
    <row r="141" ht="15.75" customHeight="1">
      <c r="B141" s="66"/>
      <c r="C141" s="66"/>
      <c r="D141" s="66"/>
      <c r="E141" s="66"/>
      <c r="F141" s="66"/>
      <c r="G141" s="66"/>
      <c r="H141" s="66"/>
      <c r="I141" s="66"/>
      <c r="J141" s="66"/>
    </row>
    <row r="142" ht="15.75" customHeight="1">
      <c r="B142" s="66"/>
      <c r="C142" s="66"/>
      <c r="D142" s="66"/>
      <c r="E142" s="66"/>
      <c r="F142" s="66"/>
      <c r="G142" s="66"/>
      <c r="H142" s="66"/>
      <c r="I142" s="66"/>
      <c r="J142" s="66"/>
    </row>
    <row r="143" ht="15.75" customHeight="1">
      <c r="B143" s="66"/>
      <c r="C143" s="66"/>
      <c r="D143" s="66"/>
      <c r="E143" s="66"/>
      <c r="F143" s="66"/>
      <c r="G143" s="66"/>
      <c r="H143" s="66"/>
      <c r="I143" s="66"/>
      <c r="J143" s="66"/>
    </row>
    <row r="144" ht="15.75" customHeight="1">
      <c r="B144" s="66"/>
      <c r="C144" s="66"/>
      <c r="D144" s="66"/>
      <c r="E144" s="66"/>
      <c r="F144" s="66"/>
      <c r="G144" s="66"/>
      <c r="H144" s="66"/>
      <c r="I144" s="66"/>
      <c r="J144" s="66"/>
    </row>
    <row r="145" ht="15.75" customHeight="1">
      <c r="B145" s="66"/>
      <c r="C145" s="66"/>
      <c r="D145" s="66"/>
      <c r="E145" s="66"/>
      <c r="F145" s="66"/>
      <c r="G145" s="66"/>
      <c r="H145" s="66"/>
      <c r="I145" s="66"/>
      <c r="J145" s="66"/>
    </row>
    <row r="146" ht="15.75" customHeight="1">
      <c r="B146" s="66"/>
      <c r="C146" s="66"/>
      <c r="D146" s="66"/>
      <c r="E146" s="66"/>
      <c r="F146" s="66"/>
      <c r="G146" s="66"/>
      <c r="H146" s="66"/>
      <c r="I146" s="66"/>
      <c r="J146" s="66"/>
    </row>
    <row r="147" ht="15.75" customHeight="1">
      <c r="B147" s="66"/>
      <c r="C147" s="66"/>
      <c r="D147" s="66"/>
      <c r="E147" s="66"/>
      <c r="F147" s="66"/>
      <c r="G147" s="66"/>
      <c r="H147" s="66"/>
      <c r="I147" s="66"/>
      <c r="J147" s="66"/>
    </row>
    <row r="148" ht="15.75" customHeight="1">
      <c r="B148" s="66"/>
      <c r="C148" s="66"/>
      <c r="D148" s="66"/>
      <c r="E148" s="66"/>
      <c r="F148" s="66"/>
      <c r="G148" s="66"/>
      <c r="H148" s="66"/>
      <c r="I148" s="66"/>
      <c r="J148" s="66"/>
    </row>
    <row r="149" ht="15.75" customHeight="1">
      <c r="B149" s="66"/>
      <c r="C149" s="66"/>
      <c r="D149" s="66"/>
      <c r="E149" s="66"/>
      <c r="F149" s="66"/>
      <c r="G149" s="66"/>
      <c r="H149" s="66"/>
      <c r="I149" s="66"/>
      <c r="J149" s="66"/>
    </row>
    <row r="150" ht="15.75" customHeight="1">
      <c r="B150" s="66"/>
      <c r="C150" s="66"/>
      <c r="D150" s="66"/>
      <c r="E150" s="66"/>
      <c r="F150" s="66"/>
      <c r="G150" s="66"/>
      <c r="H150" s="66"/>
      <c r="I150" s="66"/>
      <c r="J150" s="66"/>
    </row>
    <row r="151" ht="15.75" customHeight="1">
      <c r="B151" s="66"/>
      <c r="C151" s="66"/>
      <c r="D151" s="66"/>
      <c r="E151" s="66"/>
      <c r="F151" s="66"/>
      <c r="G151" s="66"/>
      <c r="H151" s="66"/>
      <c r="I151" s="66"/>
      <c r="J151" s="66"/>
    </row>
    <row r="152" ht="15.75" customHeight="1">
      <c r="B152" s="66"/>
      <c r="C152" s="66"/>
      <c r="D152" s="66"/>
      <c r="E152" s="66"/>
      <c r="F152" s="66"/>
      <c r="G152" s="66"/>
      <c r="H152" s="66"/>
      <c r="I152" s="66"/>
      <c r="J152" s="66"/>
    </row>
    <row r="153" ht="15.75" customHeight="1">
      <c r="B153" s="66"/>
      <c r="C153" s="66"/>
      <c r="D153" s="66"/>
      <c r="E153" s="66"/>
      <c r="F153" s="66"/>
      <c r="G153" s="66"/>
      <c r="H153" s="66"/>
      <c r="I153" s="66"/>
      <c r="J153" s="66"/>
    </row>
    <row r="154" ht="15.75" customHeight="1">
      <c r="B154" s="66"/>
      <c r="C154" s="66"/>
      <c r="D154" s="66"/>
      <c r="E154" s="66"/>
      <c r="F154" s="66"/>
      <c r="G154" s="66"/>
      <c r="H154" s="66"/>
      <c r="I154" s="66"/>
      <c r="J154" s="66"/>
    </row>
    <row r="155" ht="15.75" customHeight="1">
      <c r="B155" s="66"/>
      <c r="C155" s="66"/>
      <c r="D155" s="66"/>
      <c r="E155" s="66"/>
      <c r="F155" s="66"/>
      <c r="G155" s="66"/>
      <c r="H155" s="66"/>
      <c r="I155" s="66"/>
      <c r="J155" s="66"/>
    </row>
    <row r="156" ht="15.75" customHeight="1">
      <c r="B156" s="66"/>
      <c r="C156" s="66"/>
      <c r="D156" s="66"/>
      <c r="E156" s="66"/>
      <c r="F156" s="66"/>
      <c r="G156" s="66"/>
      <c r="H156" s="66"/>
      <c r="I156" s="66"/>
      <c r="J156" s="66"/>
    </row>
    <row r="157" ht="15.75" customHeight="1">
      <c r="B157" s="66"/>
      <c r="C157" s="66"/>
      <c r="D157" s="66"/>
      <c r="E157" s="66"/>
      <c r="F157" s="66"/>
      <c r="G157" s="66"/>
      <c r="H157" s="66"/>
      <c r="I157" s="66"/>
      <c r="J157" s="66"/>
    </row>
    <row r="158" ht="15.75" customHeight="1">
      <c r="B158" s="66"/>
      <c r="C158" s="66"/>
      <c r="D158" s="66"/>
      <c r="E158" s="66"/>
      <c r="F158" s="66"/>
      <c r="G158" s="66"/>
      <c r="H158" s="66"/>
      <c r="I158" s="66"/>
      <c r="J158" s="66"/>
    </row>
    <row r="159" ht="15.75" customHeight="1">
      <c r="B159" s="66"/>
      <c r="C159" s="66"/>
      <c r="D159" s="66"/>
      <c r="E159" s="66"/>
      <c r="F159" s="66"/>
      <c r="G159" s="66"/>
      <c r="H159" s="66"/>
      <c r="I159" s="66"/>
      <c r="J159" s="66"/>
    </row>
    <row r="160" ht="15.75" customHeight="1">
      <c r="B160" s="66"/>
      <c r="C160" s="66"/>
      <c r="D160" s="66"/>
      <c r="E160" s="66"/>
      <c r="F160" s="66"/>
      <c r="G160" s="66"/>
      <c r="H160" s="66"/>
      <c r="I160" s="66"/>
      <c r="J160" s="66"/>
    </row>
    <row r="161" ht="15.75" customHeight="1">
      <c r="B161" s="66"/>
      <c r="C161" s="66"/>
      <c r="D161" s="66"/>
      <c r="E161" s="66"/>
      <c r="F161" s="66"/>
      <c r="G161" s="66"/>
      <c r="H161" s="66"/>
      <c r="I161" s="66"/>
      <c r="J161" s="66"/>
    </row>
    <row r="162" ht="15.75" customHeight="1">
      <c r="B162" s="66"/>
      <c r="C162" s="66"/>
      <c r="D162" s="66"/>
      <c r="E162" s="66"/>
      <c r="F162" s="66"/>
      <c r="G162" s="66"/>
      <c r="H162" s="66"/>
      <c r="I162" s="66"/>
      <c r="J162" s="66"/>
    </row>
    <row r="163" ht="15.75" customHeight="1">
      <c r="B163" s="66"/>
      <c r="C163" s="66"/>
      <c r="D163" s="66"/>
      <c r="E163" s="66"/>
      <c r="F163" s="66"/>
      <c r="G163" s="66"/>
      <c r="H163" s="66"/>
      <c r="I163" s="66"/>
      <c r="J163" s="66"/>
    </row>
    <row r="164" ht="15.75" customHeight="1">
      <c r="B164" s="66"/>
      <c r="C164" s="66"/>
      <c r="D164" s="66"/>
      <c r="E164" s="66"/>
      <c r="F164" s="66"/>
      <c r="G164" s="66"/>
      <c r="H164" s="66"/>
      <c r="I164" s="66"/>
      <c r="J164" s="66"/>
    </row>
    <row r="165" ht="15.75" customHeight="1">
      <c r="B165" s="66"/>
      <c r="C165" s="66"/>
      <c r="D165" s="66"/>
      <c r="E165" s="66"/>
      <c r="F165" s="66"/>
      <c r="G165" s="66"/>
      <c r="H165" s="66"/>
      <c r="I165" s="66"/>
      <c r="J165" s="66"/>
    </row>
    <row r="166" ht="15.75" customHeight="1">
      <c r="B166" s="66"/>
      <c r="C166" s="66"/>
      <c r="D166" s="66"/>
      <c r="E166" s="66"/>
      <c r="F166" s="66"/>
      <c r="G166" s="66"/>
      <c r="H166" s="66"/>
      <c r="I166" s="66"/>
      <c r="J166" s="66"/>
    </row>
    <row r="167" ht="15.75" customHeight="1">
      <c r="B167" s="66"/>
      <c r="C167" s="66"/>
      <c r="D167" s="66"/>
      <c r="E167" s="66"/>
      <c r="F167" s="66"/>
      <c r="G167" s="66"/>
      <c r="H167" s="66"/>
      <c r="I167" s="66"/>
      <c r="J167" s="66"/>
    </row>
    <row r="168" ht="15.75" customHeight="1">
      <c r="B168" s="66"/>
      <c r="C168" s="66"/>
      <c r="D168" s="66"/>
      <c r="E168" s="66"/>
      <c r="F168" s="66"/>
      <c r="G168" s="66"/>
      <c r="H168" s="66"/>
      <c r="I168" s="66"/>
      <c r="J168" s="66"/>
    </row>
    <row r="169" ht="15.75" customHeight="1">
      <c r="B169" s="66"/>
      <c r="C169" s="66"/>
      <c r="D169" s="66"/>
      <c r="E169" s="66"/>
      <c r="F169" s="66"/>
      <c r="G169" s="66"/>
      <c r="H169" s="66"/>
      <c r="I169" s="66"/>
      <c r="J169" s="66"/>
    </row>
    <row r="170" ht="15.75" customHeight="1">
      <c r="B170" s="66"/>
      <c r="C170" s="66"/>
      <c r="D170" s="66"/>
      <c r="E170" s="66"/>
      <c r="F170" s="66"/>
      <c r="G170" s="66"/>
      <c r="H170" s="66"/>
      <c r="I170" s="66"/>
      <c r="J170" s="66"/>
    </row>
    <row r="171" ht="15.75" customHeight="1">
      <c r="B171" s="66"/>
      <c r="C171" s="66"/>
      <c r="D171" s="66"/>
      <c r="E171" s="66"/>
      <c r="F171" s="66"/>
      <c r="G171" s="66"/>
      <c r="H171" s="66"/>
      <c r="I171" s="66"/>
      <c r="J171" s="66"/>
    </row>
    <row r="172" ht="15.75" customHeight="1">
      <c r="B172" s="66"/>
      <c r="C172" s="66"/>
      <c r="D172" s="66"/>
      <c r="E172" s="66"/>
      <c r="F172" s="66"/>
      <c r="G172" s="66"/>
      <c r="H172" s="66"/>
      <c r="I172" s="66"/>
      <c r="J172" s="66"/>
    </row>
    <row r="173" ht="15.75" customHeight="1">
      <c r="B173" s="66"/>
      <c r="C173" s="66"/>
      <c r="D173" s="66"/>
      <c r="E173" s="66"/>
      <c r="F173" s="66"/>
      <c r="G173" s="66"/>
      <c r="H173" s="66"/>
      <c r="I173" s="66"/>
      <c r="J173" s="66"/>
    </row>
    <row r="174" ht="15.75" customHeight="1">
      <c r="B174" s="66"/>
      <c r="C174" s="66"/>
      <c r="D174" s="66"/>
      <c r="E174" s="66"/>
      <c r="F174" s="66"/>
      <c r="G174" s="66"/>
      <c r="H174" s="66"/>
      <c r="I174" s="66"/>
      <c r="J174" s="66"/>
    </row>
    <row r="175" ht="15.75" customHeight="1">
      <c r="B175" s="66"/>
      <c r="C175" s="66"/>
      <c r="D175" s="66"/>
      <c r="E175" s="66"/>
      <c r="F175" s="66"/>
      <c r="G175" s="66"/>
      <c r="H175" s="66"/>
      <c r="I175" s="66"/>
      <c r="J175" s="66"/>
    </row>
    <row r="176" ht="15.75" customHeight="1">
      <c r="B176" s="66"/>
      <c r="C176" s="66"/>
      <c r="D176" s="66"/>
      <c r="E176" s="66"/>
      <c r="F176" s="66"/>
      <c r="G176" s="66"/>
      <c r="H176" s="66"/>
      <c r="I176" s="66"/>
      <c r="J176" s="66"/>
    </row>
    <row r="177" ht="15.75" customHeight="1">
      <c r="B177" s="66"/>
      <c r="C177" s="66"/>
      <c r="D177" s="66"/>
      <c r="E177" s="66"/>
      <c r="F177" s="66"/>
      <c r="G177" s="66"/>
      <c r="H177" s="66"/>
      <c r="I177" s="66"/>
      <c r="J177" s="66"/>
    </row>
    <row r="178" ht="15.75" customHeight="1">
      <c r="B178" s="66"/>
      <c r="C178" s="66"/>
      <c r="D178" s="66"/>
      <c r="E178" s="66"/>
      <c r="F178" s="66"/>
      <c r="G178" s="66"/>
      <c r="H178" s="66"/>
      <c r="I178" s="66"/>
      <c r="J178" s="66"/>
    </row>
    <row r="179" ht="15.75" customHeight="1">
      <c r="B179" s="66"/>
      <c r="C179" s="66"/>
      <c r="D179" s="66"/>
      <c r="E179" s="66"/>
      <c r="F179" s="66"/>
      <c r="G179" s="66"/>
      <c r="H179" s="66"/>
      <c r="I179" s="66"/>
      <c r="J179" s="66"/>
    </row>
    <row r="180" ht="15.75" customHeight="1">
      <c r="B180" s="66"/>
      <c r="C180" s="66"/>
      <c r="D180" s="66"/>
      <c r="E180" s="66"/>
      <c r="F180" s="66"/>
      <c r="G180" s="66"/>
      <c r="H180" s="66"/>
      <c r="I180" s="66"/>
      <c r="J180" s="66"/>
    </row>
    <row r="181" ht="15.75" customHeight="1">
      <c r="B181" s="66"/>
      <c r="C181" s="66"/>
      <c r="D181" s="66"/>
      <c r="E181" s="66"/>
      <c r="F181" s="66"/>
      <c r="G181" s="66"/>
      <c r="H181" s="66"/>
      <c r="I181" s="66"/>
      <c r="J181" s="66"/>
    </row>
    <row r="182" ht="15.75" customHeight="1">
      <c r="B182" s="66"/>
      <c r="C182" s="66"/>
      <c r="D182" s="66"/>
      <c r="E182" s="66"/>
      <c r="F182" s="66"/>
      <c r="G182" s="66"/>
      <c r="H182" s="66"/>
      <c r="I182" s="66"/>
      <c r="J182" s="66"/>
    </row>
    <row r="183" ht="15.75" customHeight="1">
      <c r="B183" s="66"/>
      <c r="C183" s="66"/>
      <c r="D183" s="66"/>
      <c r="E183" s="66"/>
      <c r="F183" s="66"/>
      <c r="G183" s="66"/>
      <c r="H183" s="66"/>
      <c r="I183" s="66"/>
      <c r="J183" s="66"/>
    </row>
    <row r="184" ht="15.75" customHeight="1">
      <c r="B184" s="66"/>
      <c r="C184" s="66"/>
      <c r="D184" s="66"/>
      <c r="E184" s="66"/>
      <c r="F184" s="66"/>
      <c r="G184" s="66"/>
      <c r="H184" s="66"/>
      <c r="I184" s="66"/>
      <c r="J184" s="66"/>
    </row>
    <row r="185" ht="15.75" customHeight="1">
      <c r="B185" s="66"/>
      <c r="C185" s="66"/>
      <c r="D185" s="66"/>
      <c r="E185" s="66"/>
      <c r="F185" s="66"/>
      <c r="G185" s="66"/>
      <c r="H185" s="66"/>
      <c r="I185" s="66"/>
      <c r="J185" s="66"/>
    </row>
    <row r="186" ht="15.75" customHeight="1">
      <c r="B186" s="66"/>
      <c r="C186" s="66"/>
      <c r="D186" s="66"/>
      <c r="E186" s="66"/>
      <c r="F186" s="66"/>
      <c r="G186" s="66"/>
      <c r="H186" s="66"/>
      <c r="I186" s="66"/>
      <c r="J186" s="66"/>
    </row>
    <row r="187" ht="15.75" customHeight="1">
      <c r="B187" s="66"/>
      <c r="C187" s="66"/>
      <c r="D187" s="66"/>
      <c r="E187" s="66"/>
      <c r="F187" s="66"/>
      <c r="G187" s="66"/>
      <c r="H187" s="66"/>
      <c r="I187" s="66"/>
      <c r="J187" s="66"/>
    </row>
    <row r="188" ht="15.75" customHeight="1">
      <c r="B188" s="66"/>
      <c r="C188" s="66"/>
      <c r="D188" s="66"/>
      <c r="E188" s="66"/>
      <c r="F188" s="66"/>
      <c r="G188" s="66"/>
      <c r="H188" s="66"/>
      <c r="I188" s="66"/>
      <c r="J188" s="66"/>
    </row>
    <row r="189" ht="15.75" customHeight="1">
      <c r="B189" s="66"/>
      <c r="C189" s="66"/>
      <c r="D189" s="66"/>
      <c r="E189" s="66"/>
      <c r="F189" s="66"/>
      <c r="G189" s="66"/>
      <c r="H189" s="66"/>
      <c r="I189" s="66"/>
      <c r="J189" s="66"/>
    </row>
    <row r="190" ht="15.75" customHeight="1">
      <c r="B190" s="66"/>
      <c r="C190" s="66"/>
      <c r="D190" s="66"/>
      <c r="E190" s="66"/>
      <c r="F190" s="66"/>
      <c r="G190" s="66"/>
      <c r="H190" s="66"/>
      <c r="I190" s="66"/>
      <c r="J190" s="66"/>
    </row>
    <row r="191" ht="15.75" customHeight="1">
      <c r="B191" s="66"/>
      <c r="C191" s="66"/>
      <c r="D191" s="66"/>
      <c r="E191" s="66"/>
      <c r="F191" s="66"/>
      <c r="G191" s="66"/>
      <c r="H191" s="66"/>
      <c r="I191" s="66"/>
      <c r="J191" s="66"/>
    </row>
    <row r="192" ht="15.75" customHeight="1">
      <c r="B192" s="66"/>
      <c r="C192" s="66"/>
      <c r="D192" s="66"/>
      <c r="E192" s="66"/>
      <c r="F192" s="66"/>
      <c r="G192" s="66"/>
      <c r="H192" s="66"/>
      <c r="I192" s="66"/>
      <c r="J192" s="66"/>
    </row>
    <row r="193" ht="15.75" customHeight="1">
      <c r="B193" s="66"/>
      <c r="C193" s="66"/>
      <c r="D193" s="66"/>
      <c r="E193" s="66"/>
      <c r="F193" s="66"/>
      <c r="G193" s="66"/>
      <c r="H193" s="66"/>
      <c r="I193" s="66"/>
      <c r="J193" s="66"/>
    </row>
    <row r="194" ht="15.75" customHeight="1">
      <c r="B194" s="66"/>
      <c r="C194" s="66"/>
      <c r="D194" s="66"/>
      <c r="E194" s="66"/>
      <c r="F194" s="66"/>
      <c r="G194" s="66"/>
      <c r="H194" s="66"/>
      <c r="I194" s="66"/>
      <c r="J194" s="66"/>
    </row>
    <row r="195" ht="15.75" customHeight="1">
      <c r="B195" s="66"/>
      <c r="C195" s="66"/>
      <c r="D195" s="66"/>
      <c r="E195" s="66"/>
      <c r="F195" s="66"/>
      <c r="G195" s="66"/>
      <c r="H195" s="66"/>
      <c r="I195" s="66"/>
      <c r="J195" s="66"/>
    </row>
    <row r="196" ht="15.75" customHeight="1">
      <c r="B196" s="66"/>
      <c r="C196" s="66"/>
      <c r="D196" s="66"/>
      <c r="E196" s="66"/>
      <c r="F196" s="66"/>
      <c r="G196" s="66"/>
      <c r="H196" s="66"/>
      <c r="I196" s="66"/>
      <c r="J196" s="66"/>
    </row>
    <row r="197" ht="15.75" customHeight="1">
      <c r="B197" s="66"/>
      <c r="C197" s="66"/>
      <c r="D197" s="66"/>
      <c r="E197" s="66"/>
      <c r="F197" s="66"/>
      <c r="G197" s="66"/>
      <c r="H197" s="66"/>
      <c r="I197" s="66"/>
      <c r="J197" s="66"/>
    </row>
    <row r="198" ht="15.75" customHeight="1">
      <c r="B198" s="66"/>
      <c r="C198" s="66"/>
      <c r="D198" s="66"/>
      <c r="E198" s="66"/>
      <c r="F198" s="66"/>
      <c r="G198" s="66"/>
      <c r="H198" s="66"/>
      <c r="I198" s="66"/>
      <c r="J198" s="66"/>
    </row>
    <row r="199" ht="15.75" customHeight="1">
      <c r="B199" s="66"/>
      <c r="C199" s="66"/>
      <c r="D199" s="66"/>
      <c r="E199" s="66"/>
      <c r="F199" s="66"/>
      <c r="G199" s="66"/>
      <c r="H199" s="66"/>
      <c r="I199" s="66"/>
      <c r="J199" s="66"/>
    </row>
    <row r="200" ht="15.75" customHeight="1">
      <c r="B200" s="66"/>
      <c r="C200" s="66"/>
      <c r="D200" s="66"/>
      <c r="E200" s="66"/>
      <c r="F200" s="66"/>
      <c r="G200" s="66"/>
      <c r="H200" s="66"/>
      <c r="I200" s="66"/>
      <c r="J200" s="66"/>
    </row>
    <row r="201" ht="15.75" customHeight="1">
      <c r="B201" s="66"/>
      <c r="C201" s="66"/>
      <c r="D201" s="66"/>
      <c r="E201" s="66"/>
      <c r="F201" s="66"/>
      <c r="G201" s="66"/>
      <c r="H201" s="66"/>
      <c r="I201" s="66"/>
      <c r="J201" s="66"/>
    </row>
    <row r="202" ht="15.75" customHeight="1">
      <c r="B202" s="66"/>
      <c r="C202" s="66"/>
      <c r="D202" s="66"/>
      <c r="E202" s="66"/>
      <c r="F202" s="66"/>
      <c r="G202" s="66"/>
      <c r="H202" s="66"/>
      <c r="I202" s="66"/>
      <c r="J202" s="66"/>
    </row>
    <row r="203" ht="15.75" customHeight="1">
      <c r="B203" s="66"/>
      <c r="C203" s="66"/>
      <c r="D203" s="66"/>
      <c r="E203" s="66"/>
      <c r="F203" s="66"/>
      <c r="G203" s="66"/>
      <c r="H203" s="66"/>
      <c r="I203" s="66"/>
      <c r="J203" s="66"/>
    </row>
    <row r="204" ht="15.75" customHeight="1">
      <c r="B204" s="66"/>
      <c r="C204" s="66"/>
      <c r="D204" s="66"/>
      <c r="E204" s="66"/>
      <c r="F204" s="66"/>
      <c r="G204" s="66"/>
      <c r="H204" s="66"/>
      <c r="I204" s="66"/>
      <c r="J204" s="66"/>
    </row>
    <row r="205" ht="15.75" customHeight="1">
      <c r="B205" s="66"/>
      <c r="C205" s="66"/>
      <c r="D205" s="66"/>
      <c r="E205" s="66"/>
      <c r="F205" s="66"/>
      <c r="G205" s="66"/>
      <c r="H205" s="66"/>
      <c r="I205" s="66"/>
      <c r="J205" s="66"/>
    </row>
    <row r="206" ht="15.75" customHeight="1">
      <c r="B206" s="66"/>
      <c r="C206" s="66"/>
      <c r="D206" s="66"/>
      <c r="E206" s="66"/>
      <c r="F206" s="66"/>
      <c r="G206" s="66"/>
      <c r="H206" s="66"/>
      <c r="I206" s="66"/>
      <c r="J206" s="66"/>
    </row>
    <row r="207" ht="15.75" customHeight="1">
      <c r="B207" s="66"/>
      <c r="C207" s="66"/>
      <c r="D207" s="66"/>
      <c r="E207" s="66"/>
      <c r="F207" s="66"/>
      <c r="G207" s="66"/>
      <c r="H207" s="66"/>
      <c r="I207" s="66"/>
      <c r="J207" s="66"/>
    </row>
    <row r="208" ht="15.75" customHeight="1">
      <c r="B208" s="66"/>
      <c r="C208" s="66"/>
      <c r="D208" s="66"/>
      <c r="E208" s="66"/>
      <c r="F208" s="66"/>
      <c r="G208" s="66"/>
      <c r="H208" s="66"/>
      <c r="I208" s="66"/>
      <c r="J208" s="66"/>
    </row>
    <row r="209" ht="15.75" customHeight="1">
      <c r="B209" s="66"/>
      <c r="C209" s="66"/>
      <c r="D209" s="66"/>
      <c r="E209" s="66"/>
      <c r="F209" s="66"/>
      <c r="G209" s="66"/>
      <c r="H209" s="66"/>
      <c r="I209" s="66"/>
      <c r="J209" s="66"/>
    </row>
    <row r="210" ht="15.75" customHeight="1">
      <c r="B210" s="66"/>
      <c r="C210" s="66"/>
      <c r="D210" s="66"/>
      <c r="E210" s="66"/>
      <c r="F210" s="66"/>
      <c r="G210" s="66"/>
      <c r="H210" s="66"/>
      <c r="I210" s="66"/>
      <c r="J210" s="66"/>
    </row>
    <row r="211" ht="15.75" customHeight="1">
      <c r="B211" s="66"/>
      <c r="C211" s="66"/>
      <c r="D211" s="66"/>
      <c r="E211" s="66"/>
      <c r="F211" s="66"/>
      <c r="G211" s="66"/>
      <c r="H211" s="66"/>
      <c r="I211" s="66"/>
      <c r="J211" s="66"/>
    </row>
    <row r="212" ht="15.75" customHeight="1">
      <c r="B212" s="66"/>
      <c r="C212" s="66"/>
      <c r="D212" s="66"/>
      <c r="E212" s="66"/>
      <c r="F212" s="66"/>
      <c r="G212" s="66"/>
      <c r="H212" s="66"/>
      <c r="I212" s="66"/>
      <c r="J212" s="66"/>
    </row>
    <row r="213" ht="15.75" customHeight="1">
      <c r="B213" s="66"/>
      <c r="C213" s="66"/>
      <c r="D213" s="66"/>
      <c r="E213" s="66"/>
      <c r="F213" s="66"/>
      <c r="G213" s="66"/>
      <c r="H213" s="66"/>
      <c r="I213" s="66"/>
      <c r="J213" s="66"/>
    </row>
    <row r="214" ht="15.75" customHeight="1">
      <c r="B214" s="66"/>
      <c r="C214" s="66"/>
      <c r="D214" s="66"/>
      <c r="E214" s="66"/>
      <c r="F214" s="66"/>
      <c r="G214" s="66"/>
      <c r="H214" s="66"/>
      <c r="I214" s="66"/>
      <c r="J214" s="66"/>
    </row>
    <row r="215" ht="15.75" customHeight="1">
      <c r="B215" s="66"/>
      <c r="C215" s="66"/>
      <c r="D215" s="66"/>
      <c r="E215" s="66"/>
      <c r="F215" s="66"/>
      <c r="G215" s="66"/>
      <c r="H215" s="66"/>
      <c r="I215" s="66"/>
      <c r="J215" s="66"/>
    </row>
    <row r="216" ht="15.75" customHeight="1">
      <c r="B216" s="66"/>
      <c r="C216" s="66"/>
      <c r="D216" s="66"/>
      <c r="E216" s="66"/>
      <c r="F216" s="66"/>
      <c r="G216" s="66"/>
      <c r="H216" s="66"/>
      <c r="I216" s="66"/>
      <c r="J216" s="66"/>
    </row>
    <row r="217" ht="15.75" customHeight="1">
      <c r="B217" s="66"/>
      <c r="C217" s="66"/>
      <c r="D217" s="66"/>
      <c r="E217" s="66"/>
      <c r="F217" s="66"/>
      <c r="G217" s="66"/>
      <c r="H217" s="66"/>
      <c r="I217" s="66"/>
      <c r="J217" s="66"/>
    </row>
    <row r="218" ht="15.75" customHeight="1">
      <c r="B218" s="66"/>
      <c r="C218" s="66"/>
      <c r="D218" s="66"/>
      <c r="E218" s="66"/>
      <c r="F218" s="66"/>
      <c r="G218" s="66"/>
      <c r="H218" s="66"/>
      <c r="I218" s="66"/>
      <c r="J218" s="66"/>
    </row>
    <row r="219" ht="15.75" customHeight="1">
      <c r="B219" s="66"/>
      <c r="C219" s="66"/>
      <c r="D219" s="66"/>
      <c r="E219" s="66"/>
      <c r="F219" s="66"/>
      <c r="G219" s="66"/>
      <c r="H219" s="66"/>
      <c r="I219" s="66"/>
      <c r="J219" s="66"/>
    </row>
    <row r="220" ht="15.75" customHeight="1">
      <c r="B220" s="66"/>
      <c r="C220" s="66"/>
      <c r="D220" s="66"/>
      <c r="E220" s="66"/>
      <c r="F220" s="66"/>
      <c r="G220" s="66"/>
      <c r="H220" s="66"/>
      <c r="I220" s="66"/>
      <c r="J220" s="66"/>
    </row>
    <row r="221" ht="15.75" customHeight="1">
      <c r="B221" s="66"/>
      <c r="C221" s="66"/>
      <c r="D221" s="66"/>
      <c r="E221" s="66"/>
      <c r="F221" s="66"/>
      <c r="G221" s="66"/>
      <c r="H221" s="66"/>
      <c r="I221" s="66"/>
      <c r="J221" s="66"/>
    </row>
    <row r="222" ht="15.75" customHeight="1">
      <c r="B222" s="66"/>
      <c r="C222" s="66"/>
      <c r="D222" s="66"/>
      <c r="E222" s="66"/>
      <c r="F222" s="66"/>
      <c r="G222" s="66"/>
      <c r="H222" s="66"/>
      <c r="I222" s="66"/>
      <c r="J222" s="66"/>
    </row>
    <row r="223" ht="15.75" customHeight="1">
      <c r="B223" s="66"/>
      <c r="C223" s="66"/>
      <c r="D223" s="66"/>
      <c r="E223" s="66"/>
      <c r="F223" s="66"/>
      <c r="G223" s="66"/>
      <c r="H223" s="66"/>
      <c r="I223" s="66"/>
      <c r="J223" s="66"/>
    </row>
    <row r="224" ht="15.75" customHeight="1">
      <c r="B224" s="66"/>
      <c r="C224" s="66"/>
      <c r="D224" s="66"/>
      <c r="E224" s="66"/>
      <c r="F224" s="66"/>
      <c r="G224" s="66"/>
      <c r="H224" s="66"/>
      <c r="I224" s="66"/>
      <c r="J224" s="66"/>
    </row>
    <row r="225" ht="15.75" customHeight="1">
      <c r="B225" s="66"/>
      <c r="C225" s="66"/>
      <c r="D225" s="66"/>
      <c r="E225" s="66"/>
      <c r="F225" s="66"/>
      <c r="G225" s="66"/>
      <c r="H225" s="66"/>
      <c r="I225" s="66"/>
      <c r="J225" s="66"/>
    </row>
    <row r="226" ht="15.75" customHeight="1">
      <c r="B226" s="66"/>
      <c r="C226" s="66"/>
      <c r="D226" s="66"/>
      <c r="E226" s="66"/>
      <c r="F226" s="66"/>
      <c r="G226" s="66"/>
      <c r="H226" s="66"/>
      <c r="I226" s="66"/>
      <c r="J226" s="66"/>
    </row>
    <row r="227" ht="15.75" customHeight="1">
      <c r="B227" s="66"/>
      <c r="C227" s="66"/>
      <c r="D227" s="66"/>
      <c r="E227" s="66"/>
      <c r="F227" s="66"/>
      <c r="G227" s="66"/>
      <c r="H227" s="66"/>
      <c r="I227" s="66"/>
      <c r="J227" s="66"/>
    </row>
    <row r="228" ht="15.75" customHeight="1">
      <c r="B228" s="66"/>
      <c r="C228" s="66"/>
      <c r="D228" s="66"/>
      <c r="E228" s="66"/>
      <c r="F228" s="66"/>
      <c r="G228" s="66"/>
      <c r="H228" s="66"/>
      <c r="I228" s="66"/>
      <c r="J228" s="66"/>
    </row>
    <row r="229" ht="15.75" customHeight="1">
      <c r="B229" s="66"/>
      <c r="C229" s="66"/>
      <c r="D229" s="66"/>
      <c r="E229" s="66"/>
      <c r="F229" s="66"/>
      <c r="G229" s="66"/>
      <c r="H229" s="66"/>
      <c r="I229" s="66"/>
      <c r="J229" s="66"/>
    </row>
    <row r="230" ht="15.75" customHeight="1">
      <c r="B230" s="66"/>
      <c r="C230" s="66"/>
      <c r="D230" s="66"/>
      <c r="E230" s="66"/>
      <c r="F230" s="66"/>
      <c r="G230" s="66"/>
      <c r="H230" s="66"/>
      <c r="I230" s="66"/>
      <c r="J230" s="66"/>
    </row>
    <row r="231" ht="15.75" customHeight="1">
      <c r="B231" s="66"/>
      <c r="C231" s="66"/>
      <c r="D231" s="66"/>
      <c r="E231" s="66"/>
      <c r="F231" s="66"/>
      <c r="G231" s="66"/>
      <c r="H231" s="66"/>
      <c r="I231" s="66"/>
      <c r="J231" s="6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1"/>
    <hyperlink r:id="rId2" ref="E1"/>
    <hyperlink r:id="rId3" ref="D2"/>
    <hyperlink r:id="rId4" ref="E2"/>
    <hyperlink r:id="rId5" ref="D3"/>
    <hyperlink r:id="rId6" ref="E3"/>
    <hyperlink r:id="rId7" ref="D4"/>
    <hyperlink r:id="rId8" ref="E4"/>
    <hyperlink r:id="rId9" ref="D5"/>
    <hyperlink r:id="rId10" ref="E5"/>
    <hyperlink r:id="rId11" ref="D6"/>
    <hyperlink r:id="rId12" ref="E6"/>
    <hyperlink r:id="rId13" ref="D7"/>
    <hyperlink r:id="rId14" ref="E7"/>
    <hyperlink r:id="rId15" ref="D8"/>
    <hyperlink r:id="rId16" ref="E8"/>
    <hyperlink r:id="rId17" ref="D9"/>
    <hyperlink r:id="rId18" ref="E9"/>
    <hyperlink r:id="rId19" ref="D10"/>
    <hyperlink r:id="rId20" ref="E10"/>
    <hyperlink r:id="rId21" ref="D11"/>
    <hyperlink r:id="rId22" ref="E11"/>
    <hyperlink r:id="rId23" ref="D12"/>
    <hyperlink r:id="rId24" ref="E12"/>
    <hyperlink r:id="rId25" ref="D13"/>
    <hyperlink r:id="rId26" ref="E13"/>
    <hyperlink r:id="rId27" ref="D14"/>
    <hyperlink r:id="rId28" ref="E14"/>
    <hyperlink r:id="rId29" ref="D15"/>
    <hyperlink r:id="rId30" ref="E15"/>
    <hyperlink r:id="rId31" ref="D16"/>
    <hyperlink r:id="rId32" ref="E16"/>
    <hyperlink r:id="rId33" ref="D17"/>
    <hyperlink r:id="rId34" ref="E17"/>
    <hyperlink r:id="rId35" ref="D18"/>
    <hyperlink r:id="rId36" ref="E18"/>
    <hyperlink r:id="rId37" ref="D19"/>
    <hyperlink r:id="rId38" ref="E19"/>
    <hyperlink r:id="rId39" ref="D20"/>
    <hyperlink r:id="rId40" ref="E20"/>
    <hyperlink r:id="rId41" ref="D21"/>
    <hyperlink r:id="rId42" ref="E21"/>
    <hyperlink r:id="rId43" ref="D22"/>
    <hyperlink r:id="rId44" ref="E22"/>
    <hyperlink r:id="rId45" ref="D23"/>
    <hyperlink r:id="rId46" ref="E23"/>
    <hyperlink r:id="rId47" ref="D24"/>
    <hyperlink r:id="rId48" ref="E24"/>
    <hyperlink r:id="rId49" ref="D25"/>
    <hyperlink r:id="rId50" ref="E25"/>
    <hyperlink r:id="rId51" ref="D26"/>
    <hyperlink r:id="rId52" ref="E26"/>
    <hyperlink r:id="rId53" ref="D27"/>
    <hyperlink r:id="rId54" ref="E27"/>
    <hyperlink r:id="rId55" ref="D28"/>
    <hyperlink r:id="rId56" ref="E28"/>
    <hyperlink r:id="rId57" ref="D29"/>
    <hyperlink r:id="rId58" ref="E29"/>
    <hyperlink r:id="rId59" ref="D30"/>
    <hyperlink r:id="rId60" ref="E30"/>
    <hyperlink r:id="rId61" ref="D31"/>
    <hyperlink r:id="rId62" ref="E31"/>
  </hyperlinks>
  <drawing r:id="rId6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43"/>
    <col customWidth="1" min="3" max="3" width="20.57"/>
    <col customWidth="1" min="4" max="4" width="33.57"/>
    <col customWidth="1" min="5" max="5" width="20.14"/>
    <col customWidth="1" min="6" max="6" width="14.43"/>
  </cols>
  <sheetData>
    <row r="1" ht="15.75" customHeight="1">
      <c r="C1" s="71"/>
      <c r="D1" s="66"/>
      <c r="E1" s="29"/>
    </row>
    <row r="2" ht="15.75" customHeight="1">
      <c r="B2" s="29" t="s">
        <v>648</v>
      </c>
      <c r="C2" s="72" t="s">
        <v>557</v>
      </c>
      <c r="D2" s="64" t="s">
        <v>558</v>
      </c>
      <c r="E2" s="73">
        <f>+886936777120</f>
        <v>886936777120</v>
      </c>
      <c r="F2" s="55"/>
      <c r="G2" s="55"/>
      <c r="H2" s="55"/>
      <c r="I2" s="55"/>
      <c r="J2" s="55"/>
    </row>
    <row r="3" ht="15.75" customHeight="1">
      <c r="B3" s="29" t="s">
        <v>17</v>
      </c>
      <c r="C3" s="72" t="s">
        <v>561</v>
      </c>
      <c r="D3" s="64" t="s">
        <v>562</v>
      </c>
      <c r="E3" s="73">
        <f>+9660556636677</f>
        <v>9660556636677</v>
      </c>
      <c r="F3" s="55"/>
      <c r="G3" s="55"/>
      <c r="H3" s="55"/>
      <c r="I3" s="55"/>
      <c r="J3" s="55"/>
    </row>
    <row r="4" ht="15.75" customHeight="1">
      <c r="B4" s="29" t="s">
        <v>17</v>
      </c>
      <c r="C4" s="72" t="s">
        <v>564</v>
      </c>
      <c r="D4" s="64" t="s">
        <v>565</v>
      </c>
      <c r="E4" s="73">
        <f>+966508091045</f>
        <v>966508091045</v>
      </c>
      <c r="F4" s="55"/>
      <c r="G4" s="55"/>
      <c r="H4" s="55"/>
      <c r="I4" s="55"/>
      <c r="J4" s="55"/>
    </row>
    <row r="5" ht="15.75" customHeight="1">
      <c r="B5" s="29" t="s">
        <v>648</v>
      </c>
      <c r="C5" s="72" t="s">
        <v>570</v>
      </c>
      <c r="D5" s="64" t="s">
        <v>571</v>
      </c>
      <c r="E5" s="73">
        <f>+886982911538</f>
        <v>886982911538</v>
      </c>
      <c r="F5" s="55"/>
      <c r="G5" s="55"/>
      <c r="H5" s="55"/>
      <c r="I5" s="55"/>
      <c r="J5" s="55"/>
    </row>
    <row r="6" ht="15.75" customHeight="1">
      <c r="B6" s="29" t="s">
        <v>32</v>
      </c>
      <c r="C6" s="72" t="s">
        <v>608</v>
      </c>
      <c r="D6" s="64" t="s">
        <v>609</v>
      </c>
      <c r="E6" s="73">
        <f>+971566563544</f>
        <v>971566563544</v>
      </c>
      <c r="F6" s="55"/>
      <c r="G6" s="55"/>
      <c r="H6" s="55"/>
      <c r="I6" s="55"/>
      <c r="J6" s="55"/>
    </row>
    <row r="7" ht="15.75" customHeight="1">
      <c r="B7" s="29" t="s">
        <v>371</v>
      </c>
      <c r="C7" s="72" t="s">
        <v>611</v>
      </c>
      <c r="D7" s="64" t="s">
        <v>612</v>
      </c>
      <c r="E7" s="73">
        <f>+9660558765304</f>
        <v>9660558765304</v>
      </c>
      <c r="F7" s="55"/>
      <c r="G7" s="55"/>
      <c r="H7" s="55"/>
      <c r="I7" s="55"/>
      <c r="J7" s="55"/>
    </row>
    <row r="8" ht="15.75" customHeight="1">
      <c r="B8" s="29" t="s">
        <v>420</v>
      </c>
      <c r="C8" s="74" t="s">
        <v>614</v>
      </c>
      <c r="D8" s="64" t="s">
        <v>615</v>
      </c>
      <c r="E8" s="73">
        <f>+971506404220</f>
        <v>971506404220</v>
      </c>
      <c r="F8" s="55"/>
      <c r="G8" s="55"/>
      <c r="H8" s="55"/>
      <c r="I8" s="55"/>
      <c r="J8" s="55"/>
    </row>
    <row r="9" ht="15.75" customHeight="1">
      <c r="B9" s="29" t="s">
        <v>21</v>
      </c>
      <c r="C9" s="72" t="s">
        <v>649</v>
      </c>
      <c r="D9" s="64" t="s">
        <v>650</v>
      </c>
      <c r="E9" s="73">
        <f>+923332762285</f>
        <v>923332762285</v>
      </c>
      <c r="F9" s="55"/>
      <c r="G9" s="55"/>
      <c r="H9" s="55"/>
      <c r="I9" s="55"/>
      <c r="J9" s="55"/>
    </row>
    <row r="10" ht="15.75" customHeight="1">
      <c r="B10" s="29" t="s">
        <v>17</v>
      </c>
      <c r="C10" s="72" t="s">
        <v>651</v>
      </c>
      <c r="D10" s="64" t="s">
        <v>652</v>
      </c>
      <c r="E10" s="73">
        <f>+966504588131</f>
        <v>966504588131</v>
      </c>
      <c r="F10" s="55"/>
      <c r="G10" s="55"/>
      <c r="H10" s="55"/>
      <c r="I10" s="55"/>
      <c r="J10" s="55"/>
    </row>
    <row r="11" ht="15.75" customHeight="1">
      <c r="B11" s="29" t="s">
        <v>28</v>
      </c>
      <c r="C11" s="72" t="s">
        <v>653</v>
      </c>
      <c r="D11" s="64" t="s">
        <v>654</v>
      </c>
      <c r="E11" s="73">
        <f>+886911156432</f>
        <v>886911156432</v>
      </c>
      <c r="F11" s="55"/>
      <c r="G11" s="55"/>
      <c r="H11" s="55"/>
      <c r="I11" s="55"/>
      <c r="J11" s="55"/>
    </row>
    <row r="12" ht="15.75" customHeight="1">
      <c r="B12" s="29" t="s">
        <v>648</v>
      </c>
      <c r="C12" s="72" t="s">
        <v>655</v>
      </c>
      <c r="D12" s="64" t="s">
        <v>656</v>
      </c>
      <c r="E12" s="73">
        <f>+886900491328</f>
        <v>886900491328</v>
      </c>
      <c r="F12" s="55"/>
      <c r="G12" s="55"/>
      <c r="H12" s="55"/>
      <c r="I12" s="55"/>
      <c r="J12" s="55"/>
    </row>
    <row r="13" ht="15.75" customHeight="1">
      <c r="B13" s="29" t="s">
        <v>648</v>
      </c>
      <c r="C13" s="72" t="s">
        <v>657</v>
      </c>
      <c r="D13" s="64" t="s">
        <v>658</v>
      </c>
      <c r="E13" s="73">
        <f>+886928116599</f>
        <v>886928116599</v>
      </c>
      <c r="F13" s="55"/>
      <c r="G13" s="55"/>
      <c r="H13" s="55"/>
      <c r="I13" s="55"/>
      <c r="J13" s="55"/>
    </row>
    <row r="14" ht="15.75" customHeight="1">
      <c r="C14" s="71"/>
      <c r="D14" s="66"/>
      <c r="E14" s="29"/>
    </row>
    <row r="15" ht="15.75" customHeight="1">
      <c r="C15" s="71"/>
      <c r="D15" s="66"/>
      <c r="E15" s="29"/>
    </row>
    <row r="16" ht="15.75" customHeight="1">
      <c r="C16" s="71"/>
      <c r="D16" s="66"/>
      <c r="E16" s="29"/>
    </row>
    <row r="17" ht="15.75" customHeight="1">
      <c r="C17" s="71"/>
      <c r="D17" s="66"/>
      <c r="E17" s="29"/>
    </row>
    <row r="18" ht="15.75" customHeight="1">
      <c r="C18" s="71"/>
      <c r="D18" s="66"/>
      <c r="E18" s="29"/>
    </row>
    <row r="19" ht="15.75" customHeight="1">
      <c r="C19" s="71"/>
      <c r="D19" s="66"/>
      <c r="E19" s="29"/>
    </row>
    <row r="20" ht="15.75" customHeight="1">
      <c r="C20" s="71"/>
      <c r="D20" s="66"/>
      <c r="E20" s="29"/>
    </row>
    <row r="21" ht="15.75" customHeight="1">
      <c r="C21" s="71"/>
      <c r="D21" s="66"/>
      <c r="E21" s="29"/>
    </row>
    <row r="22" ht="15.75" customHeight="1">
      <c r="C22" s="71"/>
      <c r="D22" s="66"/>
      <c r="E22" s="29"/>
    </row>
    <row r="23" ht="15.75" customHeight="1">
      <c r="C23" s="71"/>
      <c r="D23" s="66"/>
      <c r="E23" s="29"/>
    </row>
    <row r="24" ht="15.75" customHeight="1">
      <c r="C24" s="71"/>
      <c r="D24" s="66"/>
      <c r="E24" s="29"/>
    </row>
    <row r="25" ht="15.75" customHeight="1">
      <c r="C25" s="71"/>
      <c r="D25" s="66"/>
      <c r="E25" s="29"/>
    </row>
    <row r="26" ht="15.75" customHeight="1">
      <c r="C26" s="71"/>
      <c r="D26" s="66"/>
      <c r="E26" s="29"/>
    </row>
    <row r="27" ht="15.75" customHeight="1">
      <c r="C27" s="71"/>
      <c r="D27" s="66"/>
      <c r="E27" s="29"/>
    </row>
    <row r="28" ht="15.75" customHeight="1">
      <c r="C28" s="71"/>
      <c r="D28" s="66"/>
      <c r="E28" s="29"/>
    </row>
    <row r="29" ht="15.75" customHeight="1">
      <c r="C29" s="71"/>
      <c r="D29" s="66"/>
      <c r="E29" s="29"/>
    </row>
    <row r="30" ht="15.75" customHeight="1">
      <c r="C30" s="71"/>
      <c r="D30" s="66"/>
      <c r="E30" s="29"/>
    </row>
    <row r="31" ht="15.75" customHeight="1">
      <c r="C31" s="71"/>
      <c r="D31" s="66"/>
      <c r="E31" s="29"/>
    </row>
    <row r="32" ht="15.75" customHeight="1">
      <c r="C32" s="71"/>
      <c r="D32" s="66"/>
      <c r="E32" s="29"/>
    </row>
    <row r="33" ht="15.75" customHeight="1">
      <c r="C33" s="71"/>
      <c r="D33" s="66"/>
      <c r="E33" s="29"/>
    </row>
    <row r="34" ht="15.75" customHeight="1">
      <c r="C34" s="71"/>
      <c r="D34" s="66"/>
      <c r="E34" s="29"/>
    </row>
    <row r="35" ht="15.75" customHeight="1">
      <c r="C35" s="71"/>
      <c r="D35" s="66"/>
      <c r="E35" s="29"/>
    </row>
    <row r="36" ht="15.75" customHeight="1">
      <c r="C36" s="71"/>
      <c r="D36" s="66"/>
      <c r="E36" s="29"/>
    </row>
    <row r="37" ht="15.75" customHeight="1">
      <c r="C37" s="71"/>
      <c r="D37" s="66"/>
      <c r="E37" s="29"/>
    </row>
    <row r="38" ht="15.75" customHeight="1">
      <c r="C38" s="71"/>
      <c r="D38" s="66"/>
      <c r="E38" s="29"/>
    </row>
    <row r="39" ht="15.75" customHeight="1">
      <c r="C39" s="71"/>
      <c r="D39" s="66"/>
      <c r="E39" s="29"/>
    </row>
    <row r="40" ht="15.75" customHeight="1">
      <c r="C40" s="71"/>
      <c r="D40" s="66"/>
      <c r="E40" s="29"/>
    </row>
    <row r="41" ht="15.75" customHeight="1">
      <c r="C41" s="71"/>
      <c r="D41" s="66"/>
      <c r="E41" s="29"/>
    </row>
    <row r="42" ht="15.75" customHeight="1">
      <c r="C42" s="71"/>
      <c r="D42" s="66"/>
      <c r="E42" s="29"/>
    </row>
    <row r="43" ht="15.75" customHeight="1">
      <c r="C43" s="71"/>
      <c r="D43" s="66"/>
      <c r="E43" s="29"/>
    </row>
    <row r="44" ht="15.75" customHeight="1">
      <c r="C44" s="71"/>
      <c r="D44" s="66"/>
      <c r="E44" s="29"/>
    </row>
    <row r="45" ht="15.75" customHeight="1">
      <c r="C45" s="71"/>
      <c r="D45" s="66"/>
      <c r="E45" s="29"/>
    </row>
    <row r="46" ht="15.75" customHeight="1">
      <c r="C46" s="71"/>
      <c r="D46" s="66"/>
      <c r="E46" s="29"/>
    </row>
    <row r="47" ht="15.75" customHeight="1">
      <c r="C47" s="71"/>
      <c r="D47" s="66"/>
      <c r="E47" s="29"/>
    </row>
    <row r="48" ht="15.75" customHeight="1">
      <c r="C48" s="71"/>
      <c r="D48" s="66"/>
      <c r="E48" s="29"/>
    </row>
    <row r="49" ht="15.75" customHeight="1">
      <c r="C49" s="71"/>
      <c r="D49" s="66"/>
      <c r="E49" s="29"/>
    </row>
    <row r="50" ht="15.75" customHeight="1">
      <c r="C50" s="71"/>
      <c r="D50" s="66"/>
      <c r="E50" s="29"/>
    </row>
    <row r="51" ht="15.75" customHeight="1">
      <c r="C51" s="71"/>
      <c r="D51" s="66"/>
      <c r="E51" s="29"/>
    </row>
    <row r="52" ht="15.75" customHeight="1">
      <c r="C52" s="71"/>
      <c r="D52" s="66"/>
      <c r="E52" s="29"/>
    </row>
    <row r="53" ht="15.75" customHeight="1">
      <c r="C53" s="71"/>
      <c r="D53" s="66"/>
      <c r="E53" s="29"/>
    </row>
    <row r="54" ht="15.75" customHeight="1">
      <c r="C54" s="71"/>
      <c r="D54" s="66"/>
      <c r="E54" s="29"/>
    </row>
    <row r="55" ht="15.75" customHeight="1">
      <c r="C55" s="71"/>
      <c r="D55" s="66"/>
      <c r="E55" s="29"/>
    </row>
    <row r="56" ht="15.75" customHeight="1">
      <c r="C56" s="71"/>
      <c r="D56" s="66"/>
      <c r="E56" s="29"/>
    </row>
    <row r="57" ht="15.75" customHeight="1">
      <c r="C57" s="71"/>
      <c r="D57" s="66"/>
      <c r="E57" s="29"/>
    </row>
    <row r="58" ht="15.75" customHeight="1">
      <c r="C58" s="71"/>
      <c r="D58" s="66"/>
      <c r="E58" s="29"/>
    </row>
    <row r="59" ht="15.75" customHeight="1">
      <c r="C59" s="71"/>
      <c r="D59" s="66"/>
      <c r="E59" s="29"/>
    </row>
    <row r="60" ht="15.75" customHeight="1">
      <c r="C60" s="71"/>
      <c r="D60" s="66"/>
      <c r="E60" s="29"/>
    </row>
    <row r="61" ht="15.75" customHeight="1">
      <c r="C61" s="71"/>
      <c r="D61" s="66"/>
      <c r="E61" s="29"/>
    </row>
    <row r="62" ht="15.75" customHeight="1">
      <c r="C62" s="71"/>
      <c r="D62" s="66"/>
      <c r="E62" s="29"/>
    </row>
    <row r="63" ht="15.75" customHeight="1">
      <c r="C63" s="71"/>
      <c r="D63" s="66"/>
      <c r="E63" s="29"/>
    </row>
    <row r="64" ht="15.75" customHeight="1">
      <c r="C64" s="71"/>
      <c r="D64" s="66"/>
      <c r="E64" s="29"/>
    </row>
    <row r="65" ht="15.75" customHeight="1">
      <c r="C65" s="71"/>
      <c r="D65" s="66"/>
      <c r="E65" s="29"/>
    </row>
    <row r="66" ht="15.75" customHeight="1">
      <c r="C66" s="71"/>
      <c r="D66" s="66"/>
      <c r="E66" s="29"/>
    </row>
    <row r="67" ht="15.75" customHeight="1">
      <c r="C67" s="71"/>
      <c r="D67" s="66"/>
      <c r="E67" s="29"/>
    </row>
    <row r="68" ht="15.75" customHeight="1">
      <c r="C68" s="71"/>
      <c r="D68" s="66"/>
      <c r="E68" s="29"/>
    </row>
    <row r="69" ht="15.75" customHeight="1">
      <c r="C69" s="71"/>
      <c r="D69" s="66"/>
      <c r="E69" s="29"/>
    </row>
    <row r="70" ht="15.75" customHeight="1">
      <c r="C70" s="71"/>
      <c r="D70" s="66"/>
      <c r="E70" s="29"/>
    </row>
    <row r="71" ht="15.75" customHeight="1">
      <c r="C71" s="71"/>
      <c r="D71" s="66"/>
      <c r="E71" s="29"/>
    </row>
    <row r="72" ht="15.75" customHeight="1">
      <c r="C72" s="71"/>
      <c r="D72" s="66"/>
      <c r="E72" s="29"/>
    </row>
    <row r="73" ht="15.75" customHeight="1">
      <c r="C73" s="71"/>
      <c r="D73" s="66"/>
      <c r="E73" s="29"/>
    </row>
    <row r="74" ht="15.75" customHeight="1">
      <c r="C74" s="71"/>
      <c r="D74" s="66"/>
      <c r="E74" s="29"/>
    </row>
    <row r="75" ht="15.75" customHeight="1">
      <c r="C75" s="71"/>
      <c r="D75" s="66"/>
      <c r="E75" s="29"/>
    </row>
    <row r="76" ht="15.75" customHeight="1">
      <c r="C76" s="71"/>
      <c r="D76" s="66"/>
      <c r="E76" s="29"/>
    </row>
    <row r="77" ht="15.75" customHeight="1">
      <c r="C77" s="71"/>
      <c r="D77" s="66"/>
      <c r="E77" s="29"/>
    </row>
    <row r="78" ht="15.75" customHeight="1">
      <c r="C78" s="71"/>
      <c r="D78" s="66"/>
      <c r="E78" s="29"/>
    </row>
    <row r="79" ht="15.75" customHeight="1">
      <c r="C79" s="71"/>
      <c r="D79" s="66"/>
      <c r="E79" s="29"/>
    </row>
    <row r="80" ht="15.75" customHeight="1">
      <c r="C80" s="71"/>
      <c r="D80" s="66"/>
      <c r="E80" s="29"/>
    </row>
    <row r="81" ht="15.75" customHeight="1">
      <c r="C81" s="71"/>
      <c r="D81" s="66"/>
      <c r="E81" s="29"/>
    </row>
    <row r="82" ht="15.75" customHeight="1">
      <c r="C82" s="71"/>
      <c r="D82" s="66"/>
      <c r="E82" s="29"/>
    </row>
    <row r="83" ht="15.75" customHeight="1">
      <c r="C83" s="71"/>
      <c r="D83" s="66"/>
      <c r="E83" s="29"/>
    </row>
    <row r="84" ht="15.75" customHeight="1">
      <c r="C84" s="71"/>
      <c r="D84" s="66"/>
      <c r="E84" s="29"/>
    </row>
    <row r="85" ht="15.75" customHeight="1">
      <c r="C85" s="71"/>
      <c r="D85" s="66"/>
      <c r="E85" s="29"/>
    </row>
    <row r="86" ht="15.75" customHeight="1">
      <c r="C86" s="71"/>
      <c r="D86" s="66"/>
      <c r="E86" s="29"/>
    </row>
    <row r="87" ht="15.75" customHeight="1">
      <c r="C87" s="71"/>
      <c r="D87" s="66"/>
      <c r="E87" s="29"/>
    </row>
    <row r="88" ht="15.75" customHeight="1">
      <c r="C88" s="71"/>
      <c r="D88" s="66"/>
      <c r="E88" s="29"/>
    </row>
    <row r="89" ht="15.75" customHeight="1">
      <c r="C89" s="71"/>
      <c r="D89" s="66"/>
      <c r="E89" s="29"/>
    </row>
    <row r="90" ht="15.75" customHeight="1">
      <c r="C90" s="71"/>
      <c r="D90" s="66"/>
      <c r="E90" s="29"/>
    </row>
    <row r="91" ht="15.75" customHeight="1">
      <c r="C91" s="71"/>
      <c r="D91" s="66"/>
      <c r="E91" s="29"/>
    </row>
    <row r="92" ht="15.75" customHeight="1">
      <c r="C92" s="71"/>
      <c r="D92" s="66"/>
      <c r="E92" s="29"/>
    </row>
    <row r="93" ht="15.75" customHeight="1">
      <c r="C93" s="71"/>
      <c r="D93" s="66"/>
      <c r="E93" s="29"/>
    </row>
    <row r="94" ht="15.75" customHeight="1">
      <c r="C94" s="71"/>
      <c r="D94" s="66"/>
      <c r="E94" s="29"/>
    </row>
    <row r="95" ht="15.75" customHeight="1">
      <c r="C95" s="71"/>
      <c r="D95" s="66"/>
      <c r="E95" s="29"/>
    </row>
    <row r="96" ht="15.75" customHeight="1">
      <c r="C96" s="71"/>
      <c r="D96" s="66"/>
      <c r="E96" s="29"/>
    </row>
    <row r="97" ht="15.75" customHeight="1">
      <c r="C97" s="71"/>
      <c r="D97" s="66"/>
      <c r="E97" s="29"/>
    </row>
    <row r="98" ht="15.75" customHeight="1">
      <c r="C98" s="71"/>
      <c r="D98" s="66"/>
      <c r="E98" s="29"/>
    </row>
    <row r="99" ht="15.75" customHeight="1">
      <c r="C99" s="71"/>
      <c r="D99" s="66"/>
      <c r="E99" s="29"/>
    </row>
    <row r="100" ht="15.75" customHeight="1">
      <c r="C100" s="71"/>
      <c r="D100" s="66"/>
      <c r="E100" s="29"/>
    </row>
    <row r="101" ht="15.75" customHeight="1">
      <c r="C101" s="71"/>
      <c r="D101" s="66"/>
      <c r="E101" s="29"/>
    </row>
    <row r="102" ht="15.75" customHeight="1">
      <c r="C102" s="71"/>
      <c r="D102" s="66"/>
      <c r="E102" s="29"/>
    </row>
    <row r="103" ht="15.75" customHeight="1">
      <c r="C103" s="71"/>
      <c r="D103" s="66"/>
      <c r="E103" s="29"/>
    </row>
    <row r="104" ht="15.75" customHeight="1">
      <c r="C104" s="71"/>
      <c r="D104" s="66"/>
      <c r="E104" s="29"/>
    </row>
    <row r="105" ht="15.75" customHeight="1">
      <c r="C105" s="71"/>
      <c r="D105" s="66"/>
      <c r="E105" s="29"/>
    </row>
    <row r="106" ht="15.75" customHeight="1">
      <c r="C106" s="71"/>
      <c r="D106" s="66"/>
      <c r="E106" s="29"/>
    </row>
    <row r="107" ht="15.75" customHeight="1">
      <c r="C107" s="71"/>
      <c r="D107" s="66"/>
      <c r="E107" s="29"/>
    </row>
    <row r="108" ht="15.75" customHeight="1">
      <c r="C108" s="71"/>
      <c r="D108" s="66"/>
      <c r="E108" s="29"/>
    </row>
    <row r="109" ht="15.75" customHeight="1">
      <c r="C109" s="71"/>
      <c r="D109" s="66"/>
      <c r="E109" s="29"/>
    </row>
    <row r="110" ht="15.75" customHeight="1">
      <c r="C110" s="71"/>
      <c r="D110" s="66"/>
      <c r="E110" s="29"/>
    </row>
    <row r="111" ht="15.75" customHeight="1">
      <c r="C111" s="71"/>
      <c r="D111" s="66"/>
      <c r="E111" s="29"/>
    </row>
    <row r="112" ht="15.75" customHeight="1">
      <c r="C112" s="71"/>
      <c r="D112" s="66"/>
      <c r="E112" s="29"/>
    </row>
    <row r="113" ht="15.75" customHeight="1">
      <c r="C113" s="71"/>
      <c r="D113" s="66"/>
      <c r="E113" s="29"/>
    </row>
    <row r="114" ht="15.75" customHeight="1">
      <c r="C114" s="71"/>
      <c r="D114" s="66"/>
      <c r="E114" s="29"/>
    </row>
    <row r="115" ht="15.75" customHeight="1">
      <c r="C115" s="71"/>
      <c r="D115" s="66"/>
      <c r="E115" s="29"/>
    </row>
    <row r="116" ht="15.75" customHeight="1">
      <c r="C116" s="71"/>
      <c r="D116" s="66"/>
      <c r="E116" s="29"/>
    </row>
    <row r="117" ht="15.75" customHeight="1">
      <c r="C117" s="71"/>
      <c r="D117" s="66"/>
      <c r="E117" s="29"/>
    </row>
    <row r="118" ht="15.75" customHeight="1">
      <c r="C118" s="71"/>
      <c r="D118" s="66"/>
      <c r="E118" s="29"/>
    </row>
    <row r="119" ht="15.75" customHeight="1">
      <c r="C119" s="71"/>
      <c r="D119" s="66"/>
      <c r="E119" s="29"/>
    </row>
    <row r="120" ht="15.75" customHeight="1">
      <c r="C120" s="71"/>
      <c r="D120" s="66"/>
      <c r="E120" s="29"/>
    </row>
    <row r="121" ht="15.75" customHeight="1">
      <c r="C121" s="71"/>
      <c r="D121" s="66"/>
      <c r="E121" s="29"/>
    </row>
    <row r="122" ht="15.75" customHeight="1">
      <c r="C122" s="71"/>
      <c r="D122" s="66"/>
      <c r="E122" s="29"/>
    </row>
    <row r="123" ht="15.75" customHeight="1">
      <c r="C123" s="71"/>
      <c r="D123" s="66"/>
      <c r="E123" s="29"/>
    </row>
    <row r="124" ht="15.75" customHeight="1">
      <c r="C124" s="71"/>
      <c r="D124" s="66"/>
      <c r="E124" s="29"/>
    </row>
    <row r="125" ht="15.75" customHeight="1">
      <c r="C125" s="71"/>
      <c r="D125" s="66"/>
      <c r="E125" s="29"/>
    </row>
    <row r="126" ht="15.75" customHeight="1">
      <c r="C126" s="71"/>
      <c r="D126" s="66"/>
      <c r="E126" s="29"/>
    </row>
    <row r="127" ht="15.75" customHeight="1">
      <c r="C127" s="71"/>
      <c r="D127" s="66"/>
      <c r="E127" s="29"/>
    </row>
    <row r="128" ht="15.75" customHeight="1">
      <c r="C128" s="71"/>
      <c r="D128" s="66"/>
      <c r="E128" s="29"/>
    </row>
    <row r="129" ht="15.75" customHeight="1">
      <c r="C129" s="71"/>
      <c r="D129" s="66"/>
      <c r="E129" s="29"/>
    </row>
    <row r="130" ht="15.75" customHeight="1">
      <c r="C130" s="71"/>
      <c r="D130" s="66"/>
      <c r="E130" s="29"/>
    </row>
    <row r="131" ht="15.75" customHeight="1">
      <c r="C131" s="71"/>
      <c r="D131" s="66"/>
      <c r="E131" s="29"/>
    </row>
    <row r="132" ht="15.75" customHeight="1">
      <c r="C132" s="71"/>
      <c r="D132" s="66"/>
      <c r="E132" s="29"/>
    </row>
    <row r="133" ht="15.75" customHeight="1">
      <c r="C133" s="71"/>
      <c r="D133" s="66"/>
      <c r="E133" s="29"/>
    </row>
    <row r="134" ht="15.75" customHeight="1">
      <c r="C134" s="71"/>
      <c r="D134" s="66"/>
      <c r="E134" s="29"/>
    </row>
    <row r="135" ht="15.75" customHeight="1">
      <c r="C135" s="71"/>
      <c r="D135" s="66"/>
      <c r="E135" s="29"/>
    </row>
    <row r="136" ht="15.75" customHeight="1">
      <c r="C136" s="71"/>
      <c r="D136" s="66"/>
      <c r="E136" s="29"/>
    </row>
    <row r="137" ht="15.75" customHeight="1">
      <c r="C137" s="71"/>
      <c r="D137" s="66"/>
      <c r="E137" s="29"/>
    </row>
    <row r="138" ht="15.75" customHeight="1">
      <c r="C138" s="71"/>
      <c r="D138" s="66"/>
      <c r="E138" s="29"/>
    </row>
    <row r="139" ht="15.75" customHeight="1">
      <c r="C139" s="71"/>
      <c r="D139" s="66"/>
      <c r="E139" s="29"/>
    </row>
    <row r="140" ht="15.75" customHeight="1">
      <c r="C140" s="71"/>
      <c r="D140" s="66"/>
      <c r="E140" s="29"/>
    </row>
    <row r="141" ht="15.75" customHeight="1">
      <c r="C141" s="71"/>
      <c r="D141" s="66"/>
      <c r="E141" s="29"/>
    </row>
    <row r="142" ht="15.75" customHeight="1">
      <c r="C142" s="71"/>
      <c r="D142" s="66"/>
      <c r="E142" s="29"/>
    </row>
    <row r="143" ht="15.75" customHeight="1">
      <c r="C143" s="71"/>
      <c r="D143" s="66"/>
      <c r="E143" s="29"/>
    </row>
    <row r="144" ht="15.75" customHeight="1">
      <c r="C144" s="71"/>
      <c r="D144" s="66"/>
      <c r="E144" s="29"/>
    </row>
    <row r="145" ht="15.75" customHeight="1">
      <c r="C145" s="71"/>
      <c r="D145" s="66"/>
      <c r="E145" s="29"/>
    </row>
    <row r="146" ht="15.75" customHeight="1">
      <c r="C146" s="71"/>
      <c r="D146" s="66"/>
      <c r="E146" s="29"/>
    </row>
    <row r="147" ht="15.75" customHeight="1">
      <c r="C147" s="71"/>
      <c r="D147" s="66"/>
      <c r="E147" s="29"/>
    </row>
    <row r="148" ht="15.75" customHeight="1">
      <c r="C148" s="71"/>
      <c r="D148" s="66"/>
      <c r="E148" s="29"/>
    </row>
    <row r="149" ht="15.75" customHeight="1">
      <c r="C149" s="71"/>
      <c r="D149" s="66"/>
      <c r="E149" s="29"/>
    </row>
    <row r="150" ht="15.75" customHeight="1">
      <c r="C150" s="71"/>
      <c r="D150" s="66"/>
      <c r="E150" s="29"/>
    </row>
    <row r="151" ht="15.75" customHeight="1">
      <c r="C151" s="71"/>
      <c r="D151" s="66"/>
      <c r="E151" s="29"/>
    </row>
    <row r="152" ht="15.75" customHeight="1">
      <c r="C152" s="71"/>
      <c r="D152" s="66"/>
      <c r="E152" s="29"/>
    </row>
    <row r="153" ht="15.75" customHeight="1">
      <c r="C153" s="71"/>
      <c r="D153" s="66"/>
      <c r="E153" s="29"/>
    </row>
    <row r="154" ht="15.75" customHeight="1">
      <c r="C154" s="71"/>
      <c r="D154" s="66"/>
      <c r="E154" s="29"/>
    </row>
    <row r="155" ht="15.75" customHeight="1">
      <c r="C155" s="71"/>
      <c r="D155" s="66"/>
      <c r="E155" s="29"/>
    </row>
    <row r="156" ht="15.75" customHeight="1">
      <c r="C156" s="71"/>
      <c r="D156" s="66"/>
      <c r="E156" s="29"/>
    </row>
    <row r="157" ht="15.75" customHeight="1">
      <c r="C157" s="71"/>
      <c r="D157" s="66"/>
      <c r="E157" s="29"/>
    </row>
    <row r="158" ht="15.75" customHeight="1">
      <c r="C158" s="71"/>
      <c r="D158" s="66"/>
      <c r="E158" s="29"/>
    </row>
    <row r="159" ht="15.75" customHeight="1">
      <c r="C159" s="71"/>
      <c r="D159" s="66"/>
      <c r="E159" s="29"/>
    </row>
    <row r="160" ht="15.75" customHeight="1">
      <c r="C160" s="71"/>
      <c r="D160" s="66"/>
      <c r="E160" s="29"/>
    </row>
    <row r="161" ht="15.75" customHeight="1">
      <c r="C161" s="71"/>
      <c r="D161" s="66"/>
      <c r="E161" s="29"/>
    </row>
    <row r="162" ht="15.75" customHeight="1">
      <c r="C162" s="71"/>
      <c r="D162" s="66"/>
      <c r="E162" s="29"/>
    </row>
    <row r="163" ht="15.75" customHeight="1">
      <c r="C163" s="71"/>
      <c r="D163" s="66"/>
      <c r="E163" s="29"/>
    </row>
    <row r="164" ht="15.75" customHeight="1">
      <c r="C164" s="71"/>
      <c r="D164" s="66"/>
      <c r="E164" s="29"/>
    </row>
    <row r="165" ht="15.75" customHeight="1">
      <c r="C165" s="71"/>
      <c r="D165" s="66"/>
      <c r="E165" s="29"/>
    </row>
    <row r="166" ht="15.75" customHeight="1">
      <c r="C166" s="71"/>
      <c r="D166" s="66"/>
      <c r="E166" s="29"/>
    </row>
    <row r="167" ht="15.75" customHeight="1">
      <c r="C167" s="71"/>
      <c r="D167" s="66"/>
      <c r="E167" s="29"/>
    </row>
    <row r="168" ht="15.75" customHeight="1">
      <c r="C168" s="71"/>
      <c r="D168" s="66"/>
      <c r="E168" s="29"/>
    </row>
    <row r="169" ht="15.75" customHeight="1">
      <c r="C169" s="71"/>
      <c r="D169" s="66"/>
      <c r="E169" s="29"/>
    </row>
    <row r="170" ht="15.75" customHeight="1">
      <c r="C170" s="71"/>
      <c r="D170" s="66"/>
      <c r="E170" s="29"/>
    </row>
    <row r="171" ht="15.75" customHeight="1">
      <c r="C171" s="71"/>
      <c r="D171" s="66"/>
      <c r="E171" s="29"/>
    </row>
    <row r="172" ht="15.75" customHeight="1">
      <c r="C172" s="71"/>
      <c r="D172" s="66"/>
      <c r="E172" s="29"/>
    </row>
    <row r="173" ht="15.75" customHeight="1">
      <c r="C173" s="71"/>
      <c r="D173" s="66"/>
      <c r="E173" s="29"/>
    </row>
    <row r="174" ht="15.75" customHeight="1">
      <c r="C174" s="71"/>
      <c r="D174" s="66"/>
      <c r="E174" s="29"/>
    </row>
    <row r="175" ht="15.75" customHeight="1">
      <c r="C175" s="71"/>
      <c r="D175" s="66"/>
      <c r="E175" s="29"/>
    </row>
    <row r="176" ht="15.75" customHeight="1">
      <c r="C176" s="71"/>
      <c r="D176" s="66"/>
      <c r="E176" s="29"/>
    </row>
    <row r="177" ht="15.75" customHeight="1">
      <c r="C177" s="71"/>
      <c r="D177" s="66"/>
      <c r="E177" s="29"/>
    </row>
    <row r="178" ht="15.75" customHeight="1">
      <c r="C178" s="71"/>
      <c r="D178" s="66"/>
      <c r="E178" s="29"/>
    </row>
    <row r="179" ht="15.75" customHeight="1">
      <c r="C179" s="71"/>
      <c r="D179" s="66"/>
      <c r="E179" s="29"/>
    </row>
    <row r="180" ht="15.75" customHeight="1">
      <c r="C180" s="71"/>
      <c r="D180" s="66"/>
      <c r="E180" s="29"/>
    </row>
    <row r="181" ht="15.75" customHeight="1">
      <c r="C181" s="71"/>
      <c r="D181" s="66"/>
      <c r="E181" s="29"/>
    </row>
    <row r="182" ht="15.75" customHeight="1">
      <c r="C182" s="71"/>
      <c r="D182" s="66"/>
      <c r="E182" s="29"/>
    </row>
    <row r="183" ht="15.75" customHeight="1">
      <c r="C183" s="71"/>
      <c r="D183" s="66"/>
      <c r="E183" s="29"/>
    </row>
    <row r="184" ht="15.75" customHeight="1">
      <c r="C184" s="71"/>
      <c r="D184" s="66"/>
      <c r="E184" s="29"/>
    </row>
    <row r="185" ht="15.75" customHeight="1">
      <c r="C185" s="71"/>
      <c r="D185" s="66"/>
      <c r="E185" s="29"/>
    </row>
    <row r="186" ht="15.75" customHeight="1">
      <c r="C186" s="71"/>
      <c r="D186" s="66"/>
      <c r="E186" s="29"/>
    </row>
    <row r="187" ht="15.75" customHeight="1">
      <c r="C187" s="71"/>
      <c r="D187" s="66"/>
      <c r="E187" s="29"/>
    </row>
    <row r="188" ht="15.75" customHeight="1">
      <c r="C188" s="71"/>
      <c r="D188" s="66"/>
      <c r="E188" s="29"/>
    </row>
    <row r="189" ht="15.75" customHeight="1">
      <c r="C189" s="71"/>
      <c r="D189" s="66"/>
      <c r="E189" s="29"/>
    </row>
    <row r="190" ht="15.75" customHeight="1">
      <c r="C190" s="71"/>
      <c r="D190" s="66"/>
      <c r="E190" s="29"/>
    </row>
    <row r="191" ht="15.75" customHeight="1">
      <c r="C191" s="71"/>
      <c r="D191" s="66"/>
      <c r="E191" s="29"/>
    </row>
    <row r="192" ht="15.75" customHeight="1">
      <c r="C192" s="71"/>
      <c r="D192" s="66"/>
      <c r="E192" s="29"/>
    </row>
    <row r="193" ht="15.75" customHeight="1">
      <c r="C193" s="71"/>
      <c r="D193" s="66"/>
      <c r="E193" s="29"/>
    </row>
    <row r="194" ht="15.75" customHeight="1">
      <c r="C194" s="71"/>
      <c r="D194" s="66"/>
      <c r="E194" s="29"/>
    </row>
    <row r="195" ht="15.75" customHeight="1">
      <c r="C195" s="71"/>
      <c r="D195" s="66"/>
      <c r="E195" s="29"/>
    </row>
    <row r="196" ht="15.75" customHeight="1">
      <c r="C196" s="71"/>
      <c r="D196" s="66"/>
      <c r="E196" s="29"/>
    </row>
    <row r="197" ht="15.75" customHeight="1">
      <c r="C197" s="71"/>
      <c r="D197" s="66"/>
      <c r="E197" s="29"/>
    </row>
    <row r="198" ht="15.75" customHeight="1">
      <c r="C198" s="71"/>
      <c r="D198" s="66"/>
      <c r="E198" s="29"/>
    </row>
    <row r="199" ht="15.75" customHeight="1">
      <c r="C199" s="71"/>
      <c r="D199" s="66"/>
      <c r="E199" s="29"/>
    </row>
    <row r="200" ht="15.75" customHeight="1">
      <c r="C200" s="71"/>
      <c r="D200" s="66"/>
      <c r="E200" s="29"/>
    </row>
    <row r="201" ht="15.75" customHeight="1">
      <c r="C201" s="71"/>
      <c r="D201" s="66"/>
      <c r="E201" s="29"/>
    </row>
    <row r="202" ht="15.75" customHeight="1">
      <c r="C202" s="71"/>
      <c r="D202" s="66"/>
      <c r="E202" s="29"/>
    </row>
    <row r="203" ht="15.75" customHeight="1">
      <c r="C203" s="71"/>
      <c r="D203" s="66"/>
      <c r="E203" s="29"/>
    </row>
    <row r="204" ht="15.75" customHeight="1">
      <c r="C204" s="71"/>
      <c r="D204" s="66"/>
      <c r="E204" s="29"/>
    </row>
    <row r="205" ht="15.75" customHeight="1">
      <c r="C205" s="71"/>
      <c r="D205" s="66"/>
      <c r="E205" s="29"/>
    </row>
    <row r="206" ht="15.75" customHeight="1">
      <c r="C206" s="71"/>
      <c r="D206" s="66"/>
      <c r="E206" s="29"/>
    </row>
    <row r="207" ht="15.75" customHeight="1">
      <c r="C207" s="71"/>
      <c r="D207" s="66"/>
      <c r="E207" s="29"/>
    </row>
    <row r="208" ht="15.75" customHeight="1">
      <c r="C208" s="71"/>
      <c r="D208" s="66"/>
      <c r="E208" s="29"/>
    </row>
    <row r="209" ht="15.75" customHeight="1">
      <c r="C209" s="71"/>
      <c r="D209" s="66"/>
      <c r="E209" s="29"/>
    </row>
    <row r="210" ht="15.75" customHeight="1">
      <c r="C210" s="71"/>
      <c r="D210" s="66"/>
      <c r="E210" s="29"/>
    </row>
    <row r="211" ht="15.75" customHeight="1">
      <c r="C211" s="71"/>
      <c r="D211" s="66"/>
      <c r="E211" s="29"/>
    </row>
    <row r="212" ht="15.75" customHeight="1">
      <c r="C212" s="71"/>
      <c r="D212" s="66"/>
      <c r="E212" s="29"/>
    </row>
    <row r="213" ht="15.75" customHeight="1">
      <c r="C213" s="71"/>
      <c r="D213" s="66"/>
      <c r="E213" s="29"/>
    </row>
    <row r="214" ht="15.75" customHeight="1">
      <c r="C214" s="71"/>
      <c r="D214" s="66"/>
      <c r="E214" s="29"/>
    </row>
    <row r="215" ht="15.75" customHeight="1">
      <c r="C215" s="71"/>
      <c r="D215" s="66"/>
      <c r="E215" s="29"/>
    </row>
    <row r="216" ht="15.75" customHeight="1">
      <c r="C216" s="71"/>
      <c r="D216" s="66"/>
      <c r="E216" s="29"/>
    </row>
    <row r="217" ht="15.75" customHeight="1">
      <c r="C217" s="71"/>
      <c r="D217" s="66"/>
      <c r="E217" s="29"/>
    </row>
    <row r="218" ht="15.75" customHeight="1">
      <c r="C218" s="71"/>
      <c r="D218" s="66"/>
      <c r="E218" s="29"/>
    </row>
    <row r="219" ht="15.75" customHeight="1">
      <c r="C219" s="71"/>
      <c r="D219" s="66"/>
      <c r="E219" s="29"/>
    </row>
    <row r="220" ht="15.75" customHeight="1">
      <c r="C220" s="71"/>
      <c r="D220" s="66"/>
      <c r="E220" s="2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B$220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</hyperlinks>
  <drawing r:id="rId25"/>
</worksheet>
</file>