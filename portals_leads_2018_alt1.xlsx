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l Leads May - Dec 2019" sheetId="1" r:id="rId4"/>
    <sheet state="visible" name="January 2019" sheetId="2" r:id="rId5"/>
    <sheet state="visible" name="November " sheetId="3" r:id="rId6"/>
    <sheet state="visible" name="December " sheetId="4" r:id="rId7"/>
    <sheet state="visible" name="October" sheetId="5" r:id="rId8"/>
    <sheet state="visible" name="calls" sheetId="6" r:id="rId9"/>
    <sheet state="visible" name="September" sheetId="7" r:id="rId10"/>
    <sheet state="visible" name="August" sheetId="8" r:id="rId11"/>
    <sheet state="visible" name="July" sheetId="9" r:id="rId12"/>
    <sheet state="visible" name="June 2018" sheetId="10" r:id="rId13"/>
    <sheet state="visible" name="May 2018" sheetId="11" r:id="rId14"/>
    <sheet state="visible" name="April 2018" sheetId="12" r:id="rId15"/>
    <sheet state="visible" name="March 2018" sheetId="13" r:id="rId16"/>
    <sheet state="visible" name="February 2018" sheetId="14" r:id="rId17"/>
    <sheet state="visible" name="January 2018" sheetId="15" r:id="rId18"/>
  </sheets>
  <definedNames>
    <definedName hidden="1" localSheetId="1" name="_xlnm._FilterDatabase">'January 2019'!$A$1:$AD$265</definedName>
    <definedName hidden="1" localSheetId="10" name="_xlnm._FilterDatabase">'May 2018'!$D$1:$D$295</definedName>
    <definedName hidden="1" localSheetId="11" name="_xlnm._FilterDatabase">'April 2018'!$D$1:$D$311</definedName>
    <definedName hidden="1" localSheetId="13" name="_xlnm._FilterDatabase">'February 2018'!$D$1:$D$281</definedName>
    <definedName hidden="1" localSheetId="14" name="_xlnm._FilterDatabase">'January 2018'!$D$1:$D$240</definedName>
    <definedName hidden="1" localSheetId="1" name="Z_9B50D902_B80A_40FB_96EB_DF0F9B2681E9_.wvu.FilterData">'January 2019'!$E$1:$E$457</definedName>
    <definedName hidden="1" localSheetId="2" name="Z_9B50D902_B80A_40FB_96EB_DF0F9B2681E9_.wvu.FilterData">'November '!$J$1:$J$288</definedName>
    <definedName hidden="1" localSheetId="2" name="Z_30D09E09_FE23_4FF1_B87C_82BD01A9D156_.wvu.FilterData">'November '!$J$1:$J$288</definedName>
    <definedName hidden="1" localSheetId="1" name="Z_DABA0E9E_9FB3_4FB8_A09F_7C7FE5B5274A_.wvu.FilterData">'January 2019'!$A$1:$AD$265</definedName>
    <definedName hidden="1" localSheetId="2" name="Z_DABA0E9E_9FB3_4FB8_A09F_7C7FE5B5274A_.wvu.FilterData">'November '!$E$1:$E$288</definedName>
    <definedName hidden="1" localSheetId="3" name="Z_DABA0E9E_9FB3_4FB8_A09F_7C7FE5B5274A_.wvu.FilterData">'December '!$K$1:$K$117</definedName>
    <definedName hidden="1" localSheetId="4" name="Z_DABA0E9E_9FB3_4FB8_A09F_7C7FE5B5274A_.wvu.FilterData">October!$D$1:$D$120</definedName>
    <definedName hidden="1" localSheetId="5" name="Z_DABA0E9E_9FB3_4FB8_A09F_7C7FE5B5274A_.wvu.FilterData">calls!$A$1:$W$42</definedName>
    <definedName hidden="1" localSheetId="8" name="Z_DABA0E9E_9FB3_4FB8_A09F_7C7FE5B5274A_.wvu.FilterData">July!$D$1:$D$323</definedName>
    <definedName hidden="1" localSheetId="9" name="Z_DABA0E9E_9FB3_4FB8_A09F_7C7FE5B5274A_.wvu.FilterData">'June 2018'!$D$1:$D$288</definedName>
    <definedName hidden="1" localSheetId="12" name="Z_DABA0E9E_9FB3_4FB8_A09F_7C7FE5B5274A_.wvu.FilterData">'March 2018'!$D$1:$D$282</definedName>
    <definedName hidden="1" localSheetId="14" name="Z_DABA0E9E_9FB3_4FB8_A09F_7C7FE5B5274A_.wvu.FilterData">'January 2018'!$D$1:$D$240</definedName>
    <definedName hidden="1" localSheetId="1" name="Z_10EB5E37_4D4E_484B_BE38_D3AD6ED5CD60_.wvu.FilterData">'January 2019'!$E$1:$E$457</definedName>
    <definedName hidden="1" localSheetId="2" name="Z_10EB5E37_4D4E_484B_BE38_D3AD6ED5CD60_.wvu.FilterData">'November '!$J$1:$J$288</definedName>
    <definedName hidden="1" localSheetId="2" name="Z_E9A8CBD2_962E_4707_83EF_CDCE11E15A65_.wvu.FilterData">'November '!$A$1:$AD$88</definedName>
    <definedName hidden="1" localSheetId="2" name="Z_679C8C01_AF08_4A69_8C5B_A635E2BA0283_.wvu.FilterData">'November '!$F$1:$F$288</definedName>
    <definedName hidden="1" localSheetId="2" name="Z_CB234B23_B38A_4D8E_8062_1BE1CA0F8D46_.wvu.FilterData">'November '!$B$1:$B$288</definedName>
    <definedName hidden="1" localSheetId="1" name="Z_4B769E08_A4CF_4C36_8B65_253A5FCB4C3D_.wvu.FilterData">'January 2019'!$A$1:$AD$265</definedName>
    <definedName hidden="1" localSheetId="2" name="Z_4B769E08_A4CF_4C36_8B65_253A5FCB4C3D_.wvu.FilterData">'November '!$J$1:$J$288</definedName>
    <definedName hidden="1" localSheetId="3" name="Z_4B769E08_A4CF_4C36_8B65_253A5FCB4C3D_.wvu.FilterData">'December '!$F$1:$F$117</definedName>
    <definedName hidden="1" localSheetId="8" name="Z_4B769E08_A4CF_4C36_8B65_253A5FCB4C3D_.wvu.FilterData">July!$D$1:$D$323</definedName>
    <definedName hidden="1" localSheetId="14" name="Z_4B769E08_A4CF_4C36_8B65_253A5FCB4C3D_.wvu.FilterData">'January 2018'!$D$1:$D$240</definedName>
    <definedName hidden="1" localSheetId="2" name="Z_B866DD3E_B436_4B0C_A6D0_DE1EC8C99435_.wvu.FilterData">'November '!$F$1:$F$288</definedName>
  </definedNames>
  <calcPr/>
  <customWorkbookViews>
    <customWorkbookView activeSheetId="0" maximized="1" windowHeight="0" windowWidth="0" guid="{679C8C01-AF08-4A69-8C5B-A635E2BA0283}" name="Filter 6"/>
    <customWorkbookView activeSheetId="0" maximized="1" windowHeight="0" windowWidth="0" guid="{B866DD3E-B436-4B0C-A6D0-DE1EC8C99435}" name="Filter 7"/>
    <customWorkbookView activeSheetId="0" maximized="1" windowHeight="0" windowWidth="0" guid="{10EB5E37-4D4E-484B-BE38-D3AD6ED5CD60}" name="Filter 4"/>
    <customWorkbookView activeSheetId="0" maximized="1" windowHeight="0" windowWidth="0" guid="{30D09E09-FE23-4FF1-B87C-82BD01A9D156}" name="Filter 5"/>
    <customWorkbookView activeSheetId="0" maximized="1" windowHeight="0" windowWidth="0" guid="{4B769E08-A4CF-4C36-8B65-253A5FCB4C3D}" name="Filter 2"/>
    <customWorkbookView activeSheetId="0" maximized="1" windowHeight="0" windowWidth="0" guid="{9B50D902-B80A-40FB-96EB-DF0F9B2681E9}" name="Filter 3"/>
    <customWorkbookView activeSheetId="0" maximized="1" windowHeight="0" windowWidth="0" guid="{DABA0E9E-9FB3-4FB8-A09F-7C7FE5B5274A}" name="Filter 1"/>
    <customWorkbookView activeSheetId="0" maximized="1" windowHeight="0" windowWidth="0" guid="{CB234B23-B38A-4D8E-8062-1BE1CA0F8D46}" name="Filter 8"/>
    <customWorkbookView activeSheetId="0" maximized="1" windowHeight="0" windowWidth="0" guid="{E9A8CBD2-962E-4707-83EF-CDCE11E15A65}" name="Filter 9"/>
  </customWorkbookViews>
  <extLst>
    <ext uri="GoogleSheetsCustomDataVersion2">
      <go:sheetsCustomData xmlns:go="http://customooxmlschemas.google.com/" r:id="rId19" roundtripDataChecksum="KViL6cYfUgrFonOK3Fo1vPFuxuFNBAE3Fqxpw9QAuNo="/>
    </ext>
  </extLst>
</workbook>
</file>

<file path=xl/sharedStrings.xml><?xml version="1.0" encoding="utf-8"?>
<sst xmlns="http://schemas.openxmlformats.org/spreadsheetml/2006/main" count="7665" uniqueCount="4510">
  <si>
    <t>Property Finder</t>
  </si>
  <si>
    <t>BAYUT</t>
  </si>
  <si>
    <t>DUBIZZLE</t>
  </si>
  <si>
    <t>Name</t>
  </si>
  <si>
    <t>Email</t>
  </si>
  <si>
    <t>Mobile</t>
  </si>
  <si>
    <t>Ref. Number</t>
  </si>
  <si>
    <t>Type</t>
  </si>
  <si>
    <t>Inquiry</t>
  </si>
  <si>
    <t>Agent</t>
  </si>
  <si>
    <t>TYPE</t>
  </si>
  <si>
    <t>rizwan kadiwala</t>
  </si>
  <si>
    <t>Email; merizwanonly4you@gmail.com</t>
  </si>
  <si>
    <t>00919274363200</t>
  </si>
  <si>
    <t>Sale</t>
  </si>
  <si>
    <t>Indian Restaurant Business for Sale Deira</t>
  </si>
  <si>
    <t>Shane</t>
  </si>
  <si>
    <t>Tariq Lutfullah</t>
  </si>
  <si>
    <t>Tariqlutfullah@hotmail.co.uk</t>
  </si>
  <si>
    <t>447-956-259234</t>
  </si>
  <si>
    <t>489-Ap-S-0645</t>
  </si>
  <si>
    <t xml:space="preserve"> Someone</t>
  </si>
  <si>
    <t>mustafa-hakimie@hotmail.com</t>
  </si>
  <si>
    <t>000655517870</t>
  </si>
  <si>
    <t>HSR-S-1334</t>
  </si>
  <si>
    <t>Apartment on the Beach of Jumeirah</t>
  </si>
  <si>
    <t>Name: Atanaz</t>
  </si>
  <si>
    <t>Email: atanazhf@gmail.com</t>
  </si>
  <si>
    <t>00971508754738</t>
  </si>
  <si>
    <t>hsproperty-1504563</t>
  </si>
  <si>
    <t xml:space="preserve"> 2 Bedroom | Marina and Sunset View</t>
  </si>
  <si>
    <t>Rakesh</t>
  </si>
  <si>
    <t>Rvimal050@gmail.com</t>
  </si>
  <si>
    <t>971-504-534657</t>
  </si>
  <si>
    <t>489-Sp-R-0625</t>
  </si>
  <si>
    <t>tabrez Mohammed</t>
  </si>
  <si>
    <t>muffassa@gmail.com</t>
  </si>
  <si>
    <t>00971506255016</t>
  </si>
  <si>
    <t>Rent</t>
  </si>
  <si>
    <t>Message: for rent Retail :- Goldcrest views 2 lake level besides pitfire pizza 2575.82 sqft fitted with partitions 1 parking rent 140 per sqft in 1 or 2 chqs/ security deposit 10% unit number GCV2 R03A keys at the building reception Offices :- Goldcrest Executive, cluster c, jumeriah lake towers unit 1311 size 879 sqft view lake and almas tower rent 60000/- in 1 or 2 chqs security deposit 8000/- Available from 21/05/2019 for viewings contact tenant Mr. Tanmay +971 55 4758532 x2 tower jlt unit 3508 lake view size 586.64 sqft rent 50000 in 1 or 2 chqs deposit 8000 fitted without partition, with pantry available from 29/5/2019 Villa :- Arabian Ranches Alma 2 st 1 v 11 type b middle 2 bed plus study vacant and view able keys with Mr kamar +971558067775 rent 120k in 1 or 2 cheques deposit 8k Villa :- Arabian Ranches Alma 2 st 1 v 22 type b middle 2 bed plus study Vacant 9/7/2019 Rent 120k In 1 or 2 chqs Deposit 8k Villa:- Falcon City phase 2 WR01-27 built up 3121 sqft plot 5487 sqft 3 bed semi detached, with driver and maids Room Andalusia Villa vacant by 14/7/2019 for viewings contact tenant Mr. Paul 0561756116 rent 150000 deposit 8000 ****please note vat and chiller is not included in the above and needs to be collected separately for documents kindly click below http://tabrez.mynetgear.com:5000/sharing/5szEOmCvf Best Regards; Tabrez Mohammed muffassa@gmail.com +971506255016</t>
  </si>
  <si>
    <t>Stephen Fleming</t>
  </si>
  <si>
    <t>Email: sfleming368@gmail.com</t>
  </si>
  <si>
    <t>+8613122233344.</t>
  </si>
  <si>
    <t>Bluewaters Message: Hi I like the Project Bluewaters.
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</si>
  <si>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Sunny Gupta</t>
  </si>
  <si>
    <t>Sunnygupta21@gmail.com</t>
  </si>
  <si>
    <t>Nessar</t>
  </si>
  <si>
    <t>056-3702167</t>
  </si>
  <si>
    <t>Phone-in</t>
  </si>
  <si>
    <t>Cozy Restaurant with Shisha in Marina Walk</t>
  </si>
  <si>
    <t>Mo</t>
  </si>
  <si>
    <t>mohamedezzdelta@gmail.com</t>
  </si>
  <si>
    <t>00971544755525.</t>
  </si>
  <si>
    <t>hsproperty-1528126</t>
  </si>
  <si>
    <t>Inquiry: Bluewaters</t>
  </si>
  <si>
    <t>Khady Edwige Diop</t>
  </si>
  <si>
    <t>Khadydjadiop22@gmail.com</t>
  </si>
  <si>
    <t>143-893-99586</t>
  </si>
  <si>
    <t>489-Vl-R-0159</t>
  </si>
  <si>
    <t>3Bedroom Townhouse Ready in June</t>
  </si>
  <si>
    <t>Mona</t>
  </si>
  <si>
    <t xml:space="preserve"> Mounique_91@hotmail.com</t>
  </si>
  <si>
    <t xml:space="preserve"> 00971569198777</t>
  </si>
  <si>
    <t>hsproperty-1521630</t>
  </si>
  <si>
    <t>Low Priced 2 Bedroom with Golf and Skyline View</t>
  </si>
  <si>
    <t>Zain Tariq</t>
  </si>
  <si>
    <t>Zaintariq712@gmail.com</t>
  </si>
  <si>
    <t>971-553-184410</t>
  </si>
  <si>
    <t>Name: Someone</t>
  </si>
  <si>
    <t>greg@blueeyepicture.com</t>
  </si>
  <si>
    <t>00971505395937</t>
  </si>
  <si>
    <t>Ref No: hsproperty-1485283</t>
  </si>
  <si>
    <t>When is it available for viewing? Thanks.</t>
  </si>
  <si>
    <t>Abdullah Algharbi</t>
  </si>
  <si>
    <t>abdullahalgharbi04@gmail.com</t>
  </si>
  <si>
    <t xml:space="preserve"> 00963315712431</t>
  </si>
  <si>
    <t>Buy</t>
  </si>
  <si>
    <t>Greetings, I want to buy house property for me
and my family in your country, please can you help on this looking forward
to your response.
thanks, Abdullah</t>
  </si>
  <si>
    <t>Mamalkada</t>
  </si>
  <si>
    <t>Mamalkada@gmail.com</t>
  </si>
  <si>
    <t>Name: Charley Hafiz</t>
  </si>
  <si>
    <t>Email: charleyhafiz@gmail.com</t>
  </si>
  <si>
    <t>Telephone: 00971585824915</t>
  </si>
  <si>
    <t>Ref No: hsproperty-1485271</t>
  </si>
  <si>
    <t>Maple 4BR</t>
  </si>
  <si>
    <t>Name: Eman</t>
  </si>
  <si>
    <t>Email: Iman88gh@hotmail.com</t>
  </si>
  <si>
    <t>Mobile: 00971547742772</t>
  </si>
  <si>
    <t>Maple Phase 1 4 Bedroom</t>
  </si>
  <si>
    <t>Mayur</t>
  </si>
  <si>
    <t>Islam</t>
  </si>
  <si>
    <t>Iadel.83@gmail.com</t>
  </si>
  <si>
    <t>489-Ap-R-0499</t>
  </si>
  <si>
    <t>Name: Charley</t>
  </si>
  <si>
    <t>Message:Is it available for viewing on Friday, May 24 in the afternoon? Thanks</t>
  </si>
  <si>
    <t>Name: Faatimah Bodhania</t>
  </si>
  <si>
    <t>Email: faatimahb@gmail.com</t>
  </si>
  <si>
    <t>Mobile: +971 563344947</t>
  </si>
  <si>
    <t>hsproperty-1483835</t>
  </si>
  <si>
    <t>Asmaylqndyl82</t>
  </si>
  <si>
    <t>Asmaylqndyl82@gmail.com</t>
  </si>
  <si>
    <t>971-581-388121</t>
  </si>
  <si>
    <t>Email: oliviarussell@hotmail.co.uk</t>
  </si>
  <si>
    <t>Telephone: 00971551500639</t>
  </si>
  <si>
    <t>Maple Phase 1 for rent</t>
  </si>
  <si>
    <t>Claudia Nunes Cunha</t>
  </si>
  <si>
    <t>Email: claudia.cunha89@gmail.com</t>
  </si>
  <si>
    <t>Mobile: +971588061394</t>
  </si>
  <si>
    <t>hsproperty-1485283</t>
  </si>
  <si>
    <t>Inquiry: Maple Phase 1 BR</t>
  </si>
  <si>
    <t>Khalid Badawi</t>
  </si>
  <si>
    <t>khalid_badawi@hotmail.com</t>
  </si>
  <si>
    <t>971-504-545423</t>
  </si>
  <si>
    <t>489-Vl-R-0643</t>
  </si>
  <si>
    <t>Email: daveguinee@gmail.com</t>
  </si>
  <si>
    <t>Telephone: 00971569327079</t>
  </si>
  <si>
    <t>3BR Dubai Hills/Message: Hello, I saw your add for Dubai Hills.
Is it possible to view today at 4.30pm?</t>
  </si>
  <si>
    <t>Chantelle Bowen</t>
  </si>
  <si>
    <t>Email: c.bows@outlook.com</t>
  </si>
  <si>
    <t>Mobile: +971585368243</t>
  </si>
  <si>
    <t>sheikferoz449</t>
  </si>
  <si>
    <t>sheikferoz449@gmail.com</t>
  </si>
  <si>
    <t>Name:  Ahmad farzi</t>
  </si>
  <si>
    <t>Email: ahmadfarzierbil1973@gmail.com</t>
  </si>
  <si>
    <t>Mobile: 00971566101185.</t>
  </si>
  <si>
    <t>Reference No.: hsproperty-1504918</t>
  </si>
  <si>
    <t>Burj Khalifa 1BR+Study</t>
  </si>
  <si>
    <t>Taiba shahid</t>
  </si>
  <si>
    <t>patriot.young@gmail.com</t>
  </si>
  <si>
    <t>00971521709695</t>
  </si>
  <si>
    <t>Maple Phase 1 3 Bedroom</t>
  </si>
  <si>
    <t>Phone call</t>
  </si>
  <si>
    <t>Sam</t>
  </si>
  <si>
    <t>atek2244@gmail.com</t>
  </si>
  <si>
    <t>00966503004193</t>
  </si>
  <si>
    <t>hsproperty-1506105</t>
  </si>
  <si>
    <t>1Bedroom Double Balcony</t>
  </si>
  <si>
    <t>Soufiane</t>
  </si>
  <si>
    <t>sof57@hotmail.com</t>
  </si>
  <si>
    <t xml:space="preserve"> hsproperty-1506105</t>
  </si>
  <si>
    <t>Loiuse Palmieri</t>
  </si>
  <si>
    <t>Email: louisepalmieri@yahoo.co.uk</t>
  </si>
  <si>
    <t>Mobile: +971506601546</t>
  </si>
  <si>
    <t>Reference: hsproperty-1485283</t>
  </si>
  <si>
    <t>3Bedroom Townhouse Ready June</t>
  </si>
  <si>
    <t>Isse</t>
  </si>
  <si>
    <t>Email: abshirissa@gmail.com</t>
  </si>
  <si>
    <t>Mobile: +971555444211.</t>
  </si>
  <si>
    <t>Maple 3BR Ready in June</t>
  </si>
  <si>
    <t>Mounia</t>
  </si>
  <si>
    <t>Email: marsad.mounia@hotmail.fr</t>
  </si>
  <si>
    <t>Mobile: +971526541645</t>
  </si>
  <si>
    <t>Name:kim morgan</t>
  </si>
  <si>
    <t>Email:k2morgan@hotmail.co.uk</t>
  </si>
  <si>
    <t>Mobile:+9710501519863.</t>
  </si>
  <si>
    <t>Reference: hsproperty-1485271</t>
  </si>
  <si>
    <t>Name: Dina</t>
  </si>
  <si>
    <t>Email: dinaelleboudy@me.com</t>
  </si>
  <si>
    <t>Mobile: 00971508493185</t>
  </si>
  <si>
    <t>Maple Phase 1 3 Bedroom Townhouse Built Up</t>
  </si>
  <si>
    <t>Name: Asad Masud</t>
  </si>
  <si>
    <t>Email: ASADMASUDS@YAHOO.COM</t>
  </si>
  <si>
    <t>Mobile: +447521081839.</t>
  </si>
  <si>
    <t>ref: hsproperty-1432337</t>
  </si>
  <si>
    <t>ARABIAN RANCHES III</t>
  </si>
  <si>
    <t>Zohaib</t>
  </si>
  <si>
    <t>Souraya El khatib</t>
  </si>
  <si>
    <t>souraya.el.khatib@gmail.com</t>
  </si>
  <si>
    <t xml:space="preserve"> hsproperty-1506427</t>
  </si>
  <si>
    <t>Apartment for Rent in 29 Burj Boulevard</t>
  </si>
  <si>
    <t>Date:</t>
  </si>
  <si>
    <t>Contact</t>
  </si>
  <si>
    <t>Portal</t>
  </si>
  <si>
    <t>Message</t>
  </si>
  <si>
    <t>Ref. #</t>
  </si>
  <si>
    <t>Requirement</t>
  </si>
  <si>
    <t>Maciek Jarawski</t>
  </si>
  <si>
    <t>+48602270777</t>
  </si>
  <si>
    <t>maciekjarawski@gmail.com</t>
  </si>
  <si>
    <t>Propertyfinder</t>
  </si>
  <si>
    <t>waterfront Apt. at Beach Vista</t>
  </si>
  <si>
    <t>S-1197</t>
  </si>
  <si>
    <t>hediyeh</t>
  </si>
  <si>
    <t>Hassen &amp; Ilaria</t>
  </si>
  <si>
    <t>+971 527925825</t>
  </si>
  <si>
    <t>benothmanh@gmail.com</t>
  </si>
  <si>
    <t>Sparkle Towers, Dubai Marina</t>
  </si>
  <si>
    <t>S-1607</t>
  </si>
  <si>
    <t>maciek jarawski</t>
  </si>
  <si>
    <t>Dubai Harbour / Beach vista</t>
  </si>
  <si>
    <t>R-1814</t>
  </si>
  <si>
    <t>Fadi Riachi</t>
  </si>
  <si>
    <t>0506586736</t>
  </si>
  <si>
    <t>fadi@layoutconsultants.com</t>
  </si>
  <si>
    <t>Oceana Aegean, Oceana</t>
  </si>
  <si>
    <t>R-1283</t>
  </si>
  <si>
    <t>Gosia</t>
  </si>
  <si>
    <t>+971551230239</t>
  </si>
  <si>
    <t>gosiawajchert@msn.com</t>
  </si>
  <si>
    <t>Diamond, Tiara Residences</t>
  </si>
  <si>
    <t>R-1258</t>
  </si>
  <si>
    <t>Victoria</t>
  </si>
  <si>
    <t>Mr. امجد</t>
  </si>
  <si>
    <t>971507762802</t>
  </si>
  <si>
    <t>amjadpower1@yahoo.com</t>
  </si>
  <si>
    <t>Properwifi</t>
  </si>
  <si>
    <t>Looking to Buy</t>
  </si>
  <si>
    <t>Sharjah</t>
  </si>
  <si>
    <t>-</t>
  </si>
  <si>
    <t>Haresh kodwani</t>
  </si>
  <si>
    <t>+971-050-5251121</t>
  </si>
  <si>
    <t>sunnykodwani@gmail.com</t>
  </si>
  <si>
    <t>Bayut</t>
  </si>
  <si>
    <t>I would like to find out more about your agency and properties. Please contact me at your earliest convenience.</t>
  </si>
  <si>
    <t>Theresa Gerald</t>
  </si>
  <si>
    <t>+233279145510</t>
  </si>
  <si>
    <t>teresa4151@yahoo.com</t>
  </si>
  <si>
    <t xml:space="preserve"> I am looking to buy</t>
  </si>
  <si>
    <t>H/N 218, Ave. Abedi Pele, East Legon, P.B 3569 Greater Accra, Ghana. Compliment of the season. I am Mrs Theresa Gerald I would like to apply through this medium for your co-operation to secure an opportunity to invest and to go into joint business partnership with you. venture based on your advice and directive. Please feel free to call me or email me through my private box teresa4151@yahoo.com for further information about this Joint Venture with you God Bless you as I will be looking forward to hear from you urgently.</t>
  </si>
  <si>
    <t>Michael Defauw</t>
  </si>
  <si>
    <t>0553669906</t>
  </si>
  <si>
    <t>michael.defauw@essec.edu</t>
  </si>
  <si>
    <t>Dubizzle</t>
  </si>
  <si>
    <t>Message: Marhaba! I saw your ad on dubizzle. When is it available for viewing? which floor is it located ? Thanks.</t>
  </si>
  <si>
    <t>R-1295</t>
  </si>
  <si>
    <t>Stéphane Harrouch</t>
  </si>
  <si>
    <t>+971581189454</t>
  </si>
  <si>
    <t>Stephane.harrouch@gmail.com</t>
  </si>
  <si>
    <t>Prestigious 1 Bedroom in Tiara Sea view</t>
  </si>
  <si>
    <t>Laura Mihael</t>
  </si>
  <si>
    <t>+971505931690</t>
  </si>
  <si>
    <t>lauraalaura@hotmail.com</t>
  </si>
  <si>
    <t>Fresh listing |Sea view| Ready to move</t>
  </si>
  <si>
    <t>R-1296</t>
  </si>
  <si>
    <t>Someone</t>
  </si>
  <si>
    <t>+919643010959</t>
  </si>
  <si>
    <t>jewelsgalaxyofficial@gmail.com</t>
  </si>
  <si>
    <t>Ready retail corner shop for sale in DIFC.</t>
  </si>
  <si>
    <t>S-1009</t>
  </si>
  <si>
    <t>Khaled elhadidy</t>
  </si>
  <si>
    <t>0526534267.</t>
  </si>
  <si>
    <t>Khadidy76@gmail.com</t>
  </si>
  <si>
    <t>Mira 2, Reem</t>
  </si>
  <si>
    <t>R-1291</t>
  </si>
  <si>
    <t>Aylar</t>
  </si>
  <si>
    <t>Mr. عثمان</t>
  </si>
  <si>
    <t>971565420893</t>
  </si>
  <si>
    <t>osm.abdo@gmail.com</t>
  </si>
  <si>
    <t>Propertywifi</t>
  </si>
  <si>
    <t>Looking to Rent</t>
  </si>
  <si>
    <t>?</t>
  </si>
  <si>
    <t>0504766474</t>
  </si>
  <si>
    <t>dubaiwide@gmail.com</t>
  </si>
  <si>
    <t>Amazing 4BR-Villa in Mira Oasis!.</t>
  </si>
  <si>
    <t>Amazing Mira Oasis3 minus 26% 4 Beds + Maids Type G Good location single row OP: AED 2,13M BUA- 2551 sq.ft SP: 1.66M Full commission yours! Finance available from DIB</t>
  </si>
  <si>
    <t>S-1341</t>
  </si>
  <si>
    <t>Jeetender lala</t>
  </si>
  <si>
    <t>0553452344.</t>
  </si>
  <si>
    <t>Jeetenderlala@gmail.com</t>
  </si>
  <si>
    <t>Well Known Restaurant in Prime of Marina</t>
  </si>
  <si>
    <t>S-1188</t>
  </si>
  <si>
    <t>0508221422</t>
  </si>
  <si>
    <t>amalawahab@hotmail.com</t>
  </si>
  <si>
    <t>When is it available for viewing? Thanks</t>
  </si>
  <si>
    <t>S-1483</t>
  </si>
  <si>
    <t>waqas</t>
  </si>
  <si>
    <t>Sofie Jemel</t>
  </si>
  <si>
    <t>+420604200278</t>
  </si>
  <si>
    <t>yemel.sofie@gmail.com</t>
  </si>
  <si>
    <t>Project: Residences, Bluewaters</t>
  </si>
  <si>
    <t>S-1644</t>
  </si>
  <si>
    <t>Shahrzad</t>
  </si>
  <si>
    <t>Hanan</t>
  </si>
  <si>
    <t>+971557618355.</t>
  </si>
  <si>
    <t>hananechehimi@yahoo.com</t>
  </si>
  <si>
    <t>prestigious 1 Bedroom in Tiara Sea view</t>
  </si>
  <si>
    <t xml:space="preserve">Laura    </t>
  </si>
  <si>
    <t>0505931690.</t>
  </si>
  <si>
    <t xml:space="preserve"> Sadaf 6, Sadaf</t>
  </si>
  <si>
    <t>R-1279</t>
  </si>
  <si>
    <t>DR NADEEM LEHRASAB</t>
  </si>
  <si>
    <t>+971568095688</t>
  </si>
  <si>
    <t>nadeem@lehrasab.net</t>
  </si>
  <si>
    <t>The Best Deal in the Area | Rented | Marina View</t>
  </si>
  <si>
    <t>Please contact me. PLEASE SMS ME IF NOT PICKING THE PHONE Thank you.</t>
  </si>
  <si>
    <t>S-1627</t>
  </si>
  <si>
    <t>Ella Art</t>
  </si>
  <si>
    <t>0501006576</t>
  </si>
  <si>
    <t>emma.artins@gmail.com</t>
  </si>
  <si>
    <t>Shoreline Apt. - Nabat</t>
  </si>
  <si>
    <t>Baryam</t>
  </si>
  <si>
    <t>+33617605236</t>
  </si>
  <si>
    <t>m.bayram60@laposte.net</t>
  </si>
  <si>
    <t>Green-Acres</t>
  </si>
  <si>
    <t>Safi-Town SQUARE4 Bedrooms MaidsType</t>
  </si>
  <si>
    <t>S-1616</t>
  </si>
  <si>
    <t>Ahsan Saboo</t>
  </si>
  <si>
    <t>+447-930-490389</t>
  </si>
  <si>
    <t xml:space="preserve"> ahsans29@live.com</t>
  </si>
  <si>
    <t>I am looking to my Apartments sale in Dubai, UAE. Please let me know about this property we have</t>
  </si>
  <si>
    <t>victoria</t>
  </si>
  <si>
    <t>Priyan</t>
  </si>
  <si>
    <t>0506410271</t>
  </si>
  <si>
    <t>priyango@yahoo.com</t>
  </si>
  <si>
    <t>1Bedroom Apartment in Burj Khalifa Dubai</t>
  </si>
  <si>
    <t>S-1632</t>
  </si>
  <si>
    <t>Aysel</t>
  </si>
  <si>
    <t>Mr. عامر سيد المرزوقي</t>
  </si>
  <si>
    <t>+971507476242</t>
  </si>
  <si>
    <t>amer@mlegal.ae</t>
  </si>
  <si>
    <t>Property to Rent</t>
  </si>
  <si>
    <t>Moahemd adel</t>
  </si>
  <si>
    <t>0556002225</t>
  </si>
  <si>
    <t>adel@aljaber.ae</t>
  </si>
  <si>
    <t>message:  i have properties for rent and sale belong to the company i work for , please text me on whats app 0556002225 if you interested , i will forward to you the title deeds and the info reuired</t>
  </si>
  <si>
    <t xml:space="preserve"> OMAR AL GAILANI</t>
  </si>
  <si>
    <t>+14168271966</t>
  </si>
  <si>
    <t>gailani2010@gmail.com</t>
  </si>
  <si>
    <t>EMAAR Palace Residences</t>
  </si>
  <si>
    <t>emily</t>
  </si>
  <si>
    <t>Mohammed A</t>
  </si>
  <si>
    <t>+971543488161</t>
  </si>
  <si>
    <t>albaadanim@gmail.com</t>
  </si>
  <si>
    <t>Downtown Dubai</t>
  </si>
  <si>
    <t>Message: Hi could you please send me a full details about this listing to my email thank you</t>
  </si>
  <si>
    <t>S-1527</t>
  </si>
  <si>
    <t>shahrzad</t>
  </si>
  <si>
    <t>HRO</t>
  </si>
  <si>
    <t>+971559897465</t>
  </si>
  <si>
    <t>ewhfoi@ewf.com</t>
  </si>
  <si>
    <t>JustProperty</t>
  </si>
  <si>
    <t>Bluewaters Island Apartment Building 3</t>
  </si>
  <si>
    <t xml:space="preserve"> Please send me more information about this property.</t>
  </si>
  <si>
    <t>R-1310</t>
  </si>
  <si>
    <t>https://www.justproperty.com/en/rent/brand-new-bluewaters-sea-and-garden-view-2415024/</t>
  </si>
  <si>
    <t>zohab</t>
  </si>
  <si>
    <t>Mark Butler</t>
  </si>
  <si>
    <t>971568348485</t>
  </si>
  <si>
    <t>mark@flowsolutions.ae</t>
  </si>
  <si>
    <t>fresh listing | Sea view| Ready to move Message: Please contact me if this property is dog friendly? i need to move by the 22nd of January, is it possible to arrange a viewing Thursday evening or Friday / Saturday? thanks</t>
  </si>
  <si>
    <t>Maroc BEN HADJ</t>
  </si>
  <si>
    <t xml:space="preserve"> +971585713232</t>
  </si>
  <si>
    <t>naabilbenhadj@gmail.com</t>
  </si>
  <si>
    <t>Cheapest Last Unit 2 Br Villa Serena</t>
  </si>
  <si>
    <t>Bonjour Je souhaiterais être recontacté afin de prendre rendez-vous pour une visite. Merci</t>
  </si>
  <si>
    <t>S-1407</t>
  </si>
  <si>
    <t>Chibani</t>
  </si>
  <si>
    <t>+33609093625</t>
  </si>
  <si>
    <t>justinesammy@yahoo.fr</t>
  </si>
  <si>
    <t>The Best Deal in the Area | Rented | Marina.</t>
  </si>
  <si>
    <t>Bonjour, Je souhaiterais être recontacté et également avoir davantage de photos. Merci</t>
  </si>
  <si>
    <t>S1627</t>
  </si>
  <si>
    <t>Ian</t>
  </si>
  <si>
    <t>Ijarnott@gmail.com</t>
  </si>
  <si>
    <t>Immaculate sea view| Vacant now| Viewings</t>
  </si>
  <si>
    <t>R-1303</t>
  </si>
  <si>
    <t>Elena</t>
  </si>
  <si>
    <t>+792-177-42234</t>
  </si>
  <si>
    <t>Email: Lena.barakhova@icloud.com</t>
  </si>
  <si>
    <t>Enquiry: Brand New Bluewaters | Sea and Garden View</t>
  </si>
  <si>
    <t>Mr. محمد عصام جلال</t>
  </si>
  <si>
    <t>+966568668115</t>
  </si>
  <si>
    <t>mohammedessamj@hotmail.com</t>
  </si>
  <si>
    <t>hassan</t>
  </si>
  <si>
    <t>Darren Moore</t>
  </si>
  <si>
    <t>0585572028</t>
  </si>
  <si>
    <t>dcm.vom@btinternet.com</t>
  </si>
  <si>
    <t>Brand New Bluewaters | Sea and Garden View</t>
  </si>
  <si>
    <t>Rupert Bastick</t>
  </si>
  <si>
    <t>+971508353731</t>
  </si>
  <si>
    <t>rupertb@imsmeltd.com</t>
  </si>
  <si>
    <t xml:space="preserve"> each Access| Well maintained| Vacant</t>
  </si>
  <si>
    <t>R-1268</t>
  </si>
  <si>
    <t>0527925825</t>
  </si>
  <si>
    <t>Sparkle Towers | Most Luxurious in Marina</t>
  </si>
  <si>
    <t>Maya</t>
  </si>
  <si>
    <t>0567595472.</t>
  </si>
  <si>
    <t>Jabbour_maya@hotmail.com</t>
  </si>
  <si>
    <t xml:space="preserve"> Brand New Bluewaters | Sea and Garden View</t>
  </si>
  <si>
    <t>Hassan Ahmed</t>
  </si>
  <si>
    <t>has441@yahoo.in</t>
  </si>
  <si>
    <t>JustProperty*</t>
  </si>
  <si>
    <t>Rental Listing Enquiry - Rent 2 bedroom with view Burj Vista T1</t>
  </si>
  <si>
    <t>R-1311</t>
  </si>
  <si>
    <t xml:space="preserve"> Purva Ladha</t>
  </si>
  <si>
    <t>0556640591.</t>
  </si>
  <si>
    <t>Purva.meh85@gmail.com</t>
  </si>
  <si>
    <t>Furnished Studio Hotel Apartment |Call Now</t>
  </si>
  <si>
    <t>R-1312</t>
  </si>
  <si>
    <t>+3360909362</t>
  </si>
  <si>
    <t xml:space="preserve"> justinesammy@yahoo.fr</t>
  </si>
  <si>
    <t xml:space="preserve"> Best Tower in Jbr | Ready Soon</t>
  </si>
  <si>
    <t>Mr. wael mando</t>
  </si>
  <si>
    <t>+971563688448</t>
  </si>
  <si>
    <t>sales@mando-uae.com</t>
  </si>
  <si>
    <t>shane</t>
  </si>
  <si>
    <t>966568668115</t>
  </si>
  <si>
    <t>0502021051</t>
  </si>
  <si>
    <t>jecagr7@yahoo.com</t>
  </si>
  <si>
    <t>A Perfect Location for Ideal Business!-JLT</t>
  </si>
  <si>
    <t>R-1271</t>
  </si>
  <si>
    <t>Jamiel</t>
  </si>
  <si>
    <t>Narendra adiwasi</t>
  </si>
  <si>
    <t>9718435770992</t>
  </si>
  <si>
    <t>narendraadiwasi@gmail.com</t>
  </si>
  <si>
    <t>Jumeirah Business Centerr 1Please send me more information about this property. Thank you</t>
  </si>
  <si>
    <t>R-1085</t>
  </si>
  <si>
    <t>004917683056424</t>
  </si>
  <si>
    <t>direktverteilung@hotmail.de</t>
  </si>
  <si>
    <t>LIMITED TIME OFFER -3BEDROOM Villa Nova.</t>
  </si>
  <si>
    <t>Marhaba! Is any 2 or 3 Bed available?</t>
  </si>
  <si>
    <t>S-1284</t>
  </si>
  <si>
    <t>Lee Miyoko</t>
  </si>
  <si>
    <t>+971555574222</t>
  </si>
  <si>
    <t>115894514@qq.com</t>
  </si>
  <si>
    <t>1.2 Million AED Beachfront Apartment!</t>
  </si>
  <si>
    <t>Zahra Ijaz</t>
  </si>
  <si>
    <t>+971556555598</t>
  </si>
  <si>
    <t>thexaru@gmail.com</t>
  </si>
  <si>
    <t>Justproperty</t>
  </si>
  <si>
    <t>Please send me more information about this property. /Also let me know the exact location and time so I can visit</t>
  </si>
  <si>
    <t>Federica</t>
  </si>
  <si>
    <t xml:space="preserve"> '+971502534352.</t>
  </si>
  <si>
    <t>fedydandry@gmail.com</t>
  </si>
  <si>
    <t>Rae Chase</t>
  </si>
  <si>
    <t>+971502850775</t>
  </si>
  <si>
    <t>raechase95@gmail.com</t>
  </si>
  <si>
    <t>Residential for Sale &gt; Villa/House for Sale</t>
  </si>
  <si>
    <t>S-1487/S1483 /S-1481</t>
  </si>
  <si>
    <t>Martin Kandrac</t>
  </si>
  <si>
    <t>+971585168983.</t>
  </si>
  <si>
    <t>kandrac@hotmail.com</t>
  </si>
  <si>
    <t>Enquiry: The Best Deal in the Area | Rented | Marina View Now</t>
  </si>
  <si>
    <t xml:space="preserve"> Anton Glemme</t>
  </si>
  <si>
    <t xml:space="preserve"> +46790682122.</t>
  </si>
  <si>
    <t>antonglemme@hotmail.com</t>
  </si>
  <si>
    <t xml:space="preserve">The Best Deal in the Area | Rented | Marina View Now </t>
  </si>
  <si>
    <t>Peter</t>
  </si>
  <si>
    <t>0506462043</t>
  </si>
  <si>
    <t>peter3700@hotmail.com</t>
  </si>
  <si>
    <t>Bluewaters Residences</t>
  </si>
  <si>
    <t>Message: I am looking for 2 bedroom in blue water only in building 1 or 3 or 4 only sea view, NO LANDMARK VIEW</t>
  </si>
  <si>
    <t>S-1296</t>
  </si>
  <si>
    <t>Ali  / Asif</t>
  </si>
  <si>
    <t>Juliet Kawanchi</t>
  </si>
  <si>
    <t>+971558774974.</t>
  </si>
  <si>
    <t xml:space="preserve"> juliet_sweet19@gmail.com</t>
  </si>
  <si>
    <t>Ready to Move| Huge 2BR|executive bay</t>
  </si>
  <si>
    <t>+971000000006</t>
  </si>
  <si>
    <t>Bob.barento@gmail.com</t>
  </si>
  <si>
    <t>Enquiry: Ready retail corner shop for sale in DIFC.</t>
  </si>
  <si>
    <t>Dahlia Nehme</t>
  </si>
  <si>
    <t>+971557240716</t>
  </si>
  <si>
    <t>dahlia.nehme@gmail.com</t>
  </si>
  <si>
    <t>Enquiry: adaf 6, Sadaf</t>
  </si>
  <si>
    <t>0501521326</t>
  </si>
  <si>
    <t>sallyfayyad@gmail.com</t>
  </si>
  <si>
    <t>Message:When is it available for viewing? Thanks.</t>
  </si>
  <si>
    <t>Mrs. Moroz</t>
  </si>
  <si>
    <t>+971561741360</t>
  </si>
  <si>
    <t>tixysco@yahoo.com.au</t>
  </si>
  <si>
    <t>Message: I am a landlord of the commercial unit in Park Towers and would love to sale it. If you want to represent me please keep in touch via email: tixysco@[url removed]</t>
  </si>
  <si>
    <t>Simon Husk</t>
  </si>
  <si>
    <t>+61467323777</t>
  </si>
  <si>
    <t>simon.husk@hotmail.com</t>
  </si>
  <si>
    <t xml:space="preserve"> Daniel Flowers</t>
  </si>
  <si>
    <t>+971508738697</t>
  </si>
  <si>
    <t>Email:  danielolu@hotmail.com</t>
  </si>
  <si>
    <t>From: Propertyfinder</t>
  </si>
  <si>
    <t>Enquiry: Hayat Townhouses /4BR</t>
  </si>
  <si>
    <t>aylar</t>
  </si>
  <si>
    <t>Vipinu calling or emailing on:</t>
  </si>
  <si>
    <t>vipinubabu@gmail.com</t>
  </si>
  <si>
    <t>Shop for Sale in Al Khabisi, Deira</t>
  </si>
  <si>
    <t>Aditi Shah</t>
  </si>
  <si>
    <t>971551013779</t>
  </si>
  <si>
    <t>aditiviralshah@gmail.com</t>
  </si>
  <si>
    <t>Executive Bay, Business Bay/2BR</t>
  </si>
  <si>
    <t>R-1164</t>
  </si>
  <si>
    <t>Khaled Rafik</t>
  </si>
  <si>
    <t>khaled_rafik@yahoo.co.uk</t>
  </si>
  <si>
    <t>Palm Jumeirah ‪ &gt; ‪ Golden Mile 7</t>
  </si>
  <si>
    <t>Sheetal</t>
  </si>
  <si>
    <t>971544495238</t>
  </si>
  <si>
    <t>sheetal@highsourceproperties.com</t>
  </si>
  <si>
    <t>Enquiry: Executive Bay 1BR</t>
  </si>
  <si>
    <t>R-1274</t>
  </si>
  <si>
    <t>Ankit Shyam Jain</t>
  </si>
  <si>
    <t>971552810487</t>
  </si>
  <si>
    <t>ankz.moving.on@gmail.com</t>
  </si>
  <si>
    <t>Enquiry: JLT Jumeirah Lake Towers</t>
  </si>
  <si>
    <t>Message: When is it available for viewing? Thanks</t>
  </si>
  <si>
    <t>Joe Ghabach</t>
  </si>
  <si>
    <t>971566869572</t>
  </si>
  <si>
    <t>jaghabach@gmail.com</t>
  </si>
  <si>
    <t>Hi Dear, Please provide more detail about this restaurant.</t>
  </si>
  <si>
    <t>S-1192</t>
  </si>
  <si>
    <t>Ali jariwalla</t>
  </si>
  <si>
    <t>+254722511667</t>
  </si>
  <si>
    <t>ajariwalla@gmail.com</t>
  </si>
  <si>
    <t>Kempinski Palm Residence, The Crescent</t>
  </si>
  <si>
    <t>. Please contact me +918879242202 as I am on vacation in india. Also please send me the floor plan. Thank you.</t>
  </si>
  <si>
    <t>S-1641</t>
  </si>
  <si>
    <t>Time Faclities Management by calling or emailing on:</t>
  </si>
  <si>
    <t>971526930906</t>
  </si>
  <si>
    <t>ahmed.ali@timehotels.ae</t>
  </si>
  <si>
    <t>*Propertyfinder*</t>
  </si>
  <si>
    <t>Hi Good Morning! This is Ali from Time Facilities Management. We have apartments and Villas to rent as we are direct landlords of the building. Its in the area of Barsha Heights(Tecom) and Albarsha. We dont charge any commission. If its possible to discuss about it so we can work together.</t>
  </si>
  <si>
    <t>enquiry'</t>
  </si>
  <si>
    <t>n/A</t>
  </si>
  <si>
    <t>Daisy Yang</t>
  </si>
  <si>
    <t>971502534639</t>
  </si>
  <si>
    <t>184769289@qq.com</t>
  </si>
  <si>
    <t>S-1643</t>
  </si>
  <si>
    <t>Daniel Flowers</t>
  </si>
  <si>
    <t>971508738697</t>
  </si>
  <si>
    <t>danielolu@hotmail.com</t>
  </si>
  <si>
    <t>Hayat Townhouses 1, Hayat Townhouses</t>
  </si>
  <si>
    <t>Sangeeta</t>
  </si>
  <si>
    <t xml:space="preserve"> 0507580221.</t>
  </si>
  <si>
    <t>sangsluthria@gmail.com</t>
  </si>
  <si>
    <t>Marina Diamond 5, Marina Diamonds</t>
  </si>
  <si>
    <t>S-1626</t>
  </si>
  <si>
    <t>Nour</t>
  </si>
  <si>
    <t>0097150882380</t>
  </si>
  <si>
    <t>nourjewels@gmail.com</t>
  </si>
  <si>
    <t>Studio for Sale | Al Thamam 13 | Tenanted.</t>
  </si>
  <si>
    <t>I am offering 250k net without financing from the bank. this is my budget, the deal can be done immediately. you can whats app me if the offer is ok for you . Regards Nour</t>
  </si>
  <si>
    <t>S-1107</t>
  </si>
  <si>
    <t>Malika Noor</t>
  </si>
  <si>
    <t>0585002358</t>
  </si>
  <si>
    <t>bestcandidatecv@gmail.com</t>
  </si>
  <si>
    <t>Beauty Salon in JLT!!</t>
  </si>
  <si>
    <t>I am interested in your article advertising Selling Business | Beauty Salon in JLT!!</t>
  </si>
  <si>
    <t>R1059</t>
  </si>
  <si>
    <t>Manel Azzouz</t>
  </si>
  <si>
    <t>+971563445668</t>
  </si>
  <si>
    <t>manel.azzouz@gmail.com</t>
  </si>
  <si>
    <t>Al Dabas, Shoreline Apartments</t>
  </si>
  <si>
    <t>Pansy Gonsalvez</t>
  </si>
  <si>
    <t>0507962834.</t>
  </si>
  <si>
    <t>pansygonsalvez@hotmail.com</t>
  </si>
  <si>
    <t>Arabian Ranches 2</t>
  </si>
  <si>
    <t>S-1597</t>
  </si>
  <si>
    <t xml:space="preserve">Ali   </t>
  </si>
  <si>
    <t>Muqtadeer</t>
  </si>
  <si>
    <t>+971559274825</t>
  </si>
  <si>
    <t>mjahen@gmail.com</t>
  </si>
  <si>
    <t>Just Property</t>
  </si>
  <si>
    <t>Burj Vista</t>
  </si>
  <si>
    <t>Message: I am looking for a studio apt. Or a room with attached bathroom for a couple,  and a kitchen.My budget is monthly I can pay 2000 to 2300.</t>
  </si>
  <si>
    <t>R-1327</t>
  </si>
  <si>
    <t>malik</t>
  </si>
  <si>
    <t>Kashif LOYAL REALTY BROKERS</t>
  </si>
  <si>
    <t>0556439900.</t>
  </si>
  <si>
    <t>kashif@loyaluae.com</t>
  </si>
  <si>
    <t xml:space="preserve"> Burj Vista</t>
  </si>
  <si>
    <t>Winkat</t>
  </si>
  <si>
    <t>971566570224</t>
  </si>
  <si>
    <t xml:space="preserve">  Need more information</t>
  </si>
  <si>
    <t xml:space="preserve"> Dubizzle (DC)</t>
  </si>
  <si>
    <t>DOWNTOWN VIEWS</t>
  </si>
  <si>
    <t>S-1444</t>
  </si>
  <si>
    <t>Waqas</t>
  </si>
  <si>
    <t>Maria</t>
  </si>
  <si>
    <t>+971558837381</t>
  </si>
  <si>
    <t>kapadiamaria.dsouza@gmail.com</t>
  </si>
  <si>
    <t>Townhouse for Sale in Reem Community, Arabian Ranches 2</t>
  </si>
  <si>
    <t>S-1598</t>
  </si>
  <si>
    <t>Ali</t>
  </si>
  <si>
    <t>Shimaa Shaarawy</t>
  </si>
  <si>
    <t>00201224059292</t>
  </si>
  <si>
    <t>sh.sh3rawy84@yahoo.com</t>
  </si>
  <si>
    <t>1BR Executive Bay</t>
  </si>
  <si>
    <t>N/A</t>
  </si>
  <si>
    <t>Ian Mclean</t>
  </si>
  <si>
    <t>+971522753615</t>
  </si>
  <si>
    <t>ian.mclean@ssaltd.com</t>
  </si>
  <si>
    <t>Huge 1 BR Marina View | 80k | Unfurnished</t>
  </si>
  <si>
    <t>bukhari</t>
  </si>
  <si>
    <t>+971502903786</t>
  </si>
  <si>
    <t>Email: sabukhari007@gmail.com</t>
  </si>
  <si>
    <t>Please send me more information about this property. Thank you Regards, Bukhari</t>
  </si>
  <si>
    <t>Abdullah</t>
  </si>
  <si>
    <t>Apodi@hotmail.com</t>
  </si>
  <si>
    <t>Dubai Creek</t>
  </si>
  <si>
    <t>S-1045</t>
  </si>
  <si>
    <t>suvidha</t>
  </si>
  <si>
    <t>Bruno</t>
  </si>
  <si>
    <t>+971565776840</t>
  </si>
  <si>
    <t>br.bianchini@gmail.com</t>
  </si>
  <si>
    <t>salim</t>
  </si>
  <si>
    <t>971566829130</t>
  </si>
  <si>
    <t>nomiee9@yahoo.com</t>
  </si>
  <si>
    <t>Message: Interested. When is the handover?</t>
  </si>
  <si>
    <t>S-1484</t>
  </si>
  <si>
    <t>Nuri</t>
  </si>
  <si>
    <t>0033755804196</t>
  </si>
  <si>
    <t>nuri.gokoglu@yahoo.com</t>
  </si>
  <si>
    <t>Message: hello i live on paris and i would like to open a restaurant chicha a dubai thank you</t>
  </si>
  <si>
    <t>S-1642</t>
  </si>
  <si>
    <t>Fareed</t>
  </si>
  <si>
    <t>Raqeebfareed@icloud.com</t>
  </si>
  <si>
    <t xml:space="preserve"> Ready MAG 5 Apartment | 1 Bedroom from Owner</t>
  </si>
  <si>
    <t>Message: 00447931711555</t>
  </si>
  <si>
    <t>S-1688</t>
  </si>
  <si>
    <t>altaf Shaikh</t>
  </si>
  <si>
    <t>+17573394149.</t>
  </si>
  <si>
    <t>altaf190957@yahoo.com</t>
  </si>
  <si>
    <t>Running Multi-Cuisine &amp; Coffee Shop in Deira</t>
  </si>
  <si>
    <t>R-1078</t>
  </si>
  <si>
    <t xml:space="preserve"> 0524223680</t>
  </si>
  <si>
    <t>kylieobyrne@live.co.uk</t>
  </si>
  <si>
    <t>Dubizzle / Propspace</t>
  </si>
  <si>
    <t>NSHAMA Town Square / Rent Hayat Townhouses</t>
  </si>
  <si>
    <t>R-1144</t>
  </si>
  <si>
    <t>Malik</t>
  </si>
  <si>
    <t>00966552219227</t>
  </si>
  <si>
    <t>translatorafnan@gmail.com</t>
  </si>
  <si>
    <t>Hi, I saw your ad on dubizzle. Is it available for viewing Tomorrow, Jan 26 in the Morning? Thanks.</t>
  </si>
  <si>
    <t>R-1264</t>
  </si>
  <si>
    <t>Amina Amirah</t>
  </si>
  <si>
    <t>971521932095</t>
  </si>
  <si>
    <t>nandaoyaonira@gmail.com</t>
  </si>
  <si>
    <t>Cozy Restaurant with Shisha on Marina Walk.</t>
  </si>
  <si>
    <t>R-1316</t>
  </si>
  <si>
    <t>Tabrez Dossa</t>
  </si>
  <si>
    <t>971506255016</t>
  </si>
  <si>
    <t>Retail for Rent in Goldcrest Views 2, Lake Almas West</t>
  </si>
  <si>
    <t>Message:Dear Sir/Madam, Trust all's well. My personnel properties for rent Office for rent Retail :- Goldcrest views 2 lake level besides pitfire pizza 2575.82 sqft fitted with partition 1 parking rent 140 per sqft in 1 or 2 chqs/ security deposit 10% unit number GCV R03A Keys at the building reception ****please note vat is not included in the above and needs to be collected separately for documents kindly click below</t>
  </si>
  <si>
    <t>00393669933337</t>
  </si>
  <si>
    <t>emontalbano78@gmail.com</t>
  </si>
  <si>
    <t>Running Cafe in Jebel Ali Office Building.</t>
  </si>
  <si>
    <t>S-1231</t>
  </si>
  <si>
    <t>Fadil achrafi</t>
  </si>
  <si>
    <t>971562745287.</t>
  </si>
  <si>
    <t>fadil.achrafi@gmail.com</t>
  </si>
  <si>
    <t xml:space="preserve"> Rent 2 bedroom with view Burj Vista T1</t>
  </si>
  <si>
    <t xml:space="preserve"> 971557618355</t>
  </si>
  <si>
    <t>Message: Hi, I would like to know if this apartment is still available.</t>
  </si>
  <si>
    <t>sia</t>
  </si>
  <si>
    <t>+61402707102</t>
  </si>
  <si>
    <t>siawash23@hotmail.com</t>
  </si>
  <si>
    <t>S-1213</t>
  </si>
  <si>
    <t>Kareem Aida</t>
  </si>
  <si>
    <t xml:space="preserve"> '971507462447</t>
  </si>
  <si>
    <t>kareem.aida@yahoo.com</t>
  </si>
  <si>
    <t>Cafe and Shisha Location Available in JLT</t>
  </si>
  <si>
    <t>Please send me more information about this property. Thank you</t>
  </si>
  <si>
    <t>+971502850075</t>
  </si>
  <si>
    <t>Mudon Arabella Arabella 3</t>
  </si>
  <si>
    <t>S-1393</t>
  </si>
  <si>
    <t>971502850075</t>
  </si>
  <si>
    <t>MOTIVATED SELLER / 3 BR / SINGLE ROW /</t>
  </si>
  <si>
    <t>S-1666</t>
  </si>
  <si>
    <t>Aylar'</t>
  </si>
  <si>
    <t>Filippo cacciapuoti</t>
  </si>
  <si>
    <t>+393318623990</t>
  </si>
  <si>
    <t>filippocacciapuoti@gmail.com</t>
  </si>
  <si>
    <t>Nice Little Restaurant JBR Walk 5* Hotel.</t>
  </si>
  <si>
    <t>Message: Good morning Sir, writing for ask some informations about this restaurants. Can you send me please more pictures to my e-mail and explane me if this restaurant have to pay like taxation 25% at the end of the year because is inside the hotel?</t>
  </si>
  <si>
    <t>R-1317</t>
  </si>
  <si>
    <t>Lenka Randa</t>
  </si>
  <si>
    <t>971558140388</t>
  </si>
  <si>
    <t>lenka.randa@yahoo.com</t>
  </si>
  <si>
    <t>2 Bedrooms Apartment|Park view|The best type| Golden Mile 10.</t>
  </si>
  <si>
    <t>hello, this apr. on GOLDEN MILE 10 is really UNFURNISHED??? I’m looking for GOLDEN MILE apt. for rent with PARK VIEW &amp; UNFURNISHED!!! minimum 2rd floor an UP!!! CONTACT ME IF YOU HAVE SOME APT.</t>
  </si>
  <si>
    <t>R-1221</t>
  </si>
  <si>
    <t xml:space="preserve">Dr. Khurram </t>
  </si>
  <si>
    <t>+971582722328</t>
  </si>
  <si>
    <t>khurramasgher@gmail.com</t>
  </si>
  <si>
    <t>Enquiry:Running Dental Clinic | for Lease | JBR!</t>
  </si>
  <si>
    <t>R-1056</t>
  </si>
  <si>
    <t>jamiel</t>
  </si>
  <si>
    <t>Altaf Shaikh</t>
  </si>
  <si>
    <t>Email: altaf190957@yahoo.com</t>
  </si>
  <si>
    <t>Nice Little Restaurant JBR Walk 5* Hotel</t>
  </si>
  <si>
    <t>Luke Adama</t>
  </si>
  <si>
    <t>+228-797-94172</t>
  </si>
  <si>
    <t>lukeadama@hotmail.com</t>
  </si>
  <si>
    <t>Ready MAG 5 Apartment | 1 Bedroom from Owner</t>
  </si>
  <si>
    <t>HAYTHAM M ABOU TALEB</t>
  </si>
  <si>
    <t>00971505251</t>
  </si>
  <si>
    <t>haytham.aboutaleb@gmail.com</t>
  </si>
  <si>
    <t>Enquiry: 3 BR / Ready to Move Now/ Single Row /Mudon Arabella</t>
  </si>
  <si>
    <t>Henry Noppa</t>
  </si>
  <si>
    <t>+46720231975</t>
  </si>
  <si>
    <t>henrynop@gmail.com</t>
  </si>
  <si>
    <t>Enquiry: Brand new 1BR for QUICK SALE with Burj Khalifa view</t>
  </si>
  <si>
    <t>Rohit'</t>
  </si>
  <si>
    <t>Wael Omar</t>
  </si>
  <si>
    <t>00966550162777.</t>
  </si>
  <si>
    <t>nadoda2@yahoo.com</t>
  </si>
  <si>
    <t>Enquiry: 9% Discount | Best Tower in JBR | Ready Soon</t>
  </si>
  <si>
    <t>S-1599</t>
  </si>
  <si>
    <t>Akash</t>
  </si>
  <si>
    <t>971527981661</t>
  </si>
  <si>
    <t>adlohia@gmail.com</t>
  </si>
  <si>
    <t>Enquiry: your The Best Deal in the Area | Rented | Marina View.</t>
  </si>
  <si>
    <t>Message:  Feb 02 in the afternoon? Thanks</t>
  </si>
  <si>
    <t>00966550162777</t>
  </si>
  <si>
    <t>Nadoda2@yaho.com</t>
  </si>
  <si>
    <t xml:space="preserve"> 9% Discount | Best Tower in JBR | Ready Soon</t>
  </si>
  <si>
    <t>Jonna</t>
  </si>
  <si>
    <t>+971545987383.</t>
  </si>
  <si>
    <t>jonnacurio@gmail.com</t>
  </si>
  <si>
    <t>Cake and Sweet Shop in Deira for Sale</t>
  </si>
  <si>
    <t>R-1177</t>
  </si>
  <si>
    <t>Nigel Byrne</t>
  </si>
  <si>
    <t>97150 9474435</t>
  </si>
  <si>
    <t>nbyrne@optionsgroup.com</t>
  </si>
  <si>
    <t>Enquiry: The Best Deal on Market| Luxury Studio.</t>
  </si>
  <si>
    <t>whats the lowest price your client will take?</t>
  </si>
  <si>
    <t>S-1628</t>
  </si>
  <si>
    <t>971565776840</t>
  </si>
  <si>
    <t>Enquiry: Brand New Bluewaters | Sea and Garden View.</t>
  </si>
  <si>
    <t xml:space="preserve"> Hi, I am interested in seeing this property. My current contract ends at the end of Feb. Does this have a balcony? If yes, I am happy to move in from march and pay 140,000 one check. Looking forward to hearing from you. 056.5776840 Thanks Bruno</t>
  </si>
  <si>
    <t>Good afternoon! We have a running Shisha Cafe Restaurant for Sale located at Karama. Direct from the Owner. For more details, please contact 054 598 7383 or whatsapp 052 338 0663 Thanks and regards Jonna</t>
  </si>
  <si>
    <t>inquiries</t>
  </si>
  <si>
    <t>Dr. Khurram</t>
  </si>
  <si>
    <t xml:space="preserve"> Running Dental Clinic | for Lease | JBR!</t>
  </si>
  <si>
    <t>Message: Hi, I found your property with ref: HSR-R-1056 on propertyfinder. Please contact me VIA EMAIL first. Thank you</t>
  </si>
  <si>
    <t>+17573394149</t>
  </si>
  <si>
    <t>228-797-94172</t>
  </si>
  <si>
    <t>S1688</t>
  </si>
  <si>
    <t>Sara</t>
  </si>
  <si>
    <t>971527887020</t>
  </si>
  <si>
    <t>m.cute1977@gmail.com</t>
  </si>
  <si>
    <t>Please send me additional information about this property. Thank you</t>
  </si>
  <si>
    <t>Lloyd</t>
  </si>
  <si>
    <t>+97155000000</t>
  </si>
  <si>
    <t>loydspace@gmail.com</t>
  </si>
  <si>
    <t>Project: Cherrywoods</t>
  </si>
  <si>
    <t>Message: Hello. Can the price be negotiated and how much will be the best price you can get for me? I am in touch with several agents and interested in Villa project in Dubai. I'm abroad so, my E-mail is: loydspace@gmail.com Thanks,</t>
  </si>
  <si>
    <t>S-1693</t>
  </si>
  <si>
    <t>Mushtaq</t>
  </si>
  <si>
    <t>Ariana</t>
  </si>
  <si>
    <t>+41799168283</t>
  </si>
  <si>
    <t>ariana.jusufi@gmail.com</t>
  </si>
  <si>
    <t>The Address at JBR Beach | Coming in 2020.</t>
  </si>
  <si>
    <t>Message: Hi, I am interested in your article advertising The Address at JBR Beach Coming in 2020 Can I get details about 1 bedroom apartment by email if still available ? Thanks</t>
  </si>
  <si>
    <t>S-1066</t>
  </si>
  <si>
    <t>Fatima</t>
  </si>
  <si>
    <t>Mariko Yuki</t>
  </si>
  <si>
    <t>+971502401983</t>
  </si>
  <si>
    <t>Email: yukimariko@gmail.com</t>
  </si>
  <si>
    <t>From:  Dubizzle</t>
  </si>
  <si>
    <t xml:space="preserve"> Prestigious 1 Bedroom in Tiara Sea view.</t>
  </si>
  <si>
    <t>Message: Dear Sir or Madam I am interested in this apartment at Tiara Residence Ref: HSR-R-1258. If you could contact me to arrange viewing at the soonest, it would be most appreciated. Thank you. Warm regards, Mariko Yuki</t>
  </si>
  <si>
    <t>yukimariko@gmail.com</t>
  </si>
  <si>
    <t>Prestigious 1 Bedroom in Tiara Sea view.</t>
  </si>
  <si>
    <t>Rahul Dhanak</t>
  </si>
  <si>
    <t>+447894940799</t>
  </si>
  <si>
    <t>Email: rdhanak@yahoo.com</t>
  </si>
  <si>
    <t>Message:Can you send me more photos and information kindly.</t>
  </si>
  <si>
    <t xml:space="preserve"> ALAA SALHA</t>
  </si>
  <si>
    <t>00971525158694</t>
  </si>
  <si>
    <t>alaasalha0@gmail.com</t>
  </si>
  <si>
    <t>Enquiry: Huge 2 BR + Maidsroom in Executive Bay.</t>
  </si>
  <si>
    <t>Message: Hi, I saw your ad on dubizzle. Is it available for viewing Tomorrow, Feb 08 in the Morning? Thanks.</t>
  </si>
  <si>
    <t>S-1568</t>
  </si>
  <si>
    <t>Admin</t>
  </si>
  <si>
    <t>Gonzalez</t>
  </si>
  <si>
    <t xml:space="preserve"> +33662327142</t>
  </si>
  <si>
    <t>isabelchanel@icloud.com</t>
  </si>
  <si>
    <t>Running fish and casual dining restaurant Dubai Marina</t>
  </si>
  <si>
    <t>BEN HADJ</t>
  </si>
  <si>
    <t>+971585713232</t>
  </si>
  <si>
    <t>aabilbenhadj@gmail.com</t>
  </si>
  <si>
    <t>Cheapest Last Unit 2 Br Villa SERENA | 5% Booking...</t>
  </si>
  <si>
    <t>Mr or Mrs Roberts Lockhart</t>
  </si>
  <si>
    <t>roberts.lockhart@aol.com</t>
  </si>
  <si>
    <t>Bluewaters</t>
  </si>
  <si>
    <t>S-1647</t>
  </si>
  <si>
    <t>Kholoud</t>
  </si>
  <si>
    <t>+971503415893</t>
  </si>
  <si>
    <t>kholoudzak@hotmail.com</t>
  </si>
  <si>
    <t>brand new 1BR with Burj Khalifa and Canal view in Business Bay</t>
  </si>
  <si>
    <t>please send me more information about this property. Thank you</t>
  </si>
  <si>
    <t>R-1333</t>
  </si>
  <si>
    <t>Rohit</t>
  </si>
  <si>
    <t>BAYE Hugues</t>
  </si>
  <si>
    <t>+33768818448</t>
  </si>
  <si>
    <t xml:space="preserve"> bayehugues@gmail.com</t>
  </si>
  <si>
    <t>Town Square Safi</t>
  </si>
  <si>
    <t>S-1710</t>
  </si>
  <si>
    <t>Magued Sidhom</t>
  </si>
  <si>
    <t>97150272201</t>
  </si>
  <si>
    <t>magued.sidhom@gmail.com</t>
  </si>
  <si>
    <t>Franchise Restaurant | Business For Sale.</t>
  </si>
  <si>
    <t>we are a multinational restaurant with 5 branches in Dubai and looking for a good location in JLT with lots of foot fall within a cluster that has lots of business.</t>
  </si>
  <si>
    <t>S1192</t>
  </si>
  <si>
    <t>ALAA SALHA</t>
  </si>
  <si>
    <t>+971525158694</t>
  </si>
  <si>
    <t>Propspace</t>
  </si>
  <si>
    <t>Arabian Ranches</t>
  </si>
  <si>
    <t>Message: 4_beds</t>
  </si>
  <si>
    <t>L-2035</t>
  </si>
  <si>
    <t>Jessica</t>
  </si>
  <si>
    <t>Tomas</t>
  </si>
  <si>
    <t>+421948319839</t>
  </si>
  <si>
    <t>tmblava@gmail.com</t>
  </si>
  <si>
    <t>Enquiry: Fully furnished |Stunning sea view|New</t>
  </si>
  <si>
    <t>R-1337</t>
  </si>
  <si>
    <t>Alexandra</t>
  </si>
  <si>
    <t>Mobile: +971588519291.</t>
  </si>
  <si>
    <t>Email: alexandrafelicity@hotmail.co.uk</t>
  </si>
  <si>
    <t>Martynas Grigas</t>
  </si>
  <si>
    <t>Mobile: +37067440315</t>
  </si>
  <si>
    <t>Email: martynas.grigas@me.com</t>
  </si>
  <si>
    <t>Enquiry: Distress Sale Brand New Studio in Downtown</t>
  </si>
  <si>
    <t>rohit</t>
  </si>
  <si>
    <t>Joanna Toigo</t>
  </si>
  <si>
    <t>Mobile:  0561752081</t>
  </si>
  <si>
    <t>Email: joanna.toigo@gmail.com</t>
  </si>
  <si>
    <t>Enquiry: Sea View Beach Assess Vacant on December.</t>
  </si>
  <si>
    <t>Message: Is it available for viewing Today, Feb 11 in the Evening? Thanks</t>
  </si>
  <si>
    <t>R-1297</t>
  </si>
  <si>
    <t xml:space="preserve"> Paul Phillips</t>
  </si>
  <si>
    <t>Mobile: 971503428572</t>
  </si>
  <si>
    <t>Email: paulp74@gmail.com</t>
  </si>
  <si>
    <t>Enquiry: Beach Access| Well maintained| Vacant.</t>
  </si>
  <si>
    <t>Alex</t>
  </si>
  <si>
    <t>Mobile: +34680852208</t>
  </si>
  <si>
    <t>Email: alexlatinoamerica2@hotmaoil.com</t>
  </si>
  <si>
    <t>Enquiry:</t>
  </si>
  <si>
    <t>Lea Maalouli</t>
  </si>
  <si>
    <t>+97155451596</t>
  </si>
  <si>
    <t xml:space="preserve"> Leamaalouli@gmail.com</t>
  </si>
  <si>
    <t>bayut</t>
  </si>
  <si>
    <t xml:space="preserve">Executive bay </t>
  </si>
  <si>
    <t>admin</t>
  </si>
  <si>
    <t>Leamaalouli@gmail.com</t>
  </si>
  <si>
    <t>propspace</t>
  </si>
  <si>
    <t>Henry George</t>
  </si>
  <si>
    <t>0566289764</t>
  </si>
  <si>
    <t>henrygeorge@hotmail.co.uk</t>
  </si>
  <si>
    <t>Fully furnished |Stunning sea view|New.</t>
  </si>
  <si>
    <t>please contact me to arrange viewing HSR-R-1337</t>
  </si>
  <si>
    <t>Alia</t>
  </si>
  <si>
    <t>Phone: 971-552-884149</t>
  </si>
  <si>
    <t>aliakorayem@gmail.com</t>
  </si>
  <si>
    <t>2BR Apartment Burj Vista T1</t>
  </si>
  <si>
    <t>IP Location: United Arab Emirates</t>
  </si>
  <si>
    <t>R-1323</t>
  </si>
  <si>
    <t>aysel</t>
  </si>
  <si>
    <t>Mobile: 0556330642</t>
  </si>
  <si>
    <t>smilingsady157@hitmail.com</t>
  </si>
  <si>
    <t>Beach Access| Well maintained| Vacant.</t>
  </si>
  <si>
    <t>Message: Hi, I saw your ad on dubizzle. Is it available for viewing on Feb 18 in the afternoon? Thanks</t>
  </si>
  <si>
    <t>Priyanka Hemnani</t>
  </si>
  <si>
    <t>Mobile: +918182818291</t>
  </si>
  <si>
    <t>Priyankahemnani@gmail.com</t>
  </si>
  <si>
    <t>From: Propertyfrinder</t>
  </si>
  <si>
    <t>Enquiry: Well Known Restaurant in Prime of Marina</t>
  </si>
  <si>
    <t>Riza Rustemi</t>
  </si>
  <si>
    <t>+41763748630</t>
  </si>
  <si>
    <t>riza.rustemi@hotmail.com</t>
  </si>
  <si>
    <t>Mr. اشرف الكاشف</t>
  </si>
  <si>
    <t>ashraf777666@gmail.com</t>
  </si>
  <si>
    <t>Name: AMIT ANANDNAI</t>
  </si>
  <si>
    <t>Mobile: +971528038036.</t>
  </si>
  <si>
    <t>dr.amit.anandani@uaechildren.com</t>
  </si>
  <si>
    <t>Enquiry: Ready Massage Therapy Clinic -DHA Licence</t>
  </si>
  <si>
    <t>Name: Hanna M Ahmed</t>
  </si>
  <si>
    <t>Telephone: +971504227826</t>
  </si>
  <si>
    <t>hana.mudy@gmail.com</t>
  </si>
  <si>
    <t>Message: Marhaba! I saw your ad with property reference number:HSR-R-1316 on dubizzle. When is it available for viewing? Thanks which bldg and marina walk is this situated.. is this the Damac waves bldg? WhatsApp only not call</t>
  </si>
  <si>
    <t>Ref No: HSR-R-1316</t>
  </si>
  <si>
    <t>Name: thh Ttt</t>
  </si>
  <si>
    <t>Telephone: +971508438390</t>
  </si>
  <si>
    <t>mashoorgroup3@gmail.com</t>
  </si>
  <si>
    <t>Message: Hi Dear, This is Tahera. We are a Dubai based professional Interior company.</t>
  </si>
  <si>
    <t>Ref No: HSR-R-1254</t>
  </si>
  <si>
    <t>Name: Yasin</t>
  </si>
  <si>
    <t>Mobile: +923000000000</t>
  </si>
  <si>
    <t>yasin@tav.com.pk</t>
  </si>
  <si>
    <t>Message: Please email further details for blvd point facing Burj and fountains. Please email. Thank you.</t>
  </si>
  <si>
    <t>Rare unit High floor with burj &amp; fountain view</t>
  </si>
  <si>
    <t>HSR-S-1577</t>
  </si>
  <si>
    <t>Ali mirza</t>
  </si>
  <si>
    <t>Telephone: 0552598941</t>
  </si>
  <si>
    <t>ogunpejumodupe17@gmail.com</t>
  </si>
  <si>
    <t>Profitable Restaurant in Deira | Must Sell this Week.</t>
  </si>
  <si>
    <t>Ref No: HSR-S-1178</t>
  </si>
  <si>
    <t>Telephone: +33640490060</t>
  </si>
  <si>
    <t>amandaseguin86@gmail.com</t>
  </si>
  <si>
    <t>Dubbizle</t>
  </si>
  <si>
    <t>Ref No: HSR-S-1275</t>
  </si>
  <si>
    <t>Name: Daniel Marinho</t>
  </si>
  <si>
    <t>Telephone: 912478141</t>
  </si>
  <si>
    <t>taxista4600@gmail.com</t>
  </si>
  <si>
    <t>Message: ola sou portugues (portugal).[url removed] restaurante ja montado e a funcionar no dubai informaram me que a vossa imobiliaria se dedica a restaurantes e cafes .[url removed] aguardar as vossas propostas .[url removed] ja</t>
  </si>
  <si>
    <t>Ref No: HSR-S-1213</t>
  </si>
  <si>
    <t>name: Collin</t>
  </si>
  <si>
    <t>mobile: 0543004797</t>
  </si>
  <si>
    <t>Collinb32@yahoo.co.uk</t>
  </si>
  <si>
    <t>-R-1317</t>
  </si>
  <si>
    <t>Name: Kenneth Payne</t>
  </si>
  <si>
    <t>Phone: +965-504-26384</t>
  </si>
  <si>
    <t>kennethpayne@hotmail.com</t>
  </si>
  <si>
    <t>IP Location: Kuwait</t>
  </si>
  <si>
    <t>discovery garden</t>
  </si>
  <si>
    <t>N/a</t>
  </si>
  <si>
    <t>Name: shawn</t>
  </si>
  <si>
    <t>Mobile: +13102996417.</t>
  </si>
  <si>
    <t>shawnalambeigi@yahoo.com</t>
  </si>
  <si>
    <t>Enquiry: Cozy Restaurant with Shisha on Marina Walk</t>
  </si>
  <si>
    <t xml:space="preserve"> HSR-R-1316 </t>
  </si>
  <si>
    <t>Name: rachid boudrai</t>
  </si>
  <si>
    <t>Mobile: 0504953141</t>
  </si>
  <si>
    <t>rachidboudrai@hotmail.com</t>
  </si>
  <si>
    <t>Enquiry: 100% Dld Fee Waiver -75% in 5 Years Post Handover Payment Plan 3 Br Villa Start.</t>
  </si>
  <si>
    <t>Message: Hi, I saw your ad on dubizzle.Is it available for viewing on Feb 28 in the morning? Thanks</t>
  </si>
  <si>
    <t>waqs</t>
  </si>
  <si>
    <t>Aman</t>
  </si>
  <si>
    <t>Amanwaziri1977@gmail.com</t>
  </si>
  <si>
    <t>Hello, I found your property on justproperty.com. Please send me more information about this property. Thank you</t>
  </si>
  <si>
    <t>Ref: HSR-R-1263</t>
  </si>
  <si>
    <t>n/a</t>
  </si>
  <si>
    <t>Telephone: +971567651612</t>
  </si>
  <si>
    <t>induharikumar7185@gmail.com</t>
  </si>
  <si>
    <t>Message: Hi, I saw your ad on dubizzle. Is it available for viewing on Mar 1 in the afternoon? Thanks</t>
  </si>
  <si>
    <t>Ref No: HSR-R-1054</t>
  </si>
  <si>
    <t>Name: TEKIN Cem</t>
  </si>
  <si>
    <t>Mobile: 0033677490274.</t>
  </si>
  <si>
    <t>cem.oxford@gmail.com</t>
  </si>
  <si>
    <t>Enquiry: Nice Little Restaurant JBR Walk 5* Hotel</t>
  </si>
  <si>
    <t>Telephone: +971507395039</t>
  </si>
  <si>
    <t>axanovaagency@gmail.com</t>
  </si>
  <si>
    <t>Message: Hi. Is it already restaurant? Could you please send me photos fron the interior and exterior. Just to have idea. I'm interested to rent it</t>
  </si>
  <si>
    <t>Name: Hayat</t>
  </si>
  <si>
    <t>Mobile: 971502929881.</t>
  </si>
  <si>
    <t>Salameh_h85@hotmail.com</t>
  </si>
  <si>
    <t>S-1723</t>
  </si>
  <si>
    <t>Name: DR. OMAR AL-MUKHTAR</t>
  </si>
  <si>
    <t>Mobile: +218612240601</t>
  </si>
  <si>
    <t>omaralmukhtar11@gmail.com</t>
  </si>
  <si>
    <t>Enquiry: I am looking to buyI am looking to buy</t>
  </si>
  <si>
    <t>message: Dear Sir, Please contact me with more details to discuss the possible purchase of your properties! Thanks and best regards Dr. AL-Mukhtar</t>
  </si>
  <si>
    <t>N?A</t>
  </si>
  <si>
    <t>Name: Golnaz</t>
  </si>
  <si>
    <t>Mobile: 00989123448043.</t>
  </si>
  <si>
    <t>Golinouri707@gmail.com</t>
  </si>
  <si>
    <t>Enquiry:Apartment for Sale in Bluewaters Residences, Bluewaters</t>
  </si>
  <si>
    <t>Shabab calling or emailing on:</t>
  </si>
  <si>
    <t>Mobile: 971554206262.</t>
  </si>
  <si>
    <t>Yukickmydog@gmail.com</t>
  </si>
  <si>
    <t>Enquiry:Arabic Resturant on JBR Walk for sale</t>
  </si>
  <si>
    <t>HSR-R-1343</t>
  </si>
  <si>
    <t>Name: Alessandro</t>
  </si>
  <si>
    <t>Eamil: alessandro@ep-cfm.com</t>
  </si>
  <si>
    <t>Mobile: +971522015897.</t>
  </si>
  <si>
    <t>Message: Please can you share an official quotation by SQFT. Regards</t>
  </si>
  <si>
    <t>Email: Golinouri707@gmail.com</t>
  </si>
  <si>
    <t>Mobile: 00989123448043</t>
  </si>
  <si>
    <t>Enquiry: Bluewaters</t>
  </si>
  <si>
    <t>Message: Please contact me. Thank you.</t>
  </si>
  <si>
    <t>Name: Shabab</t>
  </si>
  <si>
    <t>Email: Yukickmydog@gmail.com</t>
  </si>
  <si>
    <t>Enquiry: Arabic Restaurant for Sale wth Grill on JBR Walk</t>
  </si>
  <si>
    <t>message: Please contact me. Thank you.</t>
  </si>
  <si>
    <t>Ref No: HSR-R-1229</t>
  </si>
  <si>
    <t>Name: sunny</t>
  </si>
  <si>
    <t>Email: g.s.saikumar20@gmail.com</t>
  </si>
  <si>
    <t>Telephone: +61401758764</t>
  </si>
  <si>
    <t>Shell Core Showroom in Umm Suqeim Road.</t>
  </si>
  <si>
    <t>Message: Hi here am sunny from Sydney Australia. We looking for a grand property in UAE for Supermarket. between 3000 carpet to 7000 in the good locality if its any Mall or Individuals location and individual properties Best Sunny +61401758764 text on what apps</t>
  </si>
  <si>
    <t>E-mail: alessandro@ep-cfm.com</t>
  </si>
  <si>
    <t>HSR-R-1316</t>
  </si>
  <si>
    <t>Email: ayanoopyadav@gmail.com</t>
  </si>
  <si>
    <t>Telephone: +919958189182</t>
  </si>
  <si>
    <t>Enquiry: Cafe and Shisha Location Available in JLT.</t>
  </si>
  <si>
    <t>Message: Marhaba! I saw your ad on dubizzle. When is it available for viewing? Thanks.</t>
  </si>
  <si>
    <t>Ref No: HSR-R-1085</t>
  </si>
  <si>
    <t>Name: henry noppa</t>
  </si>
  <si>
    <t>Email: henrynop@gmail.com</t>
  </si>
  <si>
    <t>Mobile: +46720231975</t>
  </si>
  <si>
    <t>Enquiry: Damac Towers by Paramount</t>
  </si>
  <si>
    <t>HSR-S-1723</t>
  </si>
  <si>
    <t>Name:Christian Nelson Mateo</t>
  </si>
  <si>
    <t>Email: christnelsonmateo@gmail.com</t>
  </si>
  <si>
    <t>Mobile: +18456758436</t>
  </si>
  <si>
    <t>Enquiry:2 bedrooms with full fountain view in Burj Khalifa...</t>
  </si>
  <si>
    <t>S-1727</t>
  </si>
  <si>
    <t>Name: Mehmeti</t>
  </si>
  <si>
    <t>Email: mmt.sanitaire@gmail.com</t>
  </si>
  <si>
    <t>Mobile: +41792730141</t>
  </si>
  <si>
    <t>Enquiry: 5 beds contemporary independent villa, District on...</t>
  </si>
  <si>
    <t>Message: Bonjour, Est-ce que je pourrais avoir des renseignements concernant le prêt du crédit pour la maison étant donner que je vis en suisse et que</t>
  </si>
  <si>
    <t>S--1662</t>
  </si>
  <si>
    <t>Name: Mohamed</t>
  </si>
  <si>
    <t>Email: donguzman224@gmail.com</t>
  </si>
  <si>
    <t>Mobile: +212706475498</t>
  </si>
  <si>
    <t>Enquiry:2beds apartment with golf and canal view in Golf T</t>
  </si>
  <si>
    <t>Message: Bonjour, Je souhaite être recontacté. Merci</t>
  </si>
  <si>
    <t>S-1685</t>
  </si>
  <si>
    <t>Name: John Paul</t>
  </si>
  <si>
    <t>Email: paul.john21@outlook.com</t>
  </si>
  <si>
    <t>Mobile:</t>
  </si>
  <si>
    <t>Enquiry: Act-one Act-two</t>
  </si>
  <si>
    <t>Message: Hello, I am John Paul. I am interested in your property. Kindly get back to me via mail so we can discuss on the modalities involved. Thank you</t>
  </si>
  <si>
    <t>fahad</t>
  </si>
  <si>
    <t>Name: Chibani</t>
  </si>
  <si>
    <t>Email: justinesammy@yahoo.fr</t>
  </si>
  <si>
    <t>Mobile: +33609093625</t>
  </si>
  <si>
    <t>Enquiry: Marina Diamond 5</t>
  </si>
  <si>
    <t>Name: Meryem</t>
  </si>
  <si>
    <t>Email: Meryem.aazz@gmail.com</t>
  </si>
  <si>
    <t>Mobile: +971562625232</t>
  </si>
  <si>
    <t>Enquiry: Brand New Showroom |Shell and Core in Umm Suqeim</t>
  </si>
  <si>
    <t>R-1167</t>
  </si>
  <si>
    <t>Fahad Admin</t>
  </si>
  <si>
    <t>Name: Suyash Saraf</t>
  </si>
  <si>
    <t>Email: suyash@ymail.com</t>
  </si>
  <si>
    <t>Phone: 971-502-435171</t>
  </si>
  <si>
    <t>Enquiry: Se7en City, Jumeirah Lake Towers (JLT), Dubai</t>
  </si>
  <si>
    <t>S-1750</t>
  </si>
  <si>
    <t>Name: Abrez Dossa</t>
  </si>
  <si>
    <t>Email: muffassa@gmail.com</t>
  </si>
  <si>
    <t>Mobile: 0506255016.</t>
  </si>
  <si>
    <t>Enquiry:Retail Space for Rent | Open Your Business</t>
  </si>
  <si>
    <t>R-1339</t>
  </si>
  <si>
    <t>Name: Frank Abdoelhafiezkhan</t>
  </si>
  <si>
    <t>Email: frank_abdoel@hotmail.com</t>
  </si>
  <si>
    <t>Mobile: +31681753914.</t>
  </si>
  <si>
    <t>Enquiry: Shop for Sale in Al Khabisi, Deira</t>
  </si>
  <si>
    <t>Message: Hi, I found your property with ref: HSR-S-1177 on propertyfinder. Is it allowed for foreigners to buy shops in deira en in Meena Bazaar. Is it allowed for foreigners to buy shops in deira en in Meena Bazaar. What extra costs will be charged? I am interested in commercial estate,</t>
  </si>
  <si>
    <t>Name: Toni Alcazar</t>
  </si>
  <si>
    <t>Email: toni.alcazar@kulzer-dental.com</t>
  </si>
  <si>
    <t>Phone: 050-537-0888</t>
  </si>
  <si>
    <t>Enquiry: One Lake Plaza, Jumeirah Lake Towers (JLT), Dubai</t>
  </si>
  <si>
    <t>Name: Srd Kuntucky</t>
  </si>
  <si>
    <t>Email: habbiche@gmail.com</t>
  </si>
  <si>
    <t>Mobile: +213557643316.</t>
  </si>
  <si>
    <t>Name: Lauren macliver</t>
  </si>
  <si>
    <t>Email: Lauren.macliver@hotmail.co.uk</t>
  </si>
  <si>
    <t>Mobile: +971528614787</t>
  </si>
  <si>
    <t>Avail April 1st | Best Marina View | Free AC</t>
  </si>
  <si>
    <t>Name: Kinga</t>
  </si>
  <si>
    <t>Email: Kinga@kowale.net</t>
  </si>
  <si>
    <t>Mobile: +971544490852</t>
  </si>
  <si>
    <t>Enquiry: Avail April 1st | Best Marina View | Free AC</t>
  </si>
  <si>
    <t>Name: Mohamed Basiouni</t>
  </si>
  <si>
    <t>Email: mido_sal7_2011@yahoo.com</t>
  </si>
  <si>
    <t>Telephone: +971563071661</t>
  </si>
  <si>
    <t>Enquiry:Nice Little Restaurant JBR Walk 5* Hotel.</t>
  </si>
  <si>
    <t>Message: Hi, I saw your ad on dubizzle. Is it available for viewing Today,</t>
  </si>
  <si>
    <t>E-mail: omaralmukhtar11@gmail.com</t>
  </si>
  <si>
    <t>Enquiry: I am looking to buy</t>
  </si>
  <si>
    <t>Message: Dear Sir, Please contact me with more details to discuss the possible purchase of your properties! I need 4BR + 7BR houses Thanks and best regards Dr. AL-Mukhtar</t>
  </si>
  <si>
    <t>Name: Martynas Grigas</t>
  </si>
  <si>
    <t>Mobile: +37067440315.</t>
  </si>
  <si>
    <t>Enquiry: Motivated Seller 1 Bedroom Downtown Views</t>
  </si>
  <si>
    <t>Name: Lord Paul</t>
  </si>
  <si>
    <t>Email: paul@jjtactical-gov.co</t>
  </si>
  <si>
    <t>Telephone: +254 733449258</t>
  </si>
  <si>
    <t>Enquiry: Apartment on the Beach of Jumeirah. Close to Ain Dubai and Palm Jumeirah.</t>
  </si>
  <si>
    <t>Message: I would like more info on the 3 bedroom apartment as above.</t>
  </si>
  <si>
    <t>Fahad</t>
  </si>
  <si>
    <t>Name: farook</t>
  </si>
  <si>
    <t>Email: sfarooka2@gmail.com</t>
  </si>
  <si>
    <t>Telephone: 9677160264</t>
  </si>
  <si>
    <t>Enquiry: Cake and Sweet Shop in Deira for Sale!!!.</t>
  </si>
  <si>
    <t>R-1079</t>
  </si>
  <si>
    <t>Name: Razaq Jadgal</t>
  </si>
  <si>
    <t>Email: razaq@arctic.com</t>
  </si>
  <si>
    <t>Telephone: +4799108884</t>
  </si>
  <si>
    <t>Enquiry: Best Deal | Best Apartment in Blue Waters | Great Chance.</t>
  </si>
  <si>
    <t>Message: Hi, can you please send me more details on this apartment. in addition to the plans etc I also need to know who is selling and who is financing the 80% which are payable over 5 years.</t>
  </si>
  <si>
    <t>Ref No: HSR-S-1760</t>
  </si>
  <si>
    <t>Name: Bernard Adolphe Aguera</t>
  </si>
  <si>
    <t>davaalmo650@hotmail.com</t>
  </si>
  <si>
    <t>Mobile: +34 609379936.</t>
  </si>
  <si>
    <t>Enquiry: Jumeirah Bay Island, the Bulgari Residences</t>
  </si>
  <si>
    <t>fahad h</t>
  </si>
  <si>
    <t>Rahmy</t>
  </si>
  <si>
    <t>Telephone: +971566826057</t>
  </si>
  <si>
    <t>rahmy.morcos@gmail.com</t>
  </si>
  <si>
    <t>Dubizzle:</t>
  </si>
  <si>
    <t>Enquiry: Cafe and Shisha Location Available in JLT. JLT with an area of 3,000 SQ/FT Regards, Rahmy Morcos 0566826057</t>
  </si>
  <si>
    <t>Message: To whom it may concern, please share floor plan for this property and advise if it can obtain a license for shisha I am looking for a cafe location in Cluster M,</t>
  </si>
  <si>
    <t>HSR-R-1085</t>
  </si>
  <si>
    <t>Shahid Mehmood</t>
  </si>
  <si>
    <t>Mobile: +971527974332</t>
  </si>
  <si>
    <t>sm7184611@gmail.com</t>
  </si>
  <si>
    <t>Enquiry: Indian Restaurant Business for Sale Deira</t>
  </si>
  <si>
    <t>mayumi</t>
  </si>
  <si>
    <t>Phone: 201-008-483118</t>
  </si>
  <si>
    <t>mayumikawaai@gmail.com</t>
  </si>
  <si>
    <t>Enquiry: Restuarant in Dubai Marina close to Yacht Club</t>
  </si>
  <si>
    <t>HSR-R-1350</t>
  </si>
  <si>
    <t>Hitendra bhandari</t>
  </si>
  <si>
    <t>Mobile: +971509028657</t>
  </si>
  <si>
    <t>Hitendra_bhandari@yahoo.com</t>
  </si>
  <si>
    <t>Message: Hello, I have a 2BHK apartment at MAG5, building 540, Flat 314 that I want to give in rent. could you please help to rent it. Thanks, Hitendra</t>
  </si>
  <si>
    <t>Nikhil kr Singh</t>
  </si>
  <si>
    <t>nikhil.077.singh@gmail.com</t>
  </si>
  <si>
    <t>+971-586-538644</t>
  </si>
  <si>
    <t>Message: I am looking for Properties for sale in Jumeirah Lake Towers (JLT), Dubai,  UAE. Please let me know about any suitable properties you have. Thank you.</t>
  </si>
  <si>
    <t>fahad haq</t>
  </si>
  <si>
    <t>Edyta.almulla@vp.pl</t>
  </si>
  <si>
    <t>00971504865711</t>
  </si>
  <si>
    <t>Residential Freehold Land | B+G+11 | Culture Village.</t>
  </si>
  <si>
    <t>dubreuilsteph@gmail.com</t>
  </si>
  <si>
    <t>97191527075208</t>
  </si>
  <si>
    <t>TAKAHIRO MOGI</t>
  </si>
  <si>
    <t>yonex0502@yahoo.co.jp</t>
  </si>
  <si>
    <t>+971521670429</t>
  </si>
  <si>
    <t>Restaurant with alcohol License in JLT.</t>
  </si>
  <si>
    <t>Message: Hello this is Mogi Japanese restaurant director in Dubai. I’m interesting this place. Could you contact me and I wanna view the this place.</t>
  </si>
  <si>
    <t>Ref No: HSR-R-1349</t>
  </si>
  <si>
    <t xml:space="preserve"> Deepa Sawlani</t>
  </si>
  <si>
    <t>deepa.sawlani@gmail.com</t>
  </si>
  <si>
    <t>+971505585981</t>
  </si>
  <si>
    <t>Hello we would like to view the Al Seef 3BR on Monday.</t>
  </si>
  <si>
    <t>JAWAID</t>
  </si>
  <si>
    <t>Jawaid@mail.com</t>
  </si>
  <si>
    <t>+44 7830134121</t>
  </si>
  <si>
    <t>Distress Sale Brand New Studio in Downtown</t>
  </si>
  <si>
    <t>Chirag Raghuwansi</t>
  </si>
  <si>
    <t>chirag.r@live.com</t>
  </si>
  <si>
    <t>+971557661986</t>
  </si>
  <si>
    <t>Apartment on the Beach of Jumeirah.</t>
  </si>
  <si>
    <t>Is it available for viewing Tomorrow, Mar 24 in the afternoon? Thanks</t>
  </si>
  <si>
    <t>Ref No: HSR-S-1334</t>
  </si>
  <si>
    <t>fahad Haq</t>
  </si>
  <si>
    <t>Owner Seller</t>
  </si>
  <si>
    <t>greenhousesharjah@gmail.com</t>
  </si>
  <si>
    <t>971508794905</t>
  </si>
  <si>
    <t>Philipinno Restaurant for Sale in Sharjah.</t>
  </si>
  <si>
    <t>Message: Dear sir We have restaurant for sale pls call me for details 055 7451180 ready to pay commission .</t>
  </si>
  <si>
    <t>Ref No: HSR-S-1182</t>
  </si>
  <si>
    <t>Farook</t>
  </si>
  <si>
    <t>sfarooka2@gmail.com</t>
  </si>
  <si>
    <t>+9677160264</t>
  </si>
  <si>
    <t>Enquiry:Restaurant Sharjah | 30k Month Profit.</t>
  </si>
  <si>
    <t>Message:When is it available for viewing? Thanks</t>
  </si>
  <si>
    <t>Ref No: HSR-R-1083</t>
  </si>
  <si>
    <t>Mayumi</t>
  </si>
  <si>
    <t>+201008483118</t>
  </si>
  <si>
    <t>Restuarant in Sheik Zayeed Best Business.</t>
  </si>
  <si>
    <t>Message: Hello,is this place alcohol licensed by any chance?</t>
  </si>
  <si>
    <t>Ref No: HSR-R-1351</t>
  </si>
  <si>
    <t>kausar</t>
  </si>
  <si>
    <t>kausarsadiq1986@gmail.com</t>
  </si>
  <si>
    <t>971561039660</t>
  </si>
  <si>
    <t>Enquiry: Beachfront |1 Bedroom La Mer By Meraas</t>
  </si>
  <si>
    <t>Mr. Baridi</t>
  </si>
  <si>
    <t>bridijaber@yahoo.com</t>
  </si>
  <si>
    <t>PropertyWifi</t>
  </si>
  <si>
    <t>Inquiry: Looking for rent</t>
  </si>
  <si>
    <t>Mehul</t>
  </si>
  <si>
    <t>mehul@servehrindia.com</t>
  </si>
  <si>
    <t>+919892188218</t>
  </si>
  <si>
    <t>Hi, I found your property with ref: HSR-S-1723 on propertyfinder. This studio is located in which tower ?</t>
  </si>
  <si>
    <t xml:space="preserve">Exclusive for Sale: * Damac Towers by Paramount * Location: Business Bay Burj Khalifa *... Reference
</t>
  </si>
  <si>
    <t>: HSR-S-1723</t>
  </si>
  <si>
    <t>Hamed Hakima</t>
  </si>
  <si>
    <t>hamed.hakima@gmail.com</t>
  </si>
  <si>
    <t>+989121767173</t>
  </si>
  <si>
    <t>Message: 2bedrooms apartment in the exclusive Island of Port La Mer</t>
  </si>
  <si>
    <t>jessica</t>
  </si>
  <si>
    <t>Gyorgy Szollosi</t>
  </si>
  <si>
    <t>Email: gyorgy.szollosi@me.com</t>
  </si>
  <si>
    <t>+36702189999</t>
  </si>
  <si>
    <t>Enquiry: Apartment on the Beach of Jumeirah.</t>
  </si>
  <si>
    <t>Close to Ain Dubai and Palm Jumeirah.</t>
  </si>
  <si>
    <t>Message: Dear Sir / Madam, I am interested in to buy apartments in the Emaar Beachfront complex.</t>
  </si>
  <si>
    <t>Could you please send me offers for 1 or 2 bedrooms seaview apartments with pricing schedule. [url removed] [url removed] Looking forward to read your answer soon. Kind regards, Gyorgy</t>
  </si>
  <si>
    <t>Syed Asif Hussain</t>
  </si>
  <si>
    <t>sazr3@yahoo.com</t>
  </si>
  <si>
    <t>00971565461375</t>
  </si>
  <si>
    <t>Kindly let me know more details</t>
  </si>
  <si>
    <t>Name: Laura Brannigan</t>
  </si>
  <si>
    <t>Email: brannigan_99@hotmail.com</t>
  </si>
  <si>
    <t>Phone: +971-555-895623</t>
  </si>
  <si>
    <t>Message: I am seeking a THL property - preferably backing onto the park. Serious buyer so please email me with suitable available. Thanks.</t>
  </si>
  <si>
    <t>Name: Pranav</t>
  </si>
  <si>
    <t>Email: p.arora8919@gmail.com</t>
  </si>
  <si>
    <t>Telephone: 971507263487</t>
  </si>
  <si>
    <t>semria hussein</t>
  </si>
  <si>
    <t>Telephone: +971555826931</t>
  </si>
  <si>
    <t>Preferred time to receive call: Anytime</t>
  </si>
  <si>
    <t xml:space="preserve">Inquiry: Cozy Restaurant with Shisha on Marina Walk </t>
  </si>
  <si>
    <t>To: shane@hsproperty.ae</t>
  </si>
  <si>
    <t>Miss Lonah</t>
  </si>
  <si>
    <t>nyamoitalonah@yahoo.com</t>
  </si>
  <si>
    <t>Property Wifi</t>
  </si>
  <si>
    <t xml:space="preserve">Message: If possible, please provide me with the following information:Payment details, Security , Gym and pool, Public transport and Applicable fees.			
Please Reply any day, Reply any time by Email.			</t>
  </si>
  <si>
    <t>Inquiry:Looking to Rent (Studio)</t>
  </si>
  <si>
    <t>Mrs. Mary</t>
  </si>
  <si>
    <t>airamdas422@gmail.com</t>
  </si>
  <si>
    <t>Inquiry :Looking to Rent • Sharjah</t>
  </si>
  <si>
    <t xml:space="preserve"> Amol Dube</t>
  </si>
  <si>
    <t>dubeamol@gmail.com</t>
  </si>
  <si>
    <t>Message: Hi, I saw your ad on dubizzle. Is it available for viewing Today, Apr 02 in the Morning? Thanks.</t>
  </si>
  <si>
    <t>Inquiry: Ref No: HSR-R-1238</t>
  </si>
  <si>
    <t>Mr. Tee</t>
  </si>
  <si>
    <t>toskky411@gmail.com</t>
  </si>
  <si>
    <t>971551406422</t>
  </si>
  <si>
    <t>Inquiry: I am looking to rent Message: I’m looking for a 3 bedroom apartment in marina or jbr</t>
  </si>
  <si>
    <t>Tommy</t>
  </si>
  <si>
    <t>Name: wissam tawil</t>
  </si>
  <si>
    <t>wissamtawil00@gmail.com</t>
  </si>
  <si>
    <t>(055) 1394515</t>
  </si>
  <si>
    <t>Message: request more information on this project</t>
  </si>
  <si>
    <t>Inquiry: Ref No: HSR-S-1236</t>
  </si>
  <si>
    <t>Name; Mahmoud</t>
  </si>
  <si>
    <t>abeer_elmoussa@hotmail.com</t>
  </si>
  <si>
    <t>971505825642.</t>
  </si>
  <si>
    <t>Restuarant in Dubai Marina close to Yacht Club</t>
  </si>
  <si>
    <t>Name: Ali</t>
  </si>
  <si>
    <t>yazzbeck@yahoo.com</t>
  </si>
  <si>
    <t>971552987403</t>
  </si>
  <si>
    <t>Inquiry: Buy UR Own Studio Apartment In JLT and Pay 1% Per Month Call Now.</t>
  </si>
  <si>
    <t>Message: Greetings, I would like to have more information on this ad.</t>
  </si>
  <si>
    <t>Ref No: HSR-S-1749</t>
  </si>
  <si>
    <t>Amol Dube</t>
  </si>
  <si>
    <t>+971555886699</t>
  </si>
  <si>
    <t>Inquiry: Running Beauty Salon on Jumeirah Beach For Sale.</t>
  </si>
  <si>
    <t>Ref No: HSR-R-1238</t>
  </si>
  <si>
    <t>Julien</t>
  </si>
  <si>
    <t>julien@noneed.fr</t>
  </si>
  <si>
    <t>+33778555533.</t>
  </si>
  <si>
    <t>Inquiry: Boulevard Point with Amazing views!</t>
  </si>
  <si>
    <t>Hamed.hakima</t>
  </si>
  <si>
    <t>Inquiry: 2bedrooms apartment in the exclusive Island of Port La Mer</t>
  </si>
  <si>
    <t>Inquiry: Cozy Restaurant with Shisha on Marina Walk.</t>
  </si>
  <si>
    <t>Message: Kindly let me know more details</t>
  </si>
  <si>
    <t>Asim</t>
  </si>
  <si>
    <t>acuminouss@gmail.com</t>
  </si>
  <si>
    <t>+971529439737</t>
  </si>
  <si>
    <t>Inquiry: HSR-S-1544</t>
  </si>
  <si>
    <t>Message: Please contact me. Thank you</t>
  </si>
  <si>
    <t>Inquiry: HSR-S-1234</t>
  </si>
  <si>
    <t xml:space="preserve"> dr shashi</t>
  </si>
  <si>
    <t>drshashi2000@gmail.com</t>
  </si>
  <si>
    <t>0506104878</t>
  </si>
  <si>
    <t>Inquiry: All Villa Projects By DP |100% DLD Fee Waived 75% in 5 Yrs Post Handover.</t>
  </si>
  <si>
    <t>Message: Hi, I am interested in BHK townhouse. Kindly whats app me on 0506104878</t>
  </si>
  <si>
    <t>Ref No: HSR-S-1776</t>
  </si>
  <si>
    <t>Mohammed alhodaithy</t>
  </si>
  <si>
    <t>mohammed.alhodaithy@gmail.com</t>
  </si>
  <si>
    <t>+971-524-219165</t>
  </si>
  <si>
    <t>Message: مرحباً ، أنا أبحث عن شقق للبيع في وسط مدينة دبي، دبي، الإمارات. أرجو إعلامي بشأن أي عقارات مناسبة لديكم. شكراً لكم.</t>
  </si>
  <si>
    <t>Aly Sayed</t>
  </si>
  <si>
    <t>Naveen</t>
  </si>
  <si>
    <t>km_naveen@hotmail.com</t>
  </si>
  <si>
    <t>0507858721</t>
  </si>
  <si>
    <t>Inquiry: Starting 1.2 Mn Arabian Ranches 3|50 %DLD Waiver|3Yrs Post Handover Payment Plan.</t>
  </si>
  <si>
    <t>Message: Am looking for a villa - to be ready to move in by end 2019</t>
  </si>
  <si>
    <t>Ref No: HSR-S-1273</t>
  </si>
  <si>
    <t>Vineesh Gopalan</t>
  </si>
  <si>
    <t>vineeshmg100@gmail.com</t>
  </si>
  <si>
    <t>Inquiry: Cake and Sweet Shop in Deira for Sale</t>
  </si>
  <si>
    <t>Reference: HSR-S-1177</t>
  </si>
  <si>
    <t>Nadeem</t>
  </si>
  <si>
    <t>nadeem.ladki@gmail.com</t>
  </si>
  <si>
    <t>+447773163437</t>
  </si>
  <si>
    <t>Message: Hi, I found your property with ref: HSR-S-1505 on propertyfinder. I have a similar property but 3Bed to sell in same tower. Can you help me?</t>
  </si>
  <si>
    <t>HSR-S-1505</t>
  </si>
  <si>
    <t>Jalal Ahmed</t>
  </si>
  <si>
    <t>+966504849028</t>
  </si>
  <si>
    <t>Inquiry: Profitable restaurant in Deira | Must Sell this Week</t>
  </si>
  <si>
    <t>Sreeram</t>
  </si>
  <si>
    <t xml:space="preserve"> rams12798@gmail.com</t>
  </si>
  <si>
    <t>971506763160</t>
  </si>
  <si>
    <t>Inquiry: Property to sell</t>
  </si>
  <si>
    <t>Message: We have a 1 bedroom flat in al samar 4 in greens and looking to sell.</t>
  </si>
  <si>
    <t>Louai</t>
  </si>
  <si>
    <t>louai.dahhan@gmail.com</t>
  </si>
  <si>
    <t xml:space="preserve"> +971505099299</t>
  </si>
  <si>
    <t>Message: We have industrial workshops or warehouses we propose to cooperate in leasing the spaces starting from 2500 feet to 100,000 thousand feet of electricity per workshop 27 kv umm al Quwain industrial city</t>
  </si>
  <si>
    <t>JAMAL Nişanyan</t>
  </si>
  <si>
    <t xml:space="preserve"> jamalnisanyan@gmail.com</t>
  </si>
  <si>
    <t>+97163563899.</t>
  </si>
  <si>
    <t>Message:I'm very interested in buying your property,</t>
  </si>
  <si>
    <t>please contact me on jamalnisanyan@gmail.com</t>
  </si>
  <si>
    <t>as soon as possible.</t>
  </si>
  <si>
    <t>Inquiry:Jumeirah Bay, BVLGARI 2Bedrooms</t>
  </si>
  <si>
    <t>Kenneth Smith</t>
  </si>
  <si>
    <t xml:space="preserve"> kennethjsmith08@gmail.com</t>
  </si>
  <si>
    <t>058 507 3982.</t>
  </si>
  <si>
    <t>Inquiry: Studio at Jumeirah Bay for Rent</t>
  </si>
  <si>
    <t>Message: Please contact me. Thank you!</t>
  </si>
  <si>
    <t>Mr. malik</t>
  </si>
  <si>
    <t>mohammadshawli@gmail.com</t>
  </si>
  <si>
    <t>971555602838</t>
  </si>
  <si>
    <t>Inquiry: Great Investment at Emaar Beach Front !!.</t>
  </si>
  <si>
    <t>Message:  when is it available for a call? Thanks.</t>
  </si>
  <si>
    <t>Ref No: HSR-S-1234</t>
  </si>
  <si>
    <t>Name: Ihab Moawad</t>
  </si>
  <si>
    <t>Email: ihabkmoawad@yahoo.com</t>
  </si>
  <si>
    <t>Telephone: +971563611622</t>
  </si>
  <si>
    <t>Inquiry: Emaar Beachfront</t>
  </si>
  <si>
    <t>Inquiry: Apartment on the Beach of Jumeirah</t>
  </si>
  <si>
    <t>Message: Is it available for viewing Today, Apr 27 in the afternoon? Thanks</t>
  </si>
  <si>
    <t>Khadija K</t>
  </si>
  <si>
    <t>ks310@live.com</t>
  </si>
  <si>
    <t>+971552777769</t>
  </si>
  <si>
    <t>Property finder</t>
  </si>
  <si>
    <t>Burj Al Arab Mansion in Dubai holding</t>
  </si>
  <si>
    <t>Tamara</t>
  </si>
  <si>
    <t>Name: Suraksha</t>
  </si>
  <si>
    <t>Email: contactsuraksha@gmail.com</t>
  </si>
  <si>
    <t>Mobile: +971504676658</t>
  </si>
  <si>
    <t>Inquiry: Apartment for Rent in Plazzo Residence,</t>
  </si>
  <si>
    <t>Jumeirah Village Triangle</t>
  </si>
  <si>
    <t>hsproperty-1436802</t>
  </si>
  <si>
    <t>Nash</t>
  </si>
  <si>
    <t>Razko10@yahoo.com</t>
  </si>
  <si>
    <t>Hi,send me more info about this unit.</t>
  </si>
  <si>
    <t>Inquiry: Grande by EMAAR</t>
  </si>
  <si>
    <t>Nazmeera Casim</t>
  </si>
  <si>
    <t>nazmeera.t@finyt.co.za</t>
  </si>
  <si>
    <t>Please contact me. Thank you</t>
  </si>
  <si>
    <t>Maple Phase 1 3BR</t>
  </si>
  <si>
    <t>Nabil</t>
  </si>
  <si>
    <t>nabillahham@hotmail.com</t>
  </si>
  <si>
    <t>Property wifi</t>
  </si>
  <si>
    <t>specifically Studio, I believe you would be able to assist me with my enquiry.</t>
  </si>
  <si>
    <t>Stefan Nicolov</t>
  </si>
  <si>
    <t>snicolov@arinc.com</t>
  </si>
  <si>
    <t>Still available? Travelling for a month but interested to find out more</t>
  </si>
  <si>
    <t>MJL ASAYEL</t>
  </si>
  <si>
    <t>Melissa</t>
  </si>
  <si>
    <t>Melissa.h.lewis@gmail.com</t>
  </si>
  <si>
    <t>Hello, is 129 negotiable for 1 cheque? Please let me know,</t>
  </si>
  <si>
    <t>Maple Phase 1 BR</t>
  </si>
  <si>
    <t>someone</t>
  </si>
  <si>
    <t>abara9999@gmail.com</t>
  </si>
  <si>
    <t>971568866998</t>
  </si>
  <si>
    <t>merizwanonly4you@gmail.com</t>
  </si>
  <si>
    <t>+919274363200</t>
  </si>
  <si>
    <t>Inquiry: Indian Restaurant Business for Sale Deira</t>
  </si>
  <si>
    <t>rania.halwani</t>
  </si>
  <si>
    <t>rania.halwani@gmail.com</t>
  </si>
  <si>
    <t>971-556-615725</t>
  </si>
  <si>
    <t>Property: 3 Bedroom Large Unit  Reemram AED 115,000 /yr</t>
  </si>
  <si>
    <t>sfleming368@gmail.com</t>
  </si>
  <si>
    <t>Message: Hi I like the Project Bluewaters.I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</si>
  <si>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Tabrez Mohammed</t>
  </si>
  <si>
    <t>+971506255016</t>
  </si>
  <si>
    <t>Dear Sir/Madam, Trust all's well. My personnel properties for rent Retail :-</t>
  </si>
  <si>
    <t>Date</t>
  </si>
  <si>
    <t>Dr. maya Bose</t>
  </si>
  <si>
    <t>+919437199013</t>
  </si>
  <si>
    <t>bosemaya@rediffmail.com</t>
  </si>
  <si>
    <t>Message: Please send me more information about this property. Thank you</t>
  </si>
  <si>
    <t>Inam</t>
  </si>
  <si>
    <t>Mr or Mrs. Gregory Honeyman</t>
  </si>
  <si>
    <t>+18095711184</t>
  </si>
  <si>
    <t>beachsiderentalsdr@yahoo.com</t>
  </si>
  <si>
    <t>Ae.Green-Acres.Com</t>
  </si>
  <si>
    <t>please forward details and I will forward our details........Best Wishes</t>
  </si>
  <si>
    <t>Luxury 2Br with Overlooking a New Championship Golf Course</t>
  </si>
  <si>
    <t>Sonia</t>
  </si>
  <si>
    <t>0503501608</t>
  </si>
  <si>
    <t>Direct Call:  Dubizzle</t>
  </si>
  <si>
    <t>Semi Furnished 1 Bedroom in Building 60 Discovery Garden /Interested : In Discovery Building</t>
  </si>
  <si>
    <t>Amanda</t>
  </si>
  <si>
    <t xml:space="preserve"> +971507793147.</t>
  </si>
  <si>
    <t>Amanda.fox-pryke@volkswagen.avme.ae</t>
  </si>
  <si>
    <t>Al Anbara, Shoreline Apartments /Message: Please contact me. Thank you.</t>
  </si>
  <si>
    <t>Asma omair</t>
  </si>
  <si>
    <t xml:space="preserve"> '00966542221042.</t>
  </si>
  <si>
    <t>Message: Please contact me. Thank /Sea View| Beach Access| Best Location</t>
  </si>
  <si>
    <t>Bilal</t>
  </si>
  <si>
    <t xml:space="preserve"> +971555559169.</t>
  </si>
  <si>
    <t>bkarabash@gmail.com</t>
  </si>
  <si>
    <t xml:space="preserve"> Unfurnished | Sea view| Ready to move in</t>
  </si>
  <si>
    <t>Jey</t>
  </si>
  <si>
    <t>+971-559-210889</t>
  </si>
  <si>
    <t>jeyran@ajdistributions.com</t>
  </si>
  <si>
    <t>Bayut /Rent</t>
  </si>
  <si>
    <t xml:space="preserve"> I am looking for Apartments to rent in Golden Mile, Palm Jumeirah unfurnished only. Move in within month. We are ready to rent for 100,000-105,000Please let me know about any suitable properties you have. Thank you</t>
  </si>
  <si>
    <t>Khaled</t>
  </si>
  <si>
    <t>0552048666.</t>
  </si>
  <si>
    <t>kbeshir@outlook.com</t>
  </si>
  <si>
    <t xml:space="preserve"> Propertyfinder /Sale</t>
  </si>
  <si>
    <t>Maple at Dubai Hills Estatec/Message: Plse send me location of this unit. Payment breakdown and floor layout. when is the handover ? Thank you.</t>
  </si>
  <si>
    <t>S-1561</t>
  </si>
  <si>
    <t xml:space="preserve"> Li Peng</t>
  </si>
  <si>
    <t>0523249708</t>
  </si>
  <si>
    <t xml:space="preserve"> earthmansion@icloud.com</t>
  </si>
  <si>
    <t>Sea Sunset View | Jacuzzi | Big Terrace</t>
  </si>
  <si>
    <t>SIDRAH</t>
  </si>
  <si>
    <t>00971568249420</t>
  </si>
  <si>
    <t xml:space="preserve"> sidrahkhalid_mir@hotmail.com</t>
  </si>
  <si>
    <t>Reem Townhouse</t>
  </si>
  <si>
    <t>S-1596</t>
  </si>
  <si>
    <t>+79883303099</t>
  </si>
  <si>
    <t>dual2207@gmail.com</t>
  </si>
  <si>
    <t>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</si>
  <si>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Yuri</t>
  </si>
  <si>
    <t>0581533070.</t>
  </si>
  <si>
    <t>yurigriscenco@hotmail.com</t>
  </si>
  <si>
    <t>/Damac Hills, Topanga *</t>
  </si>
  <si>
    <t>Hazel</t>
  </si>
  <si>
    <t>971503805217</t>
  </si>
  <si>
    <t>hazel@axiomatic.co.za</t>
  </si>
  <si>
    <t>Fresh listing | Sea view| Ready to move</t>
  </si>
  <si>
    <t>Miguel</t>
  </si>
  <si>
    <t xml:space="preserve"> 0502547024.</t>
  </si>
  <si>
    <t xml:space="preserve"> mcfsting@gmail.com</t>
  </si>
  <si>
    <t>Rent in Damac Hills, Topanga * 3 Bedrooms</t>
  </si>
  <si>
    <t>Pornsiri Supanya</t>
  </si>
  <si>
    <t>+66841464269</t>
  </si>
  <si>
    <t>psupanya@gmail.com</t>
  </si>
  <si>
    <t>HSR-R-1021</t>
  </si>
  <si>
    <t>Raj</t>
  </si>
  <si>
    <t>+919822907812.</t>
  </si>
  <si>
    <t>Prajan8558@yahoo.in</t>
  </si>
  <si>
    <t>/Sea Sunset View | Jacuzzi | Big Terrace</t>
  </si>
  <si>
    <t>HSR-S-1188</t>
  </si>
  <si>
    <t>Shiwani</t>
  </si>
  <si>
    <t>+971552223911.</t>
  </si>
  <si>
    <t>ishiwani@hotmail.com</t>
  </si>
  <si>
    <t>Build Your Own Villa | Dubai Hills Estate</t>
  </si>
  <si>
    <t>M K Arya ,</t>
  </si>
  <si>
    <t xml:space="preserve"> +9560603999,</t>
  </si>
  <si>
    <t>mk.arya@hotmail.com</t>
  </si>
  <si>
    <t xml:space="preserve">Propspace </t>
  </si>
  <si>
    <t>Executive Bay 1401</t>
  </si>
  <si>
    <t xml:space="preserve"> Budget 90000 / 2Bedrooms</t>
  </si>
  <si>
    <t xml:space="preserve"> Mohamed Shaker</t>
  </si>
  <si>
    <t>alkfrawy17@yahoo.com</t>
  </si>
  <si>
    <t>لدي ڤيلا في اكويا اكسوجين (سنتوري) و ارغب في بيعها . الرجاء الاتصال بي في أقرب وقت ممكن</t>
  </si>
  <si>
    <t>I have a Villa in Akoya Exogen (Centauri) and I want to sell it. Please contact me as soon as possible</t>
  </si>
  <si>
    <t>Savana</t>
  </si>
  <si>
    <t>0556357326</t>
  </si>
  <si>
    <t>Direct Inquiry</t>
  </si>
  <si>
    <t>Looking for  3 BR in Mudon Budget 1million  1900 sq. ft.</t>
  </si>
  <si>
    <t>waiting for  response ASAP.</t>
  </si>
  <si>
    <t>sidrahkhalid_mir@hotmail.com</t>
  </si>
  <si>
    <t>I have a property to let</t>
  </si>
  <si>
    <t xml:space="preserve"> 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</si>
  <si>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Mr. إبراهيم بوعمار</t>
  </si>
  <si>
    <t>ibrahim.43338@hotmail.com</t>
  </si>
  <si>
    <t>Message: Dear Sir / Madam,As you are currently marketing Properties To Rent in Sharjah, I believe you would be able to assist me with my enquiry.Please Reply any day, Reply any time by Email, WhatsApp, SMS or Phone Kindly assign me an agent who speaks my preferred language in Arabic.</t>
  </si>
  <si>
    <t>Name: May</t>
  </si>
  <si>
    <t>0551678351</t>
  </si>
  <si>
    <t>Direct Call: Looking for a property.</t>
  </si>
  <si>
    <t>Mr. عبدالوهاب</t>
  </si>
  <si>
    <t>aakhdr@hotmail.com</t>
  </si>
  <si>
    <t xml:space="preserve"> As you are currently marketing Properties To Rent in Sharjah, I believe you would be able to assist me with my enquiry. Please Reply any day, Reply any time by Email, WhatsApp, SMS or Phone.  Kindly assign me an agent who speaks my preferred language in Arabic. I look forward to hearing from you soon</t>
  </si>
  <si>
    <t>Sadeeq</t>
  </si>
  <si>
    <t>Interested in  Opera Burj Khalifa</t>
  </si>
  <si>
    <t xml:space="preserve"> Katrina</t>
  </si>
  <si>
    <t>Residence Palm Jumiera</t>
  </si>
  <si>
    <t xml:space="preserve"> Dave Hafer</t>
  </si>
  <si>
    <t>+19179796999</t>
  </si>
  <si>
    <t>E-mail</t>
  </si>
  <si>
    <t>Good day, I am interested in purchasing a home in singapore but I need to know if there are other requirements for foreign buyers. Please give further information on tax requirements and any other fees I should be looking at..</t>
  </si>
  <si>
    <t>+971552223911</t>
  </si>
  <si>
    <t>Dubai Hills Estate</t>
  </si>
  <si>
    <t>Mona Chehabi</t>
  </si>
  <si>
    <t>9054835263</t>
  </si>
  <si>
    <t>monakchehabi@gmail.com</t>
  </si>
  <si>
    <t xml:space="preserve"> Dubizzle /</t>
  </si>
  <si>
    <t>Fully Furnished 4beds + Maids Townhouse!.</t>
  </si>
  <si>
    <t>Has this furnished house b</t>
  </si>
  <si>
    <t xml:space="preserve"> Jamiel</t>
  </si>
  <si>
    <t>Direct Call: Dubizzle</t>
  </si>
  <si>
    <t>La Mer on Jumeirah Beach</t>
  </si>
  <si>
    <t>Wafaa</t>
  </si>
  <si>
    <t>wafyag@gmail.com</t>
  </si>
  <si>
    <t>/ 3 BR + STUDY / TYPE J / CLOSE TO THE ENTRANCE /Hello, Is it available would like to come for viewing Thank you</t>
  </si>
  <si>
    <t>0508665222</t>
  </si>
  <si>
    <t>shapours@yahoo.co.uk</t>
  </si>
  <si>
    <t>/ Full Marina view | The Best Layout.</t>
  </si>
  <si>
    <t>Ref No: HSR-S-1285</t>
  </si>
  <si>
    <t>Message: i offer AED 800,000 cash. Please contact me if the seller accepts the offer.</t>
  </si>
  <si>
    <t>+9713422674266</t>
  </si>
  <si>
    <t>/ Al Majaz 1 Restaurant Sharjah | 33k Month Profit</t>
  </si>
  <si>
    <t>Cecil Marke</t>
  </si>
  <si>
    <t>+971569994240</t>
  </si>
  <si>
    <t>oremso@hotmail.com</t>
  </si>
  <si>
    <t>Enquiry: Please send me more information about this property. Thank you // Dubai Hills Estate EXCLUSIVE / 3 BR / SINGLE ROW</t>
  </si>
  <si>
    <t>Olla Shahin</t>
  </si>
  <si>
    <t>0551020911</t>
  </si>
  <si>
    <t>olla.hassan.shahin@gmail.com</t>
  </si>
  <si>
    <t>/ Damac Hills, 3 BR / Brand New / Ready to move in</t>
  </si>
  <si>
    <t xml:space="preserve"> Faiza</t>
  </si>
  <si>
    <t>+9710502506252.</t>
  </si>
  <si>
    <t xml:space="preserve"> Fai22ca@yahoo.com</t>
  </si>
  <si>
    <t>/ 4 BR CORNER UNIT ON A SINGLE ROW</t>
  </si>
  <si>
    <t xml:space="preserve"> Miguel</t>
  </si>
  <si>
    <t>/ Rent in Damac Hills, Topanga * 3 Bedrooms</t>
  </si>
  <si>
    <t xml:space="preserve"> yurigriscenco@hotmail.com</t>
  </si>
  <si>
    <t>Dania</t>
  </si>
  <si>
    <t>daniaa@live.de</t>
  </si>
  <si>
    <t xml:space="preserve"> / Topanga 3 Bedroom Villa for rent / Hello, I found your property on justproperty.com. Please send me more information about this property. Thank you</t>
  </si>
  <si>
    <t>Sofia</t>
  </si>
  <si>
    <t>0507147930.</t>
  </si>
  <si>
    <t xml:space="preserve"> mrslalani@hotmail.com</t>
  </si>
  <si>
    <t>Maple at Dubai Hills Estate, Dubai Hills Estate</t>
  </si>
  <si>
    <t>Altaqf</t>
  </si>
  <si>
    <t xml:space="preserve"> altaf190957@yahoo.com</t>
  </si>
  <si>
    <t>Propertyfinder ranchise Restaurant | Business For Sale</t>
  </si>
  <si>
    <t>Mohammed</t>
  </si>
  <si>
    <t xml:space="preserve"> Msshaikh@gmail.com</t>
  </si>
  <si>
    <t>/The Sparkle Towers,</t>
  </si>
  <si>
    <t>Kate Richards</t>
  </si>
  <si>
    <t>0523763499</t>
  </si>
  <si>
    <t>kate.staunton70@gmail.com</t>
  </si>
  <si>
    <t>Message: When is it available for viewing? Thanks / *The Rarest and Unique full sea view. Rent</t>
  </si>
  <si>
    <t>R-1148</t>
  </si>
  <si>
    <t xml:space="preserve"> Vijay Singh</t>
  </si>
  <si>
    <t xml:space="preserve"> vijaysinghjaswal@gmail.com</t>
  </si>
  <si>
    <t xml:space="preserve"> Dear Shane, I am moving to Dubai from Delhi (India) for work and will be arriving 2nd December. I will be looking up Hotel apartments during my intial 15 days. My office will be Jebel Ali Free port. I will be living alone by myself and would need only Hotel aprtments which are maintained. I looked up this one aprtment that you have listed and shortlisted it. It would be nice if you could organise a visit during the 1st two weeks of December. Thanks, Vijay Singh Hi, I found your property with ref: HSR-R-1290 on propertyfinder.</t>
  </si>
  <si>
    <t>R-1290</t>
  </si>
  <si>
    <t>Furnishd Studio Hotel Apartment</t>
  </si>
  <si>
    <t>Jessie Sheridan</t>
  </si>
  <si>
    <t>0585958328.</t>
  </si>
  <si>
    <t>jessievsheridan@gmail.com</t>
  </si>
  <si>
    <t>Please contact me. Thank you.</t>
  </si>
  <si>
    <t>R-1113</t>
  </si>
  <si>
    <t>Marina View 2 BR | Maid Room | Unfurnished</t>
  </si>
  <si>
    <t xml:space="preserve"> 0507478227</t>
  </si>
  <si>
    <t>/ 4 BR / CORNER / CLOSE TO POOL AND PARK.</t>
  </si>
  <si>
    <t>R-1287</t>
  </si>
  <si>
    <t>Teso Roberto</t>
  </si>
  <si>
    <t>+393346634696.</t>
  </si>
  <si>
    <t>Roberto.teso@ymail.com</t>
  </si>
  <si>
    <t>Full Marina view | The Best Layout</t>
  </si>
  <si>
    <t>S-1285</t>
  </si>
  <si>
    <t>Jamila</t>
  </si>
  <si>
    <t>0503017422</t>
  </si>
  <si>
    <t>sthonoree1@gmail.com</t>
  </si>
  <si>
    <t>Dubizzle / Propspace / Propertyfinder</t>
  </si>
  <si>
    <t>Signature Villas</t>
  </si>
  <si>
    <t>R-1017</t>
  </si>
  <si>
    <t>Leo</t>
  </si>
  <si>
    <t>+971569732245</t>
  </si>
  <si>
    <t xml:space="preserve"> leo@olivebee.com</t>
  </si>
  <si>
    <t>JustProperty / propspace / propertyfinder</t>
  </si>
  <si>
    <t>Huge 2 Bedroom Plus Study with Full Race View</t>
  </si>
  <si>
    <t>R-1166</t>
  </si>
  <si>
    <t>Sanya</t>
  </si>
  <si>
    <t>447-828-251103</t>
  </si>
  <si>
    <t>sanyaijaz94@gmail.com</t>
  </si>
  <si>
    <t>Bayut / Bayut</t>
  </si>
  <si>
    <t>. حسام الجنديMr</t>
  </si>
  <si>
    <t>+971501153322</t>
  </si>
  <si>
    <t>hosamelgendy93@gmail.com</t>
  </si>
  <si>
    <t xml:space="preserve"> *Propertywifi* looking for rent</t>
  </si>
  <si>
    <t>Eltayib</t>
  </si>
  <si>
    <t>0508829996.</t>
  </si>
  <si>
    <t>Teebo1982@gmail.com</t>
  </si>
  <si>
    <t>* Perfect Location to your Family|Dubai Hills</t>
  </si>
  <si>
    <t>Charbel Maroun</t>
  </si>
  <si>
    <t>0544464416</t>
  </si>
  <si>
    <t>charbel-maroun1@hotmail.com</t>
  </si>
  <si>
    <t>Executive Bay 2BR</t>
  </si>
  <si>
    <t>R-1071</t>
  </si>
  <si>
    <t>Sharon</t>
  </si>
  <si>
    <t>971529311244.</t>
  </si>
  <si>
    <t>sharon@carltonrealestate.ae</t>
  </si>
  <si>
    <t>Beach Access| Well maintained| Vacant</t>
  </si>
  <si>
    <t>Dinesh</t>
  </si>
  <si>
    <t xml:space="preserve"> +9710555144701</t>
  </si>
  <si>
    <t>Restaurant Sharjah | 33k Month Profit</t>
  </si>
  <si>
    <t>R-1083</t>
  </si>
  <si>
    <t>Ricardo</t>
  </si>
  <si>
    <t>0557396953</t>
  </si>
  <si>
    <t>ricardorazeto@outlook.com</t>
  </si>
  <si>
    <t>is it available for viewing Tomorrow, Nov 24 in the Afternoon? Thanks</t>
  </si>
  <si>
    <t>S-1550</t>
  </si>
  <si>
    <t>Alina</t>
  </si>
  <si>
    <t>00971552952431.</t>
  </si>
  <si>
    <t>alina0333@gmail.com</t>
  </si>
  <si>
    <t xml:space="preserve">PropertyFinder </t>
  </si>
  <si>
    <t>Furnishd Studio Hotel Apartment | Call Now</t>
  </si>
  <si>
    <t xml:space="preserve"> على  / Ali</t>
  </si>
  <si>
    <t>00966546446166</t>
  </si>
  <si>
    <t>awni_72@yahoo.com</t>
  </si>
  <si>
    <t>2BR Full Fountain and Burj Khalifa Views</t>
  </si>
  <si>
    <t>Danny</t>
  </si>
  <si>
    <t>+971509569607.</t>
  </si>
  <si>
    <t>danny@almashreq.co.ae</t>
  </si>
  <si>
    <t>Wal</t>
  </si>
  <si>
    <t>+97143438000</t>
  </si>
  <si>
    <t>whdhotel@gmail.com</t>
  </si>
  <si>
    <t>Running Cafe in Jebel Ali Office Building</t>
  </si>
  <si>
    <t>Lucy Billington</t>
  </si>
  <si>
    <t>0508924689</t>
  </si>
  <si>
    <t>lucy.billington@gmail.com</t>
  </si>
  <si>
    <t>Is it available for viewing ? Thanks</t>
  </si>
  <si>
    <t>4 BR / CORNER / CLOSE TO POOL AND PARK.</t>
  </si>
  <si>
    <t>0501483393</t>
  </si>
  <si>
    <t>hendritarigan77@gmail.com</t>
  </si>
  <si>
    <t>Cafe and Shisha Location Available in JLT.</t>
  </si>
  <si>
    <t>Is it available for viewing Today, Nov 25 in the Morning? Thanks</t>
  </si>
  <si>
    <t>Naveed Rashid</t>
  </si>
  <si>
    <t>0559945680</t>
  </si>
  <si>
    <t>Naveed@homezone.ae</t>
  </si>
  <si>
    <t>HAYAT TOWNHOUSES 4BR</t>
  </si>
  <si>
    <t>S-1255</t>
  </si>
  <si>
    <t xml:space="preserve">4BR </t>
  </si>
  <si>
    <t>Maryam</t>
  </si>
  <si>
    <t>Meray Aziz</t>
  </si>
  <si>
    <t>+971558910998</t>
  </si>
  <si>
    <t>merayaziz@aucegypt.edu</t>
  </si>
  <si>
    <t>Hotel Apartment for Rent in Damac Maison Cour Jardin, Business Bay</t>
  </si>
  <si>
    <t>+971582891303</t>
  </si>
  <si>
    <t>mkeilani@yahoo.com</t>
  </si>
  <si>
    <t>Serena Casa Bella</t>
  </si>
  <si>
    <t>S-1481</t>
  </si>
  <si>
    <t>wAQAS</t>
  </si>
  <si>
    <t xml:space="preserve"> Meray Aziz</t>
  </si>
  <si>
    <t>+971529027398</t>
  </si>
  <si>
    <t>Jay Wynne</t>
  </si>
  <si>
    <t>+971559522597.</t>
  </si>
  <si>
    <t>Jay@luxurymansion.ae</t>
  </si>
  <si>
    <t>Apartment for Rent in Diamond, Tiara Residences</t>
  </si>
  <si>
    <t>968-996-17759</t>
  </si>
  <si>
    <t>engali.om@gmail.com</t>
  </si>
  <si>
    <t xml:space="preserve">Bayut   </t>
  </si>
  <si>
    <t>Interested In: Reem Community, Arabian Ranches 2, Dubai</t>
  </si>
  <si>
    <t xml:space="preserve">Ali </t>
  </si>
  <si>
    <t>Anthea Cruickshank</t>
  </si>
  <si>
    <t>+971501501908</t>
  </si>
  <si>
    <t>antheacruickshank@hotmail.com</t>
  </si>
  <si>
    <t>Apartment for Sale in A1, The Hills A</t>
  </si>
  <si>
    <t>S-1179</t>
  </si>
  <si>
    <t>Hi, I'm very interested in this apt, can you send me the layout/plan please? Many thanks,</t>
  </si>
  <si>
    <t>Neetu</t>
  </si>
  <si>
    <t>+91 9999219245.</t>
  </si>
  <si>
    <t>neetupandey23@gmail.com</t>
  </si>
  <si>
    <t>Apartment for Rent in Sadaf 6, Sadaf</t>
  </si>
  <si>
    <t>Amir</t>
  </si>
  <si>
    <t>0561526571</t>
  </si>
  <si>
    <t>Phase 1 - Naseem /Furnished 4 beds Townhouse in Mudon for rent</t>
  </si>
  <si>
    <t>R-1018</t>
  </si>
  <si>
    <t>Viridiana Gonzales</t>
  </si>
  <si>
    <t>+5214436827521</t>
  </si>
  <si>
    <t>diana_81glez@hotmail.com</t>
  </si>
  <si>
    <t>Shoreline Apartments,Rent in Al Dabas,</t>
  </si>
  <si>
    <t>Thomas Raz</t>
  </si>
  <si>
    <t>+971504360701.</t>
  </si>
  <si>
    <t>toraz@t-online.de</t>
  </si>
  <si>
    <t>Marina Pearl, Dubai Marina</t>
  </si>
  <si>
    <t>Johnny Raz</t>
  </si>
  <si>
    <t>+971525285234</t>
  </si>
  <si>
    <t>familie.raz@gmx.de</t>
  </si>
  <si>
    <t>JIGNA dOSHI</t>
  </si>
  <si>
    <t>+9710567357274</t>
  </si>
  <si>
    <t>jrdoshi78@gmail.com</t>
  </si>
  <si>
    <t xml:space="preserve"> Mina</t>
  </si>
  <si>
    <t>0507385986</t>
  </si>
  <si>
    <t>Direct Call</t>
  </si>
  <si>
    <t>Property for rent 4BR Villa Zara Townhouse</t>
  </si>
  <si>
    <t>Zaakir</t>
  </si>
  <si>
    <t>+971557352933</t>
  </si>
  <si>
    <t>zaakir.hajee@gmail.com</t>
  </si>
  <si>
    <t>Apartment for Rent in Park Towers, DIFC</t>
  </si>
  <si>
    <t>R-1298</t>
  </si>
  <si>
    <t>Manhal Saleh</t>
  </si>
  <si>
    <t>manhal-saleh@hotmail.com</t>
  </si>
  <si>
    <t>0096507010707</t>
  </si>
  <si>
    <t>dr.teaya@gmail.com</t>
  </si>
  <si>
    <t>Marina Diamond 5</t>
  </si>
  <si>
    <t>سلام، شاهدت إعلانك هذا على دوبيزل وأرغب بالاستفسار عن تفاصيل مشاهدتها شخصياً. شكراً</t>
  </si>
  <si>
    <t>00971561406841</t>
  </si>
  <si>
    <t>djills54@yahoo.co.uk</t>
  </si>
  <si>
    <t>Resale Deal | 1 Bedroom | Fantastic Price.</t>
  </si>
  <si>
    <t>S-1108</t>
  </si>
  <si>
    <t>I have 1bed apartment for resale in the burj views II please contact me if interested to list it with your company. Thank you for</t>
  </si>
  <si>
    <t>Hadjou Algerie</t>
  </si>
  <si>
    <t>+33684614911</t>
  </si>
  <si>
    <t>hadj_mameri@yahoo.fr</t>
  </si>
  <si>
    <t>Hello I would like to have more information about the trade I would like to open a shisha restaurant can you tell me the total area and know if the local and the rent with the furniture and if the trade is available immediately thank you</t>
  </si>
  <si>
    <t>Farah Benbakir</t>
  </si>
  <si>
    <t>0507155062.</t>
  </si>
  <si>
    <t>farah.benbakir@gmail.com</t>
  </si>
  <si>
    <t>Apartment for Sale in J8, Al Sufouh 2</t>
  </si>
  <si>
    <t>S-1110</t>
  </si>
  <si>
    <t>Emily</t>
  </si>
  <si>
    <t>Kersti</t>
  </si>
  <si>
    <t>+971 50 493 3240</t>
  </si>
  <si>
    <t>Kivikersti@gmail.com</t>
  </si>
  <si>
    <t>Delagneau Bertrand</t>
  </si>
  <si>
    <t>0564034983</t>
  </si>
  <si>
    <t>delagneaubertrand@gmail.com</t>
  </si>
  <si>
    <t>From: *Propertyfinder*</t>
  </si>
  <si>
    <t>Al Nabat, Shoreline Apartments</t>
  </si>
  <si>
    <t>0588770878</t>
  </si>
  <si>
    <t>amilar.jayasena@gmail.com</t>
  </si>
  <si>
    <t>Luxury Studio| Vacant| Flexible Viewings. Is it available for viewing Today, Nov 30 in the Afternoon? Thanks</t>
  </si>
  <si>
    <t>Fathia</t>
  </si>
  <si>
    <t xml:space="preserve"> +966549088023</t>
  </si>
  <si>
    <t>fksadder@uqu.edu.sa</t>
  </si>
  <si>
    <t xml:space="preserve"> Cayan Tower, Dubai Marina.</t>
  </si>
  <si>
    <t>R-1293</t>
  </si>
  <si>
    <t>Luna</t>
  </si>
  <si>
    <t>Lunaiknainish@hotmail.com</t>
  </si>
  <si>
    <t>Mira Oasis 3, Reem</t>
  </si>
  <si>
    <t>S-1600</t>
  </si>
  <si>
    <t>John</t>
  </si>
  <si>
    <t>971-050-6553891</t>
  </si>
  <si>
    <t>Harrojah@gmail.com</t>
  </si>
  <si>
    <t>(Infinity Tower), Dubai Marina, Dubai</t>
  </si>
  <si>
    <t xml:space="preserve"> +96897828701</t>
  </si>
  <si>
    <t>alex.cauet@gmail.com</t>
  </si>
  <si>
    <t xml:space="preserve"> ياسمين فؤاد نصرالله عوض محمد</t>
  </si>
  <si>
    <t xml:space="preserve"> +96569988711</t>
  </si>
  <si>
    <t>yato4ever@gmail.com</t>
  </si>
  <si>
    <t>Interested in: Rent in Sharjah</t>
  </si>
  <si>
    <t>Ravi Kiran</t>
  </si>
  <si>
    <t>+971506788507</t>
  </si>
  <si>
    <t>ravikiran02us@yahoo.com</t>
  </si>
  <si>
    <t>hi I have a J Type apartment for rent at Palm Jumeirah.</t>
  </si>
  <si>
    <t>Manish Luthra</t>
  </si>
  <si>
    <t>+971-565-303240</t>
  </si>
  <si>
    <t>luthramanish5@gmail.com</t>
  </si>
  <si>
    <t>I am looking for Hotel Apartments to rent in Dubai, UAE. Please let me know about any suitable properties you have. Thank you.</t>
  </si>
  <si>
    <t>Inquiries</t>
  </si>
  <si>
    <t>Faiq Azam</t>
  </si>
  <si>
    <t>+923442244066</t>
  </si>
  <si>
    <t>azamwiseguy@yahoo.com</t>
  </si>
  <si>
    <t>+393346634696</t>
  </si>
  <si>
    <t>Talgat</t>
  </si>
  <si>
    <t>+971557770790</t>
  </si>
  <si>
    <t>tkalymbetov@emaar.ae</t>
  </si>
  <si>
    <t>Building 6, Bluewaters Residences</t>
  </si>
  <si>
    <t>Haidi</t>
  </si>
  <si>
    <t>Luxury Studio| Vacant| Flexible Viewings</t>
  </si>
  <si>
    <t>Anna</t>
  </si>
  <si>
    <t>+4792122309</t>
  </si>
  <si>
    <t>Ansa.m.jorgensen@gmail.com</t>
  </si>
  <si>
    <t>Interested In: Arabella 2, Mudon</t>
  </si>
  <si>
    <t>S-1612</t>
  </si>
  <si>
    <t>Goran Tololeski</t>
  </si>
  <si>
    <t>971-564-215271</t>
  </si>
  <si>
    <t>gtololeski@gmail.com</t>
  </si>
  <si>
    <t>Brando Moros</t>
  </si>
  <si>
    <t>0555434039</t>
  </si>
  <si>
    <t>brandomoros@gmail.com</t>
  </si>
  <si>
    <t>Dubai DIFC Park Towers Studio Apartment for rent /Please send me additional information about this property. Thank you</t>
  </si>
  <si>
    <t>Paul Lane</t>
  </si>
  <si>
    <t>050 5511639.</t>
  </si>
  <si>
    <t>mrpaullane@hotmail.com</t>
  </si>
  <si>
    <t>Mira Oasis 1, Reem * 4 BR + Maids * Type J</t>
  </si>
  <si>
    <t>S-1624</t>
  </si>
  <si>
    <t>Amar Bait</t>
  </si>
  <si>
    <t>+971503645824</t>
  </si>
  <si>
    <t>nadjibus@gmail.com</t>
  </si>
  <si>
    <t>hi it is an urgent sale of a 5 bedroom off plan villa in Akoya Oxygen.Thank you</t>
  </si>
  <si>
    <t>Johann de Bod</t>
  </si>
  <si>
    <t>0545563395</t>
  </si>
  <si>
    <t>Johanndebod1001@gmail.com</t>
  </si>
  <si>
    <t>SINGLE ROW / 4 BEDROOMS / TYPE 2E  Mira2 Reem</t>
  </si>
  <si>
    <t>Enquiry: Hello, I found your property on justproperty.com. Please send me more information about this property. We are very interested. Are they willing to accept 12 or 6 cheques? Thank you</t>
  </si>
  <si>
    <t>971568030666</t>
  </si>
  <si>
    <t>alexsaoud@gmail.com</t>
  </si>
  <si>
    <t>Looking for rent Inquiry: I have a friend arriving from overseas on Dec 11th. She's looking for a short-term studio rental 1 month, might extend to 2 months. Her max monthly budget is AED 6500. Please let me know if you can help. Thanks, Alex</t>
  </si>
  <si>
    <t>Mary  (from other Real Esate )</t>
  </si>
  <si>
    <t>0557747211</t>
  </si>
  <si>
    <t>Looking for Agent to speak to</t>
  </si>
  <si>
    <t>Inquiry:  Nshama</t>
  </si>
  <si>
    <t>Walid</t>
  </si>
  <si>
    <t xml:space="preserve"> +971585100555</t>
  </si>
  <si>
    <t>wtddotcom@gmail.com</t>
  </si>
  <si>
    <t xml:space="preserve"> Signature Villas</t>
  </si>
  <si>
    <t>Irene</t>
  </si>
  <si>
    <t>971-523-592284</t>
  </si>
  <si>
    <t>mirembeirene23@gmail.com</t>
  </si>
  <si>
    <t>Huge 1 BR Marina View</t>
  </si>
  <si>
    <t>+971507955786</t>
  </si>
  <si>
    <t>asifmerchant@hotmail.com</t>
  </si>
  <si>
    <t xml:space="preserve"> Samara- Ready Villas in Arabian Ranches with 3 Yrs Payment Plan.</t>
  </si>
  <si>
    <t>S-1351</t>
  </si>
  <si>
    <t>Alice</t>
  </si>
  <si>
    <t>+971585809616</t>
  </si>
  <si>
    <t>aliceongshuhui@gmail.com</t>
  </si>
  <si>
    <t>Luxury Studio| Vacant| Flexible Viewings.</t>
  </si>
  <si>
    <t>Suleman Anwar</t>
  </si>
  <si>
    <t>0508719409.</t>
  </si>
  <si>
    <t>suleman.anwar@hotmail.com</t>
  </si>
  <si>
    <t>Perfect Location for Restaurant , Supermarket Business</t>
  </si>
  <si>
    <t>2 Restaurant Concept with shisha license</t>
  </si>
  <si>
    <t>R-1062</t>
  </si>
  <si>
    <t>Engin Deveci</t>
  </si>
  <si>
    <t>+971508141575</t>
  </si>
  <si>
    <t>engin.deveci@gmail.com</t>
  </si>
  <si>
    <t>Al Msalli, Shoreline Apartments</t>
  </si>
  <si>
    <t>R-1269</t>
  </si>
  <si>
    <t xml:space="preserve"> Mr. Hassan</t>
  </si>
  <si>
    <t>+971505855775</t>
  </si>
  <si>
    <t>hahassan57@hotmail.com</t>
  </si>
  <si>
    <t>looking for farm to raise birds in Dubai, Sharjah, umul Quwein.</t>
  </si>
  <si>
    <t>Shane / Jamiel</t>
  </si>
  <si>
    <t>Dawut</t>
  </si>
  <si>
    <t>0562178896.</t>
  </si>
  <si>
    <t>Dawutnazaryusuf@gmail.com</t>
  </si>
  <si>
    <t>Mohamed</t>
  </si>
  <si>
    <t>0556008551</t>
  </si>
  <si>
    <t>Interested in: Mira</t>
  </si>
  <si>
    <t>Emira</t>
  </si>
  <si>
    <t>0503610300</t>
  </si>
  <si>
    <t>beauty salon</t>
  </si>
  <si>
    <t>Alexandru Gabriel</t>
  </si>
  <si>
    <t>no  have</t>
  </si>
  <si>
    <t>alexandru@cavalliclubdubai.com</t>
  </si>
  <si>
    <t>Maruf</t>
  </si>
  <si>
    <t>+8801713388777</t>
  </si>
  <si>
    <t>maruf@omc-usa.com</t>
  </si>
  <si>
    <t>Best Price for 1BR Apartment in Burj Khalifa</t>
  </si>
  <si>
    <t>. Is this property available now? As mentioned, it is rented now. How much is the rent contract value now? What is the current selling price? Thank you.</t>
  </si>
  <si>
    <t>S-1590</t>
  </si>
  <si>
    <t>Shamsiddin</t>
  </si>
  <si>
    <t>971553976354</t>
  </si>
  <si>
    <t>shams.n@armsmcgregor.com</t>
  </si>
  <si>
    <t xml:space="preserve"> Marina Diamond 5, Marina Diamonds</t>
  </si>
  <si>
    <t>Please contact me for viewing today. Thank you.</t>
  </si>
  <si>
    <t>Kamlin Moodley</t>
  </si>
  <si>
    <t>27824909924</t>
  </si>
  <si>
    <t>kamlinmoodley@gmail.com</t>
  </si>
  <si>
    <t>Executive bay</t>
  </si>
  <si>
    <t>2bedroom</t>
  </si>
  <si>
    <t>Eva  (other real estate Agent)</t>
  </si>
  <si>
    <t>0525561815</t>
  </si>
  <si>
    <t>City Walk</t>
  </si>
  <si>
    <t>Name: Amar Bait</t>
  </si>
  <si>
    <t>Email: nadjibus@gmail.com</t>
  </si>
  <si>
    <t>Message: hi it is an urgent sale of a 5 bedroom off plan villa in Akoya Oxygen.Thank you</t>
  </si>
  <si>
    <t>+971568030666</t>
  </si>
  <si>
    <t>Interested in: Looking for rent</t>
  </si>
  <si>
    <t>Inquiry: I have a friend arriving from overseas on Dec 11th.She's looking for a short-term studio rental 1 month, might extend to 2 months. Her max monthly budget is AED 6500. Please let me know if you can help. Thanks, Alex</t>
  </si>
  <si>
    <t>+27824909924</t>
  </si>
  <si>
    <t>executive bay 2BR</t>
  </si>
  <si>
    <t>Interested in: City Walk</t>
  </si>
  <si>
    <t>971-558-844939</t>
  </si>
  <si>
    <t>Sara_simah@yahoo.com</t>
  </si>
  <si>
    <t>Sadaf, Jumeirah Beach Residence (JBR), Dubai</t>
  </si>
  <si>
    <t>HellonI have a 1 bed room fully furnished in JBR Sadaf 7.nI want to rent it . If you have any agent working in JBr area please whatsapp me to send you the details and photos of flat. nWhatsApp onlyn0558844939</t>
  </si>
  <si>
    <t>Pooja</t>
  </si>
  <si>
    <t>0506362144</t>
  </si>
  <si>
    <t>hitesh_v_shah@yahoo.com</t>
  </si>
  <si>
    <t>Live on the World Class 18 Hole Golf Course</t>
  </si>
  <si>
    <t>S-1288</t>
  </si>
  <si>
    <t>gosia</t>
  </si>
  <si>
    <t>Greg Gee</t>
  </si>
  <si>
    <t>+447986296567</t>
  </si>
  <si>
    <t>gmaxg_98@yahoo.com</t>
  </si>
  <si>
    <t xml:space="preserve"> Babar</t>
  </si>
  <si>
    <t>92-334-5851000</t>
  </si>
  <si>
    <t>zulobabar@gmail.com</t>
  </si>
  <si>
    <t>00966566938570</t>
  </si>
  <si>
    <t>mo_mahir2005@yahoo.co.in</t>
  </si>
  <si>
    <t xml:space="preserve"> Running Building Materials Trading Business. When is it available for viewing? Thanks.</t>
  </si>
  <si>
    <t>S-1138</t>
  </si>
  <si>
    <t>Mrs Paula</t>
  </si>
  <si>
    <t>+254723666404</t>
  </si>
  <si>
    <t>germix0@gmail.com</t>
  </si>
  <si>
    <t>Ae.Green-Acres.Com lead</t>
  </si>
  <si>
    <t>Live Opposite the Burj Al Arab - Best Unit</t>
  </si>
  <si>
    <t>S-1584</t>
  </si>
  <si>
    <t>Mara Regnery</t>
  </si>
  <si>
    <t>004917664980168</t>
  </si>
  <si>
    <t>mara.regnery@gmail.com</t>
  </si>
  <si>
    <t>Ready to Move | Huge 2 Bedroom with Full Race View</t>
  </si>
  <si>
    <t>I currently live in Germany, working for adidas globally. I will relocate and start working for adidas Dubai in February 2019. Therefore, I am searching for an apartment for rent. Next weekend/week I'll be in Dubai (Dec. 15th). It would be great to  ideally via email. Thank you very much in advance. Best regards, Mara Regnerytake a look at the apartment while I'm visiting Dubai for two days. Please contact me,</t>
  </si>
  <si>
    <t>Abdulaziz</t>
  </si>
  <si>
    <t>0561119982</t>
  </si>
  <si>
    <t>restaurant /juice shop</t>
  </si>
  <si>
    <t>Inquiry: Huge 1 BR Marina View | 80k | Unfurnished</t>
  </si>
  <si>
    <t>Inquiry:  Luxury Studio| Vacant| Flexible Viewings</t>
  </si>
  <si>
    <t xml:space="preserve"> Farida Hamzayeva</t>
  </si>
  <si>
    <t>971-504-026760</t>
  </si>
  <si>
    <t>hamzayeva@hotmail.com</t>
  </si>
  <si>
    <t xml:space="preserve"> John</t>
  </si>
  <si>
    <t>Short Term at cayan Tower | Monthly Rent</t>
  </si>
  <si>
    <t>Jessa</t>
  </si>
  <si>
    <t>0521882385</t>
  </si>
  <si>
    <t>jessa.mariam@gmail.com</t>
  </si>
  <si>
    <t>Beauty salon in Barsha Heights Dubai UAE.</t>
  </si>
  <si>
    <t>R-1277</t>
  </si>
  <si>
    <t>Hi, I am interested in your article advertising Beauty salon in Barsha Heights Dubai UAE</t>
  </si>
  <si>
    <t>Ankush</t>
  </si>
  <si>
    <t>971-565-39867</t>
  </si>
  <si>
    <t>ankush.arora.581@gmail.com</t>
  </si>
  <si>
    <t>Marina Diamonds, Duba</t>
  </si>
  <si>
    <t>Imran Pola</t>
  </si>
  <si>
    <t xml:space="preserve"> 0507707991.</t>
  </si>
  <si>
    <t>ipconcept85@gmail.com</t>
  </si>
  <si>
    <t>Franchise Restaurant | Business For Sale</t>
  </si>
  <si>
    <t>Ma</t>
  </si>
  <si>
    <t>+971528866815</t>
  </si>
  <si>
    <t>madan.khichi@gmail.com</t>
  </si>
  <si>
    <t>Cheapest Studio | Zen 20 Discovery Garden</t>
  </si>
  <si>
    <t>R-1032</t>
  </si>
  <si>
    <t>Fahad Malik</t>
  </si>
  <si>
    <t>Reheman nazhakaiti</t>
  </si>
  <si>
    <t>+61426818054.</t>
  </si>
  <si>
    <t>nazakat.rahman4@gmail.com</t>
  </si>
  <si>
    <t>Msngesh k</t>
  </si>
  <si>
    <t>0507681360.</t>
  </si>
  <si>
    <t>Mbk2409@gmail.com</t>
  </si>
  <si>
    <t>The Sparkle Towers, /Apartment</t>
  </si>
  <si>
    <t>David</t>
  </si>
  <si>
    <t>0558959333</t>
  </si>
  <si>
    <t>Dubizzle / Direct Call</t>
  </si>
  <si>
    <t xml:space="preserve"> Marina Diamond 5</t>
  </si>
  <si>
    <t>Please call back</t>
  </si>
  <si>
    <t>Siddiqa Issa</t>
  </si>
  <si>
    <t xml:space="preserve"> 056-6903636</t>
  </si>
  <si>
    <t>reemissa33@gmail.come</t>
  </si>
  <si>
    <t>kindly call me</t>
  </si>
  <si>
    <t>READY MOVE IN / 3 BEDROOM/ TYPE I / PHASE 1</t>
  </si>
  <si>
    <t>S-1625</t>
  </si>
  <si>
    <t>Leyli Akmammedova</t>
  </si>
  <si>
    <t>971522372023.</t>
  </si>
  <si>
    <t>leyli.akmammedova@cacconsulting.ae</t>
  </si>
  <si>
    <t>Inquiry: Running Restaurant for sale in Jumeirah 2.</t>
  </si>
  <si>
    <t>R-1102</t>
  </si>
  <si>
    <t>Taronish</t>
  </si>
  <si>
    <t>971-556-536076</t>
  </si>
  <si>
    <t>taronishbajan@gmail.com</t>
  </si>
  <si>
    <t>khushru.m@hotmail.com</t>
  </si>
  <si>
    <t>Gated Community|4Bedroom Villas |Al Barsha.</t>
  </si>
  <si>
    <t>R-1176</t>
  </si>
  <si>
    <t>Suha Sulun</t>
  </si>
  <si>
    <t>905-072-902464</t>
  </si>
  <si>
    <t>suhasulun@hotmail.com</t>
  </si>
  <si>
    <t>Siar</t>
  </si>
  <si>
    <t>0585939060</t>
  </si>
  <si>
    <t>siarazami@gmail.com</t>
  </si>
  <si>
    <t>Amazing Price | Ready Soon | Luxury Home.</t>
  </si>
  <si>
    <t>When is it available for viewing? Thanks. Pls send me information by mail</t>
  </si>
  <si>
    <t>S-1608</t>
  </si>
  <si>
    <t>Angela</t>
  </si>
  <si>
    <t>0561137350.</t>
  </si>
  <si>
    <t xml:space="preserve">Angelakkm0622@hotmail.com </t>
  </si>
  <si>
    <t>1BR</t>
  </si>
  <si>
    <t>0522456611</t>
  </si>
  <si>
    <t>sina.alrawi@yahoo.con</t>
  </si>
  <si>
    <t>Perfect Location to your Family|Dubai Hills.</t>
  </si>
  <si>
    <t>S-1170</t>
  </si>
  <si>
    <t>Salem</t>
  </si>
  <si>
    <t>0501444799</t>
  </si>
  <si>
    <t>direct call</t>
  </si>
  <si>
    <t>Mudon /Arabella Townhouses 5BR</t>
  </si>
  <si>
    <t>S-1404</t>
  </si>
  <si>
    <t>Vinod singh</t>
  </si>
  <si>
    <t>0582803418</t>
  </si>
  <si>
    <t>01vinod@gmail.com</t>
  </si>
  <si>
    <t>JLT Apartment Starting 410,000 AED Booking 5% Only Opp to Metro Station</t>
  </si>
  <si>
    <t>share more details, are these ready to move</t>
  </si>
  <si>
    <t>Mrs. Felicia jones</t>
  </si>
  <si>
    <t>jonesfelicia.activist@gmail.com</t>
  </si>
  <si>
    <t>Ae.Green-Acres.Com*</t>
  </si>
  <si>
    <t>Hi, I am interested in the property I will be glad to hear from you.</t>
  </si>
  <si>
    <t>S-1584 /S-1609</t>
  </si>
  <si>
    <t>Hitesh Bhatia</t>
  </si>
  <si>
    <t xml:space="preserve"> 0558807956</t>
  </si>
  <si>
    <t>hiteshabhatia@hotmail.com</t>
  </si>
  <si>
    <t>Huge 2 Bedroom+Study in Executive Bay</t>
  </si>
  <si>
    <t>Walid Gaddouch</t>
  </si>
  <si>
    <t>+96590993929.</t>
  </si>
  <si>
    <t>walidgaddouch@yahoo.fr</t>
  </si>
  <si>
    <t>Want to sell a property</t>
  </si>
  <si>
    <t>Dear I would like to sell my 1 bedroom in Harbour views</t>
  </si>
  <si>
    <t>Sageer Alsha</t>
  </si>
  <si>
    <t>0096566837666</t>
  </si>
  <si>
    <t>Sharhanove@gmail.com</t>
  </si>
  <si>
    <t>Property to sell</t>
  </si>
  <si>
    <t>Hello I am from kuwait i have 17 studio in azizi (riviera) and i want to sell a part of them in a good price like 460K ED I include 5% for the government so if you are interesting to work with me on this pleas i'll send you my contact num and e.mail that you can contact me thank you.</t>
  </si>
  <si>
    <t>LAWRENCE JOSEPH</t>
  </si>
  <si>
    <t>0503890895</t>
  </si>
  <si>
    <t>lawrencejv@gmail.com</t>
  </si>
  <si>
    <t>Mira Oasis Property to sell</t>
  </si>
  <si>
    <t>I have a unit in Mira Oasis1,type H, 3BHK + study + maid, 2287sq ft, plot area 2901 sq ft, end unit, single row. Would like to sell for premium otherwise rent. If interested please whatsapp</t>
  </si>
  <si>
    <t>Serhan Unalan</t>
  </si>
  <si>
    <t>393-331-318858</t>
  </si>
  <si>
    <t>serhan_uenalan@yahoo.de</t>
  </si>
  <si>
    <t>Silverene, Dubai Marina, Dubai</t>
  </si>
  <si>
    <t>Gaziz Seitzhanov</t>
  </si>
  <si>
    <t>+77012100280</t>
  </si>
  <si>
    <t>qwerty_33@list.ru</t>
  </si>
  <si>
    <t>Bluewaters Residences  2BR</t>
  </si>
  <si>
    <t>Message: Hello do you have a Russian speaking consultant? If yes, could you please reach this number on whatsapp +77012100280 Mr. Shakhi Seitzhanov Interested in 2BR apartment in Bluewaters residence</t>
  </si>
  <si>
    <t>S-1646</t>
  </si>
  <si>
    <t>Julia</t>
  </si>
  <si>
    <t>Nomi Leo</t>
  </si>
  <si>
    <t>+971553536606</t>
  </si>
  <si>
    <t>Nomifss63@gmail.com</t>
  </si>
  <si>
    <t>How much is the price</t>
  </si>
  <si>
    <t>Mohammed Ejaz</t>
  </si>
  <si>
    <t>0529339372</t>
  </si>
  <si>
    <t>Office space in Tamani Art Tower, Business Bay-</t>
  </si>
  <si>
    <t>R-1263</t>
  </si>
  <si>
    <t>Ihab</t>
  </si>
  <si>
    <t xml:space="preserve"> 0551425140.</t>
  </si>
  <si>
    <t>ihab.alaaeldine@gmail.com</t>
  </si>
  <si>
    <t>Inquiry: Fresh listing |Sea view| Ready to move</t>
  </si>
  <si>
    <t>FAST BUSINESS</t>
  </si>
  <si>
    <t xml:space="preserve"> +971526414292</t>
  </si>
  <si>
    <t>fastuae1@gmail.com</t>
  </si>
  <si>
    <t>Hello, I would like to office space in Al Nahda,Sharjah, please let me know Thank you  Restaurant Sharjah</t>
  </si>
  <si>
    <t>Hasan gulkaya</t>
  </si>
  <si>
    <t>00905332343592</t>
  </si>
  <si>
    <t>Hgulkaya@bonysocks.com</t>
  </si>
  <si>
    <t>Inquiry: Sidra Villas I</t>
  </si>
  <si>
    <t>S-1054</t>
  </si>
  <si>
    <t xml:space="preserve"> 0529083500</t>
  </si>
  <si>
    <t>Mudon -Arabella</t>
  </si>
  <si>
    <t>Waqas'</t>
  </si>
  <si>
    <t>Rasik</t>
  </si>
  <si>
    <t xml:space="preserve"> +44 07930626373</t>
  </si>
  <si>
    <t xml:space="preserve"> Rgruparelia@aool.com</t>
  </si>
  <si>
    <t>Michael</t>
  </si>
  <si>
    <t>Naeem</t>
  </si>
  <si>
    <t>00639985353867.</t>
  </si>
  <si>
    <t>therealneofrommatrix@gmail.com</t>
  </si>
  <si>
    <t>S-1177</t>
  </si>
  <si>
    <t>Gaetano Giornofelice</t>
  </si>
  <si>
    <t>+12894425517</t>
  </si>
  <si>
    <t xml:space="preserve"> ggforce59@gmil.com</t>
  </si>
  <si>
    <t>I am looking for a long term furnished apartment in the Business Bay Area . one or two bedroom on high floors with a view of the Burj. Up to 70,000 DRM. Starting in February 2019. I look forward to chatting with you. Thank you</t>
  </si>
  <si>
    <t>bedspacer</t>
  </si>
  <si>
    <t xml:space="preserve">Project: Bluewaters residence </t>
  </si>
  <si>
    <t>2BR -Exclusive | Enjoy the island living. Message: hello, do you have a russian speaking consultant? If yes, could you please reach this number on whatsapp +77012100280 Mr. Shakhi Seitzhanov Interested in 2BR apartment in Bluewaters residence</t>
  </si>
  <si>
    <t>Cozy Restaurant and Cafe on Marina Walk</t>
  </si>
  <si>
    <t>Adnan</t>
  </si>
  <si>
    <t>+971558742449.</t>
  </si>
  <si>
    <t>adnan@aarealgroup.com</t>
  </si>
  <si>
    <t>Please contact me.i am agent and i have ready client for sadaf or amwaj cluster budget 75k to 80 k can we do viewinh today at 3:30 Thank you.</t>
  </si>
  <si>
    <t>+31628338300</t>
  </si>
  <si>
    <t>n.chamoun@hotmail.de</t>
  </si>
  <si>
    <t>BEACH VISTA | IN EMAAR WATERFRONT</t>
  </si>
  <si>
    <t>Hi, I saw your ad on dubizzle. Is it available for viewing?</t>
  </si>
  <si>
    <t>S-1202</t>
  </si>
  <si>
    <t>AgustinfloaX</t>
  </si>
  <si>
    <t>83563393442</t>
  </si>
  <si>
    <t>mattresse1@gmail.com</t>
  </si>
  <si>
    <t>Client interested in Emaar Property.</t>
  </si>
  <si>
    <t>Comments: generic viagra how long does it last &lt;a =https://fortunegraphite.com/&gt;fortunegraphite.com&lt;/a&gt; generic viagra tablet &lt;a =https://fortunegraphite.com/&gt;hop over to this website&lt;/a&gt;</t>
  </si>
  <si>
    <t>spam</t>
  </si>
  <si>
    <t>Hamza</t>
  </si>
  <si>
    <t>+971 50 266 5436</t>
  </si>
  <si>
    <t>Direct</t>
  </si>
  <si>
    <t>Studio  Apartment  in Discovery Garden</t>
  </si>
  <si>
    <t>Message: need by january.</t>
  </si>
  <si>
    <t>+ 447957915494</t>
  </si>
  <si>
    <t>adrian@heatwave-group.com</t>
  </si>
  <si>
    <t>Luxury Apartments with Full View of Downtown Dubai.</t>
  </si>
  <si>
    <t>Anil Duhirani</t>
  </si>
  <si>
    <t>0506940149</t>
  </si>
  <si>
    <t>aduhirani@hotmail.com</t>
  </si>
  <si>
    <t>Arabella &gt; ‪ Arabella 1</t>
  </si>
  <si>
    <t>S-1635</t>
  </si>
  <si>
    <t>MUJEB Amanzay</t>
  </si>
  <si>
    <t>+971551777768.</t>
  </si>
  <si>
    <t>parisgallery2@gmail.com</t>
  </si>
  <si>
    <t>S-1437</t>
  </si>
  <si>
    <t>FAhad</t>
  </si>
  <si>
    <t>Jane</t>
  </si>
  <si>
    <t>Nazakat20111@hotmail.com</t>
  </si>
  <si>
    <t>Shop for Sale in Marina Pearl, Dubai Marina</t>
  </si>
  <si>
    <t>Yasmin Kadry</t>
  </si>
  <si>
    <t>+971-55-8279822</t>
  </si>
  <si>
    <t>wiki_1981@hotmail.com</t>
  </si>
  <si>
    <t>2 Bedrooms Apartment|Park view|The best type| Golden Mile 10</t>
  </si>
  <si>
    <t>Saba</t>
  </si>
  <si>
    <t>James Kilcullen</t>
  </si>
  <si>
    <t>Jameskilcullen@live.ie</t>
  </si>
  <si>
    <t>0502556716</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</si>
  <si>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</si>
  <si>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Hani Khader</t>
  </si>
  <si>
    <t xml:space="preserve"> 00966558634391</t>
  </si>
  <si>
    <t>hanikhader@hotmail.com</t>
  </si>
  <si>
    <t>Port de La Mer, La Mer</t>
  </si>
  <si>
    <t>S-1653</t>
  </si>
  <si>
    <t>Saira</t>
  </si>
  <si>
    <t>Tanya</t>
  </si>
  <si>
    <t>0506767065</t>
  </si>
  <si>
    <t>simplytanya@gmail.com</t>
  </si>
  <si>
    <t>Inquiry: Apartment for Rent in Golden Mile 10, Golden Mile</t>
  </si>
  <si>
    <t>Taly</t>
  </si>
  <si>
    <t xml:space="preserve"> +971505345501</t>
  </si>
  <si>
    <t>talytelll@yahoo.com</t>
  </si>
  <si>
    <t>Inquiry: Act One | Act Two towers,</t>
  </si>
  <si>
    <t>S-1656</t>
  </si>
  <si>
    <t>Mr. mohamed karam</t>
  </si>
  <si>
    <t>971558717114</t>
  </si>
  <si>
    <t>m.h.mk@hotmail.com</t>
  </si>
  <si>
    <t>Sudhir</t>
  </si>
  <si>
    <t>+447912475471.</t>
  </si>
  <si>
    <t>sudhir_mr@yahoo.com</t>
  </si>
  <si>
    <t>Enquiry:Dubai Creek Harbour</t>
  </si>
  <si>
    <t>S-1294</t>
  </si>
  <si>
    <t>Faisal</t>
  </si>
  <si>
    <t>0557231938</t>
  </si>
  <si>
    <t>1 Bedroom</t>
  </si>
  <si>
    <t>Name: Mohamad</t>
  </si>
  <si>
    <t>Mobile: +971565498252.</t>
  </si>
  <si>
    <t>Email: m.dirani88@gmail.com</t>
  </si>
  <si>
    <t>Enquiry: Arabella 2, Mudon</t>
  </si>
  <si>
    <t>Agent /  Client</t>
  </si>
  <si>
    <t>Zahra Raja</t>
  </si>
  <si>
    <t>no respond</t>
  </si>
  <si>
    <t>+971552042984</t>
  </si>
  <si>
    <t>zahraraja890@hotmail.co.uk</t>
  </si>
  <si>
    <t>Property finder /Justproperty</t>
  </si>
  <si>
    <t>Ref: HSR-R-1129</t>
  </si>
  <si>
    <t>Furnished Studio|Standpoint A</t>
  </si>
  <si>
    <t>Tasneem</t>
  </si>
  <si>
    <t xml:space="preserve">0561155335. </t>
  </si>
  <si>
    <t>tasneemhamza@gmail.com</t>
  </si>
  <si>
    <t>Beach Vista, EMAAR Beachfront</t>
  </si>
  <si>
    <t>Benjamin Hunter</t>
  </si>
  <si>
    <t>00447910 030303</t>
  </si>
  <si>
    <t>Benjamin.Hunter@LH1.London</t>
  </si>
  <si>
    <t>Dear Fahad, LH1 London are attending Cityscape 2018 and would like to meet you if you are available. LH1 London is a UK based property company and sell our property to the global investor audience via our network of agents and brokers largely based in Asia and UAE. We are always interested to meet new top tier brokers who have an investor database that would be interested to sell our prime located apartment schemes in the UK’s major cities. Do you sell UK investment property or would you be interested to sell our UK investment property? If so we would like to meet you at Cityscape on 2nd or 3rd October to tell you more about our developments. We look forward to hearing from you. Best, Benjamin.</t>
  </si>
  <si>
    <t xml:space="preserve"> Gladys Kushee</t>
  </si>
  <si>
    <t>looking for office in business bay</t>
  </si>
  <si>
    <t xml:space="preserve"> +9710545945252</t>
  </si>
  <si>
    <t>gladys@page3retailbrand.com</t>
  </si>
  <si>
    <t>HSR-L-1343</t>
  </si>
  <si>
    <t>Shireen Hassan</t>
  </si>
  <si>
    <t>+971509190240</t>
  </si>
  <si>
    <t>shireenzht@gmail.com</t>
  </si>
  <si>
    <t>Neelam</t>
  </si>
  <si>
    <t>soft_gull@hotmail.com</t>
  </si>
  <si>
    <t>Paulina</t>
  </si>
  <si>
    <t xml:space="preserve">0526404202. </t>
  </si>
  <si>
    <t>p.walicagajewska@gmail.com</t>
  </si>
  <si>
    <t>HSR-R-1274</t>
  </si>
  <si>
    <t>jurmeth tshering</t>
  </si>
  <si>
    <t>cant be reach</t>
  </si>
  <si>
    <t>+975856524201</t>
  </si>
  <si>
    <t>jstshering@gmail.com</t>
  </si>
  <si>
    <t>PropSpace. / Justproperty</t>
  </si>
  <si>
    <t>Standpoint A /Ref: HSR-R-1236</t>
  </si>
  <si>
    <t>Zelrese Jones</t>
  </si>
  <si>
    <t>not interested</t>
  </si>
  <si>
    <t>971507393788</t>
  </si>
  <si>
    <t>zelrese.jones@gmail.com</t>
  </si>
  <si>
    <t xml:space="preserve"> Najat</t>
  </si>
  <si>
    <t>viewing at 18:00 10/03/2018</t>
  </si>
  <si>
    <t>najatyousfi@gmail.com</t>
  </si>
  <si>
    <t>propspace / bayut</t>
  </si>
  <si>
    <t xml:space="preserve"> Lana Abdallah</t>
  </si>
  <si>
    <t>+9710554480566</t>
  </si>
  <si>
    <t>abdalla.lana@gmail.com</t>
  </si>
  <si>
    <t>propspace / propertyfinder'</t>
  </si>
  <si>
    <t>Standpoint A</t>
  </si>
  <si>
    <t>Elaine Oneill</t>
  </si>
  <si>
    <t>9710506217558</t>
  </si>
  <si>
    <t>elliemaycoventry@yahoo.co.uk</t>
  </si>
  <si>
    <t>Marina</t>
  </si>
  <si>
    <t>971505291511</t>
  </si>
  <si>
    <t>marinasagradyan82@gmail.com</t>
  </si>
  <si>
    <t>Ref: HSR-R-1276</t>
  </si>
  <si>
    <t>Hasib Khan</t>
  </si>
  <si>
    <t>0529966099.</t>
  </si>
  <si>
    <t>hk@udrive.ae</t>
  </si>
  <si>
    <t>Interested In: Running Restaurant for sale in Jumeirah 2.</t>
  </si>
  <si>
    <t>Carly Botterill</t>
  </si>
  <si>
    <t xml:space="preserve">0569405024. </t>
  </si>
  <si>
    <t>Carly.joanne@hotmail.com</t>
  </si>
  <si>
    <t>Wasl</t>
  </si>
  <si>
    <t>viewing at 18:00 10/4/2018</t>
  </si>
  <si>
    <t>0529976227</t>
  </si>
  <si>
    <t xml:space="preserve">Bayut / mgs </t>
  </si>
  <si>
    <t>executive bay 1BR</t>
  </si>
  <si>
    <t>Lea Chatila</t>
  </si>
  <si>
    <t>viewing ..anytime</t>
  </si>
  <si>
    <t xml:space="preserve">971 050 972 9558. </t>
  </si>
  <si>
    <t xml:space="preserve">chatilalea@gmail.com </t>
  </si>
  <si>
    <t>: HSR-R-1236</t>
  </si>
  <si>
    <t>khalid</t>
  </si>
  <si>
    <t>+12022470075</t>
  </si>
  <si>
    <t xml:space="preserve"> kyasin@post.harvard.edu</t>
  </si>
  <si>
    <t>HARESH</t>
  </si>
  <si>
    <t xml:space="preserve"> 0565345479</t>
  </si>
  <si>
    <t>HL@RIGHTMOVEMORTGAGES.AE</t>
  </si>
  <si>
    <t>HSR-S-1561</t>
  </si>
  <si>
    <t>971558894534</t>
  </si>
  <si>
    <t>wasfi77@hotmail.com</t>
  </si>
  <si>
    <t>Dubai Hills Estate S1064</t>
  </si>
  <si>
    <t>Stefanie</t>
  </si>
  <si>
    <t>0524860014</t>
  </si>
  <si>
    <t>holke.stefanie@gmail.com</t>
  </si>
  <si>
    <t>: HSR-R-1092</t>
  </si>
  <si>
    <t>Hello, My partner and I are looking for a rental property in The Views with golf course views for AED110,000 p.a. (quarterly checks), just like this listed property. Is it still available or do you have similar properties in your portfolio? Many thanks, Stefanie</t>
  </si>
  <si>
    <t>claudio Fuscolo</t>
  </si>
  <si>
    <t>Mobile: +254711443567</t>
  </si>
  <si>
    <t>Email: claudiofuscolo@yahoo.it</t>
  </si>
  <si>
    <t>From: Propertyfinder* / Best Price for 1BR Apartment in Burj Khalifa</t>
  </si>
  <si>
    <t xml:space="preserve">Maria Wadiwala </t>
  </si>
  <si>
    <t>+971547572278</t>
  </si>
  <si>
    <t>mariawadiwala8@gmail.com</t>
  </si>
  <si>
    <t>Ready to Move In 2BR + Study in Executive Bay. : HSR-R-1232</t>
  </si>
  <si>
    <t>vikas</t>
  </si>
  <si>
    <t>+551372235</t>
  </si>
  <si>
    <t>Email: vkagrawal86@gmail.com</t>
  </si>
  <si>
    <t>executive bay 1709</t>
  </si>
  <si>
    <t>thjqogmzznrxlvlxgt437</t>
  </si>
  <si>
    <t>Mobile: +8618024410895</t>
  </si>
  <si>
    <t>Email: thjqogmzznrxlvlxgt437@yahoo.com</t>
  </si>
  <si>
    <t>Message: I am looking to buy hi,I'm interested In this want to buy this house and how can I get it PM WhatsApp me +8618024410895 thanks</t>
  </si>
  <si>
    <t>13/10/2018</t>
  </si>
  <si>
    <t>Joachim Heberlein</t>
  </si>
  <si>
    <t>491788603389</t>
  </si>
  <si>
    <t>heberlein.j@bluewin.ch</t>
  </si>
  <si>
    <t>Sylvia De Ramos</t>
  </si>
  <si>
    <t>009710524864195</t>
  </si>
  <si>
    <t>Email: silvia.vertigo@hotmail.com</t>
  </si>
  <si>
    <t>Apartment on the Beach of Jumeirah. Close to Ain Dubai and Palm Jumeirah.</t>
  </si>
  <si>
    <t>Mary</t>
  </si>
  <si>
    <t>0509156868</t>
  </si>
  <si>
    <t>Mary.bazrafshan@yahoo.ca</t>
  </si>
  <si>
    <t>15/10/2018</t>
  </si>
  <si>
    <t>monika</t>
  </si>
  <si>
    <t>Mobile: 0522447250.</t>
  </si>
  <si>
    <t>Email: mk@dandbdubai.com</t>
  </si>
  <si>
    <t>/ Huge 2BR |Executive bay</t>
  </si>
  <si>
    <t xml:space="preserve"> Aamir</t>
  </si>
  <si>
    <t>Mobile: 0529684840</t>
  </si>
  <si>
    <t>Message: Seeling Property DUbai Hills Maple3</t>
  </si>
  <si>
    <t>Tsegay Assehfaw</t>
  </si>
  <si>
    <t>+966552016425</t>
  </si>
  <si>
    <t>Email: tsegai@gmail.com</t>
  </si>
  <si>
    <t>From: Facebook offplan offer</t>
  </si>
  <si>
    <t>Messege: 2_beds</t>
  </si>
  <si>
    <t>16/10/2018</t>
  </si>
  <si>
    <t>Ainur</t>
  </si>
  <si>
    <t>Email:  ainura7@mail.ru</t>
  </si>
  <si>
    <t>From: Propertyfinder / Al Khudrawi, Shoreline ApartmentsAinur</t>
  </si>
  <si>
    <t xml:space="preserve"> Farhana Mohammed</t>
  </si>
  <si>
    <t xml:space="preserve"> +966 554324767</t>
  </si>
  <si>
    <t xml:space="preserve"> farhana.mohammed@hotmail.com</t>
  </si>
  <si>
    <t>From: JustProperty / Kempinski Palm Residence 2 Bedroom Apartment for rent</t>
  </si>
  <si>
    <t>Message:  Please send me more information about this property. Thank you I will be in Dubai next week and would like to see the property.</t>
  </si>
  <si>
    <t>17/10/2018</t>
  </si>
  <si>
    <t>Алена</t>
  </si>
  <si>
    <t>+79857662224</t>
  </si>
  <si>
    <t>Email: al2224@gmail.com</t>
  </si>
  <si>
    <t>From: PropertyFinder</t>
  </si>
  <si>
    <t>Message: Добрый день! У нас есть несколько объектов недвижимости на Пальме и в JBR , которые мы сдаем в аренду и готовы продать, если стоимость нас устроит. Если вам интересно сотрудничество, свяжитесь со мной На каких условиях работает ваше агенство с клиентами?</t>
  </si>
  <si>
    <t>Hugh Neil</t>
  </si>
  <si>
    <t>0506505127</t>
  </si>
  <si>
    <t>Email: hughsneil@hotmail.com</t>
  </si>
  <si>
    <t>From: JustProperty /Palm Residence, The Crescent</t>
  </si>
  <si>
    <t>18/10/2018</t>
  </si>
  <si>
    <t>Ajit kumar</t>
  </si>
  <si>
    <t>0564128607</t>
  </si>
  <si>
    <t>Email: ajit_k@icloud.com</t>
  </si>
  <si>
    <t>From: Contact form from</t>
  </si>
  <si>
    <t>Message:  hi i pls send me offer for villa</t>
  </si>
  <si>
    <t>22/10/2018</t>
  </si>
  <si>
    <t>Name: juliasharif@zener.ae</t>
  </si>
  <si>
    <t>saba</t>
  </si>
  <si>
    <t>Phone: 00971505529216</t>
  </si>
  <si>
    <t>Email: juliasharif@zener.ae</t>
  </si>
  <si>
    <t>PROJECT: Madinat Jumeirah Living</t>
  </si>
  <si>
    <t>Message: 1/2 bedroom apartments also prices</t>
  </si>
  <si>
    <t>Name: Courtney Murray</t>
  </si>
  <si>
    <t>Mobile:  971-521-020679</t>
  </si>
  <si>
    <t>Email: courts87@me.com</t>
  </si>
  <si>
    <t>From: Bayut / Zahra Apartments, Town Square, Dubai</t>
  </si>
  <si>
    <t>Name: Mohannad</t>
  </si>
  <si>
    <t>Mobile: 0563334750.</t>
  </si>
  <si>
    <t>Email: mohannadjo96@yahoo.com</t>
  </si>
  <si>
    <t>From:  Propertyfinder. / Sea Sunset View | Jacuzzi | Big Terrace</t>
  </si>
  <si>
    <t>Name: Onur Kalayci</t>
  </si>
  <si>
    <t>Mobile: +971524589774.</t>
  </si>
  <si>
    <t>Email: onur.kalayci@oracle.com</t>
  </si>
  <si>
    <t>From: PropertyFinder / Prestigious 1 Bedroom in Tiara Sea view</t>
  </si>
  <si>
    <t>23/10/2018</t>
  </si>
  <si>
    <t>Name:  Gabriele Ripfl</t>
  </si>
  <si>
    <t>Mobile: +971582625854</t>
  </si>
  <si>
    <t>Email: gabi3106@gmx.at</t>
  </si>
  <si>
    <t>From: dubizzle  / Cheapest 1 Bedroom 06 Series |The Hills A1.</t>
  </si>
  <si>
    <t>Message: Pls send floor plan by email or whatsapp, dont call as I am out of the country right now. Thanks.</t>
  </si>
  <si>
    <t>Name:  Montalbano</t>
  </si>
  <si>
    <t>Email:  emontalbano78@gmail.com</t>
  </si>
  <si>
    <t>From: Dubizzle</t>
  </si>
  <si>
    <t>Message: Hi, I am interested in your article advertising Well Known Restaurant in Prime of Marina</t>
  </si>
  <si>
    <t>Name: Sasa</t>
  </si>
  <si>
    <t>971504246067</t>
  </si>
  <si>
    <t>Email:  sasa.isakovic@gmail.com</t>
  </si>
  <si>
    <t>From: * Property FInder* / Al Reem 2, Al Reem</t>
  </si>
  <si>
    <t>Name: Gabriel</t>
  </si>
  <si>
    <t>971505535708</t>
  </si>
  <si>
    <t>From: Direct Call</t>
  </si>
  <si>
    <t>Interested In: Villa/House for Sale</t>
  </si>
  <si>
    <t>Name: Ahmad</t>
  </si>
  <si>
    <t>971523907017</t>
  </si>
  <si>
    <t>Direct Call: Sale in Executive Bay, Business Bay</t>
  </si>
  <si>
    <t>Interested in : 1bedroom Apartment in business bay</t>
  </si>
  <si>
    <t>Name: Chris</t>
  </si>
  <si>
    <t>0564569857</t>
  </si>
  <si>
    <t>Direct Call / Executive Bay 1Bedroom</t>
  </si>
  <si>
    <t>Message: can be possible 6 cheques 65k .</t>
  </si>
  <si>
    <t>24/10/2018</t>
  </si>
  <si>
    <t>Name: Rehman undefined</t>
  </si>
  <si>
    <t>From: Justproperty / 2 BR / Beautiful Marina views and Sea view</t>
  </si>
  <si>
    <t>Name: Shujjat Qureshi</t>
  </si>
  <si>
    <t>971-050-6755060</t>
  </si>
  <si>
    <t>Email: shujjat.q@gmail.com</t>
  </si>
  <si>
    <t>From: Bayut / Payment Plan in 6 years 3/4 BR Townhouse / Reem Community, Arabian Ranches 2, Dubai</t>
  </si>
  <si>
    <t>27/10/2018</t>
  </si>
  <si>
    <t>Name: Raj</t>
  </si>
  <si>
    <t>0502108018.</t>
  </si>
  <si>
    <t>Email: Rajeshncc@ymail.com</t>
  </si>
  <si>
    <t>From: Property Finder /  Arabella Townhouses, Mudon</t>
  </si>
  <si>
    <t>Name: Timothy Ludwig</t>
  </si>
  <si>
    <t>Mobile: +254711625144.</t>
  </si>
  <si>
    <t>Email: ludwigtimothy9@gmail.com</t>
  </si>
  <si>
    <t>From: Property Finder / Running Cafe in Jebel Ali Office Building</t>
  </si>
  <si>
    <t>Name: amit</t>
  </si>
  <si>
    <t>Mobile: 00966564085477.</t>
  </si>
  <si>
    <t>Email: amit.n.marwah@gmail.com</t>
  </si>
  <si>
    <t>From: PropertyFinder / Luxury 1Bed with Full Burj Khalifa View</t>
  </si>
  <si>
    <t>Name: Osama Saber</t>
  </si>
  <si>
    <t>+971509931811</t>
  </si>
  <si>
    <t>Email: product@drnutrition.com</t>
  </si>
  <si>
    <t>Message: Hello Mr. Fahad Haq, We have commercial warehouse + offices for sale @ 10 Million in Al Qusais - Dubai If you are interested to know more &amp; work on it please send me WhatsApp message @ +971509931811 Thanks. Osama Saber.</t>
  </si>
  <si>
    <t>28/10/2018</t>
  </si>
  <si>
    <t>Name: Rainer Michael Struck</t>
  </si>
  <si>
    <t>971585002005</t>
  </si>
  <si>
    <t>Email: rainer-michael.struck@gmx.at</t>
  </si>
  <si>
    <t>From: *Dubizzle* / Sea Sunset View | Jacuzzi | Big Terrace.</t>
  </si>
  <si>
    <t>Message: When is it available for viewing? Thanks. My mobile is not active for calls at the moment as I’m in Europe right now. Please WhattsApp me in case. Thank you, kind regards</t>
  </si>
  <si>
    <t>Name: Rob Hayes</t>
  </si>
  <si>
    <t>971502756953.</t>
  </si>
  <si>
    <t>Email: rkhayes2610@gmail.com</t>
  </si>
  <si>
    <t>From: Property Finder / Unfurnished | Sea view| Ready to move in</t>
  </si>
  <si>
    <t>Nicky</t>
  </si>
  <si>
    <t>nikkydeesmall@yahoo.co.uk</t>
  </si>
  <si>
    <t>Just Property FInder</t>
  </si>
  <si>
    <t>executive Bay / 1br</t>
  </si>
  <si>
    <t>Nathan Clark</t>
  </si>
  <si>
    <t>+61437242450</t>
  </si>
  <si>
    <t>nathan.clark6@bigpond.com</t>
  </si>
  <si>
    <t xml:space="preserve">Just Property </t>
  </si>
  <si>
    <t>/ Oceana Aegean 1 Bedroom Apartment for rent</t>
  </si>
  <si>
    <t>Message:  Is this dog friendly as Im looking to rent from 26th Nov for 3 weeks. Thank you</t>
  </si>
  <si>
    <t>25/10/2018</t>
  </si>
  <si>
    <t>Mr. Ibrahim alshanti</t>
  </si>
  <si>
    <t>+971565600552</t>
  </si>
  <si>
    <t>ibraalshanti@gmail.com</t>
  </si>
  <si>
    <t xml:space="preserve"> Propertywifi</t>
  </si>
  <si>
    <t>Agent looking to Network</t>
  </si>
  <si>
    <t>Name: Ashraf</t>
  </si>
  <si>
    <t>0504556580</t>
  </si>
  <si>
    <t>ashrafk1_uae@yahoo.com</t>
  </si>
  <si>
    <t>Message: Is it available for viewing Today, Oct 29 in the Evening? Thanks</t>
  </si>
  <si>
    <t>Vadym</t>
  </si>
  <si>
    <t xml:space="preserve"> +971544-962-288</t>
  </si>
  <si>
    <t>redcross806@gmail.com</t>
  </si>
  <si>
    <t>Interested in: Huge 1 BR Marina View | 85k | Unfurnished</t>
  </si>
  <si>
    <t>Nicola Ackroyd</t>
  </si>
  <si>
    <t>971585611787</t>
  </si>
  <si>
    <t>nicola.ackroyd11@gmail.com</t>
  </si>
  <si>
    <t>Hello I’m looking for a monthly apartment in JLT or Marina. Move in date 10th November No more than 10500 Bills included 1 bed Please call or email with details Thanks</t>
  </si>
  <si>
    <t>29/10/2018</t>
  </si>
  <si>
    <t>Name: Feico</t>
  </si>
  <si>
    <t>00971585107384</t>
  </si>
  <si>
    <t>Email: feicoboonstra@gmail.com</t>
  </si>
  <si>
    <t>From: Propertyfinder  Sparkle Towers, Dubai Marina</t>
  </si>
  <si>
    <t>Message: Can you please update me on the expected hand-over date? Please contact me.</t>
  </si>
  <si>
    <t>From: Property Finder / Prestigious 1 Bedroom in Tiara Sea view</t>
  </si>
  <si>
    <t>Name:Andrew Hill</t>
  </si>
  <si>
    <t>Email: andrewhilluk@gmail.com</t>
  </si>
  <si>
    <t>Mobile:0566039313.</t>
  </si>
  <si>
    <t>From: Propertywifi / Looking to Rent</t>
  </si>
  <si>
    <t>Name:</t>
  </si>
  <si>
    <t>Mr. Mohamed Elshehawy</t>
  </si>
  <si>
    <t>Phone:</t>
  </si>
  <si>
    <t>Email:</t>
  </si>
  <si>
    <t>advocat2mohamed@gmail.com</t>
  </si>
  <si>
    <t>Message: Dear Sir / Madam,</t>
  </si>
  <si>
    <t>As you are currently marketing Properties To Rent in Sharjah, I believe you would be able to assist me with my enquiry.</t>
  </si>
  <si>
    <t>If possible, please provide me with the following information: Payment details, Availability and View.</t>
  </si>
  <si>
    <t>Please Reply any day, Reply any time by Email</t>
  </si>
  <si>
    <t>Kindly assign me an agent who speaks my preferred language in Arabic.</t>
  </si>
  <si>
    <t>I look forward to hearing from you soon</t>
  </si>
  <si>
    <t>Kind regards,</t>
  </si>
  <si>
    <t>Mohamed elshehawy</t>
  </si>
  <si>
    <t>Preferred Language :</t>
  </si>
  <si>
    <t>Arabic</t>
  </si>
  <si>
    <t xml:space="preserve">Start Of Call </t>
  </si>
  <si>
    <t>End Call</t>
  </si>
  <si>
    <t>Mobile Number</t>
  </si>
  <si>
    <t>Portal name</t>
  </si>
  <si>
    <t>Agents</t>
  </si>
  <si>
    <t>Call start : 2018-12-09 17:12:03</t>
  </si>
  <si>
    <t>Call end : 2018-12-09 17:13:21</t>
  </si>
  <si>
    <t>447986296567</t>
  </si>
  <si>
    <t xml:space="preserve">Property finder </t>
  </si>
  <si>
    <t>Victoria Bekova,</t>
  </si>
  <si>
    <t>Call start : 2018-12-09 13:17:30</t>
  </si>
  <si>
    <t>Call end : 2018-12-09 13:18:25</t>
  </si>
  <si>
    <t>+971564174297</t>
  </si>
  <si>
    <t>Call start : 2018-12-09 13:02:07</t>
  </si>
  <si>
    <t>Call end : 2018-12-09 13:03:54</t>
  </si>
  <si>
    <t>+97144087021</t>
  </si>
  <si>
    <t>Call start : 2018-12-10 10:18:25</t>
  </si>
  <si>
    <t>Call end : 2018-12-10 10:20:58</t>
  </si>
  <si>
    <t xml:space="preserve"> +971506242064</t>
  </si>
  <si>
    <t>Shane Rawolle,</t>
  </si>
  <si>
    <t>Call start : 2018-12-10 13:33:08</t>
  </si>
  <si>
    <t>Call end : 2018-12-10 13:33:16</t>
  </si>
  <si>
    <t>+97142685300</t>
  </si>
  <si>
    <t>Call start : 2018-12-11 10:07:44</t>
  </si>
  <si>
    <t>Call end : 2018-12-11 10:08:31</t>
  </si>
  <si>
    <t>Call start : 2018-12-11 09:17:39</t>
  </si>
  <si>
    <t>Call end : 2018-12-11 09:18:45</t>
  </si>
  <si>
    <t>+97146098875</t>
  </si>
  <si>
    <t>971529069199</t>
  </si>
  <si>
    <t>Shane Rawolle</t>
  </si>
  <si>
    <t>Missed</t>
  </si>
  <si>
    <t>971554083391</t>
  </si>
  <si>
    <t>Victoria Bekova</t>
  </si>
  <si>
    <t>971556008551</t>
  </si>
  <si>
    <t>97148848833</t>
  </si>
  <si>
    <t>H &amp; S Real Estate</t>
  </si>
  <si>
    <t>Call start : 2018-12-11 15:59:14</t>
  </si>
  <si>
    <t>Call end : 2018-12-11 16:00:00</t>
  </si>
  <si>
    <t>97155462578</t>
  </si>
  <si>
    <t>971567217211</t>
  </si>
  <si>
    <t>971544450515</t>
  </si>
  <si>
    <t>Not connected</t>
  </si>
  <si>
    <t xml:space="preserve">+97147018600 </t>
  </si>
  <si>
    <t>Waqas Khan</t>
  </si>
  <si>
    <t>Call start : 2018-12-12 17:16:11</t>
  </si>
  <si>
    <t>Call end : 2018-12-12 17:16:48</t>
  </si>
  <si>
    <t xml:space="preserve">+971506246482 </t>
  </si>
  <si>
    <t>Call start : 2018-12-12 16:11:59</t>
  </si>
  <si>
    <t>Call end : 2018-12-12 16:12:24</t>
  </si>
  <si>
    <t>97156195980</t>
  </si>
  <si>
    <t>Call start : 2018-12-13 15:43:12</t>
  </si>
  <si>
    <t>Call end : 2018-12-13 15:43:18</t>
  </si>
  <si>
    <t>39150150</t>
  </si>
  <si>
    <t>Call start : 2018-12-13 15:19:20</t>
  </si>
  <si>
    <t>Call end : 2018-12-13 15:22:04</t>
  </si>
  <si>
    <t>97144087024</t>
  </si>
  <si>
    <t xml:space="preserve">+971504366434 </t>
  </si>
  <si>
    <t>16 Dec 2018 Time: 11:01:20 AM</t>
  </si>
  <si>
    <t>0502974339</t>
  </si>
  <si>
    <t>16 Dec 2018 Time: 10:48:28 AM</t>
  </si>
  <si>
    <t>0501427929</t>
  </si>
  <si>
    <t>Recieved</t>
  </si>
  <si>
    <t>Call start : 2018-12-17 13:24:55</t>
  </si>
  <si>
    <t>Call end : 2018-12-17 13:25:54</t>
  </si>
  <si>
    <t>97144372092</t>
  </si>
  <si>
    <t>Call start : 2018-12-17 13:14:39</t>
  </si>
  <si>
    <t>Call end : 2018-12-17 13:17:16</t>
  </si>
  <si>
    <t>971507827558</t>
  </si>
  <si>
    <t>Fahad Haq</t>
  </si>
  <si>
    <t>Call start : 2018-12-15 15:04:16</t>
  </si>
  <si>
    <t>Call end : 2018-12-15 15:06:36</t>
  </si>
  <si>
    <t>971557355122</t>
  </si>
  <si>
    <t>Call start : 2018-12-15 14:51:59</t>
  </si>
  <si>
    <t>Call end : 2018-12-15 14:52:07</t>
  </si>
  <si>
    <t>Call start : 2018-12-19 15:52:03</t>
  </si>
  <si>
    <t>Call end : 2018-12-19 15:52:05</t>
  </si>
  <si>
    <t>971552413258</t>
  </si>
  <si>
    <t>Aysel Seyidova</t>
  </si>
  <si>
    <t>+971526908645</t>
  </si>
  <si>
    <t>Maryam bilal</t>
  </si>
  <si>
    <t>Call start : 2018-11-14 15:42:13</t>
  </si>
  <si>
    <t>Call end : 2018-11-14 15:42:28</t>
  </si>
  <si>
    <t>971521234123</t>
  </si>
  <si>
    <t>Jamiel Bux,</t>
  </si>
  <si>
    <t>Call start : 2018-11-14 11:36:21</t>
  </si>
  <si>
    <t>Call end : 2018-11-14 11:38:21</t>
  </si>
  <si>
    <t>971509819937</t>
  </si>
  <si>
    <t>Call start : 2018-12-23 16:31:59</t>
  </si>
  <si>
    <t>Call end : 2018-12-23 16:32:08</t>
  </si>
  <si>
    <t>+97143414239</t>
  </si>
  <si>
    <t>Emily Toma,</t>
  </si>
  <si>
    <t>Date: 20 Dec 2018</t>
  </si>
  <si>
    <t>Time: 04:26:46 PM</t>
  </si>
  <si>
    <t>0586672732</t>
  </si>
  <si>
    <t>Time: 04:32:39 PM</t>
  </si>
  <si>
    <t xml:space="preserve"> 0586672732</t>
  </si>
  <si>
    <t>Call start : 2019-01-02 09:42:46</t>
  </si>
  <si>
    <t>Call end : 2019-01-02 09:42:49</t>
  </si>
  <si>
    <t xml:space="preserve">Fahad </t>
  </si>
  <si>
    <t>Call start : 2019-01-01 14:25:40</t>
  </si>
  <si>
    <t>Call end : 2019-01-01 14:25:47</t>
  </si>
  <si>
    <t>971545721482</t>
  </si>
  <si>
    <t>Call Time: 4/5/2019 23:55:00</t>
  </si>
  <si>
    <t>Call Time: 05 Apr 2019 23:55</t>
  </si>
  <si>
    <t>Kim Wells</t>
  </si>
  <si>
    <t>0569957077</t>
  </si>
  <si>
    <t>kimwells200@yahoo.com</t>
  </si>
  <si>
    <t>P</t>
  </si>
  <si>
    <t>RENT</t>
  </si>
  <si>
    <t>Turia Tower B,</t>
  </si>
  <si>
    <t>Moussa</t>
  </si>
  <si>
    <t>0567076585</t>
  </si>
  <si>
    <t>Mousa11b2@gmail.com</t>
  </si>
  <si>
    <t>Looking for 3BR in Sharjah area</t>
  </si>
  <si>
    <t>Miriam Hurtado</t>
  </si>
  <si>
    <t>0582592858</t>
  </si>
  <si>
    <t>miritareina@hotmail.com</t>
  </si>
  <si>
    <t>D</t>
  </si>
  <si>
    <t>JVC Villas District 11</t>
  </si>
  <si>
    <t>Mr Graham</t>
  </si>
  <si>
    <t>0551301275</t>
  </si>
  <si>
    <t>jamimota2011@outlook.com</t>
  </si>
  <si>
    <t>Jash Hamad, Shoreline Apartments</t>
  </si>
  <si>
    <t>Razi Islam</t>
  </si>
  <si>
    <t>971504369438</t>
  </si>
  <si>
    <t>Razi.islam1@gmail.com</t>
  </si>
  <si>
    <t>Sadaf 7</t>
  </si>
  <si>
    <t>+447881385277</t>
  </si>
  <si>
    <t>Cbounden@hotmail.co.uk</t>
  </si>
  <si>
    <t>Golden Mile 9, Golden Mile</t>
  </si>
  <si>
    <t>Mr. سعد عبدالله</t>
  </si>
  <si>
    <t>+966505643170</t>
  </si>
  <si>
    <t>alhafyan1@hotmail.com</t>
  </si>
  <si>
    <t>SALES</t>
  </si>
  <si>
    <t>Leads Group</t>
  </si>
  <si>
    <t>Violetlight Angel-Do</t>
  </si>
  <si>
    <t>0566356833</t>
  </si>
  <si>
    <t>doris@5izmerenie.com.ua</t>
  </si>
  <si>
    <t>Bahar 4, Bahar</t>
  </si>
  <si>
    <t>tabrez dossa</t>
  </si>
  <si>
    <t>0506255016</t>
  </si>
  <si>
    <t>Running JLT Restaurant and Cafe business for sale</t>
  </si>
  <si>
    <t>Zabir Uella</t>
  </si>
  <si>
    <t>+447855308736</t>
  </si>
  <si>
    <t>zabiella@hotmail.com</t>
  </si>
  <si>
    <t>Nelly Saad</t>
  </si>
  <si>
    <t>saadnelly@gmail.com</t>
  </si>
  <si>
    <t>JP</t>
  </si>
  <si>
    <t>Bahar 4</t>
  </si>
  <si>
    <t>Melanie Cheng-Smit</t>
  </si>
  <si>
    <t>0509237642</t>
  </si>
  <si>
    <t>Liamcheng@yahoo.com</t>
  </si>
  <si>
    <t>District 12, Jumeirah Village Circle</t>
  </si>
  <si>
    <t>nouf</t>
  </si>
  <si>
    <t>0534426426</t>
  </si>
  <si>
    <t>noufalhaqbani@gmail.com</t>
  </si>
  <si>
    <t>OFF PLAN</t>
  </si>
  <si>
    <t>Maple</t>
  </si>
  <si>
    <t>Vassilis Tsakalos</t>
  </si>
  <si>
    <t>0525130614</t>
  </si>
  <si>
    <t>vtsakalo@its.jnj.com</t>
  </si>
  <si>
    <t>Marina Terrace, Dubai Marina</t>
  </si>
  <si>
    <t>Alisha</t>
  </si>
  <si>
    <t>0554153105</t>
  </si>
  <si>
    <t>kopyova@inbox.ru</t>
  </si>
  <si>
    <t>SALE</t>
  </si>
  <si>
    <t>THE HILLS 01</t>
  </si>
  <si>
    <t>Leads group</t>
  </si>
  <si>
    <t>Mike</t>
  </si>
  <si>
    <t>0504702840</t>
  </si>
  <si>
    <t>maya_oro@hotmail.com</t>
  </si>
  <si>
    <t>Michelle Abalos</t>
  </si>
  <si>
    <t xml:space="preserve"> 0565756257</t>
  </si>
  <si>
    <t>misyhelabalos@yahoo.com</t>
  </si>
  <si>
    <t>Studio Apartment in Building 59 Discovery Garden</t>
  </si>
  <si>
    <t>0562747708</t>
  </si>
  <si>
    <t>Alex@stmarksestates.com</t>
  </si>
  <si>
    <t>Villa for Rent in Al Barsha 1, Al Barsha</t>
  </si>
  <si>
    <t>Humam aljazaeri</t>
  </si>
  <si>
    <t>00963315712431</t>
  </si>
  <si>
    <t>humamaljazaeri4@gmail.com</t>
  </si>
  <si>
    <t>Message: Greetings, Please I want to buy a house property for my family in your country, please can you help me on this? Thanks and looking forward to hearing from you. Humam</t>
  </si>
  <si>
    <t>tommy</t>
  </si>
  <si>
    <t>0502577077</t>
  </si>
  <si>
    <t>agroudy@aucegypt.edu</t>
  </si>
  <si>
    <t>Client Interested in The Address Dubai Mall,</t>
  </si>
  <si>
    <t xml:space="preserve">Mikhail </t>
  </si>
  <si>
    <t>971503422012</t>
  </si>
  <si>
    <t>mikhail@muraba.ae</t>
  </si>
  <si>
    <t>rent</t>
  </si>
  <si>
    <t>Comment: interested in Downtown Views II,</t>
  </si>
  <si>
    <t>Mohammed rehan</t>
  </si>
  <si>
    <t>+971501361031</t>
  </si>
  <si>
    <t>ms82rehan@gmail.com</t>
  </si>
  <si>
    <t>Enquiry: Hello, I am working with Azizi Developments and ready to share my full commission.So you can get 6% &amp; 7% as whole. Thank you</t>
  </si>
  <si>
    <t>Audai Altaie</t>
  </si>
  <si>
    <t>0506535202</t>
  </si>
  <si>
    <t>audaialtaie@gmail.com</t>
  </si>
  <si>
    <t>Message: Is this corner or middle townhouse-Mira Oasis 1</t>
  </si>
  <si>
    <t>jayson</t>
  </si>
  <si>
    <t>12523547457</t>
  </si>
  <si>
    <t>jayson_benson@zoho.com</t>
  </si>
  <si>
    <t>Emaar Beach Front</t>
  </si>
  <si>
    <t>Walid Younes</t>
  </si>
  <si>
    <t>0566653485</t>
  </si>
  <si>
    <t>Walid.younes75@gmail.com</t>
  </si>
  <si>
    <t>sale</t>
  </si>
  <si>
    <t>Act 1 Act 2</t>
  </si>
  <si>
    <t>Suvida</t>
  </si>
  <si>
    <t>Amit Agarwal</t>
  </si>
  <si>
    <t xml:space="preserve"> +919836062087</t>
  </si>
  <si>
    <t>agarwalcorp14@gmail.com</t>
  </si>
  <si>
    <t>Manal</t>
  </si>
  <si>
    <t>0506261106</t>
  </si>
  <si>
    <t xml:space="preserve"> manalciti@gmail.com</t>
  </si>
  <si>
    <t>-Shoreline Apartments</t>
  </si>
  <si>
    <t>ahmed</t>
  </si>
  <si>
    <t>0563508303</t>
  </si>
  <si>
    <t>aalgendi85@gmail.com</t>
  </si>
  <si>
    <t>Message: I am looking to rent</t>
  </si>
  <si>
    <t>no available property</t>
  </si>
  <si>
    <t>rachel weyler</t>
  </si>
  <si>
    <t>971-505-560347</t>
  </si>
  <si>
    <t>rachelweyler@hotmail.com</t>
  </si>
  <si>
    <t>Sadaf, Jumeirah Beach Residence</t>
  </si>
  <si>
    <t>Khurram ali</t>
  </si>
  <si>
    <t>971558818793</t>
  </si>
  <si>
    <t>khurramali.dxb@gmail.com</t>
  </si>
  <si>
    <t>Glitz 3</t>
  </si>
  <si>
    <t>Mr. غازي الفاتح طاهر محمد</t>
  </si>
  <si>
    <t>601128225060</t>
  </si>
  <si>
    <t>ghazifatih@hotmail.com</t>
  </si>
  <si>
    <t>free portals</t>
  </si>
  <si>
    <t>call back</t>
  </si>
  <si>
    <t>BASHAR BOU DIAB</t>
  </si>
  <si>
    <t>971506151421</t>
  </si>
  <si>
    <t>bashar_boudiab@hotmail.com</t>
  </si>
  <si>
    <t>Al Dabas, Shoreline</t>
  </si>
  <si>
    <t>Mr. احمد</t>
  </si>
  <si>
    <t>alshanfari101010@gmail.com</t>
  </si>
  <si>
    <t>Leslie</t>
  </si>
  <si>
    <t>0585373849</t>
  </si>
  <si>
    <t>leslie.trejo@hotmail.com</t>
  </si>
  <si>
    <t>Fairfield Tower, Park Island</t>
  </si>
  <si>
    <t>kim</t>
  </si>
  <si>
    <t>+12024305788</t>
  </si>
  <si>
    <t>blesshgod@gmail.com</t>
  </si>
  <si>
    <t>Xenia</t>
  </si>
  <si>
    <t>0555009173</t>
  </si>
  <si>
    <t>xenia.markovic@jumeirah.com</t>
  </si>
  <si>
    <t>Golden Miles 7</t>
  </si>
  <si>
    <t>Vctoria</t>
  </si>
  <si>
    <t>Arezoo Khosravi</t>
  </si>
  <si>
    <t xml:space="preserve"> 0508574848</t>
  </si>
  <si>
    <t>arezoossk@hotmail.de</t>
  </si>
  <si>
    <t xml:space="preserve">MAPLE - Interested in 3 beds </t>
  </si>
  <si>
    <t>Timothy Ludwig</t>
  </si>
  <si>
    <t>+254711625144</t>
  </si>
  <si>
    <t>ludwigtimothy9@gmail.com</t>
  </si>
  <si>
    <t>Sana</t>
  </si>
  <si>
    <t>971-567-095430</t>
  </si>
  <si>
    <t>vasal2328@outlook.com</t>
  </si>
  <si>
    <t>B</t>
  </si>
  <si>
    <t>Executive Bay 1 Bedroom</t>
  </si>
  <si>
    <t>moving within 1 week</t>
  </si>
  <si>
    <t>James McMillan</t>
  </si>
  <si>
    <t>+971561718835</t>
  </si>
  <si>
    <t>James8928@hotmail.com</t>
  </si>
  <si>
    <t xml:space="preserve">The Address Dubai Mall </t>
  </si>
  <si>
    <t xml:space="preserve"> +17573394149</t>
  </si>
  <si>
    <t xml:space="preserve"> Multi-Cuisine &amp; Coffee Shop in Deira</t>
  </si>
  <si>
    <t xml:space="preserve"> sierra</t>
  </si>
  <si>
    <t xml:space="preserve"> +9710501867705</t>
  </si>
  <si>
    <t>sfqahhar@gmail.com</t>
  </si>
  <si>
    <t xml:space="preserve">Standpoint A </t>
  </si>
  <si>
    <t>viewing wenesday?</t>
  </si>
  <si>
    <t>Noor Aamir</t>
  </si>
  <si>
    <t>+971501627399</t>
  </si>
  <si>
    <t>leo_noor94@hotmail.com</t>
  </si>
  <si>
    <t>Message: Hi, I saw your ad on dubizzle. Is it available for viewing Today, Sep 14 in the afternoon? Thanks</t>
  </si>
  <si>
    <t>not now will call ince i decided again</t>
  </si>
  <si>
    <t>Mrs. ندى nadi</t>
  </si>
  <si>
    <t>+971501633663</t>
  </si>
  <si>
    <t>uaespring1@gmail.com</t>
  </si>
  <si>
    <t>Standpoint A / As you are currently marketing Properties in Sharjah, I believe you would be able to assist me with my enquiry. If possible, please provide me with the following information: Payment details.Kindly assign me an agent who speaks my preferred language in Arabic.</t>
  </si>
  <si>
    <t>looking for villa for RENT in sharjah area</t>
  </si>
  <si>
    <t>Rajesh Verma</t>
  </si>
  <si>
    <t>0559065514</t>
  </si>
  <si>
    <t>rverma0101@yahoo.ca</t>
  </si>
  <si>
    <t>Marina Diamond 5,</t>
  </si>
  <si>
    <t>JBR</t>
  </si>
  <si>
    <t>Rama</t>
  </si>
  <si>
    <t>+971563100367</t>
  </si>
  <si>
    <t>rkhalaf@gmail.com</t>
  </si>
  <si>
    <t>Al Sultana, Shoreline</t>
  </si>
  <si>
    <t>mrxerius@gmail.com</t>
  </si>
  <si>
    <t xml:space="preserve"> offplan /Downtown and Beachfront.</t>
  </si>
  <si>
    <t>Emaar Promo Message/ From Escano :Can you please let met know regarding the 4 year Post Handover Payment Plan. How much the buyer have to pay immediate and how much during the construction. The projects I'm interested in are Downtown and Beachfront</t>
  </si>
  <si>
    <t>0506299024</t>
  </si>
  <si>
    <t xml:space="preserve"> rym@danai.ae</t>
  </si>
  <si>
    <t>Running Ladies Beauty Salon</t>
  </si>
  <si>
    <t>Jehanzaib Khan</t>
  </si>
  <si>
    <t>0508905530</t>
  </si>
  <si>
    <t>jehanzaibikhan@gmail.com</t>
  </si>
  <si>
    <t>sales</t>
  </si>
  <si>
    <t>Denis</t>
  </si>
  <si>
    <t>796-505-88648</t>
  </si>
  <si>
    <t>Druk83@gmail.com</t>
  </si>
  <si>
    <t>Shoreline - Palm Jumeirah</t>
  </si>
  <si>
    <t>Nader Abdellatif</t>
  </si>
  <si>
    <t>0527936766</t>
  </si>
  <si>
    <t>naderab@yahoo.com</t>
  </si>
  <si>
    <t>Jash Hamad, Shoreline</t>
  </si>
  <si>
    <t>MARIANA GUEMES</t>
  </si>
  <si>
    <t>0505577468</t>
  </si>
  <si>
    <t>marianguemes@hotmail.com</t>
  </si>
  <si>
    <t>Jay Agrawal</t>
  </si>
  <si>
    <t>+919424935326</t>
  </si>
  <si>
    <t>jay9424@gmail.com</t>
  </si>
  <si>
    <t>Chris Kent</t>
  </si>
  <si>
    <t>0509894753</t>
  </si>
  <si>
    <t>kent425@hotmail.com</t>
  </si>
  <si>
    <t>Short Term/Long Term | Address Dubai Mall</t>
  </si>
  <si>
    <t>Sammar</t>
  </si>
  <si>
    <t>0503469854</t>
  </si>
  <si>
    <t>Ksammar@hotmail.com</t>
  </si>
  <si>
    <t>liane santos</t>
  </si>
  <si>
    <t>971-559-120064</t>
  </si>
  <si>
    <t>lianesantosp@gmail.com</t>
  </si>
  <si>
    <t>Executive Bay 1 bedroom</t>
  </si>
  <si>
    <t>arrange for Veiwing</t>
  </si>
  <si>
    <t xml:space="preserve">Subair </t>
  </si>
  <si>
    <t>0568349654</t>
  </si>
  <si>
    <t>Moving Asap</t>
  </si>
  <si>
    <t>Maaz Tariq</t>
  </si>
  <si>
    <t>0503960136</t>
  </si>
  <si>
    <t>maaztariq28@gmail.com</t>
  </si>
  <si>
    <t>Glitz for RENT</t>
  </si>
  <si>
    <t>Mrs. Regina,</t>
  </si>
  <si>
    <t>+19014020928</t>
  </si>
  <si>
    <t>danregina2@gmail.com</t>
  </si>
  <si>
    <t>Green Acres</t>
  </si>
  <si>
    <t>PROJECT: Luxury Mansions in Dubai Hills  / Green Acres</t>
  </si>
  <si>
    <t xml:space="preserve"> </t>
  </si>
  <si>
    <t>0555661206</t>
  </si>
  <si>
    <t>helia.santana@gmail.com</t>
  </si>
  <si>
    <t>Message: Hi, I saw your ad on dubizzle. Is it available for viewing on Sep 21 in the afternoon? Thanks</t>
  </si>
  <si>
    <t xml:space="preserve">amine mamlouk </t>
  </si>
  <si>
    <t>0562195117</t>
  </si>
  <si>
    <t>amine.mamlouk@gmail.com</t>
  </si>
  <si>
    <t>RESALE</t>
  </si>
  <si>
    <t>A1, The Hills A</t>
  </si>
  <si>
    <t>Zul Pakito</t>
  </si>
  <si>
    <t>+97157658778</t>
  </si>
  <si>
    <t>zulqarnen@hotmail.fr</t>
  </si>
  <si>
    <t>Running Restaurant for sale in Jumeirah 2.</t>
  </si>
  <si>
    <t>Arshia Tajammul</t>
  </si>
  <si>
    <t>0588989260</t>
  </si>
  <si>
    <t>tajarshia@yahoo.co.in</t>
  </si>
  <si>
    <t>Suvidha</t>
  </si>
  <si>
    <t xml:space="preserve"> Marites</t>
  </si>
  <si>
    <t>0544592177.</t>
  </si>
  <si>
    <t>admin@grayline.ae</t>
  </si>
  <si>
    <t xml:space="preserve"> Running Italian Restaurant In Deira Mall</t>
  </si>
  <si>
    <t>Rejoice</t>
  </si>
  <si>
    <t>+971568899272</t>
  </si>
  <si>
    <t>0521047814</t>
  </si>
  <si>
    <t>Aelkabba@cisco.com</t>
  </si>
  <si>
    <t>Dubbizzle</t>
  </si>
  <si>
    <t>Abbas ( agent )</t>
  </si>
  <si>
    <t>inam</t>
  </si>
  <si>
    <t>0559137149</t>
  </si>
  <si>
    <t xml:space="preserve"> / Standpoint A</t>
  </si>
  <si>
    <t>+971 505-624-478</t>
  </si>
  <si>
    <t>Email: Paul.walters4471@gmail.com</t>
  </si>
  <si>
    <t>1 BR in Glitz 3 Tower 1</t>
  </si>
  <si>
    <t xml:space="preserve"> Raiya</t>
  </si>
  <si>
    <t>0554450857</t>
  </si>
  <si>
    <t>Email: raya268@yahoo.co.uk</t>
  </si>
  <si>
    <t>Mobile: +447786170545.</t>
  </si>
  <si>
    <t>email: dgbonline1972@gmail.com</t>
  </si>
  <si>
    <t>rahul saxena</t>
  </si>
  <si>
    <t>+971506003977</t>
  </si>
  <si>
    <t>bonkercool@gmail.com</t>
  </si>
  <si>
    <t>2 Bedroom Royal Residence</t>
  </si>
  <si>
    <t>Looking 3 bedroom apartment</t>
  </si>
  <si>
    <t>Leonardo DeMuro</t>
  </si>
  <si>
    <t>leonardo.demuro@gmail.com</t>
  </si>
  <si>
    <t>The Address Dubai Mall</t>
  </si>
  <si>
    <t>MUHAMMAD UMAIR</t>
  </si>
  <si>
    <t>+971522531317</t>
  </si>
  <si>
    <t>xephyrs@live.com</t>
  </si>
  <si>
    <t>Running Dental Clinic | for Lease | JBR.</t>
  </si>
  <si>
    <t>Anne-Sophie</t>
  </si>
  <si>
    <t>0501767938</t>
  </si>
  <si>
    <t>asraynaud@aol.com</t>
  </si>
  <si>
    <t>Elizabeth Nobel</t>
  </si>
  <si>
    <t xml:space="preserve"> 0505515615</t>
  </si>
  <si>
    <t>karamfila.toma@gmail.com</t>
  </si>
  <si>
    <t>The Address Dubia Mall Studio</t>
  </si>
  <si>
    <t>Pavan</t>
  </si>
  <si>
    <t>+971564039373</t>
  </si>
  <si>
    <t>pavancivil1@gmail.com</t>
  </si>
  <si>
    <t>looking for studio for short term around 3 month</t>
  </si>
  <si>
    <t>DAVID MCCREATH</t>
  </si>
  <si>
    <t>+971566341486</t>
  </si>
  <si>
    <t>DAVID@INNERSPACEME.COM</t>
  </si>
  <si>
    <t>Golden Mile 10</t>
  </si>
  <si>
    <t>Anish Naik</t>
  </si>
  <si>
    <t>+917522991137</t>
  </si>
  <si>
    <t>lakshnaik266@gmail.com</t>
  </si>
  <si>
    <t>Shams 1</t>
  </si>
  <si>
    <t>Pankaj Paliwal</t>
  </si>
  <si>
    <t>the_pankaj@hotmail.com</t>
  </si>
  <si>
    <t>Studio in Royal residnce</t>
  </si>
  <si>
    <t>No Availbe</t>
  </si>
  <si>
    <t>Jumpei Yamaguchi</t>
  </si>
  <si>
    <t>0561717021</t>
  </si>
  <si>
    <t>jpegjunjun@gmail.com</t>
  </si>
  <si>
    <t>Rania</t>
  </si>
  <si>
    <t>0505932255</t>
  </si>
  <si>
    <t>haddad.rania@gmail.co</t>
  </si>
  <si>
    <t>Discovery Garden</t>
  </si>
  <si>
    <t>rana</t>
  </si>
  <si>
    <t>01148717007</t>
  </si>
  <si>
    <t>rana.h.amer11@gmail.com</t>
  </si>
  <si>
    <t>REMRAAM</t>
  </si>
  <si>
    <t>No Name</t>
  </si>
  <si>
    <t>+971555156748</t>
  </si>
  <si>
    <t>youmaria908@gmail.com</t>
  </si>
  <si>
    <t>Arabella</t>
  </si>
  <si>
    <t>Firas Kafafi</t>
  </si>
  <si>
    <t>0506131162</t>
  </si>
  <si>
    <t>fkafafi@yahoo.com</t>
  </si>
  <si>
    <t>Hayat Townhouse</t>
  </si>
  <si>
    <t>jingjing chang</t>
  </si>
  <si>
    <t>0501046257</t>
  </si>
  <si>
    <t>changjingjing@gmail.com</t>
  </si>
  <si>
    <t>Husin Alkhateab</t>
  </si>
  <si>
    <t>00962796993405</t>
  </si>
  <si>
    <t>macyscom@yahoo.com</t>
  </si>
  <si>
    <t>Loking for Retail Shop</t>
  </si>
  <si>
    <t>sissi2223@yahoo.com</t>
  </si>
  <si>
    <t>Stand point</t>
  </si>
  <si>
    <t>vikesh.rana@gmail.com</t>
  </si>
  <si>
    <t>Naseem Townhouse</t>
  </si>
  <si>
    <t>Soyful Islam</t>
  </si>
  <si>
    <t>0528607419</t>
  </si>
  <si>
    <t>soyful106@hotmail.com</t>
  </si>
  <si>
    <t>Royal Residence 2BR</t>
  </si>
  <si>
    <t>Viewing schedule</t>
  </si>
  <si>
    <t>small</t>
  </si>
  <si>
    <t>Mallika Singh</t>
  </si>
  <si>
    <t>0504512630</t>
  </si>
  <si>
    <t>mallika.music@gmail.com</t>
  </si>
  <si>
    <t>expensive offer 250k</t>
  </si>
  <si>
    <t>Vichitra Devnani</t>
  </si>
  <si>
    <t>0557383891</t>
  </si>
  <si>
    <t>aniladevnani@gmail.com</t>
  </si>
  <si>
    <t>No Availble unit</t>
  </si>
  <si>
    <t>Avneet Kaur</t>
  </si>
  <si>
    <t>+919899027621</t>
  </si>
  <si>
    <t>avneetkaur06896@gmail.com</t>
  </si>
  <si>
    <t>Looking for 2 bedroom Hotel Apartment</t>
  </si>
  <si>
    <t>meryhoo haghjoo</t>
  </si>
  <si>
    <t>meryhoo@gmail.com</t>
  </si>
  <si>
    <t>The Greens Views</t>
  </si>
  <si>
    <t>Safina khan</t>
  </si>
  <si>
    <t>+447815780427</t>
  </si>
  <si>
    <t>afinakhan1982@gmail.com</t>
  </si>
  <si>
    <t>Looking 2Br for Rent in Sharjah</t>
  </si>
  <si>
    <t>Yelena/agent</t>
  </si>
  <si>
    <t>0508589185</t>
  </si>
  <si>
    <t>yelena@armsgroup.ae</t>
  </si>
  <si>
    <t>Gen, Moris Felix</t>
  </si>
  <si>
    <t>133-922-46519</t>
  </si>
  <si>
    <t>morisfelix70@gmail.com</t>
  </si>
  <si>
    <t>Sidra</t>
  </si>
  <si>
    <t>Antonia Sarosi</t>
  </si>
  <si>
    <t>+971509629906</t>
  </si>
  <si>
    <t>antoniasarosi@gmail.com</t>
  </si>
  <si>
    <t>Address Dubai Mall</t>
  </si>
  <si>
    <t>Amina</t>
  </si>
  <si>
    <t>0506565664</t>
  </si>
  <si>
    <t>amoonte@hotmail.com</t>
  </si>
  <si>
    <t>Barsha Villas</t>
  </si>
  <si>
    <t>ritu yadav</t>
  </si>
  <si>
    <t>523850056</t>
  </si>
  <si>
    <t>chefrakeshyadav@gmail.com</t>
  </si>
  <si>
    <t>Running Health Food Restaurant Business in JLT.</t>
  </si>
  <si>
    <t>Gina Martin</t>
  </si>
  <si>
    <t>gina@chicshoes.ae</t>
  </si>
  <si>
    <t>We are currently looking for a freehold property (max 6000 sq ft) in Dubai (accessible) where we can build a warehouse + office.</t>
  </si>
  <si>
    <t>Alex Robinson</t>
  </si>
  <si>
    <t>0506203577</t>
  </si>
  <si>
    <t>ajrobinson@theblueground.com</t>
  </si>
  <si>
    <t>Turia Tower B</t>
  </si>
  <si>
    <t>James Wood</t>
  </si>
  <si>
    <t>0543882772</t>
  </si>
  <si>
    <t>iamjameswood79@gmail.com</t>
  </si>
  <si>
    <t>Al Manara</t>
  </si>
  <si>
    <t>Qumber</t>
  </si>
  <si>
    <t>Besher</t>
  </si>
  <si>
    <t xml:space="preserve"> 0529293960</t>
  </si>
  <si>
    <t>besher.eisa@outlook.com</t>
  </si>
  <si>
    <t>Mrs. نادين</t>
  </si>
  <si>
    <t>Khamael1@outlook.com</t>
  </si>
  <si>
    <t>FREE portals</t>
  </si>
  <si>
    <t>Reema</t>
  </si>
  <si>
    <t>0563043033</t>
  </si>
  <si>
    <t>reema.soboh@gmail.com</t>
  </si>
  <si>
    <t>Kuldeep Meena</t>
  </si>
  <si>
    <t>919116093388</t>
  </si>
  <si>
    <t>atulsehra88@gmail.com</t>
  </si>
  <si>
    <t>Karen</t>
  </si>
  <si>
    <t>0507979515</t>
  </si>
  <si>
    <t>karen.oliverdxb@hotmail.com</t>
  </si>
  <si>
    <t>Royal Residence 2 Bedroom</t>
  </si>
  <si>
    <t>Julia Weinlinger</t>
  </si>
  <si>
    <t>julia.weinlinger@hotmail.com</t>
  </si>
  <si>
    <t>Kempinski Residences</t>
  </si>
  <si>
    <t>Doaa Mustafa</t>
  </si>
  <si>
    <t xml:space="preserve"> 971504237794</t>
  </si>
  <si>
    <t>doaalachine@gmail.com</t>
  </si>
  <si>
    <t>Al Anbara, Shoreline Apartments</t>
  </si>
  <si>
    <t>Tahira</t>
  </si>
  <si>
    <t>0566348704</t>
  </si>
  <si>
    <t>tahirajafzal@gmail.com</t>
  </si>
  <si>
    <t>The Hills</t>
  </si>
  <si>
    <t>legrismelissa@gmail.com</t>
  </si>
  <si>
    <t>+33683097561</t>
  </si>
  <si>
    <t>adeen khan</t>
  </si>
  <si>
    <t>0557751339</t>
  </si>
  <si>
    <t>adeenkhan111@gmail.com</t>
  </si>
  <si>
    <t>Royal Residence Studio</t>
  </si>
  <si>
    <t>RENTED</t>
  </si>
  <si>
    <t>Farah Abed</t>
  </si>
  <si>
    <t>0563982841</t>
  </si>
  <si>
    <t>Farahabed@hotmail.co.uk</t>
  </si>
  <si>
    <t>Standpoint</t>
  </si>
  <si>
    <t>Lucy Wildman</t>
  </si>
  <si>
    <t>00447415361503</t>
  </si>
  <si>
    <t>lucy.wildman@yahoo.co.uk</t>
  </si>
  <si>
    <t>2BR Royal Residence</t>
  </si>
  <si>
    <t xml:space="preserve"> 0561015817</t>
  </si>
  <si>
    <t>hassan.badwy@gmail.com</t>
  </si>
  <si>
    <t>Francis Avellana</t>
  </si>
  <si>
    <t>0502376453</t>
  </si>
  <si>
    <t>francis_02_08_1989@yahoo.com</t>
  </si>
  <si>
    <t>Alun Rhydderch</t>
  </si>
  <si>
    <t>0555312068</t>
  </si>
  <si>
    <t>alun@horizonscanning.com</t>
  </si>
  <si>
    <t>Tiara Residences</t>
  </si>
  <si>
    <t>Bashar Damiri</t>
  </si>
  <si>
    <t>0527913022</t>
  </si>
  <si>
    <t>Bdamiri@hotmail.com</t>
  </si>
  <si>
    <t>Beach Vista</t>
  </si>
  <si>
    <t>dr phina smith</t>
  </si>
  <si>
    <t>2898043153</t>
  </si>
  <si>
    <t>dr.phinaa@yahoo.com</t>
  </si>
  <si>
    <t>GolF Place</t>
  </si>
  <si>
    <t>استغفر استغفر</t>
  </si>
  <si>
    <t>33665206584</t>
  </si>
  <si>
    <t>topaffaires@yahoo.fr</t>
  </si>
  <si>
    <t>Running Health Food Restaurant Business in JLT</t>
  </si>
  <si>
    <t>Sami</t>
  </si>
  <si>
    <t>004748894217</t>
  </si>
  <si>
    <t>a_sensation@hotmail.com</t>
  </si>
  <si>
    <t>Rafeeque Chelamkandiyil Chelamkandiyil</t>
  </si>
  <si>
    <t xml:space="preserve"> +971555509907</t>
  </si>
  <si>
    <t>rcckrafeeq@gmail.com</t>
  </si>
  <si>
    <t>Richard</t>
  </si>
  <si>
    <t xml:space="preserve">0505615334 </t>
  </si>
  <si>
    <t>rogerbarra@hotmail.com</t>
  </si>
  <si>
    <t>Blakely Tower, Park Island</t>
  </si>
  <si>
    <t>Sally Potter Irwin</t>
  </si>
  <si>
    <t>971-621-74174</t>
  </si>
  <si>
    <t>sallypotterirwin@hotmail.co.uk</t>
  </si>
  <si>
    <t>Mon Mar</t>
  </si>
  <si>
    <t>00544402939</t>
  </si>
  <si>
    <t>moemedia@gmail.com</t>
  </si>
  <si>
    <t>Shaik Mohiuddin</t>
  </si>
  <si>
    <t>0508780892</t>
  </si>
  <si>
    <t>shaikden001@gmail.com</t>
  </si>
  <si>
    <t>DP</t>
  </si>
  <si>
    <t>Abdulla</t>
  </si>
  <si>
    <t>0585864224</t>
  </si>
  <si>
    <t>abdulla@humaidan.com</t>
  </si>
  <si>
    <t>The Address BLVD</t>
  </si>
  <si>
    <t>971585373849</t>
  </si>
  <si>
    <t>Park Island Blakely</t>
  </si>
  <si>
    <t xml:space="preserve">971585373849 </t>
  </si>
  <si>
    <t>propseach</t>
  </si>
  <si>
    <t>Fairfield Tower, Dubai Marina</t>
  </si>
  <si>
    <t>Waseem</t>
  </si>
  <si>
    <t>+971585101083</t>
  </si>
  <si>
    <t>waseem.belushi@gmail.com</t>
  </si>
  <si>
    <t>Blakely Tower</t>
  </si>
  <si>
    <t>Mr. يحيى</t>
  </si>
  <si>
    <t>+966557870887</t>
  </si>
  <si>
    <t>tejara-ksa@hotmail.com</t>
  </si>
  <si>
    <t>Ahmad Karhout</t>
  </si>
  <si>
    <t>0556199912</t>
  </si>
  <si>
    <t>ahmedkarhout@gmail.com</t>
  </si>
  <si>
    <t>HOSAM TAHA</t>
  </si>
  <si>
    <t>0506407532</t>
  </si>
  <si>
    <t>htahadifc@yahoo.com</t>
  </si>
  <si>
    <t>Naseem Townhouse Nshama</t>
  </si>
  <si>
    <t>Owner Have Property want to SALE</t>
  </si>
  <si>
    <t>The Address Dubai Mall /for Short Term One Month</t>
  </si>
  <si>
    <t>Ravie</t>
  </si>
  <si>
    <t>0524387940</t>
  </si>
  <si>
    <t>ihmravi@yahoo.com</t>
  </si>
  <si>
    <t>Studio for Rent in Royal Residence</t>
  </si>
  <si>
    <t>No Availbale Unit</t>
  </si>
  <si>
    <t>Mr. فيصل</t>
  </si>
  <si>
    <t>+971568888174</t>
  </si>
  <si>
    <t>user.id2882@gmail.com</t>
  </si>
  <si>
    <t>Elliott Prescott</t>
  </si>
  <si>
    <t>+971565203154</t>
  </si>
  <si>
    <t>elliottgwprescott@gmail.com</t>
  </si>
  <si>
    <t>The address Dubai Malll</t>
  </si>
  <si>
    <t>Ariz</t>
  </si>
  <si>
    <t>0096551027646</t>
  </si>
  <si>
    <t>arizahmad@gmail.com</t>
  </si>
  <si>
    <t>Running Building Materials Trading Business</t>
  </si>
  <si>
    <t>Nadim</t>
  </si>
  <si>
    <t>0565309379</t>
  </si>
  <si>
    <t>nadim@enayarugs.com</t>
  </si>
  <si>
    <t>Umm Suqeim Showroom</t>
  </si>
  <si>
    <t>Brenda Keith</t>
  </si>
  <si>
    <t>0523320114</t>
  </si>
  <si>
    <t>brendaskeith2@gmail.com</t>
  </si>
  <si>
    <t>Collective</t>
  </si>
  <si>
    <t>Bernard Stanley</t>
  </si>
  <si>
    <t>0559520202</t>
  </si>
  <si>
    <t>bws_uk@yahoo.com</t>
  </si>
  <si>
    <t>بإمكانكم التواصل مع عبد العزيز عن طريق</t>
  </si>
  <si>
    <t>00966500004245</t>
  </si>
  <si>
    <t>aburakan1017@hotmail.com</t>
  </si>
  <si>
    <t>Boulevard Point</t>
  </si>
  <si>
    <t>Zeid H</t>
  </si>
  <si>
    <t>0551342210</t>
  </si>
  <si>
    <t>zhreish@gmail.com</t>
  </si>
  <si>
    <t>Running Fast food Burger Restaurant in Jumeirah 2</t>
  </si>
  <si>
    <t>MAHER CHEMAITILLY</t>
  </si>
  <si>
    <t>971-504-780172</t>
  </si>
  <si>
    <t>chmayt@gmail.com</t>
  </si>
  <si>
    <t>Executive Bay</t>
  </si>
  <si>
    <t>patricia lonsdorfer</t>
  </si>
  <si>
    <t>+6587544727</t>
  </si>
  <si>
    <t>patricia.lonsdorfer@gmail.com</t>
  </si>
  <si>
    <t>0522447250</t>
  </si>
  <si>
    <t>mk@dandbdubai.com</t>
  </si>
  <si>
    <t>Rony</t>
  </si>
  <si>
    <t>0503430024</t>
  </si>
  <si>
    <t>Rony.al-asmar@hotmail.com</t>
  </si>
  <si>
    <t>Ashanka Kotangale</t>
  </si>
  <si>
    <t>971-585-040827</t>
  </si>
  <si>
    <t>ash.sardan@hotmail.com</t>
  </si>
  <si>
    <t>Al Mesk 2</t>
  </si>
  <si>
    <t>Gautam Ahuja</t>
  </si>
  <si>
    <t>+971506600512</t>
  </si>
  <si>
    <t>infinitydwc@gmail.com</t>
  </si>
  <si>
    <t>Ann Perez</t>
  </si>
  <si>
    <t>ann.grace@progressoft.com</t>
  </si>
  <si>
    <t xml:space="preserve">Office at Palladium Tower, JLT </t>
  </si>
  <si>
    <t>George Godding</t>
  </si>
  <si>
    <t>0508426041</t>
  </si>
  <si>
    <t>georgegodding@googlemail.com</t>
  </si>
  <si>
    <t xml:space="preserve">Executive Bay </t>
  </si>
  <si>
    <t>Looking for 70k only</t>
  </si>
  <si>
    <t>humam aljazaeri</t>
  </si>
  <si>
    <t>+963315712431</t>
  </si>
  <si>
    <t>humamaljazaeri04@gmail.com</t>
  </si>
  <si>
    <t>BUY</t>
  </si>
  <si>
    <t>Message: Please i want to buy a house property for my family in your country, please can you help me on this? Thanks and looking forward to hearing from you</t>
  </si>
  <si>
    <t>7651834012</t>
  </si>
  <si>
    <t>Palladium Tower</t>
  </si>
  <si>
    <t>Rupesh Kumar</t>
  </si>
  <si>
    <t>7600670055</t>
  </si>
  <si>
    <t>rupeshkumar000919@gmail.com</t>
  </si>
  <si>
    <t>Bansi sepat</t>
  </si>
  <si>
    <t>+919265268911</t>
  </si>
  <si>
    <t>bansijat8911@gmail.com</t>
  </si>
  <si>
    <t>Dr. Ajit Thakker</t>
  </si>
  <si>
    <t>+353 86 2603255</t>
  </si>
  <si>
    <t>Orchard777@yahoo.co.uk</t>
  </si>
  <si>
    <t>Gauravi Mithbvakar</t>
  </si>
  <si>
    <t>+9109930491459</t>
  </si>
  <si>
    <t>gauravimithbavkar@gmail.com</t>
  </si>
  <si>
    <t>Thingking for area</t>
  </si>
  <si>
    <t>Lachu Bharwani</t>
  </si>
  <si>
    <t>lmdaj@hotmail.com</t>
  </si>
  <si>
    <t>Send me the floor plan</t>
  </si>
  <si>
    <t>Al Sufouh Gardens</t>
  </si>
  <si>
    <t>Nandini Gunasekaran</t>
  </si>
  <si>
    <t xml:space="preserve"> ‭+971 502450665 </t>
  </si>
  <si>
    <t>nandinioct19@gmail.com</t>
  </si>
  <si>
    <t>Looking 1 Discovery Garden</t>
  </si>
  <si>
    <t xml:space="preserve">No Availble Unit </t>
  </si>
  <si>
    <t>Yaro Donchenko</t>
  </si>
  <si>
    <t>+79773480000</t>
  </si>
  <si>
    <t>ydonchenko@gmail.com</t>
  </si>
  <si>
    <t>Amr</t>
  </si>
  <si>
    <t>0555382936</t>
  </si>
  <si>
    <t>rico44alex@gmail.com</t>
  </si>
  <si>
    <t>mark Fernando</t>
  </si>
  <si>
    <t>971-504-508295</t>
  </si>
  <si>
    <t>markfernando55@gmail.com</t>
  </si>
  <si>
    <t>Al Barsha South</t>
  </si>
  <si>
    <t>Daniel Weihrauch</t>
  </si>
  <si>
    <t>0502759200</t>
  </si>
  <si>
    <t>daniel@lionsgazelles.com</t>
  </si>
  <si>
    <t>Downtown Views</t>
  </si>
  <si>
    <t>Amalia Grochal</t>
  </si>
  <si>
    <t>0506091103</t>
  </si>
  <si>
    <t>amaliagrochal@yahoo.com</t>
  </si>
  <si>
    <t>The Address The BLVD</t>
  </si>
  <si>
    <t>Fahim Munir</t>
  </si>
  <si>
    <t>00447455988888</t>
  </si>
  <si>
    <t>Fahim.91@hotmail.com</t>
  </si>
  <si>
    <t>Message: i am interested in buying an apartment in dubai south</t>
  </si>
  <si>
    <t>samaneh.barazandeh@yahoo.com</t>
  </si>
  <si>
    <t>+97339000436</t>
  </si>
  <si>
    <t>aaa2972004@yahoo.com</t>
  </si>
  <si>
    <t>Diana Van Der Westhuizen</t>
  </si>
  <si>
    <t>erseygirlster@gmail.com</t>
  </si>
  <si>
    <t>jyoti</t>
  </si>
  <si>
    <t>+971526923823</t>
  </si>
  <si>
    <t>jyoti@rk-re.com</t>
  </si>
  <si>
    <t>Julia Kamaeva</t>
  </si>
  <si>
    <t xml:space="preserve"> 971582370077</t>
  </si>
  <si>
    <t>juiekami@gmail.com</t>
  </si>
  <si>
    <t>Daniel</t>
  </si>
  <si>
    <t>28575645</t>
  </si>
  <si>
    <t>Danielselde@live.dk</t>
  </si>
  <si>
    <t>The address Dubai Mall</t>
  </si>
  <si>
    <t>0508880751</t>
  </si>
  <si>
    <t>Shsyma</t>
  </si>
  <si>
    <t>Will move after 3days</t>
  </si>
  <si>
    <t>Bishan</t>
  </si>
  <si>
    <t>0528297374</t>
  </si>
  <si>
    <t>Looking for Studio in Discoevry garden</t>
  </si>
  <si>
    <t>No Availble Unit</t>
  </si>
  <si>
    <t>alina.naeemb@hotmail.com</t>
  </si>
  <si>
    <t>JCV Villas</t>
  </si>
  <si>
    <t>Navneet Singh</t>
  </si>
  <si>
    <t>navsin1@gmail.com</t>
  </si>
  <si>
    <t>Running Indian Restaurant in Jumeirah 1</t>
  </si>
  <si>
    <t>Murat</t>
  </si>
  <si>
    <t xml:space="preserve">muratcakal@live.com </t>
  </si>
  <si>
    <t>Al Alka 1</t>
  </si>
  <si>
    <t>TARIQ</t>
  </si>
  <si>
    <t>0547551416</t>
  </si>
  <si>
    <t>tip7860@gmail.com</t>
  </si>
  <si>
    <t>Pilipino Restaurant in Sharjah</t>
  </si>
  <si>
    <t>Joni Jones</t>
  </si>
  <si>
    <t>+9715580258943</t>
  </si>
  <si>
    <t>Maria Johnson</t>
  </si>
  <si>
    <t>+14847405141</t>
  </si>
  <si>
    <t>mariamjohnson38@gmail.com</t>
  </si>
  <si>
    <t>J8</t>
  </si>
  <si>
    <t>Iqbal Hussain</t>
  </si>
  <si>
    <t>0543302326</t>
  </si>
  <si>
    <t>smiqbalh@gmail.com</t>
  </si>
  <si>
    <t xml:space="preserve">+971502040426 </t>
  </si>
  <si>
    <t>Called</t>
  </si>
  <si>
    <t>Mr. Fahad</t>
  </si>
  <si>
    <t>Roxe</t>
  </si>
  <si>
    <t xml:space="preserve">+971526929853 </t>
  </si>
  <si>
    <t>1  Bedroom Executive bay</t>
  </si>
  <si>
    <t>Asking if this is vacant</t>
  </si>
  <si>
    <t>seda</t>
  </si>
  <si>
    <t>+971556688391</t>
  </si>
  <si>
    <t>seda.jafar@gmail.com</t>
  </si>
  <si>
    <t>Azizi Project</t>
  </si>
  <si>
    <t>Seem Bayyaa</t>
  </si>
  <si>
    <t>0556008681</t>
  </si>
  <si>
    <t>sbayyaa@gmail.com</t>
  </si>
  <si>
    <t>2 Bedroom in Royal Residence 1</t>
  </si>
  <si>
    <t>Looking for 60k only</t>
  </si>
  <si>
    <t>0528534413</t>
  </si>
  <si>
    <t>m.foudeh@hotmail.com</t>
  </si>
  <si>
    <t>Safi Townhouse</t>
  </si>
  <si>
    <t>Tanvi</t>
  </si>
  <si>
    <t>0524366167</t>
  </si>
  <si>
    <t>044235679</t>
  </si>
  <si>
    <t>City Walk 2-4 neds</t>
  </si>
  <si>
    <t>Lathee</t>
  </si>
  <si>
    <t>0529419348</t>
  </si>
  <si>
    <t>latheefpk2003@yahoo.co.in</t>
  </si>
  <si>
    <t>Ready Massage Therapy Clinic with DHA Licence</t>
  </si>
  <si>
    <t>+971503811995</t>
  </si>
  <si>
    <t>peter@trinitygroup.eu</t>
  </si>
  <si>
    <t>I'm urgently looking for office space. Minimum 1300sqft in Business Bay - Mainland. Not free Zone.</t>
  </si>
  <si>
    <t>Aicha</t>
  </si>
  <si>
    <t>0566770145</t>
  </si>
  <si>
    <t>Tarhy.a@pg.com</t>
  </si>
  <si>
    <t>Marina Promenade</t>
  </si>
  <si>
    <t>Tarek Ali</t>
  </si>
  <si>
    <t>+971554544055</t>
  </si>
  <si>
    <t>tarekali77@gmail.com</t>
  </si>
  <si>
    <t>He will view day after Tomorrow</t>
  </si>
  <si>
    <t>Manny</t>
  </si>
  <si>
    <t>043215881</t>
  </si>
  <si>
    <t>Executive bay 2 Bedroom</t>
  </si>
  <si>
    <t>Offer for 85k 4 chq (only till 88k)</t>
  </si>
  <si>
    <t xml:space="preserve">+971506203577 </t>
  </si>
  <si>
    <t>looking for 1 bed in the views</t>
  </si>
  <si>
    <t>0529071438</t>
  </si>
  <si>
    <t>2 Bedroom in Royal Residence</t>
  </si>
  <si>
    <t>Offer 1 cheque for 60K (not Possible as per Boss)</t>
  </si>
  <si>
    <t>Mobasi</t>
  </si>
  <si>
    <t>0501738024</t>
  </si>
  <si>
    <t xml:space="preserve">Studio in royal Residence </t>
  </si>
  <si>
    <r>
      <rPr>
        <rFont val="Calibri"/>
        <color theme="1"/>
      </rPr>
      <t>asking for short term only 3 Months Budget 3-3500</t>
    </r>
    <r>
      <rPr>
        <rFont val="Calibri"/>
        <color rgb="FFFF0000"/>
      </rPr>
      <t xml:space="preserve"> (boss 4k a month as Fully Furnished)</t>
    </r>
  </si>
  <si>
    <t>Surekha</t>
  </si>
  <si>
    <t>+918750952585</t>
  </si>
  <si>
    <t>ydv_suru@yahoo.co.in</t>
  </si>
  <si>
    <t xml:space="preserve">asking for short term only 2-3 Months Budget 3-3500 </t>
  </si>
  <si>
    <t>Mr. Saalim</t>
  </si>
  <si>
    <t>+971557267840</t>
  </si>
  <si>
    <t>saalimabbad9@hotmail.com</t>
  </si>
  <si>
    <t>FREE Portals</t>
  </si>
  <si>
    <t>looking 3BR for Sale in Sharjah Budget 400-300k</t>
  </si>
  <si>
    <t>sagar</t>
  </si>
  <si>
    <t>+919963371000</t>
  </si>
  <si>
    <t>sagar@nmbretail.com</t>
  </si>
  <si>
    <t>The Hills A1</t>
  </si>
  <si>
    <t>Shemeer</t>
  </si>
  <si>
    <t>0527195758</t>
  </si>
  <si>
    <t>mohammedshemeerkhan@gmail.com</t>
  </si>
  <si>
    <t>looking for a property Contact</t>
  </si>
  <si>
    <t>Vinod</t>
  </si>
  <si>
    <t>0506407028</t>
  </si>
  <si>
    <t>vinodtotawat@yahoo.com</t>
  </si>
  <si>
    <t>SIRAJ</t>
  </si>
  <si>
    <t>+966500378163</t>
  </si>
  <si>
    <t>SIRAJMA@REDIFFMAIL.COM</t>
  </si>
  <si>
    <t>OFFPLAN</t>
  </si>
  <si>
    <t>Mag 5 Boulevard</t>
  </si>
  <si>
    <t>Miss سلمى</t>
  </si>
  <si>
    <t>+971544438311</t>
  </si>
  <si>
    <t>salma888_@hotmail.com</t>
  </si>
  <si>
    <t>emre</t>
  </si>
  <si>
    <t>+905323742037</t>
  </si>
  <si>
    <t>emreozaydin@yahoo.com</t>
  </si>
  <si>
    <t>Faroq</t>
  </si>
  <si>
    <t>0551700205</t>
  </si>
  <si>
    <t>Low Budget 60-62k only</t>
  </si>
  <si>
    <t>Mustafa</t>
  </si>
  <si>
    <t>0582213000</t>
  </si>
  <si>
    <t>Studio in Royal Residence</t>
  </si>
  <si>
    <t>Asking for 12chq, all included Dewa Net ETC</t>
  </si>
  <si>
    <t>Omar Taiba</t>
  </si>
  <si>
    <t>0502241317</t>
  </si>
  <si>
    <t>Omartiba@gmail.com</t>
  </si>
  <si>
    <t>he will view today afternoon after will give offer</t>
  </si>
  <si>
    <t>Eric Thurber</t>
  </si>
  <si>
    <t>283838833</t>
  </si>
  <si>
    <t>trussel043@gmail.com</t>
  </si>
  <si>
    <t>Dr. Mohamed Nageeb MD MBA</t>
  </si>
  <si>
    <t>971-562-160544</t>
  </si>
  <si>
    <t>mohamed_nageeb2003@yahoo.com</t>
  </si>
  <si>
    <t>looking for All Properties to rent in Al Barsha,</t>
  </si>
  <si>
    <t>Almas</t>
  </si>
  <si>
    <t>0569346039</t>
  </si>
  <si>
    <t>almas.zeeshan@beinex.com</t>
  </si>
  <si>
    <t>Executive Tower D (Aspect Tower)</t>
  </si>
  <si>
    <t>Carla Davisy</t>
  </si>
  <si>
    <t xml:space="preserve">+14122250396 </t>
  </si>
  <si>
    <t>carlayildiz006@gmail.com</t>
  </si>
  <si>
    <t>Iwanna Property</t>
  </si>
  <si>
    <t>Studio in Address Dubai Mall</t>
  </si>
  <si>
    <t>Manu</t>
  </si>
  <si>
    <t>+447766694561</t>
  </si>
  <si>
    <t>manshasidrag@gmail.com</t>
  </si>
  <si>
    <t>The Address Blvd</t>
  </si>
  <si>
    <t>Simon</t>
  </si>
  <si>
    <t>0528964884</t>
  </si>
  <si>
    <t>siboniface@gmail.com</t>
  </si>
  <si>
    <t>husna shahid</t>
  </si>
  <si>
    <t>husnashahid95@gmail.com</t>
  </si>
  <si>
    <t>Studio in Royal Residnce</t>
  </si>
  <si>
    <t>Looking for unfurnished Apartment</t>
  </si>
  <si>
    <t>Adham</t>
  </si>
  <si>
    <t>+971502028145</t>
  </si>
  <si>
    <t>adham.elhadary@hotmail.com</t>
  </si>
  <si>
    <t>Johnson</t>
  </si>
  <si>
    <t>0505598309</t>
  </si>
  <si>
    <t>johnsonvergis@hotmail.com</t>
  </si>
  <si>
    <t>Abbas</t>
  </si>
  <si>
    <t>0502739070</t>
  </si>
  <si>
    <t>He View already looking for Golf Course View</t>
  </si>
  <si>
    <t>Nadia</t>
  </si>
  <si>
    <t>0521047827</t>
  </si>
  <si>
    <t>She view already sound not interested</t>
  </si>
  <si>
    <t>+971509452532</t>
  </si>
  <si>
    <t>fusim.dcc@fmail.com</t>
  </si>
  <si>
    <t>OFPLAN</t>
  </si>
  <si>
    <t>Medy</t>
  </si>
  <si>
    <t>0544382962</t>
  </si>
  <si>
    <t>Katherine</t>
  </si>
  <si>
    <t>971-558-011489</t>
  </si>
  <si>
    <t>katelucraft_x@hotmail.co.uk</t>
  </si>
  <si>
    <t>Golden Mile</t>
  </si>
  <si>
    <t>sumair</t>
  </si>
  <si>
    <t>0509129085</t>
  </si>
  <si>
    <t>sumairb@gmail.com</t>
  </si>
  <si>
    <t>Ali Al Hashemi</t>
  </si>
  <si>
    <t>+971506838187</t>
  </si>
  <si>
    <t>alhashemi_1991@hotmail.com</t>
  </si>
  <si>
    <t>Sneha</t>
  </si>
  <si>
    <t>+971589375140</t>
  </si>
  <si>
    <t>sneharandive123@gmail.com</t>
  </si>
  <si>
    <t>James Dean</t>
  </si>
  <si>
    <t>447-754-645833</t>
  </si>
  <si>
    <t>jamesandrewdean@icloud.com</t>
  </si>
  <si>
    <t>Restaurant and Bar in DIFC</t>
  </si>
  <si>
    <t>Partha Sinha</t>
  </si>
  <si>
    <t>0525108583</t>
  </si>
  <si>
    <t>Parthas.space@gmail.com</t>
  </si>
  <si>
    <t>I am looking to buy</t>
  </si>
  <si>
    <t>Mr. عمر المخيني</t>
  </si>
  <si>
    <t>+96899758158</t>
  </si>
  <si>
    <t>bu23saud@hotmail.com</t>
  </si>
  <si>
    <t>janice booth</t>
  </si>
  <si>
    <t>38528586</t>
  </si>
  <si>
    <t>janicebooth7@outlook.com</t>
  </si>
  <si>
    <t>Marina Pearl</t>
  </si>
  <si>
    <t>haider hussien</t>
  </si>
  <si>
    <t>+61401673368</t>
  </si>
  <si>
    <t>hayder_albayaa@yahoo.com</t>
  </si>
  <si>
    <t>Safi Townhouses</t>
  </si>
  <si>
    <t>Fouad Khairallah</t>
  </si>
  <si>
    <t>0563736363</t>
  </si>
  <si>
    <t>fouadkhairallah@outlook.com</t>
  </si>
  <si>
    <t>Golden Mile 7</t>
  </si>
  <si>
    <t>Claus Weglehner</t>
  </si>
  <si>
    <t>0567550274</t>
  </si>
  <si>
    <t>cweb673@gmail.com</t>
  </si>
  <si>
    <t>Melamie</t>
  </si>
  <si>
    <t xml:space="preserve"> 0529657044</t>
  </si>
  <si>
    <t>Melanie.riddle@jumeirah.com</t>
  </si>
  <si>
    <t>Marios</t>
  </si>
  <si>
    <t>0529029940</t>
  </si>
  <si>
    <t>Studio Royal Residnce</t>
  </si>
  <si>
    <t>Not availabe at the moment because for the chinese Ladies</t>
  </si>
  <si>
    <t>Garry</t>
  </si>
  <si>
    <t>0097450641741</t>
  </si>
  <si>
    <t>ibrar</t>
  </si>
  <si>
    <t>00447508063034</t>
  </si>
  <si>
    <t>invest@investoneuk.com</t>
  </si>
  <si>
    <t>looking to buy</t>
  </si>
  <si>
    <t>Mister Sultan</t>
  </si>
  <si>
    <t>+971554231231</t>
  </si>
  <si>
    <t>sultanshk1@gmail.com</t>
  </si>
  <si>
    <t>Address BLVD</t>
  </si>
  <si>
    <t>Abdulrazzaq Al Abdullah</t>
  </si>
  <si>
    <t>0506613222</t>
  </si>
  <si>
    <t>Alrazzak@gbs.ae</t>
  </si>
  <si>
    <t>+971 50 200 9292</t>
  </si>
  <si>
    <t xml:space="preserve"> tower is old and there is no proper parking and I’ didn’t like sports city</t>
  </si>
  <si>
    <t>Philip Miller</t>
  </si>
  <si>
    <t>philzamilgroups@gmail.com</t>
  </si>
  <si>
    <t>Ae.Green-Acres</t>
  </si>
  <si>
    <t>We want to invest in buying of house (Maple)</t>
  </si>
  <si>
    <t>saquib</t>
  </si>
  <si>
    <t>00971562069276</t>
  </si>
  <si>
    <t>saqib.malik@pantheonproperties.ae</t>
  </si>
  <si>
    <t>looking for office space of around 7000 sq/f, either SZR and or Business Bay</t>
  </si>
  <si>
    <t>wady</t>
  </si>
  <si>
    <t>0502640994</t>
  </si>
  <si>
    <t>wady.chaabene@gmail.com</t>
  </si>
  <si>
    <t>Jash Falqa, Shoreline Apartments</t>
  </si>
  <si>
    <t>Roda Fe Pamoleras</t>
  </si>
  <si>
    <t>0504594431</t>
  </si>
  <si>
    <t>admin@iconsworldwide.com</t>
  </si>
  <si>
    <t>Running Fast Food Restaurant for sale in Jumeirah 2</t>
  </si>
  <si>
    <t>Mr. باسم</t>
  </si>
  <si>
    <t>+96599799935</t>
  </si>
  <si>
    <t>loughanib@hotmail.com</t>
  </si>
  <si>
    <t>Free Portals</t>
  </si>
  <si>
    <t>ahmad</t>
  </si>
  <si>
    <t>0558500850</t>
  </si>
  <si>
    <t>elhamawiahmad@gmail.com</t>
  </si>
  <si>
    <t>Vatsal Gandhi</t>
  </si>
  <si>
    <t>0565014306</t>
  </si>
  <si>
    <t>vatsal2tennis@gmail.com</t>
  </si>
  <si>
    <t>Running Restaurant for sale in Jumeirah 2..</t>
  </si>
  <si>
    <t>0014807654424</t>
  </si>
  <si>
    <t>Faw.999@hotmail.com</t>
  </si>
  <si>
    <t xml:space="preserve"> سلام، شاهدت إعلانك هذا على دوبيزل وأرغب بالاستفسار عن تفاصيل مشاهدتها شخصياً. شكراً</t>
  </si>
  <si>
    <t>Mohamed Abdul Hameed Al Hashemi</t>
  </si>
  <si>
    <t>0564543833</t>
  </si>
  <si>
    <t>m.alhashemi121@gmail.com</t>
  </si>
  <si>
    <t>CASA VIVA TOWNHOUSE</t>
  </si>
  <si>
    <t>Sameera</t>
  </si>
  <si>
    <t>Jason</t>
  </si>
  <si>
    <t>+44 7950761992</t>
  </si>
  <si>
    <t>Jasonneiljoseph@hotmail.co.uk</t>
  </si>
  <si>
    <t>HALIL KOCAK</t>
  </si>
  <si>
    <t>+905327364611</t>
  </si>
  <si>
    <t>halilkocak1@yahoo.com</t>
  </si>
  <si>
    <t>Reem</t>
  </si>
  <si>
    <t>0551434947</t>
  </si>
  <si>
    <t>rhellabban@gmail.com</t>
  </si>
  <si>
    <t>Available on June Golf Course</t>
  </si>
  <si>
    <t>Ed</t>
  </si>
  <si>
    <t>edward.aghbashian@gmail.com</t>
  </si>
  <si>
    <t>Omar Mokhtar</t>
  </si>
  <si>
    <t>omarmostafamokhtar@gmail.com</t>
  </si>
  <si>
    <t>Mandy Veasey</t>
  </si>
  <si>
    <t>+971501277883</t>
  </si>
  <si>
    <t>Mandyhippe@icloud.com</t>
  </si>
  <si>
    <t>Dawood</t>
  </si>
  <si>
    <t>971-504-447874</t>
  </si>
  <si>
    <t>dalflaiti@gmail.com</t>
  </si>
  <si>
    <t>Wahat Al Zaweya, Marina Village, Abu Dhabi</t>
  </si>
  <si>
    <t>0559161149</t>
  </si>
  <si>
    <t>I'm looking for a property on rental</t>
  </si>
  <si>
    <t>Praveen</t>
  </si>
  <si>
    <t>+971554730445</t>
  </si>
  <si>
    <t>pravi.7426@gmail.com</t>
  </si>
  <si>
    <t>Al Adiyat Residence 2, Al Barsha 1</t>
  </si>
  <si>
    <t>0502507849</t>
  </si>
  <si>
    <t>keo@yahoo.ie</t>
  </si>
  <si>
    <t>Looking for Fully Furnished Apartment</t>
  </si>
  <si>
    <t>mohammedshemeerkhan@gmail.co</t>
  </si>
  <si>
    <t>Looking for Property for Rent</t>
  </si>
  <si>
    <t>Ann Vincent</t>
  </si>
  <si>
    <t>0527307198</t>
  </si>
  <si>
    <t>ann.vincent@galaxymobilephone.com</t>
  </si>
  <si>
    <t>Kalpesh Sampat</t>
  </si>
  <si>
    <t>ks@gulfsothebysrealty.com</t>
  </si>
  <si>
    <t>Dubai Hills Plot</t>
  </si>
  <si>
    <t>Mohamed Youssef</t>
  </si>
  <si>
    <t>mo.1@live.com</t>
  </si>
  <si>
    <t>Al Alka</t>
  </si>
  <si>
    <t>Shane Shin</t>
  </si>
  <si>
    <t>971547666764</t>
  </si>
  <si>
    <t>shane.yk.shin@gmail.com</t>
  </si>
  <si>
    <t>BLVD Point</t>
  </si>
  <si>
    <t>Reggie Samuel</t>
  </si>
  <si>
    <t>050 614 5643</t>
  </si>
  <si>
    <t>regsamuel1@gmail.com</t>
  </si>
  <si>
    <t>Al Alka 1, Al Alka</t>
  </si>
  <si>
    <t>0521046018</t>
  </si>
  <si>
    <t>nazar.elwasila@gmail.com</t>
  </si>
  <si>
    <t>Boulevard point</t>
  </si>
  <si>
    <t>Abu Obeida Bakhach</t>
  </si>
  <si>
    <t>0529087945</t>
  </si>
  <si>
    <t>abuobeida@outlook.com</t>
  </si>
  <si>
    <t>Jumeirah Village Circle</t>
  </si>
  <si>
    <t>Martin</t>
  </si>
  <si>
    <t>+48509252770</t>
  </si>
  <si>
    <t>orzechelo@gmail.com</t>
  </si>
  <si>
    <t>Sunrise Bay</t>
  </si>
  <si>
    <t>Damilola</t>
  </si>
  <si>
    <t>+2348137539970</t>
  </si>
  <si>
    <t>oluboyededamilola@gmail.com</t>
  </si>
  <si>
    <t>Masood</t>
  </si>
  <si>
    <t>mohd.masood@eim.ae</t>
  </si>
  <si>
    <t>Thageba Al sabbagh</t>
  </si>
  <si>
    <t>971-506-137340</t>
  </si>
  <si>
    <t>thauae@hotmail.com</t>
  </si>
  <si>
    <t>Abu Dhabi Build your own villa|58 AED/sqf |Phase 2</t>
  </si>
  <si>
    <t>Mazih</t>
  </si>
  <si>
    <t>6047262414</t>
  </si>
  <si>
    <t>mazih@me.com</t>
  </si>
  <si>
    <t>Anita</t>
  </si>
  <si>
    <t>050 4947688</t>
  </si>
  <si>
    <t>a.sabharwal@cbemirates.ae</t>
  </si>
  <si>
    <t>maaz@taktical.com</t>
  </si>
  <si>
    <t>South T1 2 Bed Dubai Creek Harbour Residence</t>
  </si>
  <si>
    <t>Mrs. Omlolowa</t>
  </si>
  <si>
    <t>+971507798076</t>
  </si>
  <si>
    <t>diyaraisha80@yahoo.com</t>
  </si>
  <si>
    <t>Jayana</t>
  </si>
  <si>
    <t>jayarecoy@yahoo.com</t>
  </si>
  <si>
    <t>Krishna</t>
  </si>
  <si>
    <t>ksadhikari91@gmail.com</t>
  </si>
  <si>
    <t>Royal Residence</t>
  </si>
  <si>
    <t>Inquire for Ajman Location</t>
  </si>
  <si>
    <t>Ayman</t>
  </si>
  <si>
    <t>aymansaadegypt@yahoo.com</t>
  </si>
  <si>
    <t>Radi</t>
  </si>
  <si>
    <t>0508884258</t>
  </si>
  <si>
    <t>Radi.mograbi11@gmail.com</t>
  </si>
  <si>
    <t>Sheikh imran</t>
  </si>
  <si>
    <t>+971502386931</t>
  </si>
  <si>
    <t>khanlight86@gmail.com</t>
  </si>
  <si>
    <t>Steed</t>
  </si>
  <si>
    <t>0559888367</t>
  </si>
  <si>
    <t>steedtaylor@gmail.com</t>
  </si>
  <si>
    <t>Please i want to buy a house property for my family in your country, please can you help me on this?</t>
  </si>
  <si>
    <t>Leads Group /Khaled</t>
  </si>
  <si>
    <t>Asmaa</t>
  </si>
  <si>
    <t>Propertify.ae</t>
  </si>
  <si>
    <t>2 Bedroom Mridiff, Al Warqa 1</t>
  </si>
  <si>
    <t>We need to pay 100 dirham to get the details of Client</t>
  </si>
  <si>
    <t>Claudia Harrison</t>
  </si>
  <si>
    <t>0834821676</t>
  </si>
  <si>
    <t>claudiharrison@gmail.com</t>
  </si>
  <si>
    <t>6 Bed Duplex Penthouse at Dubai Creek Harbour</t>
  </si>
  <si>
    <t>Rajpal</t>
  </si>
  <si>
    <t>+917229801655</t>
  </si>
  <si>
    <t>Rk5287725@gmail.com</t>
  </si>
  <si>
    <t>Paloma Tower</t>
  </si>
  <si>
    <t>Abdulrahman Aljaberi</t>
  </si>
  <si>
    <t>0565550005</t>
  </si>
  <si>
    <t>ar.aljaberi@gmail.com</t>
  </si>
  <si>
    <t>Fast food Burger Restaurant in Jumeirah 2.</t>
  </si>
  <si>
    <t>Sajid khan</t>
  </si>
  <si>
    <t>+919950808060</t>
  </si>
  <si>
    <t>sajidkhan8080@gmail.com</t>
  </si>
  <si>
    <t xml:space="preserve">Salon in Jumeirah </t>
  </si>
  <si>
    <t>Tamer</t>
  </si>
  <si>
    <t>0585100560</t>
  </si>
  <si>
    <t>abozeidt@hamptons.ae</t>
  </si>
  <si>
    <t>Shakia</t>
  </si>
  <si>
    <t>+971-566-929-772</t>
  </si>
  <si>
    <t>Sweetshak16@gmail.com</t>
  </si>
  <si>
    <t>Al Barsha South, Al Barsha, Dubai</t>
  </si>
  <si>
    <t>Anton</t>
  </si>
  <si>
    <t>0501285909</t>
  </si>
  <si>
    <t>superfastfox@hotmail.com</t>
  </si>
  <si>
    <t xml:space="preserve">Al Alka </t>
  </si>
  <si>
    <t>Loay Arnous</t>
  </si>
  <si>
    <t>0568240892</t>
  </si>
  <si>
    <t>loay_101@hotmail.com</t>
  </si>
  <si>
    <t>Bellevue</t>
  </si>
  <si>
    <t>sudhir</t>
  </si>
  <si>
    <t>800 622 23</t>
  </si>
  <si>
    <t>sudhirbotcha@yahoo.com</t>
  </si>
  <si>
    <t>Primerose</t>
  </si>
  <si>
    <t>Vincent Langlois</t>
  </si>
  <si>
    <t>+971503506624</t>
  </si>
  <si>
    <t>vincent0001@gmail.com</t>
  </si>
  <si>
    <t>Selling Business | Beauty Salon in JLT.</t>
  </si>
  <si>
    <t>0553066711</t>
  </si>
  <si>
    <t>asimk01@yahoo.com</t>
  </si>
  <si>
    <t>Sindy Mourot</t>
  </si>
  <si>
    <t>0597858264</t>
  </si>
  <si>
    <t>sindymourot@hotmail.com</t>
  </si>
  <si>
    <t>Leen</t>
  </si>
  <si>
    <t>0502551631</t>
  </si>
  <si>
    <t>Leen.3-3@hotmail.com</t>
  </si>
  <si>
    <t>Bahar 6</t>
  </si>
  <si>
    <t>Zahid Ali Khan Noori</t>
  </si>
  <si>
    <t>+919068692786</t>
  </si>
  <si>
    <t>khan.zahidali94@gmail.com</t>
  </si>
  <si>
    <t>Philippino Restaurant for Sale in Sharjah.</t>
  </si>
  <si>
    <t>Virginie</t>
  </si>
  <si>
    <t>0521024724</t>
  </si>
  <si>
    <t>virgi_maamaribachi@hotmail.com</t>
  </si>
  <si>
    <t>Executive Bay A</t>
  </si>
  <si>
    <t>Muhammad Zafar</t>
  </si>
  <si>
    <t xml:space="preserve">+92-300-8267802 </t>
  </si>
  <si>
    <t xml:space="preserve">zafar_commodity@hotmail.com </t>
  </si>
  <si>
    <t>Website</t>
  </si>
  <si>
    <t>Ilma</t>
  </si>
  <si>
    <t>0569580907</t>
  </si>
  <si>
    <t>Ilma.gauhar@gmail.com</t>
  </si>
  <si>
    <t>Jasmine Trivino</t>
  </si>
  <si>
    <t>0503074625</t>
  </si>
  <si>
    <t>ajbtrivino@gmail.com</t>
  </si>
  <si>
    <t>Inquire for Discovery Garden</t>
  </si>
  <si>
    <t>Don J</t>
  </si>
  <si>
    <t>0503500546</t>
  </si>
  <si>
    <t>deep_dass@yahoo.com</t>
  </si>
  <si>
    <t>Inquire for The vews</t>
  </si>
  <si>
    <t>Swati S</t>
  </si>
  <si>
    <t>0509852645</t>
  </si>
  <si>
    <t>swatipuri93@gmail.com</t>
  </si>
  <si>
    <t>Mark Young</t>
  </si>
  <si>
    <t>0523407991</t>
  </si>
  <si>
    <t>mryoung@ecolab.com</t>
  </si>
  <si>
    <t>Rimal 1</t>
  </si>
  <si>
    <t xml:space="preserve">altaf190957@yahoo.com </t>
  </si>
  <si>
    <t>Nice Shawarma Restaurant next to Citymax</t>
  </si>
  <si>
    <t>Amit Chanchal</t>
  </si>
  <si>
    <t>amitbatschanchal@gmail.com</t>
  </si>
  <si>
    <t>michele moser</t>
  </si>
  <si>
    <t>+41796210354</t>
  </si>
  <si>
    <t>michele.moser@blackmoyo.com</t>
  </si>
  <si>
    <t>Roy Graves</t>
  </si>
  <si>
    <t>jimmytaylor288@gmail.com</t>
  </si>
  <si>
    <t>I am interested in the purchase of the apartment please confirm if it is still available..</t>
  </si>
  <si>
    <t>Husam Sadagah</t>
  </si>
  <si>
    <t>sadagah@yahoo.com</t>
  </si>
  <si>
    <t>I am interested in a 3 BR flat in the Hills on a high floor with full view of the golf course &amp;amp; sea</t>
  </si>
  <si>
    <t>shahid akhter</t>
  </si>
  <si>
    <t>0553847306</t>
  </si>
  <si>
    <t>shahid.apre@gmail.com</t>
  </si>
  <si>
    <t xml:space="preserve">OFF PLAN </t>
  </si>
  <si>
    <t xml:space="preserve">+966505614525 </t>
  </si>
  <si>
    <t xml:space="preserve">sadagah@yahoo.com </t>
  </si>
  <si>
    <t xml:space="preserve"> I am interested in a 3 BR flat in the Hills on a high floor with full view of the golf course &amp;amp; sea</t>
  </si>
  <si>
    <t>Eethar Al-Hassan</t>
  </si>
  <si>
    <t>+971567595018</t>
  </si>
  <si>
    <t>eethar2000@yahoo.com</t>
  </si>
  <si>
    <t>Mitto</t>
  </si>
  <si>
    <t>+971529425028</t>
  </si>
  <si>
    <t>info@magicbox.ae</t>
  </si>
  <si>
    <t>paulo amado</t>
  </si>
  <si>
    <t>5503124988631470</t>
  </si>
  <si>
    <t>paulo.amado@mail.com</t>
  </si>
  <si>
    <t>Nice Shawarma Restaurant next to Citymax Retail for Sale in Al Barsha 1, Al Barsha</t>
  </si>
  <si>
    <t>Gumeet</t>
  </si>
  <si>
    <t>0096898285678</t>
  </si>
  <si>
    <t>gumeet@gmail.com</t>
  </si>
  <si>
    <t>Umer</t>
  </si>
  <si>
    <t>0523357553</t>
  </si>
  <si>
    <t xml:space="preserve">umerbaigmirza@gmail.com </t>
  </si>
  <si>
    <t>Vida Residences Dubai Marina</t>
  </si>
  <si>
    <t>Mayank Gupta</t>
  </si>
  <si>
    <t>0555281748</t>
  </si>
  <si>
    <t>mayank@mailme.ae</t>
  </si>
  <si>
    <t>Rosaly</t>
  </si>
  <si>
    <t>042500072</t>
  </si>
  <si>
    <t>rosaly.tubilla@grapho-line.com</t>
  </si>
  <si>
    <t>I would like to Inquire fro Villa Maximum 3M by cash payment, Please give us detail with pictures through my emails.</t>
  </si>
  <si>
    <t>Hriday Nagu</t>
  </si>
  <si>
    <t>+971557528877</t>
  </si>
  <si>
    <t>naguhriday14@gmail.com</t>
  </si>
  <si>
    <t>1 bedroom The Hills 1</t>
  </si>
  <si>
    <t>mehdi</t>
  </si>
  <si>
    <t>0561376525</t>
  </si>
  <si>
    <t>mehdi.alaouiismaili9@gmail.com</t>
  </si>
  <si>
    <t>Showroom</t>
  </si>
  <si>
    <t>Aigul</t>
  </si>
  <si>
    <t>0557676734</t>
  </si>
  <si>
    <t>aigul@harbordubai.com</t>
  </si>
  <si>
    <t>Ana</t>
  </si>
  <si>
    <t>+380633930072</t>
  </si>
  <si>
    <t>ana.shelest.90@mail.ru</t>
  </si>
  <si>
    <t>Mohameed</t>
  </si>
  <si>
    <t>971562160492</t>
  </si>
  <si>
    <t>msshaikh@gmail.com</t>
  </si>
  <si>
    <t>Vida Residence Marina</t>
  </si>
  <si>
    <t>Esishkjau</t>
  </si>
  <si>
    <t>+971558989899</t>
  </si>
  <si>
    <t>Esishkjau@gmail.com</t>
  </si>
  <si>
    <t>Gold Place</t>
  </si>
  <si>
    <t>Saritha</t>
  </si>
  <si>
    <t>0509009052</t>
  </si>
  <si>
    <t>Sarithaviji@gmail.com</t>
  </si>
  <si>
    <t>Looking for villa for nursery purpose.. occupation end of June</t>
  </si>
  <si>
    <t>Marafa Hamidou Yaya</t>
  </si>
  <si>
    <t>00237653921465</t>
  </si>
  <si>
    <t>marafahamidouyaya6@gmail.com</t>
  </si>
  <si>
    <t>Running Restaurant | Prime Location | Motor City.</t>
  </si>
  <si>
    <t>+971501609992</t>
  </si>
  <si>
    <t>khaled202k@hotmail.com</t>
  </si>
  <si>
    <t>Looking for Rental</t>
  </si>
  <si>
    <t>Hayan Akmad</t>
  </si>
  <si>
    <t>009714 3208294</t>
  </si>
  <si>
    <t>Hayan348@hotmail.com</t>
  </si>
  <si>
    <t>Grande</t>
  </si>
  <si>
    <t>Naomi Wharam</t>
  </si>
  <si>
    <t>0559182802</t>
  </si>
  <si>
    <t>naomi.01@hotmail.co.uk</t>
  </si>
  <si>
    <t>Sulafa Tower, Dubai Marina</t>
  </si>
  <si>
    <t>DEEPAK JAI RUPANI</t>
  </si>
  <si>
    <t>0501139891</t>
  </si>
  <si>
    <t>deepakjairupani@gmail.com</t>
  </si>
  <si>
    <t>Ready retail corner shop for sale in DIFC</t>
  </si>
  <si>
    <t xml:space="preserve">9007386086/WhatsApp 8100758218 I </t>
  </si>
  <si>
    <t>dazzlingmohitgupta@gmail.com</t>
  </si>
  <si>
    <t>Salman Farooq</t>
  </si>
  <si>
    <t>0503574615</t>
  </si>
  <si>
    <t>salmanfmalik8@gmail.com</t>
  </si>
  <si>
    <t>Coffee shop available in Tecom.</t>
  </si>
  <si>
    <t>971503767273</t>
  </si>
  <si>
    <t>Shabeer313@gmail.com</t>
  </si>
  <si>
    <t>Running Multi-Cuisine and Coffee Shop in Deira.</t>
  </si>
  <si>
    <t>looking to rent</t>
  </si>
  <si>
    <t>Lee Martin</t>
  </si>
  <si>
    <t>0554012738</t>
  </si>
  <si>
    <t>martin64lm@gmail.com</t>
  </si>
  <si>
    <t>Sachin Gupta</t>
  </si>
  <si>
    <t>esszees@yahoo.com</t>
  </si>
  <si>
    <t>Stefan</t>
  </si>
  <si>
    <t>054 581 9502</t>
  </si>
  <si>
    <t>stefan.h@suninmotion.com</t>
  </si>
  <si>
    <t>Abdul</t>
  </si>
  <si>
    <t>+971508516101</t>
  </si>
  <si>
    <t>abdulhalim@saplingdxb.com</t>
  </si>
  <si>
    <t>Looking for Rent Property</t>
  </si>
  <si>
    <t>+919031909090</t>
  </si>
  <si>
    <t>piyush@hoteljiva.com</t>
  </si>
  <si>
    <t>roy</t>
  </si>
  <si>
    <t>00971551015772</t>
  </si>
  <si>
    <t xml:space="preserve">royeliasyacoub@gmail.com </t>
  </si>
  <si>
    <t>Remraam</t>
  </si>
  <si>
    <t>00966509897973</t>
  </si>
  <si>
    <t>M7md.97law2016@gmail.com</t>
  </si>
  <si>
    <t>Looking for Rent</t>
  </si>
  <si>
    <t>Shan</t>
  </si>
  <si>
    <t>Godwin Emefiele</t>
  </si>
  <si>
    <t>+2348132245422</t>
  </si>
  <si>
    <t>godwinprivateefax@outlook.com</t>
  </si>
  <si>
    <t>Message: Can you send me a detailed email about the kind of properties you have in Dubai and also about yourself, because I will be willing to purchase/invest</t>
  </si>
  <si>
    <t>Priscilla Mackinnon</t>
  </si>
  <si>
    <t>556-602-179</t>
  </si>
  <si>
    <t>pris20.mackinnon@gmail.com</t>
  </si>
  <si>
    <t>JVC Villas</t>
  </si>
  <si>
    <t xml:space="preserve">Adedayo Osholowu </t>
  </si>
  <si>
    <t>+2348178888882</t>
  </si>
  <si>
    <t>d.osholowu@gmail.com</t>
  </si>
  <si>
    <t>Maxine</t>
  </si>
  <si>
    <t>+447885746459</t>
  </si>
  <si>
    <t>maxinemonte@live.co.uk</t>
  </si>
  <si>
    <t>The Palm</t>
  </si>
  <si>
    <t>raj</t>
  </si>
  <si>
    <t>+971553803668</t>
  </si>
  <si>
    <t>naturesea011@gmail.com</t>
  </si>
  <si>
    <t>Running Restaurant | Prime Area | Motor City</t>
  </si>
  <si>
    <t>Zakir</t>
  </si>
  <si>
    <t>+447486532467</t>
  </si>
  <si>
    <t>Zak@gmail.com</t>
  </si>
  <si>
    <t>Dubai Creek Harbour Residence - Tower 1 Unit type 4 1 bed</t>
  </si>
  <si>
    <t>mariam</t>
  </si>
  <si>
    <t>0563797089</t>
  </si>
  <si>
    <t>mariamosmanova@yahoo.com</t>
  </si>
  <si>
    <t>Brian</t>
  </si>
  <si>
    <t>0502531182</t>
  </si>
  <si>
    <t>gnerodi@gmail.com</t>
  </si>
  <si>
    <t>Halil Kocak</t>
  </si>
  <si>
    <t>00905327364611</t>
  </si>
  <si>
    <t>Halilkocak1@yahoo.com</t>
  </si>
  <si>
    <t>Iris Blue</t>
  </si>
  <si>
    <t>Lidia</t>
  </si>
  <si>
    <t>0526452541</t>
  </si>
  <si>
    <t>yaritsina@mail.ru</t>
  </si>
  <si>
    <t>Jash Falqa, Shoreline</t>
  </si>
  <si>
    <t>Ahmed</t>
  </si>
  <si>
    <t>971553633703</t>
  </si>
  <si>
    <t>ahmedgold@gmail.com</t>
  </si>
  <si>
    <t>maryam</t>
  </si>
  <si>
    <t>0555143862</t>
  </si>
  <si>
    <t>mka5778@yahoo.co.uk</t>
  </si>
  <si>
    <t>Golden Mile, Palm Jumeirah</t>
  </si>
  <si>
    <t>Kunal Jain</t>
  </si>
  <si>
    <t>0555027011</t>
  </si>
  <si>
    <t>Kjain@gmail.com</t>
  </si>
  <si>
    <t>Elies Kurenfuli Costa</t>
  </si>
  <si>
    <t>+971526044972</t>
  </si>
  <si>
    <t>Kurensco@gmail.com</t>
  </si>
  <si>
    <t>Golden Mile 9</t>
  </si>
  <si>
    <t>astaghfir</t>
  </si>
  <si>
    <t xml:space="preserve"> +971501222129</t>
  </si>
  <si>
    <t>zoon2003aa@gmail.com</t>
  </si>
  <si>
    <t xml:space="preserve"> سلام، شاهدت إعلانك على دوبيزل وأرغب إن كان متوفراً لتحديد موعد لمشاهدة العقار اليوم, مايو 26 صباحاً؟ شكراً.</t>
  </si>
  <si>
    <t>Lyka</t>
  </si>
  <si>
    <t xml:space="preserve"> 056-402-3861 </t>
  </si>
  <si>
    <t>r.asamizu@one-group.jp</t>
  </si>
  <si>
    <t>Tanaro, The Views</t>
  </si>
  <si>
    <t>Cloyd</t>
  </si>
  <si>
    <t>0525595334</t>
  </si>
  <si>
    <t>cloyd_real@yahoo.com</t>
  </si>
  <si>
    <t>Hayley</t>
  </si>
  <si>
    <t>0565354808</t>
  </si>
  <si>
    <t>Hayleyj3@hotmail.com</t>
  </si>
  <si>
    <t>Tiago Filipe Antão</t>
  </si>
  <si>
    <t xml:space="preserve"> +971521093333</t>
  </si>
  <si>
    <t>tiagofil@gmail.com</t>
  </si>
  <si>
    <t>Palm Jumeirah Azure Residence</t>
  </si>
  <si>
    <t>Vishal Arora</t>
  </si>
  <si>
    <t>0502181065</t>
  </si>
  <si>
    <t>vishalarora86@gmail.com</t>
  </si>
  <si>
    <t>Anthony</t>
  </si>
  <si>
    <t>+971555743713</t>
  </si>
  <si>
    <t>muchoki787@gmail.com</t>
  </si>
  <si>
    <t>Iam looking for rental property to move in immediately in IMPZ, International city Sport city, Discovery gardens</t>
  </si>
  <si>
    <t>mohammed azhar</t>
  </si>
  <si>
    <t>971524808100</t>
  </si>
  <si>
    <t>mohammedazhar@outlook.com</t>
  </si>
  <si>
    <t>0543204135</t>
  </si>
  <si>
    <t>mloonen@yahoo.com</t>
  </si>
  <si>
    <t>1 Bedroom for Sale | U-Type</t>
  </si>
  <si>
    <t>+918888389888</t>
  </si>
  <si>
    <t>kakad.sushil@gmail.com</t>
  </si>
  <si>
    <t>Subho</t>
  </si>
  <si>
    <t>0582949244</t>
  </si>
  <si>
    <t>subho.m@gmail.com</t>
  </si>
  <si>
    <t>Vernon Ward</t>
  </si>
  <si>
    <t>+447853892959</t>
  </si>
  <si>
    <t>vern600r@hotmail.com</t>
  </si>
  <si>
    <t>hemalatha</t>
  </si>
  <si>
    <t>971-521-051377</t>
  </si>
  <si>
    <t>hemalatha1988mohan@gmail.com</t>
  </si>
  <si>
    <t>Ghida Adra</t>
  </si>
  <si>
    <t>009613626524</t>
  </si>
  <si>
    <t>Ghida.adra@gmail.com</t>
  </si>
  <si>
    <t>Marina Diamond 1</t>
  </si>
  <si>
    <t>0562224549</t>
  </si>
  <si>
    <t>XL Tower</t>
  </si>
  <si>
    <t>0551025951</t>
  </si>
  <si>
    <t>0552580599</t>
  </si>
  <si>
    <t>Dubai  Wharf</t>
  </si>
  <si>
    <t>Offer 125K</t>
  </si>
  <si>
    <t>Rania ismail</t>
  </si>
  <si>
    <t>+971568219063</t>
  </si>
  <si>
    <t>rania.alexandria@hotmail.com</t>
  </si>
  <si>
    <t>Hermann Redl</t>
  </si>
  <si>
    <t>+4366488289999</t>
  </si>
  <si>
    <t>h.redl@redl.net</t>
  </si>
  <si>
    <t>The Address at JBR Beach</t>
  </si>
  <si>
    <t>Marie Hobohm</t>
  </si>
  <si>
    <t>0588813077</t>
  </si>
  <si>
    <t>marie.hobohmgirard@alumi.ie.edu</t>
  </si>
  <si>
    <t>Fari Mirza</t>
  </si>
  <si>
    <t>00447887666529</t>
  </si>
  <si>
    <t>Farehia.mirza@gmail.com</t>
  </si>
  <si>
    <t>BELLEVUE TOWERS</t>
  </si>
  <si>
    <t>Mohd Darwish</t>
  </si>
  <si>
    <t>971-506-548875</t>
  </si>
  <si>
    <t>geneclash@gmail.com</t>
  </si>
  <si>
    <t>*</t>
  </si>
  <si>
    <t>Ersan Bajram</t>
  </si>
  <si>
    <t>+358401595550</t>
  </si>
  <si>
    <t>ebajram@gmail.com</t>
  </si>
  <si>
    <t>Noman</t>
  </si>
  <si>
    <t>0562024229</t>
  </si>
  <si>
    <t>Looking for short term in Al Manara</t>
  </si>
  <si>
    <t>No availble Unit</t>
  </si>
  <si>
    <t>Shahid</t>
  </si>
  <si>
    <t>+966580149992</t>
  </si>
  <si>
    <t>shahids025@gmail.com</t>
  </si>
  <si>
    <t>Looking for Villa and Office</t>
  </si>
  <si>
    <t>Jas</t>
  </si>
  <si>
    <t>0508907549</t>
  </si>
  <si>
    <t>alfarahjassim@yahoo.com</t>
  </si>
  <si>
    <t xml:space="preserve">Damac Executive Bay A </t>
  </si>
  <si>
    <t>Mr. Fahad/Samera</t>
  </si>
  <si>
    <t>REsale Client of Mr. Fahad</t>
  </si>
  <si>
    <t>kate</t>
  </si>
  <si>
    <t>0509602572</t>
  </si>
  <si>
    <t>knola26@gmail.com</t>
  </si>
  <si>
    <t>Dubia Wharf</t>
  </si>
  <si>
    <t>+971 501-140-388</t>
  </si>
  <si>
    <t>stephaniekerbage@hotmail.com</t>
  </si>
  <si>
    <t xml:space="preserve">+971556008129 </t>
  </si>
  <si>
    <t>GS</t>
  </si>
  <si>
    <t>0544548344</t>
  </si>
  <si>
    <t>mistergal@hotmail.com</t>
  </si>
  <si>
    <t>Carl</t>
  </si>
  <si>
    <t>971509558288</t>
  </si>
  <si>
    <t>carl@showtechme.com</t>
  </si>
  <si>
    <t>Shawarma Restaurant next to Citymax</t>
  </si>
  <si>
    <t>Simran(Agent)</t>
  </si>
  <si>
    <t>0501530072</t>
  </si>
  <si>
    <t>Inquire for Opera Grand (RESALE)</t>
  </si>
  <si>
    <t>Yasin</t>
  </si>
  <si>
    <t>050 505 4135</t>
  </si>
  <si>
    <t>yasin.valimulla@kwdubai.com</t>
  </si>
  <si>
    <t>pradeep kundan</t>
  </si>
  <si>
    <t>0566047908</t>
  </si>
  <si>
    <t>pradeepkundan@gmail.com</t>
  </si>
  <si>
    <t>Ludovit Cernak</t>
  </si>
  <si>
    <t>+421908744140</t>
  </si>
  <si>
    <t>cernak23@yahoo.com</t>
  </si>
  <si>
    <t>Fully fitted office in BLVD Plaza 1</t>
  </si>
  <si>
    <t>Safi Town House</t>
  </si>
  <si>
    <t>Aston</t>
  </si>
  <si>
    <t>astonpicardo@gmail.com</t>
  </si>
  <si>
    <t>Dee</t>
  </si>
  <si>
    <t>Dee_panju@hotmail.com</t>
  </si>
  <si>
    <t>mansoor</t>
  </si>
  <si>
    <t>0558996091</t>
  </si>
  <si>
    <t>mansoor.ahmed@colliers.com</t>
  </si>
  <si>
    <t>Meadows 9, Meadows</t>
  </si>
  <si>
    <t>Sana Qureshi</t>
  </si>
  <si>
    <t>0505636973</t>
  </si>
  <si>
    <t>sana.qureshi@midstar-mgt.com</t>
  </si>
  <si>
    <t>thahir</t>
  </si>
  <si>
    <t>sathahir@hotmail.com</t>
  </si>
  <si>
    <t>Stuido in 29 Boulevard Tower A</t>
  </si>
  <si>
    <t xml:space="preserve">Lubna Osmani </t>
  </si>
  <si>
    <t>lubnaosmani23@gmail.com</t>
  </si>
  <si>
    <t>Marina Diamond</t>
  </si>
  <si>
    <t>00966596888882</t>
  </si>
  <si>
    <t>Shehnaz Khalid</t>
  </si>
  <si>
    <t>0553973786</t>
  </si>
  <si>
    <t>shehnaz@manresa.ae</t>
  </si>
  <si>
    <t>Muhammad</t>
  </si>
  <si>
    <t>0558925390</t>
  </si>
  <si>
    <t>Mudon Villa</t>
  </si>
  <si>
    <t>Ahad</t>
  </si>
  <si>
    <t>0521382285</t>
  </si>
  <si>
    <t>Inquire for Boulevard Plaza</t>
  </si>
  <si>
    <t>Anna Goldwell</t>
  </si>
  <si>
    <t xml:space="preserve">971529631185 </t>
  </si>
  <si>
    <t>amafy85@yahoo.com</t>
  </si>
  <si>
    <t>I am interested in 2Br in the Collective.</t>
  </si>
  <si>
    <t>yosra</t>
  </si>
  <si>
    <t>0504650541</t>
  </si>
  <si>
    <t>youyoujebeli@gmail.com</t>
  </si>
  <si>
    <t>Brand New 4 Star Hotel for Sale on Business Bay Canal.</t>
  </si>
  <si>
    <t>sharmistha</t>
  </si>
  <si>
    <t>971506902980</t>
  </si>
  <si>
    <t>palchaudhurico@rediffmail.com</t>
  </si>
  <si>
    <t>ram kumar</t>
  </si>
  <si>
    <t>0508923461</t>
  </si>
  <si>
    <t>svsramkumar@yahoo.com</t>
  </si>
  <si>
    <t>Rami Al-Salih</t>
  </si>
  <si>
    <t>0561393401</t>
  </si>
  <si>
    <t>rami.alsalih@gmail.com</t>
  </si>
  <si>
    <t>RESALE Downtown Views</t>
  </si>
  <si>
    <t>Jackson</t>
  </si>
  <si>
    <t>0524044440</t>
  </si>
  <si>
    <t>Indian Restaurant in Jumeirah 1</t>
  </si>
  <si>
    <t>Dr. Asma</t>
  </si>
  <si>
    <t>0504561213</t>
  </si>
  <si>
    <t>Looking office for Rent</t>
  </si>
  <si>
    <t>Sabina</t>
  </si>
  <si>
    <t>0522556862</t>
  </si>
  <si>
    <t>1Bedroom for Rent in Discovery Garden</t>
  </si>
  <si>
    <t>Zifren</t>
  </si>
  <si>
    <t>0526045847</t>
  </si>
  <si>
    <t>Inquire for Mudon for RENT</t>
  </si>
  <si>
    <t>+971 508419099</t>
  </si>
  <si>
    <t>akf@smartcrowd.property</t>
  </si>
  <si>
    <t>Shah</t>
  </si>
  <si>
    <t>Greg</t>
  </si>
  <si>
    <t>=971 4 603 3329</t>
  </si>
  <si>
    <t>gregdearden@hotmail.co.uk</t>
  </si>
  <si>
    <t>Just try to if Some one will call</t>
  </si>
  <si>
    <t>Jaya</t>
  </si>
  <si>
    <t>0557210518</t>
  </si>
  <si>
    <t>Jays.sunkari@yahoo.com</t>
  </si>
  <si>
    <t>gul</t>
  </si>
  <si>
    <t>0559158875</t>
  </si>
  <si>
    <t>selenastela@mail.ru</t>
  </si>
  <si>
    <t>The address Boulevard</t>
  </si>
  <si>
    <t>00971529124519</t>
  </si>
  <si>
    <t>tomas.dolezal@eliteroyalapartments.com</t>
  </si>
  <si>
    <t>The Residences 5</t>
  </si>
  <si>
    <t>+1 631 954 5086</t>
  </si>
  <si>
    <t>Jaskingston50@gmail.com</t>
  </si>
  <si>
    <t>Mayank gupta</t>
  </si>
  <si>
    <t>Mr. Mona</t>
  </si>
  <si>
    <t>0508879889</t>
  </si>
  <si>
    <t>Nad Al Hammar Villa</t>
  </si>
  <si>
    <t>Bilal /Shane</t>
  </si>
  <si>
    <t>Elham</t>
  </si>
  <si>
    <t>0501664444</t>
  </si>
  <si>
    <t>elham7366@gmail.com</t>
  </si>
  <si>
    <t>VIDA Dubai Mall : سلام، شاهدت إعلانك على دوبيزل وأرغب إن كان متوفراً لتحديد موعد لمشاهدة العقار أبريل ١٧اليوم بعد الظهر؟ شكراً.</t>
  </si>
  <si>
    <t>David Carraro</t>
  </si>
  <si>
    <t>davidfcarraro@gmail.com</t>
  </si>
  <si>
    <t>1Bed South T1 Creek Harbour Residence The Lagoon</t>
  </si>
  <si>
    <t>Leads Group / Khaled</t>
  </si>
  <si>
    <t>0543322250</t>
  </si>
  <si>
    <t>Pira</t>
  </si>
  <si>
    <t>+255784344235</t>
  </si>
  <si>
    <t>Gen,Smith Davis</t>
  </si>
  <si>
    <t>=1 410 2464180</t>
  </si>
  <si>
    <t>smithdavis@gmail.com</t>
  </si>
  <si>
    <t xml:space="preserve"> Club Villas</t>
  </si>
  <si>
    <t>Sulayman</t>
  </si>
  <si>
    <t>+447440786387</t>
  </si>
  <si>
    <t>Timorcaan@gmail.com</t>
  </si>
  <si>
    <t>Hayleigh</t>
  </si>
  <si>
    <t>0527974521</t>
  </si>
  <si>
    <t>hrmackay.3@gmail.com</t>
  </si>
  <si>
    <t>Ali Can Satir</t>
  </si>
  <si>
    <t>971588896578</t>
  </si>
  <si>
    <t>satiralican@gmail.com</t>
  </si>
  <si>
    <t>Reem Okkeh</t>
  </si>
  <si>
    <t>reemokkeh@yahoo.com</t>
  </si>
  <si>
    <t>Niko</t>
  </si>
  <si>
    <t>+971544020147</t>
  </si>
  <si>
    <t>blaumeiser@me.com</t>
  </si>
  <si>
    <t xml:space="preserve">Address BLVD </t>
  </si>
  <si>
    <t>Valeria Gnoffo Emanuele Montalbano</t>
  </si>
  <si>
    <t>+393925651723</t>
  </si>
  <si>
    <t>valeriagnoffo@gmail.com</t>
  </si>
  <si>
    <t>Murjan</t>
  </si>
  <si>
    <t>=971523888846</t>
  </si>
  <si>
    <t>praveen.babu@pumpworks.com</t>
  </si>
  <si>
    <t>1 Bedroom in Discovery Garden</t>
  </si>
  <si>
    <t>sobia</t>
  </si>
  <si>
    <t>sobia@azurpropertiesuae.com</t>
  </si>
  <si>
    <t>Executive Bya  1 Bedroom</t>
  </si>
  <si>
    <t>Eman Hamshari</t>
  </si>
  <si>
    <t>+971504538659</t>
  </si>
  <si>
    <t>imninow5@yahoo.com</t>
  </si>
  <si>
    <t>Vida Dubai Mall</t>
  </si>
  <si>
    <t>Rangaswamy Govindarajan</t>
  </si>
  <si>
    <t>+971555591570</t>
  </si>
  <si>
    <t>rangag82@gmail.com</t>
  </si>
  <si>
    <t>Oussama EL MIR</t>
  </si>
  <si>
    <t>0567170407</t>
  </si>
  <si>
    <t>oussama.elmir@strategyand.ae.pwc.com</t>
  </si>
  <si>
    <t>0528584630</t>
  </si>
  <si>
    <t>marykozitskaya@gmail.com</t>
  </si>
  <si>
    <t>Iyad</t>
  </si>
  <si>
    <t>+971 50 661 4862</t>
  </si>
  <si>
    <t xml:space="preserve">Looking for 2 or 3 bedroom at Murjan or shams or Rimal. </t>
  </si>
  <si>
    <t>James Appleton</t>
  </si>
  <si>
    <t>0569672003</t>
  </si>
  <si>
    <t xml:space="preserve">james.appleton@upfitness.com </t>
  </si>
  <si>
    <t>0552468379</t>
  </si>
  <si>
    <t>angelalaurianj@gmail.com</t>
  </si>
  <si>
    <t>Ranga</t>
  </si>
  <si>
    <t>971-555-591570</t>
  </si>
  <si>
    <t>1 Bedroom in Disocvery garden</t>
  </si>
  <si>
    <t>Grace Homes</t>
  </si>
  <si>
    <t>info@gracehomesuae.com</t>
  </si>
  <si>
    <t>Naseem Mudon</t>
  </si>
  <si>
    <t>Bachir</t>
  </si>
  <si>
    <t>0505591044</t>
  </si>
  <si>
    <t xml:space="preserve">bachir_bassil@hotmail.com </t>
  </si>
  <si>
    <t>Rebecca Paden</t>
  </si>
  <si>
    <t>+447843651833</t>
  </si>
  <si>
    <t>bexpaden@hotmail.co.uk</t>
  </si>
  <si>
    <t>0564278066</t>
  </si>
  <si>
    <t>mary.vornicu@yahoo.com</t>
  </si>
  <si>
    <t>alan</t>
  </si>
  <si>
    <t>0558574775</t>
  </si>
  <si>
    <t>afw_services@hotmail.co.uk</t>
  </si>
  <si>
    <t>Kate</t>
  </si>
  <si>
    <t>Knola26@gmail.com</t>
  </si>
  <si>
    <t>Dubai wharf</t>
  </si>
  <si>
    <t>RENTED OUT</t>
  </si>
  <si>
    <t xml:space="preserve">sam singh </t>
  </si>
  <si>
    <t>+919619909044</t>
  </si>
  <si>
    <t>samsingh.us@gmail.com</t>
  </si>
  <si>
    <t>2 Bed in 29 Boulevard Tower A</t>
  </si>
  <si>
    <t>Dan</t>
  </si>
  <si>
    <t>+971554437332</t>
  </si>
  <si>
    <t>Dkoottatep@gmail.com</t>
  </si>
  <si>
    <t>Amir Farooq</t>
  </si>
  <si>
    <t>0556997648</t>
  </si>
  <si>
    <t>amir.crane@gmail.com</t>
  </si>
  <si>
    <t xml:space="preserve">Remraam </t>
  </si>
  <si>
    <t>HUMAM ALJAZAERI</t>
  </si>
  <si>
    <t>haljazaeri3@gmail.com</t>
  </si>
  <si>
    <t>looking for house</t>
  </si>
  <si>
    <t>sam singh</t>
  </si>
  <si>
    <t>+971509488275</t>
  </si>
  <si>
    <t>Jalal</t>
  </si>
  <si>
    <t>+15874800931</t>
  </si>
  <si>
    <t>jay.nexo@gmail.com</t>
  </si>
  <si>
    <t>husein</t>
  </si>
  <si>
    <t>0526453294</t>
  </si>
  <si>
    <t>husein.manji@gmail.com</t>
  </si>
  <si>
    <t>Hariprasad</t>
  </si>
  <si>
    <t>971506960223</t>
  </si>
  <si>
    <t>venu.hariprasad@rediffmail.com</t>
  </si>
  <si>
    <t>prasenjit</t>
  </si>
  <si>
    <t>+91 72590 26644</t>
  </si>
  <si>
    <t xml:space="preserve">Marina Diamond </t>
  </si>
  <si>
    <t>971 55 910 9386</t>
  </si>
  <si>
    <t>girba_Anna@hotmail.com</t>
  </si>
  <si>
    <t>Dubai Wharf</t>
  </si>
  <si>
    <t>0554254705</t>
  </si>
  <si>
    <t>She will Go to view it</t>
  </si>
  <si>
    <t>Shamna</t>
  </si>
  <si>
    <t>0508620636</t>
  </si>
  <si>
    <t>shamnashafeek75@gmail.com</t>
  </si>
  <si>
    <t>DR Rahul Goyal</t>
  </si>
  <si>
    <t>+971 50 235 9480</t>
  </si>
  <si>
    <t>rahulgoyalmd@yahoo.com</t>
  </si>
  <si>
    <t>Dr. Jörg Hackenbuchner</t>
  </si>
  <si>
    <t>+971505048740</t>
  </si>
  <si>
    <t>hackenbuchner@gmx.at</t>
  </si>
  <si>
    <t>Tina Saarinen</t>
  </si>
  <si>
    <t>Tiina.Saarinen@sdo.fi</t>
  </si>
  <si>
    <t>Looking for 3BR  Villa Budget 350k-400k</t>
  </si>
  <si>
    <t>dharmendra singh</t>
  </si>
  <si>
    <t>+971522687633</t>
  </si>
  <si>
    <t>singh.dharmendra668@gmail.com</t>
  </si>
  <si>
    <t>Executive Bay-Business Bay</t>
  </si>
  <si>
    <t>0585340153</t>
  </si>
  <si>
    <t>Inquire for Commercial Property</t>
  </si>
  <si>
    <t>Ms. Iman</t>
  </si>
  <si>
    <t>0526423687</t>
  </si>
  <si>
    <t>Inquire for Dubai Whatf</t>
  </si>
  <si>
    <t>its fine But Thi</t>
  </si>
  <si>
    <t>Its Fine but Still thinking Kitchen is Small not yrt deciding</t>
  </si>
  <si>
    <t>Ata</t>
  </si>
  <si>
    <t>0566924040</t>
  </si>
  <si>
    <t>Looking fo Arabic speaking</t>
  </si>
  <si>
    <t>Khalid</t>
  </si>
  <si>
    <t>Danila</t>
  </si>
  <si>
    <t>0563406781</t>
  </si>
  <si>
    <t xml:space="preserve">Inquire for The Address BLVD </t>
  </si>
  <si>
    <t>+971 52 268 7633</t>
  </si>
  <si>
    <t>Mariam</t>
  </si>
  <si>
    <t>+971552299876</t>
  </si>
  <si>
    <t>mariam.mahd@gmail.com</t>
  </si>
  <si>
    <t>The Grand</t>
  </si>
  <si>
    <t>Pat</t>
  </si>
  <si>
    <t>+971 55 344 5900</t>
  </si>
  <si>
    <t>lonsdoro@gmail.com</t>
  </si>
  <si>
    <t>+1 757-339-4149</t>
  </si>
  <si>
    <t>Retail shop for rent in DIFC for 140,000 AED</t>
  </si>
  <si>
    <t>Colette</t>
  </si>
  <si>
    <t>0553282909</t>
  </si>
  <si>
    <t>Signature Barsha Villas</t>
  </si>
  <si>
    <t>Daniel Nowak</t>
  </si>
  <si>
    <t>+971585807222</t>
  </si>
  <si>
    <t>daniel@nowak.ae</t>
  </si>
  <si>
    <t>The Hills A1 Series</t>
  </si>
  <si>
    <t>James Burdall</t>
  </si>
  <si>
    <t>+971 54 325 8178</t>
  </si>
  <si>
    <t>jimburdall@hotmail.com</t>
  </si>
  <si>
    <t>Ross Valentinov</t>
  </si>
  <si>
    <t>0035679319293</t>
  </si>
  <si>
    <t>rosenvalentinov@yahoo.co.uk</t>
  </si>
  <si>
    <t>Mousa</t>
  </si>
  <si>
    <t>0561090900</t>
  </si>
  <si>
    <t>sykon_llc@yahoo.com</t>
  </si>
  <si>
    <t>La Mer Plot</t>
  </si>
  <si>
    <t>Bruma Matt</t>
  </si>
  <si>
    <t>bruma.matt@gmail.com</t>
  </si>
  <si>
    <t>Il Primo</t>
  </si>
  <si>
    <t>9292209489</t>
  </si>
  <si>
    <t>RESALE Act one &amp; Act Two</t>
  </si>
  <si>
    <t>saeed_08@live.com</t>
  </si>
  <si>
    <t>Cozy and Ready Italian Restaurant in DIFC</t>
  </si>
  <si>
    <t>Charlie Pagdanganan</t>
  </si>
  <si>
    <t>971-5-055-15859</t>
  </si>
  <si>
    <t>Charlie.pagdanganan@aujan.com</t>
  </si>
  <si>
    <t>Executive Bay A Business Bay</t>
  </si>
  <si>
    <t>0522074107</t>
  </si>
  <si>
    <t xml:space="preserve"> The Address BLVD</t>
  </si>
  <si>
    <t>Muhammad emraan taher butt</t>
  </si>
  <si>
    <t>+971 52 549 7907</t>
  </si>
  <si>
    <t>emraanbutt@gmail.com</t>
  </si>
  <si>
    <t>Jessy</t>
  </si>
  <si>
    <t>0555838230</t>
  </si>
  <si>
    <t>josseyobeth@gmail.com</t>
  </si>
  <si>
    <t>Murjan 5, Jumeirah Beach Residence</t>
  </si>
  <si>
    <t>Naga</t>
  </si>
  <si>
    <t>0557184653</t>
  </si>
  <si>
    <t>Naga2302@yahoo.com</t>
  </si>
  <si>
    <t xml:space="preserve">Discovery Garden </t>
  </si>
  <si>
    <t>Shruthi</t>
  </si>
  <si>
    <t>0521766221</t>
  </si>
  <si>
    <t>shruthis0550@gmail.com</t>
  </si>
  <si>
    <t>Miorita</t>
  </si>
  <si>
    <t>+971582593161</t>
  </si>
  <si>
    <t>miorita@clevelandbridge.ae</t>
  </si>
  <si>
    <t>Badrah</t>
  </si>
  <si>
    <t>Hannah cornel</t>
  </si>
  <si>
    <t>+4423652367894</t>
  </si>
  <si>
    <t>hannahcornel@outlook.com</t>
  </si>
  <si>
    <t>Dubai Hills Plot, Maple, Club Villas</t>
  </si>
  <si>
    <t>Hakeem</t>
  </si>
  <si>
    <t>042694251</t>
  </si>
  <si>
    <t>cstranntrade@gmail.com</t>
  </si>
  <si>
    <t>Mahmoud Moradiya</t>
  </si>
  <si>
    <t>+971 6 526 3773</t>
  </si>
  <si>
    <t>mmoradiariya_alborz@asia.com</t>
  </si>
  <si>
    <t>Saad AI Faham</t>
  </si>
  <si>
    <t>+15126660136</t>
  </si>
  <si>
    <t>drfahann@hotmail.com</t>
  </si>
  <si>
    <t>+971 50 504 8740</t>
  </si>
  <si>
    <t>The Address JBR</t>
  </si>
  <si>
    <t>kunal</t>
  </si>
  <si>
    <t>kunal@createhospitality.ae</t>
  </si>
  <si>
    <t>Italian Restaurant in DIFC</t>
  </si>
  <si>
    <t>0508502716</t>
  </si>
  <si>
    <t>Prabeen4u@hotmail.com</t>
  </si>
  <si>
    <t>Collins Mukabe</t>
  </si>
  <si>
    <t>+685389772</t>
  </si>
  <si>
    <t>collinsmukabe12@gmail.com</t>
  </si>
  <si>
    <t>Creekside18</t>
  </si>
  <si>
    <t>TOmmy</t>
  </si>
  <si>
    <t>Karim</t>
  </si>
  <si>
    <t>+971564012836</t>
  </si>
  <si>
    <t>karimdimitri@gmail.com</t>
  </si>
  <si>
    <t>Jamile</t>
  </si>
  <si>
    <t>Nizar Manjy</t>
  </si>
  <si>
    <t>+244912502542</t>
  </si>
  <si>
    <t>nizarkm1@gmail.com</t>
  </si>
  <si>
    <t>00966568908801</t>
  </si>
  <si>
    <t>chiope@gmail.com</t>
  </si>
  <si>
    <t>Al Murjan 5</t>
  </si>
  <si>
    <t>Yusuf Patel</t>
  </si>
  <si>
    <t>+96599187870</t>
  </si>
  <si>
    <t>yusuf.p27@gmail.com</t>
  </si>
  <si>
    <t xml:space="preserve">I am looking to buy Do you have any distressed studio deals in freehold areas. </t>
  </si>
  <si>
    <t>Tracy</t>
  </si>
  <si>
    <t>+971507469665</t>
  </si>
  <si>
    <t>tracy.ta25@gmail.com</t>
  </si>
  <si>
    <t>Looking 2 bedroom in Sharjah</t>
  </si>
  <si>
    <t>STEVE</t>
  </si>
  <si>
    <t>+393332612939</t>
  </si>
  <si>
    <t>BRASIL699@HOTMAIL.COM</t>
  </si>
  <si>
    <t>Ahmad Mustafa</t>
  </si>
  <si>
    <t>0061472847540</t>
  </si>
  <si>
    <t>Asm856@gmail.com</t>
  </si>
  <si>
    <t>Ready Clinic with Title Deed | Furnished</t>
  </si>
  <si>
    <t>Nick</t>
  </si>
  <si>
    <t>+34 649 39 79 93</t>
  </si>
  <si>
    <t>nemodbx@gmail.com</t>
  </si>
  <si>
    <t>Chan</t>
  </si>
  <si>
    <t>+27815712884</t>
  </si>
  <si>
    <t>channaidoos@gmail.com</t>
  </si>
  <si>
    <t>Hamed</t>
  </si>
  <si>
    <t>0529776771</t>
  </si>
  <si>
    <t xml:space="preserve">hamed@mjb.ae </t>
  </si>
  <si>
    <t>Mira 3 Type 3E</t>
  </si>
  <si>
    <t>Hani</t>
  </si>
  <si>
    <t>971-506-599033</t>
  </si>
  <si>
    <t>hani.samir@asgcgroup.com</t>
  </si>
  <si>
    <t xml:space="preserve">Executive Bay 1408 </t>
  </si>
  <si>
    <t>Cristina</t>
  </si>
  <si>
    <t>971-000-000</t>
  </si>
  <si>
    <t>cristina.agbulos@gmail.com</t>
  </si>
  <si>
    <t>Ali Issa</t>
  </si>
  <si>
    <t>0568005526</t>
  </si>
  <si>
    <t>am.issa1974@gmail.com</t>
  </si>
  <si>
    <t>00393332612939</t>
  </si>
  <si>
    <t>FGECCELLENZE@GMAIL.COM</t>
  </si>
  <si>
    <t>+971 588-832-497</t>
  </si>
  <si>
    <t>fgeccellenze@gmail.com</t>
  </si>
  <si>
    <t>Cozy Running Italian Restaurant in DIFC</t>
  </si>
  <si>
    <t>Claudine mc carthy</t>
  </si>
  <si>
    <t>00447956277690</t>
  </si>
  <si>
    <t>claudine_mccarthy@yahoo.co.uk</t>
  </si>
  <si>
    <t>Tarik</t>
  </si>
  <si>
    <t>0561701022</t>
  </si>
  <si>
    <t>He will Check the apartment</t>
  </si>
  <si>
    <t>Dr. Maya</t>
  </si>
  <si>
    <t>042493090</t>
  </si>
  <si>
    <t>She will check the apartment</t>
  </si>
  <si>
    <t>Asim Janjua</t>
  </si>
  <si>
    <t>503551529</t>
  </si>
  <si>
    <t>asimjanjua@gmail.com</t>
  </si>
  <si>
    <t xml:space="preserve">Maple </t>
  </si>
  <si>
    <t>Leads Group / Hedi</t>
  </si>
  <si>
    <t>Wang Lei</t>
  </si>
  <si>
    <t>5125215521</t>
  </si>
  <si>
    <t>wanglei959@yahoo.com</t>
  </si>
  <si>
    <t>Ready Clinic at Dubai Healthcare City with Title Deed | Furnished.</t>
  </si>
  <si>
    <t>Ahmad</t>
  </si>
  <si>
    <t>0567162998</t>
  </si>
  <si>
    <t>ahmadhajo66@gmail.com</t>
  </si>
  <si>
    <t>9650 Sqft Brand New Showroom in Umm Suqeim</t>
  </si>
  <si>
    <t>Mr. Saad</t>
  </si>
  <si>
    <t>Hazem</t>
  </si>
  <si>
    <t>=966 50 290 0015</t>
  </si>
  <si>
    <t>hazem@habdan.com</t>
  </si>
  <si>
    <t>Resale Huge 2 BR | Low Price | Burj View</t>
  </si>
  <si>
    <t>fahdy</t>
  </si>
  <si>
    <t>+971 55 556 5772</t>
  </si>
  <si>
    <t>fahdy@drivenproperties.ae</t>
  </si>
  <si>
    <t>00971552835884</t>
  </si>
  <si>
    <t>shahabkarimzadeh77@gmail.com</t>
  </si>
  <si>
    <t xml:space="preserve">Inquire for Grey Square Showroom </t>
  </si>
  <si>
    <t>Rahil</t>
  </si>
  <si>
    <t>0509914647</t>
  </si>
  <si>
    <t>Zaafaran 2 for RENT</t>
  </si>
  <si>
    <t>Viewing on Sunday at 2PM</t>
  </si>
  <si>
    <t>Gunnar</t>
  </si>
  <si>
    <t>+971 50 458 7833</t>
  </si>
  <si>
    <t>skoog.gunnar@gmail.com</t>
  </si>
  <si>
    <t>Reem Community, Arabian Ranches 2</t>
  </si>
  <si>
    <t>0566020956</t>
  </si>
  <si>
    <t>Noor Townhouse</t>
  </si>
  <si>
    <t>Leads Group/Sameera</t>
  </si>
  <si>
    <t>Tumay</t>
  </si>
  <si>
    <t>0506031164</t>
  </si>
  <si>
    <t>tdogan@ghc.us.com</t>
  </si>
  <si>
    <t>For RENT Kempinski Residences</t>
  </si>
  <si>
    <t>Ahmed Alzaabi</t>
  </si>
  <si>
    <t>+971508489949</t>
  </si>
  <si>
    <t>ahjalzaabi@hotmail.co.uk</t>
  </si>
  <si>
    <t>Al Ain Plot Build your own villa | 58 AED/sqf | Phase 2.</t>
  </si>
  <si>
    <t>ayman</t>
  </si>
  <si>
    <t>+971 50 830 7962</t>
  </si>
  <si>
    <t>ameneassy@ueg.ae</t>
  </si>
  <si>
    <t>Hotel Living at Kempinski Residences</t>
  </si>
  <si>
    <t>Alvina</t>
  </si>
  <si>
    <t>+971 58 536 4778</t>
  </si>
  <si>
    <t>luxio.dubai@gmail.com</t>
  </si>
  <si>
    <t>Xl Tower for RENT</t>
  </si>
  <si>
    <t>Sebastian Sager</t>
  </si>
  <si>
    <t>0525524046</t>
  </si>
  <si>
    <t>minuchawla@graffiti.net</t>
  </si>
  <si>
    <t>For RENT 2bedroom apartment in Zaafaran 2 old town</t>
  </si>
  <si>
    <t>Rajesh</t>
  </si>
  <si>
    <t>7720007074</t>
  </si>
  <si>
    <t>dharia.rajesh@gmail.com</t>
  </si>
  <si>
    <t>Restaurant space for lease on Marina Walk</t>
  </si>
  <si>
    <t>Monika</t>
  </si>
  <si>
    <t>0506162248</t>
  </si>
  <si>
    <t xml:space="preserve">monica.a.saad@gmail.com </t>
  </si>
  <si>
    <t>Royal Residence 1, Dubai Sports City</t>
  </si>
  <si>
    <t>Lama amin</t>
  </si>
  <si>
    <t>0553005159</t>
  </si>
  <si>
    <t>Lamaamin@gmail.com</t>
  </si>
  <si>
    <t>Huge 2 Bedroom + Study in Executive Bay</t>
  </si>
  <si>
    <t>fahed roomi</t>
  </si>
  <si>
    <t>lawyer-395@hotmail.com</t>
  </si>
  <si>
    <t xml:space="preserve">Hi i have 3 bedroom villa in akoya oxsigin can you help me selling it </t>
  </si>
  <si>
    <t>Jaclyn</t>
  </si>
  <si>
    <t>0565491804</t>
  </si>
  <si>
    <t>jaclyn.redgwick@arcadia.sch.ae</t>
  </si>
  <si>
    <t>RENT Al Manara Tower in Jumeirah Village Triangle,</t>
  </si>
  <si>
    <t>Tomasz</t>
  </si>
  <si>
    <t>+48 794 679 794</t>
  </si>
  <si>
    <t>tom-jakim@wp.pl</t>
  </si>
  <si>
    <t>Nadra</t>
  </si>
  <si>
    <t>0567673317</t>
  </si>
  <si>
    <t>Called Tracking</t>
  </si>
  <si>
    <t>Inquire for Xl Tower for RENT</t>
  </si>
  <si>
    <t>Sam (Agent)</t>
  </si>
  <si>
    <t>0509279079</t>
  </si>
  <si>
    <t>Looking for 2 BR in Dubai Creek area RESALE</t>
  </si>
  <si>
    <t>Anastacia</t>
  </si>
  <si>
    <t>0529068463</t>
  </si>
  <si>
    <t>Inquire for Address BLVD</t>
  </si>
  <si>
    <t>Manap</t>
  </si>
  <si>
    <t>00966505655204</t>
  </si>
  <si>
    <t>Asking for Visa Residence Downtown</t>
  </si>
  <si>
    <t>0566867035</t>
  </si>
  <si>
    <t>Looking for Studio for Sale in Jumeirah Circle</t>
  </si>
  <si>
    <t>Leads Group / Sameera</t>
  </si>
  <si>
    <t>Ashraf</t>
  </si>
  <si>
    <t>045667224</t>
  </si>
  <si>
    <t>yana leonova</t>
  </si>
  <si>
    <t>+971 50 504 2562</t>
  </si>
  <si>
    <t>yana-leonova@mail.com</t>
  </si>
  <si>
    <t>Murjan Tower for SALE</t>
  </si>
  <si>
    <t>vishnu</t>
  </si>
  <si>
    <t>+919080302973</t>
  </si>
  <si>
    <t>chakaravarthy.vishnu@gmail.com</t>
  </si>
  <si>
    <t>Fatih Hoyur</t>
  </si>
  <si>
    <t>+905324201423</t>
  </si>
  <si>
    <t>fatihhoyur@hotmail.com</t>
  </si>
  <si>
    <t>Dubai Hills</t>
  </si>
  <si>
    <t>Muhammad Hassan</t>
  </si>
  <si>
    <t>+971 55 375 9261</t>
  </si>
  <si>
    <t>hassan.n@textureproperties.com</t>
  </si>
  <si>
    <t>Harbour Views</t>
  </si>
  <si>
    <t>David Moore</t>
  </si>
  <si>
    <t>0566323890</t>
  </si>
  <si>
    <t>gemate.mail@gmail.com</t>
  </si>
  <si>
    <t>Address BLVD for RENT</t>
  </si>
  <si>
    <t>Vidya</t>
  </si>
  <si>
    <t>0529063002</t>
  </si>
  <si>
    <t>vs_nr@yahoo.com</t>
  </si>
  <si>
    <t>Murjan Tower for RENT</t>
  </si>
  <si>
    <t>Deena</t>
  </si>
  <si>
    <t>0566585234</t>
  </si>
  <si>
    <t>dhshawa@yahoo.com</t>
  </si>
  <si>
    <t>Royal Resisdence</t>
  </si>
  <si>
    <t>yasser</t>
  </si>
  <si>
    <t>00966534225522</t>
  </si>
  <si>
    <t>yaf500@yahoo.com</t>
  </si>
  <si>
    <t>The Address The BLVD for RENT</t>
  </si>
  <si>
    <t>ghazi</t>
  </si>
  <si>
    <t>+971 55 240 5552</t>
  </si>
  <si>
    <t>gabu@mercuria.com</t>
  </si>
  <si>
    <t>Atiq</t>
  </si>
  <si>
    <t>+971556451786</t>
  </si>
  <si>
    <t>atiqkapadia@hotmail.com</t>
  </si>
  <si>
    <t>Selling Running Events Business.</t>
  </si>
  <si>
    <t>+971 56 298 6211</t>
  </si>
  <si>
    <t>berlin.bangkok@hotmail.com</t>
  </si>
  <si>
    <t>Signature Villas for RENT</t>
  </si>
  <si>
    <t>0528296447</t>
  </si>
  <si>
    <t>Wael (agent)</t>
  </si>
  <si>
    <t>0508791336</t>
  </si>
  <si>
    <t>Hussain</t>
  </si>
  <si>
    <t>0562445662</t>
  </si>
  <si>
    <t>Geniusvr86@gmail.com</t>
  </si>
  <si>
    <t>Resale Safi Townhouses</t>
  </si>
  <si>
    <t>hajar</t>
  </si>
  <si>
    <t>+49 1521 6666696</t>
  </si>
  <si>
    <t>hajarbihi@gmail.com</t>
  </si>
  <si>
    <t>Ris</t>
  </si>
  <si>
    <t>0562269612</t>
  </si>
  <si>
    <t>Nick Whitford</t>
  </si>
  <si>
    <t>971-5-241-86676</t>
  </si>
  <si>
    <t>nickwhitfordseb@gmail.com</t>
  </si>
  <si>
    <t>Commercial</t>
  </si>
  <si>
    <t>Selling Restaurant with Good 2 concept</t>
  </si>
  <si>
    <t>Nadeem Qureshi</t>
  </si>
  <si>
    <t>nqureshi25@hotmail.com</t>
  </si>
  <si>
    <t>Inquire for 1Br in Dubai Creek or Downtown</t>
  </si>
  <si>
    <t>Akbar</t>
  </si>
  <si>
    <t>0561768866</t>
  </si>
  <si>
    <t>Sidra Looking 4-5 bedroom</t>
  </si>
  <si>
    <t>Mounir Ibrahim</t>
  </si>
  <si>
    <t>201222129185</t>
  </si>
  <si>
    <t>mounir@fresh.com.eg</t>
  </si>
  <si>
    <t>Navjeet kaur</t>
  </si>
  <si>
    <t>navitoor04@gmail.com</t>
  </si>
  <si>
    <t>Rika Dotson</t>
  </si>
  <si>
    <t>+1 208-352-0736</t>
  </si>
  <si>
    <t>rikadotsonone@gmail.com</t>
  </si>
  <si>
    <t>+971566524698</t>
  </si>
  <si>
    <t>mohammed.dawani@unb.ae</t>
  </si>
  <si>
    <t>josh williams</t>
  </si>
  <si>
    <t>1 502 622-8201</t>
  </si>
  <si>
    <t>jwilliamsh01@gmail.com</t>
  </si>
  <si>
    <t>adam westwater</t>
  </si>
  <si>
    <t>+971 58 598 3918</t>
  </si>
  <si>
    <t>dubaiinvestment1980@yahoo.com</t>
  </si>
  <si>
    <t>Saffron</t>
  </si>
  <si>
    <t>Rebekah Roe</t>
  </si>
  <si>
    <t>+44 7934 485108</t>
  </si>
  <si>
    <t>rebekah.amyroe@gmail.com</t>
  </si>
  <si>
    <t>Marina Diamond 1 for RENT</t>
  </si>
  <si>
    <t>Rob Carsan</t>
  </si>
  <si>
    <t>+61 428 296 145</t>
  </si>
  <si>
    <t>Signature Barsah Villa</t>
  </si>
  <si>
    <t>Over Budget</t>
  </si>
  <si>
    <t>Valentina</t>
  </si>
  <si>
    <t>0564844237</t>
  </si>
  <si>
    <t>André</t>
  </si>
  <si>
    <t>0585006421</t>
  </si>
  <si>
    <t>andrepmoreira@hotmail.com</t>
  </si>
  <si>
    <t>antoine</t>
  </si>
  <si>
    <t>+971565209702</t>
  </si>
  <si>
    <t>antoine.amassih@gmail.com</t>
  </si>
  <si>
    <t>Mai</t>
  </si>
  <si>
    <t>+971565107682</t>
  </si>
  <si>
    <t>maiinbkk@yahoo.com</t>
  </si>
  <si>
    <t>Scarlett Thomas</t>
  </si>
  <si>
    <t>+44 7564 274037</t>
  </si>
  <si>
    <t>st@rpint.com</t>
  </si>
  <si>
    <t>Marina Diamond 1.</t>
  </si>
  <si>
    <t>diana kumar</t>
  </si>
  <si>
    <t>+447537 129424</t>
  </si>
  <si>
    <t>diana.kummar08@gmail.com</t>
  </si>
  <si>
    <t>Esmaeil Esbati</t>
  </si>
  <si>
    <t>00971558973151</t>
  </si>
  <si>
    <t>Esmaeil.esbati@gmail.com</t>
  </si>
  <si>
    <t>for RENT 2 bedroom apartment in Zaafaran 2 old town</t>
  </si>
  <si>
    <t>He will view today / tomorrow at 5;30Pm</t>
  </si>
  <si>
    <t>Thierry Marty</t>
  </si>
  <si>
    <t>+821072979880</t>
  </si>
  <si>
    <t xml:space="preserve">thierry.marty@yahoo.fr </t>
  </si>
  <si>
    <t>I have been looking in this property for service apartment 1BR type S1A, S1D,S1F and S2C. If you have such inventory in lower floor let me know</t>
  </si>
  <si>
    <t>munshad</t>
  </si>
  <si>
    <t>+971 565-269-081</t>
  </si>
  <si>
    <t>purchasing@icelabuae.com</t>
  </si>
  <si>
    <t>Staff Accommodation in Nuzul Building | Jebel Ali</t>
  </si>
  <si>
    <t>00971506877287</t>
  </si>
  <si>
    <t>randaibahsoun@yahoo.com</t>
  </si>
  <si>
    <t>Inquire for Zaafaraan 2 for RENT</t>
  </si>
  <si>
    <t>asking for 125,000/-</t>
  </si>
  <si>
    <t>Gino</t>
  </si>
  <si>
    <t>+46707700458</t>
  </si>
  <si>
    <t>gino@ginos.se</t>
  </si>
  <si>
    <t>Inquire For The Address JBR</t>
  </si>
  <si>
    <t>Norman Stuseck</t>
  </si>
  <si>
    <t>4039904569</t>
  </si>
  <si>
    <t>nstuseck@woti.ca</t>
  </si>
  <si>
    <t>Message : Hello Are there any plots or villas already built where I could have a boat dock on my property? Thanks</t>
  </si>
  <si>
    <t>TAMARA INJA JABER</t>
  </si>
  <si>
    <t>+971505597605</t>
  </si>
  <si>
    <t>tamara.inja@gmail.com</t>
  </si>
  <si>
    <t>Fro RENT Furnished 5 BR Villa | Behind Shangri-La</t>
  </si>
  <si>
    <t>Sunny virk</t>
  </si>
  <si>
    <t>sunny.virk88@yahoo.co.uk</t>
  </si>
  <si>
    <t>Sanober</t>
  </si>
  <si>
    <t>971582622340</t>
  </si>
  <si>
    <t>sanober.sharif@yahoo.com</t>
  </si>
  <si>
    <t>Inquire ofr The Hills A1</t>
  </si>
  <si>
    <t>Firoz Moti</t>
  </si>
  <si>
    <t>+966563838005</t>
  </si>
  <si>
    <t xml:space="preserve">fmoti.56@gmail.com  </t>
  </si>
  <si>
    <t>Inquire for Amaranta</t>
  </si>
  <si>
    <t>Ivan Aver</t>
  </si>
  <si>
    <t>+971568866998</t>
  </si>
  <si>
    <t>Hrjobnewwaiinlife@gmail.com</t>
  </si>
  <si>
    <t>Restaurant with Alcohol Licenses near to Al Mina Road.</t>
  </si>
  <si>
    <t>kamu</t>
  </si>
  <si>
    <t>+971 55 929 1729</t>
  </si>
  <si>
    <t>kamu@indusre.ae</t>
  </si>
  <si>
    <t>Resale | Maple 2E Corner Unit</t>
  </si>
  <si>
    <t>your Restaurant with Alcohol Licenses near to Al Mina Road</t>
  </si>
  <si>
    <t>Futhi Cabe</t>
  </si>
  <si>
    <t>+971 54 402 2304</t>
  </si>
  <si>
    <t>futhc18@gmail.com</t>
  </si>
  <si>
    <t>najlaa</t>
  </si>
  <si>
    <t>+971 50 367 1683</t>
  </si>
  <si>
    <t>najageli@gmail.com</t>
  </si>
  <si>
    <t>Capital Bay For SALE</t>
  </si>
  <si>
    <t>Javed Khan</t>
  </si>
  <si>
    <t>966504385139</t>
  </si>
  <si>
    <t>mjkhansar@yahoo.com</t>
  </si>
  <si>
    <t>Capital Bay Tower A, Business Bay for SALE</t>
  </si>
  <si>
    <t>Wafa Alhalabi</t>
  </si>
  <si>
    <t>+971 55 162 8037</t>
  </si>
  <si>
    <t>wafaalhalabi90@hotmail.com</t>
  </si>
  <si>
    <t xml:space="preserve">Inquire for SELLING this apartment The Address The BLVD </t>
  </si>
  <si>
    <t>Kadir</t>
  </si>
  <si>
    <t>004745818824</t>
  </si>
  <si>
    <t>gokhan_oslo@hotmail.com</t>
  </si>
  <si>
    <t>2 Bedroom Apartment Ready to Sell | Al Sahab 2 Dubai Marina</t>
  </si>
  <si>
    <t>wiktor ul</t>
  </si>
  <si>
    <t>+44 7584 629596</t>
  </si>
  <si>
    <t>wiktorul1330@hotmail.com</t>
  </si>
  <si>
    <t>Inquire for Belleveu Tower</t>
  </si>
  <si>
    <t>Andja</t>
  </si>
  <si>
    <t>0528875648</t>
  </si>
  <si>
    <t>djaandjaa@hotmail.com</t>
  </si>
  <si>
    <t>Inquire for Capital Bay for RENT</t>
  </si>
  <si>
    <t>Dunia bakri</t>
  </si>
  <si>
    <t>0507421127</t>
  </si>
  <si>
    <t>duniaa.bakri@gmail.com</t>
  </si>
  <si>
    <t>Inquire for Sidra</t>
  </si>
  <si>
    <t>Leads Group /Hedi</t>
  </si>
  <si>
    <t>Analyn</t>
  </si>
  <si>
    <t>971-4-341-7715</t>
  </si>
  <si>
    <t>analyn.bauyon-rivera@umdasch-shopfitting.com</t>
  </si>
  <si>
    <t>Staff Accommodation in Al Quoz 3</t>
  </si>
  <si>
    <t>Syed</t>
  </si>
  <si>
    <t>0566010833</t>
  </si>
  <si>
    <t>syed_alinadir@hotmail.com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</si>
</sst>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m&quot; &quot;d&quot;, &quot;yyyy"/>
    <numFmt numFmtId="166" formatCode="mm/dd/yyyy"/>
    <numFmt numFmtId="167" formatCode="m/d/yyyy"/>
    <numFmt numFmtId="168" formatCode="d&quot;-&quot;mmm&quot;-&quot;yyyy"/>
    <numFmt numFmtId="169" formatCode="d-mmm-yyyy"/>
    <numFmt numFmtId="170" formatCode="dd mmm yyyy h:mm"/>
    <numFmt numFmtId="171" formatCode="d mmm yyyy h:mm"/>
    <numFmt numFmtId="172" formatCode="yyyy-mm-dd"/>
  </numFmts>
  <fonts count="139">
    <font>
      <sz val="10.0"/>
      <color rgb="FF000000"/>
      <name val="Arial"/>
      <scheme val="minor"/>
    </font>
    <font>
      <color theme="1"/>
      <name val="Calibri"/>
    </font>
    <font>
      <b/>
      <sz val="12.0"/>
      <color rgb="FFFFFFFF"/>
      <name val="Calibri"/>
    </font>
    <font>
      <b/>
      <sz val="11.0"/>
      <color rgb="FFFFFFFF"/>
      <name val="Calibri"/>
    </font>
    <font>
      <b/>
      <color theme="1"/>
      <name val="Calibri"/>
    </font>
    <font>
      <color theme="1"/>
      <name val="Arial"/>
    </font>
    <font>
      <u/>
      <color rgb="FF0000FF"/>
    </font>
    <font>
      <sz val="9.0"/>
      <color rgb="FF515151"/>
      <name val="Lato"/>
    </font>
    <font>
      <b/>
      <color rgb="FF434343"/>
      <name val="Calibri"/>
    </font>
    <font>
      <b/>
      <sz val="10.0"/>
      <color rgb="FF434343"/>
      <name val="Arial"/>
    </font>
    <font>
      <b/>
      <sz val="10.0"/>
      <color rgb="FF0000FF"/>
      <name val="Arial"/>
    </font>
    <font>
      <sz val="10.0"/>
      <color theme="1"/>
      <name val="Arial"/>
    </font>
    <font>
      <color rgb="FF434343"/>
      <name val="Calibri"/>
    </font>
    <font>
      <color rgb="FF434343"/>
      <name val="Roboto"/>
    </font>
    <font>
      <sz val="10.0"/>
      <color rgb="FF434343"/>
      <name val="Arial"/>
    </font>
    <font>
      <color rgb="FF0000FF"/>
      <name val="Calibri"/>
    </font>
    <font>
      <b/>
      <sz val="10.0"/>
      <color rgb="FFFF0000"/>
      <name val="Arial"/>
    </font>
    <font>
      <b/>
      <color rgb="FFFF0000"/>
      <name val="Calibri"/>
    </font>
    <font>
      <strike/>
      <color rgb="FF0000FF"/>
      <name val="Calibri"/>
    </font>
    <font>
      <strike/>
      <color theme="1"/>
      <name val="Calibri"/>
    </font>
    <font>
      <u/>
      <color rgb="FF0000FF"/>
    </font>
    <font>
      <b/>
      <color rgb="FFFF0000"/>
      <name val="Roboto"/>
    </font>
    <font>
      <sz val="11.0"/>
      <color rgb="FF000000"/>
      <name val="Calibri"/>
    </font>
    <font>
      <sz val="11.0"/>
      <color rgb="FF0000FF"/>
      <name val="Calibri"/>
    </font>
    <font>
      <color rgb="FF333333"/>
      <name val="Arial"/>
    </font>
    <font>
      <u/>
      <color rgb="FF337AB7"/>
      <name val="Arial"/>
    </font>
    <font>
      <sz val="12.0"/>
      <color theme="1"/>
      <name val="Arial"/>
    </font>
    <font>
      <u/>
      <sz val="11.0"/>
      <color rgb="FF0000FF"/>
      <name val="Arial"/>
    </font>
    <font>
      <sz val="11.0"/>
      <color rgb="FF535353"/>
      <name val="Arial"/>
    </font>
    <font>
      <u/>
      <sz val="11.0"/>
      <color rgb="FF17BBC1"/>
      <name val="Arial"/>
    </font>
    <font>
      <sz val="12.0"/>
      <color rgb="FF000000"/>
      <name val="Arial"/>
    </font>
    <font>
      <u/>
      <sz val="11.0"/>
      <color rgb="FF0000FF"/>
      <name val="Arial"/>
    </font>
    <font>
      <color rgb="FF000000"/>
      <name val="Roboto"/>
    </font>
    <font>
      <sz val="9.0"/>
      <color rgb="FF000000"/>
      <name val="Arial"/>
    </font>
    <font>
      <color rgb="FF434343"/>
      <name val="Arial"/>
    </font>
    <font>
      <b/>
      <color rgb="FF434343"/>
      <name val="Arial"/>
    </font>
    <font>
      <color rgb="FF000000"/>
      <name val="Arial"/>
    </font>
    <font>
      <color rgb="FF000000"/>
      <name val="Verdana"/>
    </font>
    <font>
      <color rgb="FF000000"/>
      <name val="Calibri"/>
    </font>
    <font>
      <b/>
      <color rgb="FF2D383F"/>
      <name val="Open Sans"/>
    </font>
    <font>
      <sz val="10.0"/>
      <color rgb="FF000000"/>
      <name val="Arial"/>
    </font>
    <font>
      <u/>
      <color rgb="FF000000"/>
      <name val="Roboto"/>
    </font>
    <font>
      <sz val="9.0"/>
      <color rgb="FF2D383F"/>
      <name val="Arial"/>
    </font>
    <font>
      <u/>
      <sz val="9.0"/>
      <color rgb="FF2D383F"/>
      <name val="Arial"/>
    </font>
    <font>
      <u/>
      <sz val="12.0"/>
      <color rgb="FF0000FF"/>
      <name val="Arial"/>
    </font>
    <font>
      <u/>
      <sz val="11.0"/>
      <color rgb="FF0000FF"/>
      <name val="Arial"/>
    </font>
    <font>
      <sz val="11.0"/>
      <color rgb="FF000000"/>
      <name val="Inconsolata"/>
    </font>
    <font>
      <b/>
      <color rgb="FFFF0000"/>
      <name val="Arial"/>
    </font>
    <font>
      <b/>
      <sz val="12.0"/>
      <color rgb="FFFF0000"/>
      <name val="Arial"/>
    </font>
    <font>
      <b/>
      <color rgb="FF0000FF"/>
      <name val="Calibri"/>
    </font>
    <font>
      <u/>
      <sz val="12.0"/>
      <color rgb="FF000000"/>
      <name val="Arial"/>
    </font>
    <font>
      <u/>
      <sz val="12.0"/>
      <color rgb="FF0000FF"/>
      <name val="Arial"/>
    </font>
    <font>
      <sz val="12.0"/>
      <color theme="1"/>
      <name val="Calibri"/>
    </font>
    <font>
      <u/>
      <sz val="12.0"/>
      <color rgb="FF0000FF"/>
      <name val="Arial"/>
    </font>
    <font>
      <sz val="11.0"/>
      <color rgb="FF4B4B4B"/>
      <name val="Arial"/>
    </font>
    <font>
      <strike/>
      <sz val="10.0"/>
      <color rgb="FF000000"/>
      <name val="Arial"/>
    </font>
    <font>
      <strike/>
      <sz val="12.0"/>
      <color rgb="FF000000"/>
      <name val="Arial"/>
    </font>
    <font>
      <sz val="11.0"/>
      <color rgb="FF000000"/>
      <name val="Arial"/>
    </font>
    <font>
      <u/>
      <sz val="11.0"/>
      <color rgb="FF17BBC1"/>
      <name val="Arial"/>
    </font>
    <font>
      <sz val="12.0"/>
      <color rgb="FF000000"/>
      <name val="Calibri"/>
    </font>
    <font>
      <b/>
      <sz val="10.0"/>
      <color rgb="FFFF0000"/>
      <name val="Calibri"/>
    </font>
    <font>
      <u/>
      <sz val="12.0"/>
      <color rgb="FF0000FF"/>
      <name val="Arial"/>
    </font>
    <font>
      <sz val="12.0"/>
      <color rgb="FF2D383F"/>
      <name val="Open Sans"/>
    </font>
    <font>
      <sz val="10.0"/>
      <color theme="1"/>
      <name val="Calibri"/>
    </font>
    <font>
      <u/>
      <sz val="9.0"/>
      <color rgb="FF2D383F"/>
      <name val="Arial"/>
    </font>
    <font>
      <sz val="11.0"/>
      <color rgb="FF17BBC1"/>
      <name val="Arial"/>
    </font>
    <font>
      <b/>
      <u/>
      <sz val="12.0"/>
      <color rgb="FF0000FF"/>
      <name val="Arial"/>
    </font>
    <font>
      <u/>
      <sz val="11.0"/>
      <color rgb="FF535353"/>
      <name val="Arial"/>
    </font>
    <font>
      <b/>
      <sz val="11.0"/>
      <color rgb="FFFF0000"/>
      <name val="Arial"/>
    </font>
    <font>
      <sz val="12.0"/>
      <color rgb="FFFF0000"/>
      <name val="Arial"/>
    </font>
    <font>
      <sz val="11.0"/>
      <color rgb="FF00FFFF"/>
      <name val="Arial"/>
    </font>
    <font>
      <color rgb="FFFF0000"/>
      <name val="Calibri"/>
    </font>
    <font>
      <sz val="12.0"/>
      <color rgb="FF2D383F"/>
      <name val="Arial"/>
    </font>
    <font>
      <u/>
      <sz val="12.0"/>
      <color rgb="FF2D383F"/>
      <name val="Arial"/>
    </font>
    <font>
      <u/>
      <sz val="12.0"/>
      <color rgb="FF0000FF"/>
      <name val="Arial"/>
    </font>
    <font>
      <sz val="11.0"/>
      <color rgb="FF212223"/>
      <name val="Proxima Nova"/>
    </font>
    <font>
      <sz val="9.0"/>
      <color theme="1"/>
      <name val="Arial"/>
    </font>
    <font>
      <u/>
      <sz val="9.0"/>
      <color rgb="FF0000FF"/>
      <name val="Arial"/>
    </font>
    <font>
      <sz val="11.0"/>
      <color rgb="FF666666"/>
      <name val="Proxima Nova"/>
    </font>
    <font>
      <u/>
      <sz val="11.0"/>
      <color rgb="FF535353"/>
      <name val="Arial"/>
    </font>
    <font>
      <u/>
      <sz val="11.0"/>
      <color rgb="FF000000"/>
      <name val="Lato"/>
    </font>
    <font>
      <sz val="10.0"/>
      <color rgb="FF2D383F"/>
      <name val="Open Sans"/>
    </font>
    <font>
      <sz val="11.0"/>
      <color theme="1"/>
      <name val="Calibri"/>
    </font>
    <font>
      <sz val="11.0"/>
      <color theme="1"/>
      <name val="Arial"/>
    </font>
    <font>
      <b/>
      <sz val="11.0"/>
      <color rgb="FFFF0000"/>
      <name val="Calibri"/>
    </font>
    <font>
      <u/>
      <sz val="11.0"/>
      <color rgb="FF17BBC1"/>
      <name val="Arial"/>
    </font>
    <font>
      <sz val="12.0"/>
      <color rgb="FF2D383F"/>
      <name val="Calibri"/>
    </font>
    <font>
      <sz val="9.0"/>
      <color rgb="FF2D383F"/>
      <name val="Lato"/>
    </font>
    <font>
      <sz val="11.0"/>
      <color rgb="FF8A8A8A"/>
      <name val="Arial"/>
    </font>
    <font>
      <b/>
      <sz val="9.0"/>
      <color rgb="FFFF0000"/>
      <name val="Arial"/>
    </font>
    <font>
      <sz val="9.0"/>
      <color rgb="FF444444"/>
      <name val="Lato"/>
    </font>
    <font>
      <sz val="9.0"/>
      <color theme="1"/>
      <name val="Calibri"/>
    </font>
    <font>
      <u/>
      <sz val="9.0"/>
      <color rgb="FF0000FF"/>
    </font>
    <font>
      <sz val="11.0"/>
      <color rgb="FF2D383F"/>
      <name val="Calibri"/>
    </font>
    <font>
      <b/>
      <sz val="9.0"/>
      <color theme="1"/>
      <name val="Calibri"/>
    </font>
    <font>
      <b/>
      <sz val="9.0"/>
      <color rgb="FFFF0000"/>
      <name val="Calibri"/>
    </font>
    <font>
      <u/>
      <sz val="9.0"/>
      <color rgb="FF606060"/>
      <name val="Arial"/>
    </font>
    <font>
      <sz val="10.0"/>
      <color rgb="FF000000"/>
      <name val="Calibri"/>
    </font>
    <font>
      <u/>
      <sz val="9.0"/>
      <color rgb="FF000000"/>
      <name val="Arial"/>
    </font>
    <font>
      <sz val="10.0"/>
      <color rgb="FF535353"/>
      <name val="Arial"/>
    </font>
    <font>
      <u/>
      <sz val="10.0"/>
      <color rgb="FF535353"/>
      <name val="Arial"/>
    </font>
    <font>
      <u/>
      <sz val="10.0"/>
      <color rgb="FF0000FF"/>
      <name val="Arial"/>
    </font>
    <font>
      <sz val="10.0"/>
      <color rgb="FF2D383F"/>
      <name val="Arial"/>
    </font>
    <font>
      <u/>
      <sz val="10.0"/>
      <color rgb="FF2D383F"/>
      <name val="Arial"/>
    </font>
    <font>
      <sz val="10.0"/>
      <color rgb="FFFF0000"/>
      <name val="Arial"/>
    </font>
    <font>
      <u/>
      <sz val="10.0"/>
      <color rgb="FF000000"/>
      <name val="Arial"/>
    </font>
    <font>
      <u/>
      <sz val="10.0"/>
      <color rgb="FF337AB7"/>
      <name val="Arial"/>
    </font>
    <font>
      <sz val="10.0"/>
      <color rgb="FF606060"/>
      <name val="Arial"/>
    </font>
    <font>
      <u/>
      <sz val="10.0"/>
      <color rgb="FF333333"/>
      <name val="Arial"/>
    </font>
    <font>
      <sz val="10.0"/>
      <color rgb="FF212223"/>
      <name val="Arial"/>
    </font>
    <font>
      <sz val="10.0"/>
      <color rgb="FF2F608F"/>
      <name val="Arial"/>
    </font>
    <font>
      <u/>
      <sz val="10.0"/>
      <color rgb="FF606060"/>
      <name val="Arial"/>
    </font>
    <font>
      <u/>
      <sz val="12.0"/>
      <color rgb="FF2D383F"/>
      <name val="Arial"/>
    </font>
    <font>
      <b/>
      <color rgb="FF0000FF"/>
      <name val="Arial"/>
    </font>
    <font>
      <u/>
      <sz val="9.0"/>
      <color rgb="FF000000"/>
      <name val="Arial"/>
    </font>
    <font>
      <sz val="9.0"/>
      <color rgb="FF606060"/>
      <name val="Arial"/>
    </font>
    <font>
      <sz val="10.0"/>
      <color rgb="FF222222"/>
      <name val="Lato"/>
    </font>
    <font>
      <u/>
      <sz val="12.0"/>
      <color rgb="FF0000FF"/>
      <name val="Arial"/>
    </font>
    <font>
      <sz val="11.0"/>
      <color rgb="FF444444"/>
      <name val="Lato"/>
    </font>
    <font>
      <u/>
      <sz val="9.0"/>
      <color rgb="FF0000FF"/>
      <name val="Arial"/>
    </font>
    <font>
      <u/>
      <sz val="12.0"/>
      <color rgb="FF2D383F"/>
      <name val="Helvetica Neue"/>
    </font>
    <font>
      <u/>
      <sz val="9.0"/>
      <color rgb="FF606060"/>
      <name val="Helvetica Neue"/>
    </font>
    <font>
      <u/>
      <sz val="9.0"/>
      <color rgb="FF606060"/>
      <name val="Arial"/>
    </font>
    <font>
      <u/>
      <color rgb="FF333333"/>
      <name val="Arial"/>
    </font>
    <font>
      <color rgb="FF2D383F"/>
      <name val="Arial"/>
    </font>
    <font>
      <u/>
      <color rgb="FF0000FF"/>
    </font>
    <font>
      <u/>
      <color rgb="FF333333"/>
      <name val="Arial"/>
    </font>
    <font>
      <color theme="1"/>
      <name val="Inherit"/>
    </font>
    <font>
      <sz val="11.0"/>
      <color rgb="FF2D383F"/>
      <name val="Arial"/>
    </font>
    <font>
      <sz val="9.0"/>
      <color rgb="FF454748"/>
      <name val="Inherit"/>
    </font>
    <font>
      <sz val="12.0"/>
      <color rgb="FF798386"/>
      <name val="Lato"/>
    </font>
    <font>
      <u/>
      <sz val="12.0"/>
      <color rgb="FF17BBC1"/>
      <name val="Lato"/>
    </font>
    <font>
      <u/>
      <sz val="12.0"/>
      <color rgb="FF2D383F"/>
      <name val="Arial"/>
    </font>
    <font>
      <sz val="12.0"/>
      <color rgb="FF2D383F"/>
      <name val="Helvetica Neue"/>
    </font>
    <font>
      <sz val="10.0"/>
      <color rgb="FF0000FF"/>
      <name val="Arial"/>
    </font>
    <font>
      <sz val="10.0"/>
      <color rgb="FF333333"/>
      <name val="Arial"/>
    </font>
    <font>
      <u/>
      <sz val="10.0"/>
      <color rgb="FF2D383F"/>
      <name val="Arial"/>
    </font>
    <font>
      <u/>
      <sz val="10.0"/>
      <color rgb="FF2D383F"/>
      <name val="Arial"/>
    </font>
    <font>
      <u/>
      <sz val="9.0"/>
      <color rgb="FF000000"/>
      <name val="Arial"/>
    </font>
  </fonts>
  <fills count="16">
    <fill>
      <patternFill patternType="none"/>
    </fill>
    <fill>
      <patternFill patternType="lightGray"/>
    </fill>
    <fill>
      <patternFill patternType="solid">
        <fgColor rgb="FFCC0000"/>
        <bgColor rgb="FFCC0000"/>
      </patternFill>
    </fill>
    <fill>
      <patternFill patternType="solid">
        <fgColor rgb="FF38761D"/>
        <bgColor rgb="FF38761D"/>
      </patternFill>
    </fill>
    <fill>
      <patternFill patternType="solid">
        <fgColor rgb="FFF14220"/>
        <bgColor rgb="FFF14220"/>
      </patternFill>
    </fill>
    <fill>
      <patternFill patternType="solid">
        <fgColor rgb="FFFFFFFF"/>
        <bgColor rgb="FFFFFFFF"/>
      </patternFill>
    </fill>
    <fill>
      <patternFill patternType="solid">
        <fgColor rgb="FFF3F4F6"/>
        <bgColor rgb="FFF3F4F6"/>
      </patternFill>
    </fill>
    <fill>
      <patternFill patternType="solid">
        <fgColor rgb="FFBDBDBD"/>
        <bgColor rgb="FFBDBDBD"/>
      </patternFill>
    </fill>
    <fill>
      <patternFill patternType="solid">
        <fgColor rgb="FFF3F3F3"/>
        <bgColor rgb="FFF3F3F3"/>
      </patternFill>
    </fill>
    <fill>
      <patternFill patternType="solid">
        <fgColor rgb="FFFF9900"/>
        <bgColor rgb="FFFF9900"/>
      </patternFill>
    </fill>
    <fill>
      <patternFill patternType="solid">
        <fgColor rgb="FF00FFFF"/>
        <bgColor rgb="FF00FFFF"/>
      </patternFill>
    </fill>
    <fill>
      <patternFill patternType="solid">
        <fgColor rgb="FF000000"/>
        <bgColor rgb="FF000000"/>
      </patternFill>
    </fill>
    <fill>
      <patternFill patternType="solid">
        <fgColor rgb="FFE69138"/>
        <bgColor rgb="FFE69138"/>
      </patternFill>
    </fill>
    <fill>
      <patternFill patternType="solid">
        <fgColor rgb="FF00FF00"/>
        <bgColor rgb="FF00FF00"/>
      </patternFill>
    </fill>
    <fill>
      <patternFill patternType="solid">
        <fgColor rgb="FFFFFF00"/>
        <bgColor rgb="FFFFFF00"/>
      </patternFill>
    </fill>
    <fill>
      <patternFill patternType="solid">
        <fgColor rgb="FFFAFAFA"/>
        <bgColor rgb="FFFAFAFA"/>
      </patternFill>
    </fill>
  </fills>
  <borders count="6">
    <border/>
    <border>
      <bottom style="thin">
        <color rgb="FF000000"/>
      </bottom>
    </border>
    <border>
      <right style="thin">
        <color rgb="FF000000"/>
      </right>
      <top style="thin">
        <color rgb="FF000000"/>
      </top>
      <bottom style="thin">
        <color rgb="FF000000"/>
      </bottom>
    </border>
    <border>
      <right/>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44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shrinkToFit="0" wrapText="0"/>
    </xf>
    <xf borderId="0" fillId="2" fontId="1" numFmtId="0" xfId="0" applyAlignment="1" applyFont="1">
      <alignment shrinkToFit="0" wrapText="0"/>
    </xf>
    <xf borderId="0" fillId="0" fontId="1" numFmtId="0" xfId="0" applyFont="1"/>
    <xf borderId="0" fillId="3" fontId="3" numFmtId="0" xfId="0" applyFill="1" applyFont="1"/>
    <xf borderId="0" fillId="3" fontId="1" numFmtId="0" xfId="0" applyFont="1"/>
    <xf borderId="0" fillId="3" fontId="4" numFmtId="0" xfId="0" applyFont="1"/>
    <xf borderId="0" fillId="3" fontId="4" numFmtId="0" xfId="0" applyAlignment="1" applyFont="1">
      <alignment shrinkToFit="0" wrapText="0"/>
    </xf>
    <xf borderId="0" fillId="4" fontId="3" numFmtId="0" xfId="0" applyAlignment="1" applyFill="1" applyFont="1">
      <alignment shrinkToFit="0" wrapText="0"/>
    </xf>
    <xf borderId="0" fillId="4" fontId="1" numFmtId="0" xfId="0" applyAlignment="1" applyFont="1">
      <alignment shrinkToFit="0" wrapText="0"/>
    </xf>
    <xf borderId="0" fillId="0" fontId="1" numFmtId="0" xfId="0" applyAlignment="1" applyFont="1">
      <alignment shrinkToFit="0" wrapText="0"/>
    </xf>
    <xf borderId="0" fillId="5" fontId="5" numFmtId="0" xfId="0" applyAlignment="1" applyFill="1" applyFont="1">
      <alignment shrinkToFit="0" vertical="bottom" wrapText="0"/>
    </xf>
    <xf borderId="0" fillId="5" fontId="1" numFmtId="0" xfId="0" applyAlignment="1" applyFont="1">
      <alignment shrinkToFit="0" wrapText="0"/>
    </xf>
    <xf quotePrefix="1" borderId="0" fillId="0" fontId="1" numFmtId="0" xfId="0" applyAlignment="1" applyFont="1">
      <alignment shrinkToFit="0" wrapText="0"/>
    </xf>
    <xf borderId="0" fillId="0" fontId="5" numFmtId="0" xfId="0" applyAlignment="1" applyFont="1">
      <alignment horizontal="left" shrinkToFit="0" wrapText="0"/>
    </xf>
    <xf borderId="0" fillId="0" fontId="5" numFmtId="0" xfId="0" applyAlignment="1" applyFont="1">
      <alignment horizontal="right" shrinkToFit="0" wrapText="0"/>
    </xf>
    <xf borderId="0" fillId="0" fontId="5" numFmtId="0" xfId="0" applyAlignment="1" applyFont="1">
      <alignment horizontal="left" shrinkToFit="0" wrapText="0"/>
    </xf>
    <xf borderId="0" fillId="0" fontId="5" numFmtId="0" xfId="0" applyAlignment="1" applyFont="1">
      <alignment horizontal="right" shrinkToFit="0" wrapText="0"/>
    </xf>
    <xf borderId="0" fillId="0" fontId="1" numFmtId="0" xfId="0" applyAlignment="1" applyFont="1">
      <alignment shrinkToFit="0" wrapText="0"/>
    </xf>
    <xf quotePrefix="1" borderId="0" fillId="0" fontId="1" numFmtId="0" xfId="0" applyAlignment="1" applyFont="1">
      <alignment shrinkToFit="0" wrapText="0"/>
    </xf>
    <xf borderId="0" fillId="0" fontId="6" numFmtId="0" xfId="0" applyAlignment="1" applyFont="1">
      <alignment shrinkToFit="0" wrapText="0"/>
    </xf>
    <xf borderId="0" fillId="0" fontId="5" numFmtId="0" xfId="0" applyAlignment="1" applyFont="1">
      <alignment shrinkToFit="0" wrapText="0"/>
    </xf>
    <xf borderId="0" fillId="0" fontId="5" numFmtId="0" xfId="0" applyAlignment="1" applyFont="1">
      <alignment shrinkToFit="0" vertical="bottom" wrapText="0"/>
    </xf>
    <xf borderId="0" fillId="6" fontId="7" numFmtId="0" xfId="0" applyAlignment="1" applyFill="1" applyFont="1">
      <alignment horizontal="left"/>
    </xf>
    <xf borderId="0" fillId="0" fontId="1" numFmtId="0" xfId="0" applyAlignment="1" applyFont="1">
      <alignment shrinkToFit="0" wrapText="1"/>
    </xf>
    <xf borderId="1" fillId="7" fontId="8" numFmtId="164" xfId="0" applyAlignment="1" applyBorder="1" applyFill="1" applyFont="1" applyNumberFormat="1">
      <alignment horizontal="left"/>
    </xf>
    <xf borderId="2" fillId="7" fontId="9" numFmtId="0" xfId="0" applyAlignment="1" applyBorder="1" applyFont="1">
      <alignment horizontal="left" vertical="bottom"/>
    </xf>
    <xf borderId="2" fillId="0" fontId="10" numFmtId="0" xfId="0" applyAlignment="1" applyBorder="1" applyFont="1">
      <alignment horizontal="left" vertical="bottom"/>
    </xf>
    <xf borderId="2" fillId="0" fontId="10" numFmtId="0" xfId="0" applyAlignment="1" applyBorder="1" applyFont="1">
      <alignment horizontal="left" shrinkToFit="0" vertical="bottom" wrapText="0"/>
    </xf>
    <xf borderId="2" fillId="0" fontId="11" numFmtId="0" xfId="0" applyAlignment="1" applyBorder="1" applyFont="1">
      <alignment horizontal="left" vertical="bottom"/>
    </xf>
    <xf borderId="0" fillId="0" fontId="11" numFmtId="0" xfId="0" applyAlignment="1" applyFont="1">
      <alignment vertical="bottom"/>
    </xf>
    <xf borderId="0" fillId="5" fontId="12" numFmtId="164" xfId="0" applyAlignment="1" applyFont="1" applyNumberFormat="1">
      <alignment horizontal="left"/>
    </xf>
    <xf borderId="0" fillId="5" fontId="13" numFmtId="0" xfId="0" applyFont="1"/>
    <xf quotePrefix="1" borderId="0" fillId="5" fontId="13" numFmtId="0" xfId="0" applyFont="1"/>
    <xf borderId="0" fillId="5" fontId="13" numFmtId="0" xfId="0" applyAlignment="1" applyFont="1">
      <alignment horizontal="left"/>
    </xf>
    <xf borderId="0" fillId="5" fontId="14" numFmtId="0" xfId="0" applyAlignment="1" applyFont="1">
      <alignment horizontal="left" vertical="bottom"/>
    </xf>
    <xf borderId="0" fillId="5" fontId="9" numFmtId="0" xfId="0" applyAlignment="1" applyFont="1">
      <alignment horizontal="left" vertical="bottom"/>
    </xf>
    <xf borderId="0" fillId="0" fontId="15" numFmtId="0" xfId="0" applyFont="1"/>
    <xf borderId="0" fillId="8" fontId="12" numFmtId="164" xfId="0" applyAlignment="1" applyFill="1" applyFont="1" applyNumberFormat="1">
      <alignment horizontal="left"/>
    </xf>
    <xf borderId="0" fillId="8" fontId="14" numFmtId="0" xfId="0" applyAlignment="1" applyFont="1">
      <alignment horizontal="left" vertical="bottom"/>
    </xf>
    <xf quotePrefix="1" borderId="0" fillId="8" fontId="16" numFmtId="0" xfId="0" applyAlignment="1" applyFont="1">
      <alignment horizontal="left" vertical="bottom"/>
    </xf>
    <xf borderId="0" fillId="8" fontId="9" numFmtId="0" xfId="0" applyAlignment="1" applyFont="1">
      <alignment horizontal="left" vertical="bottom"/>
    </xf>
    <xf quotePrefix="1" borderId="0" fillId="5" fontId="14" numFmtId="0" xfId="0" applyAlignment="1" applyFont="1">
      <alignment horizontal="left" vertical="bottom"/>
    </xf>
    <xf borderId="0" fillId="8" fontId="12" numFmtId="0" xfId="0" applyFont="1"/>
    <xf quotePrefix="1" borderId="0" fillId="8" fontId="17" numFmtId="0" xfId="0" applyFont="1"/>
    <xf borderId="0" fillId="8" fontId="12" numFmtId="0" xfId="0" applyAlignment="1" applyFont="1">
      <alignment horizontal="left"/>
    </xf>
    <xf borderId="0" fillId="5" fontId="12" numFmtId="0" xfId="0" applyFont="1"/>
    <xf quotePrefix="1" borderId="0" fillId="5" fontId="17" numFmtId="0" xfId="0" applyAlignment="1" applyFont="1">
      <alignment horizontal="left"/>
    </xf>
    <xf borderId="0" fillId="5" fontId="12" numFmtId="0" xfId="0" applyAlignment="1" applyFont="1">
      <alignment horizontal="left"/>
    </xf>
    <xf borderId="0" fillId="8" fontId="12" numFmtId="0" xfId="0" applyAlignment="1" applyFont="1">
      <alignment horizontal="left" readingOrder="0"/>
    </xf>
    <xf quotePrefix="1" borderId="0" fillId="8" fontId="12" numFmtId="0" xfId="0" applyFont="1"/>
    <xf quotePrefix="1" borderId="0" fillId="5" fontId="12" numFmtId="0" xfId="0" applyFont="1"/>
    <xf quotePrefix="1" borderId="0" fillId="5" fontId="17" numFmtId="0" xfId="0" applyFont="1"/>
    <xf quotePrefix="1" borderId="0" fillId="8" fontId="17" numFmtId="0" xfId="0" applyAlignment="1" applyFont="1">
      <alignment horizontal="left"/>
    </xf>
    <xf borderId="0" fillId="8" fontId="12" numFmtId="0" xfId="0" applyAlignment="1" applyFont="1">
      <alignment readingOrder="0"/>
    </xf>
    <xf borderId="0" fillId="0" fontId="18" numFmtId="0" xfId="0" applyFont="1"/>
    <xf borderId="0" fillId="0" fontId="19" numFmtId="0" xfId="0" applyFont="1"/>
    <xf borderId="0" fillId="5" fontId="8" numFmtId="164" xfId="0" applyAlignment="1" applyFont="1" applyNumberFormat="1">
      <alignment horizontal="left"/>
    </xf>
    <xf borderId="0" fillId="0" fontId="20" numFmtId="0" xfId="0" applyFont="1"/>
    <xf borderId="0" fillId="5" fontId="1" numFmtId="0" xfId="0" applyFont="1"/>
    <xf borderId="0" fillId="8" fontId="1" numFmtId="0" xfId="0" applyFont="1"/>
    <xf borderId="0" fillId="8" fontId="1" numFmtId="0" xfId="0" applyAlignment="1" applyFont="1">
      <alignment horizontal="left"/>
    </xf>
    <xf quotePrefix="1" borderId="0" fillId="5" fontId="1" numFmtId="0" xfId="0" applyFont="1"/>
    <xf borderId="0" fillId="5" fontId="1" numFmtId="0" xfId="0" applyAlignment="1" applyFont="1">
      <alignment horizontal="left"/>
    </xf>
    <xf borderId="0" fillId="8" fontId="17" numFmtId="0" xfId="0" applyAlignment="1" applyFont="1">
      <alignment horizontal="left"/>
    </xf>
    <xf quotePrefix="1" borderId="0" fillId="8" fontId="14" numFmtId="0" xfId="0" applyAlignment="1" applyFont="1">
      <alignment horizontal="left" vertical="bottom"/>
    </xf>
    <xf borderId="0" fillId="5" fontId="17" numFmtId="0" xfId="0" applyAlignment="1" applyFont="1">
      <alignment horizontal="left"/>
    </xf>
    <xf borderId="0" fillId="5" fontId="14" numFmtId="0" xfId="0" applyAlignment="1" applyFont="1">
      <alignment horizontal="left" readingOrder="0" vertical="bottom"/>
    </xf>
    <xf quotePrefix="1" borderId="0" fillId="5" fontId="16" numFmtId="0" xfId="0" applyAlignment="1" applyFont="1">
      <alignment horizontal="left" vertical="bottom"/>
    </xf>
    <xf quotePrefix="1" borderId="0" fillId="5" fontId="12" numFmtId="0" xfId="0" applyAlignment="1" applyFont="1">
      <alignment horizontal="left"/>
    </xf>
    <xf borderId="0" fillId="0" fontId="12" numFmtId="0" xfId="0" applyFont="1"/>
    <xf borderId="0" fillId="5" fontId="21" numFmtId="0" xfId="0" applyAlignment="1" applyFont="1">
      <alignment horizontal="left"/>
    </xf>
    <xf quotePrefix="1" borderId="0" fillId="8" fontId="1" numFmtId="0" xfId="0" applyFont="1"/>
    <xf borderId="0" fillId="5" fontId="22" numFmtId="164" xfId="0" applyAlignment="1" applyFont="1" applyNumberFormat="1">
      <alignment horizontal="left" shrinkToFit="0" vertical="bottom" wrapText="0"/>
    </xf>
    <xf borderId="0" fillId="5" fontId="22" numFmtId="0" xfId="0" applyAlignment="1" applyFont="1">
      <alignment horizontal="left" shrinkToFit="0" vertical="bottom" wrapText="0"/>
    </xf>
    <xf borderId="0" fillId="8" fontId="22" numFmtId="0" xfId="0" applyAlignment="1" applyFont="1">
      <alignment horizontal="left" shrinkToFit="0" vertical="bottom" wrapText="0"/>
    </xf>
    <xf quotePrefix="1" borderId="0" fillId="8" fontId="22" numFmtId="0" xfId="0" applyAlignment="1" applyFont="1">
      <alignment horizontal="left" shrinkToFit="0" vertical="bottom" wrapText="0"/>
    </xf>
    <xf borderId="0" fillId="0" fontId="22" numFmtId="0" xfId="0" applyAlignment="1" applyFont="1">
      <alignment horizontal="left" shrinkToFit="0" vertical="bottom" wrapText="0"/>
    </xf>
    <xf borderId="0" fillId="0" fontId="23" numFmtId="0" xfId="0" applyAlignment="1" applyFont="1">
      <alignment horizontal="left" shrinkToFit="0" vertical="bottom" wrapText="0"/>
    </xf>
    <xf quotePrefix="1" borderId="0" fillId="8" fontId="1" numFmtId="0" xfId="0" applyAlignment="1" applyFont="1">
      <alignment horizontal="left"/>
    </xf>
    <xf borderId="0" fillId="8" fontId="24" numFmtId="0" xfId="0" applyFont="1"/>
    <xf borderId="0" fillId="8" fontId="25" numFmtId="0" xfId="0" applyAlignment="1" applyFont="1">
      <alignment horizontal="left"/>
    </xf>
    <xf borderId="0" fillId="5" fontId="26" numFmtId="0" xfId="0" applyFont="1"/>
    <xf quotePrefix="1" borderId="0" fillId="5" fontId="26" numFmtId="0" xfId="0" applyFont="1"/>
    <xf borderId="0" fillId="5" fontId="26" numFmtId="0" xfId="0" applyAlignment="1" applyFont="1">
      <alignment horizontal="left"/>
    </xf>
    <xf borderId="0" fillId="8" fontId="26" numFmtId="0" xfId="0" applyFont="1"/>
    <xf quotePrefix="1" borderId="0" fillId="8" fontId="26" numFmtId="0" xfId="0" applyFont="1"/>
    <xf borderId="0" fillId="8" fontId="26" numFmtId="0" xfId="0" applyAlignment="1" applyFont="1">
      <alignment horizontal="left"/>
    </xf>
    <xf borderId="0" fillId="0" fontId="26" numFmtId="0" xfId="0" applyFont="1"/>
    <xf borderId="0" fillId="0" fontId="27" numFmtId="0" xfId="0" applyFont="1"/>
    <xf borderId="0" fillId="8" fontId="28" numFmtId="0" xfId="0" applyAlignment="1" applyFont="1">
      <alignment vertical="top"/>
    </xf>
    <xf borderId="0" fillId="8" fontId="29" numFmtId="0" xfId="0" applyAlignment="1" applyFont="1">
      <alignment horizontal="left" vertical="top"/>
    </xf>
    <xf borderId="0" fillId="0" fontId="30" numFmtId="0" xfId="0" applyFont="1"/>
    <xf borderId="0" fillId="5" fontId="24" numFmtId="0" xfId="0" applyFont="1"/>
    <xf borderId="0" fillId="5" fontId="24" numFmtId="0" xfId="0" applyAlignment="1" applyFont="1">
      <alignment horizontal="left"/>
    </xf>
    <xf borderId="0" fillId="0" fontId="24" numFmtId="0" xfId="0" applyFont="1"/>
    <xf borderId="0" fillId="5" fontId="31" numFmtId="0" xfId="0" applyFont="1"/>
    <xf borderId="0" fillId="5" fontId="32" numFmtId="0" xfId="0" applyAlignment="1" applyFont="1">
      <alignment horizontal="left"/>
    </xf>
    <xf borderId="0" fillId="0" fontId="33" numFmtId="0" xfId="0" applyFont="1"/>
    <xf quotePrefix="1" borderId="0" fillId="5" fontId="1" numFmtId="0" xfId="0" applyAlignment="1" applyFont="1">
      <alignment horizontal="left"/>
    </xf>
    <xf quotePrefix="1" borderId="0" fillId="8" fontId="12" numFmtId="0" xfId="0" applyAlignment="1" applyFont="1">
      <alignment horizontal="left"/>
    </xf>
    <xf borderId="0" fillId="5" fontId="32" numFmtId="0" xfId="0" applyFont="1"/>
    <xf borderId="0" fillId="5" fontId="5" numFmtId="164" xfId="0" applyAlignment="1" applyFont="1" applyNumberFormat="1">
      <alignment horizontal="left" vertical="bottom"/>
    </xf>
    <xf borderId="0" fillId="5" fontId="5" numFmtId="0" xfId="0" applyAlignment="1" applyFont="1">
      <alignment vertical="bottom"/>
    </xf>
    <xf borderId="0" fillId="5" fontId="5" numFmtId="0" xfId="0" applyAlignment="1" applyFont="1">
      <alignment horizontal="left" vertical="bottom"/>
    </xf>
    <xf borderId="0" fillId="8" fontId="5" numFmtId="164" xfId="0" applyAlignment="1" applyFont="1" applyNumberFormat="1">
      <alignment horizontal="left" vertical="bottom"/>
    </xf>
    <xf borderId="0" fillId="8" fontId="34" numFmtId="0" xfId="0" applyAlignment="1" applyFont="1">
      <alignment horizontal="left"/>
    </xf>
    <xf borderId="0" fillId="8" fontId="35" numFmtId="0" xfId="0" applyAlignment="1" applyFont="1">
      <alignment horizontal="left"/>
    </xf>
    <xf borderId="0" fillId="0" fontId="9" numFmtId="0" xfId="0" applyAlignment="1" applyFont="1">
      <alignment horizontal="left" vertical="bottom"/>
    </xf>
    <xf quotePrefix="1" borderId="0" fillId="5" fontId="34" numFmtId="0" xfId="0" applyAlignment="1" applyFont="1">
      <alignment horizontal="left"/>
    </xf>
    <xf borderId="0" fillId="0" fontId="12" numFmtId="0" xfId="0" applyAlignment="1" applyFont="1">
      <alignment horizontal="left"/>
    </xf>
    <xf borderId="0" fillId="5" fontId="1" numFmtId="0" xfId="0" applyAlignment="1" applyFont="1">
      <alignment readingOrder="0"/>
    </xf>
    <xf borderId="3" fillId="8" fontId="34" numFmtId="0" xfId="0" applyAlignment="1" applyBorder="1" applyFont="1">
      <alignment shrinkToFit="0" vertical="bottom" wrapText="0"/>
    </xf>
    <xf borderId="0" fillId="5" fontId="36" numFmtId="164" xfId="0" applyAlignment="1" applyFont="1" applyNumberFormat="1">
      <alignment horizontal="left" vertical="bottom"/>
    </xf>
    <xf borderId="0" fillId="5" fontId="36" numFmtId="0" xfId="0" applyAlignment="1" applyFont="1">
      <alignment vertical="bottom"/>
    </xf>
    <xf quotePrefix="1" borderId="0" fillId="5" fontId="36" numFmtId="0" xfId="0" applyAlignment="1" applyFont="1">
      <alignment horizontal="left" vertical="bottom"/>
    </xf>
    <xf borderId="0" fillId="5" fontId="37" numFmtId="0" xfId="0" applyAlignment="1" applyFont="1">
      <alignment horizontal="center" vertical="bottom"/>
    </xf>
    <xf borderId="0" fillId="5" fontId="37" numFmtId="0" xfId="0" applyAlignment="1" applyFont="1">
      <alignment vertical="bottom"/>
    </xf>
    <xf borderId="0" fillId="5" fontId="38" numFmtId="0" xfId="0" applyFont="1"/>
    <xf borderId="0" fillId="0" fontId="38" numFmtId="0" xfId="0" applyFont="1"/>
    <xf borderId="0" fillId="0" fontId="36" numFmtId="0" xfId="0" applyAlignment="1" applyFont="1">
      <alignment vertical="bottom"/>
    </xf>
    <xf borderId="0" fillId="0" fontId="39" numFmtId="0" xfId="0" applyAlignment="1" applyFont="1">
      <alignment horizontal="left" shrinkToFit="0" wrapText="0"/>
    </xf>
    <xf borderId="3" fillId="5" fontId="5" numFmtId="0" xfId="0" applyAlignment="1" applyBorder="1" applyFont="1">
      <alignment shrinkToFit="0" vertical="bottom" wrapText="0"/>
    </xf>
    <xf borderId="0" fillId="0" fontId="5" numFmtId="0" xfId="0" applyAlignment="1" applyFont="1">
      <alignment vertical="bottom"/>
    </xf>
    <xf borderId="0" fillId="8" fontId="5" numFmtId="0" xfId="0" applyAlignment="1" applyFont="1">
      <alignment vertical="bottom"/>
    </xf>
    <xf borderId="0" fillId="8" fontId="5" numFmtId="0" xfId="0" applyAlignment="1" applyFont="1">
      <alignment horizontal="left" vertical="bottom"/>
    </xf>
    <xf borderId="3" fillId="8" fontId="5" numFmtId="0" xfId="0" applyAlignment="1" applyBorder="1" applyFont="1">
      <alignment shrinkToFit="0" vertical="bottom" wrapText="0"/>
    </xf>
    <xf borderId="0" fillId="0" fontId="12" numFmtId="164" xfId="0" applyAlignment="1" applyFont="1" applyNumberFormat="1">
      <alignment horizontal="left"/>
    </xf>
    <xf borderId="4" fillId="0" fontId="10" numFmtId="165" xfId="0" applyAlignment="1" applyBorder="1" applyFont="1" applyNumberFormat="1">
      <alignment horizontal="left" vertical="bottom"/>
    </xf>
    <xf borderId="2" fillId="0" fontId="10" numFmtId="0" xfId="0" applyAlignment="1" applyBorder="1" applyFont="1">
      <alignment horizontal="left" vertical="bottom"/>
    </xf>
    <xf borderId="0" fillId="0" fontId="40" numFmtId="166" xfId="0" applyAlignment="1" applyFont="1" applyNumberFormat="1">
      <alignment horizontal="left" vertical="bottom"/>
    </xf>
    <xf borderId="0" fillId="0" fontId="40" numFmtId="0" xfId="0" applyAlignment="1" applyFont="1">
      <alignment horizontal="left" vertical="bottom"/>
    </xf>
    <xf quotePrefix="1" borderId="0" fillId="0" fontId="40" numFmtId="0" xfId="0" applyAlignment="1" applyFont="1">
      <alignment horizontal="left" vertical="bottom"/>
    </xf>
    <xf borderId="0" fillId="5" fontId="32" numFmtId="0" xfId="0" applyAlignment="1" applyFont="1">
      <alignment horizontal="left"/>
    </xf>
    <xf borderId="0" fillId="0" fontId="1" numFmtId="0" xfId="0" applyAlignment="1" applyFont="1">
      <alignment horizontal="left"/>
    </xf>
    <xf borderId="0" fillId="0" fontId="38" numFmtId="0" xfId="0" applyAlignment="1" applyFont="1">
      <alignment horizontal="left"/>
    </xf>
    <xf borderId="0" fillId="5" fontId="41" numFmtId="0" xfId="0" applyAlignment="1" applyFont="1">
      <alignment horizontal="left"/>
    </xf>
    <xf borderId="0" fillId="0" fontId="1" numFmtId="0" xfId="0" applyAlignment="1" applyFont="1">
      <alignment horizontal="left"/>
    </xf>
    <xf borderId="0" fillId="0" fontId="1" numFmtId="166" xfId="0" applyAlignment="1" applyFont="1" applyNumberFormat="1">
      <alignment horizontal="left"/>
    </xf>
    <xf quotePrefix="1" borderId="0" fillId="0" fontId="17" numFmtId="0" xfId="0" applyAlignment="1" applyFont="1">
      <alignment horizontal="left"/>
    </xf>
    <xf quotePrefix="1" borderId="0" fillId="0" fontId="17" numFmtId="0" xfId="0" applyAlignment="1" applyFont="1">
      <alignment horizontal="left"/>
    </xf>
    <xf borderId="0" fillId="0" fontId="1" numFmtId="167" xfId="0" applyAlignment="1" applyFont="1" applyNumberFormat="1">
      <alignment horizontal="left"/>
    </xf>
    <xf borderId="0" fillId="0" fontId="42" numFmtId="0" xfId="0" applyAlignment="1" applyFont="1">
      <alignment horizontal="left"/>
    </xf>
    <xf quotePrefix="1" borderId="0" fillId="0" fontId="42" numFmtId="0" xfId="0" applyAlignment="1" applyFont="1">
      <alignment horizontal="left"/>
    </xf>
    <xf borderId="0" fillId="0" fontId="43" numFmtId="0" xfId="0" applyAlignment="1" applyFont="1">
      <alignment horizontal="left"/>
    </xf>
    <xf quotePrefix="1" borderId="0" fillId="0" fontId="1" numFmtId="0" xfId="0" applyAlignment="1" applyFont="1">
      <alignment horizontal="left"/>
    </xf>
    <xf borderId="0" fillId="0" fontId="26" numFmtId="0" xfId="0" applyAlignment="1" applyFont="1">
      <alignment horizontal="left"/>
    </xf>
    <xf borderId="0" fillId="0" fontId="44" numFmtId="0" xfId="0" applyAlignment="1" applyFont="1">
      <alignment horizontal="left"/>
    </xf>
    <xf borderId="0" fillId="0" fontId="45" numFmtId="0" xfId="0" applyAlignment="1" applyFont="1">
      <alignment horizontal="left"/>
    </xf>
    <xf quotePrefix="1" borderId="0" fillId="0" fontId="26" numFmtId="0" xfId="0" applyAlignment="1" applyFont="1">
      <alignment horizontal="left"/>
    </xf>
    <xf borderId="0" fillId="0" fontId="1" numFmtId="0" xfId="0" applyAlignment="1" applyFont="1">
      <alignment horizontal="left" readingOrder="0"/>
    </xf>
    <xf borderId="0" fillId="5" fontId="46" numFmtId="0" xfId="0" applyAlignment="1" applyFont="1">
      <alignment horizontal="left"/>
    </xf>
    <xf borderId="0" fillId="0" fontId="17" numFmtId="0" xfId="0" applyAlignment="1" applyFont="1">
      <alignment horizontal="left"/>
    </xf>
    <xf borderId="0" fillId="0" fontId="5" numFmtId="167" xfId="0" applyAlignment="1" applyFont="1" applyNumberFormat="1">
      <alignment horizontal="left" vertical="bottom"/>
    </xf>
    <xf borderId="0" fillId="0" fontId="5" numFmtId="0" xfId="0" applyAlignment="1" applyFont="1">
      <alignment horizontal="left" vertical="bottom"/>
    </xf>
    <xf borderId="0" fillId="5" fontId="47" numFmtId="0" xfId="0" applyAlignment="1" applyFont="1">
      <alignment horizontal="left" vertical="bottom"/>
    </xf>
    <xf borderId="0" fillId="0" fontId="5" numFmtId="0" xfId="0" applyAlignment="1" applyFont="1">
      <alignment horizontal="left" shrinkToFit="0" vertical="bottom" wrapText="0"/>
    </xf>
    <xf borderId="0" fillId="8" fontId="47" numFmtId="0" xfId="0" applyAlignment="1" applyFont="1">
      <alignment horizontal="left" vertical="bottom"/>
    </xf>
    <xf quotePrefix="1" borderId="0" fillId="0" fontId="1" numFmtId="0" xfId="0" applyAlignment="1" applyFont="1">
      <alignment horizontal="left"/>
    </xf>
    <xf borderId="0" fillId="0" fontId="17" numFmtId="0" xfId="0" applyAlignment="1" applyFont="1">
      <alignment horizontal="left"/>
    </xf>
    <xf borderId="0" fillId="8" fontId="47" numFmtId="0" xfId="0" applyAlignment="1" applyFont="1">
      <alignment horizontal="left" vertical="bottom"/>
    </xf>
    <xf borderId="0" fillId="5" fontId="47" numFmtId="0" xfId="0" applyAlignment="1" applyFont="1">
      <alignment horizontal="left" vertical="bottom"/>
    </xf>
    <xf borderId="0" fillId="0" fontId="19" numFmtId="0" xfId="0" applyAlignment="1" applyFont="1">
      <alignment horizontal="left"/>
    </xf>
    <xf quotePrefix="1" borderId="0" fillId="0" fontId="1" numFmtId="0" xfId="0" applyFont="1"/>
    <xf quotePrefix="1" borderId="0" fillId="0" fontId="17" numFmtId="0" xfId="0" applyFont="1"/>
    <xf quotePrefix="1" borderId="0" fillId="0" fontId="48" numFmtId="0" xfId="0" applyAlignment="1" applyFont="1">
      <alignment horizontal="left"/>
    </xf>
    <xf borderId="0" fillId="0" fontId="5" numFmtId="167" xfId="0" applyAlignment="1" applyFont="1" applyNumberFormat="1">
      <alignment horizontal="right" vertical="bottom"/>
    </xf>
    <xf quotePrefix="1" borderId="0" fillId="0" fontId="47" numFmtId="0" xfId="0" applyAlignment="1" applyFont="1">
      <alignment vertical="bottom"/>
    </xf>
    <xf borderId="0" fillId="5" fontId="32" numFmtId="0" xfId="0" applyAlignment="1" applyFont="1">
      <alignment vertical="bottom"/>
    </xf>
    <xf borderId="3" fillId="5" fontId="32" numFmtId="0" xfId="0" applyAlignment="1" applyBorder="1" applyFont="1">
      <alignment shrinkToFit="0" vertical="bottom" wrapText="0"/>
    </xf>
    <xf borderId="0" fillId="7" fontId="49" numFmtId="0" xfId="0" applyFont="1"/>
    <xf borderId="2" fillId="7" fontId="10" numFmtId="0" xfId="0" applyAlignment="1" applyBorder="1" applyFont="1">
      <alignment horizontal="left" vertical="bottom"/>
    </xf>
    <xf borderId="0" fillId="5" fontId="40" numFmtId="168" xfId="0" applyAlignment="1" applyFont="1" applyNumberFormat="1">
      <alignment horizontal="left" vertical="bottom"/>
    </xf>
    <xf borderId="0" fillId="5" fontId="30" numFmtId="0" xfId="0" applyFont="1"/>
    <xf borderId="0" fillId="5" fontId="40" numFmtId="0" xfId="0" applyAlignment="1" applyFont="1">
      <alignment horizontal="left" vertical="bottom"/>
    </xf>
    <xf quotePrefix="1" borderId="0" fillId="5" fontId="40" numFmtId="0" xfId="0" applyAlignment="1" applyFont="1">
      <alignment horizontal="left" vertical="bottom"/>
    </xf>
    <xf borderId="0" fillId="5" fontId="50" numFmtId="0" xfId="0" applyFont="1"/>
    <xf borderId="0" fillId="8" fontId="40" numFmtId="168" xfId="0" applyAlignment="1" applyFont="1" applyNumberFormat="1">
      <alignment horizontal="left" vertical="bottom"/>
    </xf>
    <xf borderId="0" fillId="8" fontId="40" numFmtId="0" xfId="0" applyAlignment="1" applyFont="1">
      <alignment horizontal="left" vertical="bottom"/>
    </xf>
    <xf quotePrefix="1" borderId="0" fillId="8" fontId="40" numFmtId="0" xfId="0" applyAlignment="1" applyFont="1">
      <alignment horizontal="left" vertical="bottom"/>
    </xf>
    <xf borderId="0" fillId="8" fontId="1" numFmtId="0" xfId="0" applyAlignment="1" applyFont="1">
      <alignment horizontal="left" readingOrder="0"/>
    </xf>
    <xf borderId="0" fillId="8" fontId="30" numFmtId="0" xfId="0" applyFont="1"/>
    <xf borderId="0" fillId="5" fontId="51" numFmtId="0" xfId="0" applyFont="1"/>
    <xf quotePrefix="1" borderId="0" fillId="5" fontId="30" numFmtId="0" xfId="0" applyFont="1"/>
    <xf borderId="0" fillId="8" fontId="52" numFmtId="0" xfId="0" applyFont="1"/>
    <xf borderId="0" fillId="8" fontId="53" numFmtId="0" xfId="0" applyFont="1"/>
    <xf borderId="0" fillId="5" fontId="52" numFmtId="0" xfId="0" applyFont="1"/>
    <xf borderId="0" fillId="5" fontId="54" numFmtId="0" xfId="0" applyFont="1"/>
    <xf borderId="0" fillId="5" fontId="40" numFmtId="169" xfId="0" applyAlignment="1" applyFont="1" applyNumberFormat="1">
      <alignment horizontal="left" vertical="bottom"/>
    </xf>
    <xf borderId="0" fillId="8" fontId="40" numFmtId="169" xfId="0" applyAlignment="1" applyFont="1" applyNumberFormat="1">
      <alignment horizontal="left" vertical="bottom"/>
    </xf>
    <xf borderId="0" fillId="5" fontId="22" numFmtId="0" xfId="0" applyFont="1"/>
    <xf borderId="0" fillId="5" fontId="36" numFmtId="169" xfId="0" applyAlignment="1" applyFont="1" applyNumberFormat="1">
      <alignment horizontal="left" vertical="bottom"/>
    </xf>
    <xf borderId="0" fillId="8" fontId="55" numFmtId="168" xfId="0" applyAlignment="1" applyFont="1" applyNumberFormat="1">
      <alignment horizontal="left" vertical="bottom"/>
    </xf>
    <xf borderId="0" fillId="8" fontId="19" numFmtId="0" xfId="0" applyFont="1"/>
    <xf borderId="0" fillId="8" fontId="55" numFmtId="0" xfId="0" applyAlignment="1" applyFont="1">
      <alignment horizontal="left" vertical="bottom"/>
    </xf>
    <xf quotePrefix="1" borderId="0" fillId="8" fontId="19" numFmtId="0" xfId="0" applyFont="1"/>
    <xf borderId="0" fillId="8" fontId="56" numFmtId="0" xfId="0" applyFont="1"/>
    <xf borderId="0" fillId="5" fontId="22" numFmtId="0" xfId="0" applyAlignment="1" applyFont="1">
      <alignment shrinkToFit="0" vertical="bottom" wrapText="0"/>
    </xf>
    <xf borderId="4" fillId="0" fontId="10" numFmtId="165" xfId="0" applyAlignment="1" applyBorder="1" applyFont="1" applyNumberFormat="1">
      <alignment horizontal="center" vertical="bottom"/>
    </xf>
    <xf borderId="2" fillId="0" fontId="10" numFmtId="0" xfId="0" applyAlignment="1" applyBorder="1" applyFont="1">
      <alignment horizontal="center" vertical="bottom"/>
    </xf>
    <xf borderId="2" fillId="0" fontId="10" numFmtId="0" xfId="0" applyAlignment="1" applyBorder="1" applyFont="1">
      <alignment horizontal="center" vertical="bottom"/>
    </xf>
    <xf borderId="2" fillId="0" fontId="10" numFmtId="0" xfId="0" applyAlignment="1" applyBorder="1" applyFont="1">
      <alignment horizontal="center" shrinkToFit="0" vertical="bottom" wrapText="0"/>
    </xf>
    <xf borderId="2" fillId="0" fontId="11" numFmtId="0" xfId="0" applyAlignment="1" applyBorder="1" applyFont="1">
      <alignment vertical="bottom"/>
    </xf>
    <xf borderId="0" fillId="0" fontId="1" numFmtId="166" xfId="0" applyFont="1" applyNumberFormat="1"/>
    <xf borderId="0" fillId="0" fontId="57" numFmtId="0" xfId="0" applyAlignment="1" applyFont="1">
      <alignment vertical="top"/>
    </xf>
    <xf borderId="0" fillId="9" fontId="38" numFmtId="0" xfId="0" applyFill="1" applyFont="1"/>
    <xf quotePrefix="1" borderId="0" fillId="0" fontId="28" numFmtId="0" xfId="0" applyAlignment="1" applyFont="1">
      <alignment vertical="top"/>
    </xf>
    <xf borderId="0" fillId="0" fontId="58" numFmtId="0" xfId="0" applyAlignment="1" applyFont="1">
      <alignment vertical="top"/>
    </xf>
    <xf borderId="0" fillId="5" fontId="36" numFmtId="0" xfId="0" applyFont="1"/>
    <xf borderId="0" fillId="0" fontId="36" numFmtId="0" xfId="0" applyAlignment="1" applyFont="1">
      <alignment horizontal="right" vertical="top"/>
    </xf>
    <xf borderId="0" fillId="0" fontId="59" numFmtId="0" xfId="0" applyFont="1"/>
    <xf quotePrefix="1" borderId="0" fillId="0" fontId="60" numFmtId="0" xfId="0" applyFont="1"/>
    <xf borderId="0" fillId="0" fontId="61" numFmtId="0" xfId="0" applyFont="1"/>
    <xf borderId="0" fillId="0" fontId="62" numFmtId="0" xfId="0" applyAlignment="1" applyFont="1">
      <alignment horizontal="left" shrinkToFit="0" wrapText="0"/>
    </xf>
    <xf quotePrefix="1" borderId="0" fillId="0" fontId="63" numFmtId="0" xfId="0" applyFont="1"/>
    <xf borderId="0" fillId="0" fontId="64" numFmtId="0" xfId="0" applyFont="1"/>
    <xf borderId="0" fillId="0" fontId="42" numFmtId="0" xfId="0" applyFont="1"/>
    <xf borderId="0" fillId="0" fontId="65" numFmtId="0" xfId="0" applyAlignment="1" applyFont="1">
      <alignment vertical="top"/>
    </xf>
    <xf borderId="0" fillId="0" fontId="66" numFmtId="0" xfId="0" applyFont="1"/>
    <xf borderId="0" fillId="0" fontId="67" numFmtId="0" xfId="0" applyFont="1"/>
    <xf borderId="0" fillId="0" fontId="28" numFmtId="0" xfId="0" applyAlignment="1" applyFont="1">
      <alignment vertical="top"/>
    </xf>
    <xf borderId="0" fillId="0" fontId="1" numFmtId="167" xfId="0" applyFont="1" applyNumberFormat="1"/>
    <xf borderId="0" fillId="0" fontId="57" numFmtId="0" xfId="0" applyFont="1"/>
    <xf quotePrefix="1" borderId="0" fillId="0" fontId="28" numFmtId="0" xfId="0" applyFont="1"/>
    <xf quotePrefix="1" borderId="0" fillId="0" fontId="68" numFmtId="0" xfId="0" applyAlignment="1" applyFont="1">
      <alignment vertical="top"/>
    </xf>
    <xf borderId="0" fillId="10" fontId="38" numFmtId="0" xfId="0" applyFill="1" applyFont="1"/>
    <xf borderId="0" fillId="0" fontId="48" numFmtId="0" xfId="0" applyFont="1"/>
    <xf quotePrefix="1" borderId="0" fillId="0" fontId="69" numFmtId="0" xfId="0" applyFont="1"/>
    <xf quotePrefix="1" borderId="0" fillId="0" fontId="48" numFmtId="0" xfId="0" applyFont="1"/>
    <xf borderId="0" fillId="10" fontId="28" numFmtId="0" xfId="0" applyAlignment="1" applyFont="1">
      <alignment vertical="top"/>
    </xf>
    <xf borderId="0" fillId="11" fontId="70" numFmtId="0" xfId="0" applyAlignment="1" applyFill="1" applyFont="1">
      <alignment vertical="top"/>
    </xf>
    <xf borderId="0" fillId="0" fontId="52" numFmtId="0" xfId="0" applyFont="1"/>
    <xf borderId="0" fillId="12" fontId="38" numFmtId="0" xfId="0" applyFill="1" applyFont="1"/>
    <xf borderId="0" fillId="0" fontId="1" numFmtId="0" xfId="0" applyAlignment="1" applyFont="1">
      <alignment horizontal="right"/>
    </xf>
    <xf borderId="0" fillId="0" fontId="17" numFmtId="0" xfId="0" applyFont="1"/>
    <xf borderId="0" fillId="0" fontId="1" numFmtId="0" xfId="0" applyAlignment="1" applyFont="1">
      <alignment horizontal="center"/>
    </xf>
    <xf quotePrefix="1" borderId="0" fillId="5" fontId="21" numFmtId="0" xfId="0" applyFont="1"/>
    <xf borderId="0" fillId="0" fontId="28" numFmtId="0" xfId="0" applyFont="1"/>
    <xf borderId="0" fillId="9" fontId="1" numFmtId="0" xfId="0" applyFont="1"/>
    <xf borderId="0" fillId="0" fontId="68" numFmtId="0" xfId="0" applyFont="1"/>
    <xf quotePrefix="1" borderId="0" fillId="5" fontId="32" numFmtId="0" xfId="0" applyFont="1"/>
    <xf borderId="0" fillId="0" fontId="4" numFmtId="0" xfId="0" applyAlignment="1" applyFont="1">
      <alignment horizontal="left"/>
    </xf>
    <xf borderId="0" fillId="0" fontId="4" numFmtId="0" xfId="0" applyFont="1"/>
    <xf borderId="0" fillId="0" fontId="1" numFmtId="170" xfId="0" applyAlignment="1" applyFont="1" applyNumberFormat="1">
      <alignment horizontal="left"/>
    </xf>
    <xf borderId="0" fillId="0" fontId="1" numFmtId="21" xfId="0" applyAlignment="1" applyFont="1" applyNumberFormat="1">
      <alignment horizontal="left"/>
    </xf>
    <xf borderId="0" fillId="0" fontId="71" numFmtId="0" xfId="0" applyAlignment="1" applyFont="1">
      <alignment horizontal="left"/>
    </xf>
    <xf borderId="0" fillId="0" fontId="1" numFmtId="171" xfId="0" applyAlignment="1" applyFont="1" applyNumberFormat="1">
      <alignment horizontal="left"/>
    </xf>
    <xf borderId="0" fillId="5" fontId="5" numFmtId="171" xfId="0" applyAlignment="1" applyFont="1" applyNumberFormat="1">
      <alignment horizontal="left"/>
    </xf>
    <xf borderId="0" fillId="0" fontId="69" numFmtId="0" xfId="0" applyAlignment="1" applyFont="1">
      <alignment horizontal="left"/>
    </xf>
    <xf borderId="0" fillId="5" fontId="5" numFmtId="21" xfId="0" applyAlignment="1" applyFont="1" applyNumberFormat="1">
      <alignment horizontal="left"/>
    </xf>
    <xf borderId="0" fillId="0" fontId="71" numFmtId="0" xfId="0" applyFont="1"/>
    <xf borderId="0" fillId="0" fontId="24" numFmtId="0" xfId="0" applyAlignment="1" applyFont="1">
      <alignment horizontal="left"/>
    </xf>
    <xf quotePrefix="1" borderId="0" fillId="0" fontId="24" numFmtId="0" xfId="0" applyFont="1"/>
    <xf borderId="0" fillId="0" fontId="42" numFmtId="172" xfId="0" applyAlignment="1" applyFont="1" applyNumberFormat="1">
      <alignment horizontal="left"/>
    </xf>
    <xf borderId="0" fillId="0" fontId="26" numFmtId="171" xfId="0" applyAlignment="1" applyFont="1" applyNumberFormat="1">
      <alignment horizontal="left"/>
    </xf>
    <xf borderId="0" fillId="0" fontId="26" numFmtId="21" xfId="0" applyFont="1" applyNumberFormat="1"/>
    <xf borderId="0" fillId="5" fontId="5" numFmtId="171" xfId="0" applyAlignment="1" applyFont="1" applyNumberFormat="1">
      <alignment horizontal="center"/>
    </xf>
    <xf borderId="0" fillId="5" fontId="5" numFmtId="21" xfId="0" applyAlignment="1" applyFont="1" applyNumberFormat="1">
      <alignment horizontal="center"/>
    </xf>
    <xf borderId="0" fillId="5" fontId="5" numFmtId="0" xfId="0" applyAlignment="1" applyFont="1">
      <alignment horizontal="center"/>
    </xf>
    <xf borderId="0" fillId="5" fontId="5" numFmtId="170" xfId="0" applyAlignment="1" applyFont="1" applyNumberFormat="1">
      <alignment horizontal="center"/>
    </xf>
    <xf borderId="0" fillId="0" fontId="1" numFmtId="167" xfId="0" applyFont="1" applyNumberFormat="1"/>
    <xf borderId="0" fillId="0" fontId="72" numFmtId="0" xfId="0" applyFont="1"/>
    <xf borderId="0" fillId="0" fontId="63" numFmtId="0" xfId="0" applyFont="1"/>
    <xf borderId="0" fillId="0" fontId="1" numFmtId="0" xfId="0" applyAlignment="1" applyFont="1">
      <alignment horizontal="center"/>
    </xf>
    <xf quotePrefix="1" borderId="0" fillId="0" fontId="60" numFmtId="0" xfId="0" applyFont="1"/>
    <xf borderId="0" fillId="0" fontId="73" numFmtId="0" xfId="0" applyFont="1"/>
    <xf borderId="0" fillId="0" fontId="26" numFmtId="0" xfId="0" applyFont="1"/>
    <xf borderId="0" fillId="0" fontId="74" numFmtId="0" xfId="0" applyFont="1"/>
    <xf borderId="0" fillId="0" fontId="75" numFmtId="0" xfId="0" applyAlignment="1" applyFont="1">
      <alignment horizontal="left"/>
    </xf>
    <xf quotePrefix="1" borderId="0" fillId="0" fontId="63" numFmtId="0" xfId="0" applyFont="1"/>
    <xf borderId="0" fillId="0" fontId="76" numFmtId="0" xfId="0" applyAlignment="1" applyFont="1">
      <alignment horizontal="left" readingOrder="0"/>
    </xf>
    <xf borderId="0" fillId="0" fontId="77" numFmtId="0" xfId="0" applyFont="1"/>
    <xf borderId="0" fillId="0" fontId="76" numFmtId="0" xfId="0" applyFont="1"/>
    <xf borderId="0" fillId="0" fontId="78" numFmtId="0" xfId="0" applyAlignment="1" applyFont="1">
      <alignment horizontal="left"/>
    </xf>
    <xf borderId="0" fillId="0" fontId="38" numFmtId="0" xfId="0" applyFont="1"/>
    <xf borderId="0" fillId="0" fontId="57" numFmtId="0" xfId="0" applyFont="1"/>
    <xf borderId="0" fillId="0" fontId="16" numFmtId="0" xfId="0" applyAlignment="1" applyFont="1">
      <alignment horizontal="left"/>
    </xf>
    <xf borderId="0" fillId="0" fontId="79" numFmtId="0" xfId="0" applyFont="1"/>
    <xf borderId="0" fillId="0" fontId="38" numFmtId="0" xfId="0" applyAlignment="1" applyFont="1">
      <alignment horizontal="center"/>
    </xf>
    <xf borderId="0" fillId="0" fontId="80" numFmtId="0" xfId="0" applyAlignment="1" applyFont="1">
      <alignment horizontal="left"/>
    </xf>
    <xf quotePrefix="1" borderId="0" fillId="0" fontId="16" numFmtId="0" xfId="0" applyAlignment="1" applyFont="1">
      <alignment horizontal="left"/>
    </xf>
    <xf borderId="0" fillId="0" fontId="81" numFmtId="0" xfId="0" applyAlignment="1" applyFont="1">
      <alignment horizontal="left" shrinkToFit="0" wrapText="0"/>
    </xf>
    <xf borderId="0" fillId="0" fontId="28" numFmtId="0" xfId="0" applyFont="1"/>
    <xf quotePrefix="1" borderId="0" fillId="0" fontId="48" numFmtId="0" xfId="0" applyFont="1"/>
    <xf quotePrefix="1" borderId="0" fillId="0" fontId="1" numFmtId="0" xfId="0" applyFont="1"/>
    <xf borderId="0" fillId="0" fontId="63" numFmtId="0" xfId="0" applyFont="1"/>
    <xf quotePrefix="1" borderId="0" fillId="0" fontId="17" numFmtId="0" xfId="0" applyFont="1"/>
    <xf borderId="0" fillId="0" fontId="82" numFmtId="0" xfId="0" applyFont="1"/>
    <xf borderId="0" fillId="0" fontId="82" numFmtId="0" xfId="0" applyAlignment="1" applyFont="1">
      <alignment shrinkToFit="0" vertical="bottom" wrapText="0"/>
    </xf>
    <xf borderId="0" fillId="0" fontId="83" numFmtId="167" xfId="0" applyAlignment="1" applyFont="1" applyNumberFormat="1">
      <alignment vertical="bottom"/>
    </xf>
    <xf quotePrefix="1" borderId="0" fillId="0" fontId="84" numFmtId="0" xfId="0" applyAlignment="1" applyFont="1">
      <alignment shrinkToFit="0" vertical="bottom" wrapText="0"/>
    </xf>
    <xf borderId="0" fillId="0" fontId="83" numFmtId="0" xfId="0" applyAlignment="1" applyFont="1">
      <alignment horizontal="center" shrinkToFit="0" vertical="bottom" wrapText="0"/>
    </xf>
    <xf borderId="0" fillId="0" fontId="83" numFmtId="0" xfId="0" applyAlignment="1" applyFont="1">
      <alignment vertical="bottom"/>
    </xf>
    <xf borderId="0" fillId="0" fontId="82" numFmtId="0" xfId="0" applyAlignment="1" applyFont="1">
      <alignment shrinkToFit="0" vertical="bottom" wrapText="0"/>
    </xf>
    <xf borderId="0" fillId="0" fontId="82" numFmtId="0" xfId="0" applyFont="1"/>
    <xf borderId="0" fillId="5" fontId="36" numFmtId="0" xfId="0" applyAlignment="1" applyFont="1">
      <alignment horizontal="center"/>
    </xf>
    <xf borderId="0" fillId="0" fontId="57" numFmtId="0" xfId="0" applyAlignment="1" applyFont="1">
      <alignment vertical="top"/>
    </xf>
    <xf borderId="0" fillId="0" fontId="85" numFmtId="0" xfId="0" applyAlignment="1" applyFont="1">
      <alignment vertical="top"/>
    </xf>
    <xf borderId="0" fillId="5" fontId="36" numFmtId="0" xfId="0" applyFont="1"/>
    <xf borderId="0" fillId="0" fontId="86" numFmtId="0" xfId="0" applyFont="1"/>
    <xf borderId="0" fillId="0" fontId="87" numFmtId="0" xfId="0" applyFont="1"/>
    <xf borderId="0" fillId="0" fontId="33" numFmtId="0" xfId="0" applyFont="1"/>
    <xf borderId="0" fillId="0" fontId="88" numFmtId="0" xfId="0" applyAlignment="1" applyFont="1">
      <alignment vertical="top"/>
    </xf>
    <xf quotePrefix="1" borderId="0" fillId="0" fontId="89" numFmtId="0" xfId="0" applyFont="1"/>
    <xf borderId="0" fillId="0" fontId="90" numFmtId="0" xfId="0" applyAlignment="1" applyFont="1">
      <alignment horizontal="left"/>
    </xf>
    <xf borderId="0" fillId="0" fontId="28" numFmtId="0" xfId="0" applyAlignment="1" applyFont="1">
      <alignment vertical="top"/>
    </xf>
    <xf quotePrefix="1" borderId="0" fillId="0" fontId="68" numFmtId="0" xfId="0" applyAlignment="1" applyFont="1">
      <alignment vertical="top"/>
    </xf>
    <xf borderId="0" fillId="0" fontId="91" numFmtId="0" xfId="0" applyAlignment="1" applyFont="1">
      <alignment readingOrder="0"/>
    </xf>
    <xf quotePrefix="1" borderId="0" fillId="0" fontId="65" numFmtId="0" xfId="0" applyAlignment="1" applyFont="1">
      <alignment vertical="top"/>
    </xf>
    <xf borderId="0" fillId="0" fontId="92" numFmtId="0" xfId="0" applyFont="1"/>
    <xf borderId="0" fillId="0" fontId="93" numFmtId="0" xfId="0" applyFont="1"/>
    <xf borderId="0" fillId="0" fontId="90" numFmtId="0" xfId="0" applyAlignment="1" applyFont="1">
      <alignment horizontal="left"/>
    </xf>
    <xf borderId="0" fillId="0" fontId="60" numFmtId="0" xfId="0" applyFont="1"/>
    <xf borderId="0" fillId="0" fontId="72" numFmtId="0" xfId="0" applyAlignment="1" applyFont="1">
      <alignment shrinkToFit="0" wrapText="1"/>
    </xf>
    <xf borderId="0" fillId="0" fontId="94" numFmtId="0" xfId="0" applyFont="1"/>
    <xf borderId="0" fillId="0" fontId="91" numFmtId="0" xfId="0" applyFont="1"/>
    <xf quotePrefix="1" borderId="0" fillId="0" fontId="95" numFmtId="0" xfId="0" applyFont="1"/>
    <xf quotePrefix="1" borderId="0" fillId="0" fontId="91" numFmtId="0" xfId="0" applyFont="1"/>
    <xf borderId="0" fillId="0" fontId="96" numFmtId="0" xfId="0" applyFont="1"/>
    <xf borderId="0" fillId="0" fontId="65" numFmtId="0" xfId="0" applyAlignment="1" applyFont="1">
      <alignment vertical="top"/>
    </xf>
    <xf borderId="0" fillId="13" fontId="1" numFmtId="0" xfId="0" applyFill="1" applyFont="1"/>
    <xf borderId="0" fillId="0" fontId="5" numFmtId="0" xfId="0" applyAlignment="1" applyFont="1">
      <alignment vertical="bottom"/>
    </xf>
    <xf quotePrefix="1" borderId="0" fillId="0" fontId="5" numFmtId="0" xfId="0" applyAlignment="1" applyFont="1">
      <alignment vertical="bottom"/>
    </xf>
    <xf borderId="0" fillId="0" fontId="5" numFmtId="0" xfId="0" applyAlignment="1" applyFont="1">
      <alignment shrinkToFit="0" vertical="bottom" wrapText="0"/>
    </xf>
    <xf borderId="0" fillId="0" fontId="97" numFmtId="0" xfId="0" applyFont="1"/>
    <xf borderId="0" fillId="14" fontId="1" numFmtId="0" xfId="0" applyFill="1" applyFont="1"/>
    <xf borderId="0" fillId="0" fontId="30" numFmtId="0" xfId="0" applyFont="1"/>
    <xf quotePrefix="1" borderId="0" fillId="5" fontId="47" numFmtId="0" xfId="0" applyFont="1"/>
    <xf borderId="0" fillId="0" fontId="98" numFmtId="0" xfId="0" applyFont="1"/>
    <xf borderId="0" fillId="0" fontId="1" numFmtId="166" xfId="0" applyFont="1" applyNumberFormat="1"/>
    <xf borderId="0" fillId="0" fontId="17" numFmtId="0" xfId="0" applyFont="1"/>
    <xf borderId="0" fillId="0" fontId="88" numFmtId="0" xfId="0" applyAlignment="1" applyFont="1">
      <alignment vertical="top"/>
    </xf>
    <xf borderId="4" fillId="0" fontId="10" numFmtId="165" xfId="0" applyAlignment="1" applyBorder="1" applyFont="1" applyNumberFormat="1">
      <alignment horizontal="center" vertical="bottom"/>
    </xf>
    <xf borderId="0" fillId="0" fontId="11" numFmtId="167" xfId="0" applyFont="1" applyNumberFormat="1"/>
    <xf borderId="0" fillId="0" fontId="11" numFmtId="0" xfId="0" applyFont="1"/>
    <xf borderId="0" fillId="0" fontId="11" numFmtId="0" xfId="0" applyAlignment="1" applyFont="1">
      <alignment horizontal="left"/>
    </xf>
    <xf borderId="0" fillId="0" fontId="11" numFmtId="0" xfId="0" applyAlignment="1" applyFont="1">
      <alignment horizontal="center"/>
    </xf>
    <xf borderId="0" fillId="0" fontId="99" numFmtId="0" xfId="0" applyFont="1"/>
    <xf quotePrefix="1" borderId="0" fillId="0" fontId="16" numFmtId="0" xfId="0" applyAlignment="1" applyFont="1">
      <alignment horizontal="left"/>
    </xf>
    <xf borderId="0" fillId="0" fontId="100" numFmtId="0" xfId="0" applyFont="1"/>
    <xf borderId="0" fillId="14" fontId="11" numFmtId="0" xfId="0" applyFont="1"/>
    <xf borderId="0" fillId="0" fontId="101" numFmtId="0" xfId="0" applyFont="1"/>
    <xf borderId="0" fillId="0" fontId="102" numFmtId="0" xfId="0" applyFont="1"/>
    <xf borderId="0" fillId="0" fontId="103" numFmtId="0" xfId="0" applyFont="1"/>
    <xf borderId="0" fillId="0" fontId="102" numFmtId="0" xfId="0" applyAlignment="1" applyFont="1">
      <alignment horizontal="left" shrinkToFit="0" wrapText="0"/>
    </xf>
    <xf borderId="0" fillId="0" fontId="16" numFmtId="0" xfId="0" applyAlignment="1" applyFont="1">
      <alignment horizontal="left"/>
    </xf>
    <xf quotePrefix="1" borderId="0" fillId="0" fontId="11" numFmtId="0" xfId="0" applyAlignment="1" applyFont="1">
      <alignment horizontal="left"/>
    </xf>
    <xf quotePrefix="1" borderId="0" fillId="0" fontId="104" numFmtId="0" xfId="0" applyAlignment="1" applyFont="1">
      <alignment horizontal="left"/>
    </xf>
    <xf borderId="0" fillId="0" fontId="40" numFmtId="0" xfId="0" applyFont="1"/>
    <xf borderId="0" fillId="0" fontId="105" numFmtId="0" xfId="0" applyFont="1"/>
    <xf borderId="0" fillId="13" fontId="11" numFmtId="0" xfId="0" applyAlignment="1" applyFont="1">
      <alignment horizontal="center"/>
    </xf>
    <xf borderId="0" fillId="13" fontId="11" numFmtId="0" xfId="0" applyFont="1"/>
    <xf borderId="0" fillId="0" fontId="11" numFmtId="0" xfId="0" applyAlignment="1" applyFont="1">
      <alignment readingOrder="0"/>
    </xf>
    <xf borderId="0" fillId="0" fontId="106" numFmtId="0" xfId="0" applyAlignment="1" applyFont="1">
      <alignment horizontal="left"/>
    </xf>
    <xf borderId="0" fillId="0" fontId="107" numFmtId="0" xfId="0" applyFont="1"/>
    <xf borderId="0" fillId="0" fontId="108" numFmtId="0" xfId="0" applyFont="1"/>
    <xf borderId="0" fillId="0" fontId="109" numFmtId="0" xfId="0" applyAlignment="1" applyFont="1">
      <alignment horizontal="left"/>
    </xf>
    <xf borderId="0" fillId="0" fontId="110" numFmtId="0" xfId="0" applyAlignment="1" applyFont="1">
      <alignment horizontal="left"/>
    </xf>
    <xf borderId="0" fillId="0" fontId="16" numFmtId="0" xfId="0" applyFont="1"/>
    <xf borderId="0" fillId="0" fontId="111" numFmtId="0" xfId="0" applyFont="1"/>
    <xf borderId="0" fillId="0" fontId="102" numFmtId="0" xfId="0" applyAlignment="1" applyFont="1">
      <alignment readingOrder="0"/>
    </xf>
    <xf borderId="0" fillId="0" fontId="72" numFmtId="0" xfId="0" applyFont="1"/>
    <xf borderId="0" fillId="0" fontId="112" numFmtId="0" xfId="0" applyFont="1"/>
    <xf borderId="4" fillId="0" fontId="113" numFmtId="165" xfId="0" applyAlignment="1" applyBorder="1" applyFont="1" applyNumberFormat="1">
      <alignment horizontal="center" vertical="bottom"/>
    </xf>
    <xf borderId="2" fillId="0" fontId="113" numFmtId="0" xfId="0" applyAlignment="1" applyBorder="1" applyFont="1">
      <alignment horizontal="center" vertical="bottom"/>
    </xf>
    <xf borderId="2" fillId="0" fontId="113" numFmtId="0" xfId="0" applyAlignment="1" applyBorder="1" applyFont="1">
      <alignment horizontal="center" shrinkToFit="0" vertical="bottom" wrapText="0"/>
    </xf>
    <xf borderId="2" fillId="0" fontId="5" numFmtId="0" xfId="0" applyAlignment="1" applyBorder="1" applyFont="1">
      <alignment vertical="bottom"/>
    </xf>
    <xf borderId="0" fillId="0" fontId="114" numFmtId="0" xfId="0" applyFont="1"/>
    <xf borderId="0" fillId="13" fontId="1" numFmtId="0" xfId="0" applyAlignment="1" applyFont="1">
      <alignment horizontal="center"/>
    </xf>
    <xf borderId="0" fillId="0" fontId="115" numFmtId="0" xfId="0" applyAlignment="1" applyFont="1">
      <alignment shrinkToFit="0" wrapText="0"/>
    </xf>
    <xf borderId="0" fillId="0" fontId="116" numFmtId="0" xfId="0" applyAlignment="1" applyFont="1">
      <alignment horizontal="left" shrinkToFit="0" wrapText="0"/>
    </xf>
    <xf borderId="0" fillId="0" fontId="83" numFmtId="0" xfId="0" applyFont="1"/>
    <xf borderId="0" fillId="0" fontId="26" numFmtId="0" xfId="0" applyAlignment="1" applyFont="1">
      <alignment shrinkToFit="0" wrapText="0"/>
    </xf>
    <xf borderId="0" fillId="0" fontId="26" numFmtId="0" xfId="0" applyAlignment="1" applyFont="1">
      <alignment readingOrder="0"/>
    </xf>
    <xf borderId="0" fillId="0" fontId="117" numFmtId="0" xfId="0" applyAlignment="1" applyFont="1">
      <alignment shrinkToFit="0" wrapText="0"/>
    </xf>
    <xf borderId="0" fillId="0" fontId="118" numFmtId="0" xfId="0" applyAlignment="1" applyFont="1">
      <alignment horizontal="left" shrinkToFit="0" wrapText="0"/>
    </xf>
    <xf borderId="0" fillId="0" fontId="76" numFmtId="0" xfId="0" applyAlignment="1" applyFont="1">
      <alignment readingOrder="0"/>
    </xf>
    <xf borderId="0" fillId="0" fontId="119" numFmtId="0" xfId="0" applyFont="1"/>
    <xf borderId="0" fillId="0" fontId="33" numFmtId="0" xfId="0" applyAlignment="1" applyFont="1">
      <alignment shrinkToFit="0" wrapText="0"/>
    </xf>
    <xf borderId="0" fillId="0" fontId="120" numFmtId="0" xfId="0" applyAlignment="1" applyFont="1">
      <alignment vertical="bottom"/>
    </xf>
    <xf borderId="0" fillId="0" fontId="121" numFmtId="0" xfId="0" applyAlignment="1" applyFont="1">
      <alignment shrinkToFit="0" vertical="bottom" wrapText="0"/>
    </xf>
    <xf borderId="0" fillId="0" fontId="4" numFmtId="0" xfId="0" applyAlignment="1" applyFont="1">
      <alignment horizontal="center"/>
    </xf>
    <xf borderId="0" fillId="0" fontId="72" numFmtId="0" xfId="0" applyAlignment="1" applyFont="1">
      <alignment shrinkToFit="0" wrapText="0"/>
    </xf>
    <xf borderId="0" fillId="0" fontId="122" numFmtId="0" xfId="0" applyAlignment="1" applyFont="1">
      <alignment shrinkToFit="0" wrapText="0"/>
    </xf>
    <xf borderId="0" fillId="0" fontId="75" numFmtId="0" xfId="0" applyAlignment="1" applyFont="1">
      <alignment horizontal="left" shrinkToFit="0" wrapText="0"/>
    </xf>
    <xf borderId="0" fillId="0" fontId="123" numFmtId="0" xfId="0" applyFont="1"/>
    <xf borderId="0" fillId="0" fontId="24" numFmtId="0" xfId="0" applyAlignment="1" applyFont="1">
      <alignment shrinkToFit="0" wrapText="0"/>
    </xf>
    <xf borderId="2" fillId="0" fontId="113" numFmtId="0" xfId="0" applyAlignment="1" applyBorder="1" applyFont="1">
      <alignment horizontal="left" vertical="bottom"/>
    </xf>
    <xf borderId="0" fillId="0" fontId="1" numFmtId="165" xfId="0" applyFont="1" applyNumberFormat="1"/>
    <xf borderId="0" fillId="0" fontId="124" numFmtId="0" xfId="0" applyAlignment="1" applyFont="1">
      <alignment shrinkToFit="0" wrapText="0"/>
    </xf>
    <xf borderId="0" fillId="0" fontId="115" numFmtId="0" xfId="0" applyFont="1"/>
    <xf borderId="0" fillId="0" fontId="52" numFmtId="0" xfId="0" applyAlignment="1" applyFont="1">
      <alignment readingOrder="0"/>
    </xf>
    <xf borderId="0" fillId="0" fontId="89" numFmtId="0" xfId="0" applyAlignment="1" applyFont="1">
      <alignment horizontal="left"/>
    </xf>
    <xf borderId="0" fillId="9" fontId="125" numFmtId="0" xfId="0" applyFont="1"/>
    <xf quotePrefix="1" borderId="0" fillId="0" fontId="26" numFmtId="0" xfId="0" applyFont="1"/>
    <xf borderId="0" fillId="0" fontId="62" numFmtId="0" xfId="0" applyAlignment="1" applyFont="1">
      <alignment horizontal="center" shrinkToFit="0" wrapText="0"/>
    </xf>
    <xf borderId="0" fillId="0" fontId="126" numFmtId="0" xfId="0" applyAlignment="1" applyFont="1">
      <alignment shrinkToFit="0" wrapText="0"/>
    </xf>
    <xf borderId="0" fillId="5" fontId="90" numFmtId="0" xfId="0" applyFont="1"/>
    <xf borderId="0" fillId="5" fontId="127" numFmtId="0" xfId="0" applyAlignment="1" applyFont="1">
      <alignment horizontal="left" shrinkToFit="0" wrapText="1"/>
    </xf>
    <xf borderId="0" fillId="0" fontId="1" numFmtId="0" xfId="0" applyAlignment="1" applyFont="1">
      <alignment readingOrder="0" shrinkToFit="0" wrapText="0"/>
    </xf>
    <xf borderId="0" fillId="0" fontId="128" numFmtId="0" xfId="0" applyAlignment="1" applyFont="1">
      <alignment shrinkToFit="0" wrapText="0"/>
    </xf>
    <xf borderId="0" fillId="5" fontId="129" numFmtId="0" xfId="0" applyFont="1"/>
    <xf borderId="0" fillId="14" fontId="1" numFmtId="0" xfId="0" applyAlignment="1" applyFont="1">
      <alignment horizontal="center"/>
    </xf>
    <xf borderId="0" fillId="15" fontId="130" numFmtId="0" xfId="0" applyAlignment="1" applyFill="1" applyFont="1">
      <alignment horizontal="left"/>
    </xf>
    <xf borderId="0" fillId="15" fontId="131" numFmtId="0" xfId="0" applyAlignment="1" applyFont="1">
      <alignment horizontal="left"/>
    </xf>
    <xf quotePrefix="1" borderId="0" fillId="0" fontId="28" numFmtId="0" xfId="0" applyAlignment="1" applyFont="1">
      <alignment horizontal="left"/>
    </xf>
    <xf borderId="0" fillId="0" fontId="48" numFmtId="0" xfId="0" applyAlignment="1" applyFont="1">
      <alignment horizontal="left"/>
    </xf>
    <xf borderId="0" fillId="0" fontId="132" numFmtId="0" xfId="0" applyAlignment="1" applyFont="1">
      <alignment horizontal="left"/>
    </xf>
    <xf borderId="0" fillId="5" fontId="1" numFmtId="0" xfId="0" applyAlignment="1" applyFont="1">
      <alignment horizontal="center"/>
    </xf>
    <xf borderId="0" fillId="0" fontId="1" numFmtId="0" xfId="0" applyAlignment="1" applyFont="1">
      <alignment readingOrder="0"/>
    </xf>
    <xf borderId="0" fillId="0" fontId="72" numFmtId="0" xfId="0" applyAlignment="1" applyFont="1">
      <alignment horizontal="left"/>
    </xf>
    <xf borderId="0" fillId="0" fontId="133" numFmtId="0" xfId="0" applyAlignment="1" applyFont="1">
      <alignment vertical="bottom"/>
    </xf>
    <xf quotePrefix="1" borderId="0" fillId="0" fontId="82" numFmtId="0" xfId="0" applyAlignment="1" applyFont="1">
      <alignment horizontal="left" vertical="bottom"/>
    </xf>
    <xf borderId="0" fillId="13" fontId="38" numFmtId="0" xfId="0" applyFont="1"/>
    <xf borderId="4" fillId="0" fontId="134" numFmtId="0" xfId="0" applyAlignment="1" applyBorder="1" applyFont="1">
      <alignment horizontal="center" vertical="bottom"/>
    </xf>
    <xf borderId="2" fillId="0" fontId="134" numFmtId="0" xfId="0" applyAlignment="1" applyBorder="1" applyFont="1">
      <alignment horizontal="center" vertical="bottom"/>
    </xf>
    <xf borderId="2" fillId="0" fontId="134" numFmtId="0" xfId="0" applyAlignment="1" applyBorder="1" applyFont="1">
      <alignment horizontal="center" shrinkToFit="0" vertical="bottom" wrapText="0"/>
    </xf>
    <xf quotePrefix="1" borderId="0" fillId="0" fontId="16" numFmtId="0" xfId="0" applyFont="1"/>
    <xf quotePrefix="1" borderId="0" fillId="0" fontId="11" numFmtId="0" xfId="0" applyFont="1"/>
    <xf borderId="4" fillId="0" fontId="11" numFmtId="0" xfId="0" applyAlignment="1" applyBorder="1" applyFont="1">
      <alignment vertical="bottom"/>
    </xf>
    <xf quotePrefix="1" borderId="2" fillId="0" fontId="11" numFmtId="0" xfId="0" applyAlignment="1" applyBorder="1" applyFont="1">
      <alignment vertical="bottom"/>
    </xf>
    <xf borderId="0" fillId="0" fontId="135" numFmtId="0" xfId="0" applyFont="1"/>
    <xf borderId="0" fillId="0" fontId="102" numFmtId="0" xfId="0" applyAlignment="1" applyFont="1">
      <alignment horizontal="left"/>
    </xf>
    <xf borderId="0" fillId="0" fontId="102" numFmtId="0" xfId="0" applyAlignment="1" applyFont="1">
      <alignment vertical="bottom"/>
    </xf>
    <xf borderId="0" fillId="0" fontId="136" numFmtId="0" xfId="0" applyAlignment="1" applyFont="1">
      <alignment vertical="bottom"/>
    </xf>
    <xf quotePrefix="1" borderId="0" fillId="0" fontId="16" numFmtId="0" xfId="0" applyAlignment="1" applyFont="1">
      <alignment vertical="bottom"/>
    </xf>
    <xf borderId="0" fillId="0" fontId="11" numFmtId="0" xfId="0" applyAlignment="1" applyFont="1">
      <alignment horizontal="center" vertical="bottom"/>
    </xf>
    <xf borderId="5" fillId="0" fontId="102" numFmtId="0" xfId="0" applyAlignment="1" applyBorder="1" applyFont="1">
      <alignment vertical="bottom"/>
    </xf>
    <xf quotePrefix="1" borderId="5" fillId="0" fontId="11" numFmtId="0" xfId="0" applyAlignment="1" applyBorder="1" applyFont="1">
      <alignment vertical="bottom"/>
    </xf>
    <xf borderId="5" fillId="0" fontId="137" numFmtId="0" xfId="0" applyAlignment="1" applyBorder="1" applyFont="1">
      <alignment vertical="bottom"/>
    </xf>
    <xf quotePrefix="1" borderId="0" fillId="0" fontId="11" numFmtId="0" xfId="0" applyAlignment="1" applyFont="1">
      <alignment vertical="bottom"/>
    </xf>
    <xf borderId="0" fillId="0" fontId="40" numFmtId="0" xfId="0" applyAlignment="1" applyFont="1">
      <alignment shrinkToFit="0" vertical="bottom" wrapText="0"/>
    </xf>
    <xf borderId="0" fillId="13" fontId="40" numFmtId="0" xfId="0" applyFont="1"/>
    <xf borderId="4" fillId="0" fontId="113" numFmtId="0" xfId="0" applyAlignment="1" applyBorder="1" applyFont="1">
      <alignment horizontal="center" vertical="bottom"/>
    </xf>
    <xf borderId="0" fillId="13" fontId="33" numFmtId="0" xfId="0" applyFont="1"/>
    <xf quotePrefix="1" borderId="0" fillId="13" fontId="1" numFmtId="0" xfId="0" applyFont="1"/>
    <xf borderId="0" fillId="13" fontId="138" numFmtId="0" xfId="0" applyFont="1"/>
    <xf borderId="0" fillId="13" fontId="33" numFmtId="0" xfId="0" applyAlignment="1" applyFont="1">
      <alignment shrinkToFit="0" wrapText="0"/>
    </xf>
    <xf borderId="0" fillId="14" fontId="38" numFmtId="0" xfId="0" applyFont="1"/>
    <xf quotePrefix="1" borderId="0" fillId="13" fontId="89" numFmtId="0" xfId="0" applyFont="1"/>
    <xf borderId="0" fillId="13" fontId="1"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7">
    <tableStyle count="3" pivot="0" name="Portal Leads May - Dec 2019-style">
      <tableStyleElement dxfId="1" type="headerRow"/>
      <tableStyleElement dxfId="2" type="firstRowStripe"/>
      <tableStyleElement dxfId="3" type="secondRowStripe"/>
    </tableStyle>
    <tableStyle count="2" pivot="0" name="Portal Leads May - Dec 2019-style 2">
      <tableStyleElement dxfId="2" type="firstRowStripe"/>
      <tableStyleElement dxfId="3" type="secondRowStripe"/>
    </tableStyle>
    <tableStyle count="3" pivot="0" name="November -style">
      <tableStyleElement dxfId="1" type="headerRow"/>
      <tableStyleElement dxfId="2" type="firstRowStripe"/>
      <tableStyleElement dxfId="3" type="secondRowStripe"/>
    </tableStyle>
    <tableStyle count="2" pivot="0" name="November -style 2">
      <tableStyleElement dxfId="2" type="firstRowStripe"/>
      <tableStyleElement dxfId="3" type="secondRowStripe"/>
    </tableStyle>
    <tableStyle count="2" pivot="0" name="November -style 3">
      <tableStyleElement dxfId="2" type="firstRowStripe"/>
      <tableStyleElement dxfId="3" type="secondRowStripe"/>
    </tableStyle>
    <tableStyle count="3" pivot="0" name="October-style">
      <tableStyleElement dxfId="1" type="headerRow"/>
      <tableStyleElement dxfId="2" type="firstRowStripe"/>
      <tableStyleElement dxfId="3" type="secondRowStripe"/>
    </tableStyle>
    <tableStyle count="3" pivot="0" name="Septemb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I4" display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ortal Leads May - Dec 2019-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2:AB3" display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ortal Leads May - Dec 2019-style 2" showColumnStripes="0" showFirstColumn="1" showLastColumn="1" showRowStripes="1"/>
</table>
</file>

<file path=xl/tables/table3.xml><?xml version="1.0" encoding="utf-8"?>
<table xmlns="http://schemas.openxmlformats.org/spreadsheetml/2006/main" headerRowCount="0" ref="A1:G3" displayName="Table_3" id="3">
  <tableColumns count="7">
    <tableColumn name="Column1" id="1"/>
    <tableColumn name="Column2" id="2"/>
    <tableColumn name="Column3" id="3"/>
    <tableColumn name="Column4" id="4"/>
    <tableColumn name="Column5" id="5"/>
    <tableColumn name="Column6" id="6"/>
    <tableColumn name="Column7" id="7"/>
  </tableColumns>
  <tableStyleInfo name="November -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6:H9" display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November -style 2" showColumnStripes="0" showFirstColumn="1" showLastColumn="1" showRowStripes="1"/>
</table>
</file>

<file path=xl/tables/table5.xml><?xml version="1.0" encoding="utf-8"?>
<table xmlns="http://schemas.openxmlformats.org/spreadsheetml/2006/main" headerRowCount="0" ref="D27:D33" displayName="Table_5" id="5">
  <tableColumns count="1">
    <tableColumn name="Column1" id="1"/>
  </tableColumns>
  <tableStyleInfo name="November -style 3" showColumnStripes="0" showFirstColumn="1" showLastColumn="1" showRowStripes="1"/>
</table>
</file>

<file path=xl/tables/table6.xml><?xml version="1.0" encoding="utf-8"?>
<table xmlns="http://schemas.openxmlformats.org/spreadsheetml/2006/main" headerRowCount="0" ref="A1:F1" displayName="Table_6" id="6">
  <tableColumns count="6">
    <tableColumn name="Column1" id="1"/>
    <tableColumn name="Column2" id="2"/>
    <tableColumn name="Column3" id="3"/>
    <tableColumn name="Column4" id="4"/>
    <tableColumn name="Column5" id="5"/>
    <tableColumn name="Column6" id="6"/>
  </tableColumns>
  <tableStyleInfo name="October-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F90" displayName="Table_7" id="7">
  <tableColumns count="6">
    <tableColumn name="Date" id="1"/>
    <tableColumn name="Name" id="2"/>
    <tableColumn name="Agent /  Client" id="3"/>
    <tableColumn name="Contact" id="4"/>
    <tableColumn name="Email" id="5"/>
    <tableColumn name="Portal" id="6"/>
  </tableColumns>
  <tableStyleInfo name="Septemb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abrez.mynetgear.com:5000/sharing/5szEOmCvf"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ustproperty.com/en/rent/brand-new-bluewaters-sea-and-garden-view-2415024/" TargetMode="External"/><Relationship Id="rId2" Type="http://schemas.openxmlformats.org/officeDocument/2006/relationships/hyperlink" Target="mailto:roberts.lockhart@aol.com" TargetMode="External"/><Relationship Id="rId3" Type="http://schemas.openxmlformats.org/officeDocument/2006/relationships/hyperlink" Target="https://www.propertyfinder.ae/to/6408777/en?utm_source=transactional&amp;utm_medium=email&amp;utm_campaign=property%20lead_client" TargetMode="External"/><Relationship Id="rId4" Type="http://schemas.openxmlformats.org/officeDocument/2006/relationships/hyperlink" Target="mailto:Amanwaziri1977@gmail.com" TargetMode="External"/><Relationship Id="rId11" Type="http://schemas.openxmlformats.org/officeDocument/2006/relationships/drawing" Target="../drawings/drawing2.xml"/><Relationship Id="rId10" Type="http://schemas.openxmlformats.org/officeDocument/2006/relationships/hyperlink" Target="https://www.propertyfinder.ae/to/6556888/en?utm_source=transactional&amp;utm_medium=email&amp;utm_campaign=property%20lead_client" TargetMode="External"/><Relationship Id="rId9" Type="http://schemas.openxmlformats.org/officeDocument/2006/relationships/hyperlink" Target="https://www.propertyfinder.ae/to/6733008/en?utm_source=transactional&amp;utm_medium=email&amp;utm_campaign=property%20lead_client" TargetMode="External"/><Relationship Id="rId5" Type="http://schemas.openxmlformats.org/officeDocument/2006/relationships/hyperlink" Target="https://www.propertyfinder.ae/to/6757461/en?utm_source=transactional&amp;utm_medium=email&amp;utm_campaign=property%20lead_client" TargetMode="External"/><Relationship Id="rId6" Type="http://schemas.openxmlformats.org/officeDocument/2006/relationships/hyperlink" Target="https://www.propertyfinder.ae/to/6782268/en?utm_source=transactional&amp;utm_medium=email&amp;utm_campaign=property%20lead_client" TargetMode="External"/><Relationship Id="rId7" Type="http://schemas.openxmlformats.org/officeDocument/2006/relationships/hyperlink" Target="https://www.propertyfinder.ae/to/6733008/en?utm_source=transactional&amp;utm_medium=email&amp;utm_campaign=property%20lead_client" TargetMode="External"/><Relationship Id="rId8" Type="http://schemas.openxmlformats.org/officeDocument/2006/relationships/hyperlink" Target="https://www.propertyfinder.ae/to/6803745/en?utm_source=transactional&amp;utm_medium=email&amp;utm_campaign=property%20lead_clien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e.green-acres.com" TargetMode="External"/><Relationship Id="rId2" Type="http://schemas.openxmlformats.org/officeDocument/2006/relationships/hyperlink" Target="mailto:dual2207@gmail.com" TargetMode="External"/><Relationship Id="rId3" Type="http://schemas.openxmlformats.org/officeDocument/2006/relationships/hyperlink" Target="mailto:hazel@axiomatic.co.za?subject=Fresh%20listing%20|%20Sea%20view|%20Ready%20to%20move" TargetMode="External"/><Relationship Id="rId4" Type="http://schemas.openxmlformats.org/officeDocument/2006/relationships/hyperlink" Target="https://www.propertyfinder.ae/to/6281448/en?utm_source=transactional&amp;utm_medium=email&amp;utm_campaign=property%20lead_client" TargetMode="Externa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 Id="rId5" Type="http://schemas.openxmlformats.org/officeDocument/2006/relationships/hyperlink" Target="mailto:psupanya@gmail.com?subject=Sea%20%20Sunset%20View%20|%20Jacuzzi%20|%20Big%20Terrace" TargetMode="External"/><Relationship Id="rId6" Type="http://schemas.openxmlformats.org/officeDocument/2006/relationships/hyperlink" Target="https://www.propertyfinder.ae/to/6078961/en?utm_source=transactional&amp;utm_medium=email&amp;utm_campaign=property%20lead_client" TargetMode="External"/><Relationship Id="rId7" Type="http://schemas.openxmlformats.org/officeDocument/2006/relationships/hyperlink" Target="https://www.propertyfinder.ae/to/6168108/en?utm_source=transactional&amp;utm_medium=email&amp;utm_campaign=property%20lead_client"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milar.jayasena@gmail.com" TargetMode="External"/><Relationship Id="rId2" Type="http://schemas.openxmlformats.org/officeDocument/2006/relationships/hyperlink" Target="mailto:kamlinmoodley@gmail.com?subject=Ready%20to%20Move%20|%20Huge%202%20Bedroom%20with%20Full%20Race%20View" TargetMode="External"/><Relationship Id="rId3" Type="http://schemas.openxmlformats.org/officeDocument/2006/relationships/hyperlink" Target="mailto:madan.khichi@gmail.com?subject=Cheapest%20Studio%20|%20Zen%2020%20Discovery%20Garden" TargetMode="External"/><Relationship Id="rId4" Type="http://schemas.openxmlformats.org/officeDocument/2006/relationships/hyperlink" Target="mailto:madan.khichi@gmail.com?subject=Cheapest%20Studio%20|%20Zen%2020%20Discovery%20Garden"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silvia.vertigo@hotmail.com" TargetMode="External"/><Relationship Id="rId11" Type="http://schemas.openxmlformats.org/officeDocument/2006/relationships/hyperlink" Target="mailto:elliemaycoventry@yahoo.co.uk" TargetMode="External"/><Relationship Id="rId22" Type="http://schemas.openxmlformats.org/officeDocument/2006/relationships/hyperlink" Target="mailto:nikkydeesmall@yahoo.co.uk" TargetMode="External"/><Relationship Id="rId10" Type="http://schemas.openxmlformats.org/officeDocument/2006/relationships/hyperlink" Target="mailto:zelrese.jones@gmail.com" TargetMode="External"/><Relationship Id="rId21" Type="http://schemas.openxmlformats.org/officeDocument/2006/relationships/hyperlink" Target="https://mandrillapp.com/track/click/30124164/tnydu.biz?p=eyJzIjoiZEdRTTBqS1pSZmdNbVhmMGJ2eTZ1c1haeHNvIiwidiI6MSwicCI6IntcInVcIjozMDEyNDE2NCxcInZcIjoxLFwidXJsXCI6XCJodHRwczpcXFwvXFxcL3RueWR1LmJpelxcXC9EYW9NNm9cXFwvP2ludml0ZT1jbG0tZW1haWxfMzAwNzhcIixcImlkXCI6XCJjM2JhMGQ5ZDZmZWI0ZGJiYWMxNTk5NThmMjcyYjVhYVwiLFwidXJsX2lkc1wiOltcIjdhNzVlMzlkNDllNGRlN2Y1OGNjNDhiZWRlMDczMWJhYWI0ZGY1MjZcIl19In0" TargetMode="External"/><Relationship Id="rId13" Type="http://schemas.openxmlformats.org/officeDocument/2006/relationships/hyperlink" Target="mailto:Carly.joanne@hotmail.com?subject=Ready%20to%20Move|%20Huge%202BR%20|Full%20Race%20View" TargetMode="External"/><Relationship Id="rId12" Type="http://schemas.openxmlformats.org/officeDocument/2006/relationships/hyperlink" Target="mailto:marinasagradyan82@gmail.com" TargetMode="External"/><Relationship Id="rId23" Type="http://schemas.openxmlformats.org/officeDocument/2006/relationships/drawing" Target="../drawings/drawing5.xml"/><Relationship Id="rId1" Type="http://schemas.openxmlformats.org/officeDocument/2006/relationships/hyperlink" Target="mailto:zahraraja890@hotmail.co.uk" TargetMode="External"/><Relationship Id="rId2" Type="http://schemas.openxmlformats.org/officeDocument/2006/relationships/hyperlink" Target="mailto:tasneemhamza@gmail.com?subject=Exclusive%20Apartments%20Overlooking%20the%20Sea" TargetMode="External"/><Relationship Id="rId3" Type="http://schemas.openxmlformats.org/officeDocument/2006/relationships/hyperlink" Target="mailto:Benjamin.Hunter@LH1.London" TargetMode="External"/><Relationship Id="rId4" Type="http://schemas.openxmlformats.org/officeDocument/2006/relationships/hyperlink" Target="https://u2381044.ct.sendgrid.net/wf/click?upn=RSqsAU3LC1dUDDjjMdeEnZwePeF8Rl76rlSXUbUAA2XYYDWtQGRgaWhLpYDcZ0vd3RH2FDQ4bj2duflc5iH9FiQLKmTXnc3vDhHb2F2wYNwS-2BBj2ORfZIOdMKrnYTYuE_FiroU9WATfGGQpGIbRb8NvXtF0yIBdsFBD2XkAm26RXjvds7T6Rvmszbybp7qnP2SsoDPZdiuBe7OReYU2Mqv41v-2FdNYhz-2FHq8Zr4PU-2B-2FIjviIcwAMTI1L9dkZge62i5HymiXWz2fJWjxfUeEOfpRid4rkhsxsoOOUnah3OkkIsMEkwnhPmd78iloci-2F6n8P0dItKlYkTEYN-2BZvWmn1MaxKloiEpOnV7NxvJ1b0YkHE-3D" TargetMode="External"/><Relationship Id="rId9" Type="http://schemas.openxmlformats.org/officeDocument/2006/relationships/hyperlink" Target="mailto:jstshering@gmail.com" TargetMode="External"/><Relationship Id="rId15" Type="http://schemas.openxmlformats.org/officeDocument/2006/relationships/hyperlink" Target="mailto:HL@RIGHTMOVEMORTGAGES.AE?subject=Dont%20miss%20Out%20for%20the%20Few%20unit%20Available" TargetMode="External"/><Relationship Id="rId14" Type="http://schemas.openxmlformats.org/officeDocument/2006/relationships/hyperlink" Target="https://www.propertyfinder.ae/to/6300072/en" TargetMode="External"/><Relationship Id="rId25" Type="http://schemas.openxmlformats.org/officeDocument/2006/relationships/table" Target="../tables/table6.xml"/><Relationship Id="rId17" Type="http://schemas.openxmlformats.org/officeDocument/2006/relationships/hyperlink" Target="mailto:wasfi77@hotmail.com?subject=Call%20Now!Offering%205%20Unique%20Styles%20Villas" TargetMode="External"/><Relationship Id="rId16" Type="http://schemas.openxmlformats.org/officeDocument/2006/relationships/hyperlink" Target="https://www.propertyfinder.ae/to/6399466/en" TargetMode="External"/><Relationship Id="rId5" Type="http://schemas.openxmlformats.org/officeDocument/2006/relationships/hyperlink" Target="mailto:shireenzht@gmail.com" TargetMode="External"/><Relationship Id="rId19" Type="http://schemas.openxmlformats.org/officeDocument/2006/relationships/hyperlink" Target="mailto:mariawadiwala8@gmail.com" TargetMode="External"/><Relationship Id="rId6" Type="http://schemas.openxmlformats.org/officeDocument/2006/relationships/hyperlink" Target="mailto:soft_gull@hotmail.com" TargetMode="External"/><Relationship Id="rId18" Type="http://schemas.openxmlformats.org/officeDocument/2006/relationships/hyperlink" Target="mailto:holke.stefanie@gmail.com" TargetMode="External"/><Relationship Id="rId7" Type="http://schemas.openxmlformats.org/officeDocument/2006/relationships/hyperlink" Target="mailto:p.walicagajewska@gmail.com?subject=Spacious%201Bed%20rooms%20with%20Amazing%20Views!!" TargetMode="External"/><Relationship Id="rId8" Type="http://schemas.openxmlformats.org/officeDocument/2006/relationships/hyperlink" Target="https://www.propertyfinder.ae/to/6379124/e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mailto:zulqarnen@hotmail.fr" TargetMode="External"/><Relationship Id="rId20" Type="http://schemas.openxmlformats.org/officeDocument/2006/relationships/hyperlink" Target="mailto:aalgendi85@gmail.com" TargetMode="External"/><Relationship Id="rId42" Type="http://schemas.openxmlformats.org/officeDocument/2006/relationships/hyperlink" Target="mailto:tajarshia@yahoo.co.in?subject=Perfect%20Location%20to%20your%20Family|Dubai%20Hills" TargetMode="External"/><Relationship Id="rId41" Type="http://schemas.openxmlformats.org/officeDocument/2006/relationships/hyperlink" Target="https://mandrillapp.com/track/click/30124164/tnydu.biz?p=eyJzIjoiS2YwWnI1eEpFcVF2ODA0dTBwWGZHQUFybUtjIiwidiI6MSwicCI6IntcInVcIjozMDEyNDE2NCxcInZcIjoxLFwidXJsXCI6XCJodHRwczpcXFwvXFxcL3RueWR1LmJpelxcXC9EaG1xWHFcXFwvP2ludml0ZT1jbG0tZW1haWxfMzAwNzhcIixcImlkXCI6XCI5OTNmM2U3ZTYyMDM0NWJkYTRiMWI3MTA3N2RkODgyOFwiLFwidXJsX2lkc1wiOltcIjdhNzVlMzlkNDllNGRlN2Y1OGNjNDhiZWRlMDczMWJhYWI0ZGY1MjZcIl19In0" TargetMode="External"/><Relationship Id="rId22" Type="http://schemas.openxmlformats.org/officeDocument/2006/relationships/hyperlink" Target="https://www.justproperty.com/en/rent/dubai/apartments-for-rent-in-dubai-studio-city/glitz-3/" TargetMode="External"/><Relationship Id="rId21" Type="http://schemas.openxmlformats.org/officeDocument/2006/relationships/hyperlink" Target="mailto:khurramali.dxb@gmail.com" TargetMode="External"/><Relationship Id="rId43" Type="http://schemas.openxmlformats.org/officeDocument/2006/relationships/drawing" Target="../drawings/drawing7.xml"/><Relationship Id="rId24" Type="http://schemas.openxmlformats.org/officeDocument/2006/relationships/hyperlink" Target="mailto:alshanfari101010@gmail.com" TargetMode="External"/><Relationship Id="rId23" Type="http://schemas.openxmlformats.org/officeDocument/2006/relationships/hyperlink" Target="mailto:ghazifatih@hotmail.com" TargetMode="External"/><Relationship Id="rId45" Type="http://schemas.openxmlformats.org/officeDocument/2006/relationships/table" Target="../tables/table7.xml"/><Relationship Id="rId1" Type="http://schemas.openxmlformats.org/officeDocument/2006/relationships/hyperlink" Target="mailto:kimwells200@yahoo.com?subject=Free%20Chiller%20|%20Lake%20and%20Pool%20View%20|%202%20BR" TargetMode="External"/><Relationship Id="rId2" Type="http://schemas.openxmlformats.org/officeDocument/2006/relationships/hyperlink" Target="mailto:Mousa11b2@gmail.com" TargetMode="External"/><Relationship Id="rId3" Type="http://schemas.openxmlformats.org/officeDocument/2006/relationships/hyperlink" Target="mailto:miritareina@hotmail.com" TargetMode="External"/><Relationship Id="rId4" Type="http://schemas.openxmlformats.org/officeDocument/2006/relationships/hyperlink" Target="mailto:jamimota2011@outlook.com?subject=Well%20maintained%20|%20Fitted%20Kitchen%20|%20Vacant" TargetMode="External"/><Relationship Id="rId9" Type="http://schemas.openxmlformats.org/officeDocument/2006/relationships/hyperlink" Target="mailto:muffassa@gmail.com" TargetMode="External"/><Relationship Id="rId26" Type="http://schemas.openxmlformats.org/officeDocument/2006/relationships/hyperlink" Target="mailto:xenia.markovic@jumeirah.com?subject=Fresh%20listing%20|%20Sea%20view|%20Ready%20to%20move" TargetMode="External"/><Relationship Id="rId25" Type="http://schemas.openxmlformats.org/officeDocument/2006/relationships/hyperlink" Target="mailto:blesshgod@gmail.com?subject=Well%20Known%20Restaurant%20in%20Prime%20of%20Marina" TargetMode="External"/><Relationship Id="rId28" Type="http://schemas.openxmlformats.org/officeDocument/2006/relationships/hyperlink" Target="mailto:ludwigtimothy9@gmail.com?subject=Running%20Cafe%20in%20Jebel%20Ali%20Office%20Building" TargetMode="External"/><Relationship Id="rId27" Type="http://schemas.openxmlformats.org/officeDocument/2006/relationships/hyperlink" Target="mailto:arezoossk@hotmail.de" TargetMode="External"/><Relationship Id="rId5" Type="http://schemas.openxmlformats.org/officeDocument/2006/relationships/hyperlink" Target="mailto:Razi.islam1@gmail.com" TargetMode="External"/><Relationship Id="rId6" Type="http://schemas.openxmlformats.org/officeDocument/2006/relationships/hyperlink" Target="mailto:Cbounden@hotmail.co.uk?subject=Park%20View%20|Vacant%20|%20Perfect%20condition" TargetMode="External"/><Relationship Id="rId29" Type="http://schemas.openxmlformats.org/officeDocument/2006/relationships/hyperlink" Target="https://www.propertyfinder.ae/to/6195757/en?utm_source=transactional&amp;utm_medium=email&amp;utm_campaign=property%20lead_client" TargetMode="External"/><Relationship Id="rId7" Type="http://schemas.openxmlformats.org/officeDocument/2006/relationships/hyperlink" Target="mailto:alhafyan1@hotmail.com" TargetMode="External"/><Relationship Id="rId8" Type="http://schemas.openxmlformats.org/officeDocument/2006/relationships/hyperlink" Target="mailto:doris@5izmerenie.com.ua?subject=Huge%201%20Bedroom%20|%20Sea%20Views%20|%20Unfurnished" TargetMode="External"/><Relationship Id="rId31" Type="http://schemas.openxmlformats.org/officeDocument/2006/relationships/hyperlink" Target="mailto:leo_noor94@hotmail.com" TargetMode="External"/><Relationship Id="rId30" Type="http://schemas.openxmlformats.org/officeDocument/2006/relationships/hyperlink" Target="mailto:James8928@hotmail.com?subject=Short%20Term/Long%20Term%20|%20Address%20Dubai%20Mall" TargetMode="External"/><Relationship Id="rId11" Type="http://schemas.openxmlformats.org/officeDocument/2006/relationships/hyperlink" Target="mailto:saadnelly@gmail.com" TargetMode="External"/><Relationship Id="rId33" Type="http://schemas.openxmlformats.org/officeDocument/2006/relationships/hyperlink" Target="mailto:jay9424@gmail.com" TargetMode="External"/><Relationship Id="rId10" Type="http://schemas.openxmlformats.org/officeDocument/2006/relationships/hyperlink" Target="mailto:zabiella@hotmail.com?subject=Beach%20Access|%20Well%20maintained|%20Vacant" TargetMode="External"/><Relationship Id="rId32" Type="http://schemas.openxmlformats.org/officeDocument/2006/relationships/hyperlink" Target="mailto:marianguemes@hotmail.com?subject=Favorite%20Type|%20Beach%20Access|%20Well%20kept" TargetMode="External"/><Relationship Id="rId13" Type="http://schemas.openxmlformats.org/officeDocument/2006/relationships/hyperlink" Target="mailto:noufalhaqbani@gmail.com" TargetMode="External"/><Relationship Id="rId35" Type="http://schemas.openxmlformats.org/officeDocument/2006/relationships/hyperlink" Target="mailto:kent425@hotmail.com?subject=Short%20Term/Long%20Term%20|%20Address%20Dubai%20Mall" TargetMode="External"/><Relationship Id="rId12" Type="http://schemas.openxmlformats.org/officeDocument/2006/relationships/hyperlink" Target="mailto:Liamcheng@yahoo.com?subject=Ready%20to%20Move|%20Huge%204BR%20+%20Maids" TargetMode="External"/><Relationship Id="rId34" Type="http://schemas.openxmlformats.org/officeDocument/2006/relationships/hyperlink" Target="http://justproperty.com/en/buy/well-known-restaurant-in-prime-of-marina-2294574/" TargetMode="External"/><Relationship Id="rId15" Type="http://schemas.openxmlformats.org/officeDocument/2006/relationships/hyperlink" Target="mailto:kopyova@inbox.ru?subject=Amazing%20Full%20Golf%20Course%20View|%2001%20Series" TargetMode="External"/><Relationship Id="rId37" Type="http://schemas.openxmlformats.org/officeDocument/2006/relationships/hyperlink" Target="mailto:lianesantosp@gmail.com" TargetMode="External"/><Relationship Id="rId14" Type="http://schemas.openxmlformats.org/officeDocument/2006/relationships/hyperlink" Target="mailto:vtsakalo@its.jnj.com?subject=Marina%20View%202%20BR%20|%20Maid%20Room%20|%20Unfurnished" TargetMode="External"/><Relationship Id="rId36" Type="http://schemas.openxmlformats.org/officeDocument/2006/relationships/hyperlink" Target="https://www.propertyfinder.ae/to/6078973/en?utm_source=transactional&amp;utm_medium=email&amp;utm_campaign=property%20lead_client" TargetMode="External"/><Relationship Id="rId17" Type="http://schemas.openxmlformats.org/officeDocument/2006/relationships/hyperlink" Target="mailto:misyhelabalos@yahoo.com" TargetMode="External"/><Relationship Id="rId39" Type="http://schemas.openxmlformats.org/officeDocument/2006/relationships/hyperlink" Target="mailto:amine.mamlouk@gmail.com?subject=Best%20Price%20|%20JLT%20View%20|%20Large%202%20Bedroom" TargetMode="External"/><Relationship Id="rId16" Type="http://schemas.openxmlformats.org/officeDocument/2006/relationships/hyperlink" Target="mailto:maya_oro@hotmail.com?subject=Beach%20Access|%20Well%20maintained|%20Vacant" TargetMode="External"/><Relationship Id="rId38" Type="http://schemas.openxmlformats.org/officeDocument/2006/relationships/hyperlink" Target="mailto:maaztariq28@gmail.com?subject=Fullly%20Furnished%20Studio%20in%20Glitz%203%20Tower%201" TargetMode="External"/><Relationship Id="rId19" Type="http://schemas.openxmlformats.org/officeDocument/2006/relationships/hyperlink" Target="mailto:jayson_benson@zoho.com" TargetMode="External"/><Relationship Id="rId18" Type="http://schemas.openxmlformats.org/officeDocument/2006/relationships/hyperlink" Target="mailto:Alex@stmarksestates.com?subject=Gated%20Community%20|Fitted%20Kitchen%20|%20Villas"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mailto:tahirajafzal@gmail.com?subject=Best%20Price%20|%20JLT%20View%20|%20Large%202%20Bedroom" TargetMode="External"/><Relationship Id="rId84" Type="http://schemas.openxmlformats.org/officeDocument/2006/relationships/hyperlink" Target="mailto:mk@dandbdubai.com?subject=Gated%20Community%20|Fitted%20Kitchen%20|%20Villas" TargetMode="External"/><Relationship Id="rId83" Type="http://schemas.openxmlformats.org/officeDocument/2006/relationships/hyperlink" Target="mailto:patricia.lonsdorfer@gmail.com?subject=Immaculate%20view%20of%20the%20sea|%20High%20Floor." TargetMode="External"/><Relationship Id="rId42" Type="http://schemas.openxmlformats.org/officeDocument/2006/relationships/hyperlink" Target="mailto:legrismelissa@gmail.com" TargetMode="External"/><Relationship Id="rId41" Type="http://schemas.openxmlformats.org/officeDocument/2006/relationships/hyperlink" Target="mailto:legrismelissa@gmail.com" TargetMode="External"/><Relationship Id="rId85" Type="http://schemas.openxmlformats.org/officeDocument/2006/relationships/drawing" Target="../drawings/drawing8.xml"/><Relationship Id="rId44" Type="http://schemas.openxmlformats.org/officeDocument/2006/relationships/hyperlink" Target="mailto:Farahabed@hotmail.co.uk?subject=Fully%20Furnished%20Studio%20with%20Boulevard%20View" TargetMode="External"/><Relationship Id="rId43" Type="http://schemas.openxmlformats.org/officeDocument/2006/relationships/hyperlink" Target="mailto:adeenkhan111@gmail.com" TargetMode="External"/><Relationship Id="rId46" Type="http://schemas.openxmlformats.org/officeDocument/2006/relationships/hyperlink" Target="mailto:hassan.badwy@gmail.com" TargetMode="External"/><Relationship Id="rId45" Type="http://schemas.openxmlformats.org/officeDocument/2006/relationships/hyperlink" Target="mailto:lucy.wildman@yahoo.co.uk?subject=Vacant%202%20Beds%20with%20Full%20Golf%20Course%20view" TargetMode="External"/><Relationship Id="rId80" Type="http://schemas.openxmlformats.org/officeDocument/2006/relationships/hyperlink" Target="mailto:zhreish@gmail.com?subject=Running%20Fast%20food%20Burger%20Restaurant%20in%20Jumeirah%202" TargetMode="External"/><Relationship Id="rId82" Type="http://schemas.openxmlformats.org/officeDocument/2006/relationships/hyperlink" Target="mailto:chmayt@gmail.com" TargetMode="External"/><Relationship Id="rId81" Type="http://schemas.openxmlformats.org/officeDocument/2006/relationships/hyperlink" Target="https://www.propertyfinder.ae/to/6295095/en?utm_source=transactional&amp;utm_medium=email&amp;utm_campaign=property%20lead_client" TargetMode="External"/><Relationship Id="rId1" Type="http://schemas.openxmlformats.org/officeDocument/2006/relationships/hyperlink" Target="mailto:bonkercool@gmail.com" TargetMode="External"/><Relationship Id="rId2" Type="http://schemas.openxmlformats.org/officeDocument/2006/relationships/hyperlink" Target="mailto:xephyrs@live.com" TargetMode="External"/><Relationship Id="rId3" Type="http://schemas.openxmlformats.org/officeDocument/2006/relationships/hyperlink" Target="https://mandrillapp.com/track/click/30124164/tnydu.biz?p=eyJzIjoiS0FsaHpHTmR1Sk5aN2FKVUJrMjJ0c2pRQ3hJIiwidiI6MSwicCI6IntcInVcIjozMDEyNDE2NCxcInZcIjoxLFwidXJsXCI6XCJodHRwczpcXFwvXFxcL3RueWR1LmJpelxcXC9EaG1ueHc_dXRtX3NvdXJjZT1jb3JlJnV0bV9tZWRpdW09ZW1haWxfdHJhbnMmdXRtX2NhbXBhaWduPXRyYW5zX2NvcmUmdXRtX2NvbnRlbnQ9c2VsbGVyX2xlYWRfZW4jeHRvcj1FUFItMzM0W3RyYW5zX2NvcmVdLVtjb3JlXS0yMDE0MDEzMS1bc2VsbGVyX2xlYWRfZW5dLVtdXCIsXCJpZFwiOlwiODkyYjg5ZjZlNzg4NDMyNzg5Yzc1MzM2NzEwMDJlYmRcIixcInVybF9pZHNcIjpbXCI3YTc1ZTM5ZDQ5ZTRkZTdmNThjYzQ4YmVkZTA3MzFiYWFiNGRmNTI2XCJdfSJ9" TargetMode="External"/><Relationship Id="rId4" Type="http://schemas.openxmlformats.org/officeDocument/2006/relationships/hyperlink" Target="mailto:asraynaud@aol.com?subject=Huge%201%20Bedroom%20|%20Sea%20Views%20|%20Unfurnished" TargetMode="External"/><Relationship Id="rId9" Type="http://schemas.openxmlformats.org/officeDocument/2006/relationships/hyperlink" Target="mailto:the_pankaj@hotmail.com" TargetMode="External"/><Relationship Id="rId48" Type="http://schemas.openxmlformats.org/officeDocument/2006/relationships/hyperlink" Target="mailto:alun@horizonscanning.com?subject=Prestigious%20%201%20Bedroom%20in%20Tiara%20%20Sea%20view" TargetMode="External"/><Relationship Id="rId47" Type="http://schemas.openxmlformats.org/officeDocument/2006/relationships/hyperlink" Target="mailto:francis_02_08_1989@yahoo.com" TargetMode="External"/><Relationship Id="rId49" Type="http://schemas.openxmlformats.org/officeDocument/2006/relationships/hyperlink" Target="mailto:Bdamiri@hotmail.com?subject=Type%2004%20Full%20Burj%20Khalifa%20and%20Fountain%20View" TargetMode="External"/><Relationship Id="rId5" Type="http://schemas.openxmlformats.org/officeDocument/2006/relationships/hyperlink" Target="mailto:karamfila.toma@gmail.com" TargetMode="External"/><Relationship Id="rId6" Type="http://schemas.openxmlformats.org/officeDocument/2006/relationships/hyperlink" Target="mailto:pavancivil1@gmail.com" TargetMode="External"/><Relationship Id="rId7" Type="http://schemas.openxmlformats.org/officeDocument/2006/relationships/hyperlink" Target="mailto:DAVID@INNERSPACEME.COM?subject=Unfurnished%20|%20Sea%20view|%20Ready%20to%20move%20in" TargetMode="External"/><Relationship Id="rId8" Type="http://schemas.openxmlformats.org/officeDocument/2006/relationships/hyperlink" Target="mailto:lakshnaik266@gmail.com" TargetMode="External"/><Relationship Id="rId73" Type="http://schemas.openxmlformats.org/officeDocument/2006/relationships/hyperlink" Target="mailto:arizahmad@gmail.com?subject=Running%20Building%20Materials%20Trading%20Business" TargetMode="External"/><Relationship Id="rId72" Type="http://schemas.openxmlformats.org/officeDocument/2006/relationships/hyperlink" Target="mailto:elliottgwprescott@gmail.com" TargetMode="External"/><Relationship Id="rId31" Type="http://schemas.openxmlformats.org/officeDocument/2006/relationships/hyperlink" Target="mailto:iamjameswood79@gmail.com?subject=JVT,%20%20VACANT%20UNIT%20-%20GREAT%20PAYMENT%20PLAN!!" TargetMode="External"/><Relationship Id="rId75" Type="http://schemas.openxmlformats.org/officeDocument/2006/relationships/hyperlink" Target="mailto:nadim@enayarugs.com?subject=Brand%20New!%20Showroom's%20in%20Umm%20Suqeim%20Road" TargetMode="External"/><Relationship Id="rId30" Type="http://schemas.openxmlformats.org/officeDocument/2006/relationships/hyperlink" Target="mailto:ajrobinson@theblueground.com?subject=Free%20Chiller%20|%20Lake%20and%20Pool%20View%20|%202%20BR" TargetMode="External"/><Relationship Id="rId74" Type="http://schemas.openxmlformats.org/officeDocument/2006/relationships/hyperlink" Target="https://www.propertyfinder.ae/to/6085559/en?utm_source=transactional&amp;utm_medium=email&amp;utm_campaign=property%20lead_client" TargetMode="External"/><Relationship Id="rId33" Type="http://schemas.openxmlformats.org/officeDocument/2006/relationships/hyperlink" Target="mailto:Khamael1@outlook.com" TargetMode="External"/><Relationship Id="rId77" Type="http://schemas.openxmlformats.org/officeDocument/2006/relationships/hyperlink" Target="mailto:bws_uk@yahoo.com?subject=Park%20view%20|available%20now|%20The%20best%20type" TargetMode="External"/><Relationship Id="rId32" Type="http://schemas.openxmlformats.org/officeDocument/2006/relationships/hyperlink" Target="mailto:besher.eisa@outlook.com" TargetMode="External"/><Relationship Id="rId76" Type="http://schemas.openxmlformats.org/officeDocument/2006/relationships/hyperlink" Target="mailto:brendaskeith2@gmail.com?subject=Apartment%20for%20670,888%20AED%20Onwards%20|%20Collective" TargetMode="External"/><Relationship Id="rId35" Type="http://schemas.openxmlformats.org/officeDocument/2006/relationships/hyperlink" Target="mailto:atulsehra88@gmail.com" TargetMode="External"/><Relationship Id="rId79" Type="http://schemas.openxmlformats.org/officeDocument/2006/relationships/hyperlink" Target="mailto:alun@horizonscanning.com?subject=Prestigious%20%201%20Bedroom%20in%20Tiara%20%20Sea%20view" TargetMode="External"/><Relationship Id="rId34" Type="http://schemas.openxmlformats.org/officeDocument/2006/relationships/hyperlink" Target="mailto:reema.soboh@gmail.com?subject=Lowest%20price%20for%20Stand%20Alone%20Villa%20Sidra" TargetMode="External"/><Relationship Id="rId78" Type="http://schemas.openxmlformats.org/officeDocument/2006/relationships/hyperlink" Target="mailto:aburakan1017@hotmail.com?subject=Boulevard%20point%20connected%20to%20DUBAI%20MALL" TargetMode="External"/><Relationship Id="rId71" Type="http://schemas.openxmlformats.org/officeDocument/2006/relationships/hyperlink" Target="mailto:user.id2882@gmail.com" TargetMode="External"/><Relationship Id="rId70" Type="http://schemas.openxmlformats.org/officeDocument/2006/relationships/hyperlink" Target="mailto:ihmravi@yahoo.com" TargetMode="External"/><Relationship Id="rId37" Type="http://schemas.openxmlformats.org/officeDocument/2006/relationships/hyperlink" Target="mailto:karen.oliverdxb@hotmail.com?subject=Beautifully%20manicured%20golf%20course|2%20Beds" TargetMode="External"/><Relationship Id="rId36" Type="http://schemas.openxmlformats.org/officeDocument/2006/relationships/hyperlink" Target="mailto:atulsehra88@gmail.com" TargetMode="External"/><Relationship Id="rId39" Type="http://schemas.openxmlformats.org/officeDocument/2006/relationships/hyperlink" Target="mailto:doaalachine@gmail.com" TargetMode="External"/><Relationship Id="rId38" Type="http://schemas.openxmlformats.org/officeDocument/2006/relationships/hyperlink" Target="mailto:julia.weinlinger@hotmail.com?subject=Sea%20%20Sunset%20View%20|%20Jacuzzi%20|%20Big%20Terrace" TargetMode="External"/><Relationship Id="rId62" Type="http://schemas.openxmlformats.org/officeDocument/2006/relationships/hyperlink" Target="mailto:leslie.trejo@hotmail.com" TargetMode="External"/><Relationship Id="rId61" Type="http://schemas.openxmlformats.org/officeDocument/2006/relationships/hyperlink" Target="mailto:abdulla@humaidan.com?subject=Prestigious%20Studio%20with%20Panoramic%20View!!" TargetMode="External"/><Relationship Id="rId20" Type="http://schemas.openxmlformats.org/officeDocument/2006/relationships/hyperlink" Target="mailto:aniladevnani@gmail.com?subject=Cheapest%20Studio%20|%20Zen%2020%20Discovery%20Garden" TargetMode="External"/><Relationship Id="rId64" Type="http://schemas.openxmlformats.org/officeDocument/2006/relationships/hyperlink" Target="mailto:waseem.belushi@gmail.com" TargetMode="External"/><Relationship Id="rId63" Type="http://schemas.openxmlformats.org/officeDocument/2006/relationships/hyperlink" Target="mailto:leslie.trejo@hotmail.com" TargetMode="External"/><Relationship Id="rId22" Type="http://schemas.openxmlformats.org/officeDocument/2006/relationships/hyperlink" Target="mailto:meryhoo@gmail.com" TargetMode="External"/><Relationship Id="rId66" Type="http://schemas.openxmlformats.org/officeDocument/2006/relationships/hyperlink" Target="mailto:ahmedkarhout@gmail.com" TargetMode="External"/><Relationship Id="rId21" Type="http://schemas.openxmlformats.org/officeDocument/2006/relationships/hyperlink" Target="mailto:avneetkaur06896@gmail.com" TargetMode="External"/><Relationship Id="rId65" Type="http://schemas.openxmlformats.org/officeDocument/2006/relationships/hyperlink" Target="mailto:tejara-ksa@hotmail.com" TargetMode="External"/><Relationship Id="rId24" Type="http://schemas.openxmlformats.org/officeDocument/2006/relationships/hyperlink" Target="mailto:morisfelix70@gmail.com" TargetMode="External"/><Relationship Id="rId68" Type="http://schemas.openxmlformats.org/officeDocument/2006/relationships/hyperlink" Target="mailto:htahadifc@yahoo.com" TargetMode="External"/><Relationship Id="rId23" Type="http://schemas.openxmlformats.org/officeDocument/2006/relationships/hyperlink" Target="mailto:yelena@armsgroup.ae?subject=The%20Rarest%20and%20Unique%20full%20sea%20view" TargetMode="External"/><Relationship Id="rId67" Type="http://schemas.openxmlformats.org/officeDocument/2006/relationships/hyperlink" Target="https://mandrillapp.com/track/click/30124164/tnydu.biz?p=eyJzIjoiMkRXSlZaYXhfaW9CWldQNF95NHlnaE4yZ0ZvIiwidiI6MSwicCI6IntcInVcIjozMDEyNDE2NCxcInZcIjoxLFwidXJsXCI6XCJodHRwczpcXFwvXFxcL3RueWR1LmJpelxcXC9EaG1ueHZcXFwvP2ludml0ZT1jbG0tZW1haWxfMzAwNzhcIixcImlkXCI6XCJmMGUzZTQyOGI0ODU0ZjcyOTVkMzliZjBmNjA5MDFiN1wiLFwidXJsX2lkc1wiOltcIjdhNzVlMzlkNDllNGRlN2Y1OGNjNDhiZWRlMDczMWJhYWI0ZGY1MjZcIl19In0" TargetMode="External"/><Relationship Id="rId60" Type="http://schemas.openxmlformats.org/officeDocument/2006/relationships/hyperlink" Target="mailto:shaikden001@gmail.com" TargetMode="External"/><Relationship Id="rId26" Type="http://schemas.openxmlformats.org/officeDocument/2006/relationships/hyperlink" Target="mailto:amoonte@hotmail.com?subject=Ready%20to%20Move%20in%20Right%20Now%20|%20Barsha%20Villa" TargetMode="External"/><Relationship Id="rId25" Type="http://schemas.openxmlformats.org/officeDocument/2006/relationships/hyperlink" Target="mailto:antoniasarosi@gmail.com?subject=Short%20Term/Long%20Term%20|%20Address%20Dubai%20Mall" TargetMode="External"/><Relationship Id="rId69" Type="http://schemas.openxmlformats.org/officeDocument/2006/relationships/hyperlink" Target="mailto:kent425@hotmail.com?subject=Short%20Term/Long%20Term%20|%20Address%20Dubai%20Mall" TargetMode="External"/><Relationship Id="rId28" Type="http://schemas.openxmlformats.org/officeDocument/2006/relationships/hyperlink" Target="https://mandrillapp.com/track/click/30124164/tnydu.biz?p=eyJzIjoiSURzcEtqckwtT0FZMlU5NXpuWHMzb091RXVr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IwZTNmMWM4MzUyNDQwZTk0NjgxZjgwZjA5MDRmMWFcIixcInVybF9pZHNcIjpbXCI3YTc1ZTM5ZDQ5ZTRkZTdmNThjYzQ4YmVkZTA3MzFiYWFiNGRmNTI2XCJdfSJ9" TargetMode="External"/><Relationship Id="rId27" Type="http://schemas.openxmlformats.org/officeDocument/2006/relationships/hyperlink" Target="mailto:chefrakeshyadav@gmail.com" TargetMode="External"/><Relationship Id="rId29" Type="http://schemas.openxmlformats.org/officeDocument/2006/relationships/hyperlink" Target="mailto:gina@chicshoes.ae" TargetMode="External"/><Relationship Id="rId51" Type="http://schemas.openxmlformats.org/officeDocument/2006/relationships/hyperlink" Target="mailto:topaffaires@yahoo.fr" TargetMode="External"/><Relationship Id="rId50" Type="http://schemas.openxmlformats.org/officeDocument/2006/relationships/hyperlink" Target="mailto:dr.phinaa@yahoo.com" TargetMode="External"/><Relationship Id="rId53" Type="http://schemas.openxmlformats.org/officeDocument/2006/relationships/hyperlink" Target="mailto:a_sensation@hotmail.com" TargetMode="External"/><Relationship Id="rId52" Type="http://schemas.openxmlformats.org/officeDocument/2006/relationships/hyperlink" Target="https://mandrillapp.com/track/click/30124164/tnydu.biz?p=eyJzIjoiemdPQWlZTkhtNGFYRlFwMzVUOXBmbEw2MHlrIiwidiI6MSwicCI6IntcInVcIjozMDEyNDE2NCxcInZcIjoxLFwidXJsXCI6XCJodHRwczpcXFwvXFxcL3RueWR1LmJpelxcXC9EaG1ueHZcXFwvP2ludml0ZT1jbG0tZW1haWxfMzAwNzhcIixcImlkXCI6XCJkYmFlOTM4N2E1OGM0MzA2OGMwN2Y3ZmRlMmFmYjE5YlwiLFwidXJsX2lkc1wiOltcIjdhNzVlMzlkNDllNGRlN2Y1OGNjNDhiZWRlMDczMWJhYWI0ZGY1MjZcIl19In0" TargetMode="External"/><Relationship Id="rId11" Type="http://schemas.openxmlformats.org/officeDocument/2006/relationships/hyperlink" Target="mailto:rana.h.amer11@gmail.com?subject=Remraam%20Phase%202%20The%20lowest%20price%20Apartment" TargetMode="External"/><Relationship Id="rId55" Type="http://schemas.openxmlformats.org/officeDocument/2006/relationships/hyperlink" Target="mailto:rcckrafeeq@gmail.com" TargetMode="External"/><Relationship Id="rId10" Type="http://schemas.openxmlformats.org/officeDocument/2006/relationships/hyperlink" Target="mailto:jpegjunjun@gmail.com?subject=Short%20Term/Long%20Term%20|%20Address%20Dubai%20Mall" TargetMode="External"/><Relationship Id="rId54" Type="http://schemas.openxmlformats.org/officeDocument/2006/relationships/hyperlink" Target="https://mandrillapp.com/track/click/30124164/tnydu.biz?p=eyJzIjoiMXlqMTU5UUlSb2JwQnNLbmxsNV9oUmtPOW9FIiwidiI6MSwicCI6IntcInVcIjozMDEyNDE2NCxcInZcIjoxLFwidXJsXCI6XCJodHRwczpcXFwvXFxcL3RueWR1LmJpelxcXC9EaG1wWUNcXFwvP2ludml0ZT1jbG0tZW1haWxfMzAwNzhcIixcImlkXCI6XCIyNjczOWRjYjU5Y2Y0MjFkYjFiZTg3NjQyM2FkMTZiMlwiLFwidXJsX2lkc1wiOltcIjdhNzVlMzlkNDllNGRlN2Y1OGNjNDhiZWRlMDczMWJhYWI0ZGY1MjZcIl19In0" TargetMode="External"/><Relationship Id="rId13" Type="http://schemas.openxmlformats.org/officeDocument/2006/relationships/hyperlink" Target="mailto:fkafafi@yahoo.com" TargetMode="External"/><Relationship Id="rId57" Type="http://schemas.openxmlformats.org/officeDocument/2006/relationships/hyperlink" Target="mailto:rogerbarra@hotmail.com?subject=The%20most%20demanded%20layout,%20Vacant%20on%20June" TargetMode="External"/><Relationship Id="rId12" Type="http://schemas.openxmlformats.org/officeDocument/2006/relationships/hyperlink" Target="mailto:youmaria908@gmail.com" TargetMode="External"/><Relationship Id="rId56" Type="http://schemas.openxmlformats.org/officeDocument/2006/relationships/hyperlink" Target="https://mandrillapp.com/track/click/30124164/tnydu.biz?p=eyJzIjoiZ184RmxrbnR2VWdHTzhSekRYUEFFMGcyTUI0IiwidiI6MSwicCI6IntcInVcIjozMDEyNDE2NCxcInZcIjoxLFwidXJsXCI6XCJodHRwczpcXFwvXFxcL3RueWR1LmJpelxcXC9EY2VXc3FcXFwvP2ludml0ZT1jbG0tZW1haWxfMzAwNzhcIixcImlkXCI6XCI2ZGVkMTBhNTg1M2M0NDlhYTk4ZWZmMmNjMDM0YTg5MFwiLFwidXJsX2lkc1wiOltcIjdhNzVlMzlkNDllNGRlN2Y1OGNjNDhiZWRlMDczMWJhYWI0ZGY1MjZcIl19In0" TargetMode="External"/><Relationship Id="rId15" Type="http://schemas.openxmlformats.org/officeDocument/2006/relationships/hyperlink" Target="mailto:macyscom@yahoo.com?subject=Running%20Italian%20Restaurant%20In%20Deira%20Mall" TargetMode="External"/><Relationship Id="rId59" Type="http://schemas.openxmlformats.org/officeDocument/2006/relationships/hyperlink" Target="mailto:moemedia@gmail.com" TargetMode="External"/><Relationship Id="rId14" Type="http://schemas.openxmlformats.org/officeDocument/2006/relationships/hyperlink" Target="mailto:changjingjing@gmail.com?subject=Cheapest%20Studio%20|%20Zen%2020%20Discovery%20Garden" TargetMode="External"/><Relationship Id="rId58" Type="http://schemas.openxmlformats.org/officeDocument/2006/relationships/hyperlink" Target="mailto:sallypotterirwin@hotmail.co.uk" TargetMode="External"/><Relationship Id="rId17" Type="http://schemas.openxmlformats.org/officeDocument/2006/relationships/hyperlink" Target="mailto:vikesh.rana@gmail.com" TargetMode="External"/><Relationship Id="rId16" Type="http://schemas.openxmlformats.org/officeDocument/2006/relationships/hyperlink" Target="mailto:sissi2223@yahoo.com" TargetMode="External"/><Relationship Id="rId19" Type="http://schemas.openxmlformats.org/officeDocument/2006/relationships/hyperlink" Target="mailto:mallika.music@gmail.com?subject=Ready%20to%20Move%20in%20Right%20Now%20|%20Barsha%20Villa" TargetMode="External"/><Relationship Id="rId18" Type="http://schemas.openxmlformats.org/officeDocument/2006/relationships/hyperlink" Target="mailto:soyful106@hotmail.com?subject=Cheapest%202%20BR%20with%20Full%20Golf%20Course%20view"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mailto:altaf190957@yahoo.com?subject=Running%20Cafe%20in%20Jebel%20Ali%20Office%20Building" TargetMode="External"/><Relationship Id="rId42" Type="http://schemas.openxmlformats.org/officeDocument/2006/relationships/hyperlink" Target="mailto:ajrobinson@theblueground.com?subject=Well-maintained/Golf%20and%20Lake%20view" TargetMode="External"/><Relationship Id="rId41" Type="http://schemas.openxmlformats.org/officeDocument/2006/relationships/hyperlink" Target="https://www.propertyfinder.ae/to/6195757/en?utm_source=transactional&amp;utm_medium=email&amp;utm_campaign=property%20lead_client" TargetMode="External"/><Relationship Id="rId44" Type="http://schemas.openxmlformats.org/officeDocument/2006/relationships/hyperlink" Target="mailto:saalimabbad9@hotmail.com" TargetMode="External"/><Relationship Id="rId43" Type="http://schemas.openxmlformats.org/officeDocument/2006/relationships/hyperlink" Target="mailto:ydv_suru@yahoo.co.in" TargetMode="External"/><Relationship Id="rId46" Type="http://schemas.openxmlformats.org/officeDocument/2006/relationships/hyperlink" Target="mailto:mohammedshemeerkhan@gmail.com" TargetMode="External"/><Relationship Id="rId45" Type="http://schemas.openxmlformats.org/officeDocument/2006/relationships/hyperlink" Target="mailto:sagar@nmbretail.com?subject=Amazing%20Full%20Golf%20Course%20View|%2001%20Series" TargetMode="External"/><Relationship Id="rId1" Type="http://schemas.openxmlformats.org/officeDocument/2006/relationships/hyperlink" Target="mailto:Rony.al-asmar@hotmail.com?subject=Amazing%20Full%20Golf%20Course%20View|%2001%20Series" TargetMode="External"/><Relationship Id="rId2" Type="http://schemas.openxmlformats.org/officeDocument/2006/relationships/hyperlink" Target="mailto:ash.sardan@hotmail.com" TargetMode="External"/><Relationship Id="rId3" Type="http://schemas.openxmlformats.org/officeDocument/2006/relationships/hyperlink" Target="mailto:infinitydwc@gmail.com?subject=Sea%20%20Sunset%20View%20|%20Jacuzzi%20|%20Big%20Terrace" TargetMode="External"/><Relationship Id="rId4" Type="http://schemas.openxmlformats.org/officeDocument/2006/relationships/hyperlink" Target="mailto:ann.grace@progressoft.com?subject=Fitted%20Office%20for%20Rent%20in%20Palladium%20Tower" TargetMode="External"/><Relationship Id="rId9" Type="http://schemas.openxmlformats.org/officeDocument/2006/relationships/hyperlink" Target="mailto:topaffaires@yahoo.fr" TargetMode="External"/><Relationship Id="rId48" Type="http://schemas.openxmlformats.org/officeDocument/2006/relationships/hyperlink" Target="mailto:SIRAJMA@REDIFFMAIL.COM?subject=2%20BR%20only%20711%20AED%20per%20SQF%20at%20Dubai%20South" TargetMode="External"/><Relationship Id="rId47" Type="http://schemas.openxmlformats.org/officeDocument/2006/relationships/hyperlink" Target="mailto:vinodtotawat@yahoo.com?subject=Amazing%20Full%20Golf%20Course%20View|%2001%20Series" TargetMode="External"/><Relationship Id="rId49" Type="http://schemas.openxmlformats.org/officeDocument/2006/relationships/hyperlink" Target="mailto:salma888_@hotmail.com" TargetMode="External"/><Relationship Id="rId5" Type="http://schemas.openxmlformats.org/officeDocument/2006/relationships/hyperlink" Target="mailto:georgegodding@googlemail.com?subject=Ready%20to%20Move|%20Huge%202BR%20|Full%20Race%20View" TargetMode="External"/><Relationship Id="rId6" Type="http://schemas.openxmlformats.org/officeDocument/2006/relationships/hyperlink" Target="mailto:bansijat8911@gmail.com" TargetMode="External"/><Relationship Id="rId7" Type="http://schemas.openxmlformats.org/officeDocument/2006/relationships/hyperlink" Target="mailto:Orchard777@yahoo.co.uk?subject=The%20Best%20Type%20%20Full%20Marina%20view" TargetMode="External"/><Relationship Id="rId8" Type="http://schemas.openxmlformats.org/officeDocument/2006/relationships/hyperlink" Target="mailto:gauravimithbavkar@gmail.com" TargetMode="External"/><Relationship Id="rId73" Type="http://schemas.openxmlformats.org/officeDocument/2006/relationships/hyperlink" Target="mailto:Melanie.riddle@jumeirah.com" TargetMode="External"/><Relationship Id="rId72" Type="http://schemas.openxmlformats.org/officeDocument/2006/relationships/hyperlink" Target="mailto:cweb673@gmail.com?subject=Sea%20%20Sunset%20View%20|%20Jacuzzi%20|%20Big%20Terrace" TargetMode="External"/><Relationship Id="rId31" Type="http://schemas.openxmlformats.org/officeDocument/2006/relationships/hyperlink" Target="mailto:seda.jafar@gmail.com" TargetMode="External"/><Relationship Id="rId75" Type="http://schemas.openxmlformats.org/officeDocument/2006/relationships/hyperlink" Target="mailto:invest@investoneuk.com" TargetMode="External"/><Relationship Id="rId30" Type="http://schemas.openxmlformats.org/officeDocument/2006/relationships/hyperlink" Target="mailto:smiqbalh@gmail.com?subject=Fully%20Furnished%201%20Bedroom%20in%20Al%20Alka%201" TargetMode="External"/><Relationship Id="rId74" Type="http://schemas.openxmlformats.org/officeDocument/2006/relationships/hyperlink" Target="https://mandrillapp.com/track/click/30124164/tnydu.biz?p=eyJzIjoiUmlMMGoxeWt3Zk5penJtX1Q3dGYwTk5LVENVIiwidiI6MSwicCI6IntcInVcIjozMDEyNDE2NCxcInZcIjoxLFwidXJsXCI6XCJodHRwczpcXFwvXFxcL3RueWR1LmJpelxcXC9EaG11Ulo_dXRtX3NvdXJjZT1jb3JlJnV0bV9tZWRpdW09ZW1haWxfdHJhbnMmdXRtX2NhbXBhaWduPXRyYW5zX2NvcmUmdXRtX2NvbnRlbnQ9c2VsbGVyX2xlYWRfZW4jeHRvcj1FUFItMzM0W3RyYW5zX2NvcmVdLVtjb3JlXS0yMDE0MDEzMS1bc2VsbGVyX2xlYWRfZW5dLVtdXCIsXCJpZFwiOlwiNjEwYjExOGI0ZjM3NDJlYjlhOTE3MTBmMGQ4MjMyYjRcIixcInVybF9pZHNcIjpbXCI3YTc1ZTM5ZDQ5ZTRkZTdmNThjYzQ4YmVkZTA3MzFiYWFiNGRmNTI2XCJdfSJ9" TargetMode="External"/><Relationship Id="rId33" Type="http://schemas.openxmlformats.org/officeDocument/2006/relationships/hyperlink" Target="mailto:m.foudeh@hotmail.com" TargetMode="External"/><Relationship Id="rId77" Type="http://schemas.openxmlformats.org/officeDocument/2006/relationships/hyperlink" Target="mailto:Alrazzak@gbs.ae?subject=Restaurant%20and%20Bar%20in%20DIFC%20|%20Dont%20Miss%20Out" TargetMode="External"/><Relationship Id="rId32" Type="http://schemas.openxmlformats.org/officeDocument/2006/relationships/hyperlink" Target="mailto:sbayyaa@gmail.com" TargetMode="External"/><Relationship Id="rId76" Type="http://schemas.openxmlformats.org/officeDocument/2006/relationships/hyperlink" Target="mailto:sultanshk1@gmail.com" TargetMode="External"/><Relationship Id="rId35" Type="http://schemas.openxmlformats.org/officeDocument/2006/relationships/hyperlink" Target="https://www.propertyfinder.ae/to/6136830/en?utm_source=transactional&amp;utm_medium=email&amp;utm_campaign=property%20lead_client" TargetMode="External"/><Relationship Id="rId79" Type="http://schemas.openxmlformats.org/officeDocument/2006/relationships/drawing" Target="../drawings/drawing9.xml"/><Relationship Id="rId34" Type="http://schemas.openxmlformats.org/officeDocument/2006/relationships/hyperlink" Target="mailto:latheefpk2003@yahoo.co.in?subject=Ready%20Massage%20Therapy%20Clinic%20with%20DHA%20Licence" TargetMode="External"/><Relationship Id="rId78" Type="http://schemas.openxmlformats.org/officeDocument/2006/relationships/hyperlink" Target="mailto:philzamilgroups@gmail.com" TargetMode="External"/><Relationship Id="rId71" Type="http://schemas.openxmlformats.org/officeDocument/2006/relationships/hyperlink" Target="mailto:fouadkhairallah@outlook.com" TargetMode="External"/><Relationship Id="rId70" Type="http://schemas.openxmlformats.org/officeDocument/2006/relationships/hyperlink" Target="mailto:hayder_albayaa@yahoo.com" TargetMode="External"/><Relationship Id="rId37" Type="http://schemas.openxmlformats.org/officeDocument/2006/relationships/hyperlink" Target="mailto:peter@trinitygroup.eu" TargetMode="External"/><Relationship Id="rId36" Type="http://schemas.openxmlformats.org/officeDocument/2006/relationships/hyperlink" Target="mailto:smiqbalh@gmail.com?subject=Fully%20Furnished%201%20Bedroom%20in%20Al%20Alka%201" TargetMode="External"/><Relationship Id="rId39" Type="http://schemas.openxmlformats.org/officeDocument/2006/relationships/hyperlink" Target="mailto:tarekali77@gmail.com" TargetMode="External"/><Relationship Id="rId38" Type="http://schemas.openxmlformats.org/officeDocument/2006/relationships/hyperlink" Target="mailto:Tarhy.a@pg.com?subject=Beautiful%203%20BR%20Marina%20View%20|%20Marble%20Floor" TargetMode="External"/><Relationship Id="rId62" Type="http://schemas.openxmlformats.org/officeDocument/2006/relationships/hyperlink" Target="mailto:katelucraft_x@hotmail.co.uk" TargetMode="External"/><Relationship Id="rId61" Type="http://schemas.openxmlformats.org/officeDocument/2006/relationships/hyperlink" Target="mailto:fusim.dcc@fmail.com" TargetMode="External"/><Relationship Id="rId20" Type="http://schemas.openxmlformats.org/officeDocument/2006/relationships/hyperlink" Target="mailto:jyoti@rk-re.com" TargetMode="External"/><Relationship Id="rId64" Type="http://schemas.openxmlformats.org/officeDocument/2006/relationships/hyperlink" Target="mailto:alhashemi_1991@hotmail.com" TargetMode="External"/><Relationship Id="rId63" Type="http://schemas.openxmlformats.org/officeDocument/2006/relationships/hyperlink" Target="mailto:sumairb@gmail.com?subject=The%20Rarest%20and%20Unique%20full%20sea%20view" TargetMode="External"/><Relationship Id="rId22" Type="http://schemas.openxmlformats.org/officeDocument/2006/relationships/hyperlink" Target="mailto:juiekami@gmail.com" TargetMode="External"/><Relationship Id="rId66" Type="http://schemas.openxmlformats.org/officeDocument/2006/relationships/hyperlink" Target="mailto:jamesandrewdean@icloud.com" TargetMode="External"/><Relationship Id="rId21" Type="http://schemas.openxmlformats.org/officeDocument/2006/relationships/hyperlink" Target="mailto:Orchard777@yahoo.co.uk?subject=The%20Best%20Type%20%20Full%20Marina%20view" TargetMode="External"/><Relationship Id="rId65" Type="http://schemas.openxmlformats.org/officeDocument/2006/relationships/hyperlink" Target="mailto:sneharandive123@gmail.com" TargetMode="External"/><Relationship Id="rId24" Type="http://schemas.openxmlformats.org/officeDocument/2006/relationships/hyperlink" Target="mailto:Danielselde@live.dk?subject=Short%20Term/Long%20Term%20|%20Address%20Dubai%20Mall" TargetMode="External"/><Relationship Id="rId68" Type="http://schemas.openxmlformats.org/officeDocument/2006/relationships/hyperlink" Target="mailto:bu23saud@hotmail.com" TargetMode="External"/><Relationship Id="rId23" Type="http://schemas.openxmlformats.org/officeDocument/2006/relationships/hyperlink" Target="mailto:juiekami@gmail.com" TargetMode="External"/><Relationship Id="rId67" Type="http://schemas.openxmlformats.org/officeDocument/2006/relationships/hyperlink" Target="mailto:Parthas.space@gmail.com" TargetMode="External"/><Relationship Id="rId60" Type="http://schemas.openxmlformats.org/officeDocument/2006/relationships/hyperlink" Target="mailto:johnsonvergis@hotmail.com?subject=The%20Best%20Type%20%20Full%20Marina%20view" TargetMode="External"/><Relationship Id="rId26" Type="http://schemas.openxmlformats.org/officeDocument/2006/relationships/hyperlink" Target="mailto:navsin1@gmail.com" TargetMode="External"/><Relationship Id="rId25" Type="http://schemas.openxmlformats.org/officeDocument/2006/relationships/hyperlink" Target="mailto:alina.naeemb@hotmail.com" TargetMode="External"/><Relationship Id="rId69" Type="http://schemas.openxmlformats.org/officeDocument/2006/relationships/hyperlink" Target="mailto:janicebooth7@outlook.com?subject=Well%20Known%20Restaurant%20in%20Prime%20of%20Marina" TargetMode="External"/><Relationship Id="rId28" Type="http://schemas.openxmlformats.org/officeDocument/2006/relationships/hyperlink" Target="mailto:mariamjohnson38@gmail.com" TargetMode="External"/><Relationship Id="rId27" Type="http://schemas.openxmlformats.org/officeDocument/2006/relationships/hyperlink" Target="mailto:tip7860@gmail.com?subject=Philippino%20Restaurant%20for%20Sale%20in%20Sharjah" TargetMode="External"/><Relationship Id="rId29" Type="http://schemas.openxmlformats.org/officeDocument/2006/relationships/hyperlink" Target="mailto:mariamjohnson38@gmail.com" TargetMode="External"/><Relationship Id="rId51" Type="http://schemas.openxmlformats.org/officeDocument/2006/relationships/hyperlink" Target="mailto:Omartiba@gmail.com?subject=Huge%202%20Bedroom%20+%20Study%20in%20%20Executive%20Bay" TargetMode="External"/><Relationship Id="rId50" Type="http://schemas.openxmlformats.org/officeDocument/2006/relationships/hyperlink" Target="mailto:emreozaydin@yahoo.com?subject=Furnished%201%20Bedroom%20|%20Shams%201%20|%20Low%20Floor" TargetMode="External"/><Relationship Id="rId53" Type="http://schemas.openxmlformats.org/officeDocument/2006/relationships/hyperlink" Target="mailto:mohamed_nageeb2003@yahoo.com" TargetMode="External"/><Relationship Id="rId52" Type="http://schemas.openxmlformats.org/officeDocument/2006/relationships/hyperlink" Target="mailto:trussel043@gmail.com" TargetMode="External"/><Relationship Id="rId11" Type="http://schemas.openxmlformats.org/officeDocument/2006/relationships/hyperlink" Target="mailto:nandinioct19@gmail.com" TargetMode="External"/><Relationship Id="rId55" Type="http://schemas.openxmlformats.org/officeDocument/2006/relationships/hyperlink" Target="mailto:carlayildiz006@gmail.com" TargetMode="External"/><Relationship Id="rId10" Type="http://schemas.openxmlformats.org/officeDocument/2006/relationships/hyperlink" Target="https://mandrillapp.com/track/click/30124164/tnydu.biz?p=eyJzIjoiRGxpS2k4SHVVTzJJTTBfdHNGNFIyVnI2UlNV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DYzZTRmNDcwMGVjNDZhYzk4MTU0NzM2OGIxNTVlMjdcIixcInVybF9pZHNcIjpbXCI3YTc1ZTM5ZDQ5ZTRkZTdmNThjYzQ4YmVkZTA3MzFiYWFiNGRmNTI2XCJdfSJ9" TargetMode="External"/><Relationship Id="rId54" Type="http://schemas.openxmlformats.org/officeDocument/2006/relationships/hyperlink" Target="mailto:almas.zeeshan@beinex.com?subject=Fully%20fitted%20ready%20to%20move%20in" TargetMode="External"/><Relationship Id="rId13" Type="http://schemas.openxmlformats.org/officeDocument/2006/relationships/hyperlink" Target="mailto:rico44alex@gmail.com?subject=The%20Rarest%20and%20Unique%20full%20sea%20view" TargetMode="External"/><Relationship Id="rId57" Type="http://schemas.openxmlformats.org/officeDocument/2006/relationships/hyperlink" Target="mailto:siboniface@gmail.com?subject=Available%20on%20June%20Golf%20Course" TargetMode="External"/><Relationship Id="rId12" Type="http://schemas.openxmlformats.org/officeDocument/2006/relationships/hyperlink" Target="mailto:ydonchenko@gmail.com?subject=Sea%20%20Sunset%20View%20|%20Jacuzzi%20|%20Big%20Terrace" TargetMode="External"/><Relationship Id="rId56" Type="http://schemas.openxmlformats.org/officeDocument/2006/relationships/hyperlink" Target="mailto:manshasidrag@gmail.com?subject=2%20Bed%20|%20Burj/Fountain%20View%20|%20Large%20Unit" TargetMode="External"/><Relationship Id="rId15" Type="http://schemas.openxmlformats.org/officeDocument/2006/relationships/hyperlink" Target="mailto:daniel@lionsgazelles.com?subject=Resale%20|%20Lowest%20Priced%20Emaar%20in%20Downtown" TargetMode="External"/><Relationship Id="rId59" Type="http://schemas.openxmlformats.org/officeDocument/2006/relationships/hyperlink" Target="mailto:adham.elhadary@hotmail.com" TargetMode="External"/><Relationship Id="rId14" Type="http://schemas.openxmlformats.org/officeDocument/2006/relationships/hyperlink" Target="mailto:markfernando55@gmail.com" TargetMode="External"/><Relationship Id="rId58" Type="http://schemas.openxmlformats.org/officeDocument/2006/relationships/hyperlink" Target="mailto:husnashahid95@gmail.com" TargetMode="External"/><Relationship Id="rId17" Type="http://schemas.openxmlformats.org/officeDocument/2006/relationships/hyperlink" Target="mailto:Fahim.91@hotmail.com" TargetMode="External"/><Relationship Id="rId16" Type="http://schemas.openxmlformats.org/officeDocument/2006/relationships/hyperlink" Target="mailto:amaliagrochal@yahoo.com?subject=Prestigious%20Studio%20with%20Panoramic%20View!!" TargetMode="External"/><Relationship Id="rId19" Type="http://schemas.openxmlformats.org/officeDocument/2006/relationships/hyperlink" Target="mailto:aaa2972004@yahoo.com" TargetMode="External"/><Relationship Id="rId18" Type="http://schemas.openxmlformats.org/officeDocument/2006/relationships/hyperlink" Target="mailto:samaneh.barazandeh@yahoo.com?subject=Sea%20view|%20Ready%20to%20move%20in|%20Furnished"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mailto:diyaraisha80@yahoo.com" TargetMode="External"/><Relationship Id="rId42" Type="http://schemas.openxmlformats.org/officeDocument/2006/relationships/hyperlink" Target="mailto:shane.yk.shin@gmail.com?subject=Boulevard%20point%20connected%20to%20DUBAI%20MALL" TargetMode="External"/><Relationship Id="rId41" Type="http://schemas.openxmlformats.org/officeDocument/2006/relationships/hyperlink" Target="mailto:jayarecoy@yahoo.com?subject=Build%20Your%20Own%20Villa%20|%20Dubai%20Hills%20Estate" TargetMode="External"/><Relationship Id="rId44" Type="http://schemas.openxmlformats.org/officeDocument/2006/relationships/hyperlink" Target="mailto:Radi.mograbi11@gmail.com?subject=Cafe%20and%20Shisha%20Location%20Available%20in%20JLT" TargetMode="External"/><Relationship Id="rId43" Type="http://schemas.openxmlformats.org/officeDocument/2006/relationships/hyperlink" Target="mailto:aymansaadegypt@yahoo.com" TargetMode="External"/><Relationship Id="rId46" Type="http://schemas.openxmlformats.org/officeDocument/2006/relationships/hyperlink" Target="mailto:steedtaylor@gmail.com?subject=Immaculate%20condition|VOT|%20Upgraded" TargetMode="External"/><Relationship Id="rId45" Type="http://schemas.openxmlformats.org/officeDocument/2006/relationships/hyperlink" Target="mailto:khanlight86@gmail.com" TargetMode="External"/><Relationship Id="rId1" Type="http://schemas.openxmlformats.org/officeDocument/2006/relationships/hyperlink" Target="mailto:topaffaires@yahoo.fr" TargetMode="External"/><Relationship Id="rId2" Type="http://schemas.openxmlformats.org/officeDocument/2006/relationships/hyperlink" Target="https://mandrillapp.com/track/click/30124164/tnydu.biz?p=eyJzIjoiaGJOQk1ES0VEYzl4QVcwcGxYSW0wUlRySDN3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GNiOTI2NjIzNDVkNDYzZDk3YWM3YzA5YTk5OTc1NTRcIixcInVybF9pZHNcIjpbXCI3YTc1ZTM5ZDQ5ZTRkZTdmNThjYzQ4YmVkZTA3MzFiYWFiNGRmNTI2XCJdfSJ9" TargetMode="External"/><Relationship Id="rId3" Type="http://schemas.openxmlformats.org/officeDocument/2006/relationships/hyperlink" Target="mailto:saqib.malik@pantheonproperties.ae" TargetMode="External"/><Relationship Id="rId4" Type="http://schemas.openxmlformats.org/officeDocument/2006/relationships/hyperlink" Target="mailto:wady.chaabene@gmail.com?subject=The%20most%20demanded%20layout%20vacant" TargetMode="External"/><Relationship Id="rId9" Type="http://schemas.openxmlformats.org/officeDocument/2006/relationships/hyperlink" Target="https://mandrillapp.com/track/click/30124164/tnydu.biz?p=eyJzIjoiTTk0ekJkdWZ0Y1hkTHlwblBuUlBQSkJMdXRnIiwidiI6MSwicCI6IntcInVcIjozMDEyNDE2NCxcInZcIjoxLFwidXJsXCI6XCJodHRwczpcXFwvXFxcL3RueWR1LmJpelxcXC9EaG1xWHE_dXRtX3NvdXJjZT1jb3JlJnV0bV9tZWRpdW09ZW1haWxfdHJhbnMmdXRtX2NhbXBhaWduPXRyYW5zX2NvcmUmdXRtX2NvbnRlbnQ9c2VsbGVyX2xlYWRfZW4jeHRvcj1FUFItMzM0W3RyYW5zX2NvcmVdLVtjb3JlXS0yMDE0MDEzMS1bc2VsbGVyX2xlYWRfZW5dLVtdXCIsXCJpZFwiOlwiYzAwZGVjZDMzOWUxNDU3Mjk2MTg5NzliM2RiYjM4YjlcIixcInVybF9pZHNcIjpbXCI3YTc1ZTM5ZDQ5ZTRkZTdmNThjYzQ4YmVkZTA3MzFiYWFiNGRmNTI2XCJdfSJ9" TargetMode="External"/><Relationship Id="rId48" Type="http://schemas.openxmlformats.org/officeDocument/2006/relationships/hyperlink" Target="http://propertify.ae" TargetMode="External"/><Relationship Id="rId47" Type="http://schemas.openxmlformats.org/officeDocument/2006/relationships/hyperlink" Target="mailto:humamaljazaeri4@gmail.com" TargetMode="External"/><Relationship Id="rId49" Type="http://schemas.openxmlformats.org/officeDocument/2006/relationships/hyperlink" Target="mailto:claudiharrison@gmail.com" TargetMode="External"/><Relationship Id="rId5" Type="http://schemas.openxmlformats.org/officeDocument/2006/relationships/hyperlink" Target="mailto:admin@iconsworldwide.com?subject=Fast%20food%20Burger%20Restaurant%20in%20Jumeirah%202" TargetMode="External"/><Relationship Id="rId6" Type="http://schemas.openxmlformats.org/officeDocument/2006/relationships/hyperlink" Target="mailto:loughanib@hotmail.com" TargetMode="External"/><Relationship Id="rId7" Type="http://schemas.openxmlformats.org/officeDocument/2006/relationships/hyperlink" Target="mailto:elhamawiahmad@gmail.com?subject=Final%20Phase%20of%20SIDRA%20-%20Final%20Chance%20to%20Own" TargetMode="External"/><Relationship Id="rId8" Type="http://schemas.openxmlformats.org/officeDocument/2006/relationships/hyperlink" Target="mailto:vatsal2tennis@gmail.com" TargetMode="External"/><Relationship Id="rId73" Type="http://schemas.openxmlformats.org/officeDocument/2006/relationships/hyperlink" Target="mailto:mryoung@ecolab.com?subject=Fresh%20listing%20on%20the%20market%20,%20Vacant" TargetMode="External"/><Relationship Id="rId72" Type="http://schemas.openxmlformats.org/officeDocument/2006/relationships/hyperlink" Target="mailto:swatipuri93@gmail.com" TargetMode="External"/><Relationship Id="rId31" Type="http://schemas.openxmlformats.org/officeDocument/2006/relationships/hyperlink" Target="mailto:abuobeida@outlook.com?subject=Ready%20to%20Move|%20Huge%204BR%20+%20Maids" TargetMode="External"/><Relationship Id="rId30" Type="http://schemas.openxmlformats.org/officeDocument/2006/relationships/hyperlink" Target="mailto:shane.yk.shin@gmail.com?subject=Boulevard%20point%20connected%20to%20DUBAI%20MALL" TargetMode="External"/><Relationship Id="rId74" Type="http://schemas.openxmlformats.org/officeDocument/2006/relationships/drawing" Target="../drawings/drawing10.xml"/><Relationship Id="rId33" Type="http://schemas.openxmlformats.org/officeDocument/2006/relationships/hyperlink" Target="mailto:oluboyededamilola@gmail.com?subject=Cheapest%20Studio%20|%20Zen%2020%20Discovery%20Garden" TargetMode="External"/><Relationship Id="rId32" Type="http://schemas.openxmlformats.org/officeDocument/2006/relationships/hyperlink" Target="mailto:orzechelo@gmail.com?subject=Great%20Investment%20at%20Emaar%20Beach%20Front" TargetMode="External"/><Relationship Id="rId35" Type="http://schemas.openxmlformats.org/officeDocument/2006/relationships/hyperlink" Target="mailto:thauae@hotmail.com" TargetMode="External"/><Relationship Id="rId34" Type="http://schemas.openxmlformats.org/officeDocument/2006/relationships/hyperlink" Target="mailto:mohd.masood@eim.ae" TargetMode="External"/><Relationship Id="rId71" Type="http://schemas.openxmlformats.org/officeDocument/2006/relationships/hyperlink" Target="mailto:deep_dass@yahoo.com" TargetMode="External"/><Relationship Id="rId70" Type="http://schemas.openxmlformats.org/officeDocument/2006/relationships/hyperlink" Target="mailto:ajbtrivino@gmail.com?subject=Cheapest%20Studio%20|%20Zen%2020%20Discovery%20Garden" TargetMode="External"/><Relationship Id="rId37" Type="http://schemas.openxmlformats.org/officeDocument/2006/relationships/hyperlink" Target="mailto:a.sabharwal@cbemirates.ae?subject=Dont%20miss%20Out%20for%20the%20Few%20unit%20Available" TargetMode="External"/><Relationship Id="rId36" Type="http://schemas.openxmlformats.org/officeDocument/2006/relationships/hyperlink" Target="mailto:mazih@me.com" TargetMode="External"/><Relationship Id="rId39" Type="http://schemas.openxmlformats.org/officeDocument/2006/relationships/hyperlink" Target="https://www.propertyfinder.ae/to/6079013/en" TargetMode="External"/><Relationship Id="rId38" Type="http://schemas.openxmlformats.org/officeDocument/2006/relationships/hyperlink" Target="mailto:maaz@taktical.com?subject=South%20T1%202%20Bed%20Dubai%20Creek%20Harbour%20Residence" TargetMode="External"/><Relationship Id="rId62" Type="http://schemas.openxmlformats.org/officeDocument/2006/relationships/hyperlink" Target="mailto:sindymourot@hotmail.com" TargetMode="External"/><Relationship Id="rId61" Type="http://schemas.openxmlformats.org/officeDocument/2006/relationships/hyperlink" Target="mailto:asimk01@yahoo.com?subject=Immaculate%20condition|VOT|%20Upgraded" TargetMode="External"/><Relationship Id="rId20" Type="http://schemas.openxmlformats.org/officeDocument/2006/relationships/hyperlink" Target="mailto:dalflaiti@gmail.com" TargetMode="External"/><Relationship Id="rId64" Type="http://schemas.openxmlformats.org/officeDocument/2006/relationships/hyperlink" Target="mailto:Leen.3-3@hotmail.com?subject=Nice%20Beach%20Unit%20at%20Bahar%206%20|%20Unfurnished" TargetMode="External"/><Relationship Id="rId63" Type="http://schemas.openxmlformats.org/officeDocument/2006/relationships/hyperlink" Target="https://mandrillapp.com/track/click/30124164/tnydu.biz?p=eyJzIjoiOXZCdnNSdzUxcnlNdmxEdXBwN1VhRU9kTzBjIiwidiI6MSwicCI6IntcInVcIjozMDEyNDE2NCxcInZcIjoxLFwidXJsXCI6XCJodHRwczpcXFwvXFxcL3RueWR1LmJpelxcXC9EaG1vekM_dXRtX3NvdXJjZT1jb3JlJnV0bV9tZWRpdW09ZW1haWxfdHJhbnMmdXRtX2NhbXBhaWduPXRyYW5zX2NvcmUmdXRtX2NvbnRlbnQ9c2VsbGVyX2xlYWRfZW4jeHRvcj1FUFItMzM0W3RyYW5zX2NvcmVdLVtjb3JlXS0yMDE0MDEzMS1bc2VsbGVyX2xlYWRfZW5dLVtdXCIsXCJpZFwiOlwiZDU3ZjYwNWM2NWFkNDZhN2I0YjEzMjc4OGYwY2QwZGNcIixcInVybF9pZHNcIjpbXCI3YTc1ZTM5ZDQ5ZTRkZTdmNThjYzQ4YmVkZTA3MzFiYWFiNGRmNTI2XCJdfSJ9" TargetMode="External"/><Relationship Id="rId22" Type="http://schemas.openxmlformats.org/officeDocument/2006/relationships/hyperlink" Target="mailto:pravi.7426@gmail.com?subject=Teachers%20Housing%20Next%20to%20School%20|%204%20Chqs" TargetMode="External"/><Relationship Id="rId66" Type="http://schemas.openxmlformats.org/officeDocument/2006/relationships/hyperlink" Target="https://mandrillapp.com/track/click/30124164/tnydu.biz?p=eyJzIjoiN2NieTZraU5xTTM0UFVzU2h1XzlsdkJzZWtNIiwidiI6MSwicCI6IntcInVcIjozMDEyNDE2NCxcInZcIjoxLFwidXJsXCI6XCJodHRwczpcXFwvXFxcL3RueWR1LmJpelxcXC9EY2VXUHQ_dXRtX3NvdXJjZT1jb3JlJnV0bV9tZWRpdW09ZW1haWxfdHJhbnMmdXRtX2NhbXBhaWduPXRyYW5zX2NvcmUmdXRtX2NvbnRlbnQ9c2VsbGVyX2xlYWRfZW4jeHRvcj1FUFItMzM0W3RyYW5zX2NvcmVdLVtjb3JlXS0yMDE0MDEzMS1bc2VsbGVyX2xlYWRfZW5dLVtdXCIsXCJpZFwiOlwiMTdhNmU0MGRkMDgwNGFkNDkzZDU0OTJkYmMxN2NlYmFcIixcInVybF9pZHNcIjpbXCI3YTc1ZTM5ZDQ5ZTRkZTdmNThjYzQ4YmVkZTA3MzFiYWFiNGRmNTI2XCJdfSJ9" TargetMode="External"/><Relationship Id="rId21" Type="http://schemas.openxmlformats.org/officeDocument/2006/relationships/hyperlink" Target="mailto:mohammedshemeerkhan@gmail.com" TargetMode="External"/><Relationship Id="rId65" Type="http://schemas.openxmlformats.org/officeDocument/2006/relationships/hyperlink" Target="mailto:khan.zahidali94@gmail.com" TargetMode="External"/><Relationship Id="rId24" Type="http://schemas.openxmlformats.org/officeDocument/2006/relationships/hyperlink" Target="mailto:ann.vincent@galaxymobilephone.com?subject=Teachers%20Housing%20Next%20to%20School%20|%204%20Chqs" TargetMode="External"/><Relationship Id="rId68" Type="http://schemas.openxmlformats.org/officeDocument/2006/relationships/hyperlink" Target="mailto:superfastfox@hotmail.com?subject=Immaculate%20condition|VOT|%20Upgraded" TargetMode="External"/><Relationship Id="rId23" Type="http://schemas.openxmlformats.org/officeDocument/2006/relationships/hyperlink" Target="mailto:keo@yahoo.ie" TargetMode="External"/><Relationship Id="rId67" Type="http://schemas.openxmlformats.org/officeDocument/2006/relationships/hyperlink" Target="mailto:virgi_maamaribachi@hotmail.com?subject=Huge%202%20Bedroom%20+%20Study%20in%20%20Executive%20Bay" TargetMode="External"/><Relationship Id="rId60" Type="http://schemas.openxmlformats.org/officeDocument/2006/relationships/hyperlink" Target="https://mandrillapp.com/track/click/30124164/tnydu.biz?p=eyJzIjoiSDlwVjZaMUJXOEt2aXpRSlVLMnB0aVJnZU04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ZmU4MzkwYzNjMWY0NDM2ODkyMDNjZDA1ODViOGRmNGNcIixcInVybF9pZHNcIjpbXCI3YTc1ZTM5ZDQ5ZTRkZTdmNThjYzQ4YmVkZTA3MzFiYWFiNGRmNTI2XCJdfSJ9" TargetMode="External"/><Relationship Id="rId26" Type="http://schemas.openxmlformats.org/officeDocument/2006/relationships/hyperlink" Target="mailto:mo.1@live.com" TargetMode="External"/><Relationship Id="rId25" Type="http://schemas.openxmlformats.org/officeDocument/2006/relationships/hyperlink" Target="mailto:ks@gulfsothebysrealty.com?subject=Your%20own%20Villa%20Plot%20next%20to%20Golf%20Course%20and%20Lakes" TargetMode="External"/><Relationship Id="rId69" Type="http://schemas.openxmlformats.org/officeDocument/2006/relationships/hyperlink" Target="mailto:Ilma.gauhar@gmail.com" TargetMode="External"/><Relationship Id="rId28" Type="http://schemas.openxmlformats.org/officeDocument/2006/relationships/hyperlink" Target="mailto:regsamuel1@gmail.com?subject=Furnished%20|Immaculate%20condition|Vacant" TargetMode="External"/><Relationship Id="rId27" Type="http://schemas.openxmlformats.org/officeDocument/2006/relationships/hyperlink" Target="mailto:shane.yk.shin@gmail.com?subject=Resale%201%20Bedroom%20|%20Best%20Price%20|%20Blvd%20Point" TargetMode="External"/><Relationship Id="rId29" Type="http://schemas.openxmlformats.org/officeDocument/2006/relationships/hyperlink" Target="mailto:nazar.elwasila@gmail.com?subject=Ready%20to%20Move|%20Huge%204BR%20+%20Maids" TargetMode="External"/><Relationship Id="rId51" Type="http://schemas.openxmlformats.org/officeDocument/2006/relationships/hyperlink" Target="mailto:Rk5287725@gmail.com" TargetMode="External"/><Relationship Id="rId50" Type="http://schemas.openxmlformats.org/officeDocument/2006/relationships/hyperlink" Target="https://mandrillapp.com/track/click/30124164/tnydu.biz?p=eyJzIjoiakxrcnFWc2cwUldXVzVleXNQVlMwZHdnSkVZIiwidiI6MSwicCI6IntcInVcIjozMDEyNDE2NCxcInZcIjoxLFwidXJsXCI6XCJodHRwczpcXFwvXFxcL3RueWR1LmJpelxcXC9EYW56THg_dXRtX3NvdXJjZT1jb3JlJnV0bV9tZWRpdW09ZW1haWxfdHJhbnMmdXRtX2NhbXBhaWduPXRyYW5zX2NvcmUmdXRtX2NvbnRlbnQ9c2VsbGVyX2xlYWRfZW4jeHRvcj1FUFItMzM0W3RyYW5zX2NvcmVdLVtjb3JlXS0yMDE0MDEzMS1bc2VsbGVyX2xlYWRfZW5dLVtdXCIsXCJpZFwiOlwiNGJhZjBiZTE4NzFmNDI5OTg2YzBiNzJjYzYwYzJlYmNcIixcInVybF9pZHNcIjpbXCI3YTc1ZTM5ZDQ5ZTRkZTdmNThjYzQ4YmVkZTA3MzFiYWFiNGRmNTI2XCJdfSJ9" TargetMode="External"/><Relationship Id="rId53" Type="http://schemas.openxmlformats.org/officeDocument/2006/relationships/hyperlink" Target="https://mandrillapp.com/track/click/30124164/tnydu.biz?p=eyJzIjoid2tTMWFSME9xYjk4ZEFHY0pzWlZOczc1cTAwIiwidiI6MSwicCI6IntcInVcIjozMDEyNDE2NCxcInZcIjoxLFwidXJsXCI6XCJodHRwczpcXFwvXFxcL3RueWR1LmJpelxcXC9EaG1xWHI_dXRtX3NvdXJjZT1jb3JlJnV0bV9tZWRpdW09ZW1haWxfdHJhbnMmdXRtX2NhbXBhaWduPXRyYW5zX2NvcmUmdXRtX2NvbnRlbnQ9c2VsbGVyX2xlYWRfZW4jeHRvcj1FUFItMzM0W3RyYW5zX2NvcmVdLVtjb3JlXS0yMDE0MDEzMS1bc2VsbGVyX2xlYWRfZW5dLVtdXCIsXCJpZFwiOlwiNjZmYmZmMDE3NWU4NGNlMTkxNTE5YmY4YTEyMTJmMDRcIixcInVybF9pZHNcIjpbXCI3YTc1ZTM5ZDQ5ZTRkZTdmNThjYzQ4YmVkZTA3MzFiYWFiNGRmNTI2XCJdfSJ9" TargetMode="External"/><Relationship Id="rId52" Type="http://schemas.openxmlformats.org/officeDocument/2006/relationships/hyperlink" Target="mailto:ar.aljaberi@gmail.com" TargetMode="External"/><Relationship Id="rId11" Type="http://schemas.openxmlformats.org/officeDocument/2006/relationships/hyperlink" Target="mailto:m.alhashemi121@gmail.com?subject=Affordable%20Townhouses%20|%20Casa%20Viva%20at%20Serena" TargetMode="External"/><Relationship Id="rId55" Type="http://schemas.openxmlformats.org/officeDocument/2006/relationships/hyperlink" Target="mailto:abozeidt@hamptons.ae" TargetMode="External"/><Relationship Id="rId10" Type="http://schemas.openxmlformats.org/officeDocument/2006/relationships/hyperlink" Target="mailto:Faw.999@hotmail.com" TargetMode="External"/><Relationship Id="rId54" Type="http://schemas.openxmlformats.org/officeDocument/2006/relationships/hyperlink" Target="mailto:sajidkhan8080@gmail.com" TargetMode="External"/><Relationship Id="rId13" Type="http://schemas.openxmlformats.org/officeDocument/2006/relationships/hyperlink" Target="http://propertyfinder.test/to/6179464/en" TargetMode="External"/><Relationship Id="rId57" Type="http://schemas.openxmlformats.org/officeDocument/2006/relationships/hyperlink" Target="mailto:loay_101@hotmail.com?subject=Perfectly%20encapsulate%20modern%20urban%20living" TargetMode="External"/><Relationship Id="rId12" Type="http://schemas.openxmlformats.org/officeDocument/2006/relationships/hyperlink" Target="mailto:Jasonneiljoseph@hotmail.co.uk?subject=Well%20Known%20Restaurant%20in%20Prime%20of%20Marina" TargetMode="External"/><Relationship Id="rId56" Type="http://schemas.openxmlformats.org/officeDocument/2006/relationships/hyperlink" Target="mailto:superfastfox@hotmail.com?subject=Immaculate%20condition|VOT|%20Upgraded" TargetMode="External"/><Relationship Id="rId15" Type="http://schemas.openxmlformats.org/officeDocument/2006/relationships/hyperlink" Target="mailto:rhellabban@gmail.com?subject=Available%20on%20June%20Golf%20Course" TargetMode="External"/><Relationship Id="rId59" Type="http://schemas.openxmlformats.org/officeDocument/2006/relationships/hyperlink" Target="mailto:vincent0001@gmail.com" TargetMode="External"/><Relationship Id="rId14" Type="http://schemas.openxmlformats.org/officeDocument/2006/relationships/hyperlink" Target="mailto:halilkocak1@yahoo.com?subject=Fresh%20listing%20|Vacant%20|%20Marina%20View" TargetMode="External"/><Relationship Id="rId58" Type="http://schemas.openxmlformats.org/officeDocument/2006/relationships/hyperlink" Target="mailto:sudhirbotcha@yahoo.com?subject=Resale%203%20Bedrooms%20|%200%25%20Premium%20|%20R2-EE" TargetMode="External"/><Relationship Id="rId17" Type="http://schemas.openxmlformats.org/officeDocument/2006/relationships/hyperlink" Target="mailto:edward.aghbashian@gmail.com?subject=Prestigious%20Studio%20with%20Panoramic%20View!!" TargetMode="External"/><Relationship Id="rId16" Type="http://schemas.openxmlformats.org/officeDocument/2006/relationships/hyperlink" Target="http://propertyfinder.test/to/6160502/en" TargetMode="External"/><Relationship Id="rId19" Type="http://schemas.openxmlformats.org/officeDocument/2006/relationships/hyperlink" Target="mailto:Mandyhippe@icloud.com?subject=Only%20140k%20for%202%20BR%20|%20Jacuzzi%20|%20Big%20Terrace" TargetMode="External"/><Relationship Id="rId18" Type="http://schemas.openxmlformats.org/officeDocument/2006/relationships/hyperlink" Target="mailto:omarmostafamokhtar@gmail.com"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mailto:M7md.97law2016@gmail.com" TargetMode="External"/><Relationship Id="rId42" Type="http://schemas.openxmlformats.org/officeDocument/2006/relationships/hyperlink" Target="mailto:pris20.mackinnon@gmail.com" TargetMode="External"/><Relationship Id="rId41" Type="http://schemas.openxmlformats.org/officeDocument/2006/relationships/hyperlink" Target="mailto:godwinprivateefax@outlook.com" TargetMode="External"/><Relationship Id="rId44" Type="http://schemas.openxmlformats.org/officeDocument/2006/relationships/hyperlink" Target="https://www.propertyfinder.ae/to/6136830/en" TargetMode="External"/><Relationship Id="rId43" Type="http://schemas.openxmlformats.org/officeDocument/2006/relationships/hyperlink" Target="mailto:d.osholowu@gmail.com?subject=Ready%20Massage%20Therapy%20Clinic%20with%20DHA%20Licence" TargetMode="External"/><Relationship Id="rId46" Type="http://schemas.openxmlformats.org/officeDocument/2006/relationships/hyperlink" Target="mailto:naturesea011@gmail.com" TargetMode="External"/><Relationship Id="rId45" Type="http://schemas.openxmlformats.org/officeDocument/2006/relationships/hyperlink" Target="mailto:maxinemonte@live.co.uk" TargetMode="External"/><Relationship Id="rId1" Type="http://schemas.openxmlformats.org/officeDocument/2006/relationships/hyperlink" Target="https://www.propertyfinder.ae/to/6078909/en" TargetMode="External"/><Relationship Id="rId2" Type="http://schemas.openxmlformats.org/officeDocument/2006/relationships/hyperlink" Target="mailto:amitbatschanchal@gmail.com" TargetMode="External"/><Relationship Id="rId3" Type="http://schemas.openxmlformats.org/officeDocument/2006/relationships/hyperlink" Target="mailto:michele.moser@blackmoyo.com?subject=The%20lowest%20price%20for%201%20bed%20in%20Burj%20Vista" TargetMode="External"/><Relationship Id="rId4" Type="http://schemas.openxmlformats.org/officeDocument/2006/relationships/hyperlink" Target="mailto:sadagah@yahoo.com" TargetMode="External"/><Relationship Id="rId9" Type="http://schemas.openxmlformats.org/officeDocument/2006/relationships/hyperlink" Target="mailto:paulo.amado@mail.com" TargetMode="External"/><Relationship Id="rId48" Type="http://schemas.openxmlformats.org/officeDocument/2006/relationships/hyperlink" Target="mailto:mariamosmanova@yahoo.com?subject=Fresh%20listing%20on%20the%20market%20,%20VOT" TargetMode="External"/><Relationship Id="rId47" Type="http://schemas.openxmlformats.org/officeDocument/2006/relationships/hyperlink" Target="mailto:Zak@gmail.com?subject=1Bed%20South%20T1%20Creek%20Harbour%20Residence%20The%20Lagoon" TargetMode="External"/><Relationship Id="rId49" Type="http://schemas.openxmlformats.org/officeDocument/2006/relationships/hyperlink" Target="mailto:gnerodi@gmail.com" TargetMode="External"/><Relationship Id="rId5" Type="http://schemas.openxmlformats.org/officeDocument/2006/relationships/hyperlink" Target="mailto:shahid.apre@gmail.com?subject=Perfectly%20encapsulate%20modern%20urban%20living" TargetMode="External"/><Relationship Id="rId6" Type="http://schemas.openxmlformats.org/officeDocument/2006/relationships/hyperlink" Target="mailto:eethar2000@yahoo.com?subject=Best%20Deal%20for%20Safi%20Townhouse%20|%204%20bedroom" TargetMode="External"/><Relationship Id="rId7" Type="http://schemas.openxmlformats.org/officeDocument/2006/relationships/hyperlink" Target="mailto:info@magicbox.ae?subject=Running%20Indian%20Restaurant%20in%20Jumeirah%201" TargetMode="External"/><Relationship Id="rId8" Type="http://schemas.openxmlformats.org/officeDocument/2006/relationships/hyperlink" Target="https://www.propertyfinder.ae/to/6079031/en" TargetMode="External"/><Relationship Id="rId73" Type="http://schemas.openxmlformats.org/officeDocument/2006/relationships/drawing" Target="../drawings/drawing11.xml"/><Relationship Id="rId72" Type="http://schemas.openxmlformats.org/officeDocument/2006/relationships/hyperlink" Target="mailto:hemalatha1988mohan@gmail.com" TargetMode="External"/><Relationship Id="rId31" Type="http://schemas.openxmlformats.org/officeDocument/2006/relationships/hyperlink" Target="mailto:Shabeer313@gmail.com" TargetMode="External"/><Relationship Id="rId30" Type="http://schemas.openxmlformats.org/officeDocument/2006/relationships/hyperlink" Target="https://mandrillapp.com/track/click/30124164/tnydu.biz?p=eyJzIjoiOENfZWRpZkQ3Snktdl9XN0NzbnMwcXBET0c4IiwidiI6MSwicCI6IntcInVcIjozMDEyNDE2NCxcInZcIjoxLFwidXJsXCI6XCJodHRwczpcXFwvXFxcL3RueWR1LmJpelxcXC9EaG1ueHQ_dXRtX3NvdXJjZT1jb3JlJnV0bV9tZWRpdW09ZW1haWxfdHJhbnMmdXRtX2NhbXBhaWduPXRyYW5zX2NvcmUmdXRtX2NvbnRlbnQ9c2VsbGVyX2xlYWRfZW4jeHRvcj1FUFItMzM0W3RyYW5zX2NvcmVdLVtjb3JlXS0yMDE0MDEzMS1bc2VsbGVyX2xlYWRfZW5dLVtdXCIsXCJpZFwiOlwiMDhjOGNiNzViMjExNGJhMzgxMjExYmExMTI2ZjFiNjFcIixcInVybF9pZHNcIjpbXCI3YTc1ZTM5ZDQ5ZTRkZTdmNThjYzQ4YmVkZTA3MzFiYWFiNGRmNTI2XCJdfSJ9" TargetMode="External"/><Relationship Id="rId33" Type="http://schemas.openxmlformats.org/officeDocument/2006/relationships/hyperlink" Target="mailto:mohammedshemeerkhan@gmail.com" TargetMode="External"/><Relationship Id="rId32" Type="http://schemas.openxmlformats.org/officeDocument/2006/relationships/hyperlink" Target="https://mandrillapp.com/track/click/30124164/tnydu.biz?p=eyJzIjoiY0dlRVUtQm0xOTZFNjBuWnlTVzB4MjZ5RmJJIiwidiI6MSwicCI6IntcInVcIjozMDEyNDE2NCxcInZcIjoxLFwidXJsXCI6XCJodHRwczpcXFwvXFxcL3RueWR1LmJpelxcXC9EY2VXUko_dXRtX3NvdXJjZT1jb3JlJnV0bV9tZWRpdW09ZW1haWxfdHJhbnMmdXRtX2NhbXBhaWduPXRyYW5zX2NvcmUmdXRtX2NvbnRlbnQ9c2VsbGVyX2xlYWRfZW4jeHRvcj1FUFItMzM0W3RyYW5zX2NvcmVdLVtjb3JlXS0yMDE0MDEzMS1bc2VsbGVyX2xlYWRfZW5dLVtdXCIsXCJpZFwiOlwiMDY2NmFlMGI2N2FmNDE4NzkzODJhOGYyNWMyNmIxYTNcIixcInVybF9pZHNcIjpbXCI3YTc1ZTM5ZDQ5ZTRkZTdmNThjYzQ4YmVkZTA3MzFiYWFiNGRmNTI2XCJdfSJ9" TargetMode="External"/><Relationship Id="rId35" Type="http://schemas.openxmlformats.org/officeDocument/2006/relationships/hyperlink" Target="mailto:esszees@yahoo.com?subject=Brand%20New%20Showroom%20for%20Rent%20in%20Al%20Barsha%202nd" TargetMode="External"/><Relationship Id="rId34" Type="http://schemas.openxmlformats.org/officeDocument/2006/relationships/hyperlink" Target="mailto:martin64lm@gmail.com?subject=1%20Month%20Free%20Rent%20|%20Jacuzzi%20|%20Big%20Terrace" TargetMode="External"/><Relationship Id="rId71" Type="http://schemas.openxmlformats.org/officeDocument/2006/relationships/hyperlink" Target="mailto:vern600r@hotmail.com?subject=The%20Best%20Type%20%20Full%20Marina%20view" TargetMode="External"/><Relationship Id="rId70" Type="http://schemas.openxmlformats.org/officeDocument/2006/relationships/hyperlink" Target="mailto:subho.m@gmail.com?subject=Remraam%20Phase%202%20The%20lowest%20price%20Apartment" TargetMode="External"/><Relationship Id="rId37" Type="http://schemas.openxmlformats.org/officeDocument/2006/relationships/hyperlink" Target="mailto:abdulhalim@saplingdxb.com" TargetMode="External"/><Relationship Id="rId36" Type="http://schemas.openxmlformats.org/officeDocument/2006/relationships/hyperlink" Target="mailto:stefan.h@suninmotion.com?subject=Brand%20New!%20Showroom's%20in%20Umm%20Suqeim%20Road" TargetMode="External"/><Relationship Id="rId39" Type="http://schemas.openxmlformats.org/officeDocument/2006/relationships/hyperlink" Target="https://mandrillapp.com/track/click/30124164/tnydu.biz?p=eyJzIjoib0dxODhDWWlJSlJ3MW0xZ2w5alhtd0pzTEJrIiwidiI6MSwicCI6IntcInVcIjozMDEyNDE2NCxcInZcIjoxLFwidXJsXCI6XCJodHRwczpcXFwvXFxcL3RueWR1LmJpelxcXC9EaG1wMm4_dXRtX3NvdXJjZT1jb3JlJnV0bV9tZWRpdW09ZW1haWxfdHJhbnMmdXRtX2NhbXBhaWduPXRyYW5zX2NvcmUmdXRtX2NvbnRlbnQ9c2VsbGVyX2xlYWRfZW4jeHRvcj1FUFItMzM0W3RyYW5zX2NvcmVdLVtjb3JlXS0yMDE0MDEzMS1bc2VsbGVyX2xlYWRfZW5dLVtdXCIsXCJpZFwiOlwiM2U1OTE0ZjQ4N2NiNGQxYjkwZWMyMTI1YWY5MTY5NGJcIixcInVybF9pZHNcIjpbXCI3YTc1ZTM5ZDQ5ZTRkZTdmNThjYzQ4YmVkZTA3MzFiYWFiNGRmNTI2XCJdfSJ9" TargetMode="External"/><Relationship Id="rId38" Type="http://schemas.openxmlformats.org/officeDocument/2006/relationships/hyperlink" Target="mailto:piyush@hoteljiva.com" TargetMode="External"/><Relationship Id="rId62" Type="http://schemas.openxmlformats.org/officeDocument/2006/relationships/hyperlink" Target="mailto:cloyd_real@yahoo.com?subject=Cheapest%20Studio%20|%20Zen%2020%20Discovery%20Garden" TargetMode="External"/><Relationship Id="rId61" Type="http://schemas.openxmlformats.org/officeDocument/2006/relationships/hyperlink" Target="mailto:rhellabban@gmail.com?subject=Available%20on%20June%20Golf%20Course" TargetMode="External"/><Relationship Id="rId20" Type="http://schemas.openxmlformats.org/officeDocument/2006/relationships/hyperlink" Target="mailto:ana.shelest.90@mail.ru?subject=Fresh%20listing%20on%20the%20market%20,%20VOT" TargetMode="External"/><Relationship Id="rId64" Type="http://schemas.openxmlformats.org/officeDocument/2006/relationships/hyperlink" Target="mailto:vishalarora86@gmail.com" TargetMode="External"/><Relationship Id="rId63" Type="http://schemas.openxmlformats.org/officeDocument/2006/relationships/hyperlink" Target="mailto:Hayleyj3@hotmail.com?subject=Ready%20to%20Move|%20Huge%202BR%20|Full%20Race%20View" TargetMode="External"/><Relationship Id="rId22" Type="http://schemas.openxmlformats.org/officeDocument/2006/relationships/hyperlink" Target="https://mandrillapp.com/track/click/30124164/tnydu.biz?p=eyJzIjoicE5UbnRMWkJrWExpbjJ0X2w1Y1J2SGVCN1VBIiwidiI6MSwicCI6IntcInVcIjozMDEyNDE2NCxcInZcIjoxLFwidXJsXCI6XCJodHRwczpcXFwvXFxcL3RueWR1LmJpelxcXC9EY2VXRTk_dXRtX3NvdXJjZT1jb3JlJnV0bV9tZWRpdW09ZW1haWxfdHJhbnMmdXRtX2NhbXBhaWduPXRyYW5zX2NvcmUmdXRtX2NvbnRlbnQ9c2VsbGVyX2xlYWRfZW4jeHRvcj1FUFItMzM0W3RyYW5zX2NvcmVdLVtjb3JlXS0yMDE0MDEzMS1bc2VsbGVyX2xlYWRfZW5dLVtdXCIsXCJpZFwiOlwiMTQzYzAzNDZmNTc0NGI4NThlZjNiMGM1NTAwYmZhNjhcIixcInVybF9pZHNcIjpbXCI3YTc1ZTM5ZDQ5ZTRkZTdmNThjYzQ4YmVkZTA3MzFiYWFiNGRmNTI2XCJdfSJ9" TargetMode="External"/><Relationship Id="rId66" Type="http://schemas.openxmlformats.org/officeDocument/2006/relationships/hyperlink" Target="mailto:mohammedazhar@outlook.com?subject=Resale%201%20Bed%20|%20Marina%20View%20|%20No%20Premium" TargetMode="External"/><Relationship Id="rId21" Type="http://schemas.openxmlformats.org/officeDocument/2006/relationships/hyperlink" Target="mailto:marafahamidouyaya6@gmail.com" TargetMode="External"/><Relationship Id="rId65" Type="http://schemas.openxmlformats.org/officeDocument/2006/relationships/hyperlink" Target="mailto:muchoki787@gmail.com" TargetMode="External"/><Relationship Id="rId24" Type="http://schemas.openxmlformats.org/officeDocument/2006/relationships/hyperlink" Target="mailto:naomi.01@hotmail.co.uk?subject=Stunning%20sea%20view%20apartment%20/%20Vacant." TargetMode="External"/><Relationship Id="rId68" Type="http://schemas.openxmlformats.org/officeDocument/2006/relationships/hyperlink" Target="mailto:kakad.sushil@gmail.com" TargetMode="External"/><Relationship Id="rId23" Type="http://schemas.openxmlformats.org/officeDocument/2006/relationships/hyperlink" Target="mailto:Hayan348@hotmail.com?subject=New%20home%20facing%20Burj%20Khalifa%20and%20the%20Fountain" TargetMode="External"/><Relationship Id="rId67" Type="http://schemas.openxmlformats.org/officeDocument/2006/relationships/hyperlink" Target="mailto:mloonen@yahoo.com?subject=Only%20140k%20for%202%20BR%20|%20Jacuzzi%20|%20Big%20Terrace" TargetMode="External"/><Relationship Id="rId60" Type="http://schemas.openxmlformats.org/officeDocument/2006/relationships/hyperlink" Target="mailto:r.asamizu@one-group.jp" TargetMode="External"/><Relationship Id="rId26" Type="http://schemas.openxmlformats.org/officeDocument/2006/relationships/hyperlink" Target="https://www.propertyfinder.ae/to/6078911/en" TargetMode="External"/><Relationship Id="rId25" Type="http://schemas.openxmlformats.org/officeDocument/2006/relationships/hyperlink" Target="mailto:deepakjairupani@gmail.com?subject=Ready%20retail%20corner%20shop%20for%20sale%20in%20DIFC" TargetMode="External"/><Relationship Id="rId69" Type="http://schemas.openxmlformats.org/officeDocument/2006/relationships/hyperlink" Target="https://mandrillapp.com/track/click/30124164/tnydu.biz?p=eyJzIjoiVHlCVW5oajBJYWFUcG5wbmViTGpMSFhqMmNj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JmN2FhY2QxOGEzNDE0Y2FjZDFiMGE5MTA2NDYwNThcIixcInVybF9pZHNcIjpbXCI3YTc1ZTM5ZDQ5ZTRkZTdmNThjYzQ4YmVkZTA3MzFiYWFiNGRmNTI2XCJdfSJ9" TargetMode="External"/><Relationship Id="rId28" Type="http://schemas.openxmlformats.org/officeDocument/2006/relationships/hyperlink" Target="https://mandrillapp.com/track/click/30124164/tnydu.biz?p=eyJzIjoiazZXcGNHRjZZU1U4ODZOc19qWWJibG1pelhZ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NjlmNzg0NTczMGZkNDE5MDllZTBmNGU2ZGUyNzE1YzJcIixcInVybF9pZHNcIjpbXCI3YTc1ZTM5ZDQ5ZTRkZTdmNThjYzQ4YmVkZTA3MzFiYWFiNGRmNTI2XCJdfSJ9" TargetMode="External"/><Relationship Id="rId27" Type="http://schemas.openxmlformats.org/officeDocument/2006/relationships/hyperlink" Target="mailto:dazzlingmohitgupta@gmail.com" TargetMode="External"/><Relationship Id="rId29" Type="http://schemas.openxmlformats.org/officeDocument/2006/relationships/hyperlink" Target="mailto:salmanfmalik8@gmail.com" TargetMode="External"/><Relationship Id="rId51" Type="http://schemas.openxmlformats.org/officeDocument/2006/relationships/hyperlink" Target="mailto:yaritsina@mail.ru?subject=The%20most%20demanded%20layout%20vacant" TargetMode="External"/><Relationship Id="rId50" Type="http://schemas.openxmlformats.org/officeDocument/2006/relationships/hyperlink" Target="mailto:Halilkocak1@yahoo.com?subject=Best%20View%20in%20Marina|Vacant%20on%20Transfer" TargetMode="External"/><Relationship Id="rId53" Type="http://schemas.openxmlformats.org/officeDocument/2006/relationships/hyperlink" Target="mailto:mka5778@yahoo.co.uk?subject=Only%20140k%20for%202%20BR%20|%20Jacuzzi%20|%20Big%20Terrace" TargetMode="External"/><Relationship Id="rId52" Type="http://schemas.openxmlformats.org/officeDocument/2006/relationships/hyperlink" Target="mailto:ahmedgold@gmail.com" TargetMode="External"/><Relationship Id="rId11" Type="http://schemas.openxmlformats.org/officeDocument/2006/relationships/hyperlink" Target="mailto:mayank@mailme.ae?subject=Amazing%20Full%20Golf%20Course%20View|%2001%20Series" TargetMode="External"/><Relationship Id="rId55" Type="http://schemas.openxmlformats.org/officeDocument/2006/relationships/hyperlink" Target="mailto:Kjain@gmail.com?subject=Cheapest%201%20Bedroom%2006%20Series%20|The%20Hills%20A1" TargetMode="External"/><Relationship Id="rId10" Type="http://schemas.openxmlformats.org/officeDocument/2006/relationships/hyperlink" Target="mailto:gumeet@gmail.com" TargetMode="External"/><Relationship Id="rId54" Type="http://schemas.openxmlformats.org/officeDocument/2006/relationships/hyperlink" Target="mailto:gnerodi@gmail.com" TargetMode="External"/><Relationship Id="rId13" Type="http://schemas.openxmlformats.org/officeDocument/2006/relationships/hyperlink" Target="mailto:naguhriday14@gmail.com" TargetMode="External"/><Relationship Id="rId57" Type="http://schemas.openxmlformats.org/officeDocument/2006/relationships/hyperlink" Target="mailto:topaffaires@yahoo.fr" TargetMode="External"/><Relationship Id="rId12" Type="http://schemas.openxmlformats.org/officeDocument/2006/relationships/hyperlink" Target="mailto:rosaly.tubilla@grapho-line.com" TargetMode="External"/><Relationship Id="rId56" Type="http://schemas.openxmlformats.org/officeDocument/2006/relationships/hyperlink" Target="mailto:Kurensco@gmail.com" TargetMode="External"/><Relationship Id="rId15" Type="http://schemas.openxmlformats.org/officeDocument/2006/relationships/hyperlink" Target="mailto:aigul@harbordubai.com?subject=Amazing%20Investor%20Deal|Maple%201%20Dubai%20Hills" TargetMode="External"/><Relationship Id="rId59" Type="http://schemas.openxmlformats.org/officeDocument/2006/relationships/hyperlink" Target="mailto:zoon2003aa@gmail.com" TargetMode="External"/><Relationship Id="rId14" Type="http://schemas.openxmlformats.org/officeDocument/2006/relationships/hyperlink" Target="mailto:mehdi.alaouiismaili9@gmail.com?subject=Brand%20New!%20Showroom's%20in%20Umm%20Suqeim%20Road" TargetMode="External"/><Relationship Id="rId58" Type="http://schemas.openxmlformats.org/officeDocument/2006/relationships/hyperlink" Target="https://mandrillapp.com/track/click/30124164/tnydu.biz?p=eyJzIjoiUHBlWWZwYzh0MEdUMWE3WHRkWExRNkJKSzI0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DY5YmNjYjc0ZDk5NGZkZjgzYmE2MzcxOWQxNjEzMWRcIixcInVybF9pZHNcIjpbXCI3YTc1ZTM5ZDQ5ZTRkZTdmNThjYzQ4YmVkZTA3MzFiYWFiNGRmNTI2XCJdfSJ9" TargetMode="External"/><Relationship Id="rId17" Type="http://schemas.openxmlformats.org/officeDocument/2006/relationships/hyperlink" Target="mailto:msshaikh@gmail.com?subject=Resale%201%20Bed%20|%20Marina%20View%20|%20No%20Premium" TargetMode="External"/><Relationship Id="rId16" Type="http://schemas.openxmlformats.org/officeDocument/2006/relationships/hyperlink" Target="mailto:ana.shelest.90@mail.ru?subject=Fresh%20listing%20on%20the%20market%20,%20Vacant" TargetMode="External"/><Relationship Id="rId19" Type="http://schemas.openxmlformats.org/officeDocument/2006/relationships/hyperlink" Target="mailto:Sarithaviji@gmail.com" TargetMode="External"/><Relationship Id="rId18" Type="http://schemas.openxmlformats.org/officeDocument/2006/relationships/hyperlink" Target="mailto:Esishkjau@gmail.com"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mailto:Jays.sunkari@yahoo.com?subject=Perfect%20Location%20to%20your%20Family|Dubai%20Hills" TargetMode="External"/><Relationship Id="rId42" Type="http://schemas.openxmlformats.org/officeDocument/2006/relationships/hyperlink" Target="mailto:tomas.dolezal@eliteroyalapartments.com?subject=3%20Bedroom%20&amp;%20Maid%20with%20Water%20&amp;%20Burj%20View" TargetMode="External"/><Relationship Id="rId41" Type="http://schemas.openxmlformats.org/officeDocument/2006/relationships/hyperlink" Target="mailto:selenastela@mail.ru" TargetMode="External"/><Relationship Id="rId44" Type="http://schemas.openxmlformats.org/officeDocument/2006/relationships/hyperlink" Target="mailto:mayank@mailme.ae?subject=Amazing%20Full%20Golf%20Course%20View|%2001%20Series" TargetMode="External"/><Relationship Id="rId43" Type="http://schemas.openxmlformats.org/officeDocument/2006/relationships/hyperlink" Target="mailto:Jaskingston50@gmail.com" TargetMode="External"/><Relationship Id="rId46" Type="http://schemas.openxmlformats.org/officeDocument/2006/relationships/hyperlink" Target="mailto:davidfcarraro@gmail.com" TargetMode="External"/><Relationship Id="rId45" Type="http://schemas.openxmlformats.org/officeDocument/2006/relationships/hyperlink" Target="mailto:elham7366@gmail.com" TargetMode="External"/><Relationship Id="rId1" Type="http://schemas.openxmlformats.org/officeDocument/2006/relationships/hyperlink" Target="mailto:Ghida.adra@gmail.com?subject=Upgraded%20and%20Fully%20Furnished%20|%201%20Bedroom" TargetMode="External"/><Relationship Id="rId2" Type="http://schemas.openxmlformats.org/officeDocument/2006/relationships/hyperlink" Target="mailto:rania.alexandria@hotmail.com" TargetMode="External"/><Relationship Id="rId3" Type="http://schemas.openxmlformats.org/officeDocument/2006/relationships/hyperlink" Target="mailto:h.redl@redl.net?subject=The%20Address%20at%20JBR%20Beach%20|%20Coming%20in%202020" TargetMode="External"/><Relationship Id="rId4" Type="http://schemas.openxmlformats.org/officeDocument/2006/relationships/hyperlink" Target="mailto:marie.hobohmgirard@alumi.ie.edu?subject=Prestigious%20Studio%20with%20Panoramic%20View!!" TargetMode="External"/><Relationship Id="rId9" Type="http://schemas.openxmlformats.org/officeDocument/2006/relationships/hyperlink" Target="mailto:shahids025@gmail.com" TargetMode="External"/><Relationship Id="rId48" Type="http://schemas.openxmlformats.org/officeDocument/2006/relationships/hyperlink" Target="mailto:Timorcaan@gmail.com?subject=1.9M%20Aed%20Apt.%20Ready%20in%20Few%20Months" TargetMode="External"/><Relationship Id="rId47" Type="http://schemas.openxmlformats.org/officeDocument/2006/relationships/hyperlink" Target="mailto:smithdavis@gmail.com?subject=Call%20Now!%20Will%20Guarantee%20the%20Best%20Unit%20!" TargetMode="External"/><Relationship Id="rId49" Type="http://schemas.openxmlformats.org/officeDocument/2006/relationships/hyperlink" Target="mailto:hrmackay.3@gmail.com?subject=Upgraded%20and%20Fully%20Furnished%20|%201%20Bedroom" TargetMode="External"/><Relationship Id="rId5" Type="http://schemas.openxmlformats.org/officeDocument/2006/relationships/hyperlink" Target="mailto:Farehia.mirza@gmail.com?subject=Best%20Offer%20100%25%20Discount%20on%20Land%20Dept%20fees" TargetMode="External"/><Relationship Id="rId6" Type="http://schemas.openxmlformats.org/officeDocument/2006/relationships/hyperlink" Target="mailto:geneclash@gmail.com" TargetMode="External"/><Relationship Id="rId7" Type="http://schemas.openxmlformats.org/officeDocument/2006/relationships/hyperlink" Target="mailto:ebajram@gmail.com?subject=Running%20Health%20Food%20Restaurant%20Business%20in%20JLT" TargetMode="External"/><Relationship Id="rId8" Type="http://schemas.openxmlformats.org/officeDocument/2006/relationships/hyperlink" Target="https://www.propertyfinder.ae/to/5911516/en" TargetMode="External"/><Relationship Id="rId73" Type="http://schemas.openxmlformats.org/officeDocument/2006/relationships/hyperlink" Target="https://www.propertyfinder.ae/to/6085559/en" TargetMode="External"/><Relationship Id="rId72" Type="http://schemas.openxmlformats.org/officeDocument/2006/relationships/hyperlink" Target="mailto:jay.nexo@gmail.com?subject=Running%20Building%20Materials%20Trading%20Business" TargetMode="External"/><Relationship Id="rId31" Type="http://schemas.openxmlformats.org/officeDocument/2006/relationships/hyperlink" Target="mailto:shehnaz@manresa.ae?subject=Perfect%20Location%20to%20your%20Family|Dubai%20Hills" TargetMode="External"/><Relationship Id="rId75" Type="http://schemas.openxmlformats.org/officeDocument/2006/relationships/hyperlink" Target="mailto:venu.hariprasad@rediffmail.com?subject=Upgraded%20and%20Fully%20Furnished%20|%201%20Bedroom" TargetMode="External"/><Relationship Id="rId30" Type="http://schemas.openxmlformats.org/officeDocument/2006/relationships/hyperlink" Target="https://www.propertyfinder.ae/to/6078909/en" TargetMode="External"/><Relationship Id="rId74" Type="http://schemas.openxmlformats.org/officeDocument/2006/relationships/hyperlink" Target="mailto:husein.manji@gmail.com?subject=Bright%20Luxury%20Townhouse|Great%20Investment" TargetMode="External"/><Relationship Id="rId33" Type="http://schemas.openxmlformats.org/officeDocument/2006/relationships/hyperlink" Target="mailto:youyoujebeli@gmail.com" TargetMode="External"/><Relationship Id="rId32" Type="http://schemas.openxmlformats.org/officeDocument/2006/relationships/hyperlink" Target="mailto:amafy85@yahoo.com" TargetMode="External"/><Relationship Id="rId76" Type="http://schemas.openxmlformats.org/officeDocument/2006/relationships/drawing" Target="../drawings/drawing12.xml"/><Relationship Id="rId35" Type="http://schemas.openxmlformats.org/officeDocument/2006/relationships/hyperlink" Target="mailto:palchaudhurico@rediffmail.com?subject=Upgraded%20and%20Fully%20Furnished%20|%201%20Bedroom" TargetMode="External"/><Relationship Id="rId34" Type="http://schemas.openxmlformats.org/officeDocument/2006/relationships/hyperlink" Target="https://mandrillapp.com/track/click/30124164/tnydu.biz?p=eyJzIjoiV2ZtMWpQZ0RweHhERWlaR0hLeXBEeWxsTmNnIiwidiI6MSwicCI6IntcInVcIjozMDEyNDE2NCxcInZcIjoxLFwidXJsXCI6XCJodHRwczpcXFwvXFxcL3RueWR1LmJpelxcXC9EY2VWS0E_dXRtX3NvdXJjZT1jb3JlJnV0bV9tZWRpdW09ZW1haWxfdHJhbnMmdXRtX2NhbXBhaWduPXRyYW5zX2NvcmUmdXRtX2NvbnRlbnQ9c2VsbGVyX2xlYWRfZW4jeHRvcj1FUFItMzM0W3RyYW5zX2NvcmVdLVtjb3JlXS0yMDE0MDEzMS1bc2VsbGVyX2xlYWRfZW5dLVtdXCIsXCJpZFwiOlwiMDhjZjUwNGQ0NGQ5NGM0YzhlYTY0NTg4MWI5NDg3MjhcIixcInVybF9pZHNcIjpbXCI3YTc1ZTM5ZDQ5ZTRkZTdmNThjYzQ4YmVkZTA3MzFiYWFiNGRmNTI2XCJdfSJ9" TargetMode="External"/><Relationship Id="rId71" Type="http://schemas.openxmlformats.org/officeDocument/2006/relationships/hyperlink" Target="mailto:samsingh.us@gmail.com?subject=Perfectly%20encapsulate%20modern%20urban%20living" TargetMode="External"/><Relationship Id="rId70" Type="http://schemas.openxmlformats.org/officeDocument/2006/relationships/hyperlink" Target="mailto:haljazaeri3@gmail.com" TargetMode="External"/><Relationship Id="rId37" Type="http://schemas.openxmlformats.org/officeDocument/2006/relationships/hyperlink" Target="mailto:rami.alsalih@gmail.com" TargetMode="External"/><Relationship Id="rId36" Type="http://schemas.openxmlformats.org/officeDocument/2006/relationships/hyperlink" Target="mailto:svsramkumar@yahoo.com?subject=Perfect%20Location%20to%20your%20Family|Dubai%20Hills" TargetMode="External"/><Relationship Id="rId39" Type="http://schemas.openxmlformats.org/officeDocument/2006/relationships/hyperlink" Target="mailto:gregdearden@hotmail.co.uk?subject=Ready%20to%20Move|%20Huge%202BR%20|Full%20Race%20View" TargetMode="External"/><Relationship Id="rId38" Type="http://schemas.openxmlformats.org/officeDocument/2006/relationships/hyperlink" Target="mailto:akf@smartcrowd.property?subject=Sunrise%20Bay%20at%20Emaar%20Beach%20Front%20|%201%20Bed" TargetMode="External"/><Relationship Id="rId62" Type="http://schemas.openxmlformats.org/officeDocument/2006/relationships/hyperlink" Target="mailto:info@gracehomesuae.com" TargetMode="External"/><Relationship Id="rId61" Type="http://schemas.openxmlformats.org/officeDocument/2006/relationships/hyperlink" Target="mailto:rangag82@gmail.com" TargetMode="External"/><Relationship Id="rId20" Type="http://schemas.openxmlformats.org/officeDocument/2006/relationships/hyperlink" Target="mailto:astonpicardo@gmail.com?subject=Dont%20miss%20Out%20for%20the%20Few%20unit%20Available" TargetMode="External"/><Relationship Id="rId64" Type="http://schemas.openxmlformats.org/officeDocument/2006/relationships/hyperlink" Target="mailto:mary.vornicu@yahoo.com?subject=Upgraded%20and%20Fully%20Furnished%20|%201%20Bedroom" TargetMode="External"/><Relationship Id="rId63" Type="http://schemas.openxmlformats.org/officeDocument/2006/relationships/hyperlink" Target="mailto:bexpaden@hotmail.co.uk?subject=Upgraded%20and%20Fully%20Furnished%20|%201%20Bedroom" TargetMode="External"/><Relationship Id="rId22" Type="http://schemas.openxmlformats.org/officeDocument/2006/relationships/hyperlink" Target="mailto:mansoor.ahmed@colliers.com?subject=Single%20Row%20|%20Park%20Backing%20|%203%20BR%20+%20Maids" TargetMode="External"/><Relationship Id="rId66" Type="http://schemas.openxmlformats.org/officeDocument/2006/relationships/hyperlink" Target="mailto:Knola26@gmail.com?subject=Amazing%20Full%20Canal%20View%20|%20Brand%20New%203BR!" TargetMode="External"/><Relationship Id="rId21" Type="http://schemas.openxmlformats.org/officeDocument/2006/relationships/hyperlink" Target="mailto:Dee_panju@hotmail.com?subject=1%20Month%20Free%20Rent%20|%20Jacuzzi%20|%20Big%20Terrace" TargetMode="External"/><Relationship Id="rId65" Type="http://schemas.openxmlformats.org/officeDocument/2006/relationships/hyperlink" Target="mailto:afw_services@hotmail.co.uk?subject=Upgraded%20and%20Fully%20Furnished%20|%201%20Bedroom" TargetMode="External"/><Relationship Id="rId24" Type="http://schemas.openxmlformats.org/officeDocument/2006/relationships/hyperlink" Target="mailto:sathahir@hotmail.com" TargetMode="External"/><Relationship Id="rId68" Type="http://schemas.openxmlformats.org/officeDocument/2006/relationships/hyperlink" Target="mailto:Dkoottatep@gmail.com?subject=Beach%20Vista%20Beachfront%20Living%20Like%20no%20Other" TargetMode="External"/><Relationship Id="rId23" Type="http://schemas.openxmlformats.org/officeDocument/2006/relationships/hyperlink" Target="mailto:sana.qureshi@midstar-mgt.com?subject=Ready%20retail%20corner%20shop%20for%20sale%20in%20DIFC" TargetMode="External"/><Relationship Id="rId67" Type="http://schemas.openxmlformats.org/officeDocument/2006/relationships/hyperlink" Target="mailto:samsingh.us@gmail.com?subject=Biggest%202%20Bed%20in%2029%20Boulevard%20Tower%20A" TargetMode="External"/><Relationship Id="rId60" Type="http://schemas.openxmlformats.org/officeDocument/2006/relationships/hyperlink" Target="mailto:angelalaurianj@gmail.com?subject=Prestigious%20Studio%20with%20Panoramic%20View!!" TargetMode="External"/><Relationship Id="rId26" Type="http://schemas.openxmlformats.org/officeDocument/2006/relationships/hyperlink" Target="mailto:lubnaosmani23@gmail.com?subject=Upgraded%20and%20Fully%20Furnished%20|%201%20Bedroom" TargetMode="External"/><Relationship Id="rId25" Type="http://schemas.openxmlformats.org/officeDocument/2006/relationships/hyperlink" Target="mailto:lubnaosmani23@gmail.com?subject=Upgraded%20and%20Fully%20Furnished%20|%201%20Bedroom" TargetMode="External"/><Relationship Id="rId69" Type="http://schemas.openxmlformats.org/officeDocument/2006/relationships/hyperlink" Target="mailto:amir.crane@gmail.com?subject=Remraam%20Phase%202%20The%20lowest%20price%20Apartment" TargetMode="External"/><Relationship Id="rId28" Type="http://schemas.openxmlformats.org/officeDocument/2006/relationships/hyperlink" Target="mailto:lubnaosmani23@gmail.com?subject=Upgraded%20and%20Fully%20Furnished%20|%201%20Bedroom" TargetMode="External"/><Relationship Id="rId27" Type="http://schemas.openxmlformats.org/officeDocument/2006/relationships/hyperlink" Target="mailto:lubnaosmani23@gmail.com?subject=Upgraded%20and%20Fully%20Furnished%20|%201%20Bedroom" TargetMode="External"/><Relationship Id="rId29" Type="http://schemas.openxmlformats.org/officeDocument/2006/relationships/hyperlink" Target="mailto:altaf190957@yahoo.com?subject=Nice%20Shawarma%20Restaurant%20next%20to%20Citymax" TargetMode="External"/><Relationship Id="rId51" Type="http://schemas.openxmlformats.org/officeDocument/2006/relationships/hyperlink" Target="mailto:reemokkeh@yahoo.com" TargetMode="External"/><Relationship Id="rId50" Type="http://schemas.openxmlformats.org/officeDocument/2006/relationships/hyperlink" Target="mailto:satiralican@gmail.com?subject=Upgraded%20and%20Fully%20Furnished%20|%201%20Bedroom" TargetMode="External"/><Relationship Id="rId53" Type="http://schemas.openxmlformats.org/officeDocument/2006/relationships/hyperlink" Target="mailto:valeriagnoffo@gmail.com" TargetMode="External"/><Relationship Id="rId52" Type="http://schemas.openxmlformats.org/officeDocument/2006/relationships/hyperlink" Target="mailto:blaumeiser@me.com?subject=Prestigious%20Studio%20with%20Panoramic%20View!!" TargetMode="External"/><Relationship Id="rId11" Type="http://schemas.openxmlformats.org/officeDocument/2006/relationships/hyperlink" Target="mailto:knola26@gmail.com?subject=Amazing%20Full%20Canal%20View%20|%20Brand%20New%203BR!" TargetMode="External"/><Relationship Id="rId55" Type="http://schemas.openxmlformats.org/officeDocument/2006/relationships/hyperlink" Target="mailto:sobia@azurpropertiesuae.com?subject=09%20Series%20|%20Great%20Investor%20Deals%20|%201%20Bed" TargetMode="External"/><Relationship Id="rId10" Type="http://schemas.openxmlformats.org/officeDocument/2006/relationships/hyperlink" Target="mailto:alfarahjassim@yahoo.com" TargetMode="External"/><Relationship Id="rId54" Type="http://schemas.openxmlformats.org/officeDocument/2006/relationships/hyperlink" Target="mailto:praveen.babu@pumpworks.com" TargetMode="External"/><Relationship Id="rId13" Type="http://schemas.openxmlformats.org/officeDocument/2006/relationships/hyperlink" Target="mailto:mistergal@hotmail.com?subject=1.9M%20Aed%20Apt.%20Ready%20in%20Few%20Months" TargetMode="External"/><Relationship Id="rId57" Type="http://schemas.openxmlformats.org/officeDocument/2006/relationships/hyperlink" Target="mailto:rangag82@gmail.com" TargetMode="External"/><Relationship Id="rId12" Type="http://schemas.openxmlformats.org/officeDocument/2006/relationships/hyperlink" Target="mailto:stephaniekerbage@hotmail.com" TargetMode="External"/><Relationship Id="rId56" Type="http://schemas.openxmlformats.org/officeDocument/2006/relationships/hyperlink" Target="mailto:imninow5@yahoo.com" TargetMode="External"/><Relationship Id="rId15" Type="http://schemas.openxmlformats.org/officeDocument/2006/relationships/hyperlink" Target="mailto:yasin.valimulla@kwdubai.com?subject=The%20most%20demanded%20layout" TargetMode="External"/><Relationship Id="rId59" Type="http://schemas.openxmlformats.org/officeDocument/2006/relationships/hyperlink" Target="mailto:marykozitskaya@gmail.com?subject=Fresh%20listing%20on%20the%20market%20,%20Vacant" TargetMode="External"/><Relationship Id="rId14" Type="http://schemas.openxmlformats.org/officeDocument/2006/relationships/hyperlink" Target="mailto:carl@showtechme.com?subject=Nice%20Shawarma%20Restaurant%20next%20to%20Citymax" TargetMode="External"/><Relationship Id="rId58" Type="http://schemas.openxmlformats.org/officeDocument/2006/relationships/hyperlink" Target="mailto:oussama.elmir@strategyand.ae.pwc.com" TargetMode="External"/><Relationship Id="rId17" Type="http://schemas.openxmlformats.org/officeDocument/2006/relationships/hyperlink" Target="mailto:altaf190957@yahoo.com?subject=Nice%20Shawarma%20Restaurant%20next%20to%20Citymax" TargetMode="External"/><Relationship Id="rId16" Type="http://schemas.openxmlformats.org/officeDocument/2006/relationships/hyperlink" Target="mailto:pradeepkundan@gmail.com?subject=Prestigious%20Studio%20with%20Panoramic%20View!!" TargetMode="External"/><Relationship Id="rId19" Type="http://schemas.openxmlformats.org/officeDocument/2006/relationships/hyperlink" Target="mailto:eethar2000@yahoo.com?subject=Best%20Deal%20for%20Safi%20Townhouse%20|%204%20bedroom" TargetMode="External"/><Relationship Id="rId18" Type="http://schemas.openxmlformats.org/officeDocument/2006/relationships/hyperlink" Target="mailto:cernak23@yahoo.com?subject=Fully%20fitted%20office%20in%20BLVD%20Plaza%201%20with%20an%20incredible%20view"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propertyfinder.ae/en/commercial-rent/retail-for-rent-dubai-difc-sky-gardens-5913199.html" TargetMode="External"/><Relationship Id="rId42" Type="http://schemas.openxmlformats.org/officeDocument/2006/relationships/hyperlink" Target="https://www.propertyfinder.ae/en/commercial-buy/retail-for-sale-dubai-dubai-healthcare-city-building-27-5826528.html" TargetMode="External"/><Relationship Id="rId41" Type="http://schemas.openxmlformats.org/officeDocument/2006/relationships/hyperlink" Target="mailto:Asm856@gmail.com?subject=Ready%20Clinic%20with%20Title%20Deed%20|%20Furnished" TargetMode="External"/><Relationship Id="rId44" Type="http://schemas.openxmlformats.org/officeDocument/2006/relationships/hyperlink" Target="mailto:channaidoos@gmail.com?subject=Best%20Offer%20100%25%20Discount%20on%20Land%20Dept%20fees" TargetMode="External"/><Relationship Id="rId43" Type="http://schemas.openxmlformats.org/officeDocument/2006/relationships/hyperlink" Target="mailto:nemodbx@gmail.com?subject=Emaar%20Beachfront%20offering%20luxury%201-4%20BR!" TargetMode="External"/><Relationship Id="rId46" Type="http://schemas.openxmlformats.org/officeDocument/2006/relationships/hyperlink" Target="mailto:cristina.agbulos@gmail.com" TargetMode="External"/><Relationship Id="rId45" Type="http://schemas.openxmlformats.org/officeDocument/2006/relationships/hyperlink" Target="mailto:hani.samir@asgcgroup.com" TargetMode="External"/><Relationship Id="rId1" Type="http://schemas.openxmlformats.org/officeDocument/2006/relationships/hyperlink" Target="mailto:palchaudhurico@rediffmail.com?subject=Upgraded%20and%20Fully%20Furnished%20|%201%20Bedroom" TargetMode="External"/><Relationship Id="rId2" Type="http://schemas.openxmlformats.org/officeDocument/2006/relationships/hyperlink" Target="mailto:girba_Anna@hotmail.com?subject=Amazing%20Full%20Canal%20View%20|%20Brand%20New%203BR!" TargetMode="External"/><Relationship Id="rId3" Type="http://schemas.openxmlformats.org/officeDocument/2006/relationships/hyperlink" Target="mailto:shamnashafeek75@gmail.com?subject=Upgraded%20and%20Fully%20Furnished%20|%201%20Bedroom" TargetMode="External"/><Relationship Id="rId4" Type="http://schemas.openxmlformats.org/officeDocument/2006/relationships/hyperlink" Target="mailto:rahulgoyalmd@yahoo.com?subject=Upgraded%20and%20Fully%20Furnished%20|%201%20Bedroom" TargetMode="External"/><Relationship Id="rId9" Type="http://schemas.openxmlformats.org/officeDocument/2006/relationships/hyperlink" Target="mailto:lonsdoro@gmail.com?subject=Sea%20View%20|%20Jacuzzi%20|%20Huge%20Terrace%20|%202%20BR" TargetMode="External"/><Relationship Id="rId48" Type="http://schemas.openxmlformats.org/officeDocument/2006/relationships/hyperlink" Target="mailto:FGECCELLENZE@GMAIL.COM?subject=Cozy%20and%20Ready%20Italian%20Restaurant%20in%20DIFC" TargetMode="External"/><Relationship Id="rId47" Type="http://schemas.openxmlformats.org/officeDocument/2006/relationships/hyperlink" Target="mailto:am.issa1974@gmail.com?subject=1%20Month%20Free%20Rent%20|%20Jacuzzi%20|%20Big%20Terrace" TargetMode="External"/><Relationship Id="rId49" Type="http://schemas.openxmlformats.org/officeDocument/2006/relationships/hyperlink" Target="https://www.propertyfinder.ae/to/5913189/en" TargetMode="External"/><Relationship Id="rId5" Type="http://schemas.openxmlformats.org/officeDocument/2006/relationships/hyperlink" Target="mailto:hackenbuchner@gmx.at?subject=Book%20Now!%20We%20guarantee%20the%20Best%20Units!!!" TargetMode="External"/><Relationship Id="rId6" Type="http://schemas.openxmlformats.org/officeDocument/2006/relationships/hyperlink" Target="mailto:singh.dharmendra668@gmail.com?subject=Great%20Investor%20Deal%202%20Bedroom%20+%20Study!!!" TargetMode="External"/><Relationship Id="rId7" Type="http://schemas.openxmlformats.org/officeDocument/2006/relationships/hyperlink" Target="mailto:singh.dharmendra668@gmail.com?subject=Great%20Investor%20Deal%202%20Bedroom%20+%20Study!!!" TargetMode="External"/><Relationship Id="rId8" Type="http://schemas.openxmlformats.org/officeDocument/2006/relationships/hyperlink" Target="mailto:mariam.mahd@gmail.com?subject=The%20Grand%20|%20Dubai%20Creek%20Harbour,%20Dubai" TargetMode="External"/><Relationship Id="rId31" Type="http://schemas.openxmlformats.org/officeDocument/2006/relationships/hyperlink" Target="mailto:karimdimitri@gmail.com?subject=Running%20Health%20Food%20Restaurant%20Business%20in%20JLT" TargetMode="External"/><Relationship Id="rId30" Type="http://schemas.openxmlformats.org/officeDocument/2006/relationships/hyperlink" Target="mailto:collinsmukabe12@gmail.com" TargetMode="External"/><Relationship Id="rId33" Type="http://schemas.openxmlformats.org/officeDocument/2006/relationships/hyperlink" Target="mailto:nizarkm1@gmail.com?subject=Cozy%20and%20Ready%20Italian%20Restaurant%20in%20DIFC" TargetMode="External"/><Relationship Id="rId32" Type="http://schemas.openxmlformats.org/officeDocument/2006/relationships/hyperlink" Target="https://www.propertyfinder.ae/en/commercial-rent/shop-for-rent-dubai-jumeirah-lake-towers-lake-allure-lake-shore-tower-5911516.html" TargetMode="External"/><Relationship Id="rId35" Type="http://schemas.openxmlformats.org/officeDocument/2006/relationships/hyperlink" Target="mailto:chiope@gmail.com" TargetMode="External"/><Relationship Id="rId34" Type="http://schemas.openxmlformats.org/officeDocument/2006/relationships/hyperlink" Target="https://www.propertyfinder.ae/en/commercial-rent/retail-for-rent-dubai-difc-sky-gardens-5913199.html" TargetMode="External"/><Relationship Id="rId37" Type="http://schemas.openxmlformats.org/officeDocument/2006/relationships/hyperlink" Target="mailto:tracy.ta25@gmail.com" TargetMode="External"/><Relationship Id="rId36" Type="http://schemas.openxmlformats.org/officeDocument/2006/relationships/hyperlink" Target="mailto:yusuf.p27@gmail.com" TargetMode="External"/><Relationship Id="rId39" Type="http://schemas.openxmlformats.org/officeDocument/2006/relationships/hyperlink" Target="https://www.propertyfinder.ae/en/commercial-buy/shop-for-sale-dubai-al-barsha-al-barsha-1-6029599.html" TargetMode="External"/><Relationship Id="rId38" Type="http://schemas.openxmlformats.org/officeDocument/2006/relationships/hyperlink" Target="mailto:BRASIL699@HOTMAIL.COM?subject=Cozy%20and%20Ready%20Italian%20Restaurant%20in%20DIFC" TargetMode="External"/><Relationship Id="rId20" Type="http://schemas.openxmlformats.org/officeDocument/2006/relationships/hyperlink" Target="mailto:Naga2302@yahoo.com?subject=Cheapest%20Studio%20|%20Zen%2020%20Discovery%20Garden" TargetMode="External"/><Relationship Id="rId22" Type="http://schemas.openxmlformats.org/officeDocument/2006/relationships/hyperlink" Target="mailto:miorita@clevelandbridge.ae?subject=Best%20Deal!!%20I%20Studio%20I%20Badrah%20Waterfront" TargetMode="External"/><Relationship Id="rId21" Type="http://schemas.openxmlformats.org/officeDocument/2006/relationships/hyperlink" Target="mailto:shruthis0550@gmail.com?subject=Studio%20|%20Zen%2020%20Discovery%20Garden%20|%204chq" TargetMode="External"/><Relationship Id="rId24" Type="http://schemas.openxmlformats.org/officeDocument/2006/relationships/hyperlink" Target="mailto:cstranntrade@gmail.com" TargetMode="External"/><Relationship Id="rId23" Type="http://schemas.openxmlformats.org/officeDocument/2006/relationships/hyperlink" Target="mailto:hannahcornel@outlook.com?subject=Build%20Your%20Own%20Villa%20|%20Dubai%20Hills%20Estate" TargetMode="External"/><Relationship Id="rId26" Type="http://schemas.openxmlformats.org/officeDocument/2006/relationships/hyperlink" Target="mailto:drfahann@hotmail.com" TargetMode="External"/><Relationship Id="rId25" Type="http://schemas.openxmlformats.org/officeDocument/2006/relationships/hyperlink" Target="mailto:mmoradiariya_alborz@asia.com?subject=Exclusive%20Apartments%20Overlooking%20the%20Sea" TargetMode="External"/><Relationship Id="rId28" Type="http://schemas.openxmlformats.org/officeDocument/2006/relationships/hyperlink" Target="mailto:kunal@createhospitality.ae?subject=Cozy%20and%20Ready%20Italian%20Restaurant%20in%20DIFC" TargetMode="External"/><Relationship Id="rId27" Type="http://schemas.openxmlformats.org/officeDocument/2006/relationships/hyperlink" Target="mailto:hackenbuchner@gmx.at?subject=Serviced%20Address%20JBR%20Beach%20|%208.2%25%20ROI%20Net" TargetMode="External"/><Relationship Id="rId29" Type="http://schemas.openxmlformats.org/officeDocument/2006/relationships/hyperlink" Target="mailto:Prabeen4u@hotmail.com?subject=Cozy%20and%20Ready%20Italian%20Restaurant%20in%20DIFC" TargetMode="External"/><Relationship Id="rId51" Type="http://schemas.openxmlformats.org/officeDocument/2006/relationships/hyperlink" Target="mailto:claudine_mccarthy@yahoo.co.uk?subject=Cozy%20and%20Ready%20Italian%20Restaurant%20in%20DIFC" TargetMode="External"/><Relationship Id="rId50" Type="http://schemas.openxmlformats.org/officeDocument/2006/relationships/hyperlink" Target="mailto:fgeccellenze@gmail.com" TargetMode="External"/><Relationship Id="rId53" Type="http://schemas.openxmlformats.org/officeDocument/2006/relationships/drawing" Target="../drawings/drawing13.xml"/><Relationship Id="rId52" Type="http://schemas.openxmlformats.org/officeDocument/2006/relationships/hyperlink" Target="https://www.propertyfinder.ae/to/5913199/en" TargetMode="External"/><Relationship Id="rId11" Type="http://schemas.openxmlformats.org/officeDocument/2006/relationships/hyperlink" Target="mailto:daniel@nowak.ae?subject=Amazing%20Full%20Golf%20Course%20View|%2001%20Series" TargetMode="External"/><Relationship Id="rId10" Type="http://schemas.openxmlformats.org/officeDocument/2006/relationships/hyperlink" Target="mailto:altaf190957@yahoo.com?subject=Ready%20retail%20corner%20shop%20for%20rent%20in%20DIFC" TargetMode="External"/><Relationship Id="rId13" Type="http://schemas.openxmlformats.org/officeDocument/2006/relationships/hyperlink" Target="mailto:rosenvalentinov@yahoo.co.uk?subject=Bluewaters%20Island%20|%202.3m%20AED%20|%20Dubai%20Eye" TargetMode="External"/><Relationship Id="rId12" Type="http://schemas.openxmlformats.org/officeDocument/2006/relationships/hyperlink" Target="mailto:jimburdall@hotmail.com?subject=Upgraded%20and%20Fully%20Furnished%20|%201%20Bedroom" TargetMode="External"/><Relationship Id="rId15" Type="http://schemas.openxmlformats.org/officeDocument/2006/relationships/hyperlink" Target="mailto:bruma.matt@gmail.com?subject=Luxurious%20Penthouse|Il%20Primo|Amazing%20View" TargetMode="External"/><Relationship Id="rId14" Type="http://schemas.openxmlformats.org/officeDocument/2006/relationships/hyperlink" Target="mailto:sykon_llc@yahoo.com?subject=Freehold%20Beachside%20Plots%20|%20800%20AED%20/sqf" TargetMode="External"/><Relationship Id="rId17" Type="http://schemas.openxmlformats.org/officeDocument/2006/relationships/hyperlink" Target="https://www.propertyfinder.ae/en/commercial-buy/retail-for-sale-dubai-difc-sky-gardens-5913189.html" TargetMode="External"/><Relationship Id="rId16" Type="http://schemas.openxmlformats.org/officeDocument/2006/relationships/hyperlink" Target="mailto:bruma.matt@gmail.com?subject=Resale%20Deal%20|%201%20Bedroom%20|%20Boulevard%20View" TargetMode="External"/><Relationship Id="rId19" Type="http://schemas.openxmlformats.org/officeDocument/2006/relationships/hyperlink" Target="mailto:josseyobeth@gmail.com?subject=Upgraded%203%20BR%20|%20Sea%20View%20|%20Semi-Furnished" TargetMode="External"/><Relationship Id="rId18" Type="http://schemas.openxmlformats.org/officeDocument/2006/relationships/hyperlink" Target="mailto:emraanbutt@gmail.com?subject=Freehold%20Beachside%20Plots%20|%20800%20AED%20/sqf"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mailto:rikadotsonone@gmail.com?subject=Resort-style%20Living%20at%20Emaar%20Beachfront!" TargetMode="External"/><Relationship Id="rId42" Type="http://schemas.openxmlformats.org/officeDocument/2006/relationships/hyperlink" Target="mailto:jwilliamsh01@gmail.com" TargetMode="External"/><Relationship Id="rId41" Type="http://schemas.openxmlformats.org/officeDocument/2006/relationships/hyperlink" Target="mailto:mohammed.dawani@unb.ae?subject=Beach%20Vista%20Premium%20Beachfront%20Apartment" TargetMode="External"/><Relationship Id="rId44" Type="http://schemas.openxmlformats.org/officeDocument/2006/relationships/hyperlink" Target="mailto:rebekah.amyroe@gmail.com?subject=Upgraded%20and%20Fully%20Furnished%20|%201%20Bedroom" TargetMode="External"/><Relationship Id="rId43" Type="http://schemas.openxmlformats.org/officeDocument/2006/relationships/hyperlink" Target="mailto:dubaiinvestment1980@yahoo.com?subject=Luxury%20Homes%20from%20AED%201.4%20Million%20Only!!" TargetMode="External"/><Relationship Id="rId46" Type="http://schemas.openxmlformats.org/officeDocument/2006/relationships/hyperlink" Target="mailto:antoine.amassih@gmail.com?subject=Semi%20Furnished%20Luxury%20Villa%20In%20Al%20Barsha" TargetMode="External"/><Relationship Id="rId45" Type="http://schemas.openxmlformats.org/officeDocument/2006/relationships/hyperlink" Target="mailto:andrepmoreira@hotmail.com?subject=Upgraded%20and%20Fully%20Furnished%20|%201%20Bedroom" TargetMode="External"/><Relationship Id="rId1" Type="http://schemas.openxmlformats.org/officeDocument/2006/relationships/hyperlink" Target="mailto:asimjanjua@gmail.com?subject=No%20Commission%20|%20Huge%20Townhouse%20|%20Maple%203" TargetMode="External"/><Relationship Id="rId2" Type="http://schemas.openxmlformats.org/officeDocument/2006/relationships/hyperlink" Target="mailto:wanglei959@yahoo.com" TargetMode="External"/><Relationship Id="rId3" Type="http://schemas.openxmlformats.org/officeDocument/2006/relationships/hyperlink" Target="https://mandrillapp.com/track/click/30124164/tnydu.biz?p=eyJzIjoiOElHMU54SU9Jd2pEWEVFWmpTUWptb2VnY1ZrIiwidiI6MSwicCI6IntcInVcIjozMDEyNDE2NCxcInZcIjoxLFwidXJsXCI6XCJodHRwOlxcXC9cXFwvdG55ZHUuYml6XFxcL0RjZVRRSj91dG1fc291cmNlPWNvcmUmdXRtX21lZGl1bT1lbWFpbF90cmFucyZ1dG1fY2FtcGFpZ249dHJhbnNfY29yZSZ1dG1fY29udGVudD1zZWxsZXJfbGVhZF9lbiN4dG9yPUVQUi0zMzRbdHJhbnNfY29yZV0tW2NvcmVdLTIwMTQwMTMxLVtzZWxsZXJfbGVhZF9lbl0tW11cIixcImlkXCI6XCJjNDJmOGU5OGUyNTg0NjQ1YTkzNDlkZjRkMjU2MjMwNlwiLFwidXJsX2lkc1wiOltcIjU4NDVmYzM2NjlmNTlhZGYwMmNmNTkyNTYzYzBhYjA3MjNiOGMzOTlcIl19In0" TargetMode="External"/><Relationship Id="rId4" Type="http://schemas.openxmlformats.org/officeDocument/2006/relationships/hyperlink" Target="mailto:ahmadhajo66@gmail.com?subject=9650%20Sqft%20Brand%20New%20Showroom%20in%20Umm%20Suqeim" TargetMode="External"/><Relationship Id="rId9" Type="http://schemas.openxmlformats.org/officeDocument/2006/relationships/hyperlink" Target="mailto:skoog.gunnar@gmail.com?subject=Dont%20Miss%20out%20the%20Fantastic%20Payment%20Plan" TargetMode="External"/><Relationship Id="rId48" Type="http://schemas.openxmlformats.org/officeDocument/2006/relationships/hyperlink" Target="https://www.propertyfinder.ae/en/commercial-rent/retail-for-rent-dubai-difc-sky-gardens-5913199.html" TargetMode="External"/><Relationship Id="rId47" Type="http://schemas.openxmlformats.org/officeDocument/2006/relationships/hyperlink" Target="mailto:maiinbkk@yahoo.com?subject=Cozy%20Running%20Italian%20Restaurant%20in%20DIFC" TargetMode="External"/><Relationship Id="rId49" Type="http://schemas.openxmlformats.org/officeDocument/2006/relationships/hyperlink" Target="mailto:st@rpint.com?subject=Upgraded%20and%20Fully%20Furnished%20|%201%20Bedroom" TargetMode="External"/><Relationship Id="rId5" Type="http://schemas.openxmlformats.org/officeDocument/2006/relationships/hyperlink" Target="https://www.propertyfinder.ae/ar/%D8%AA%D8%AC%D8%A7%D8%B1%D9%8A%D8%A9-%D9%84%D9%84%D8%A7%D9%8A%D8%AC%D8%A7%D8%B1/%D8%B5%D8%A7%D9%84%D8%A9-%D8%B9%D8%B1%D8%B6-%D9%84%D9%84%D8%A7%D9%8A%D8%AC%D8%A7%D8%B1-%D8%AF%D8%A8%D9%8A-%D8%A7%D9%84%D8%A8%D8%B1%D8%B4%D8%A7%D8%A1-%D8%A7%D9%84%D8%A8%D8%B1%D8%B4%D8%A7%D8%A1-2-5522693.html" TargetMode="External"/><Relationship Id="rId6" Type="http://schemas.openxmlformats.org/officeDocument/2006/relationships/hyperlink" Target="mailto:hazem@habdan.com?subject=Resale%20Huge%202%20BR%20|%20Low%20Price%20|%20Burj%20View" TargetMode="External"/><Relationship Id="rId7" Type="http://schemas.openxmlformats.org/officeDocument/2006/relationships/hyperlink" Target="mailto:fahdy@drivenproperties.ae?subject=Resale%20Huge%202%20BR%20|%20Low%20Price%20|%20Burj%20View" TargetMode="External"/><Relationship Id="rId8" Type="http://schemas.openxmlformats.org/officeDocument/2006/relationships/hyperlink" Target="mailto:shahabkarimzadeh77@gmail.com" TargetMode="External"/><Relationship Id="rId31" Type="http://schemas.openxmlformats.org/officeDocument/2006/relationships/hyperlink" Target="https://mandrillapp.com/track/click/30124164/tnydu.biz?p=eyJzIjoiNUFlRmltM1otOWx2Y3U0cWdScjRJS29UMnBZIiwidiI6MSwicCI6IntcInVcIjozMDEyNDE2NCxcInZcIjoxLFwidXJsXCI6XCJodHRwOlxcXC9cXFwvdG55ZHUuYml6XFxcL0RobVg3aT91dG1fc291cmNlPWNvcmUmdXRtX21lZGl1bT1lbWFpbF90cmFucyZ1dG1fY2FtcGFpZ249dHJhbnNfY29yZSZ1dG1fY29udGVudD1zZWxsZXJfbGVhZF9lbiN4dG9yPUVQUi0zMzRbdHJhbnNfY29yZV0tW2NvcmVdLTIwMTQwMTMxLVtzZWxsZXJfbGVhZF9lbl0tW11cIixcImlkXCI6XCIxYjEyYTU2NDk3ZDM0MmFiOWI5MjBhYWM5NjNkNWZlMVwiLFwidXJsX2lkc1wiOltcIjU4NDVmYzM2NjlmNTlhZGYwMmNmNTkyNTYzYzBhYjA3MjNiOGMzOTlcIl19In0" TargetMode="External"/><Relationship Id="rId30" Type="http://schemas.openxmlformats.org/officeDocument/2006/relationships/hyperlink" Target="mailto:atiqkapadia@hotmail.com" TargetMode="External"/><Relationship Id="rId33" Type="http://schemas.openxmlformats.org/officeDocument/2006/relationships/hyperlink" Target="mailto:Geniusvr86@gmail.com" TargetMode="External"/><Relationship Id="rId32" Type="http://schemas.openxmlformats.org/officeDocument/2006/relationships/hyperlink" Target="mailto:berlin.bangkok@hotmail.com?subject=Ready%20to%20Move%20in%20Right%20Now%20|%20Barsha%20Villa" TargetMode="External"/><Relationship Id="rId35" Type="http://schemas.openxmlformats.org/officeDocument/2006/relationships/hyperlink" Target="https://www.propertyfinder.ae/en/commercial-rent/retail-for-rent-dubai-difc-sky-gardens-5913199.html" TargetMode="External"/><Relationship Id="rId34" Type="http://schemas.openxmlformats.org/officeDocument/2006/relationships/hyperlink" Target="mailto:hajarbihi@gmail.com?subject=Cozy%20Running%20Italian%20Restaurant%20in%20DIFC" TargetMode="External"/><Relationship Id="rId37" Type="http://schemas.openxmlformats.org/officeDocument/2006/relationships/hyperlink" Target="mailto:mounir@fresh.com.eg?subject=Sea%20View%20|%20Jacuzzi%20|%20Huge%20Terrace%20|%202%20BR" TargetMode="External"/><Relationship Id="rId36" Type="http://schemas.openxmlformats.org/officeDocument/2006/relationships/hyperlink" Target="mailto:nickwhitfordseb@gmail.com" TargetMode="External"/><Relationship Id="rId39" Type="http://schemas.openxmlformats.org/officeDocument/2006/relationships/hyperlink" Target="https://www.propertyfinder.ae/en/commercial-rent/retail-for-rent-dubai-difc-sky-gardens-5913199.html" TargetMode="External"/><Relationship Id="rId38" Type="http://schemas.openxmlformats.org/officeDocument/2006/relationships/hyperlink" Target="mailto:navitoor04@gmail.com?subject=Cozy%20Running%20Italian%20Restaurant%20in%20DIFC" TargetMode="External"/><Relationship Id="rId20" Type="http://schemas.openxmlformats.org/officeDocument/2006/relationships/hyperlink" Target="mailto:tom-jakim@wp.pl?subject=Best%20Offer%20100%25%20Discount%20on%20Land%20Dept%20fees" TargetMode="External"/><Relationship Id="rId22" Type="http://schemas.openxmlformats.org/officeDocument/2006/relationships/hyperlink" Target="mailto:chakaravarthy.vishnu@gmail.com?subject=Sunrise%20Bay%20at%20Emaar%20Beach%20Front%20|%201%20Bed" TargetMode="External"/><Relationship Id="rId21" Type="http://schemas.openxmlformats.org/officeDocument/2006/relationships/hyperlink" Target="mailto:yana-leonova@mail.com?subject=Huge%203%20BR%20+%20Maids%20|%20Marina%20and%20Golf%20View" TargetMode="External"/><Relationship Id="rId24" Type="http://schemas.openxmlformats.org/officeDocument/2006/relationships/hyperlink" Target="mailto:hassan.n@textureproperties.com?subject=2%20Bed%20with%20Great%20View%20of%20The%20Tower%20|%20Harbour%20Views" TargetMode="External"/><Relationship Id="rId23" Type="http://schemas.openxmlformats.org/officeDocument/2006/relationships/hyperlink" Target="mailto:fatihhoyur@hotmail.com" TargetMode="External"/><Relationship Id="rId26" Type="http://schemas.openxmlformats.org/officeDocument/2006/relationships/hyperlink" Target="mailto:vs_nr@yahoo.com?subject=Huge%203%20BR%20+%20Maids%20|%20Marina%20and%20Golf%20View" TargetMode="External"/><Relationship Id="rId25" Type="http://schemas.openxmlformats.org/officeDocument/2006/relationships/hyperlink" Target="mailto:gemate.mail@gmail.com?subject=Prestigious%20Studio%20with%20Panoramic%20View!!" TargetMode="External"/><Relationship Id="rId28" Type="http://schemas.openxmlformats.org/officeDocument/2006/relationships/hyperlink" Target="mailto:yaf500@yahoo.com?subject=Luxury%20Living%20|%20Fully%20Serviced%20with%20Views" TargetMode="External"/><Relationship Id="rId27" Type="http://schemas.openxmlformats.org/officeDocument/2006/relationships/hyperlink" Target="mailto:dhshawa@yahoo.com?subject=Relaxing%20Apartment%20with%20Golf%20Course%20view" TargetMode="External"/><Relationship Id="rId29" Type="http://schemas.openxmlformats.org/officeDocument/2006/relationships/hyperlink" Target="mailto:gabu@mercuria.com?subject=Build%20Your%20Own%20Villa%20|%20Dubai%20Hills%20Estate" TargetMode="External"/><Relationship Id="rId51" Type="http://schemas.openxmlformats.org/officeDocument/2006/relationships/drawing" Target="../drawings/drawing14.xml"/><Relationship Id="rId50" Type="http://schemas.openxmlformats.org/officeDocument/2006/relationships/hyperlink" Target="mailto:diana.kummar08@gmail.com?subject=Resale%20|%20Excellent%20Price%20|%20Downtown%20Views" TargetMode="External"/><Relationship Id="rId11" Type="http://schemas.openxmlformats.org/officeDocument/2006/relationships/hyperlink" Target="mailto:ahjalzaabi@hotmail.co.uk" TargetMode="External"/><Relationship Id="rId10" Type="http://schemas.openxmlformats.org/officeDocument/2006/relationships/hyperlink" Target="mailto:tdogan@ghc.us.com?subject=Sea%20View%20|%20Jacuzzi%20|%20Huge%20Terrace%20|%202%20BR" TargetMode="External"/><Relationship Id="rId13" Type="http://schemas.openxmlformats.org/officeDocument/2006/relationships/hyperlink" Target="mailto:luxio.dubai@gmail.com?subject=Furnished%20Salon%20at%20Xl%20Tower%20Business%20Bay" TargetMode="External"/><Relationship Id="rId12" Type="http://schemas.openxmlformats.org/officeDocument/2006/relationships/hyperlink" Target="mailto:ameneassy@ueg.ae?subject=Sea%20View%20|%20Jacuzzi%20|%20Huge%20Terrace%20|%202%20BR" TargetMode="External"/><Relationship Id="rId15" Type="http://schemas.openxmlformats.org/officeDocument/2006/relationships/hyperlink" Target="mailto:dharia.rajesh@gmail.com?subject=Restaurant%20space%20for%20lease%20on%20Marina%20Walk" TargetMode="External"/><Relationship Id="rId14" Type="http://schemas.openxmlformats.org/officeDocument/2006/relationships/hyperlink" Target="mailto:minuchawla@graffiti.net" TargetMode="External"/><Relationship Id="rId17" Type="http://schemas.openxmlformats.org/officeDocument/2006/relationships/hyperlink" Target="mailto:Lamaamin@gmail.com?subject=Huge%202%20Bedroom%20+%20Study%20in%20%20Executive%20Bay" TargetMode="External"/><Relationship Id="rId16" Type="http://schemas.openxmlformats.org/officeDocument/2006/relationships/hyperlink" Target="https://www.propertyfinder.ae/en/commercial-rent/retail-for-rent-dubai-dubai-marina-marina-first-tower-5942585.html" TargetMode="External"/><Relationship Id="rId19" Type="http://schemas.openxmlformats.org/officeDocument/2006/relationships/hyperlink" Target="mailto:jaclyn.redgwick@arcadia.sch.ae?subject=Brand%20New%20Studio%20in%20JVT%20with%20Nice%20View" TargetMode="External"/><Relationship Id="rId18" Type="http://schemas.openxmlformats.org/officeDocument/2006/relationships/hyperlink" Target="https://www.propertyfinder.ae/en/rent/apartment-for-rent-dubai-business-bay-executive-bay-5920381.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Esmaeil.esbati@gmail.com" TargetMode="External"/><Relationship Id="rId2" Type="http://schemas.openxmlformats.org/officeDocument/2006/relationships/hyperlink" Target="mailto:purchasing@icelabuae.com" TargetMode="External"/><Relationship Id="rId3" Type="http://schemas.openxmlformats.org/officeDocument/2006/relationships/hyperlink" Target="mailto:randaibahsoun@yahoo.com" TargetMode="External"/><Relationship Id="rId4" Type="http://schemas.openxmlformats.org/officeDocument/2006/relationships/hyperlink" Target="mailto:gino@ginos.se?subject=The%20Address%20at%20JBR%20Beach%20|%20Coming%20in%202020" TargetMode="External"/><Relationship Id="rId9" Type="http://schemas.openxmlformats.org/officeDocument/2006/relationships/hyperlink" Target="mailto:Hrjobnewwaiinlife@gmail.com" TargetMode="External"/><Relationship Id="rId5" Type="http://schemas.openxmlformats.org/officeDocument/2006/relationships/hyperlink" Target="mailto:nstuseck@woti.ca" TargetMode="External"/><Relationship Id="rId6" Type="http://schemas.openxmlformats.org/officeDocument/2006/relationships/hyperlink" Target="mailto:tamara.inja@gmail.com?subject=Furnished%205%20BR%20Villa%20|%20Behind%20Shangri-La" TargetMode="External"/><Relationship Id="rId7" Type="http://schemas.openxmlformats.org/officeDocument/2006/relationships/hyperlink" Target="mailto:sunny.virk88@yahoo.co.uk?subject=The%20Address%20at%20JBR%20Beach%20|%20Coming%20in%202020" TargetMode="External"/><Relationship Id="rId8" Type="http://schemas.openxmlformats.org/officeDocument/2006/relationships/hyperlink" Target="mailto:sanober.sharif@yahoo.com?subject=Amazing%20Full%20Golf%20Course%20View|%2001%20Series" TargetMode="External"/><Relationship Id="rId20" Type="http://schemas.openxmlformats.org/officeDocument/2006/relationships/hyperlink" Target="mailto:djaandjaa@hotmail.com?subject=Cheapest%20Fully%20Furnished%20|%20Luxury%20Studio" TargetMode="External"/><Relationship Id="rId22" Type="http://schemas.openxmlformats.org/officeDocument/2006/relationships/hyperlink" Target="mailto:analyn.bauyon-rivera@umdasch-shopfitting.com" TargetMode="External"/><Relationship Id="rId21" Type="http://schemas.openxmlformats.org/officeDocument/2006/relationships/hyperlink" Target="mailto:duniaa.bakri@gmail.com" TargetMode="External"/><Relationship Id="rId24" Type="http://schemas.openxmlformats.org/officeDocument/2006/relationships/drawing" Target="../drawings/drawing15.xml"/><Relationship Id="rId23" Type="http://schemas.openxmlformats.org/officeDocument/2006/relationships/hyperlink" Target="mailto:syed_alinadir@hotmail.com?subject=Ready%20to%20move%20in!%20Fully%20Furnished%201Bed!!" TargetMode="External"/><Relationship Id="rId11" Type="http://schemas.openxmlformats.org/officeDocument/2006/relationships/hyperlink" Target="mailto:kamu@indusre.ae?subject=Resale%20|%20Maple%202E%20Corner%20Unit%20|%20Call%20now" TargetMode="External"/><Relationship Id="rId10" Type="http://schemas.openxmlformats.org/officeDocument/2006/relationships/hyperlink" Target="https://mandrillapp.com/track/click/30124164/tnydu.biz?p=eyJzIjoiSWd0d2ZGUmU2Ym9zdzJFOVRiZkI1bDJGRzl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JjYWM3NjMwYTE0M2Y0Y2Y1OTIyMjRkMmI2ZGRmYzFlMVwiLFwidXJsX2lkc1wiOltcIjU4NDVmYzM2NjlmNTlhZGYwMmNmNTkyNTYzYzBhYjA3MjNiOGMzOTlcIl19In0" TargetMode="External"/><Relationship Id="rId13" Type="http://schemas.openxmlformats.org/officeDocument/2006/relationships/hyperlink" Target="https://mandrillapp.com/track/click/30124164/tnydu.biz?p=eyJzIjoiQ3l5RklhMWxWRzZGNjU3akZxdk01amViOVp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IwN2ZlNjI3YmEzNGE0NWUxOGQ2NjgzNTAwZjJmYmFjMlwiLFwidXJsX2lkc1wiOltcIjU4NDVmYzM2NjlmNTlhZGYwMmNmNTkyNTYzYzBhYjA3MjNiOGMzOTlcIl19In0" TargetMode="External"/><Relationship Id="rId12" Type="http://schemas.openxmlformats.org/officeDocument/2006/relationships/hyperlink" Target="mailto:Hrjobnewwaiinlife@gmail.com" TargetMode="External"/><Relationship Id="rId15" Type="http://schemas.openxmlformats.org/officeDocument/2006/relationships/hyperlink" Target="mailto:najageli@gmail.com?subject=Amazing%20Studio%20Apartment%20in%20Business%20Bay" TargetMode="External"/><Relationship Id="rId14" Type="http://schemas.openxmlformats.org/officeDocument/2006/relationships/hyperlink" Target="mailto:futhc18@gmail.com?subject=Luxurious%20Penthouse|Il%20Primo|Amazing%20View" TargetMode="External"/><Relationship Id="rId17" Type="http://schemas.openxmlformats.org/officeDocument/2006/relationships/hyperlink" Target="mailto:wafaalhalabi90@hotmail.com?subject=Prestigious%20Studio%20with%20Panoramic%20View!!" TargetMode="External"/><Relationship Id="rId16" Type="http://schemas.openxmlformats.org/officeDocument/2006/relationships/hyperlink" Target="mailto:mjkhansar@yahoo.com?subject=Cheapest%20Fully%20Furnished%20|%20Luxury%20Studio" TargetMode="External"/><Relationship Id="rId19" Type="http://schemas.openxmlformats.org/officeDocument/2006/relationships/hyperlink" Target="mailto:wiktorul1330@hotmail.com?subject=Best%20Offer%20100%25%20Discount%20on%20Land%20Dept%20fees" TargetMode="External"/><Relationship Id="rId18" Type="http://schemas.openxmlformats.org/officeDocument/2006/relationships/hyperlink" Target="mailto:gokhan_oslo@hot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22.88"/>
    <col customWidth="1" min="3" max="3" width="33.13"/>
    <col customWidth="1" min="4" max="4" width="16.75"/>
    <col customWidth="1" min="5" max="6" width="13.75"/>
    <col customWidth="1" min="7" max="7" width="27.0"/>
    <col customWidth="1" min="8" max="8" width="8.25"/>
    <col customWidth="1" min="9" max="9" width="5.0"/>
    <col customWidth="1" min="10" max="10" width="29.13"/>
    <col customWidth="1" min="11" max="11" width="26.88"/>
    <col customWidth="1" min="12" max="12" width="17.38"/>
    <col customWidth="1" min="13" max="13" width="13.25"/>
    <col customWidth="1" min="14" max="14" width="10.63"/>
    <col customWidth="1" min="15" max="15" width="24.13"/>
    <col customWidth="1" min="16" max="16" width="7.13"/>
    <col customWidth="1" min="17" max="17" width="13.63"/>
    <col customWidth="1" min="18" max="18" width="4.25"/>
    <col customWidth="1" min="19" max="21" width="3.88"/>
    <col customWidth="1" min="22" max="22" width="16.88"/>
    <col customWidth="1" min="23" max="23" width="27.13"/>
    <col customWidth="1" min="24" max="24" width="17.75"/>
    <col customWidth="1" min="25" max="25" width="12.75"/>
    <col customWidth="1" min="26" max="26" width="8.75"/>
    <col customWidth="1" min="27" max="27" width="38.13"/>
    <col customWidth="1" min="28" max="28" width="8.0"/>
  </cols>
  <sheetData>
    <row r="1" ht="15.75" customHeight="1">
      <c r="A1" s="1"/>
      <c r="B1" s="2" t="s">
        <v>0</v>
      </c>
      <c r="C1" s="3"/>
      <c r="D1" s="3"/>
      <c r="E1" s="3"/>
      <c r="F1" s="3"/>
      <c r="G1" s="3"/>
      <c r="H1" s="3"/>
      <c r="I1" s="4"/>
      <c r="J1" s="5" t="s">
        <v>1</v>
      </c>
      <c r="K1" s="6"/>
      <c r="L1" s="6"/>
      <c r="M1" s="7"/>
      <c r="N1" s="7"/>
      <c r="O1" s="8"/>
      <c r="P1" s="7"/>
      <c r="V1" s="9" t="s">
        <v>2</v>
      </c>
      <c r="W1" s="10"/>
      <c r="X1" s="10"/>
      <c r="Y1" s="10"/>
      <c r="Z1" s="10"/>
      <c r="AA1" s="10"/>
      <c r="AB1" s="10"/>
    </row>
    <row r="2" ht="15.75" customHeight="1">
      <c r="B2" s="11" t="s">
        <v>3</v>
      </c>
      <c r="C2" s="11" t="s">
        <v>4</v>
      </c>
      <c r="D2" s="11" t="s">
        <v>5</v>
      </c>
      <c r="E2" s="12" t="s">
        <v>6</v>
      </c>
      <c r="F2" s="12" t="s">
        <v>7</v>
      </c>
      <c r="G2" s="12" t="s">
        <v>8</v>
      </c>
      <c r="H2" s="12" t="s">
        <v>9</v>
      </c>
      <c r="I2" s="4"/>
      <c r="J2" s="4" t="s">
        <v>3</v>
      </c>
      <c r="K2" s="4" t="s">
        <v>4</v>
      </c>
      <c r="L2" s="4" t="s">
        <v>5</v>
      </c>
      <c r="M2" s="4" t="s">
        <v>6</v>
      </c>
      <c r="N2" s="4" t="s">
        <v>7</v>
      </c>
      <c r="O2" s="11" t="s">
        <v>8</v>
      </c>
      <c r="P2" s="4" t="s">
        <v>9</v>
      </c>
      <c r="Q2" s="4"/>
      <c r="R2" s="4"/>
      <c r="S2" s="4"/>
      <c r="T2" s="4"/>
      <c r="U2" s="4"/>
      <c r="V2" s="11" t="s">
        <v>3</v>
      </c>
      <c r="W2" s="11" t="s">
        <v>4</v>
      </c>
      <c r="X2" s="11" t="s">
        <v>5</v>
      </c>
      <c r="Y2" s="11" t="s">
        <v>6</v>
      </c>
      <c r="Z2" s="13" t="s">
        <v>10</v>
      </c>
      <c r="AA2" s="11" t="s">
        <v>8</v>
      </c>
      <c r="AB2" s="11"/>
    </row>
    <row r="3" ht="15.75" customHeight="1">
      <c r="A3" s="1">
        <v>1.0</v>
      </c>
      <c r="B3" s="11" t="s">
        <v>11</v>
      </c>
      <c r="C3" s="11" t="s">
        <v>12</v>
      </c>
      <c r="D3" s="14" t="s">
        <v>13</v>
      </c>
      <c r="E3" s="11"/>
      <c r="F3" s="11" t="s">
        <v>14</v>
      </c>
      <c r="G3" s="11" t="s">
        <v>15</v>
      </c>
      <c r="H3" s="11" t="s">
        <v>16</v>
      </c>
      <c r="I3" s="4">
        <v>1.0</v>
      </c>
      <c r="J3" s="15" t="s">
        <v>17</v>
      </c>
      <c r="K3" s="15" t="s">
        <v>18</v>
      </c>
      <c r="L3" s="15" t="s">
        <v>19</v>
      </c>
      <c r="M3" s="15" t="s">
        <v>20</v>
      </c>
      <c r="N3" s="15"/>
      <c r="O3" s="16"/>
      <c r="P3" s="4"/>
      <c r="Q3" s="4"/>
      <c r="R3" s="4"/>
      <c r="S3" s="4"/>
      <c r="T3" s="4"/>
      <c r="U3" s="4">
        <v>1.0</v>
      </c>
      <c r="V3" s="11" t="s">
        <v>21</v>
      </c>
      <c r="W3" s="14" t="s">
        <v>22</v>
      </c>
      <c r="X3" s="14" t="s">
        <v>23</v>
      </c>
      <c r="Y3" s="11" t="s">
        <v>24</v>
      </c>
      <c r="Z3" s="11" t="s">
        <v>14</v>
      </c>
      <c r="AA3" s="11" t="s">
        <v>25</v>
      </c>
      <c r="AB3" s="11" t="s">
        <v>16</v>
      </c>
    </row>
    <row r="4" ht="15.75" customHeight="1">
      <c r="A4" s="1">
        <v>2.0</v>
      </c>
      <c r="B4" s="11" t="s">
        <v>26</v>
      </c>
      <c r="C4" s="11" t="s">
        <v>27</v>
      </c>
      <c r="D4" s="14" t="s">
        <v>28</v>
      </c>
      <c r="E4" s="11" t="s">
        <v>29</v>
      </c>
      <c r="F4" s="11" t="s">
        <v>14</v>
      </c>
      <c r="G4" s="11" t="s">
        <v>30</v>
      </c>
      <c r="H4" s="11" t="s">
        <v>16</v>
      </c>
      <c r="I4" s="4">
        <v>2.0</v>
      </c>
      <c r="J4" s="17" t="s">
        <v>31</v>
      </c>
      <c r="K4" s="17" t="s">
        <v>32</v>
      </c>
      <c r="L4" s="17" t="s">
        <v>33</v>
      </c>
      <c r="M4" s="17" t="s">
        <v>34</v>
      </c>
      <c r="N4" s="17"/>
      <c r="O4" s="18"/>
      <c r="S4" s="1"/>
      <c r="T4" s="1"/>
      <c r="U4" s="1">
        <v>2.0</v>
      </c>
      <c r="V4" s="19" t="s">
        <v>35</v>
      </c>
      <c r="W4" s="19" t="s">
        <v>36</v>
      </c>
      <c r="X4" s="20" t="s">
        <v>37</v>
      </c>
      <c r="Y4" s="19"/>
      <c r="Z4" s="19" t="s">
        <v>38</v>
      </c>
      <c r="AA4" s="21" t="s">
        <v>39</v>
      </c>
      <c r="AB4" s="19" t="s">
        <v>16</v>
      </c>
    </row>
    <row r="5" ht="15.75" customHeight="1">
      <c r="A5" s="1">
        <v>3.0</v>
      </c>
      <c r="B5" s="19" t="s">
        <v>40</v>
      </c>
      <c r="C5" s="19" t="s">
        <v>41</v>
      </c>
      <c r="D5" s="20" t="s">
        <v>42</v>
      </c>
      <c r="E5" s="19"/>
      <c r="F5" s="19" t="s">
        <v>14</v>
      </c>
      <c r="G5" s="19" t="s">
        <v>43</v>
      </c>
      <c r="H5" s="19" t="s">
        <v>16</v>
      </c>
      <c r="I5" s="1">
        <v>3.0</v>
      </c>
      <c r="J5" s="17" t="s">
        <v>44</v>
      </c>
      <c r="K5" s="17" t="s">
        <v>45</v>
      </c>
      <c r="L5" s="17">
        <f>+971-545-147920</f>
        <v>-147494</v>
      </c>
      <c r="M5" s="22"/>
      <c r="N5" s="17"/>
      <c r="O5" s="17"/>
      <c r="S5" s="1"/>
      <c r="T5" s="1"/>
      <c r="U5" s="1">
        <v>3.0</v>
      </c>
      <c r="V5" s="19" t="s">
        <v>46</v>
      </c>
      <c r="W5" s="19"/>
      <c r="X5" s="20" t="s">
        <v>47</v>
      </c>
      <c r="Y5" s="19"/>
      <c r="Z5" s="19" t="s">
        <v>48</v>
      </c>
      <c r="AA5" s="19" t="s">
        <v>49</v>
      </c>
      <c r="AB5" s="19"/>
    </row>
    <row r="6" ht="15.75" customHeight="1">
      <c r="A6" s="1">
        <v>4.0</v>
      </c>
      <c r="B6" s="19" t="s">
        <v>50</v>
      </c>
      <c r="C6" s="19" t="s">
        <v>51</v>
      </c>
      <c r="D6" s="20" t="s">
        <v>52</v>
      </c>
      <c r="E6" s="19" t="s">
        <v>53</v>
      </c>
      <c r="F6" s="19"/>
      <c r="G6" s="19" t="s">
        <v>54</v>
      </c>
      <c r="H6" s="19" t="s">
        <v>16</v>
      </c>
      <c r="I6" s="1">
        <v>4.0</v>
      </c>
      <c r="J6" s="17" t="s">
        <v>55</v>
      </c>
      <c r="K6" s="17" t="s">
        <v>56</v>
      </c>
      <c r="L6" s="17" t="s">
        <v>57</v>
      </c>
      <c r="M6" s="17" t="s">
        <v>58</v>
      </c>
      <c r="N6" s="17"/>
      <c r="O6" s="18"/>
      <c r="S6" s="1"/>
      <c r="T6" s="1"/>
      <c r="U6" s="1">
        <v>4.0</v>
      </c>
      <c r="V6" s="19"/>
      <c r="W6" s="19"/>
      <c r="X6" s="19"/>
      <c r="Y6" s="19"/>
      <c r="Z6" s="19"/>
      <c r="AA6" s="19" t="s">
        <v>59</v>
      </c>
      <c r="AB6" s="19"/>
    </row>
    <row r="7" ht="15.75" customHeight="1">
      <c r="A7" s="1">
        <v>5.0</v>
      </c>
      <c r="B7" s="19" t="s">
        <v>60</v>
      </c>
      <c r="C7" s="19" t="s">
        <v>61</v>
      </c>
      <c r="D7" s="20" t="s">
        <v>62</v>
      </c>
      <c r="E7" s="19" t="s">
        <v>63</v>
      </c>
      <c r="F7" s="19"/>
      <c r="G7" s="19" t="s">
        <v>64</v>
      </c>
      <c r="H7" s="19" t="s">
        <v>16</v>
      </c>
      <c r="I7" s="1">
        <v>5.0</v>
      </c>
      <c r="J7" s="17" t="s">
        <v>65</v>
      </c>
      <c r="K7" s="17" t="s">
        <v>66</v>
      </c>
      <c r="L7" s="17" t="s">
        <v>67</v>
      </c>
      <c r="M7" s="22"/>
      <c r="N7" s="17"/>
      <c r="O7" s="17"/>
      <c r="S7" s="1"/>
      <c r="T7" s="1"/>
      <c r="U7" s="1">
        <v>5.0</v>
      </c>
      <c r="V7" s="19" t="s">
        <v>68</v>
      </c>
      <c r="W7" s="19" t="s">
        <v>69</v>
      </c>
      <c r="X7" s="20" t="s">
        <v>70</v>
      </c>
      <c r="Y7" s="19" t="s">
        <v>71</v>
      </c>
      <c r="Z7" s="19"/>
      <c r="AA7" s="20" t="s">
        <v>72</v>
      </c>
      <c r="AB7" s="19"/>
    </row>
    <row r="8" ht="15.75" customHeight="1">
      <c r="A8" s="1">
        <v>6.0</v>
      </c>
      <c r="B8" s="19" t="s">
        <v>73</v>
      </c>
      <c r="C8" s="19" t="s">
        <v>74</v>
      </c>
      <c r="D8" s="20" t="s">
        <v>75</v>
      </c>
      <c r="E8" s="19"/>
      <c r="F8" s="19" t="s">
        <v>76</v>
      </c>
      <c r="G8" s="19" t="s">
        <v>77</v>
      </c>
      <c r="H8" s="19" t="s">
        <v>16</v>
      </c>
      <c r="I8" s="1">
        <v>6.0</v>
      </c>
      <c r="J8" s="17" t="s">
        <v>78</v>
      </c>
      <c r="K8" s="17" t="s">
        <v>79</v>
      </c>
      <c r="L8" s="17">
        <f>+971-568-280285</f>
        <v>-279882</v>
      </c>
      <c r="M8" s="22"/>
      <c r="N8" s="17"/>
      <c r="O8" s="17"/>
      <c r="S8" s="1"/>
      <c r="T8" s="1"/>
      <c r="U8" s="1">
        <v>6.0</v>
      </c>
      <c r="V8" s="19" t="s">
        <v>80</v>
      </c>
      <c r="W8" s="19" t="s">
        <v>81</v>
      </c>
      <c r="X8" s="19" t="s">
        <v>82</v>
      </c>
      <c r="Y8" s="19" t="s">
        <v>83</v>
      </c>
      <c r="Z8" s="19"/>
      <c r="AA8" s="19" t="s">
        <v>84</v>
      </c>
      <c r="AB8" s="19"/>
    </row>
    <row r="9" ht="15.75" customHeight="1">
      <c r="A9" s="1">
        <v>7.0</v>
      </c>
      <c r="B9" s="19" t="s">
        <v>85</v>
      </c>
      <c r="C9" s="19" t="s">
        <v>86</v>
      </c>
      <c r="D9" s="19" t="s">
        <v>87</v>
      </c>
      <c r="E9" s="19"/>
      <c r="F9" s="19"/>
      <c r="G9" s="19" t="s">
        <v>88</v>
      </c>
      <c r="H9" s="19" t="s">
        <v>89</v>
      </c>
      <c r="I9" s="1">
        <v>7.0</v>
      </c>
      <c r="J9" s="17" t="s">
        <v>90</v>
      </c>
      <c r="K9" s="17" t="s">
        <v>91</v>
      </c>
      <c r="L9" s="17">
        <v>9.71509099324E11</v>
      </c>
      <c r="M9" s="17" t="s">
        <v>92</v>
      </c>
      <c r="N9" s="17"/>
      <c r="O9" s="18"/>
      <c r="S9" s="1"/>
      <c r="T9" s="1"/>
      <c r="U9" s="1">
        <v>7.0</v>
      </c>
      <c r="V9" s="19" t="s">
        <v>93</v>
      </c>
      <c r="W9" s="19" t="s">
        <v>81</v>
      </c>
      <c r="X9" s="19" t="s">
        <v>82</v>
      </c>
      <c r="Y9" s="19" t="s">
        <v>83</v>
      </c>
      <c r="Z9" s="19"/>
      <c r="AA9" s="19" t="s">
        <v>94</v>
      </c>
      <c r="AB9" s="19"/>
    </row>
    <row r="10" ht="15.75" customHeight="1">
      <c r="A10" s="1">
        <v>8.0</v>
      </c>
      <c r="B10" s="19" t="s">
        <v>95</v>
      </c>
      <c r="C10" s="19" t="s">
        <v>96</v>
      </c>
      <c r="D10" s="19" t="s">
        <v>97</v>
      </c>
      <c r="E10" s="19" t="s">
        <v>98</v>
      </c>
      <c r="F10" s="19"/>
      <c r="G10" s="19" t="s">
        <v>88</v>
      </c>
      <c r="H10" s="19" t="s">
        <v>89</v>
      </c>
      <c r="I10" s="1">
        <v>8.0</v>
      </c>
      <c r="J10" s="17" t="s">
        <v>99</v>
      </c>
      <c r="K10" s="17" t="s">
        <v>100</v>
      </c>
      <c r="L10" s="17" t="s">
        <v>101</v>
      </c>
      <c r="M10" s="17" t="s">
        <v>34</v>
      </c>
      <c r="O10" s="19"/>
      <c r="P10" s="1"/>
      <c r="Q10" s="1"/>
      <c r="R10" s="1"/>
      <c r="S10" s="1"/>
      <c r="T10" s="1"/>
      <c r="U10" s="1">
        <v>8.0</v>
      </c>
      <c r="V10" s="19" t="s">
        <v>68</v>
      </c>
      <c r="W10" s="19" t="s">
        <v>102</v>
      </c>
      <c r="X10" s="19" t="s">
        <v>103</v>
      </c>
      <c r="Y10" s="19" t="s">
        <v>71</v>
      </c>
      <c r="Z10" s="19"/>
      <c r="AA10" s="19" t="s">
        <v>104</v>
      </c>
      <c r="AB10" s="19"/>
    </row>
    <row r="11" ht="15.75" customHeight="1">
      <c r="A11" s="1">
        <v>9.0</v>
      </c>
      <c r="B11" s="19" t="s">
        <v>105</v>
      </c>
      <c r="C11" s="19" t="s">
        <v>106</v>
      </c>
      <c r="D11" s="19" t="s">
        <v>107</v>
      </c>
      <c r="E11" s="23" t="s">
        <v>108</v>
      </c>
      <c r="F11" s="19"/>
      <c r="G11" s="19" t="s">
        <v>109</v>
      </c>
      <c r="H11" s="19" t="s">
        <v>89</v>
      </c>
      <c r="I11" s="1">
        <v>9.0</v>
      </c>
      <c r="J11" s="17" t="s">
        <v>110</v>
      </c>
      <c r="K11" s="17" t="s">
        <v>111</v>
      </c>
      <c r="L11" s="17" t="s">
        <v>112</v>
      </c>
      <c r="M11" s="17" t="s">
        <v>113</v>
      </c>
      <c r="O11" s="19"/>
      <c r="P11" s="1"/>
      <c r="Q11" s="1"/>
      <c r="R11" s="1"/>
      <c r="S11" s="1"/>
      <c r="T11" s="1"/>
      <c r="U11" s="1">
        <v>9.0</v>
      </c>
      <c r="V11" s="1" t="s">
        <v>68</v>
      </c>
      <c r="W11" s="1" t="s">
        <v>114</v>
      </c>
      <c r="X11" s="1" t="s">
        <v>115</v>
      </c>
      <c r="Y11" s="1" t="s">
        <v>71</v>
      </c>
      <c r="Z11" s="19"/>
      <c r="AA11" s="19" t="s">
        <v>116</v>
      </c>
      <c r="AB11" s="19"/>
    </row>
    <row r="12" ht="15.75" customHeight="1">
      <c r="A12" s="1">
        <v>10.0</v>
      </c>
      <c r="B12" s="19" t="s">
        <v>117</v>
      </c>
      <c r="C12" s="19" t="s">
        <v>118</v>
      </c>
      <c r="D12" s="19" t="s">
        <v>119</v>
      </c>
      <c r="E12" s="19" t="s">
        <v>108</v>
      </c>
      <c r="F12" s="19"/>
      <c r="G12" s="19" t="s">
        <v>109</v>
      </c>
      <c r="H12" s="19" t="s">
        <v>89</v>
      </c>
      <c r="I12" s="1">
        <v>10.0</v>
      </c>
      <c r="J12" s="17" t="s">
        <v>120</v>
      </c>
      <c r="K12" s="17" t="s">
        <v>121</v>
      </c>
      <c r="L12" s="22"/>
      <c r="M12" s="17" t="s">
        <v>34</v>
      </c>
      <c r="O12" s="19"/>
      <c r="P12" s="1"/>
      <c r="Q12" s="1"/>
      <c r="R12" s="1"/>
      <c r="S12" s="1"/>
      <c r="T12" s="1"/>
      <c r="U12" s="1">
        <v>10.0</v>
      </c>
      <c r="V12" s="1" t="s">
        <v>122</v>
      </c>
      <c r="W12" s="1" t="s">
        <v>123</v>
      </c>
      <c r="X12" s="1" t="s">
        <v>124</v>
      </c>
      <c r="Y12" s="1" t="s">
        <v>125</v>
      </c>
      <c r="Z12" s="19"/>
      <c r="AA12" s="1" t="s">
        <v>126</v>
      </c>
      <c r="AB12" s="19"/>
    </row>
    <row r="13" ht="15.75" customHeight="1">
      <c r="A13" s="1">
        <v>11.0</v>
      </c>
      <c r="B13" s="19" t="s">
        <v>127</v>
      </c>
      <c r="C13" s="19" t="s">
        <v>128</v>
      </c>
      <c r="D13" s="20" t="s">
        <v>129</v>
      </c>
      <c r="E13" s="19" t="s">
        <v>108</v>
      </c>
      <c r="F13" s="19"/>
      <c r="G13" s="19" t="s">
        <v>130</v>
      </c>
      <c r="H13" s="19" t="s">
        <v>89</v>
      </c>
      <c r="I13" s="1">
        <v>11.0</v>
      </c>
      <c r="L13" s="24">
        <f>+971507051276</f>
        <v>971507051276</v>
      </c>
      <c r="M13" s="1"/>
      <c r="N13" s="25" t="s">
        <v>131</v>
      </c>
      <c r="O13" s="19"/>
      <c r="P13" s="1" t="s">
        <v>16</v>
      </c>
      <c r="Q13" s="1"/>
      <c r="R13" s="1"/>
      <c r="S13" s="1"/>
      <c r="T13" s="1"/>
      <c r="U13" s="1">
        <v>11.0</v>
      </c>
      <c r="Z13" s="19"/>
      <c r="AB13" s="19"/>
    </row>
    <row r="14" ht="15.75" customHeight="1">
      <c r="A14" s="1">
        <v>12.0</v>
      </c>
      <c r="B14" s="19" t="s">
        <v>132</v>
      </c>
      <c r="C14" s="19" t="s">
        <v>133</v>
      </c>
      <c r="D14" s="20" t="s">
        <v>134</v>
      </c>
      <c r="E14" s="19" t="s">
        <v>135</v>
      </c>
      <c r="F14" s="19"/>
      <c r="G14" s="19" t="s">
        <v>136</v>
      </c>
      <c r="H14" s="19" t="s">
        <v>89</v>
      </c>
      <c r="I14" s="1">
        <v>12.0</v>
      </c>
      <c r="L14" s="24">
        <f>+971503337118</f>
        <v>971503337118</v>
      </c>
      <c r="M14" s="1"/>
      <c r="N14" s="25" t="s">
        <v>131</v>
      </c>
      <c r="O14" s="19"/>
      <c r="P14" s="1" t="s">
        <v>16</v>
      </c>
      <c r="Q14" s="1"/>
      <c r="R14" s="1"/>
      <c r="S14" s="1"/>
      <c r="T14" s="1"/>
      <c r="U14" s="1">
        <v>12.0</v>
      </c>
      <c r="X14" s="19"/>
      <c r="Z14" s="19"/>
      <c r="AB14" s="19"/>
    </row>
    <row r="15" ht="15.75" customHeight="1">
      <c r="A15" s="1">
        <v>13.0</v>
      </c>
      <c r="B15" s="19" t="s">
        <v>137</v>
      </c>
      <c r="C15" s="19" t="s">
        <v>138</v>
      </c>
      <c r="D15" s="19">
        <v>9.7333718876E10</v>
      </c>
      <c r="E15" s="19" t="s">
        <v>139</v>
      </c>
      <c r="F15" s="19"/>
      <c r="G15" s="19" t="s">
        <v>136</v>
      </c>
      <c r="H15" s="19" t="s">
        <v>89</v>
      </c>
      <c r="I15" s="1">
        <v>13.0</v>
      </c>
      <c r="M15" s="1"/>
      <c r="N15" s="1"/>
      <c r="O15" s="19"/>
      <c r="P15" s="1"/>
      <c r="Q15" s="1"/>
      <c r="R15" s="1"/>
      <c r="S15" s="1"/>
      <c r="T15" s="1"/>
      <c r="U15" s="1">
        <v>13.0</v>
      </c>
      <c r="W15" s="19"/>
      <c r="X15" s="19"/>
      <c r="Z15" s="19"/>
      <c r="AB15" s="19"/>
    </row>
    <row r="16" ht="15.75" customHeight="1">
      <c r="A16" s="1">
        <v>14.0</v>
      </c>
      <c r="B16" s="19" t="s">
        <v>140</v>
      </c>
      <c r="C16" s="19" t="s">
        <v>141</v>
      </c>
      <c r="D16" s="19" t="s">
        <v>142</v>
      </c>
      <c r="E16" s="19" t="s">
        <v>143</v>
      </c>
      <c r="F16" s="19"/>
      <c r="G16" s="19" t="s">
        <v>144</v>
      </c>
      <c r="H16" s="19" t="s">
        <v>89</v>
      </c>
      <c r="I16" s="1">
        <v>14.0</v>
      </c>
      <c r="M16" s="1"/>
      <c r="N16" s="1"/>
      <c r="O16" s="19"/>
      <c r="P16" s="1"/>
      <c r="Q16" s="1"/>
      <c r="R16" s="1"/>
      <c r="S16" s="1"/>
      <c r="T16" s="1"/>
      <c r="U16" s="1">
        <v>14.0</v>
      </c>
      <c r="V16" s="19"/>
      <c r="W16" s="19"/>
      <c r="X16" s="19"/>
      <c r="Z16" s="19"/>
      <c r="AB16" s="19"/>
    </row>
    <row r="17" ht="15.75" customHeight="1">
      <c r="A17" s="1">
        <v>15.0</v>
      </c>
      <c r="B17" s="19" t="s">
        <v>145</v>
      </c>
      <c r="C17" s="19" t="s">
        <v>146</v>
      </c>
      <c r="D17" s="19" t="s">
        <v>147</v>
      </c>
      <c r="E17" s="19" t="s">
        <v>143</v>
      </c>
      <c r="F17" s="19"/>
      <c r="G17" s="19" t="s">
        <v>148</v>
      </c>
      <c r="H17" s="19" t="s">
        <v>89</v>
      </c>
      <c r="I17" s="1">
        <v>15.0</v>
      </c>
      <c r="M17" s="1"/>
      <c r="N17" s="1"/>
      <c r="O17" s="19"/>
      <c r="P17" s="1"/>
      <c r="Q17" s="1"/>
      <c r="R17" s="1"/>
      <c r="S17" s="1"/>
      <c r="T17" s="1"/>
      <c r="U17" s="1">
        <v>15.0</v>
      </c>
      <c r="V17" s="19"/>
      <c r="W17" s="19"/>
      <c r="X17" s="19"/>
      <c r="Y17" s="19"/>
      <c r="Z17" s="19"/>
      <c r="AB17" s="19"/>
    </row>
    <row r="18" ht="15.75" customHeight="1">
      <c r="A18" s="1">
        <v>16.0</v>
      </c>
      <c r="B18" s="19" t="s">
        <v>149</v>
      </c>
      <c r="C18" s="19" t="s">
        <v>150</v>
      </c>
      <c r="D18" s="19" t="s">
        <v>151</v>
      </c>
      <c r="E18" s="19" t="s">
        <v>143</v>
      </c>
      <c r="F18" s="19"/>
      <c r="G18" s="19" t="s">
        <v>148</v>
      </c>
      <c r="H18" s="19" t="s">
        <v>89</v>
      </c>
      <c r="I18" s="1">
        <v>16.0</v>
      </c>
      <c r="M18" s="1"/>
      <c r="N18" s="1"/>
      <c r="O18" s="19"/>
      <c r="P18" s="1"/>
      <c r="Q18" s="1"/>
      <c r="R18" s="1"/>
      <c r="S18" s="1"/>
      <c r="T18" s="1"/>
      <c r="U18" s="1">
        <v>16.0</v>
      </c>
      <c r="V18" s="19"/>
      <c r="W18" s="19"/>
      <c r="X18" s="19"/>
      <c r="Y18" s="19"/>
      <c r="Z18" s="19"/>
      <c r="AB18" s="19"/>
    </row>
    <row r="19" ht="15.75" customHeight="1">
      <c r="A19" s="1">
        <v>17.0</v>
      </c>
      <c r="B19" s="1" t="s">
        <v>152</v>
      </c>
      <c r="C19" s="1" t="s">
        <v>153</v>
      </c>
      <c r="D19" s="19" t="s">
        <v>154</v>
      </c>
      <c r="E19" s="19" t="s">
        <v>155</v>
      </c>
      <c r="F19" s="19"/>
      <c r="G19" s="1" t="s">
        <v>88</v>
      </c>
      <c r="I19" s="1">
        <v>17.0</v>
      </c>
      <c r="M19" s="1"/>
      <c r="N19" s="1"/>
      <c r="O19" s="19"/>
      <c r="P19" s="1"/>
      <c r="Q19" s="1"/>
      <c r="R19" s="1"/>
      <c r="S19" s="1"/>
      <c r="T19" s="1"/>
      <c r="U19" s="1">
        <v>17.0</v>
      </c>
      <c r="V19" s="19"/>
      <c r="W19" s="19"/>
      <c r="X19" s="19"/>
      <c r="Y19" s="19"/>
      <c r="Z19" s="19"/>
      <c r="AA19" s="19"/>
      <c r="AB19" s="19"/>
    </row>
    <row r="20" ht="15.75" customHeight="1">
      <c r="A20" s="1">
        <v>18.0</v>
      </c>
      <c r="B20" s="1" t="s">
        <v>156</v>
      </c>
      <c r="C20" s="1" t="s">
        <v>157</v>
      </c>
      <c r="D20" s="1" t="s">
        <v>158</v>
      </c>
      <c r="E20" s="19" t="s">
        <v>143</v>
      </c>
      <c r="F20" s="19"/>
      <c r="G20" s="1" t="s">
        <v>159</v>
      </c>
      <c r="H20" s="19"/>
      <c r="I20" s="1">
        <v>18.0</v>
      </c>
      <c r="M20" s="1"/>
      <c r="N20" s="1"/>
      <c r="O20" s="19"/>
      <c r="P20" s="1"/>
      <c r="Q20" s="1"/>
      <c r="R20" s="1"/>
      <c r="S20" s="1"/>
      <c r="T20" s="1"/>
      <c r="U20" s="1">
        <v>18.0</v>
      </c>
      <c r="V20" s="19"/>
      <c r="W20" s="19"/>
      <c r="X20" s="19"/>
      <c r="Y20" s="19"/>
      <c r="Z20" s="19"/>
      <c r="AA20" s="19"/>
      <c r="AB20" s="19"/>
    </row>
    <row r="21" ht="15.75" customHeight="1">
      <c r="A21" s="1">
        <v>19.0</v>
      </c>
      <c r="B21" s="19" t="s">
        <v>160</v>
      </c>
      <c r="C21" s="19" t="s">
        <v>161</v>
      </c>
      <c r="D21" s="19" t="s">
        <v>162</v>
      </c>
      <c r="E21" s="19" t="s">
        <v>163</v>
      </c>
      <c r="F21" s="19" t="s">
        <v>76</v>
      </c>
      <c r="G21" s="1" t="s">
        <v>164</v>
      </c>
      <c r="H21" s="19" t="s">
        <v>165</v>
      </c>
      <c r="I21" s="1">
        <v>19.0</v>
      </c>
      <c r="M21" s="1"/>
      <c r="N21" s="1"/>
      <c r="O21" s="19"/>
      <c r="P21" s="1"/>
      <c r="Q21" s="1"/>
      <c r="R21" s="1"/>
      <c r="S21" s="1"/>
      <c r="T21" s="1"/>
      <c r="U21" s="1">
        <v>19.0</v>
      </c>
      <c r="V21" s="19"/>
      <c r="W21" s="19"/>
      <c r="X21" s="19"/>
      <c r="Y21" s="19"/>
      <c r="Z21" s="19"/>
      <c r="AA21" s="19"/>
      <c r="AB21" s="19"/>
    </row>
    <row r="22" ht="15.75" customHeight="1">
      <c r="A22" s="1">
        <v>20.0</v>
      </c>
      <c r="B22" s="1" t="s">
        <v>166</v>
      </c>
      <c r="C22" s="1" t="s">
        <v>167</v>
      </c>
      <c r="D22" s="19">
        <v>9.71522915111E11</v>
      </c>
      <c r="E22" s="19"/>
      <c r="F22" s="1" t="s">
        <v>168</v>
      </c>
      <c r="G22" s="1" t="s">
        <v>169</v>
      </c>
      <c r="H22" s="19"/>
      <c r="I22" s="1">
        <v>20.0</v>
      </c>
      <c r="M22" s="1"/>
      <c r="N22" s="1"/>
      <c r="O22" s="19"/>
      <c r="P22" s="1"/>
      <c r="Q22" s="1"/>
      <c r="R22" s="1"/>
      <c r="S22" s="1"/>
      <c r="T22" s="1"/>
      <c r="U22" s="1">
        <v>20.0</v>
      </c>
      <c r="V22" s="19"/>
      <c r="W22" s="19"/>
      <c r="X22" s="19"/>
      <c r="Y22" s="19"/>
      <c r="Z22" s="19"/>
      <c r="AA22" s="19"/>
      <c r="AB22" s="19"/>
    </row>
    <row r="23" ht="15.75" customHeight="1">
      <c r="A23" s="1">
        <v>21.0</v>
      </c>
      <c r="D23" s="19"/>
      <c r="E23" s="19"/>
      <c r="H23" s="19"/>
      <c r="I23" s="1">
        <v>21.0</v>
      </c>
      <c r="M23" s="1"/>
      <c r="N23" s="1"/>
      <c r="O23" s="19"/>
      <c r="P23" s="1"/>
      <c r="Q23" s="1"/>
      <c r="R23" s="1"/>
      <c r="S23" s="1"/>
      <c r="T23" s="1"/>
      <c r="U23" s="1">
        <v>21.0</v>
      </c>
      <c r="V23" s="19"/>
      <c r="W23" s="19"/>
      <c r="X23" s="19"/>
      <c r="Y23" s="19"/>
      <c r="Z23" s="19"/>
      <c r="AA23" s="19"/>
      <c r="AB23" s="19"/>
    </row>
    <row r="24" ht="15.75" customHeight="1">
      <c r="A24" s="1">
        <v>22.0</v>
      </c>
      <c r="C24" s="19"/>
      <c r="D24" s="19"/>
      <c r="E24" s="19"/>
      <c r="H24" s="19"/>
      <c r="I24" s="1">
        <v>22.0</v>
      </c>
      <c r="M24" s="1"/>
      <c r="N24" s="1"/>
      <c r="O24" s="19"/>
      <c r="P24" s="1"/>
      <c r="Q24" s="1"/>
      <c r="R24" s="1"/>
      <c r="S24" s="1"/>
      <c r="T24" s="1"/>
      <c r="U24" s="1">
        <v>22.0</v>
      </c>
      <c r="V24" s="19"/>
      <c r="W24" s="19"/>
      <c r="X24" s="19"/>
      <c r="Y24" s="19"/>
      <c r="Z24" s="19"/>
      <c r="AA24" s="19"/>
      <c r="AB24" s="19"/>
    </row>
    <row r="25" ht="15.75" customHeight="1">
      <c r="A25" s="1">
        <v>23.0</v>
      </c>
      <c r="C25" s="19"/>
      <c r="D25" s="19"/>
      <c r="E25" s="19"/>
      <c r="H25" s="19"/>
      <c r="I25" s="1">
        <v>23.0</v>
      </c>
      <c r="M25" s="1"/>
      <c r="N25" s="1"/>
      <c r="O25" s="19"/>
      <c r="P25" s="1"/>
      <c r="Q25" s="1"/>
      <c r="R25" s="1"/>
      <c r="S25" s="1"/>
      <c r="T25" s="1"/>
      <c r="U25" s="1">
        <v>23.0</v>
      </c>
      <c r="V25" s="19"/>
      <c r="W25" s="19"/>
      <c r="X25" s="19"/>
      <c r="Y25" s="19"/>
      <c r="Z25" s="19"/>
      <c r="AA25" s="19"/>
      <c r="AB25" s="19"/>
    </row>
    <row r="26" ht="15.75" customHeight="1">
      <c r="A26" s="1">
        <v>24.0</v>
      </c>
      <c r="C26" s="19"/>
      <c r="D26" s="19"/>
      <c r="E26" s="19"/>
      <c r="F26" s="19"/>
      <c r="H26" s="19"/>
      <c r="I26" s="1">
        <v>24.0</v>
      </c>
      <c r="M26" s="1"/>
      <c r="N26" s="1"/>
      <c r="O26" s="19"/>
      <c r="P26" s="1"/>
      <c r="Q26" s="1"/>
      <c r="R26" s="1"/>
      <c r="S26" s="1"/>
      <c r="T26" s="1"/>
      <c r="U26" s="1">
        <v>24.0</v>
      </c>
      <c r="V26" s="19"/>
      <c r="W26" s="19"/>
      <c r="X26" s="19"/>
      <c r="Y26" s="19"/>
      <c r="Z26" s="19"/>
      <c r="AA26" s="19"/>
      <c r="AB26" s="19"/>
    </row>
    <row r="27" ht="15.75" customHeight="1">
      <c r="C27" s="19"/>
      <c r="D27" s="19"/>
      <c r="E27" s="19"/>
      <c r="F27" s="19"/>
      <c r="G27" s="19"/>
      <c r="H27" s="19"/>
      <c r="M27" s="1"/>
      <c r="N27" s="1"/>
      <c r="O27" s="19"/>
      <c r="P27" s="1"/>
      <c r="Q27" s="1"/>
      <c r="R27" s="1"/>
      <c r="S27" s="1"/>
      <c r="T27" s="1"/>
      <c r="U27" s="1">
        <v>25.0</v>
      </c>
      <c r="V27" s="19"/>
      <c r="W27" s="19"/>
      <c r="X27" s="19"/>
      <c r="Y27" s="19"/>
      <c r="Z27" s="19"/>
      <c r="AA27" s="19"/>
      <c r="AB27" s="19"/>
    </row>
    <row r="28" ht="15.75" customHeight="1">
      <c r="C28" s="19"/>
      <c r="D28" s="19"/>
      <c r="E28" s="19"/>
      <c r="F28" s="19"/>
      <c r="G28" s="19"/>
      <c r="H28" s="19"/>
      <c r="M28" s="1"/>
      <c r="N28" s="1"/>
      <c r="O28" s="19"/>
      <c r="P28" s="1"/>
      <c r="Q28" s="1"/>
      <c r="R28" s="1"/>
      <c r="S28" s="1"/>
      <c r="T28" s="1"/>
      <c r="U28" s="1">
        <v>26.0</v>
      </c>
      <c r="V28" s="19"/>
      <c r="W28" s="19"/>
      <c r="X28" s="19"/>
      <c r="Y28" s="19"/>
      <c r="Z28" s="19"/>
      <c r="AA28" s="19"/>
      <c r="AB28" s="19"/>
    </row>
    <row r="29" ht="15.75" customHeight="1">
      <c r="B29" s="19"/>
      <c r="C29" s="19"/>
      <c r="D29" s="19"/>
      <c r="E29" s="19"/>
      <c r="F29" s="19"/>
      <c r="G29" s="19"/>
      <c r="H29" s="19"/>
      <c r="O29" s="19"/>
      <c r="V29" s="19"/>
      <c r="W29" s="19"/>
      <c r="X29" s="19"/>
      <c r="Y29" s="19"/>
      <c r="Z29" s="19"/>
      <c r="AA29" s="19"/>
      <c r="AB29" s="19"/>
    </row>
    <row r="30" ht="15.75" customHeight="1">
      <c r="B30" s="19"/>
      <c r="C30" s="19"/>
      <c r="D30" s="19"/>
      <c r="E30" s="19"/>
      <c r="F30" s="19"/>
      <c r="G30" s="19"/>
      <c r="H30" s="19"/>
      <c r="O30" s="19"/>
      <c r="V30" s="19"/>
      <c r="W30" s="19"/>
      <c r="X30" s="19"/>
      <c r="Y30" s="19"/>
      <c r="Z30" s="19"/>
      <c r="AA30" s="19"/>
      <c r="AB30" s="19"/>
    </row>
    <row r="31" ht="15.75" customHeight="1">
      <c r="B31" s="19"/>
      <c r="C31" s="19"/>
      <c r="D31" s="19"/>
      <c r="E31" s="19"/>
      <c r="F31" s="19"/>
      <c r="G31" s="19"/>
      <c r="H31" s="19"/>
      <c r="O31" s="19"/>
      <c r="V31" s="19"/>
      <c r="W31" s="19"/>
      <c r="X31" s="19"/>
      <c r="Y31" s="19"/>
      <c r="Z31" s="19"/>
      <c r="AA31" s="19"/>
      <c r="AB31" s="19"/>
    </row>
    <row r="32" ht="15.75" customHeight="1">
      <c r="B32" s="19"/>
      <c r="C32" s="19"/>
      <c r="D32" s="19"/>
      <c r="E32" s="19"/>
      <c r="F32" s="19"/>
      <c r="G32" s="19"/>
      <c r="H32" s="19"/>
      <c r="O32" s="19"/>
      <c r="V32" s="19"/>
      <c r="W32" s="19"/>
      <c r="X32" s="19"/>
      <c r="Y32" s="19"/>
      <c r="Z32" s="19"/>
      <c r="AA32" s="19"/>
      <c r="AB32" s="19"/>
    </row>
    <row r="33" ht="15.75" customHeight="1">
      <c r="B33" s="19"/>
      <c r="C33" s="19"/>
      <c r="D33" s="19"/>
      <c r="E33" s="19"/>
      <c r="F33" s="19"/>
      <c r="G33" s="19"/>
      <c r="H33" s="19"/>
      <c r="O33" s="19"/>
      <c r="V33" s="19"/>
      <c r="W33" s="19"/>
      <c r="X33" s="19"/>
      <c r="Y33" s="19"/>
      <c r="Z33" s="19"/>
      <c r="AA33" s="19"/>
      <c r="AB33" s="19"/>
    </row>
    <row r="34" ht="15.75" customHeight="1">
      <c r="B34" s="19"/>
      <c r="C34" s="19"/>
      <c r="D34" s="19"/>
      <c r="E34" s="19"/>
      <c r="F34" s="19"/>
      <c r="G34" s="19"/>
      <c r="H34" s="19"/>
      <c r="O34" s="19"/>
      <c r="V34" s="19"/>
      <c r="W34" s="19"/>
      <c r="X34" s="19"/>
      <c r="Y34" s="19"/>
      <c r="Z34" s="19"/>
      <c r="AA34" s="19"/>
      <c r="AB34" s="19"/>
    </row>
    <row r="35" ht="15.75" customHeight="1">
      <c r="B35" s="19"/>
      <c r="C35" s="19"/>
      <c r="D35" s="19"/>
      <c r="E35" s="19"/>
      <c r="F35" s="19"/>
      <c r="G35" s="19"/>
      <c r="H35" s="19"/>
      <c r="O35" s="19"/>
      <c r="V35" s="19"/>
      <c r="W35" s="19"/>
      <c r="X35" s="19"/>
      <c r="Y35" s="19"/>
      <c r="Z35" s="19"/>
      <c r="AA35" s="19"/>
      <c r="AB35" s="19"/>
    </row>
    <row r="36" ht="15.75" customHeight="1">
      <c r="B36" s="19"/>
      <c r="C36" s="19"/>
      <c r="D36" s="19"/>
      <c r="E36" s="19"/>
      <c r="F36" s="19"/>
      <c r="G36" s="19"/>
      <c r="H36" s="19"/>
      <c r="O36" s="19"/>
      <c r="V36" s="19"/>
      <c r="W36" s="19"/>
      <c r="X36" s="19"/>
      <c r="Y36" s="19"/>
      <c r="Z36" s="19"/>
      <c r="AA36" s="19"/>
      <c r="AB36" s="19"/>
    </row>
    <row r="37" ht="15.75" customHeight="1">
      <c r="B37" s="19"/>
      <c r="C37" s="19"/>
      <c r="D37" s="19"/>
      <c r="E37" s="19"/>
      <c r="F37" s="19"/>
      <c r="G37" s="19"/>
      <c r="H37" s="19"/>
      <c r="O37" s="19"/>
      <c r="V37" s="19"/>
      <c r="W37" s="19"/>
      <c r="X37" s="19"/>
      <c r="Y37" s="19"/>
      <c r="Z37" s="19"/>
      <c r="AA37" s="19"/>
      <c r="AB37" s="19"/>
    </row>
    <row r="38" ht="15.75" customHeight="1">
      <c r="B38" s="19"/>
      <c r="C38" s="19"/>
      <c r="D38" s="19"/>
      <c r="E38" s="19"/>
      <c r="F38" s="19"/>
      <c r="G38" s="19"/>
      <c r="H38" s="19"/>
      <c r="O38" s="19"/>
      <c r="V38" s="19"/>
      <c r="W38" s="19"/>
      <c r="X38" s="19"/>
      <c r="Y38" s="19"/>
      <c r="Z38" s="19"/>
      <c r="AA38" s="19"/>
      <c r="AB38" s="19"/>
    </row>
    <row r="39" ht="15.75" customHeight="1">
      <c r="B39" s="19"/>
      <c r="C39" s="19"/>
      <c r="D39" s="19"/>
      <c r="E39" s="19"/>
      <c r="F39" s="19"/>
      <c r="G39" s="19"/>
      <c r="H39" s="19"/>
      <c r="O39" s="19"/>
      <c r="V39" s="19"/>
      <c r="W39" s="19"/>
      <c r="X39" s="19"/>
      <c r="Y39" s="19"/>
      <c r="Z39" s="19"/>
      <c r="AA39" s="19"/>
      <c r="AB39" s="19"/>
    </row>
    <row r="40" ht="15.75" customHeight="1">
      <c r="B40" s="19"/>
      <c r="C40" s="19"/>
      <c r="D40" s="19"/>
      <c r="E40" s="19"/>
      <c r="F40" s="19"/>
      <c r="G40" s="19"/>
      <c r="H40" s="19"/>
      <c r="O40" s="19"/>
      <c r="V40" s="19"/>
      <c r="W40" s="19"/>
      <c r="X40" s="19"/>
      <c r="Y40" s="19"/>
      <c r="Z40" s="19"/>
      <c r="AA40" s="19"/>
      <c r="AB40" s="19"/>
    </row>
    <row r="41" ht="15.75" customHeight="1">
      <c r="B41" s="19"/>
      <c r="C41" s="19"/>
      <c r="D41" s="19"/>
      <c r="E41" s="19"/>
      <c r="F41" s="19"/>
      <c r="G41" s="19"/>
      <c r="H41" s="19"/>
      <c r="O41" s="19"/>
      <c r="V41" s="19"/>
      <c r="W41" s="19"/>
      <c r="X41" s="19"/>
      <c r="Y41" s="19"/>
      <c r="Z41" s="19"/>
      <c r="AA41" s="19"/>
      <c r="AB41" s="19"/>
    </row>
    <row r="42" ht="15.75" customHeight="1">
      <c r="B42" s="19"/>
      <c r="C42" s="19"/>
      <c r="D42" s="19"/>
      <c r="E42" s="19"/>
      <c r="F42" s="19"/>
      <c r="G42" s="19"/>
      <c r="H42" s="19"/>
      <c r="O42" s="19"/>
      <c r="V42" s="19"/>
      <c r="W42" s="19"/>
      <c r="X42" s="19"/>
      <c r="Y42" s="19"/>
      <c r="Z42" s="19"/>
      <c r="AA42" s="19"/>
      <c r="AB42" s="19"/>
    </row>
    <row r="43" ht="15.75" customHeight="1">
      <c r="B43" s="19"/>
      <c r="C43" s="19"/>
      <c r="D43" s="19"/>
      <c r="E43" s="19"/>
      <c r="F43" s="19"/>
      <c r="G43" s="19"/>
      <c r="H43" s="19"/>
      <c r="O43" s="19"/>
      <c r="V43" s="19"/>
      <c r="W43" s="19"/>
      <c r="X43" s="19"/>
      <c r="Y43" s="19"/>
      <c r="Z43" s="19"/>
      <c r="AA43" s="19"/>
      <c r="AB43" s="19"/>
    </row>
    <row r="44" ht="15.75" customHeight="1">
      <c r="B44" s="19"/>
      <c r="C44" s="19"/>
      <c r="D44" s="19"/>
      <c r="E44" s="19"/>
      <c r="F44" s="19"/>
      <c r="G44" s="19"/>
      <c r="H44" s="19"/>
      <c r="O44" s="19"/>
      <c r="V44" s="19"/>
      <c r="W44" s="19"/>
      <c r="X44" s="19"/>
      <c r="Y44" s="19"/>
      <c r="Z44" s="19"/>
      <c r="AA44" s="19"/>
      <c r="AB44" s="19"/>
    </row>
    <row r="45" ht="15.75" customHeight="1">
      <c r="B45" s="19"/>
      <c r="C45" s="19"/>
      <c r="D45" s="19"/>
      <c r="E45" s="19"/>
      <c r="F45" s="19"/>
      <c r="G45" s="19"/>
      <c r="H45" s="19"/>
      <c r="O45" s="19"/>
      <c r="V45" s="19"/>
      <c r="W45" s="19"/>
      <c r="X45" s="19"/>
      <c r="Y45" s="19"/>
      <c r="Z45" s="19"/>
      <c r="AA45" s="19"/>
      <c r="AB45" s="19"/>
    </row>
    <row r="46" ht="15.75" customHeight="1">
      <c r="B46" s="19"/>
      <c r="C46" s="19"/>
      <c r="D46" s="19"/>
      <c r="E46" s="19"/>
      <c r="F46" s="19"/>
      <c r="G46" s="19"/>
      <c r="H46" s="19"/>
      <c r="O46" s="19"/>
      <c r="V46" s="19"/>
      <c r="W46" s="19"/>
      <c r="X46" s="19"/>
      <c r="Y46" s="19"/>
      <c r="Z46" s="19"/>
      <c r="AA46" s="19"/>
      <c r="AB46" s="19"/>
    </row>
    <row r="47" ht="15.75" customHeight="1">
      <c r="B47" s="19"/>
      <c r="C47" s="19"/>
      <c r="D47" s="19"/>
      <c r="E47" s="19"/>
      <c r="F47" s="19"/>
      <c r="G47" s="19"/>
      <c r="H47" s="19"/>
      <c r="O47" s="19"/>
      <c r="V47" s="19"/>
      <c r="W47" s="19"/>
      <c r="X47" s="19"/>
      <c r="Y47" s="19"/>
      <c r="Z47" s="19"/>
      <c r="AA47" s="19"/>
      <c r="AB47" s="19"/>
    </row>
    <row r="48" ht="15.75" customHeight="1">
      <c r="B48" s="19"/>
      <c r="C48" s="19"/>
      <c r="D48" s="19"/>
      <c r="E48" s="19"/>
      <c r="F48" s="19"/>
      <c r="G48" s="19"/>
      <c r="H48" s="19"/>
      <c r="O48" s="19"/>
      <c r="V48" s="19"/>
      <c r="W48" s="19"/>
      <c r="X48" s="19"/>
      <c r="Y48" s="19"/>
      <c r="Z48" s="19"/>
      <c r="AA48" s="19"/>
      <c r="AB48" s="19"/>
    </row>
    <row r="49" ht="15.75" customHeight="1">
      <c r="B49" s="19"/>
      <c r="C49" s="19"/>
      <c r="D49" s="19"/>
      <c r="E49" s="19"/>
      <c r="F49" s="19"/>
      <c r="G49" s="19"/>
      <c r="H49" s="19"/>
      <c r="O49" s="19"/>
      <c r="V49" s="19"/>
      <c r="W49" s="19"/>
      <c r="X49" s="19"/>
      <c r="Y49" s="19"/>
      <c r="Z49" s="19"/>
      <c r="AA49" s="19"/>
      <c r="AB49" s="19"/>
    </row>
    <row r="50" ht="15.75" customHeight="1">
      <c r="B50" s="19"/>
      <c r="C50" s="19"/>
      <c r="D50" s="19"/>
      <c r="E50" s="19"/>
      <c r="F50" s="19"/>
      <c r="G50" s="19"/>
      <c r="H50" s="19"/>
      <c r="O50" s="19"/>
      <c r="V50" s="19"/>
      <c r="W50" s="19"/>
      <c r="X50" s="19"/>
      <c r="Y50" s="19"/>
      <c r="Z50" s="19"/>
      <c r="AA50" s="19"/>
      <c r="AB50" s="19"/>
    </row>
    <row r="51" ht="15.75" customHeight="1">
      <c r="B51" s="19"/>
      <c r="C51" s="19"/>
      <c r="D51" s="19"/>
      <c r="E51" s="19"/>
      <c r="F51" s="19"/>
      <c r="G51" s="19"/>
      <c r="H51" s="19"/>
      <c r="O51" s="19"/>
      <c r="V51" s="19"/>
      <c r="W51" s="19"/>
      <c r="X51" s="19"/>
      <c r="Y51" s="19"/>
      <c r="Z51" s="19"/>
      <c r="AA51" s="19"/>
      <c r="AB51" s="19"/>
    </row>
    <row r="52" ht="15.75" customHeight="1">
      <c r="B52" s="19"/>
      <c r="C52" s="19"/>
      <c r="D52" s="19"/>
      <c r="E52" s="19"/>
      <c r="F52" s="19"/>
      <c r="G52" s="19"/>
      <c r="H52" s="19"/>
      <c r="O52" s="19"/>
      <c r="V52" s="19"/>
      <c r="W52" s="19"/>
      <c r="X52" s="19"/>
      <c r="Y52" s="19"/>
      <c r="Z52" s="19"/>
      <c r="AA52" s="19"/>
      <c r="AB52" s="19"/>
    </row>
    <row r="53" ht="15.75" customHeight="1">
      <c r="B53" s="19"/>
      <c r="C53" s="19"/>
      <c r="D53" s="19"/>
      <c r="E53" s="19"/>
      <c r="F53" s="19"/>
      <c r="G53" s="19"/>
      <c r="H53" s="19"/>
      <c r="O53" s="19"/>
      <c r="V53" s="19"/>
      <c r="W53" s="19"/>
      <c r="X53" s="19"/>
      <c r="Y53" s="19"/>
      <c r="Z53" s="19"/>
      <c r="AA53" s="19"/>
      <c r="AB53" s="19"/>
    </row>
    <row r="54" ht="15.75" customHeight="1">
      <c r="B54" s="19"/>
      <c r="C54" s="19"/>
      <c r="D54" s="19"/>
      <c r="E54" s="19"/>
      <c r="F54" s="19"/>
      <c r="G54" s="19"/>
      <c r="H54" s="19"/>
      <c r="O54" s="19"/>
      <c r="V54" s="19"/>
      <c r="W54" s="19"/>
      <c r="X54" s="19"/>
      <c r="Y54" s="19"/>
      <c r="Z54" s="19"/>
      <c r="AA54" s="19"/>
      <c r="AB54" s="19"/>
    </row>
    <row r="55" ht="15.75" customHeight="1">
      <c r="B55" s="19"/>
      <c r="C55" s="19"/>
      <c r="D55" s="19"/>
      <c r="E55" s="19"/>
      <c r="F55" s="19"/>
      <c r="G55" s="19"/>
      <c r="H55" s="19"/>
      <c r="O55" s="19"/>
      <c r="V55" s="19"/>
      <c r="W55" s="19"/>
      <c r="X55" s="19"/>
      <c r="Y55" s="19"/>
      <c r="Z55" s="19"/>
      <c r="AA55" s="19"/>
      <c r="AB55" s="19"/>
    </row>
    <row r="56" ht="15.75" customHeight="1">
      <c r="B56" s="19"/>
      <c r="C56" s="19"/>
      <c r="D56" s="19"/>
      <c r="E56" s="19"/>
      <c r="F56" s="19"/>
      <c r="G56" s="19"/>
      <c r="H56" s="19"/>
      <c r="O56" s="19"/>
      <c r="V56" s="19"/>
      <c r="W56" s="19"/>
      <c r="X56" s="19"/>
      <c r="Y56" s="19"/>
      <c r="Z56" s="19"/>
      <c r="AA56" s="19"/>
      <c r="AB56" s="19"/>
    </row>
    <row r="57" ht="15.75" customHeight="1">
      <c r="B57" s="19"/>
      <c r="C57" s="19"/>
      <c r="D57" s="19"/>
      <c r="E57" s="19"/>
      <c r="F57" s="19"/>
      <c r="G57" s="19"/>
      <c r="H57" s="19"/>
      <c r="O57" s="19"/>
      <c r="V57" s="19"/>
      <c r="W57" s="19"/>
      <c r="X57" s="19"/>
      <c r="Y57" s="19"/>
      <c r="Z57" s="19"/>
      <c r="AA57" s="19"/>
      <c r="AB57" s="19"/>
    </row>
    <row r="58" ht="15.75" customHeight="1">
      <c r="B58" s="19"/>
      <c r="C58" s="19"/>
      <c r="D58" s="19"/>
      <c r="E58" s="19"/>
      <c r="F58" s="19"/>
      <c r="G58" s="19"/>
      <c r="H58" s="19"/>
      <c r="O58" s="19"/>
      <c r="V58" s="19"/>
      <c r="W58" s="19"/>
      <c r="X58" s="19"/>
      <c r="Y58" s="19"/>
      <c r="Z58" s="19"/>
      <c r="AA58" s="19"/>
      <c r="AB58" s="19"/>
    </row>
    <row r="59" ht="15.75" customHeight="1">
      <c r="B59" s="19"/>
      <c r="C59" s="19"/>
      <c r="D59" s="19"/>
      <c r="E59" s="19"/>
      <c r="F59" s="19"/>
      <c r="G59" s="19"/>
      <c r="H59" s="19"/>
      <c r="O59" s="19"/>
      <c r="V59" s="19"/>
      <c r="W59" s="19"/>
      <c r="X59" s="19"/>
      <c r="Y59" s="19"/>
      <c r="Z59" s="19"/>
      <c r="AA59" s="19"/>
      <c r="AB59" s="19"/>
    </row>
    <row r="60" ht="15.75" customHeight="1">
      <c r="B60" s="19"/>
      <c r="C60" s="19"/>
      <c r="D60" s="19"/>
      <c r="E60" s="19"/>
      <c r="F60" s="19"/>
      <c r="G60" s="19"/>
      <c r="H60" s="19"/>
      <c r="O60" s="19"/>
      <c r="V60" s="19"/>
      <c r="W60" s="19"/>
      <c r="X60" s="19"/>
      <c r="Y60" s="19"/>
      <c r="Z60" s="19"/>
      <c r="AA60" s="19"/>
      <c r="AB60" s="19"/>
    </row>
    <row r="61" ht="15.75" customHeight="1">
      <c r="B61" s="19"/>
      <c r="C61" s="19"/>
      <c r="D61" s="19"/>
      <c r="E61" s="19"/>
      <c r="F61" s="19"/>
      <c r="G61" s="19"/>
      <c r="H61" s="19"/>
      <c r="O61" s="19"/>
      <c r="V61" s="19"/>
      <c r="W61" s="19"/>
      <c r="X61" s="19"/>
      <c r="Y61" s="19"/>
      <c r="Z61" s="19"/>
      <c r="AA61" s="19"/>
      <c r="AB61" s="19"/>
    </row>
    <row r="62" ht="15.75" customHeight="1">
      <c r="B62" s="19"/>
      <c r="C62" s="19"/>
      <c r="D62" s="19"/>
      <c r="E62" s="19"/>
      <c r="F62" s="19"/>
      <c r="G62" s="19"/>
      <c r="H62" s="19"/>
      <c r="O62" s="19"/>
      <c r="V62" s="19"/>
      <c r="W62" s="19"/>
      <c r="X62" s="19"/>
      <c r="Y62" s="19"/>
      <c r="Z62" s="19"/>
      <c r="AA62" s="19"/>
      <c r="AB62" s="19"/>
    </row>
    <row r="63" ht="15.75" customHeight="1">
      <c r="B63" s="19"/>
      <c r="C63" s="19"/>
      <c r="D63" s="19"/>
      <c r="E63" s="19"/>
      <c r="F63" s="19"/>
      <c r="G63" s="19"/>
      <c r="H63" s="19"/>
      <c r="O63" s="19"/>
      <c r="V63" s="19"/>
      <c r="W63" s="19"/>
      <c r="X63" s="19"/>
      <c r="Y63" s="19"/>
      <c r="Z63" s="19"/>
      <c r="AA63" s="19"/>
      <c r="AB63" s="19"/>
    </row>
    <row r="64" ht="15.75" customHeight="1">
      <c r="B64" s="19"/>
      <c r="C64" s="19"/>
      <c r="D64" s="19"/>
      <c r="E64" s="19"/>
      <c r="F64" s="19"/>
      <c r="G64" s="19"/>
      <c r="H64" s="19"/>
      <c r="O64" s="19"/>
      <c r="V64" s="19"/>
      <c r="W64" s="19"/>
      <c r="X64" s="19"/>
      <c r="Y64" s="19"/>
      <c r="Z64" s="19"/>
      <c r="AA64" s="19"/>
      <c r="AB64" s="19"/>
    </row>
    <row r="65" ht="15.75" customHeight="1">
      <c r="B65" s="19"/>
      <c r="C65" s="19"/>
      <c r="D65" s="19"/>
      <c r="E65" s="19"/>
      <c r="F65" s="19"/>
      <c r="G65" s="19"/>
      <c r="H65" s="19"/>
      <c r="O65" s="19"/>
      <c r="V65" s="19"/>
      <c r="W65" s="19"/>
      <c r="X65" s="19"/>
      <c r="Y65" s="19"/>
      <c r="Z65" s="19"/>
      <c r="AA65" s="19"/>
      <c r="AB65" s="19"/>
    </row>
    <row r="66" ht="15.75" customHeight="1">
      <c r="B66" s="19"/>
      <c r="C66" s="19"/>
      <c r="D66" s="19"/>
      <c r="E66" s="19"/>
      <c r="F66" s="19"/>
      <c r="G66" s="19"/>
      <c r="H66" s="19"/>
      <c r="O66" s="19"/>
      <c r="V66" s="19"/>
      <c r="W66" s="19"/>
      <c r="X66" s="19"/>
      <c r="Y66" s="19"/>
      <c r="Z66" s="19"/>
      <c r="AA66" s="19"/>
      <c r="AB66" s="19"/>
    </row>
    <row r="67" ht="15.75" customHeight="1">
      <c r="B67" s="19"/>
      <c r="C67" s="19"/>
      <c r="D67" s="19"/>
      <c r="E67" s="19"/>
      <c r="F67" s="19"/>
      <c r="G67" s="19"/>
      <c r="H67" s="19"/>
      <c r="O67" s="19"/>
      <c r="V67" s="19"/>
      <c r="W67" s="19"/>
      <c r="X67" s="19"/>
      <c r="Y67" s="19"/>
      <c r="Z67" s="19"/>
      <c r="AA67" s="19"/>
      <c r="AB67" s="19"/>
    </row>
    <row r="68" ht="15.75" customHeight="1">
      <c r="B68" s="19"/>
      <c r="C68" s="19"/>
      <c r="D68" s="19"/>
      <c r="E68" s="19"/>
      <c r="F68" s="19"/>
      <c r="G68" s="19"/>
      <c r="H68" s="19"/>
      <c r="O68" s="19"/>
      <c r="V68" s="19"/>
      <c r="W68" s="19"/>
      <c r="X68" s="19"/>
      <c r="Y68" s="19"/>
      <c r="Z68" s="19"/>
      <c r="AA68" s="19"/>
      <c r="AB68" s="19"/>
    </row>
    <row r="69" ht="15.75" customHeight="1">
      <c r="B69" s="19"/>
      <c r="C69" s="19"/>
      <c r="D69" s="19"/>
      <c r="E69" s="19"/>
      <c r="F69" s="19"/>
      <c r="G69" s="19"/>
      <c r="H69" s="19"/>
      <c r="O69" s="19"/>
      <c r="V69" s="19"/>
      <c r="W69" s="19"/>
      <c r="X69" s="19"/>
      <c r="Y69" s="19"/>
      <c r="Z69" s="19"/>
      <c r="AA69" s="19"/>
      <c r="AB69" s="19"/>
    </row>
    <row r="70" ht="15.75" customHeight="1">
      <c r="B70" s="19"/>
      <c r="C70" s="19"/>
      <c r="D70" s="19"/>
      <c r="E70" s="19"/>
      <c r="F70" s="19"/>
      <c r="G70" s="19"/>
      <c r="H70" s="19"/>
      <c r="O70" s="19"/>
      <c r="V70" s="19"/>
      <c r="W70" s="19"/>
      <c r="X70" s="19"/>
      <c r="Y70" s="19"/>
      <c r="Z70" s="19"/>
      <c r="AA70" s="19"/>
      <c r="AB70" s="19"/>
    </row>
    <row r="71" ht="15.75" customHeight="1">
      <c r="B71" s="19"/>
      <c r="C71" s="19"/>
      <c r="D71" s="19"/>
      <c r="E71" s="19"/>
      <c r="F71" s="19"/>
      <c r="G71" s="19"/>
      <c r="H71" s="19"/>
      <c r="O71" s="19"/>
      <c r="V71" s="19"/>
      <c r="W71" s="19"/>
      <c r="X71" s="19"/>
      <c r="Y71" s="19"/>
      <c r="Z71" s="19"/>
      <c r="AA71" s="19"/>
      <c r="AB71" s="19"/>
    </row>
    <row r="72" ht="15.75" customHeight="1">
      <c r="B72" s="19"/>
      <c r="C72" s="19"/>
      <c r="D72" s="19"/>
      <c r="E72" s="19"/>
      <c r="F72" s="19"/>
      <c r="G72" s="19"/>
      <c r="H72" s="19"/>
      <c r="O72" s="19"/>
      <c r="V72" s="19"/>
      <c r="W72" s="19"/>
      <c r="X72" s="19"/>
      <c r="Y72" s="19"/>
      <c r="Z72" s="19"/>
      <c r="AA72" s="19"/>
      <c r="AB72" s="19"/>
    </row>
    <row r="73" ht="15.75" customHeight="1">
      <c r="B73" s="19"/>
      <c r="C73" s="19"/>
      <c r="D73" s="19"/>
      <c r="E73" s="19"/>
      <c r="F73" s="19"/>
      <c r="G73" s="19"/>
      <c r="H73" s="19"/>
      <c r="O73" s="19"/>
      <c r="V73" s="19"/>
      <c r="W73" s="19"/>
      <c r="X73" s="19"/>
      <c r="Y73" s="19"/>
      <c r="Z73" s="19"/>
      <c r="AA73" s="19"/>
      <c r="AB73" s="19"/>
    </row>
    <row r="74" ht="15.75" customHeight="1">
      <c r="B74" s="19"/>
      <c r="C74" s="19"/>
      <c r="D74" s="19"/>
      <c r="E74" s="19"/>
      <c r="F74" s="19"/>
      <c r="G74" s="19"/>
      <c r="H74" s="19"/>
      <c r="O74" s="19"/>
      <c r="V74" s="19"/>
      <c r="W74" s="19"/>
      <c r="X74" s="19"/>
      <c r="Y74" s="19"/>
      <c r="Z74" s="19"/>
      <c r="AA74" s="19"/>
      <c r="AB74" s="19"/>
    </row>
    <row r="75" ht="15.75" customHeight="1">
      <c r="B75" s="19"/>
      <c r="C75" s="19"/>
      <c r="D75" s="19"/>
      <c r="E75" s="19"/>
      <c r="F75" s="19"/>
      <c r="G75" s="19"/>
      <c r="H75" s="19"/>
      <c r="O75" s="19"/>
      <c r="V75" s="19"/>
      <c r="W75" s="19"/>
      <c r="X75" s="19"/>
      <c r="Y75" s="19"/>
      <c r="Z75" s="19"/>
      <c r="AA75" s="19"/>
      <c r="AB75" s="19"/>
    </row>
    <row r="76" ht="15.75" customHeight="1">
      <c r="B76" s="19"/>
      <c r="C76" s="19"/>
      <c r="D76" s="19"/>
      <c r="E76" s="19"/>
      <c r="F76" s="19"/>
      <c r="G76" s="19"/>
      <c r="H76" s="19"/>
      <c r="O76" s="19"/>
      <c r="V76" s="19"/>
      <c r="W76" s="19"/>
      <c r="X76" s="19"/>
      <c r="Y76" s="19"/>
      <c r="Z76" s="19"/>
      <c r="AA76" s="19"/>
      <c r="AB76" s="19"/>
    </row>
    <row r="77" ht="15.75" customHeight="1">
      <c r="B77" s="19"/>
      <c r="C77" s="19"/>
      <c r="D77" s="19"/>
      <c r="E77" s="19"/>
      <c r="F77" s="19"/>
      <c r="G77" s="19"/>
      <c r="H77" s="19"/>
      <c r="O77" s="19"/>
      <c r="V77" s="19"/>
      <c r="W77" s="19"/>
      <c r="X77" s="19"/>
      <c r="Y77" s="19"/>
      <c r="Z77" s="19"/>
      <c r="AA77" s="19"/>
      <c r="AB77" s="19"/>
    </row>
    <row r="78" ht="15.75" customHeight="1">
      <c r="B78" s="19"/>
      <c r="C78" s="19"/>
      <c r="D78" s="19"/>
      <c r="E78" s="19"/>
      <c r="F78" s="19"/>
      <c r="G78" s="19"/>
      <c r="H78" s="19"/>
      <c r="O78" s="19"/>
      <c r="V78" s="19"/>
      <c r="W78" s="19"/>
      <c r="X78" s="19"/>
      <c r="Y78" s="19"/>
      <c r="Z78" s="19"/>
      <c r="AA78" s="19"/>
      <c r="AB78" s="19"/>
    </row>
    <row r="79" ht="15.75" customHeight="1">
      <c r="B79" s="19"/>
      <c r="C79" s="19"/>
      <c r="D79" s="19"/>
      <c r="E79" s="19"/>
      <c r="F79" s="19"/>
      <c r="G79" s="19"/>
      <c r="H79" s="19"/>
      <c r="O79" s="19"/>
      <c r="V79" s="19"/>
      <c r="W79" s="19"/>
      <c r="X79" s="19"/>
      <c r="Y79" s="19"/>
      <c r="Z79" s="19"/>
      <c r="AA79" s="19"/>
      <c r="AB79" s="19"/>
    </row>
    <row r="80" ht="15.75" customHeight="1">
      <c r="B80" s="19"/>
      <c r="C80" s="19"/>
      <c r="D80" s="19"/>
      <c r="E80" s="19"/>
      <c r="F80" s="19"/>
      <c r="G80" s="19"/>
      <c r="H80" s="19"/>
      <c r="O80" s="19"/>
      <c r="V80" s="19"/>
      <c r="W80" s="19"/>
      <c r="X80" s="19"/>
      <c r="Y80" s="19"/>
      <c r="Z80" s="19"/>
      <c r="AA80" s="19"/>
      <c r="AB80" s="19"/>
    </row>
    <row r="81" ht="15.75" customHeight="1">
      <c r="B81" s="19"/>
      <c r="C81" s="19"/>
      <c r="D81" s="19"/>
      <c r="E81" s="19"/>
      <c r="F81" s="19"/>
      <c r="G81" s="19"/>
      <c r="H81" s="19"/>
      <c r="O81" s="19"/>
      <c r="V81" s="19"/>
      <c r="W81" s="19"/>
      <c r="X81" s="19"/>
      <c r="Y81" s="19"/>
      <c r="Z81" s="19"/>
      <c r="AA81" s="19"/>
      <c r="AB81" s="19"/>
    </row>
    <row r="82" ht="15.75" customHeight="1">
      <c r="B82" s="19"/>
      <c r="C82" s="19"/>
      <c r="D82" s="19"/>
      <c r="E82" s="19"/>
      <c r="F82" s="19"/>
      <c r="G82" s="19"/>
      <c r="H82" s="19"/>
      <c r="O82" s="19"/>
      <c r="V82" s="19"/>
      <c r="W82" s="19"/>
      <c r="X82" s="19"/>
      <c r="Y82" s="19"/>
      <c r="Z82" s="19"/>
      <c r="AA82" s="19"/>
      <c r="AB82" s="19"/>
    </row>
    <row r="83" ht="15.75" customHeight="1">
      <c r="B83" s="19"/>
      <c r="C83" s="19"/>
      <c r="D83" s="19"/>
      <c r="E83" s="19"/>
      <c r="F83" s="19"/>
      <c r="G83" s="19"/>
      <c r="H83" s="19"/>
      <c r="O83" s="19"/>
      <c r="V83" s="19"/>
      <c r="W83" s="19"/>
      <c r="X83" s="19"/>
      <c r="Y83" s="19"/>
      <c r="Z83" s="19"/>
      <c r="AA83" s="19"/>
      <c r="AB83" s="19"/>
    </row>
    <row r="84" ht="15.75" customHeight="1">
      <c r="B84" s="19"/>
      <c r="C84" s="19"/>
      <c r="D84" s="19"/>
      <c r="E84" s="19"/>
      <c r="F84" s="19"/>
      <c r="G84" s="19"/>
      <c r="H84" s="19"/>
      <c r="O84" s="19"/>
      <c r="V84" s="19"/>
      <c r="W84" s="19"/>
      <c r="X84" s="19"/>
      <c r="Y84" s="19"/>
      <c r="Z84" s="19"/>
      <c r="AA84" s="19"/>
      <c r="AB84" s="19"/>
    </row>
    <row r="85" ht="15.75" customHeight="1">
      <c r="B85" s="19"/>
      <c r="C85" s="19"/>
      <c r="D85" s="19"/>
      <c r="E85" s="19"/>
      <c r="F85" s="19"/>
      <c r="G85" s="19"/>
      <c r="H85" s="19"/>
      <c r="O85" s="19"/>
      <c r="V85" s="19"/>
      <c r="W85" s="19"/>
      <c r="X85" s="19"/>
      <c r="Y85" s="19"/>
      <c r="Z85" s="19"/>
      <c r="AA85" s="19"/>
      <c r="AB85" s="19"/>
    </row>
    <row r="86" ht="15.75" customHeight="1">
      <c r="B86" s="19"/>
      <c r="C86" s="19"/>
      <c r="D86" s="19"/>
      <c r="E86" s="19"/>
      <c r="F86" s="19"/>
      <c r="G86" s="19"/>
      <c r="H86" s="19"/>
      <c r="O86" s="19"/>
      <c r="V86" s="19"/>
      <c r="W86" s="19"/>
      <c r="X86" s="19"/>
      <c r="Y86" s="19"/>
      <c r="Z86" s="19"/>
      <c r="AA86" s="19"/>
      <c r="AB86" s="19"/>
    </row>
    <row r="87" ht="15.75" customHeight="1">
      <c r="B87" s="19"/>
      <c r="C87" s="19"/>
      <c r="D87" s="19"/>
      <c r="E87" s="19"/>
      <c r="F87" s="19"/>
      <c r="G87" s="19"/>
      <c r="H87" s="19"/>
      <c r="O87" s="19"/>
      <c r="V87" s="19"/>
      <c r="W87" s="19"/>
      <c r="X87" s="19"/>
      <c r="Y87" s="19"/>
      <c r="Z87" s="19"/>
      <c r="AA87" s="19"/>
      <c r="AB87" s="19"/>
    </row>
    <row r="88" ht="15.75" customHeight="1">
      <c r="B88" s="19"/>
      <c r="C88" s="19"/>
      <c r="D88" s="19"/>
      <c r="E88" s="19"/>
      <c r="F88" s="19"/>
      <c r="G88" s="19"/>
      <c r="H88" s="19"/>
      <c r="O88" s="19"/>
      <c r="V88" s="19"/>
      <c r="W88" s="19"/>
      <c r="X88" s="19"/>
      <c r="Y88" s="19"/>
      <c r="Z88" s="19"/>
      <c r="AA88" s="19"/>
      <c r="AB88" s="19"/>
    </row>
    <row r="89" ht="15.75" customHeight="1">
      <c r="B89" s="19"/>
      <c r="C89" s="19"/>
      <c r="D89" s="19"/>
      <c r="E89" s="19"/>
      <c r="F89" s="19"/>
      <c r="G89" s="19"/>
      <c r="H89" s="19"/>
      <c r="O89" s="19"/>
      <c r="V89" s="19"/>
      <c r="W89" s="19"/>
      <c r="X89" s="19"/>
      <c r="Y89" s="19"/>
      <c r="Z89" s="19"/>
      <c r="AA89" s="19"/>
      <c r="AB89" s="19"/>
    </row>
    <row r="90" ht="15.75" customHeight="1">
      <c r="B90" s="19"/>
      <c r="C90" s="19"/>
      <c r="D90" s="19"/>
      <c r="E90" s="19"/>
      <c r="F90" s="19"/>
      <c r="G90" s="19"/>
      <c r="H90" s="19"/>
      <c r="O90" s="19"/>
      <c r="V90" s="19"/>
      <c r="W90" s="19"/>
      <c r="X90" s="19"/>
      <c r="Y90" s="19"/>
      <c r="Z90" s="19"/>
      <c r="AA90" s="19"/>
      <c r="AB90" s="19"/>
    </row>
    <row r="91" ht="15.75" customHeight="1">
      <c r="B91" s="19"/>
      <c r="C91" s="19"/>
      <c r="D91" s="19"/>
      <c r="E91" s="19"/>
      <c r="F91" s="19"/>
      <c r="G91" s="19"/>
      <c r="H91" s="19"/>
      <c r="O91" s="19"/>
      <c r="V91" s="19"/>
      <c r="W91" s="19"/>
      <c r="X91" s="19"/>
      <c r="Y91" s="19"/>
      <c r="Z91" s="19"/>
      <c r="AA91" s="19"/>
      <c r="AB91" s="19"/>
    </row>
    <row r="92" ht="15.75" customHeight="1">
      <c r="B92" s="19"/>
      <c r="C92" s="19"/>
      <c r="D92" s="19"/>
      <c r="E92" s="19"/>
      <c r="F92" s="19"/>
      <c r="G92" s="19"/>
      <c r="H92" s="19"/>
      <c r="O92" s="19"/>
      <c r="V92" s="19"/>
      <c r="W92" s="19"/>
      <c r="X92" s="19"/>
      <c r="Y92" s="19"/>
      <c r="Z92" s="19"/>
      <c r="AA92" s="19"/>
      <c r="AB92" s="19"/>
    </row>
    <row r="93" ht="15.75" customHeight="1">
      <c r="B93" s="19"/>
      <c r="C93" s="19"/>
      <c r="D93" s="19"/>
      <c r="E93" s="19"/>
      <c r="F93" s="19"/>
      <c r="G93" s="19"/>
      <c r="H93" s="19"/>
      <c r="O93" s="19"/>
      <c r="V93" s="19"/>
      <c r="W93" s="19"/>
      <c r="X93" s="19"/>
      <c r="Y93" s="19"/>
      <c r="Z93" s="19"/>
      <c r="AA93" s="19"/>
      <c r="AB93" s="19"/>
    </row>
    <row r="94" ht="15.75" customHeight="1">
      <c r="B94" s="19"/>
      <c r="C94" s="19"/>
      <c r="D94" s="19"/>
      <c r="E94" s="19"/>
      <c r="F94" s="19"/>
      <c r="G94" s="19"/>
      <c r="H94" s="19"/>
      <c r="O94" s="19"/>
      <c r="V94" s="19"/>
      <c r="W94" s="19"/>
      <c r="X94" s="19"/>
      <c r="Y94" s="19"/>
      <c r="Z94" s="19"/>
      <c r="AA94" s="19"/>
      <c r="AB94" s="19"/>
    </row>
    <row r="95" ht="15.75" customHeight="1">
      <c r="B95" s="19"/>
      <c r="C95" s="19"/>
      <c r="D95" s="19"/>
      <c r="E95" s="19"/>
      <c r="F95" s="19"/>
      <c r="G95" s="19"/>
      <c r="H95" s="19"/>
      <c r="O95" s="19"/>
      <c r="V95" s="19"/>
      <c r="W95" s="19"/>
      <c r="X95" s="19"/>
      <c r="Y95" s="19"/>
      <c r="Z95" s="19"/>
      <c r="AA95" s="19"/>
      <c r="AB95" s="19"/>
    </row>
    <row r="96" ht="15.75" customHeight="1">
      <c r="B96" s="19"/>
      <c r="C96" s="19"/>
      <c r="D96" s="19"/>
      <c r="E96" s="19"/>
      <c r="F96" s="19"/>
      <c r="G96" s="19"/>
      <c r="H96" s="19"/>
      <c r="O96" s="19"/>
      <c r="V96" s="19"/>
      <c r="W96" s="19"/>
      <c r="X96" s="19"/>
      <c r="Y96" s="19"/>
      <c r="Z96" s="19"/>
      <c r="AA96" s="19"/>
      <c r="AB96" s="19"/>
    </row>
    <row r="97" ht="15.75" customHeight="1">
      <c r="B97" s="19"/>
      <c r="C97" s="19"/>
      <c r="D97" s="19"/>
      <c r="E97" s="19"/>
      <c r="F97" s="19"/>
      <c r="G97" s="19"/>
      <c r="H97" s="19"/>
      <c r="O97" s="19"/>
      <c r="V97" s="19"/>
      <c r="W97" s="19"/>
      <c r="X97" s="19"/>
      <c r="Y97" s="19"/>
      <c r="Z97" s="19"/>
      <c r="AA97" s="19"/>
      <c r="AB97" s="19"/>
    </row>
    <row r="98" ht="15.75" customHeight="1">
      <c r="B98" s="19"/>
      <c r="C98" s="19"/>
      <c r="D98" s="19"/>
      <c r="E98" s="19"/>
      <c r="F98" s="19"/>
      <c r="G98" s="19"/>
      <c r="H98" s="19"/>
      <c r="O98" s="19"/>
      <c r="V98" s="19"/>
      <c r="W98" s="19"/>
      <c r="X98" s="19"/>
      <c r="Y98" s="19"/>
      <c r="Z98" s="19"/>
      <c r="AA98" s="19"/>
      <c r="AB98" s="19"/>
    </row>
    <row r="99" ht="15.75" customHeight="1">
      <c r="B99" s="19"/>
      <c r="C99" s="19"/>
      <c r="D99" s="19"/>
      <c r="E99" s="19"/>
      <c r="F99" s="19"/>
      <c r="G99" s="19"/>
      <c r="H99" s="19"/>
      <c r="O99" s="19"/>
      <c r="V99" s="19"/>
      <c r="W99" s="19"/>
      <c r="X99" s="19"/>
      <c r="Y99" s="19"/>
      <c r="Z99" s="19"/>
      <c r="AA99" s="19"/>
      <c r="AB99" s="19"/>
    </row>
    <row r="100" ht="15.75" customHeight="1">
      <c r="B100" s="19"/>
      <c r="C100" s="19"/>
      <c r="D100" s="19"/>
      <c r="E100" s="19"/>
      <c r="F100" s="19"/>
      <c r="G100" s="19"/>
      <c r="H100" s="19"/>
      <c r="O100" s="19"/>
      <c r="V100" s="19"/>
      <c r="W100" s="19"/>
      <c r="X100" s="19"/>
      <c r="Y100" s="19"/>
      <c r="Z100" s="19"/>
      <c r="AA100" s="19"/>
      <c r="AB100" s="19"/>
    </row>
    <row r="101" ht="15.75" customHeight="1">
      <c r="B101" s="19"/>
      <c r="C101" s="19"/>
      <c r="D101" s="19"/>
      <c r="E101" s="19"/>
      <c r="F101" s="19"/>
      <c r="G101" s="19"/>
      <c r="H101" s="19"/>
      <c r="O101" s="19"/>
      <c r="V101" s="19"/>
      <c r="W101" s="19"/>
      <c r="X101" s="19"/>
      <c r="Y101" s="19"/>
      <c r="Z101" s="19"/>
      <c r="AA101" s="19"/>
      <c r="AB101" s="19"/>
    </row>
    <row r="102" ht="15.75" customHeight="1">
      <c r="B102" s="19"/>
      <c r="C102" s="19"/>
      <c r="D102" s="19"/>
      <c r="E102" s="19"/>
      <c r="F102" s="19"/>
      <c r="G102" s="19"/>
      <c r="H102" s="19"/>
      <c r="O102" s="19"/>
      <c r="V102" s="19"/>
      <c r="W102" s="19"/>
      <c r="X102" s="19"/>
      <c r="Y102" s="19"/>
      <c r="Z102" s="19"/>
      <c r="AA102" s="19"/>
      <c r="AB102" s="19"/>
    </row>
    <row r="103" ht="15.75" customHeight="1">
      <c r="B103" s="19"/>
      <c r="C103" s="19"/>
      <c r="D103" s="19"/>
      <c r="E103" s="19"/>
      <c r="F103" s="19"/>
      <c r="G103" s="19"/>
      <c r="H103" s="19"/>
      <c r="O103" s="19"/>
      <c r="V103" s="19"/>
      <c r="W103" s="19"/>
      <c r="X103" s="19"/>
      <c r="Y103" s="19"/>
      <c r="Z103" s="19"/>
      <c r="AA103" s="19"/>
      <c r="AB103" s="19"/>
    </row>
    <row r="104" ht="15.75" customHeight="1">
      <c r="B104" s="19"/>
      <c r="C104" s="19"/>
      <c r="D104" s="19"/>
      <c r="E104" s="19"/>
      <c r="F104" s="19"/>
      <c r="G104" s="19"/>
      <c r="H104" s="19"/>
      <c r="O104" s="19"/>
      <c r="V104" s="19"/>
      <c r="W104" s="19"/>
      <c r="X104" s="19"/>
      <c r="Y104" s="19"/>
      <c r="Z104" s="19"/>
      <c r="AA104" s="19"/>
      <c r="AB104" s="19"/>
    </row>
    <row r="105" ht="15.75" customHeight="1">
      <c r="B105" s="19"/>
      <c r="C105" s="19"/>
      <c r="D105" s="19"/>
      <c r="E105" s="19"/>
      <c r="F105" s="19"/>
      <c r="G105" s="19"/>
      <c r="H105" s="19"/>
      <c r="O105" s="19"/>
      <c r="V105" s="19"/>
      <c r="W105" s="19"/>
      <c r="X105" s="19"/>
      <c r="Y105" s="19"/>
      <c r="Z105" s="19"/>
      <c r="AA105" s="19"/>
      <c r="AB105" s="19"/>
    </row>
    <row r="106" ht="15.75" customHeight="1">
      <c r="B106" s="19"/>
      <c r="C106" s="19"/>
      <c r="D106" s="19"/>
      <c r="E106" s="19"/>
      <c r="F106" s="19"/>
      <c r="G106" s="19"/>
      <c r="H106" s="19"/>
      <c r="O106" s="19"/>
      <c r="V106" s="19"/>
      <c r="W106" s="19"/>
      <c r="X106" s="19"/>
      <c r="Y106" s="19"/>
      <c r="Z106" s="19"/>
      <c r="AA106" s="19"/>
      <c r="AB106" s="19"/>
    </row>
    <row r="107" ht="15.75" customHeight="1">
      <c r="B107" s="19"/>
      <c r="C107" s="19"/>
      <c r="D107" s="19"/>
      <c r="E107" s="19"/>
      <c r="F107" s="19"/>
      <c r="G107" s="19"/>
      <c r="H107" s="19"/>
      <c r="O107" s="19"/>
      <c r="V107" s="19"/>
      <c r="W107" s="19"/>
      <c r="X107" s="19"/>
      <c r="Y107" s="19"/>
      <c r="Z107" s="19"/>
      <c r="AA107" s="19"/>
      <c r="AB107" s="19"/>
    </row>
    <row r="108" ht="15.75" customHeight="1">
      <c r="B108" s="19"/>
      <c r="C108" s="19"/>
      <c r="D108" s="19"/>
      <c r="E108" s="19"/>
      <c r="F108" s="19"/>
      <c r="G108" s="19"/>
      <c r="H108" s="19"/>
      <c r="O108" s="19"/>
      <c r="V108" s="19"/>
      <c r="W108" s="19"/>
      <c r="X108" s="19"/>
      <c r="Y108" s="19"/>
      <c r="Z108" s="19"/>
      <c r="AA108" s="19"/>
      <c r="AB108" s="19"/>
    </row>
    <row r="109" ht="15.75" customHeight="1">
      <c r="B109" s="19"/>
      <c r="C109" s="19"/>
      <c r="D109" s="19"/>
      <c r="E109" s="19"/>
      <c r="F109" s="19"/>
      <c r="G109" s="19"/>
      <c r="H109" s="19"/>
      <c r="O109" s="19"/>
      <c r="V109" s="19"/>
      <c r="W109" s="19"/>
      <c r="X109" s="19"/>
      <c r="Y109" s="19"/>
      <c r="Z109" s="19"/>
      <c r="AA109" s="19"/>
      <c r="AB109" s="19"/>
    </row>
    <row r="110" ht="15.75" customHeight="1">
      <c r="B110" s="19"/>
      <c r="C110" s="19"/>
      <c r="D110" s="19"/>
      <c r="E110" s="19"/>
      <c r="F110" s="19"/>
      <c r="G110" s="19"/>
      <c r="H110" s="19"/>
      <c r="O110" s="19"/>
      <c r="V110" s="19"/>
      <c r="W110" s="19"/>
      <c r="X110" s="19"/>
      <c r="Y110" s="19"/>
      <c r="Z110" s="19"/>
      <c r="AA110" s="19"/>
      <c r="AB110" s="19"/>
    </row>
    <row r="111" ht="15.75" customHeight="1">
      <c r="B111" s="19"/>
      <c r="C111" s="19"/>
      <c r="D111" s="19"/>
      <c r="E111" s="19"/>
      <c r="F111" s="19"/>
      <c r="G111" s="19"/>
      <c r="H111" s="19"/>
      <c r="O111" s="19"/>
      <c r="V111" s="19"/>
      <c r="W111" s="19"/>
      <c r="X111" s="19"/>
      <c r="Y111" s="19"/>
      <c r="Z111" s="19"/>
      <c r="AA111" s="19"/>
      <c r="AB111" s="19"/>
    </row>
    <row r="112" ht="15.75" customHeight="1">
      <c r="B112" s="19"/>
      <c r="C112" s="19"/>
      <c r="D112" s="19"/>
      <c r="E112" s="19"/>
      <c r="F112" s="19"/>
      <c r="G112" s="19"/>
      <c r="H112" s="19"/>
      <c r="O112" s="19"/>
      <c r="V112" s="19"/>
      <c r="W112" s="19"/>
      <c r="X112" s="19"/>
      <c r="Y112" s="19"/>
      <c r="Z112" s="19"/>
      <c r="AA112" s="19"/>
      <c r="AB112" s="19"/>
    </row>
    <row r="113" ht="15.75" customHeight="1">
      <c r="B113" s="19"/>
      <c r="C113" s="19"/>
      <c r="D113" s="19"/>
      <c r="E113" s="19"/>
      <c r="F113" s="19"/>
      <c r="G113" s="19"/>
      <c r="H113" s="19"/>
      <c r="O113" s="19"/>
      <c r="V113" s="19"/>
      <c r="W113" s="19"/>
      <c r="X113" s="19"/>
      <c r="Y113" s="19"/>
      <c r="Z113" s="19"/>
      <c r="AA113" s="19"/>
      <c r="AB113" s="19"/>
    </row>
    <row r="114" ht="15.75" customHeight="1">
      <c r="B114" s="19"/>
      <c r="C114" s="19"/>
      <c r="D114" s="19"/>
      <c r="E114" s="19"/>
      <c r="F114" s="19"/>
      <c r="G114" s="19"/>
      <c r="H114" s="19"/>
      <c r="O114" s="19"/>
      <c r="V114" s="19"/>
      <c r="W114" s="19"/>
      <c r="X114" s="19"/>
      <c r="Y114" s="19"/>
      <c r="Z114" s="19"/>
      <c r="AA114" s="19"/>
      <c r="AB114" s="19"/>
    </row>
    <row r="115" ht="15.75" customHeight="1">
      <c r="B115" s="19"/>
      <c r="C115" s="19"/>
      <c r="D115" s="19"/>
      <c r="E115" s="19"/>
      <c r="F115" s="19"/>
      <c r="G115" s="19"/>
      <c r="H115" s="19"/>
      <c r="O115" s="19"/>
      <c r="V115" s="19"/>
      <c r="W115" s="19"/>
      <c r="X115" s="19"/>
      <c r="Y115" s="19"/>
      <c r="Z115" s="19"/>
      <c r="AA115" s="19"/>
      <c r="AB115" s="19"/>
    </row>
    <row r="116" ht="15.75" customHeight="1">
      <c r="B116" s="19"/>
      <c r="C116" s="19"/>
      <c r="D116" s="19"/>
      <c r="E116" s="19"/>
      <c r="F116" s="19"/>
      <c r="G116" s="19"/>
      <c r="H116" s="19"/>
      <c r="O116" s="19"/>
      <c r="V116" s="19"/>
      <c r="W116" s="19"/>
      <c r="X116" s="19"/>
      <c r="Y116" s="19"/>
      <c r="Z116" s="19"/>
      <c r="AA116" s="19"/>
      <c r="AB116" s="19"/>
    </row>
    <row r="117" ht="15.75" customHeight="1">
      <c r="B117" s="19"/>
      <c r="C117" s="19"/>
      <c r="D117" s="19"/>
      <c r="E117" s="19"/>
      <c r="F117" s="19"/>
      <c r="G117" s="19"/>
      <c r="H117" s="19"/>
      <c r="O117" s="19"/>
      <c r="V117" s="19"/>
      <c r="W117" s="19"/>
      <c r="X117" s="19"/>
      <c r="Y117" s="19"/>
      <c r="Z117" s="19"/>
      <c r="AA117" s="19"/>
      <c r="AB117" s="19"/>
    </row>
    <row r="118" ht="15.75" customHeight="1">
      <c r="B118" s="19"/>
      <c r="C118" s="19"/>
      <c r="D118" s="19"/>
      <c r="E118" s="19"/>
      <c r="F118" s="19"/>
      <c r="G118" s="19"/>
      <c r="H118" s="19"/>
      <c r="O118" s="19"/>
      <c r="V118" s="19"/>
      <c r="W118" s="19"/>
      <c r="X118" s="19"/>
      <c r="Y118" s="19"/>
      <c r="Z118" s="19"/>
      <c r="AA118" s="19"/>
      <c r="AB118" s="19"/>
    </row>
    <row r="119" ht="15.75" customHeight="1">
      <c r="B119" s="19"/>
      <c r="C119" s="19"/>
      <c r="D119" s="19"/>
      <c r="E119" s="19"/>
      <c r="F119" s="19"/>
      <c r="G119" s="19"/>
      <c r="H119" s="19"/>
      <c r="O119" s="19"/>
      <c r="V119" s="19"/>
      <c r="W119" s="19"/>
      <c r="X119" s="19"/>
      <c r="Y119" s="19"/>
      <c r="Z119" s="19"/>
      <c r="AA119" s="19"/>
      <c r="AB119" s="19"/>
    </row>
    <row r="120" ht="15.75" customHeight="1">
      <c r="B120" s="19"/>
      <c r="C120" s="19"/>
      <c r="D120" s="19"/>
      <c r="E120" s="19"/>
      <c r="F120" s="19"/>
      <c r="G120" s="19"/>
      <c r="H120" s="19"/>
      <c r="O120" s="19"/>
      <c r="V120" s="19"/>
      <c r="W120" s="19"/>
      <c r="X120" s="19"/>
      <c r="Y120" s="19"/>
      <c r="Z120" s="19"/>
      <c r="AA120" s="19"/>
      <c r="AB120" s="19"/>
    </row>
    <row r="121" ht="15.75" customHeight="1">
      <c r="B121" s="19"/>
      <c r="C121" s="19"/>
      <c r="D121" s="19"/>
      <c r="E121" s="19"/>
      <c r="F121" s="19"/>
      <c r="G121" s="19"/>
      <c r="H121" s="19"/>
      <c r="O121" s="19"/>
      <c r="V121" s="19"/>
      <c r="W121" s="19"/>
      <c r="X121" s="19"/>
      <c r="Y121" s="19"/>
      <c r="Z121" s="19"/>
      <c r="AA121" s="19"/>
      <c r="AB121" s="19"/>
    </row>
    <row r="122" ht="15.75" customHeight="1">
      <c r="B122" s="19"/>
      <c r="C122" s="19"/>
      <c r="D122" s="19"/>
      <c r="E122" s="19"/>
      <c r="F122" s="19"/>
      <c r="G122" s="19"/>
      <c r="H122" s="19"/>
      <c r="O122" s="19"/>
      <c r="V122" s="19"/>
      <c r="W122" s="19"/>
      <c r="X122" s="19"/>
      <c r="Y122" s="19"/>
      <c r="Z122" s="19"/>
      <c r="AA122" s="19"/>
      <c r="AB122" s="19"/>
    </row>
    <row r="123" ht="15.75" customHeight="1">
      <c r="B123" s="19"/>
      <c r="C123" s="19"/>
      <c r="D123" s="19"/>
      <c r="E123" s="19"/>
      <c r="F123" s="19"/>
      <c r="G123" s="19"/>
      <c r="H123" s="19"/>
      <c r="O123" s="19"/>
      <c r="V123" s="19"/>
      <c r="W123" s="19"/>
      <c r="X123" s="19"/>
      <c r="Y123" s="19"/>
      <c r="Z123" s="19"/>
      <c r="AA123" s="19"/>
      <c r="AB123" s="19"/>
    </row>
    <row r="124" ht="15.75" customHeight="1">
      <c r="B124" s="19"/>
      <c r="C124" s="19"/>
      <c r="D124" s="19"/>
      <c r="E124" s="19"/>
      <c r="F124" s="19"/>
      <c r="G124" s="19"/>
      <c r="H124" s="19"/>
      <c r="O124" s="19"/>
      <c r="V124" s="19"/>
      <c r="W124" s="19"/>
      <c r="X124" s="19"/>
      <c r="Y124" s="19"/>
      <c r="Z124" s="19"/>
      <c r="AA124" s="19"/>
      <c r="AB124" s="19"/>
    </row>
    <row r="125" ht="15.75" customHeight="1">
      <c r="B125" s="19"/>
      <c r="C125" s="19"/>
      <c r="D125" s="19"/>
      <c r="E125" s="19"/>
      <c r="F125" s="19"/>
      <c r="G125" s="19"/>
      <c r="H125" s="19"/>
      <c r="O125" s="19"/>
      <c r="V125" s="19"/>
      <c r="W125" s="19"/>
      <c r="X125" s="19"/>
      <c r="Y125" s="19"/>
      <c r="Z125" s="19"/>
      <c r="AA125" s="19"/>
      <c r="AB125" s="19"/>
    </row>
    <row r="126" ht="15.75" customHeight="1">
      <c r="B126" s="19"/>
      <c r="C126" s="19"/>
      <c r="D126" s="19"/>
      <c r="E126" s="19"/>
      <c r="F126" s="19"/>
      <c r="G126" s="19"/>
      <c r="H126" s="19"/>
      <c r="O126" s="19"/>
      <c r="V126" s="19"/>
      <c r="W126" s="19"/>
      <c r="X126" s="19"/>
      <c r="Y126" s="19"/>
      <c r="Z126" s="19"/>
      <c r="AA126" s="19"/>
      <c r="AB126" s="19"/>
    </row>
    <row r="127" ht="15.75" customHeight="1">
      <c r="B127" s="19"/>
      <c r="C127" s="19"/>
      <c r="D127" s="19"/>
      <c r="E127" s="19"/>
      <c r="F127" s="19"/>
      <c r="G127" s="19"/>
      <c r="H127" s="19"/>
      <c r="O127" s="19"/>
      <c r="V127" s="19"/>
      <c r="W127" s="19"/>
      <c r="X127" s="19"/>
      <c r="Y127" s="19"/>
      <c r="Z127" s="19"/>
      <c r="AA127" s="19"/>
      <c r="AB127" s="19"/>
    </row>
    <row r="128" ht="15.75" customHeight="1">
      <c r="B128" s="19"/>
      <c r="C128" s="19"/>
      <c r="D128" s="19"/>
      <c r="E128" s="19"/>
      <c r="F128" s="19"/>
      <c r="G128" s="19"/>
      <c r="H128" s="19"/>
      <c r="O128" s="19"/>
      <c r="V128" s="19"/>
      <c r="W128" s="19"/>
      <c r="X128" s="19"/>
      <c r="Y128" s="19"/>
      <c r="Z128" s="19"/>
      <c r="AA128" s="19"/>
      <c r="AB128" s="19"/>
    </row>
    <row r="129" ht="15.75" customHeight="1">
      <c r="B129" s="19"/>
      <c r="C129" s="19"/>
      <c r="D129" s="19"/>
      <c r="E129" s="19"/>
      <c r="F129" s="19"/>
      <c r="G129" s="19"/>
      <c r="H129" s="19"/>
      <c r="O129" s="19"/>
      <c r="V129" s="19"/>
      <c r="W129" s="19"/>
      <c r="X129" s="19"/>
      <c r="Y129" s="19"/>
      <c r="Z129" s="19"/>
      <c r="AA129" s="19"/>
      <c r="AB129" s="19"/>
    </row>
    <row r="130" ht="15.75" customHeight="1">
      <c r="B130" s="19"/>
      <c r="C130" s="19"/>
      <c r="D130" s="19"/>
      <c r="E130" s="19"/>
      <c r="F130" s="19"/>
      <c r="G130" s="19"/>
      <c r="H130" s="19"/>
      <c r="O130" s="19"/>
      <c r="V130" s="19"/>
      <c r="W130" s="19"/>
      <c r="X130" s="19"/>
      <c r="Y130" s="19"/>
      <c r="Z130" s="19"/>
      <c r="AA130" s="19"/>
      <c r="AB130" s="19"/>
    </row>
    <row r="131" ht="15.75" customHeight="1">
      <c r="B131" s="19"/>
      <c r="C131" s="19"/>
      <c r="D131" s="19"/>
      <c r="E131" s="19"/>
      <c r="F131" s="19"/>
      <c r="G131" s="19"/>
      <c r="H131" s="19"/>
      <c r="O131" s="19"/>
      <c r="V131" s="19"/>
      <c r="W131" s="19"/>
      <c r="X131" s="19"/>
      <c r="Y131" s="19"/>
      <c r="Z131" s="19"/>
      <c r="AA131" s="19"/>
      <c r="AB131" s="19"/>
    </row>
    <row r="132" ht="15.75" customHeight="1">
      <c r="B132" s="19"/>
      <c r="C132" s="19"/>
      <c r="D132" s="19"/>
      <c r="E132" s="19"/>
      <c r="F132" s="19"/>
      <c r="G132" s="19"/>
      <c r="H132" s="19"/>
      <c r="O132" s="19"/>
      <c r="V132" s="19"/>
      <c r="W132" s="19"/>
      <c r="X132" s="19"/>
      <c r="Y132" s="19"/>
      <c r="Z132" s="19"/>
      <c r="AA132" s="19"/>
      <c r="AB132" s="19"/>
    </row>
    <row r="133" ht="15.75" customHeight="1">
      <c r="B133" s="19"/>
      <c r="C133" s="19"/>
      <c r="D133" s="19"/>
      <c r="E133" s="19"/>
      <c r="F133" s="19"/>
      <c r="G133" s="19"/>
      <c r="H133" s="19"/>
      <c r="O133" s="19"/>
      <c r="V133" s="19"/>
      <c r="W133" s="19"/>
      <c r="X133" s="19"/>
      <c r="Y133" s="19"/>
      <c r="Z133" s="19"/>
      <c r="AA133" s="19"/>
      <c r="AB133" s="19"/>
    </row>
    <row r="134" ht="15.75" customHeight="1">
      <c r="B134" s="19"/>
      <c r="C134" s="19"/>
      <c r="D134" s="19"/>
      <c r="E134" s="19"/>
      <c r="F134" s="19"/>
      <c r="G134" s="19"/>
      <c r="H134" s="19"/>
      <c r="O134" s="19"/>
      <c r="V134" s="19"/>
      <c r="W134" s="19"/>
      <c r="X134" s="19"/>
      <c r="Y134" s="19"/>
      <c r="Z134" s="19"/>
      <c r="AA134" s="19"/>
      <c r="AB134" s="19"/>
    </row>
    <row r="135" ht="15.75" customHeight="1">
      <c r="B135" s="19"/>
      <c r="C135" s="19"/>
      <c r="D135" s="19"/>
      <c r="E135" s="19"/>
      <c r="F135" s="19"/>
      <c r="G135" s="19"/>
      <c r="H135" s="19"/>
      <c r="O135" s="19"/>
      <c r="V135" s="19"/>
      <c r="W135" s="19"/>
      <c r="X135" s="19"/>
      <c r="Y135" s="19"/>
      <c r="Z135" s="19"/>
      <c r="AA135" s="19"/>
      <c r="AB135" s="19"/>
    </row>
    <row r="136" ht="15.75" customHeight="1">
      <c r="B136" s="19"/>
      <c r="C136" s="19"/>
      <c r="D136" s="19"/>
      <c r="E136" s="19"/>
      <c r="F136" s="19"/>
      <c r="G136" s="19"/>
      <c r="H136" s="19"/>
      <c r="O136" s="19"/>
      <c r="V136" s="19"/>
      <c r="W136" s="19"/>
      <c r="X136" s="19"/>
      <c r="Y136" s="19"/>
      <c r="Z136" s="19"/>
      <c r="AA136" s="19"/>
      <c r="AB136" s="19"/>
    </row>
    <row r="137" ht="15.75" customHeight="1">
      <c r="B137" s="19"/>
      <c r="C137" s="19"/>
      <c r="D137" s="19"/>
      <c r="E137" s="19"/>
      <c r="F137" s="19"/>
      <c r="G137" s="19"/>
      <c r="H137" s="19"/>
      <c r="O137" s="19"/>
      <c r="V137" s="19"/>
      <c r="W137" s="19"/>
      <c r="X137" s="19"/>
      <c r="Y137" s="19"/>
      <c r="Z137" s="19"/>
      <c r="AA137" s="19"/>
      <c r="AB137" s="19"/>
    </row>
    <row r="138" ht="15.75" customHeight="1">
      <c r="B138" s="19"/>
      <c r="C138" s="19"/>
      <c r="D138" s="19"/>
      <c r="E138" s="19"/>
      <c r="F138" s="19"/>
      <c r="G138" s="19"/>
      <c r="H138" s="19"/>
      <c r="O138" s="19"/>
      <c r="V138" s="19"/>
      <c r="W138" s="19"/>
      <c r="X138" s="19"/>
      <c r="Y138" s="19"/>
      <c r="Z138" s="19"/>
      <c r="AA138" s="19"/>
      <c r="AB138" s="19"/>
    </row>
    <row r="139" ht="15.75" customHeight="1">
      <c r="B139" s="19"/>
      <c r="C139" s="19"/>
      <c r="D139" s="19"/>
      <c r="E139" s="19"/>
      <c r="F139" s="19"/>
      <c r="G139" s="19"/>
      <c r="H139" s="19"/>
      <c r="O139" s="19"/>
      <c r="V139" s="19"/>
      <c r="W139" s="19"/>
      <c r="X139" s="19"/>
      <c r="Y139" s="19"/>
      <c r="Z139" s="19"/>
      <c r="AA139" s="19"/>
      <c r="AB139" s="19"/>
    </row>
    <row r="140" ht="15.75" customHeight="1">
      <c r="B140" s="19"/>
      <c r="C140" s="19"/>
      <c r="D140" s="19"/>
      <c r="E140" s="19"/>
      <c r="F140" s="19"/>
      <c r="G140" s="19"/>
      <c r="H140" s="19"/>
      <c r="O140" s="19"/>
      <c r="V140" s="19"/>
      <c r="W140" s="19"/>
      <c r="X140" s="19"/>
      <c r="Y140" s="19"/>
      <c r="Z140" s="19"/>
      <c r="AA140" s="19"/>
      <c r="AB140" s="19"/>
    </row>
    <row r="141" ht="15.75" customHeight="1">
      <c r="B141" s="19"/>
      <c r="C141" s="19"/>
      <c r="D141" s="19"/>
      <c r="E141" s="19"/>
      <c r="F141" s="19"/>
      <c r="G141" s="19"/>
      <c r="H141" s="19"/>
      <c r="O141" s="19"/>
      <c r="V141" s="19"/>
      <c r="W141" s="19"/>
      <c r="X141" s="19"/>
      <c r="Y141" s="19"/>
      <c r="Z141" s="19"/>
      <c r="AA141" s="19"/>
      <c r="AB141" s="19"/>
    </row>
    <row r="142" ht="15.75" customHeight="1">
      <c r="B142" s="19"/>
      <c r="C142" s="19"/>
      <c r="D142" s="19"/>
      <c r="E142" s="19"/>
      <c r="F142" s="19"/>
      <c r="G142" s="19"/>
      <c r="H142" s="19"/>
      <c r="O142" s="19"/>
      <c r="V142" s="19"/>
      <c r="W142" s="19"/>
      <c r="X142" s="19"/>
      <c r="Y142" s="19"/>
      <c r="Z142" s="19"/>
      <c r="AA142" s="19"/>
      <c r="AB142" s="19"/>
    </row>
    <row r="143" ht="15.75" customHeight="1">
      <c r="B143" s="19"/>
      <c r="C143" s="19"/>
      <c r="D143" s="19"/>
      <c r="E143" s="19"/>
      <c r="F143" s="19"/>
      <c r="G143" s="19"/>
      <c r="H143" s="19"/>
      <c r="O143" s="19"/>
      <c r="V143" s="19"/>
      <c r="W143" s="19"/>
      <c r="X143" s="19"/>
      <c r="Y143" s="19"/>
      <c r="Z143" s="19"/>
      <c r="AA143" s="19"/>
      <c r="AB143" s="19"/>
    </row>
    <row r="144" ht="15.75" customHeight="1">
      <c r="B144" s="19"/>
      <c r="C144" s="19"/>
      <c r="D144" s="19"/>
      <c r="E144" s="19"/>
      <c r="F144" s="19"/>
      <c r="G144" s="19"/>
      <c r="H144" s="19"/>
      <c r="O144" s="19"/>
      <c r="V144" s="19"/>
      <c r="W144" s="19"/>
      <c r="X144" s="19"/>
      <c r="Y144" s="19"/>
      <c r="Z144" s="19"/>
      <c r="AA144" s="19"/>
      <c r="AB144" s="19"/>
    </row>
    <row r="145" ht="15.75" customHeight="1">
      <c r="B145" s="19"/>
      <c r="C145" s="19"/>
      <c r="D145" s="19"/>
      <c r="E145" s="19"/>
      <c r="F145" s="19"/>
      <c r="G145" s="19"/>
      <c r="H145" s="19"/>
      <c r="O145" s="19"/>
      <c r="V145" s="19"/>
      <c r="W145" s="19"/>
      <c r="X145" s="19"/>
      <c r="Y145" s="19"/>
      <c r="Z145" s="19"/>
      <c r="AA145" s="19"/>
      <c r="AB145" s="19"/>
    </row>
    <row r="146" ht="15.75" customHeight="1">
      <c r="B146" s="19"/>
      <c r="C146" s="19"/>
      <c r="D146" s="19"/>
      <c r="E146" s="19"/>
      <c r="F146" s="19"/>
      <c r="G146" s="19"/>
      <c r="H146" s="19"/>
      <c r="O146" s="19"/>
      <c r="V146" s="19"/>
      <c r="W146" s="19"/>
      <c r="X146" s="19"/>
      <c r="Y146" s="19"/>
      <c r="Z146" s="19"/>
      <c r="AA146" s="19"/>
      <c r="AB146" s="19"/>
    </row>
    <row r="147" ht="15.75" customHeight="1">
      <c r="B147" s="19"/>
      <c r="C147" s="19"/>
      <c r="D147" s="19"/>
      <c r="E147" s="19"/>
      <c r="F147" s="19"/>
      <c r="G147" s="19"/>
      <c r="H147" s="19"/>
      <c r="O147" s="19"/>
      <c r="V147" s="19"/>
      <c r="W147" s="19"/>
      <c r="X147" s="19"/>
      <c r="Y147" s="19"/>
      <c r="Z147" s="19"/>
      <c r="AA147" s="19"/>
      <c r="AB147" s="19"/>
    </row>
    <row r="148" ht="15.75" customHeight="1">
      <c r="B148" s="19"/>
      <c r="C148" s="19"/>
      <c r="D148" s="19"/>
      <c r="E148" s="19"/>
      <c r="F148" s="19"/>
      <c r="G148" s="19"/>
      <c r="H148" s="19"/>
      <c r="O148" s="19"/>
      <c r="V148" s="19"/>
      <c r="W148" s="19"/>
      <c r="X148" s="19"/>
      <c r="Y148" s="19"/>
      <c r="Z148" s="19"/>
      <c r="AA148" s="19"/>
      <c r="AB148" s="19"/>
    </row>
    <row r="149" ht="15.75" customHeight="1">
      <c r="B149" s="19"/>
      <c r="C149" s="19"/>
      <c r="D149" s="19"/>
      <c r="E149" s="19"/>
      <c r="F149" s="19"/>
      <c r="G149" s="19"/>
      <c r="H149" s="19"/>
      <c r="O149" s="19"/>
      <c r="V149" s="19"/>
      <c r="W149" s="19"/>
      <c r="X149" s="19"/>
      <c r="Y149" s="19"/>
      <c r="Z149" s="19"/>
      <c r="AA149" s="19"/>
      <c r="AB149" s="19"/>
    </row>
    <row r="150" ht="15.75" customHeight="1">
      <c r="B150" s="19"/>
      <c r="C150" s="19"/>
      <c r="D150" s="19"/>
      <c r="E150" s="19"/>
      <c r="F150" s="19"/>
      <c r="G150" s="19"/>
      <c r="H150" s="19"/>
      <c r="O150" s="19"/>
      <c r="V150" s="19"/>
      <c r="W150" s="19"/>
      <c r="X150" s="19"/>
      <c r="Y150" s="19"/>
      <c r="Z150" s="19"/>
      <c r="AA150" s="19"/>
      <c r="AB150" s="19"/>
    </row>
    <row r="151" ht="15.75" customHeight="1">
      <c r="B151" s="19"/>
      <c r="C151" s="19"/>
      <c r="D151" s="19"/>
      <c r="E151" s="19"/>
      <c r="F151" s="19"/>
      <c r="G151" s="19"/>
      <c r="H151" s="19"/>
      <c r="O151" s="19"/>
      <c r="V151" s="19"/>
      <c r="W151" s="19"/>
      <c r="X151" s="19"/>
      <c r="Y151" s="19"/>
      <c r="Z151" s="19"/>
      <c r="AA151" s="19"/>
      <c r="AB151" s="19"/>
    </row>
    <row r="152" ht="15.75" customHeight="1">
      <c r="B152" s="19"/>
      <c r="C152" s="19"/>
      <c r="D152" s="19"/>
      <c r="E152" s="19"/>
      <c r="F152" s="19"/>
      <c r="G152" s="19"/>
      <c r="H152" s="19"/>
      <c r="O152" s="19"/>
      <c r="V152" s="19"/>
      <c r="W152" s="19"/>
      <c r="X152" s="19"/>
      <c r="Y152" s="19"/>
      <c r="Z152" s="19"/>
      <c r="AA152" s="19"/>
      <c r="AB152" s="19"/>
    </row>
    <row r="153" ht="15.75" customHeight="1">
      <c r="B153" s="19"/>
      <c r="C153" s="19"/>
      <c r="D153" s="19"/>
      <c r="E153" s="19"/>
      <c r="F153" s="19"/>
      <c r="G153" s="19"/>
      <c r="H153" s="19"/>
      <c r="O153" s="19"/>
      <c r="V153" s="19"/>
      <c r="W153" s="19"/>
      <c r="X153" s="19"/>
      <c r="Y153" s="19"/>
      <c r="Z153" s="19"/>
      <c r="AA153" s="19"/>
      <c r="AB153" s="19"/>
    </row>
    <row r="154" ht="15.75" customHeight="1">
      <c r="B154" s="19"/>
      <c r="C154" s="19"/>
      <c r="D154" s="19"/>
      <c r="E154" s="19"/>
      <c r="F154" s="19"/>
      <c r="G154" s="19"/>
      <c r="H154" s="19"/>
      <c r="O154" s="19"/>
      <c r="V154" s="19"/>
      <c r="W154" s="19"/>
      <c r="X154" s="19"/>
      <c r="Y154" s="19"/>
      <c r="Z154" s="19"/>
      <c r="AA154" s="19"/>
      <c r="AB154" s="19"/>
    </row>
    <row r="155" ht="15.75" customHeight="1">
      <c r="B155" s="19"/>
      <c r="C155" s="19"/>
      <c r="D155" s="19"/>
      <c r="E155" s="19"/>
      <c r="F155" s="19"/>
      <c r="G155" s="19"/>
      <c r="H155" s="19"/>
      <c r="O155" s="19"/>
      <c r="V155" s="19"/>
      <c r="W155" s="19"/>
      <c r="X155" s="19"/>
      <c r="Y155" s="19"/>
      <c r="Z155" s="19"/>
      <c r="AA155" s="19"/>
      <c r="AB155" s="19"/>
    </row>
    <row r="156" ht="15.75" customHeight="1">
      <c r="B156" s="19"/>
      <c r="C156" s="19"/>
      <c r="D156" s="19"/>
      <c r="E156" s="19"/>
      <c r="F156" s="19"/>
      <c r="G156" s="19"/>
      <c r="H156" s="19"/>
      <c r="O156" s="19"/>
      <c r="V156" s="19"/>
      <c r="W156" s="19"/>
      <c r="X156" s="19"/>
      <c r="Y156" s="19"/>
      <c r="Z156" s="19"/>
      <c r="AA156" s="19"/>
      <c r="AB156" s="19"/>
    </row>
    <row r="157" ht="15.75" customHeight="1">
      <c r="B157" s="19"/>
      <c r="C157" s="19"/>
      <c r="D157" s="19"/>
      <c r="E157" s="19"/>
      <c r="F157" s="19"/>
      <c r="G157" s="19"/>
      <c r="H157" s="19"/>
      <c r="O157" s="19"/>
      <c r="V157" s="19"/>
      <c r="W157" s="19"/>
      <c r="X157" s="19"/>
      <c r="Y157" s="19"/>
      <c r="Z157" s="19"/>
      <c r="AA157" s="19"/>
      <c r="AB157" s="19"/>
    </row>
    <row r="158" ht="15.75" customHeight="1">
      <c r="B158" s="19"/>
      <c r="C158" s="19"/>
      <c r="D158" s="19"/>
      <c r="E158" s="19"/>
      <c r="F158" s="19"/>
      <c r="G158" s="19"/>
      <c r="H158" s="19"/>
      <c r="O158" s="19"/>
      <c r="V158" s="19"/>
      <c r="W158" s="19"/>
      <c r="X158" s="19"/>
      <c r="Y158" s="19"/>
      <c r="Z158" s="19"/>
      <c r="AA158" s="19"/>
      <c r="AB158" s="19"/>
    </row>
    <row r="159" ht="15.75" customHeight="1">
      <c r="B159" s="19"/>
      <c r="C159" s="19"/>
      <c r="D159" s="19"/>
      <c r="E159" s="19"/>
      <c r="F159" s="19"/>
      <c r="G159" s="19"/>
      <c r="H159" s="19"/>
      <c r="O159" s="19"/>
      <c r="V159" s="19"/>
      <c r="W159" s="19"/>
      <c r="X159" s="19"/>
      <c r="Y159" s="19"/>
      <c r="Z159" s="19"/>
      <c r="AA159" s="19"/>
      <c r="AB159" s="19"/>
    </row>
    <row r="160" ht="15.75" customHeight="1">
      <c r="B160" s="19"/>
      <c r="C160" s="19"/>
      <c r="D160" s="19"/>
      <c r="E160" s="19"/>
      <c r="F160" s="19"/>
      <c r="G160" s="19"/>
      <c r="H160" s="19"/>
      <c r="O160" s="19"/>
      <c r="V160" s="19"/>
      <c r="W160" s="19"/>
      <c r="X160" s="19"/>
      <c r="Y160" s="19"/>
      <c r="Z160" s="19"/>
      <c r="AA160" s="19"/>
      <c r="AB160" s="19"/>
    </row>
    <row r="161" ht="15.75" customHeight="1">
      <c r="B161" s="19"/>
      <c r="C161" s="19"/>
      <c r="D161" s="19"/>
      <c r="E161" s="19"/>
      <c r="F161" s="19"/>
      <c r="G161" s="19"/>
      <c r="H161" s="19"/>
      <c r="O161" s="19"/>
      <c r="V161" s="19"/>
      <c r="W161" s="19"/>
      <c r="X161" s="19"/>
      <c r="Y161" s="19"/>
      <c r="Z161" s="19"/>
      <c r="AA161" s="19"/>
      <c r="AB161" s="19"/>
    </row>
    <row r="162" ht="15.75" customHeight="1">
      <c r="B162" s="19"/>
      <c r="C162" s="19"/>
      <c r="D162" s="19"/>
      <c r="E162" s="19"/>
      <c r="F162" s="19"/>
      <c r="G162" s="19"/>
      <c r="H162" s="19"/>
      <c r="O162" s="19"/>
      <c r="V162" s="19"/>
      <c r="W162" s="19"/>
      <c r="X162" s="19"/>
      <c r="Y162" s="19"/>
      <c r="Z162" s="19"/>
      <c r="AA162" s="19"/>
      <c r="AB162" s="19"/>
    </row>
    <row r="163" ht="15.75" customHeight="1">
      <c r="B163" s="19"/>
      <c r="C163" s="19"/>
      <c r="D163" s="19"/>
      <c r="E163" s="19"/>
      <c r="F163" s="19"/>
      <c r="G163" s="19"/>
      <c r="H163" s="19"/>
      <c r="O163" s="19"/>
      <c r="V163" s="19"/>
      <c r="W163" s="19"/>
      <c r="X163" s="19"/>
      <c r="Y163" s="19"/>
      <c r="Z163" s="19"/>
      <c r="AA163" s="19"/>
      <c r="AB163" s="19"/>
    </row>
    <row r="164" ht="15.75" customHeight="1">
      <c r="B164" s="19"/>
      <c r="C164" s="19"/>
      <c r="D164" s="19"/>
      <c r="E164" s="19"/>
      <c r="F164" s="19"/>
      <c r="G164" s="19"/>
      <c r="H164" s="19"/>
      <c r="O164" s="19"/>
      <c r="V164" s="19"/>
      <c r="W164" s="19"/>
      <c r="X164" s="19"/>
      <c r="Y164" s="19"/>
      <c r="Z164" s="19"/>
      <c r="AA164" s="19"/>
      <c r="AB164" s="19"/>
    </row>
    <row r="165" ht="15.75" customHeight="1">
      <c r="B165" s="19"/>
      <c r="C165" s="19"/>
      <c r="D165" s="19"/>
      <c r="E165" s="19"/>
      <c r="F165" s="19"/>
      <c r="G165" s="19"/>
      <c r="H165" s="19"/>
      <c r="O165" s="19"/>
      <c r="V165" s="19"/>
      <c r="W165" s="19"/>
      <c r="X165" s="19"/>
      <c r="Y165" s="19"/>
      <c r="Z165" s="19"/>
      <c r="AA165" s="19"/>
      <c r="AB165" s="19"/>
    </row>
    <row r="166" ht="15.75" customHeight="1">
      <c r="B166" s="19"/>
      <c r="C166" s="19"/>
      <c r="D166" s="19"/>
      <c r="E166" s="19"/>
      <c r="F166" s="19"/>
      <c r="G166" s="19"/>
      <c r="H166" s="19"/>
      <c r="O166" s="19"/>
      <c r="V166" s="19"/>
      <c r="W166" s="19"/>
      <c r="X166" s="19"/>
      <c r="Y166" s="19"/>
      <c r="Z166" s="19"/>
      <c r="AA166" s="19"/>
      <c r="AB166" s="19"/>
    </row>
    <row r="167" ht="15.75" customHeight="1">
      <c r="B167" s="19"/>
      <c r="C167" s="19"/>
      <c r="D167" s="19"/>
      <c r="E167" s="19"/>
      <c r="F167" s="19"/>
      <c r="G167" s="19"/>
      <c r="H167" s="19"/>
      <c r="O167" s="19"/>
      <c r="V167" s="19"/>
      <c r="W167" s="19"/>
      <c r="X167" s="19"/>
      <c r="Y167" s="19"/>
      <c r="Z167" s="19"/>
      <c r="AA167" s="19"/>
      <c r="AB167" s="19"/>
    </row>
    <row r="168" ht="15.75" customHeight="1">
      <c r="B168" s="19"/>
      <c r="C168" s="19"/>
      <c r="D168" s="19"/>
      <c r="E168" s="19"/>
      <c r="F168" s="19"/>
      <c r="G168" s="19"/>
      <c r="H168" s="19"/>
      <c r="O168" s="19"/>
      <c r="V168" s="19"/>
      <c r="W168" s="19"/>
      <c r="X168" s="19"/>
      <c r="Y168" s="19"/>
      <c r="Z168" s="19"/>
      <c r="AA168" s="19"/>
      <c r="AB168" s="19"/>
    </row>
    <row r="169" ht="15.75" customHeight="1">
      <c r="B169" s="19"/>
      <c r="C169" s="19"/>
      <c r="D169" s="19"/>
      <c r="E169" s="19"/>
      <c r="F169" s="19"/>
      <c r="G169" s="19"/>
      <c r="H169" s="19"/>
      <c r="O169" s="19"/>
      <c r="V169" s="19"/>
      <c r="W169" s="19"/>
      <c r="X169" s="19"/>
      <c r="Y169" s="19"/>
      <c r="Z169" s="19"/>
      <c r="AA169" s="19"/>
      <c r="AB169" s="19"/>
    </row>
    <row r="170" ht="15.75" customHeight="1">
      <c r="B170" s="19"/>
      <c r="C170" s="19"/>
      <c r="D170" s="19"/>
      <c r="E170" s="19"/>
      <c r="F170" s="19"/>
      <c r="G170" s="19"/>
      <c r="H170" s="19"/>
      <c r="O170" s="19"/>
      <c r="V170" s="19"/>
      <c r="W170" s="19"/>
      <c r="X170" s="19"/>
      <c r="Y170" s="19"/>
      <c r="Z170" s="19"/>
      <c r="AA170" s="19"/>
      <c r="AB170" s="19"/>
    </row>
    <row r="171" ht="15.75" customHeight="1">
      <c r="B171" s="19"/>
      <c r="C171" s="19"/>
      <c r="D171" s="19"/>
      <c r="E171" s="19"/>
      <c r="F171" s="19"/>
      <c r="G171" s="19"/>
      <c r="H171" s="19"/>
      <c r="O171" s="19"/>
      <c r="V171" s="19"/>
      <c r="W171" s="19"/>
      <c r="X171" s="19"/>
      <c r="Y171" s="19"/>
      <c r="Z171" s="19"/>
      <c r="AA171" s="19"/>
      <c r="AB171" s="19"/>
    </row>
    <row r="172" ht="15.75" customHeight="1">
      <c r="B172" s="19"/>
      <c r="C172" s="19"/>
      <c r="D172" s="19"/>
      <c r="E172" s="19"/>
      <c r="F172" s="19"/>
      <c r="G172" s="19"/>
      <c r="H172" s="19"/>
      <c r="O172" s="19"/>
      <c r="V172" s="19"/>
      <c r="W172" s="19"/>
      <c r="X172" s="19"/>
      <c r="Y172" s="19"/>
      <c r="Z172" s="19"/>
      <c r="AA172" s="19"/>
      <c r="AB172" s="19"/>
    </row>
    <row r="173" ht="15.75" customHeight="1">
      <c r="B173" s="19"/>
      <c r="C173" s="19"/>
      <c r="D173" s="19"/>
      <c r="E173" s="19"/>
      <c r="F173" s="19"/>
      <c r="G173" s="19"/>
      <c r="H173" s="19"/>
      <c r="O173" s="19"/>
      <c r="V173" s="19"/>
      <c r="W173" s="19"/>
      <c r="X173" s="19"/>
      <c r="Y173" s="19"/>
      <c r="Z173" s="19"/>
      <c r="AA173" s="19"/>
      <c r="AB173" s="19"/>
    </row>
    <row r="174" ht="15.75" customHeight="1">
      <c r="B174" s="19"/>
      <c r="C174" s="19"/>
      <c r="D174" s="19"/>
      <c r="E174" s="19"/>
      <c r="F174" s="19"/>
      <c r="G174" s="19"/>
      <c r="H174" s="19"/>
      <c r="O174" s="19"/>
      <c r="V174" s="19"/>
      <c r="W174" s="19"/>
      <c r="X174" s="19"/>
      <c r="Y174" s="19"/>
      <c r="Z174" s="19"/>
      <c r="AA174" s="19"/>
      <c r="AB174" s="19"/>
    </row>
    <row r="175" ht="15.75" customHeight="1">
      <c r="B175" s="19"/>
      <c r="C175" s="19"/>
      <c r="D175" s="19"/>
      <c r="E175" s="19"/>
      <c r="F175" s="19"/>
      <c r="G175" s="19"/>
      <c r="H175" s="19"/>
      <c r="O175" s="19"/>
      <c r="V175" s="19"/>
      <c r="W175" s="19"/>
      <c r="X175" s="19"/>
      <c r="Y175" s="19"/>
      <c r="Z175" s="19"/>
      <c r="AA175" s="19"/>
      <c r="AB175" s="19"/>
    </row>
    <row r="176" ht="15.75" customHeight="1">
      <c r="B176" s="19"/>
      <c r="C176" s="19"/>
      <c r="D176" s="19"/>
      <c r="E176" s="19"/>
      <c r="F176" s="19"/>
      <c r="G176" s="19"/>
      <c r="H176" s="19"/>
      <c r="O176" s="19"/>
      <c r="V176" s="19"/>
      <c r="W176" s="19"/>
      <c r="X176" s="19"/>
      <c r="Y176" s="19"/>
      <c r="Z176" s="19"/>
      <c r="AA176" s="19"/>
      <c r="AB176" s="19"/>
    </row>
    <row r="177" ht="15.75" customHeight="1">
      <c r="B177" s="19"/>
      <c r="C177" s="19"/>
      <c r="D177" s="19"/>
      <c r="E177" s="19"/>
      <c r="F177" s="19"/>
      <c r="G177" s="19"/>
      <c r="H177" s="19"/>
      <c r="O177" s="19"/>
      <c r="V177" s="19"/>
      <c r="W177" s="19"/>
      <c r="X177" s="19"/>
      <c r="Y177" s="19"/>
      <c r="Z177" s="19"/>
      <c r="AA177" s="19"/>
      <c r="AB177" s="19"/>
    </row>
    <row r="178" ht="15.75" customHeight="1">
      <c r="B178" s="19"/>
      <c r="C178" s="19"/>
      <c r="D178" s="19"/>
      <c r="E178" s="19"/>
      <c r="F178" s="19"/>
      <c r="G178" s="19"/>
      <c r="H178" s="19"/>
      <c r="O178" s="19"/>
      <c r="V178" s="19"/>
      <c r="W178" s="19"/>
      <c r="X178" s="19"/>
      <c r="Y178" s="19"/>
      <c r="Z178" s="19"/>
      <c r="AA178" s="19"/>
      <c r="AB178" s="19"/>
    </row>
    <row r="179" ht="15.75" customHeight="1">
      <c r="B179" s="19"/>
      <c r="C179" s="19"/>
      <c r="D179" s="19"/>
      <c r="E179" s="19"/>
      <c r="F179" s="19"/>
      <c r="G179" s="19"/>
      <c r="H179" s="19"/>
      <c r="O179" s="19"/>
      <c r="V179" s="19"/>
      <c r="W179" s="19"/>
      <c r="X179" s="19"/>
      <c r="Y179" s="19"/>
      <c r="Z179" s="19"/>
      <c r="AA179" s="19"/>
      <c r="AB179" s="19"/>
    </row>
    <row r="180" ht="15.75" customHeight="1">
      <c r="B180" s="19"/>
      <c r="C180" s="19"/>
      <c r="D180" s="19"/>
      <c r="E180" s="19"/>
      <c r="F180" s="19"/>
      <c r="G180" s="19"/>
      <c r="H180" s="19"/>
      <c r="O180" s="19"/>
      <c r="V180" s="19"/>
      <c r="W180" s="19"/>
      <c r="X180" s="19"/>
      <c r="Y180" s="19"/>
      <c r="Z180" s="19"/>
      <c r="AA180" s="19"/>
      <c r="AB180" s="19"/>
    </row>
    <row r="181" ht="15.75" customHeight="1">
      <c r="B181" s="19"/>
      <c r="C181" s="19"/>
      <c r="D181" s="19"/>
      <c r="E181" s="19"/>
      <c r="F181" s="19"/>
      <c r="G181" s="19"/>
      <c r="H181" s="19"/>
      <c r="O181" s="19"/>
      <c r="V181" s="19"/>
      <c r="W181" s="19"/>
      <c r="X181" s="19"/>
      <c r="Y181" s="19"/>
      <c r="Z181" s="19"/>
      <c r="AA181" s="19"/>
      <c r="AB181" s="19"/>
    </row>
    <row r="182" ht="15.75" customHeight="1">
      <c r="B182" s="19"/>
      <c r="C182" s="19"/>
      <c r="D182" s="19"/>
      <c r="E182" s="19"/>
      <c r="F182" s="19"/>
      <c r="G182" s="19"/>
      <c r="H182" s="19"/>
      <c r="O182" s="19"/>
      <c r="V182" s="19"/>
      <c r="W182" s="19"/>
      <c r="X182" s="19"/>
      <c r="Y182" s="19"/>
      <c r="Z182" s="19"/>
      <c r="AA182" s="19"/>
      <c r="AB182" s="19"/>
    </row>
    <row r="183" ht="15.75" customHeight="1">
      <c r="B183" s="19"/>
      <c r="C183" s="19"/>
      <c r="D183" s="19"/>
      <c r="E183" s="19"/>
      <c r="F183" s="19"/>
      <c r="G183" s="19"/>
      <c r="H183" s="19"/>
      <c r="O183" s="19"/>
      <c r="V183" s="19"/>
      <c r="W183" s="19"/>
      <c r="X183" s="19"/>
      <c r="Y183" s="19"/>
      <c r="Z183" s="19"/>
      <c r="AA183" s="19"/>
      <c r="AB183" s="19"/>
    </row>
    <row r="184" ht="15.75" customHeight="1">
      <c r="B184" s="19"/>
      <c r="C184" s="19"/>
      <c r="D184" s="19"/>
      <c r="E184" s="19"/>
      <c r="F184" s="19"/>
      <c r="G184" s="19"/>
      <c r="H184" s="19"/>
      <c r="O184" s="19"/>
      <c r="V184" s="19"/>
      <c r="W184" s="19"/>
      <c r="X184" s="19"/>
      <c r="Y184" s="19"/>
      <c r="Z184" s="19"/>
      <c r="AA184" s="19"/>
      <c r="AB184" s="19"/>
    </row>
    <row r="185" ht="15.75" customHeight="1">
      <c r="B185" s="19"/>
      <c r="C185" s="19"/>
      <c r="D185" s="19"/>
      <c r="E185" s="19"/>
      <c r="F185" s="19"/>
      <c r="G185" s="19"/>
      <c r="H185" s="19"/>
      <c r="O185" s="19"/>
      <c r="V185" s="19"/>
      <c r="W185" s="19"/>
      <c r="X185" s="19"/>
      <c r="Y185" s="19"/>
      <c r="Z185" s="19"/>
      <c r="AA185" s="19"/>
      <c r="AB185" s="19"/>
    </row>
    <row r="186" ht="15.75" customHeight="1">
      <c r="B186" s="19"/>
      <c r="C186" s="19"/>
      <c r="D186" s="19"/>
      <c r="E186" s="19"/>
      <c r="F186" s="19"/>
      <c r="G186" s="19"/>
      <c r="H186" s="19"/>
      <c r="O186" s="19"/>
      <c r="V186" s="19"/>
      <c r="W186" s="19"/>
      <c r="X186" s="19"/>
      <c r="Y186" s="19"/>
      <c r="Z186" s="19"/>
      <c r="AA186" s="19"/>
      <c r="AB186" s="19"/>
    </row>
    <row r="187" ht="15.75" customHeight="1">
      <c r="B187" s="19"/>
      <c r="C187" s="19"/>
      <c r="D187" s="19"/>
      <c r="E187" s="19"/>
      <c r="F187" s="19"/>
      <c r="G187" s="19"/>
      <c r="H187" s="19"/>
      <c r="O187" s="19"/>
      <c r="V187" s="19"/>
      <c r="W187" s="19"/>
      <c r="X187" s="19"/>
      <c r="Y187" s="19"/>
      <c r="Z187" s="19"/>
      <c r="AA187" s="19"/>
      <c r="AB187" s="19"/>
    </row>
    <row r="188" ht="15.75" customHeight="1">
      <c r="B188" s="19"/>
      <c r="C188" s="19"/>
      <c r="D188" s="19"/>
      <c r="E188" s="19"/>
      <c r="F188" s="19"/>
      <c r="G188" s="19"/>
      <c r="H188" s="19"/>
      <c r="O188" s="19"/>
      <c r="V188" s="19"/>
      <c r="W188" s="19"/>
      <c r="X188" s="19"/>
      <c r="Y188" s="19"/>
      <c r="Z188" s="19"/>
      <c r="AA188" s="19"/>
      <c r="AB188" s="19"/>
    </row>
    <row r="189" ht="15.75" customHeight="1">
      <c r="B189" s="19"/>
      <c r="C189" s="19"/>
      <c r="D189" s="19"/>
      <c r="E189" s="19"/>
      <c r="F189" s="19"/>
      <c r="G189" s="19"/>
      <c r="H189" s="19"/>
      <c r="O189" s="19"/>
      <c r="V189" s="19"/>
      <c r="W189" s="19"/>
      <c r="X189" s="19"/>
      <c r="Y189" s="19"/>
      <c r="Z189" s="19"/>
      <c r="AA189" s="19"/>
      <c r="AB189" s="19"/>
    </row>
    <row r="190" ht="15.75" customHeight="1">
      <c r="B190" s="19"/>
      <c r="C190" s="19"/>
      <c r="D190" s="19"/>
      <c r="E190" s="19"/>
      <c r="F190" s="19"/>
      <c r="G190" s="19"/>
      <c r="H190" s="19"/>
      <c r="O190" s="19"/>
      <c r="V190" s="19"/>
      <c r="W190" s="19"/>
      <c r="X190" s="19"/>
      <c r="Y190" s="19"/>
      <c r="Z190" s="19"/>
      <c r="AA190" s="19"/>
      <c r="AB190" s="19"/>
    </row>
    <row r="191" ht="15.75" customHeight="1">
      <c r="B191" s="19"/>
      <c r="C191" s="19"/>
      <c r="D191" s="19"/>
      <c r="E191" s="19"/>
      <c r="F191" s="19"/>
      <c r="G191" s="19"/>
      <c r="H191" s="19"/>
      <c r="O191" s="19"/>
      <c r="V191" s="19"/>
      <c r="W191" s="19"/>
      <c r="X191" s="19"/>
      <c r="Y191" s="19"/>
      <c r="Z191" s="19"/>
      <c r="AA191" s="19"/>
      <c r="AB191" s="19"/>
    </row>
    <row r="192" ht="15.75" customHeight="1">
      <c r="B192" s="19"/>
      <c r="C192" s="19"/>
      <c r="D192" s="19"/>
      <c r="E192" s="19"/>
      <c r="F192" s="19"/>
      <c r="G192" s="19"/>
      <c r="H192" s="19"/>
      <c r="O192" s="19"/>
      <c r="V192" s="19"/>
      <c r="W192" s="19"/>
      <c r="X192" s="19"/>
      <c r="Y192" s="19"/>
      <c r="Z192" s="19"/>
      <c r="AA192" s="19"/>
      <c r="AB192" s="19"/>
    </row>
    <row r="193" ht="15.75" customHeight="1">
      <c r="B193" s="19"/>
      <c r="C193" s="19"/>
      <c r="D193" s="19"/>
      <c r="E193" s="19"/>
      <c r="F193" s="19"/>
      <c r="G193" s="19"/>
      <c r="H193" s="19"/>
      <c r="O193" s="19"/>
      <c r="V193" s="19"/>
      <c r="W193" s="19"/>
      <c r="X193" s="19"/>
      <c r="Y193" s="19"/>
      <c r="Z193" s="19"/>
      <c r="AA193" s="19"/>
      <c r="AB193" s="19"/>
    </row>
    <row r="194" ht="15.75" customHeight="1">
      <c r="B194" s="19"/>
      <c r="C194" s="19"/>
      <c r="D194" s="19"/>
      <c r="E194" s="19"/>
      <c r="F194" s="19"/>
      <c r="G194" s="19"/>
      <c r="H194" s="19"/>
      <c r="O194" s="19"/>
      <c r="V194" s="19"/>
      <c r="W194" s="19"/>
      <c r="X194" s="19"/>
      <c r="Y194" s="19"/>
      <c r="Z194" s="19"/>
      <c r="AA194" s="19"/>
      <c r="AB194" s="19"/>
    </row>
    <row r="195" ht="15.75" customHeight="1">
      <c r="B195" s="19"/>
      <c r="C195" s="19"/>
      <c r="D195" s="19"/>
      <c r="E195" s="19"/>
      <c r="F195" s="19"/>
      <c r="G195" s="19"/>
      <c r="H195" s="19"/>
      <c r="O195" s="19"/>
      <c r="V195" s="19"/>
      <c r="W195" s="19"/>
      <c r="X195" s="19"/>
      <c r="Y195" s="19"/>
      <c r="Z195" s="19"/>
      <c r="AA195" s="19"/>
      <c r="AB195" s="19"/>
    </row>
    <row r="196" ht="15.75" customHeight="1">
      <c r="B196" s="19"/>
      <c r="C196" s="19"/>
      <c r="D196" s="19"/>
      <c r="E196" s="19"/>
      <c r="F196" s="19"/>
      <c r="G196" s="19"/>
      <c r="H196" s="19"/>
      <c r="O196" s="19"/>
      <c r="V196" s="19"/>
      <c r="W196" s="19"/>
      <c r="X196" s="19"/>
      <c r="Y196" s="19"/>
      <c r="Z196" s="19"/>
      <c r="AA196" s="19"/>
      <c r="AB196" s="19"/>
    </row>
    <row r="197" ht="15.75" customHeight="1">
      <c r="B197" s="19"/>
      <c r="C197" s="19"/>
      <c r="D197" s="19"/>
      <c r="E197" s="19"/>
      <c r="F197" s="19"/>
      <c r="G197" s="19"/>
      <c r="H197" s="19"/>
      <c r="O197" s="19"/>
      <c r="V197" s="19"/>
      <c r="W197" s="19"/>
      <c r="X197" s="19"/>
      <c r="Y197" s="19"/>
      <c r="Z197" s="19"/>
      <c r="AA197" s="19"/>
      <c r="AB197" s="19"/>
    </row>
    <row r="198" ht="15.75" customHeight="1">
      <c r="B198" s="19"/>
      <c r="C198" s="19"/>
      <c r="D198" s="19"/>
      <c r="E198" s="19"/>
      <c r="F198" s="19"/>
      <c r="G198" s="19"/>
      <c r="H198" s="19"/>
      <c r="O198" s="19"/>
      <c r="V198" s="19"/>
      <c r="W198" s="19"/>
      <c r="X198" s="19"/>
      <c r="Y198" s="19"/>
      <c r="Z198" s="19"/>
      <c r="AA198" s="19"/>
      <c r="AB198" s="19"/>
    </row>
    <row r="199" ht="15.75" customHeight="1">
      <c r="B199" s="19"/>
      <c r="C199" s="19"/>
      <c r="D199" s="19"/>
      <c r="E199" s="19"/>
      <c r="F199" s="19"/>
      <c r="G199" s="19"/>
      <c r="H199" s="19"/>
      <c r="O199" s="19"/>
      <c r="V199" s="19"/>
      <c r="W199" s="19"/>
      <c r="X199" s="19"/>
      <c r="Y199" s="19"/>
      <c r="Z199" s="19"/>
      <c r="AA199" s="19"/>
      <c r="AB199" s="19"/>
    </row>
    <row r="200" ht="15.75" customHeight="1">
      <c r="B200" s="19"/>
      <c r="C200" s="19"/>
      <c r="D200" s="19"/>
      <c r="E200" s="19"/>
      <c r="F200" s="19"/>
      <c r="G200" s="19"/>
      <c r="H200" s="19"/>
      <c r="O200" s="19"/>
      <c r="V200" s="19"/>
      <c r="W200" s="19"/>
      <c r="X200" s="19"/>
      <c r="Y200" s="19"/>
      <c r="Z200" s="19"/>
      <c r="AA200" s="19"/>
      <c r="AB200" s="19"/>
    </row>
    <row r="201" ht="15.75" customHeight="1">
      <c r="B201" s="19"/>
      <c r="C201" s="19"/>
      <c r="D201" s="19"/>
      <c r="E201" s="19"/>
      <c r="F201" s="19"/>
      <c r="G201" s="19"/>
      <c r="H201" s="19"/>
      <c r="O201" s="19"/>
      <c r="V201" s="19"/>
      <c r="W201" s="19"/>
      <c r="X201" s="19"/>
      <c r="Y201" s="19"/>
      <c r="Z201" s="19"/>
      <c r="AA201" s="19"/>
      <c r="AB201" s="19"/>
    </row>
    <row r="202" ht="15.75" customHeight="1">
      <c r="B202" s="19"/>
      <c r="C202" s="19"/>
      <c r="D202" s="19"/>
      <c r="E202" s="19"/>
      <c r="F202" s="19"/>
      <c r="G202" s="19"/>
      <c r="H202" s="19"/>
      <c r="O202" s="19"/>
      <c r="V202" s="19"/>
      <c r="W202" s="19"/>
      <c r="X202" s="19"/>
      <c r="Y202" s="19"/>
      <c r="Z202" s="19"/>
      <c r="AA202" s="19"/>
      <c r="AB202" s="19"/>
    </row>
    <row r="203" ht="15.75" customHeight="1">
      <c r="B203" s="19"/>
      <c r="C203" s="19"/>
      <c r="D203" s="19"/>
      <c r="E203" s="19"/>
      <c r="F203" s="19"/>
      <c r="G203" s="19"/>
      <c r="H203" s="19"/>
      <c r="O203" s="19"/>
      <c r="V203" s="19"/>
      <c r="W203" s="19"/>
      <c r="X203" s="19"/>
      <c r="Y203" s="19"/>
      <c r="Z203" s="19"/>
      <c r="AA203" s="19"/>
      <c r="AB203" s="19"/>
    </row>
    <row r="204" ht="15.75" customHeight="1">
      <c r="B204" s="19"/>
      <c r="C204" s="19"/>
      <c r="D204" s="19"/>
      <c r="E204" s="19"/>
      <c r="F204" s="19"/>
      <c r="G204" s="19"/>
      <c r="H204" s="19"/>
      <c r="O204" s="19"/>
      <c r="V204" s="19"/>
      <c r="W204" s="19"/>
      <c r="X204" s="19"/>
      <c r="Y204" s="19"/>
      <c r="Z204" s="19"/>
      <c r="AA204" s="19"/>
      <c r="AB204" s="19"/>
    </row>
    <row r="205" ht="15.75" customHeight="1">
      <c r="B205" s="19"/>
      <c r="C205" s="19"/>
      <c r="D205" s="19"/>
      <c r="E205" s="19"/>
      <c r="F205" s="19"/>
      <c r="G205" s="19"/>
      <c r="H205" s="19"/>
      <c r="O205" s="19"/>
      <c r="V205" s="19"/>
      <c r="W205" s="19"/>
      <c r="X205" s="19"/>
      <c r="Y205" s="19"/>
      <c r="Z205" s="19"/>
      <c r="AA205" s="19"/>
      <c r="AB205" s="19"/>
    </row>
    <row r="206" ht="15.75" customHeight="1">
      <c r="B206" s="19"/>
      <c r="C206" s="19"/>
      <c r="D206" s="19"/>
      <c r="E206" s="19"/>
      <c r="F206" s="19"/>
      <c r="G206" s="19"/>
      <c r="H206" s="19"/>
      <c r="O206" s="19"/>
      <c r="V206" s="19"/>
      <c r="W206" s="19"/>
      <c r="X206" s="19"/>
      <c r="Y206" s="19"/>
      <c r="Z206" s="19"/>
      <c r="AA206" s="19"/>
      <c r="AB206" s="19"/>
    </row>
    <row r="207" ht="15.75" customHeight="1">
      <c r="B207" s="19"/>
      <c r="C207" s="19"/>
      <c r="D207" s="19"/>
      <c r="E207" s="19"/>
      <c r="F207" s="19"/>
      <c r="G207" s="19"/>
      <c r="H207" s="19"/>
      <c r="O207" s="19"/>
      <c r="V207" s="19"/>
      <c r="W207" s="19"/>
      <c r="X207" s="19"/>
      <c r="Y207" s="19"/>
      <c r="Z207" s="19"/>
      <c r="AA207" s="19"/>
      <c r="AB207" s="19"/>
    </row>
    <row r="208" ht="15.75" customHeight="1">
      <c r="B208" s="19"/>
      <c r="C208" s="19"/>
      <c r="D208" s="19"/>
      <c r="E208" s="19"/>
      <c r="F208" s="19"/>
      <c r="G208" s="19"/>
      <c r="H208" s="19"/>
      <c r="O208" s="19"/>
      <c r="V208" s="19"/>
      <c r="W208" s="19"/>
      <c r="X208" s="19"/>
      <c r="Y208" s="19"/>
      <c r="Z208" s="19"/>
      <c r="AA208" s="19"/>
      <c r="AB208" s="19"/>
    </row>
    <row r="209" ht="15.75" customHeight="1">
      <c r="B209" s="19"/>
      <c r="C209" s="19"/>
      <c r="D209" s="19"/>
      <c r="E209" s="19"/>
      <c r="F209" s="19"/>
      <c r="G209" s="19"/>
      <c r="H209" s="19"/>
      <c r="O209" s="19"/>
      <c r="V209" s="19"/>
      <c r="W209" s="19"/>
      <c r="X209" s="19"/>
      <c r="Y209" s="19"/>
      <c r="Z209" s="19"/>
      <c r="AA209" s="19"/>
      <c r="AB209" s="19"/>
    </row>
    <row r="210" ht="15.75" customHeight="1">
      <c r="B210" s="19"/>
      <c r="C210" s="19"/>
      <c r="D210" s="19"/>
      <c r="E210" s="19"/>
      <c r="F210" s="19"/>
      <c r="G210" s="19"/>
      <c r="H210" s="19"/>
      <c r="O210" s="19"/>
      <c r="V210" s="19"/>
      <c r="W210" s="19"/>
      <c r="X210" s="19"/>
      <c r="Y210" s="19"/>
      <c r="Z210" s="19"/>
      <c r="AA210" s="19"/>
      <c r="AB210" s="19"/>
    </row>
    <row r="211" ht="15.75" customHeight="1">
      <c r="B211" s="19"/>
      <c r="C211" s="19"/>
      <c r="D211" s="19"/>
      <c r="E211" s="19"/>
      <c r="F211" s="19"/>
      <c r="G211" s="19"/>
      <c r="H211" s="19"/>
      <c r="O211" s="19"/>
      <c r="V211" s="19"/>
      <c r="W211" s="19"/>
      <c r="X211" s="19"/>
      <c r="Y211" s="19"/>
      <c r="Z211" s="19"/>
      <c r="AA211" s="19"/>
      <c r="AB211" s="19"/>
    </row>
    <row r="212" ht="15.75" customHeight="1">
      <c r="B212" s="19"/>
      <c r="C212" s="19"/>
      <c r="D212" s="19"/>
      <c r="E212" s="19"/>
      <c r="F212" s="19"/>
      <c r="G212" s="19"/>
      <c r="H212" s="19"/>
      <c r="O212" s="19"/>
      <c r="V212" s="19"/>
      <c r="W212" s="19"/>
      <c r="X212" s="19"/>
      <c r="Y212" s="19"/>
      <c r="Z212" s="19"/>
      <c r="AA212" s="19"/>
      <c r="AB212" s="19"/>
    </row>
    <row r="213" ht="15.75" customHeight="1">
      <c r="B213" s="19"/>
      <c r="C213" s="19"/>
      <c r="D213" s="19"/>
      <c r="E213" s="19"/>
      <c r="F213" s="19"/>
      <c r="G213" s="19"/>
      <c r="H213" s="19"/>
      <c r="O213" s="19"/>
      <c r="V213" s="19"/>
      <c r="W213" s="19"/>
      <c r="X213" s="19"/>
      <c r="Y213" s="19"/>
      <c r="Z213" s="19"/>
      <c r="AA213" s="19"/>
      <c r="AB213" s="19"/>
    </row>
    <row r="214" ht="15.75" customHeight="1">
      <c r="B214" s="19"/>
      <c r="C214" s="19"/>
      <c r="D214" s="19"/>
      <c r="E214" s="19"/>
      <c r="F214" s="19"/>
      <c r="G214" s="19"/>
      <c r="H214" s="19"/>
      <c r="O214" s="19"/>
      <c r="V214" s="19"/>
      <c r="W214" s="19"/>
      <c r="X214" s="19"/>
      <c r="Y214" s="19"/>
      <c r="Z214" s="19"/>
      <c r="AA214" s="19"/>
      <c r="AB214" s="19"/>
    </row>
    <row r="215" ht="15.75" customHeight="1">
      <c r="B215" s="19"/>
      <c r="C215" s="19"/>
      <c r="D215" s="19"/>
      <c r="E215" s="19"/>
      <c r="F215" s="19"/>
      <c r="G215" s="19"/>
      <c r="H215" s="19"/>
      <c r="O215" s="19"/>
      <c r="V215" s="19"/>
      <c r="W215" s="19"/>
      <c r="X215" s="19"/>
      <c r="Y215" s="19"/>
      <c r="Z215" s="19"/>
      <c r="AA215" s="19"/>
      <c r="AB215" s="19"/>
    </row>
    <row r="216" ht="15.75" customHeight="1">
      <c r="B216" s="19"/>
      <c r="C216" s="19"/>
      <c r="D216" s="19"/>
      <c r="E216" s="19"/>
      <c r="F216" s="19"/>
      <c r="G216" s="19"/>
      <c r="H216" s="19"/>
      <c r="O216" s="19"/>
      <c r="V216" s="19"/>
      <c r="W216" s="19"/>
      <c r="X216" s="19"/>
      <c r="Y216" s="19"/>
      <c r="Z216" s="19"/>
      <c r="AA216" s="19"/>
      <c r="AB216" s="19"/>
    </row>
    <row r="217" ht="15.75" customHeight="1">
      <c r="B217" s="19"/>
      <c r="C217" s="19"/>
      <c r="D217" s="19"/>
      <c r="E217" s="19"/>
      <c r="F217" s="19"/>
      <c r="G217" s="19"/>
      <c r="H217" s="19"/>
      <c r="O217" s="19"/>
      <c r="V217" s="19"/>
      <c r="W217" s="19"/>
      <c r="X217" s="19"/>
      <c r="Y217" s="19"/>
      <c r="Z217" s="19"/>
      <c r="AA217" s="19"/>
      <c r="AB217" s="19"/>
    </row>
    <row r="218" ht="15.75" customHeight="1">
      <c r="B218" s="19"/>
      <c r="C218" s="19"/>
      <c r="D218" s="19"/>
      <c r="E218" s="19"/>
      <c r="F218" s="19"/>
      <c r="G218" s="19"/>
      <c r="H218" s="19"/>
      <c r="O218" s="19"/>
      <c r="V218" s="19"/>
      <c r="W218" s="19"/>
      <c r="X218" s="19"/>
      <c r="Y218" s="19"/>
      <c r="Z218" s="19"/>
      <c r="AA218" s="19"/>
      <c r="AB218" s="19"/>
    </row>
    <row r="219" ht="15.75" customHeight="1">
      <c r="B219" s="19"/>
      <c r="C219" s="19"/>
      <c r="D219" s="19"/>
      <c r="E219" s="19"/>
      <c r="F219" s="19"/>
      <c r="G219" s="19"/>
      <c r="H219" s="19"/>
      <c r="O219" s="19"/>
      <c r="V219" s="19"/>
      <c r="W219" s="19"/>
      <c r="X219" s="19"/>
      <c r="Y219" s="19"/>
      <c r="Z219" s="19"/>
      <c r="AA219" s="19"/>
      <c r="AB219" s="19"/>
    </row>
    <row r="220" ht="15.75" customHeight="1">
      <c r="B220" s="19"/>
      <c r="C220" s="19"/>
      <c r="D220" s="19"/>
      <c r="E220" s="19"/>
      <c r="F220" s="19"/>
      <c r="G220" s="19"/>
      <c r="H220" s="19"/>
      <c r="O220" s="19"/>
      <c r="V220" s="19"/>
      <c r="W220" s="19"/>
      <c r="X220" s="19"/>
      <c r="Y220" s="19"/>
      <c r="Z220" s="19"/>
      <c r="AA220" s="19"/>
      <c r="AB220" s="19"/>
    </row>
    <row r="221" ht="15.75" customHeight="1">
      <c r="B221" s="19"/>
      <c r="C221" s="19"/>
      <c r="D221" s="19"/>
      <c r="E221" s="19"/>
      <c r="F221" s="19"/>
      <c r="G221" s="19"/>
      <c r="H221" s="19"/>
      <c r="O221" s="19"/>
      <c r="V221" s="19"/>
      <c r="W221" s="19"/>
      <c r="X221" s="19"/>
      <c r="Y221" s="19"/>
      <c r="Z221" s="19"/>
      <c r="AA221" s="19"/>
      <c r="AB221" s="19"/>
    </row>
    <row r="222" ht="15.75" customHeight="1">
      <c r="B222" s="19"/>
      <c r="C222" s="19"/>
      <c r="D222" s="19"/>
      <c r="E222" s="19"/>
      <c r="F222" s="19"/>
      <c r="G222" s="19"/>
      <c r="H222" s="19"/>
      <c r="O222" s="19"/>
      <c r="V222" s="19"/>
      <c r="W222" s="19"/>
      <c r="X222" s="19"/>
      <c r="Y222" s="19"/>
      <c r="Z222" s="19"/>
      <c r="AA222" s="19"/>
      <c r="AB222" s="19"/>
    </row>
    <row r="223" ht="15.75" customHeight="1">
      <c r="B223" s="19"/>
      <c r="C223" s="19"/>
      <c r="D223" s="19"/>
      <c r="E223" s="19"/>
      <c r="F223" s="19"/>
      <c r="G223" s="19"/>
      <c r="H223" s="19"/>
      <c r="O223" s="19"/>
      <c r="V223" s="19"/>
      <c r="W223" s="19"/>
      <c r="X223" s="19"/>
      <c r="Y223" s="19"/>
      <c r="Z223" s="19"/>
      <c r="AA223" s="19"/>
      <c r="AB223" s="19"/>
    </row>
    <row r="224" ht="15.75" customHeight="1">
      <c r="B224" s="19"/>
      <c r="C224" s="19"/>
      <c r="D224" s="19"/>
      <c r="E224" s="19"/>
      <c r="F224" s="19"/>
      <c r="G224" s="19"/>
      <c r="H224" s="19"/>
      <c r="O224" s="19"/>
      <c r="V224" s="19"/>
      <c r="W224" s="19"/>
      <c r="X224" s="19"/>
      <c r="Y224" s="19"/>
      <c r="Z224" s="19"/>
      <c r="AA224" s="19"/>
      <c r="AB224" s="19"/>
    </row>
    <row r="225" ht="15.75" customHeight="1">
      <c r="B225" s="19"/>
      <c r="C225" s="19"/>
      <c r="D225" s="19"/>
      <c r="E225" s="19"/>
      <c r="F225" s="19"/>
      <c r="G225" s="19"/>
      <c r="H225" s="19"/>
      <c r="O225" s="19"/>
      <c r="V225" s="19"/>
      <c r="W225" s="19"/>
      <c r="X225" s="19"/>
      <c r="Y225" s="19"/>
      <c r="Z225" s="19"/>
      <c r="AA225" s="19"/>
      <c r="AB225" s="19"/>
    </row>
    <row r="226" ht="15.75" customHeight="1">
      <c r="B226" s="19"/>
      <c r="C226" s="19"/>
      <c r="D226" s="19"/>
      <c r="E226" s="19"/>
      <c r="F226" s="19"/>
      <c r="G226" s="19"/>
      <c r="H226" s="19"/>
      <c r="O226" s="19"/>
      <c r="V226" s="19"/>
      <c r="W226" s="19"/>
      <c r="X226" s="19"/>
      <c r="Y226" s="19"/>
      <c r="Z226" s="19"/>
      <c r="AA226" s="19"/>
      <c r="AB226" s="19"/>
    </row>
    <row r="227" ht="15.75" customHeight="1">
      <c r="B227" s="19"/>
      <c r="C227" s="19"/>
      <c r="D227" s="19"/>
      <c r="E227" s="19"/>
      <c r="F227" s="19"/>
      <c r="G227" s="19"/>
      <c r="H227" s="19"/>
      <c r="O227" s="19"/>
      <c r="V227" s="19"/>
      <c r="W227" s="19"/>
      <c r="X227" s="19"/>
      <c r="Y227" s="19"/>
      <c r="Z227" s="19"/>
      <c r="AA227" s="19"/>
      <c r="AB227" s="19"/>
    </row>
    <row r="228" ht="15.75" customHeight="1">
      <c r="B228" s="19"/>
      <c r="C228" s="19"/>
      <c r="D228" s="19"/>
      <c r="E228" s="19"/>
      <c r="F228" s="19"/>
      <c r="G228" s="19"/>
      <c r="H228" s="19"/>
      <c r="O228" s="19"/>
      <c r="V228" s="19"/>
      <c r="W228" s="19"/>
      <c r="X228" s="19"/>
      <c r="Y228" s="19"/>
      <c r="Z228" s="19"/>
      <c r="AA228" s="19"/>
      <c r="AB228" s="19"/>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A4"/>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3.75"/>
    <col customWidth="1" min="2" max="2" width="19.75"/>
    <col customWidth="1" min="3" max="3" width="31.25"/>
    <col customWidth="1" min="4" max="4" width="24.13"/>
    <col customWidth="1" min="5" max="5" width="14.25"/>
    <col customWidth="1" min="6" max="6" width="42.13"/>
    <col customWidth="1" min="7" max="7" width="39.88"/>
    <col customWidth="1" min="8" max="8" width="33.38"/>
    <col customWidth="1" min="9" max="9" width="34.75"/>
    <col customWidth="1" min="10" max="30" width="14.38"/>
  </cols>
  <sheetData>
    <row r="1" ht="15.75" customHeight="1">
      <c r="A1" s="26" t="s">
        <v>170</v>
      </c>
      <c r="B1" s="27" t="s">
        <v>3</v>
      </c>
      <c r="C1" s="27" t="s">
        <v>171</v>
      </c>
      <c r="D1" s="27" t="s">
        <v>4</v>
      </c>
      <c r="E1" s="27" t="s">
        <v>172</v>
      </c>
      <c r="F1" s="27" t="s">
        <v>173</v>
      </c>
      <c r="G1" s="27"/>
      <c r="H1" s="28" t="s">
        <v>174</v>
      </c>
      <c r="I1" s="29" t="s">
        <v>175</v>
      </c>
      <c r="J1" s="28" t="s">
        <v>9</v>
      </c>
      <c r="K1" s="30"/>
      <c r="L1" s="31"/>
      <c r="M1" s="31"/>
      <c r="N1" s="31"/>
      <c r="O1" s="31"/>
      <c r="P1" s="31"/>
      <c r="Q1" s="31"/>
      <c r="R1" s="31"/>
      <c r="S1" s="31"/>
      <c r="T1" s="31"/>
      <c r="U1" s="31"/>
      <c r="V1" s="31"/>
      <c r="W1" s="31"/>
      <c r="X1" s="31"/>
      <c r="Y1" s="31"/>
      <c r="Z1" s="31"/>
      <c r="AA1" s="31"/>
      <c r="AB1" s="31"/>
      <c r="AC1" s="31"/>
      <c r="AD1" s="31"/>
    </row>
    <row r="2" ht="15.75" customHeight="1">
      <c r="A2" s="32">
        <v>43467.0</v>
      </c>
      <c r="B2" s="33" t="s">
        <v>176</v>
      </c>
      <c r="C2" s="34" t="s">
        <v>177</v>
      </c>
      <c r="D2" s="35" t="s">
        <v>178</v>
      </c>
      <c r="E2" s="36" t="s">
        <v>179</v>
      </c>
      <c r="F2" s="36" t="s">
        <v>180</v>
      </c>
      <c r="G2" s="37"/>
      <c r="H2" s="1" t="s">
        <v>181</v>
      </c>
      <c r="J2" s="38" t="s">
        <v>182</v>
      </c>
    </row>
    <row r="3" ht="15.75" customHeight="1">
      <c r="A3" s="39">
        <v>43467.0</v>
      </c>
      <c r="B3" s="40" t="s">
        <v>183</v>
      </c>
      <c r="C3" s="41" t="s">
        <v>184</v>
      </c>
      <c r="D3" s="40" t="s">
        <v>185</v>
      </c>
      <c r="E3" s="40" t="s">
        <v>179</v>
      </c>
      <c r="F3" s="40" t="s">
        <v>186</v>
      </c>
      <c r="G3" s="42"/>
      <c r="H3" s="1" t="s">
        <v>187</v>
      </c>
      <c r="J3" s="38" t="s">
        <v>16</v>
      </c>
    </row>
    <row r="4" ht="15.75" customHeight="1">
      <c r="A4" s="32">
        <v>43467.0</v>
      </c>
      <c r="B4" s="36" t="s">
        <v>188</v>
      </c>
      <c r="C4" s="43" t="s">
        <v>177</v>
      </c>
      <c r="D4" s="36" t="s">
        <v>178</v>
      </c>
      <c r="E4" s="36" t="s">
        <v>179</v>
      </c>
      <c r="F4" s="36" t="s">
        <v>189</v>
      </c>
      <c r="G4" s="37"/>
      <c r="H4" s="1" t="s">
        <v>190</v>
      </c>
      <c r="J4" s="38" t="s">
        <v>182</v>
      </c>
    </row>
    <row r="5" ht="15.75" customHeight="1">
      <c r="A5" s="39">
        <v>43467.0</v>
      </c>
      <c r="B5" s="44" t="s">
        <v>191</v>
      </c>
      <c r="C5" s="45" t="s">
        <v>192</v>
      </c>
      <c r="D5" s="46" t="s">
        <v>193</v>
      </c>
      <c r="E5" s="40" t="s">
        <v>179</v>
      </c>
      <c r="F5" s="44" t="s">
        <v>194</v>
      </c>
      <c r="G5" s="42"/>
      <c r="H5" s="1" t="s">
        <v>195</v>
      </c>
      <c r="J5" s="38" t="s">
        <v>16</v>
      </c>
    </row>
    <row r="6" ht="18.75" customHeight="1">
      <c r="A6" s="32">
        <v>43468.0</v>
      </c>
      <c r="B6" s="47" t="s">
        <v>196</v>
      </c>
      <c r="C6" s="48" t="s">
        <v>197</v>
      </c>
      <c r="D6" s="49" t="s">
        <v>198</v>
      </c>
      <c r="E6" s="36" t="s">
        <v>179</v>
      </c>
      <c r="F6" s="47" t="s">
        <v>199</v>
      </c>
      <c r="G6" s="37"/>
      <c r="H6" s="1" t="s">
        <v>200</v>
      </c>
      <c r="J6" s="38" t="s">
        <v>201</v>
      </c>
    </row>
    <row r="7" ht="15.75" customHeight="1">
      <c r="A7" s="39">
        <v>43468.0</v>
      </c>
      <c r="B7" s="50" t="s">
        <v>202</v>
      </c>
      <c r="C7" s="41" t="s">
        <v>203</v>
      </c>
      <c r="D7" s="46" t="s">
        <v>204</v>
      </c>
      <c r="E7" s="44" t="s">
        <v>205</v>
      </c>
      <c r="F7" s="44" t="s">
        <v>206</v>
      </c>
      <c r="G7" s="44" t="s">
        <v>207</v>
      </c>
      <c r="H7" s="1" t="s">
        <v>208</v>
      </c>
      <c r="J7" s="1" t="s">
        <v>208</v>
      </c>
    </row>
    <row r="8" ht="15.75" customHeight="1">
      <c r="A8" s="32">
        <v>43468.0</v>
      </c>
      <c r="B8" s="47" t="s">
        <v>209</v>
      </c>
      <c r="C8" s="48" t="s">
        <v>210</v>
      </c>
      <c r="D8" s="49" t="s">
        <v>211</v>
      </c>
      <c r="E8" s="47" t="s">
        <v>212</v>
      </c>
      <c r="F8" s="47" t="s">
        <v>213</v>
      </c>
      <c r="G8" s="37"/>
      <c r="H8" s="1" t="s">
        <v>208</v>
      </c>
      <c r="J8" s="1" t="s">
        <v>208</v>
      </c>
    </row>
    <row r="9" ht="15.75" customHeight="1">
      <c r="A9" s="39">
        <v>43468.0</v>
      </c>
      <c r="B9" s="51" t="s">
        <v>214</v>
      </c>
      <c r="C9" s="51" t="s">
        <v>215</v>
      </c>
      <c r="D9" s="46" t="s">
        <v>216</v>
      </c>
      <c r="E9" s="40" t="s">
        <v>179</v>
      </c>
      <c r="F9" s="44" t="s">
        <v>217</v>
      </c>
      <c r="G9" s="44" t="s">
        <v>218</v>
      </c>
      <c r="H9" s="1" t="s">
        <v>208</v>
      </c>
      <c r="J9" s="38" t="s">
        <v>201</v>
      </c>
    </row>
    <row r="10" ht="15.75" customHeight="1">
      <c r="A10" s="32">
        <v>43468.0</v>
      </c>
      <c r="B10" s="52" t="s">
        <v>219</v>
      </c>
      <c r="C10" s="53" t="s">
        <v>220</v>
      </c>
      <c r="D10" s="49" t="s">
        <v>221</v>
      </c>
      <c r="E10" s="47" t="s">
        <v>222</v>
      </c>
      <c r="F10" s="47" t="s">
        <v>223</v>
      </c>
      <c r="G10" s="37"/>
      <c r="H10" s="1" t="s">
        <v>224</v>
      </c>
      <c r="J10" s="38" t="s">
        <v>201</v>
      </c>
    </row>
    <row r="11" ht="15.75" customHeight="1">
      <c r="A11" s="39">
        <v>43468.0</v>
      </c>
      <c r="B11" s="44" t="s">
        <v>225</v>
      </c>
      <c r="C11" s="54" t="s">
        <v>226</v>
      </c>
      <c r="D11" s="46" t="s">
        <v>227</v>
      </c>
      <c r="E11" s="40" t="s">
        <v>179</v>
      </c>
      <c r="F11" s="44" t="s">
        <v>228</v>
      </c>
      <c r="G11" s="42"/>
      <c r="H11" s="1" t="s">
        <v>200</v>
      </c>
      <c r="J11" s="38" t="s">
        <v>201</v>
      </c>
    </row>
    <row r="12" ht="15.75" customHeight="1">
      <c r="A12" s="32">
        <v>43471.0</v>
      </c>
      <c r="B12" s="47" t="s">
        <v>229</v>
      </c>
      <c r="C12" s="48" t="s">
        <v>230</v>
      </c>
      <c r="D12" s="49" t="s">
        <v>231</v>
      </c>
      <c r="E12" s="36" t="s">
        <v>179</v>
      </c>
      <c r="F12" s="47" t="s">
        <v>232</v>
      </c>
      <c r="G12" s="37"/>
      <c r="H12" s="1" t="s">
        <v>233</v>
      </c>
      <c r="J12" s="38" t="s">
        <v>201</v>
      </c>
    </row>
    <row r="13" ht="15.75" customHeight="1">
      <c r="A13" s="39">
        <v>43471.0</v>
      </c>
      <c r="B13" s="44" t="s">
        <v>234</v>
      </c>
      <c r="C13" s="51" t="s">
        <v>235</v>
      </c>
      <c r="D13" s="46" t="s">
        <v>236</v>
      </c>
      <c r="E13" s="44" t="s">
        <v>222</v>
      </c>
      <c r="F13" s="44" t="s">
        <v>237</v>
      </c>
      <c r="G13" s="44" t="s">
        <v>72</v>
      </c>
      <c r="H13" s="1" t="s">
        <v>238</v>
      </c>
      <c r="J13" s="38" t="s">
        <v>16</v>
      </c>
    </row>
    <row r="14" ht="15.75" customHeight="1">
      <c r="A14" s="32">
        <v>43471.0</v>
      </c>
      <c r="B14" s="47" t="s">
        <v>239</v>
      </c>
      <c r="C14" s="53" t="s">
        <v>240</v>
      </c>
      <c r="D14" s="49" t="s">
        <v>241</v>
      </c>
      <c r="E14" s="36" t="s">
        <v>179</v>
      </c>
      <c r="F14" s="47" t="s">
        <v>242</v>
      </c>
      <c r="G14" s="37"/>
      <c r="H14" s="1" t="s">
        <v>243</v>
      </c>
      <c r="J14" s="38" t="s">
        <v>244</v>
      </c>
    </row>
    <row r="15" ht="15.75" customHeight="1">
      <c r="A15" s="39">
        <v>43471.0</v>
      </c>
      <c r="B15" s="55" t="s">
        <v>245</v>
      </c>
      <c r="C15" s="41" t="s">
        <v>246</v>
      </c>
      <c r="D15" s="46" t="s">
        <v>247</v>
      </c>
      <c r="E15" s="44" t="s">
        <v>248</v>
      </c>
      <c r="F15" s="44" t="s">
        <v>249</v>
      </c>
      <c r="G15" s="42"/>
      <c r="J15" s="1" t="s">
        <v>250</v>
      </c>
    </row>
    <row r="16" ht="15.75" customHeight="1">
      <c r="A16" s="32">
        <v>43471.0</v>
      </c>
      <c r="B16" s="47" t="s">
        <v>234</v>
      </c>
      <c r="C16" s="53" t="s">
        <v>251</v>
      </c>
      <c r="D16" s="49" t="s">
        <v>252</v>
      </c>
      <c r="E16" s="47" t="s">
        <v>222</v>
      </c>
      <c r="F16" s="47" t="s">
        <v>253</v>
      </c>
      <c r="G16" s="47" t="s">
        <v>254</v>
      </c>
      <c r="H16" s="1" t="s">
        <v>255</v>
      </c>
      <c r="J16" s="56" t="s">
        <v>244</v>
      </c>
    </row>
    <row r="17" ht="15.75" customHeight="1">
      <c r="A17" s="39">
        <v>43471.0</v>
      </c>
      <c r="B17" s="44" t="s">
        <v>256</v>
      </c>
      <c r="C17" s="45" t="s">
        <v>257</v>
      </c>
      <c r="D17" s="46" t="s">
        <v>258</v>
      </c>
      <c r="E17" s="40" t="s">
        <v>179</v>
      </c>
      <c r="F17" s="44" t="s">
        <v>259</v>
      </c>
      <c r="G17" s="42"/>
      <c r="H17" s="1" t="s">
        <v>260</v>
      </c>
      <c r="J17" s="38" t="s">
        <v>16</v>
      </c>
    </row>
    <row r="18" ht="15.75" customHeight="1">
      <c r="A18" s="32">
        <v>43471.0</v>
      </c>
      <c r="B18" s="47" t="s">
        <v>234</v>
      </c>
      <c r="C18" s="53" t="s">
        <v>261</v>
      </c>
      <c r="D18" s="49" t="s">
        <v>262</v>
      </c>
      <c r="E18" s="47" t="s">
        <v>222</v>
      </c>
      <c r="F18" s="47" t="s">
        <v>263</v>
      </c>
      <c r="G18" s="37"/>
      <c r="H18" s="1" t="s">
        <v>264</v>
      </c>
      <c r="J18" s="38" t="s">
        <v>265</v>
      </c>
    </row>
    <row r="19" ht="15.75" customHeight="1">
      <c r="A19" s="39">
        <v>43471.0</v>
      </c>
      <c r="B19" s="44" t="s">
        <v>266</v>
      </c>
      <c r="C19" s="51" t="s">
        <v>267</v>
      </c>
      <c r="D19" s="46" t="s">
        <v>268</v>
      </c>
      <c r="E19" s="40" t="s">
        <v>179</v>
      </c>
      <c r="F19" s="44" t="s">
        <v>269</v>
      </c>
      <c r="G19" s="42"/>
      <c r="H19" s="1" t="s">
        <v>270</v>
      </c>
      <c r="J19" s="57" t="s">
        <v>271</v>
      </c>
    </row>
    <row r="20" ht="15.75" customHeight="1">
      <c r="A20" s="32">
        <v>43471.0</v>
      </c>
      <c r="B20" s="36" t="s">
        <v>272</v>
      </c>
      <c r="C20" s="48" t="s">
        <v>273</v>
      </c>
      <c r="D20" s="49" t="s">
        <v>274</v>
      </c>
      <c r="E20" s="36" t="s">
        <v>179</v>
      </c>
      <c r="F20" s="47" t="s">
        <v>275</v>
      </c>
      <c r="G20" s="37"/>
      <c r="H20" s="1" t="s">
        <v>200</v>
      </c>
      <c r="J20" s="38" t="s">
        <v>201</v>
      </c>
    </row>
    <row r="21" ht="15.75" customHeight="1">
      <c r="A21" s="39">
        <v>43471.0</v>
      </c>
      <c r="B21" s="40" t="s">
        <v>276</v>
      </c>
      <c r="C21" s="45" t="s">
        <v>277</v>
      </c>
      <c r="D21" s="46" t="s">
        <v>231</v>
      </c>
      <c r="E21" s="40" t="s">
        <v>179</v>
      </c>
      <c r="F21" s="44" t="s">
        <v>278</v>
      </c>
      <c r="G21" s="42"/>
      <c r="H21" s="1" t="s">
        <v>279</v>
      </c>
      <c r="J21" s="38" t="s">
        <v>16</v>
      </c>
    </row>
    <row r="22" ht="15.75" customHeight="1">
      <c r="A22" s="32">
        <v>43471.0</v>
      </c>
      <c r="B22" s="47" t="s">
        <v>280</v>
      </c>
      <c r="C22" s="48" t="s">
        <v>281</v>
      </c>
      <c r="D22" s="49" t="s">
        <v>282</v>
      </c>
      <c r="E22" s="36" t="s">
        <v>179</v>
      </c>
      <c r="F22" s="47" t="s">
        <v>283</v>
      </c>
      <c r="G22" s="47" t="s">
        <v>284</v>
      </c>
      <c r="H22" s="1" t="s">
        <v>285</v>
      </c>
      <c r="J22" s="38" t="s">
        <v>201</v>
      </c>
    </row>
    <row r="23" ht="15.75" customHeight="1">
      <c r="A23" s="39">
        <v>43471.0</v>
      </c>
      <c r="B23" s="44" t="s">
        <v>286</v>
      </c>
      <c r="C23" s="45" t="s">
        <v>287</v>
      </c>
      <c r="D23" s="46" t="s">
        <v>288</v>
      </c>
      <c r="E23" s="44" t="s">
        <v>222</v>
      </c>
      <c r="F23" s="44" t="s">
        <v>289</v>
      </c>
      <c r="G23" s="42"/>
      <c r="J23" s="38" t="s">
        <v>201</v>
      </c>
    </row>
    <row r="24" ht="15.75" customHeight="1">
      <c r="A24" s="32">
        <v>43471.0</v>
      </c>
      <c r="B24" s="36" t="s">
        <v>290</v>
      </c>
      <c r="C24" s="52" t="s">
        <v>291</v>
      </c>
      <c r="D24" s="49" t="s">
        <v>292</v>
      </c>
      <c r="E24" s="47" t="s">
        <v>293</v>
      </c>
      <c r="F24" s="47" t="s">
        <v>294</v>
      </c>
      <c r="G24" s="37"/>
      <c r="H24" s="1" t="s">
        <v>295</v>
      </c>
      <c r="J24" s="56" t="s">
        <v>244</v>
      </c>
    </row>
    <row r="25" ht="15.75" customHeight="1">
      <c r="A25" s="39">
        <v>43471.0</v>
      </c>
      <c r="B25" s="44" t="s">
        <v>296</v>
      </c>
      <c r="C25" s="51" t="s">
        <v>297</v>
      </c>
      <c r="D25" s="46" t="s">
        <v>298</v>
      </c>
      <c r="E25" s="44" t="s">
        <v>212</v>
      </c>
      <c r="F25" s="44" t="s">
        <v>299</v>
      </c>
      <c r="G25" s="42"/>
      <c r="H25" s="1" t="s">
        <v>208</v>
      </c>
      <c r="J25" s="38" t="s">
        <v>300</v>
      </c>
    </row>
    <row r="26" ht="15.75" customHeight="1">
      <c r="A26" s="32">
        <v>43471.0</v>
      </c>
      <c r="B26" s="47" t="s">
        <v>301</v>
      </c>
      <c r="C26" s="53" t="s">
        <v>302</v>
      </c>
      <c r="D26" s="49" t="s">
        <v>303</v>
      </c>
      <c r="E26" s="36" t="s">
        <v>179</v>
      </c>
      <c r="F26" s="47" t="s">
        <v>304</v>
      </c>
      <c r="G26" s="37"/>
      <c r="H26" s="1" t="s">
        <v>305</v>
      </c>
      <c r="J26" s="56" t="s">
        <v>306</v>
      </c>
    </row>
    <row r="27" ht="15.75" customHeight="1">
      <c r="A27" s="39">
        <v>43471.0</v>
      </c>
      <c r="B27" s="55" t="s">
        <v>307</v>
      </c>
      <c r="C27" s="54" t="s">
        <v>308</v>
      </c>
      <c r="D27" s="46" t="s">
        <v>309</v>
      </c>
      <c r="E27" s="44" t="s">
        <v>248</v>
      </c>
      <c r="F27" s="44" t="s">
        <v>310</v>
      </c>
      <c r="G27" s="42"/>
      <c r="H27" s="1" t="s">
        <v>208</v>
      </c>
      <c r="J27" s="38" t="s">
        <v>300</v>
      </c>
    </row>
    <row r="28" ht="15.75" customHeight="1">
      <c r="A28" s="32">
        <v>43471.0</v>
      </c>
      <c r="B28" s="47" t="s">
        <v>311</v>
      </c>
      <c r="C28" s="53" t="s">
        <v>312</v>
      </c>
      <c r="D28" s="49" t="s">
        <v>313</v>
      </c>
      <c r="E28" s="36" t="s">
        <v>179</v>
      </c>
      <c r="F28" s="47" t="s">
        <v>314</v>
      </c>
      <c r="G28" s="37"/>
      <c r="H28" s="1" t="s">
        <v>208</v>
      </c>
      <c r="J28" s="38" t="s">
        <v>201</v>
      </c>
    </row>
    <row r="29" ht="15.75" customHeight="1">
      <c r="A29" s="39">
        <v>43471.0</v>
      </c>
      <c r="B29" s="44" t="s">
        <v>315</v>
      </c>
      <c r="C29" s="51" t="s">
        <v>316</v>
      </c>
      <c r="D29" s="46" t="s">
        <v>317</v>
      </c>
      <c r="E29" s="44" t="s">
        <v>318</v>
      </c>
      <c r="F29" s="44"/>
      <c r="G29" s="42"/>
      <c r="J29" s="1" t="s">
        <v>319</v>
      </c>
    </row>
    <row r="30" ht="15.75" customHeight="1">
      <c r="A30" s="58"/>
      <c r="B30" s="47" t="s">
        <v>320</v>
      </c>
      <c r="C30" s="48" t="s">
        <v>321</v>
      </c>
      <c r="D30" s="49" t="s">
        <v>322</v>
      </c>
      <c r="E30" s="47" t="s">
        <v>222</v>
      </c>
      <c r="F30" s="47" t="s">
        <v>323</v>
      </c>
      <c r="G30" s="47" t="s">
        <v>324</v>
      </c>
      <c r="H30" s="1" t="s">
        <v>325</v>
      </c>
      <c r="J30" s="1" t="s">
        <v>326</v>
      </c>
    </row>
    <row r="31" ht="15.75" customHeight="1">
      <c r="A31" s="39">
        <v>43473.0</v>
      </c>
      <c r="B31" s="40" t="s">
        <v>327</v>
      </c>
      <c r="C31" s="54" t="s">
        <v>328</v>
      </c>
      <c r="D31" s="46" t="s">
        <v>329</v>
      </c>
      <c r="E31" s="44" t="s">
        <v>330</v>
      </c>
      <c r="F31" s="44" t="s">
        <v>331</v>
      </c>
      <c r="G31" s="44" t="s">
        <v>332</v>
      </c>
      <c r="H31" s="1" t="s">
        <v>333</v>
      </c>
      <c r="I31" s="59" t="s">
        <v>334</v>
      </c>
      <c r="J31" s="1" t="s">
        <v>335</v>
      </c>
    </row>
    <row r="32" ht="15.75" customHeight="1">
      <c r="A32" s="32">
        <v>43474.0</v>
      </c>
      <c r="B32" s="60" t="s">
        <v>336</v>
      </c>
      <c r="C32" s="48" t="s">
        <v>337</v>
      </c>
      <c r="D32" s="49" t="s">
        <v>338</v>
      </c>
      <c r="E32" s="36" t="s">
        <v>179</v>
      </c>
      <c r="F32" s="60" t="s">
        <v>339</v>
      </c>
      <c r="G32" s="37"/>
      <c r="J32" s="38" t="s">
        <v>201</v>
      </c>
    </row>
    <row r="33" ht="15.75" customHeight="1">
      <c r="A33" s="39">
        <v>6983082.0</v>
      </c>
      <c r="B33" s="61" t="s">
        <v>340</v>
      </c>
      <c r="C33" s="54" t="s">
        <v>341</v>
      </c>
      <c r="D33" s="62" t="s">
        <v>342</v>
      </c>
      <c r="E33" s="44" t="s">
        <v>293</v>
      </c>
      <c r="F33" s="61" t="s">
        <v>343</v>
      </c>
      <c r="G33" s="61" t="s">
        <v>344</v>
      </c>
      <c r="H33" s="1" t="s">
        <v>345</v>
      </c>
      <c r="J33" s="38" t="s">
        <v>265</v>
      </c>
    </row>
    <row r="34" ht="15.75" customHeight="1">
      <c r="A34" s="32">
        <v>6983082.0</v>
      </c>
      <c r="B34" s="60" t="s">
        <v>346</v>
      </c>
      <c r="C34" s="63" t="s">
        <v>347</v>
      </c>
      <c r="D34" s="64" t="s">
        <v>348</v>
      </c>
      <c r="E34" s="47" t="s">
        <v>293</v>
      </c>
      <c r="F34" s="60" t="s">
        <v>349</v>
      </c>
      <c r="G34" s="47" t="s">
        <v>350</v>
      </c>
      <c r="H34" s="1" t="s">
        <v>351</v>
      </c>
      <c r="J34" s="38" t="s">
        <v>201</v>
      </c>
    </row>
    <row r="35" ht="15.75" customHeight="1">
      <c r="A35" s="39">
        <v>6983082.0</v>
      </c>
      <c r="B35" s="40" t="s">
        <v>352</v>
      </c>
      <c r="C35" s="65">
        <f>9710528059380</f>
        <v>9710528059380</v>
      </c>
      <c r="D35" s="62" t="s">
        <v>353</v>
      </c>
      <c r="E35" s="61" t="s">
        <v>179</v>
      </c>
      <c r="F35" s="61" t="s">
        <v>354</v>
      </c>
      <c r="G35" s="42"/>
      <c r="H35" s="1" t="s">
        <v>355</v>
      </c>
      <c r="J35" s="38" t="s">
        <v>201</v>
      </c>
    </row>
    <row r="36" ht="15.75" customHeight="1">
      <c r="A36" s="32">
        <v>43475.0</v>
      </c>
      <c r="B36" s="60" t="s">
        <v>356</v>
      </c>
      <c r="C36" s="52" t="s">
        <v>357</v>
      </c>
      <c r="D36" s="64" t="s">
        <v>358</v>
      </c>
      <c r="E36" s="60" t="s">
        <v>212</v>
      </c>
      <c r="F36" s="60" t="s">
        <v>359</v>
      </c>
      <c r="G36" s="37"/>
      <c r="H36" s="1" t="s">
        <v>333</v>
      </c>
      <c r="J36" s="38" t="s">
        <v>16</v>
      </c>
    </row>
    <row r="37" ht="15.75" customHeight="1">
      <c r="A37" s="39">
        <v>43475.0</v>
      </c>
      <c r="B37" s="55" t="s">
        <v>360</v>
      </c>
      <c r="C37" s="66" t="s">
        <v>361</v>
      </c>
      <c r="D37" s="46" t="s">
        <v>362</v>
      </c>
      <c r="E37" s="61" t="s">
        <v>248</v>
      </c>
      <c r="F37" s="44" t="s">
        <v>206</v>
      </c>
      <c r="G37" s="42"/>
      <c r="J37" s="38" t="s">
        <v>363</v>
      </c>
    </row>
    <row r="38" ht="15.75" customHeight="1">
      <c r="A38" s="32">
        <v>43477.0</v>
      </c>
      <c r="B38" s="60" t="s">
        <v>364</v>
      </c>
      <c r="C38" s="53" t="s">
        <v>365</v>
      </c>
      <c r="D38" s="64" t="s">
        <v>366</v>
      </c>
      <c r="E38" s="36" t="s">
        <v>179</v>
      </c>
      <c r="F38" s="60" t="s">
        <v>367</v>
      </c>
      <c r="G38" s="37"/>
      <c r="J38" s="38" t="s">
        <v>16</v>
      </c>
    </row>
    <row r="39" ht="15.75" customHeight="1">
      <c r="A39" s="39">
        <v>43477.0</v>
      </c>
      <c r="B39" s="61" t="s">
        <v>368</v>
      </c>
      <c r="C39" s="54" t="s">
        <v>369</v>
      </c>
      <c r="D39" s="62" t="s">
        <v>370</v>
      </c>
      <c r="E39" s="40" t="s">
        <v>179</v>
      </c>
      <c r="F39" s="61" t="s">
        <v>371</v>
      </c>
      <c r="G39" s="42"/>
      <c r="H39" s="1" t="s">
        <v>372</v>
      </c>
      <c r="J39" s="38" t="s">
        <v>201</v>
      </c>
    </row>
    <row r="40" ht="15.75" customHeight="1">
      <c r="A40" s="32">
        <v>43477.0</v>
      </c>
      <c r="B40" s="60" t="s">
        <v>183</v>
      </c>
      <c r="C40" s="53" t="s">
        <v>373</v>
      </c>
      <c r="D40" s="64" t="s">
        <v>185</v>
      </c>
      <c r="E40" s="36" t="s">
        <v>179</v>
      </c>
      <c r="F40" s="60" t="s">
        <v>374</v>
      </c>
      <c r="G40" s="37"/>
      <c r="H40" s="1" t="s">
        <v>187</v>
      </c>
      <c r="J40" s="38" t="s">
        <v>16</v>
      </c>
    </row>
    <row r="41" ht="15.75" customHeight="1">
      <c r="A41" s="39">
        <v>43477.0</v>
      </c>
      <c r="B41" s="40" t="s">
        <v>375</v>
      </c>
      <c r="C41" s="45" t="s">
        <v>376</v>
      </c>
      <c r="D41" s="62" t="s">
        <v>377</v>
      </c>
      <c r="E41" s="40" t="s">
        <v>179</v>
      </c>
      <c r="F41" s="61" t="s">
        <v>378</v>
      </c>
      <c r="G41" s="42"/>
      <c r="J41" s="38" t="s">
        <v>16</v>
      </c>
    </row>
    <row r="42" ht="15.75" customHeight="1">
      <c r="A42" s="32">
        <v>43477.0</v>
      </c>
      <c r="B42" s="47" t="s">
        <v>379</v>
      </c>
      <c r="C42" s="67">
        <f>+971503448761</f>
        <v>971503448761</v>
      </c>
      <c r="D42" s="49" t="s">
        <v>380</v>
      </c>
      <c r="E42" s="60" t="s">
        <v>381</v>
      </c>
      <c r="F42" s="60" t="s">
        <v>382</v>
      </c>
      <c r="G42" s="37"/>
      <c r="H42" s="1" t="s">
        <v>383</v>
      </c>
      <c r="J42" s="38" t="s">
        <v>306</v>
      </c>
    </row>
    <row r="43" ht="15.75" customHeight="1">
      <c r="A43" s="39">
        <v>43477.0</v>
      </c>
      <c r="B43" s="44" t="s">
        <v>384</v>
      </c>
      <c r="C43" s="45" t="s">
        <v>385</v>
      </c>
      <c r="D43" s="46" t="s">
        <v>386</v>
      </c>
      <c r="E43" s="40" t="s">
        <v>179</v>
      </c>
      <c r="F43" s="44" t="s">
        <v>387</v>
      </c>
      <c r="G43" s="42"/>
      <c r="H43" s="1" t="s">
        <v>388</v>
      </c>
      <c r="J43" s="38" t="s">
        <v>16</v>
      </c>
    </row>
    <row r="44" ht="15.75" customHeight="1">
      <c r="A44" s="32">
        <v>43477.0</v>
      </c>
      <c r="B44" s="60" t="s">
        <v>346</v>
      </c>
      <c r="C44" s="63" t="s">
        <v>389</v>
      </c>
      <c r="D44" s="64" t="s">
        <v>390</v>
      </c>
      <c r="E44" s="47" t="s">
        <v>293</v>
      </c>
      <c r="F44" s="60" t="s">
        <v>391</v>
      </c>
      <c r="G44" s="37"/>
      <c r="J44" s="38" t="s">
        <v>16</v>
      </c>
    </row>
    <row r="45" ht="15.75" customHeight="1">
      <c r="A45" s="39">
        <v>43477.0</v>
      </c>
      <c r="B45" s="40" t="s">
        <v>392</v>
      </c>
      <c r="C45" s="41" t="s">
        <v>393</v>
      </c>
      <c r="D45" s="40" t="s">
        <v>394</v>
      </c>
      <c r="F45" s="44"/>
      <c r="G45" s="40" t="s">
        <v>249</v>
      </c>
      <c r="J45" s="38" t="s">
        <v>395</v>
      </c>
    </row>
    <row r="46" ht="15.75" customHeight="1">
      <c r="A46" s="32">
        <v>43477.0</v>
      </c>
      <c r="B46" s="68" t="s">
        <v>360</v>
      </c>
      <c r="C46" s="43" t="s">
        <v>396</v>
      </c>
      <c r="D46" s="36" t="s">
        <v>362</v>
      </c>
      <c r="G46" s="60" t="s">
        <v>206</v>
      </c>
      <c r="J46" s="38" t="s">
        <v>363</v>
      </c>
    </row>
    <row r="47" ht="15.75" customHeight="1">
      <c r="A47" s="39">
        <v>43477.0</v>
      </c>
      <c r="B47" s="61" t="s">
        <v>234</v>
      </c>
      <c r="C47" s="45" t="s">
        <v>397</v>
      </c>
      <c r="D47" s="46" t="s">
        <v>398</v>
      </c>
      <c r="E47" s="44" t="s">
        <v>222</v>
      </c>
      <c r="F47" s="61" t="s">
        <v>399</v>
      </c>
      <c r="H47" s="1" t="s">
        <v>400</v>
      </c>
      <c r="J47" s="1" t="s">
        <v>401</v>
      </c>
    </row>
    <row r="48" ht="15.75" customHeight="1">
      <c r="A48" s="32">
        <v>43478.0</v>
      </c>
      <c r="B48" s="47" t="s">
        <v>402</v>
      </c>
      <c r="C48" s="69" t="s">
        <v>403</v>
      </c>
      <c r="D48" s="49" t="s">
        <v>404</v>
      </c>
      <c r="E48" s="60" t="s">
        <v>381</v>
      </c>
      <c r="F48" s="60" t="s">
        <v>405</v>
      </c>
      <c r="H48" s="1" t="s">
        <v>406</v>
      </c>
      <c r="J48" s="38" t="s">
        <v>16</v>
      </c>
    </row>
    <row r="49" ht="15.75" customHeight="1">
      <c r="A49" s="39">
        <v>43478.0</v>
      </c>
      <c r="B49" s="61" t="s">
        <v>234</v>
      </c>
      <c r="C49" s="51" t="s">
        <v>407</v>
      </c>
      <c r="D49" s="46" t="s">
        <v>408</v>
      </c>
      <c r="E49" s="44" t="s">
        <v>222</v>
      </c>
      <c r="F49" s="61" t="s">
        <v>409</v>
      </c>
      <c r="G49" s="44" t="s">
        <v>410</v>
      </c>
      <c r="H49" s="1" t="s">
        <v>411</v>
      </c>
      <c r="J49" s="38" t="s">
        <v>265</v>
      </c>
    </row>
    <row r="50" ht="15.75" customHeight="1">
      <c r="A50" s="32">
        <v>43478.0</v>
      </c>
      <c r="B50" s="60" t="s">
        <v>412</v>
      </c>
      <c r="C50" s="48" t="s">
        <v>413</v>
      </c>
      <c r="D50" s="70" t="s">
        <v>414</v>
      </c>
      <c r="E50" s="47" t="s">
        <v>222</v>
      </c>
      <c r="F50" s="60" t="s">
        <v>415</v>
      </c>
      <c r="G50" s="47" t="s">
        <v>72</v>
      </c>
      <c r="J50" s="1" t="s">
        <v>165</v>
      </c>
    </row>
    <row r="51" ht="15.75" customHeight="1">
      <c r="A51" s="39">
        <v>43478.0</v>
      </c>
      <c r="B51" s="61" t="s">
        <v>416</v>
      </c>
      <c r="C51" s="54" t="s">
        <v>417</v>
      </c>
      <c r="D51" s="62" t="s">
        <v>418</v>
      </c>
      <c r="E51" s="61" t="s">
        <v>419</v>
      </c>
      <c r="F51" s="61" t="s">
        <v>420</v>
      </c>
      <c r="G51" s="44"/>
      <c r="H51" s="1" t="s">
        <v>406</v>
      </c>
      <c r="J51" s="38" t="s">
        <v>16</v>
      </c>
    </row>
    <row r="52" ht="15.75" customHeight="1">
      <c r="A52" s="32">
        <v>43478.0</v>
      </c>
      <c r="B52" s="60" t="s">
        <v>421</v>
      </c>
      <c r="C52" s="67" t="s">
        <v>422</v>
      </c>
      <c r="D52" s="64" t="s">
        <v>423</v>
      </c>
      <c r="E52" s="60" t="s">
        <v>179</v>
      </c>
      <c r="F52" s="60" t="s">
        <v>387</v>
      </c>
      <c r="G52" s="47"/>
      <c r="J52" s="38" t="s">
        <v>16</v>
      </c>
    </row>
    <row r="53" ht="15.75" customHeight="1">
      <c r="A53" s="39">
        <v>43480.0</v>
      </c>
      <c r="B53" s="61" t="s">
        <v>424</v>
      </c>
      <c r="C53" s="54" t="s">
        <v>425</v>
      </c>
      <c r="D53" s="62" t="s">
        <v>426</v>
      </c>
      <c r="E53" s="44" t="s">
        <v>222</v>
      </c>
      <c r="F53" s="61" t="s">
        <v>427</v>
      </c>
      <c r="G53" s="44"/>
      <c r="H53" s="1" t="s">
        <v>428</v>
      </c>
      <c r="J53" s="38" t="s">
        <v>265</v>
      </c>
    </row>
    <row r="54" ht="15.75" customHeight="1">
      <c r="A54" s="32">
        <v>43480.0</v>
      </c>
      <c r="B54" s="60" t="s">
        <v>429</v>
      </c>
      <c r="C54" s="48" t="s">
        <v>430</v>
      </c>
      <c r="D54" s="64" t="s">
        <v>431</v>
      </c>
      <c r="E54" s="60" t="s">
        <v>179</v>
      </c>
      <c r="F54" s="60" t="s">
        <v>432</v>
      </c>
      <c r="G54" s="47"/>
      <c r="H54" s="1" t="s">
        <v>388</v>
      </c>
      <c r="J54" s="38" t="s">
        <v>395</v>
      </c>
    </row>
    <row r="55" ht="15.75" customHeight="1">
      <c r="A55" s="39">
        <v>43480.0</v>
      </c>
      <c r="B55" s="61" t="s">
        <v>433</v>
      </c>
      <c r="C55" s="51" t="s">
        <v>434</v>
      </c>
      <c r="D55" s="62" t="s">
        <v>435</v>
      </c>
      <c r="E55" s="61" t="s">
        <v>419</v>
      </c>
      <c r="F55" s="44" t="s">
        <v>436</v>
      </c>
      <c r="G55" s="44"/>
      <c r="H55" s="1" t="s">
        <v>285</v>
      </c>
      <c r="J55" s="38" t="s">
        <v>201</v>
      </c>
    </row>
    <row r="56" ht="15.75" customHeight="1">
      <c r="A56" s="32">
        <v>43480.0</v>
      </c>
      <c r="B56" s="47" t="s">
        <v>437</v>
      </c>
      <c r="C56" s="53" t="s">
        <v>438</v>
      </c>
      <c r="D56" s="49" t="s">
        <v>439</v>
      </c>
      <c r="E56" s="47" t="s">
        <v>222</v>
      </c>
      <c r="F56" s="47" t="s">
        <v>440</v>
      </c>
      <c r="G56" s="47" t="s">
        <v>441</v>
      </c>
      <c r="H56" s="71" t="s">
        <v>442</v>
      </c>
      <c r="J56" s="1" t="s">
        <v>443</v>
      </c>
    </row>
    <row r="57" ht="15.75" customHeight="1">
      <c r="A57" s="39">
        <v>43480.0</v>
      </c>
      <c r="B57" s="61" t="s">
        <v>444</v>
      </c>
      <c r="C57" s="54" t="s">
        <v>445</v>
      </c>
      <c r="D57" s="46" t="s">
        <v>446</v>
      </c>
      <c r="E57" s="61" t="s">
        <v>179</v>
      </c>
      <c r="F57" s="61" t="s">
        <v>447</v>
      </c>
      <c r="G57" s="44"/>
      <c r="J57" s="38" t="s">
        <v>16</v>
      </c>
    </row>
    <row r="58" ht="15.75" customHeight="1">
      <c r="A58" s="32">
        <v>43480.0</v>
      </c>
      <c r="B58" s="47" t="s">
        <v>234</v>
      </c>
      <c r="C58" s="48" t="s">
        <v>448</v>
      </c>
      <c r="D58" s="49" t="s">
        <v>449</v>
      </c>
      <c r="E58" s="60" t="s">
        <v>222</v>
      </c>
      <c r="F58" s="60" t="s">
        <v>450</v>
      </c>
      <c r="G58" s="47"/>
      <c r="H58" s="1" t="s">
        <v>238</v>
      </c>
      <c r="J58" s="38" t="s">
        <v>16</v>
      </c>
    </row>
    <row r="59" ht="15.75" customHeight="1">
      <c r="A59" s="39">
        <v>43480.0</v>
      </c>
      <c r="B59" s="61" t="s">
        <v>451</v>
      </c>
      <c r="C59" s="54" t="s">
        <v>452</v>
      </c>
      <c r="D59" s="62" t="s">
        <v>453</v>
      </c>
      <c r="E59" s="61" t="s">
        <v>179</v>
      </c>
      <c r="F59" s="61" t="s">
        <v>454</v>
      </c>
      <c r="G59" s="44"/>
      <c r="H59" s="1" t="s">
        <v>279</v>
      </c>
      <c r="J59" s="38" t="s">
        <v>16</v>
      </c>
    </row>
    <row r="60" ht="15.75" customHeight="1">
      <c r="A60" s="32">
        <v>43482.0</v>
      </c>
      <c r="B60" s="60" t="s">
        <v>234</v>
      </c>
      <c r="C60" s="53" t="s">
        <v>455</v>
      </c>
      <c r="D60" s="64" t="s">
        <v>456</v>
      </c>
      <c r="E60" s="60" t="s">
        <v>222</v>
      </c>
      <c r="F60" s="60" t="s">
        <v>457</v>
      </c>
      <c r="J60" s="38" t="s">
        <v>244</v>
      </c>
    </row>
    <row r="61" ht="15.75" customHeight="1">
      <c r="A61" s="39">
        <v>43482.0</v>
      </c>
      <c r="B61" s="61" t="s">
        <v>458</v>
      </c>
      <c r="C61" s="54" t="s">
        <v>459</v>
      </c>
      <c r="D61" s="62" t="s">
        <v>460</v>
      </c>
      <c r="E61" s="61" t="s">
        <v>222</v>
      </c>
      <c r="F61" s="44" t="s">
        <v>461</v>
      </c>
      <c r="G61" s="44"/>
      <c r="J61" s="38" t="s">
        <v>16</v>
      </c>
    </row>
    <row r="62" ht="15.75" customHeight="1">
      <c r="A62" s="32">
        <v>43482.0</v>
      </c>
      <c r="B62" s="60" t="s">
        <v>462</v>
      </c>
      <c r="C62" s="63" t="s">
        <v>463</v>
      </c>
      <c r="D62" s="64" t="s">
        <v>464</v>
      </c>
      <c r="E62" s="60" t="s">
        <v>179</v>
      </c>
      <c r="F62" s="47"/>
      <c r="G62" s="47"/>
      <c r="J62" s="38" t="s">
        <v>16</v>
      </c>
    </row>
    <row r="63" ht="15.75" customHeight="1">
      <c r="A63" s="39">
        <v>43485.0</v>
      </c>
      <c r="B63" s="61" t="s">
        <v>465</v>
      </c>
      <c r="C63" s="54" t="s">
        <v>466</v>
      </c>
      <c r="D63" s="46" t="s">
        <v>467</v>
      </c>
      <c r="E63" s="61" t="s">
        <v>468</v>
      </c>
      <c r="F63" s="61" t="s">
        <v>469</v>
      </c>
      <c r="G63" s="44"/>
      <c r="J63" s="38" t="s">
        <v>470</v>
      </c>
    </row>
    <row r="64" ht="15.75" customHeight="1">
      <c r="A64" s="32">
        <v>43485.0</v>
      </c>
      <c r="B64" s="47" t="s">
        <v>471</v>
      </c>
      <c r="C64" s="67">
        <v>9.71503657415E11</v>
      </c>
      <c r="D64" s="49" t="s">
        <v>472</v>
      </c>
      <c r="E64" s="47" t="s">
        <v>179</v>
      </c>
      <c r="F64" s="60" t="s">
        <v>473</v>
      </c>
      <c r="G64" s="47"/>
      <c r="J64" s="38" t="s">
        <v>16</v>
      </c>
    </row>
    <row r="65" ht="15.75" customHeight="1">
      <c r="A65" s="39">
        <v>43485.0</v>
      </c>
      <c r="B65" s="44" t="s">
        <v>474</v>
      </c>
      <c r="C65" s="41" t="s">
        <v>475</v>
      </c>
      <c r="D65" s="46" t="s">
        <v>476</v>
      </c>
      <c r="E65" s="44" t="s">
        <v>179</v>
      </c>
      <c r="F65" s="44" t="s">
        <v>477</v>
      </c>
      <c r="H65" s="1" t="s">
        <v>478</v>
      </c>
      <c r="J65" s="38" t="s">
        <v>395</v>
      </c>
    </row>
    <row r="66" ht="15.75" customHeight="1">
      <c r="A66" s="32">
        <v>43485.0</v>
      </c>
      <c r="B66" s="47" t="s">
        <v>479</v>
      </c>
      <c r="C66" s="72">
        <v>9.71501484193E11</v>
      </c>
      <c r="D66" s="49" t="s">
        <v>480</v>
      </c>
      <c r="E66" s="60" t="s">
        <v>222</v>
      </c>
      <c r="F66" s="47" t="s">
        <v>481</v>
      </c>
      <c r="J66" s="38" t="s">
        <v>201</v>
      </c>
    </row>
    <row r="67" ht="15.75" customHeight="1">
      <c r="A67" s="39">
        <v>43485.0</v>
      </c>
      <c r="B67" s="61" t="s">
        <v>482</v>
      </c>
      <c r="C67" s="41" t="s">
        <v>483</v>
      </c>
      <c r="D67" s="62" t="s">
        <v>484</v>
      </c>
      <c r="E67" s="44" t="s">
        <v>179</v>
      </c>
      <c r="F67" s="61" t="s">
        <v>485</v>
      </c>
      <c r="H67" s="1" t="s">
        <v>486</v>
      </c>
      <c r="J67" s="38" t="s">
        <v>265</v>
      </c>
    </row>
    <row r="68" ht="15.75" customHeight="1">
      <c r="A68" s="32">
        <v>43485.0</v>
      </c>
      <c r="B68" s="60" t="s">
        <v>487</v>
      </c>
      <c r="C68" s="69" t="s">
        <v>488</v>
      </c>
      <c r="D68" s="64" t="s">
        <v>489</v>
      </c>
      <c r="E68" s="60" t="s">
        <v>222</v>
      </c>
      <c r="F68" s="47" t="s">
        <v>490</v>
      </c>
      <c r="G68" s="47" t="s">
        <v>491</v>
      </c>
      <c r="J68" s="38" t="s">
        <v>265</v>
      </c>
    </row>
    <row r="69" ht="15.75" customHeight="1">
      <c r="A69" s="39">
        <v>43485.0</v>
      </c>
      <c r="B69" s="61" t="s">
        <v>492</v>
      </c>
      <c r="C69" s="41" t="s">
        <v>493</v>
      </c>
      <c r="D69" s="62" t="s">
        <v>494</v>
      </c>
      <c r="E69" s="61" t="s">
        <v>222</v>
      </c>
      <c r="F69" s="61" t="s">
        <v>495</v>
      </c>
      <c r="G69" s="44"/>
      <c r="H69" s="1" t="s">
        <v>496</v>
      </c>
      <c r="J69" s="38" t="s">
        <v>16</v>
      </c>
    </row>
    <row r="70" ht="15.75" customHeight="1">
      <c r="A70" s="32">
        <v>43485.0</v>
      </c>
      <c r="B70" s="60" t="s">
        <v>497</v>
      </c>
      <c r="C70" s="43" t="s">
        <v>498</v>
      </c>
      <c r="D70" s="64" t="s">
        <v>499</v>
      </c>
      <c r="E70" s="47" t="s">
        <v>179</v>
      </c>
      <c r="F70" s="60" t="s">
        <v>500</v>
      </c>
      <c r="G70" s="47" t="s">
        <v>501</v>
      </c>
      <c r="H70" s="1" t="s">
        <v>502</v>
      </c>
      <c r="J70" s="38" t="s">
        <v>16</v>
      </c>
    </row>
    <row r="71" ht="15.75" customHeight="1">
      <c r="A71" s="39">
        <v>43485.0</v>
      </c>
      <c r="B71" s="61" t="s">
        <v>503</v>
      </c>
      <c r="C71" s="41" t="s">
        <v>504</v>
      </c>
      <c r="D71" s="62" t="s">
        <v>505</v>
      </c>
      <c r="E71" s="61" t="s">
        <v>506</v>
      </c>
      <c r="F71" s="44" t="s">
        <v>507</v>
      </c>
      <c r="G71" s="44"/>
      <c r="H71" s="1" t="s">
        <v>508</v>
      </c>
      <c r="J71" s="1" t="s">
        <v>509</v>
      </c>
    </row>
    <row r="72" ht="15.75" customHeight="1">
      <c r="A72" s="32">
        <v>43485.0</v>
      </c>
      <c r="B72" s="47" t="s">
        <v>510</v>
      </c>
      <c r="C72" s="48" t="s">
        <v>511</v>
      </c>
      <c r="D72" s="49" t="s">
        <v>512</v>
      </c>
      <c r="E72" s="60" t="s">
        <v>222</v>
      </c>
      <c r="F72" s="60" t="s">
        <v>72</v>
      </c>
      <c r="G72" s="47"/>
      <c r="H72" s="1" t="s">
        <v>513</v>
      </c>
      <c r="J72" s="38" t="s">
        <v>244</v>
      </c>
    </row>
    <row r="73" ht="15.75" customHeight="1">
      <c r="A73" s="39">
        <v>43485.0</v>
      </c>
      <c r="B73" s="61" t="s">
        <v>514</v>
      </c>
      <c r="C73" s="41" t="s">
        <v>515</v>
      </c>
      <c r="D73" s="46" t="s">
        <v>516</v>
      </c>
      <c r="E73" s="44" t="s">
        <v>179</v>
      </c>
      <c r="F73" s="61" t="s">
        <v>517</v>
      </c>
      <c r="G73" s="44"/>
      <c r="J73" s="38" t="s">
        <v>470</v>
      </c>
    </row>
    <row r="74" ht="15.75" customHeight="1">
      <c r="A74" s="32">
        <v>43485.0</v>
      </c>
      <c r="B74" s="60" t="s">
        <v>518</v>
      </c>
      <c r="C74" s="53" t="s">
        <v>519</v>
      </c>
      <c r="D74" s="49" t="s">
        <v>520</v>
      </c>
      <c r="E74" s="47" t="s">
        <v>179</v>
      </c>
      <c r="F74" s="60" t="s">
        <v>521</v>
      </c>
      <c r="G74" s="47"/>
      <c r="H74" s="1" t="s">
        <v>522</v>
      </c>
      <c r="J74" s="38" t="s">
        <v>201</v>
      </c>
    </row>
    <row r="75" ht="15.75" customHeight="1">
      <c r="A75" s="39">
        <v>43485.0</v>
      </c>
      <c r="B75" s="61" t="s">
        <v>523</v>
      </c>
      <c r="C75" s="54" t="s">
        <v>524</v>
      </c>
      <c r="D75" s="62" t="s">
        <v>525</v>
      </c>
      <c r="E75" s="61" t="s">
        <v>222</v>
      </c>
      <c r="F75" s="61" t="s">
        <v>526</v>
      </c>
      <c r="G75" s="44" t="s">
        <v>527</v>
      </c>
      <c r="H75" s="1" t="s">
        <v>528</v>
      </c>
      <c r="J75" s="38" t="s">
        <v>16</v>
      </c>
    </row>
    <row r="76" ht="15.75" customHeight="1">
      <c r="A76" s="32">
        <v>43486.0</v>
      </c>
      <c r="B76" s="60" t="s">
        <v>529</v>
      </c>
      <c r="C76" s="53" t="s">
        <v>530</v>
      </c>
      <c r="D76" s="64" t="s">
        <v>531</v>
      </c>
      <c r="E76" s="60" t="s">
        <v>222</v>
      </c>
      <c r="F76" s="60" t="s">
        <v>532</v>
      </c>
      <c r="G76" s="60" t="s">
        <v>533</v>
      </c>
      <c r="H76" s="1" t="s">
        <v>534</v>
      </c>
      <c r="J76" s="1" t="s">
        <v>401</v>
      </c>
    </row>
    <row r="77" ht="15.75" customHeight="1">
      <c r="A77" s="39">
        <v>43486.0</v>
      </c>
      <c r="B77" s="61" t="s">
        <v>535</v>
      </c>
      <c r="C77" s="54" t="s">
        <v>536</v>
      </c>
      <c r="D77" s="62" t="s">
        <v>537</v>
      </c>
      <c r="E77" s="44" t="s">
        <v>179</v>
      </c>
      <c r="F77" s="61" t="s">
        <v>538</v>
      </c>
      <c r="G77" s="44"/>
      <c r="H77" s="1" t="s">
        <v>372</v>
      </c>
      <c r="J77" s="38" t="s">
        <v>201</v>
      </c>
    </row>
    <row r="78" ht="15.75" customHeight="1">
      <c r="A78" s="32">
        <v>43482.0</v>
      </c>
      <c r="B78" s="60" t="s">
        <v>539</v>
      </c>
      <c r="C78" s="53" t="s">
        <v>540</v>
      </c>
      <c r="D78" s="64" t="s">
        <v>541</v>
      </c>
      <c r="E78" s="47" t="s">
        <v>179</v>
      </c>
      <c r="F78" s="60" t="s">
        <v>542</v>
      </c>
      <c r="G78" s="47"/>
      <c r="H78" s="1" t="s">
        <v>543</v>
      </c>
      <c r="J78" s="1" t="s">
        <v>544</v>
      </c>
    </row>
    <row r="79" ht="15.75" customHeight="1">
      <c r="A79" s="39">
        <v>43486.0</v>
      </c>
      <c r="B79" s="61" t="s">
        <v>545</v>
      </c>
      <c r="C79" s="54" t="s">
        <v>546</v>
      </c>
      <c r="D79" s="46" t="s">
        <v>547</v>
      </c>
      <c r="E79" s="61" t="s">
        <v>548</v>
      </c>
      <c r="F79" s="61" t="s">
        <v>549</v>
      </c>
      <c r="G79" s="44" t="s">
        <v>550</v>
      </c>
      <c r="H79" s="1" t="s">
        <v>551</v>
      </c>
      <c r="J79" s="1" t="s">
        <v>552</v>
      </c>
    </row>
    <row r="80" ht="15.75" customHeight="1">
      <c r="A80" s="32">
        <v>43486.0</v>
      </c>
      <c r="B80" s="60" t="s">
        <v>553</v>
      </c>
      <c r="C80" s="53" t="s">
        <v>554</v>
      </c>
      <c r="D80" s="64" t="s">
        <v>555</v>
      </c>
      <c r="E80" s="47" t="s">
        <v>179</v>
      </c>
      <c r="F80" s="60" t="s">
        <v>556</v>
      </c>
      <c r="G80" s="47"/>
      <c r="H80" s="1" t="s">
        <v>383</v>
      </c>
      <c r="J80" s="38" t="s">
        <v>306</v>
      </c>
    </row>
    <row r="81" ht="15.75" customHeight="1">
      <c r="A81" s="39">
        <v>43486.0</v>
      </c>
      <c r="B81" s="61" t="s">
        <v>557</v>
      </c>
      <c r="C81" s="54" t="s">
        <v>558</v>
      </c>
      <c r="D81" s="46" t="s">
        <v>559</v>
      </c>
      <c r="E81" s="61" t="s">
        <v>560</v>
      </c>
      <c r="F81" s="61" t="s">
        <v>561</v>
      </c>
      <c r="G81" s="44"/>
      <c r="H81" s="1" t="s">
        <v>562</v>
      </c>
      <c r="J81" s="38" t="s">
        <v>563</v>
      </c>
    </row>
    <row r="82" ht="15.75" customHeight="1">
      <c r="A82" s="32">
        <v>43486.0</v>
      </c>
      <c r="B82" s="60" t="s">
        <v>564</v>
      </c>
      <c r="C82" s="48" t="s">
        <v>565</v>
      </c>
      <c r="D82" s="64" t="s">
        <v>566</v>
      </c>
      <c r="E82" s="47" t="s">
        <v>179</v>
      </c>
      <c r="F82" s="60" t="s">
        <v>567</v>
      </c>
      <c r="G82" s="47"/>
      <c r="H82" s="1" t="s">
        <v>568</v>
      </c>
      <c r="J82" s="1" t="s">
        <v>569</v>
      </c>
    </row>
    <row r="83" ht="15.75" customHeight="1">
      <c r="A83" s="39">
        <v>43487.0</v>
      </c>
      <c r="B83" s="61" t="s">
        <v>570</v>
      </c>
      <c r="C83" s="51" t="s">
        <v>571</v>
      </c>
      <c r="D83" s="46" t="s">
        <v>572</v>
      </c>
      <c r="E83" s="61" t="s">
        <v>222</v>
      </c>
      <c r="F83" s="61" t="s">
        <v>573</v>
      </c>
      <c r="G83" s="44"/>
      <c r="J83" s="1" t="s">
        <v>574</v>
      </c>
    </row>
    <row r="84" ht="15.75" customHeight="1">
      <c r="A84" s="32">
        <v>43488.0</v>
      </c>
      <c r="B84" s="47" t="s">
        <v>575</v>
      </c>
      <c r="C84" s="52" t="s">
        <v>576</v>
      </c>
      <c r="D84" s="49" t="s">
        <v>577</v>
      </c>
      <c r="E84" s="47" t="s">
        <v>179</v>
      </c>
      <c r="F84" s="47" t="s">
        <v>578</v>
      </c>
      <c r="G84" s="47"/>
      <c r="J84" s="38" t="s">
        <v>16</v>
      </c>
    </row>
    <row r="85" ht="15.75" customHeight="1">
      <c r="A85" s="39">
        <v>43488.0</v>
      </c>
      <c r="B85" s="61" t="s">
        <v>579</v>
      </c>
      <c r="C85" s="73" t="s">
        <v>580</v>
      </c>
      <c r="D85" s="46" t="s">
        <v>581</v>
      </c>
      <c r="E85" s="61" t="s">
        <v>381</v>
      </c>
      <c r="F85" s="44" t="s">
        <v>582</v>
      </c>
      <c r="G85" s="44"/>
      <c r="H85" s="1" t="s">
        <v>383</v>
      </c>
      <c r="J85" s="38" t="s">
        <v>306</v>
      </c>
    </row>
    <row r="86" ht="15.75" customHeight="1">
      <c r="A86" s="74">
        <v>43488.0</v>
      </c>
      <c r="B86" s="75" t="s">
        <v>583</v>
      </c>
      <c r="C86" s="75">
        <v>9.66564060184E11</v>
      </c>
      <c r="D86" s="75" t="s">
        <v>584</v>
      </c>
      <c r="E86" s="47" t="s">
        <v>179</v>
      </c>
      <c r="F86" s="75" t="s">
        <v>585</v>
      </c>
      <c r="G86" s="75" t="s">
        <v>172</v>
      </c>
      <c r="H86" s="1" t="s">
        <v>586</v>
      </c>
      <c r="J86" s="1" t="s">
        <v>587</v>
      </c>
    </row>
    <row r="87" ht="15.75" customHeight="1">
      <c r="A87" s="39">
        <v>43489.0</v>
      </c>
      <c r="B87" s="76" t="s">
        <v>588</v>
      </c>
      <c r="C87" s="77" t="s">
        <v>589</v>
      </c>
      <c r="D87" s="76" t="s">
        <v>590</v>
      </c>
      <c r="E87" s="44" t="s">
        <v>179</v>
      </c>
      <c r="F87" s="44"/>
      <c r="G87" s="76" t="s">
        <v>359</v>
      </c>
      <c r="H87" s="78" t="s">
        <v>333</v>
      </c>
      <c r="I87" s="78" t="s">
        <v>172</v>
      </c>
      <c r="J87" s="79" t="s">
        <v>16</v>
      </c>
    </row>
    <row r="88" ht="15.75" customHeight="1">
      <c r="A88" s="32">
        <v>43489.0</v>
      </c>
      <c r="B88" s="60" t="s">
        <v>591</v>
      </c>
      <c r="C88" s="63" t="s">
        <v>592</v>
      </c>
      <c r="D88" s="49" t="s">
        <v>593</v>
      </c>
      <c r="E88" s="60" t="s">
        <v>222</v>
      </c>
      <c r="F88" s="47" t="s">
        <v>594</v>
      </c>
      <c r="G88" s="47"/>
      <c r="H88" s="1" t="s">
        <v>595</v>
      </c>
      <c r="J88" s="38" t="s">
        <v>265</v>
      </c>
    </row>
    <row r="89" ht="15.75" customHeight="1">
      <c r="A89" s="39">
        <v>43491.0</v>
      </c>
      <c r="B89" s="61" t="s">
        <v>596</v>
      </c>
      <c r="C89" s="73" t="s">
        <v>597</v>
      </c>
      <c r="D89" s="46" t="s">
        <v>598</v>
      </c>
      <c r="E89" s="61" t="s">
        <v>222</v>
      </c>
      <c r="F89" s="44" t="s">
        <v>599</v>
      </c>
      <c r="G89" s="44"/>
      <c r="H89" s="1" t="s">
        <v>600</v>
      </c>
      <c r="J89" s="38" t="s">
        <v>16</v>
      </c>
    </row>
    <row r="90" ht="15.75" customHeight="1">
      <c r="A90" s="32">
        <v>43491.0</v>
      </c>
      <c r="B90" s="60" t="s">
        <v>601</v>
      </c>
      <c r="C90" s="47"/>
      <c r="D90" s="64" t="s">
        <v>602</v>
      </c>
      <c r="E90" s="47" t="s">
        <v>179</v>
      </c>
      <c r="F90" s="60" t="s">
        <v>603</v>
      </c>
      <c r="G90" s="47" t="s">
        <v>604</v>
      </c>
      <c r="H90" s="1" t="s">
        <v>605</v>
      </c>
      <c r="J90" s="38" t="s">
        <v>16</v>
      </c>
    </row>
    <row r="91" ht="15.75" customHeight="1">
      <c r="A91" s="39">
        <v>43491.0</v>
      </c>
      <c r="B91" s="61" t="s">
        <v>606</v>
      </c>
      <c r="C91" s="51" t="s">
        <v>607</v>
      </c>
      <c r="D91" s="46" t="s">
        <v>608</v>
      </c>
      <c r="E91" s="44" t="s">
        <v>179</v>
      </c>
      <c r="F91" s="61" t="s">
        <v>609</v>
      </c>
      <c r="G91" s="44"/>
      <c r="H91" s="1" t="s">
        <v>610</v>
      </c>
      <c r="J91" s="38" t="s">
        <v>395</v>
      </c>
    </row>
    <row r="92" ht="15.75" customHeight="1">
      <c r="A92" s="32">
        <v>43491.0</v>
      </c>
      <c r="B92" s="60" t="s">
        <v>234</v>
      </c>
      <c r="C92" s="52" t="s">
        <v>611</v>
      </c>
      <c r="D92" s="49" t="s">
        <v>612</v>
      </c>
      <c r="E92" s="60" t="s">
        <v>613</v>
      </c>
      <c r="F92" s="60" t="s">
        <v>614</v>
      </c>
      <c r="G92" s="47" t="s">
        <v>72</v>
      </c>
      <c r="H92" s="1" t="s">
        <v>615</v>
      </c>
      <c r="J92" s="1" t="s">
        <v>616</v>
      </c>
    </row>
    <row r="93" ht="15.75" customHeight="1">
      <c r="A93" s="39">
        <v>43491.0</v>
      </c>
      <c r="B93" s="61" t="s">
        <v>234</v>
      </c>
      <c r="C93" s="73" t="s">
        <v>617</v>
      </c>
      <c r="D93" s="62" t="s">
        <v>618</v>
      </c>
      <c r="E93" s="61" t="s">
        <v>613</v>
      </c>
      <c r="F93" s="61" t="s">
        <v>619</v>
      </c>
      <c r="G93" s="44"/>
      <c r="H93" s="1" t="s">
        <v>620</v>
      </c>
      <c r="J93" s="1" t="s">
        <v>616</v>
      </c>
    </row>
    <row r="94" ht="15.75" customHeight="1">
      <c r="A94" s="32">
        <v>43492.0</v>
      </c>
      <c r="B94" s="60" t="s">
        <v>621</v>
      </c>
      <c r="C94" s="63" t="s">
        <v>622</v>
      </c>
      <c r="D94" s="64" t="s">
        <v>623</v>
      </c>
      <c r="E94" s="60" t="s">
        <v>222</v>
      </c>
      <c r="F94" s="60" t="s">
        <v>624</v>
      </c>
      <c r="G94" s="60" t="s">
        <v>491</v>
      </c>
      <c r="H94" s="1" t="s">
        <v>625</v>
      </c>
      <c r="J94" s="38" t="s">
        <v>16</v>
      </c>
    </row>
    <row r="95" ht="15.75" customHeight="1">
      <c r="A95" s="39">
        <v>43492.0</v>
      </c>
      <c r="B95" s="61" t="s">
        <v>626</v>
      </c>
      <c r="C95" s="73" t="s">
        <v>627</v>
      </c>
      <c r="D95" s="80" t="s">
        <v>36</v>
      </c>
      <c r="E95" s="44" t="s">
        <v>179</v>
      </c>
      <c r="F95" s="61" t="s">
        <v>628</v>
      </c>
      <c r="G95" s="61" t="s">
        <v>629</v>
      </c>
      <c r="H95" s="1" t="s">
        <v>400</v>
      </c>
      <c r="J95" s="1" t="s">
        <v>401</v>
      </c>
    </row>
    <row r="96" ht="15.75" customHeight="1">
      <c r="A96" s="32">
        <v>43493.0</v>
      </c>
      <c r="B96" s="60" t="s">
        <v>234</v>
      </c>
      <c r="C96" s="63" t="s">
        <v>630</v>
      </c>
      <c r="D96" s="49" t="s">
        <v>631</v>
      </c>
      <c r="E96" s="60" t="s">
        <v>222</v>
      </c>
      <c r="F96" s="60" t="s">
        <v>632</v>
      </c>
      <c r="G96" s="47" t="s">
        <v>457</v>
      </c>
      <c r="H96" s="1" t="s">
        <v>633</v>
      </c>
      <c r="J96" s="38" t="s">
        <v>16</v>
      </c>
    </row>
    <row r="97" ht="15.75" customHeight="1">
      <c r="A97" s="39">
        <v>43493.0</v>
      </c>
      <c r="B97" s="61" t="s">
        <v>634</v>
      </c>
      <c r="C97" s="73" t="s">
        <v>635</v>
      </c>
      <c r="D97" s="62" t="s">
        <v>636</v>
      </c>
      <c r="E97" s="44" t="s">
        <v>179</v>
      </c>
      <c r="F97" s="61" t="s">
        <v>637</v>
      </c>
      <c r="G97" s="44"/>
      <c r="H97" s="1" t="s">
        <v>383</v>
      </c>
      <c r="J97" s="38" t="s">
        <v>306</v>
      </c>
    </row>
    <row r="98" ht="15.75" customHeight="1">
      <c r="A98" s="32">
        <v>43494.0</v>
      </c>
      <c r="B98" s="60" t="s">
        <v>272</v>
      </c>
      <c r="C98" s="63" t="s">
        <v>638</v>
      </c>
      <c r="D98" s="64" t="s">
        <v>274</v>
      </c>
      <c r="E98" s="60" t="s">
        <v>222</v>
      </c>
      <c r="F98" s="60" t="s">
        <v>228</v>
      </c>
      <c r="G98" s="47" t="s">
        <v>639</v>
      </c>
      <c r="H98" s="1" t="s">
        <v>200</v>
      </c>
      <c r="J98" s="38" t="s">
        <v>300</v>
      </c>
    </row>
    <row r="99" ht="15.75" customHeight="1">
      <c r="A99" s="39">
        <v>43494.0</v>
      </c>
      <c r="B99" s="61" t="s">
        <v>640</v>
      </c>
      <c r="C99" s="73" t="s">
        <v>641</v>
      </c>
      <c r="D99" s="62" t="s">
        <v>642</v>
      </c>
      <c r="E99" s="44" t="s">
        <v>179</v>
      </c>
      <c r="F99" s="61" t="s">
        <v>283</v>
      </c>
      <c r="G99" s="44"/>
      <c r="H99" s="1" t="s">
        <v>285</v>
      </c>
      <c r="J99" s="38" t="s">
        <v>300</v>
      </c>
    </row>
    <row r="100" ht="15.75" customHeight="1">
      <c r="A100" s="32">
        <v>43494.0</v>
      </c>
      <c r="B100" s="60" t="s">
        <v>234</v>
      </c>
      <c r="C100" s="63" t="s">
        <v>630</v>
      </c>
      <c r="D100" s="49" t="s">
        <v>631</v>
      </c>
      <c r="E100" s="60" t="s">
        <v>222</v>
      </c>
      <c r="F100" s="60" t="s">
        <v>632</v>
      </c>
      <c r="G100" s="47" t="s">
        <v>457</v>
      </c>
      <c r="H100" s="1" t="s">
        <v>643</v>
      </c>
      <c r="J100" s="38" t="s">
        <v>16</v>
      </c>
    </row>
    <row r="101" ht="15.75" customHeight="1">
      <c r="A101" s="39">
        <v>43494.0</v>
      </c>
      <c r="B101" s="44" t="s">
        <v>644</v>
      </c>
      <c r="C101" s="61" t="s">
        <v>645</v>
      </c>
      <c r="D101" s="46" t="s">
        <v>646</v>
      </c>
      <c r="E101" s="61" t="s">
        <v>330</v>
      </c>
      <c r="F101" s="61" t="s">
        <v>647</v>
      </c>
      <c r="G101" s="44" t="s">
        <v>648</v>
      </c>
      <c r="H101" s="1" t="s">
        <v>406</v>
      </c>
      <c r="J101" s="38" t="s">
        <v>16</v>
      </c>
    </row>
    <row r="102" ht="15.75" customHeight="1">
      <c r="A102" s="32">
        <v>43494.0</v>
      </c>
      <c r="B102" s="60" t="s">
        <v>424</v>
      </c>
      <c r="C102" s="63" t="s">
        <v>649</v>
      </c>
      <c r="D102" s="49" t="s">
        <v>426</v>
      </c>
      <c r="E102" s="60" t="s">
        <v>222</v>
      </c>
      <c r="F102" s="60" t="s">
        <v>650</v>
      </c>
      <c r="G102" s="47"/>
      <c r="H102" s="1" t="s">
        <v>651</v>
      </c>
      <c r="J102" s="38" t="s">
        <v>265</v>
      </c>
    </row>
    <row r="103" ht="15.75" customHeight="1">
      <c r="A103" s="39">
        <v>43495.0</v>
      </c>
      <c r="B103" s="61" t="s">
        <v>424</v>
      </c>
      <c r="C103" s="73" t="s">
        <v>652</v>
      </c>
      <c r="D103" s="62" t="s">
        <v>426</v>
      </c>
      <c r="E103" s="44" t="s">
        <v>179</v>
      </c>
      <c r="F103" s="61" t="s">
        <v>653</v>
      </c>
      <c r="G103" s="44"/>
      <c r="H103" s="1" t="s">
        <v>654</v>
      </c>
      <c r="J103" s="38" t="s">
        <v>655</v>
      </c>
    </row>
    <row r="104" ht="15.75" customHeight="1">
      <c r="A104" s="32">
        <v>43495.0</v>
      </c>
      <c r="B104" s="47" t="s">
        <v>656</v>
      </c>
      <c r="C104" s="52" t="s">
        <v>657</v>
      </c>
      <c r="D104" s="49" t="s">
        <v>658</v>
      </c>
      <c r="E104" s="60" t="s">
        <v>222</v>
      </c>
      <c r="F104" s="60" t="s">
        <v>659</v>
      </c>
      <c r="G104" s="47" t="s">
        <v>660</v>
      </c>
      <c r="H104" s="1" t="s">
        <v>661</v>
      </c>
      <c r="J104" s="38" t="s">
        <v>16</v>
      </c>
    </row>
    <row r="105" ht="15.75" customHeight="1">
      <c r="A105" s="39">
        <v>43498.0</v>
      </c>
      <c r="B105" s="61" t="s">
        <v>662</v>
      </c>
      <c r="C105" s="73" t="s">
        <v>663</v>
      </c>
      <c r="D105" s="62" t="s">
        <v>664</v>
      </c>
      <c r="E105" s="61" t="s">
        <v>222</v>
      </c>
      <c r="F105" s="61" t="s">
        <v>665</v>
      </c>
      <c r="G105" s="61" t="s">
        <v>666</v>
      </c>
      <c r="H105" s="1" t="s">
        <v>667</v>
      </c>
      <c r="J105" s="38" t="s">
        <v>300</v>
      </c>
    </row>
    <row r="106" ht="15.75" customHeight="1">
      <c r="A106" s="32">
        <v>43498.0</v>
      </c>
      <c r="B106" s="60" t="s">
        <v>668</v>
      </c>
      <c r="C106" s="63" t="s">
        <v>669</v>
      </c>
      <c r="D106" s="64" t="s">
        <v>670</v>
      </c>
      <c r="E106" s="60" t="s">
        <v>222</v>
      </c>
      <c r="F106" s="60" t="s">
        <v>671</v>
      </c>
      <c r="G106" s="47"/>
      <c r="H106" s="1" t="s">
        <v>672</v>
      </c>
      <c r="J106" s="1" t="s">
        <v>673</v>
      </c>
    </row>
    <row r="107" ht="15.75" customHeight="1">
      <c r="A107" s="39">
        <v>43498.0</v>
      </c>
      <c r="B107" s="61" t="s">
        <v>674</v>
      </c>
      <c r="C107" s="73" t="s">
        <v>607</v>
      </c>
      <c r="D107" s="62" t="s">
        <v>675</v>
      </c>
      <c r="E107" s="44" t="s">
        <v>179</v>
      </c>
      <c r="F107" s="61" t="s">
        <v>676</v>
      </c>
      <c r="G107" s="44"/>
      <c r="J107" s="38" t="s">
        <v>16</v>
      </c>
    </row>
    <row r="108" ht="15.75" customHeight="1">
      <c r="A108" s="32">
        <v>43498.0</v>
      </c>
      <c r="B108" s="60" t="s">
        <v>677</v>
      </c>
      <c r="C108" s="52" t="s">
        <v>678</v>
      </c>
      <c r="D108" s="49" t="s">
        <v>679</v>
      </c>
      <c r="E108" s="60" t="s">
        <v>212</v>
      </c>
      <c r="F108" s="60" t="s">
        <v>680</v>
      </c>
      <c r="G108" s="47"/>
      <c r="J108" s="38" t="s">
        <v>16</v>
      </c>
    </row>
    <row r="109" ht="15.75" customHeight="1">
      <c r="A109" s="39">
        <v>43498.0</v>
      </c>
      <c r="B109" s="44" t="s">
        <v>681</v>
      </c>
      <c r="C109" s="73" t="s">
        <v>682</v>
      </c>
      <c r="D109" s="46" t="s">
        <v>683</v>
      </c>
      <c r="E109" s="61" t="s">
        <v>419</v>
      </c>
      <c r="F109" s="61" t="s">
        <v>684</v>
      </c>
      <c r="G109" s="44"/>
      <c r="J109" s="38" t="s">
        <v>244</v>
      </c>
    </row>
    <row r="110" ht="15.75" customHeight="1">
      <c r="A110" s="32">
        <v>43498.0</v>
      </c>
      <c r="B110" s="60" t="s">
        <v>685</v>
      </c>
      <c r="C110" s="52" t="s">
        <v>686</v>
      </c>
      <c r="D110" s="49" t="s">
        <v>687</v>
      </c>
      <c r="E110" s="47" t="s">
        <v>179</v>
      </c>
      <c r="F110" s="47" t="s">
        <v>688</v>
      </c>
      <c r="G110" s="47"/>
      <c r="J110" s="38" t="s">
        <v>689</v>
      </c>
    </row>
    <row r="111" ht="15.75" customHeight="1">
      <c r="A111" s="39">
        <v>43498.0</v>
      </c>
      <c r="B111" s="61" t="s">
        <v>690</v>
      </c>
      <c r="C111" s="51" t="s">
        <v>691</v>
      </c>
      <c r="D111" s="46" t="s">
        <v>692</v>
      </c>
      <c r="E111" s="44" t="s">
        <v>179</v>
      </c>
      <c r="F111" s="61" t="s">
        <v>693</v>
      </c>
      <c r="G111" s="44"/>
      <c r="H111" s="1" t="s">
        <v>694</v>
      </c>
      <c r="J111" s="38" t="s">
        <v>16</v>
      </c>
    </row>
    <row r="112" ht="15.75" customHeight="1">
      <c r="A112" s="32">
        <v>43498.0</v>
      </c>
      <c r="B112" s="60" t="s">
        <v>695</v>
      </c>
      <c r="C112" s="63" t="s">
        <v>696</v>
      </c>
      <c r="D112" s="64" t="s">
        <v>697</v>
      </c>
      <c r="E112" s="60" t="s">
        <v>222</v>
      </c>
      <c r="F112" s="60" t="s">
        <v>698</v>
      </c>
      <c r="G112" s="47" t="s">
        <v>699</v>
      </c>
      <c r="H112" s="1" t="s">
        <v>285</v>
      </c>
      <c r="J112" s="38" t="s">
        <v>300</v>
      </c>
    </row>
    <row r="113" ht="15.75" customHeight="1">
      <c r="A113" s="39">
        <v>43498.0</v>
      </c>
      <c r="B113" s="61" t="s">
        <v>690</v>
      </c>
      <c r="C113" s="73" t="s">
        <v>700</v>
      </c>
      <c r="D113" s="62" t="s">
        <v>701</v>
      </c>
      <c r="E113" s="44" t="s">
        <v>179</v>
      </c>
      <c r="F113" s="61" t="s">
        <v>702</v>
      </c>
      <c r="G113" s="44"/>
      <c r="J113" s="38" t="s">
        <v>16</v>
      </c>
    </row>
    <row r="114" ht="15.75" customHeight="1">
      <c r="A114" s="32">
        <v>43498.0</v>
      </c>
      <c r="B114" s="47" t="s">
        <v>703</v>
      </c>
      <c r="C114" s="52" t="s">
        <v>704</v>
      </c>
      <c r="D114" s="64" t="s">
        <v>705</v>
      </c>
      <c r="E114" s="47" t="s">
        <v>179</v>
      </c>
      <c r="F114" s="60" t="s">
        <v>706</v>
      </c>
      <c r="G114" s="47"/>
      <c r="H114" s="1" t="s">
        <v>707</v>
      </c>
      <c r="J114" s="38" t="s">
        <v>16</v>
      </c>
    </row>
    <row r="115" ht="15.75" customHeight="1">
      <c r="A115" s="39">
        <v>43500.0</v>
      </c>
      <c r="B115" s="61" t="s">
        <v>708</v>
      </c>
      <c r="C115" s="51" t="s">
        <v>709</v>
      </c>
      <c r="D115" s="46" t="s">
        <v>710</v>
      </c>
      <c r="E115" s="61" t="s">
        <v>222</v>
      </c>
      <c r="F115" s="61" t="s">
        <v>711</v>
      </c>
      <c r="G115" s="44" t="s">
        <v>712</v>
      </c>
      <c r="H115" s="1" t="s">
        <v>713</v>
      </c>
      <c r="J115" s="38" t="s">
        <v>300</v>
      </c>
    </row>
    <row r="116" ht="15.75" customHeight="1">
      <c r="A116" s="32">
        <v>43500.0</v>
      </c>
      <c r="B116" s="60" t="s">
        <v>588</v>
      </c>
      <c r="C116" s="63" t="s">
        <v>714</v>
      </c>
      <c r="D116" s="64" t="s">
        <v>590</v>
      </c>
      <c r="E116" s="60" t="s">
        <v>222</v>
      </c>
      <c r="F116" s="60" t="s">
        <v>715</v>
      </c>
      <c r="G116" s="60" t="s">
        <v>716</v>
      </c>
      <c r="H116" s="1" t="s">
        <v>333</v>
      </c>
      <c r="J116" s="38" t="s">
        <v>16</v>
      </c>
    </row>
    <row r="117" ht="15.75" customHeight="1">
      <c r="A117" s="39">
        <v>43500.0</v>
      </c>
      <c r="B117" s="44" t="s">
        <v>703</v>
      </c>
      <c r="C117" s="51" t="s">
        <v>704</v>
      </c>
      <c r="D117" s="46" t="s">
        <v>705</v>
      </c>
      <c r="E117" s="44" t="s">
        <v>179</v>
      </c>
      <c r="F117" s="44" t="s">
        <v>717</v>
      </c>
      <c r="G117" s="44"/>
      <c r="H117" s="1" t="s">
        <v>718</v>
      </c>
      <c r="J117" s="38" t="s">
        <v>16</v>
      </c>
    </row>
    <row r="118" ht="15.75" customHeight="1">
      <c r="A118" s="32">
        <v>43500.0</v>
      </c>
      <c r="B118" s="60" t="s">
        <v>662</v>
      </c>
      <c r="C118" s="63" t="s">
        <v>663</v>
      </c>
      <c r="D118" s="49" t="s">
        <v>664</v>
      </c>
      <c r="E118" s="60" t="s">
        <v>222</v>
      </c>
      <c r="F118" s="60" t="s">
        <v>665</v>
      </c>
      <c r="G118" s="47" t="s">
        <v>666</v>
      </c>
      <c r="H118" s="1" t="s">
        <v>667</v>
      </c>
      <c r="J118" s="38" t="s">
        <v>300</v>
      </c>
    </row>
    <row r="119" ht="15.75" customHeight="1">
      <c r="A119" s="39">
        <v>43500.0</v>
      </c>
      <c r="B119" s="61" t="s">
        <v>719</v>
      </c>
      <c r="C119" s="73" t="s">
        <v>669</v>
      </c>
      <c r="D119" s="62" t="s">
        <v>670</v>
      </c>
      <c r="E119" s="44" t="s">
        <v>179</v>
      </c>
      <c r="F119" s="61" t="s">
        <v>720</v>
      </c>
      <c r="G119" s="44" t="s">
        <v>721</v>
      </c>
      <c r="H119" s="1" t="s">
        <v>672</v>
      </c>
      <c r="J119" s="1" t="s">
        <v>401</v>
      </c>
    </row>
    <row r="120" ht="15.75" customHeight="1">
      <c r="A120" s="32">
        <v>43500.0</v>
      </c>
      <c r="B120" s="60" t="s">
        <v>674</v>
      </c>
      <c r="C120" s="63" t="s">
        <v>722</v>
      </c>
      <c r="D120" s="64" t="s">
        <v>608</v>
      </c>
      <c r="E120" s="47" t="s">
        <v>179</v>
      </c>
      <c r="F120" s="60" t="s">
        <v>676</v>
      </c>
      <c r="G120" s="47"/>
      <c r="H120" s="1" t="s">
        <v>661</v>
      </c>
      <c r="J120" s="38" t="s">
        <v>16</v>
      </c>
    </row>
    <row r="121" ht="15.75" customHeight="1">
      <c r="A121" s="39">
        <v>43500.0</v>
      </c>
      <c r="B121" s="73" t="s">
        <v>677</v>
      </c>
      <c r="C121" s="51" t="s">
        <v>723</v>
      </c>
      <c r="D121" s="62" t="s">
        <v>679</v>
      </c>
      <c r="E121" s="61" t="s">
        <v>212</v>
      </c>
      <c r="F121" s="61" t="s">
        <v>680</v>
      </c>
      <c r="G121" s="44"/>
      <c r="H121" s="1" t="s">
        <v>724</v>
      </c>
      <c r="J121" s="38" t="s">
        <v>16</v>
      </c>
    </row>
    <row r="122" ht="15.75" customHeight="1">
      <c r="A122" s="32">
        <v>43500.0</v>
      </c>
      <c r="B122" s="47" t="s">
        <v>725</v>
      </c>
      <c r="C122" s="63" t="s">
        <v>726</v>
      </c>
      <c r="D122" s="49" t="s">
        <v>727</v>
      </c>
      <c r="E122" s="60" t="s">
        <v>419</v>
      </c>
      <c r="F122" s="60" t="s">
        <v>637</v>
      </c>
      <c r="G122" s="47" t="s">
        <v>728</v>
      </c>
      <c r="H122" s="1" t="s">
        <v>383</v>
      </c>
      <c r="J122" s="38" t="s">
        <v>306</v>
      </c>
    </row>
    <row r="123" ht="15.75" customHeight="1">
      <c r="A123" s="39">
        <v>43500.0</v>
      </c>
      <c r="B123" s="61" t="s">
        <v>729</v>
      </c>
      <c r="C123" s="73" t="s">
        <v>730</v>
      </c>
      <c r="D123" s="62" t="s">
        <v>731</v>
      </c>
      <c r="E123" s="44" t="s">
        <v>179</v>
      </c>
      <c r="F123" s="61" t="s">
        <v>732</v>
      </c>
      <c r="G123" s="44" t="s">
        <v>733</v>
      </c>
      <c r="H123" s="1" t="s">
        <v>734</v>
      </c>
      <c r="J123" s="1" t="s">
        <v>735</v>
      </c>
    </row>
    <row r="124" ht="15.75" customHeight="1">
      <c r="A124" s="32">
        <v>43501.0</v>
      </c>
      <c r="B124" s="47" t="s">
        <v>736</v>
      </c>
      <c r="C124" s="63" t="s">
        <v>737</v>
      </c>
      <c r="D124" s="49" t="s">
        <v>738</v>
      </c>
      <c r="E124" s="60" t="s">
        <v>222</v>
      </c>
      <c r="F124" s="60" t="s">
        <v>739</v>
      </c>
      <c r="G124" s="47" t="s">
        <v>740</v>
      </c>
      <c r="H124" s="1" t="s">
        <v>741</v>
      </c>
      <c r="J124" s="1" t="s">
        <v>742</v>
      </c>
    </row>
    <row r="125" ht="15.75" customHeight="1">
      <c r="A125" s="39">
        <v>43501.0</v>
      </c>
      <c r="B125" s="61" t="s">
        <v>743</v>
      </c>
      <c r="C125" s="73" t="s">
        <v>744</v>
      </c>
      <c r="D125" s="46" t="s">
        <v>745</v>
      </c>
      <c r="E125" s="61" t="s">
        <v>746</v>
      </c>
      <c r="F125" s="61" t="s">
        <v>747</v>
      </c>
      <c r="G125" s="61" t="s">
        <v>748</v>
      </c>
      <c r="H125" s="1" t="s">
        <v>200</v>
      </c>
      <c r="J125" s="38" t="s">
        <v>300</v>
      </c>
    </row>
    <row r="126" ht="15.75" customHeight="1">
      <c r="A126" s="32">
        <v>43502.0</v>
      </c>
      <c r="B126" s="60" t="s">
        <v>743</v>
      </c>
      <c r="C126" s="63" t="s">
        <v>744</v>
      </c>
      <c r="D126" s="49" t="s">
        <v>749</v>
      </c>
      <c r="E126" s="47" t="s">
        <v>179</v>
      </c>
      <c r="F126" s="60" t="s">
        <v>750</v>
      </c>
      <c r="G126" s="60" t="s">
        <v>748</v>
      </c>
      <c r="H126" s="1" t="s">
        <v>200</v>
      </c>
      <c r="J126" s="38" t="s">
        <v>300</v>
      </c>
    </row>
    <row r="127" ht="15.75" customHeight="1">
      <c r="A127" s="39">
        <v>43505.0</v>
      </c>
      <c r="B127" s="61" t="s">
        <v>751</v>
      </c>
      <c r="C127" s="73" t="s">
        <v>752</v>
      </c>
      <c r="D127" s="46" t="s">
        <v>753</v>
      </c>
      <c r="E127" s="61" t="s">
        <v>222</v>
      </c>
      <c r="F127" s="61" t="s">
        <v>659</v>
      </c>
      <c r="G127" s="44" t="s">
        <v>754</v>
      </c>
      <c r="H127" s="1" t="s">
        <v>661</v>
      </c>
      <c r="J127" s="38" t="s">
        <v>16</v>
      </c>
    </row>
    <row r="128" ht="15.75" customHeight="1">
      <c r="A128" s="32">
        <v>43505.0</v>
      </c>
      <c r="B128" s="60" t="s">
        <v>755</v>
      </c>
      <c r="C128" s="63" t="s">
        <v>756</v>
      </c>
      <c r="D128" s="49" t="s">
        <v>757</v>
      </c>
      <c r="E128" s="60" t="s">
        <v>222</v>
      </c>
      <c r="F128" s="60" t="s">
        <v>758</v>
      </c>
      <c r="G128" s="47" t="s">
        <v>759</v>
      </c>
      <c r="H128" s="1" t="s">
        <v>760</v>
      </c>
      <c r="J128" s="1" t="s">
        <v>761</v>
      </c>
    </row>
    <row r="129" ht="15.75" customHeight="1">
      <c r="A129" s="39">
        <v>43505.0</v>
      </c>
      <c r="B129" s="61" t="s">
        <v>762</v>
      </c>
      <c r="C129" s="73" t="s">
        <v>763</v>
      </c>
      <c r="D129" s="62" t="s">
        <v>764</v>
      </c>
      <c r="E129" s="44" t="s">
        <v>293</v>
      </c>
      <c r="F129" s="61" t="s">
        <v>765</v>
      </c>
      <c r="G129" s="44"/>
      <c r="H129" s="1" t="s">
        <v>260</v>
      </c>
      <c r="J129" s="38" t="s">
        <v>16</v>
      </c>
    </row>
    <row r="130" ht="15.75" customHeight="1">
      <c r="A130" s="32">
        <v>43505.0</v>
      </c>
      <c r="B130" s="60" t="s">
        <v>766</v>
      </c>
      <c r="C130" s="63" t="s">
        <v>767</v>
      </c>
      <c r="D130" s="64" t="s">
        <v>768</v>
      </c>
      <c r="E130" s="47" t="s">
        <v>293</v>
      </c>
      <c r="F130" s="60" t="s">
        <v>769</v>
      </c>
      <c r="G130" s="47"/>
      <c r="H130" s="1" t="s">
        <v>345</v>
      </c>
      <c r="J130" s="38" t="s">
        <v>265</v>
      </c>
    </row>
    <row r="131" ht="15.75" customHeight="1">
      <c r="A131" s="39">
        <v>43505.0</v>
      </c>
      <c r="B131" s="81" t="s">
        <v>770</v>
      </c>
      <c r="C131" s="46"/>
      <c r="D131" s="82" t="s">
        <v>771</v>
      </c>
      <c r="E131" s="44" t="s">
        <v>293</v>
      </c>
      <c r="F131" s="44" t="s">
        <v>772</v>
      </c>
      <c r="G131" s="44"/>
      <c r="H131" s="1" t="s">
        <v>773</v>
      </c>
      <c r="J131" s="1" t="s">
        <v>761</v>
      </c>
    </row>
    <row r="132" ht="15.75" customHeight="1">
      <c r="A132" s="32">
        <v>43505.0</v>
      </c>
      <c r="B132" s="60" t="s">
        <v>774</v>
      </c>
      <c r="C132" s="52" t="s">
        <v>775</v>
      </c>
      <c r="D132" s="49" t="s">
        <v>776</v>
      </c>
      <c r="E132" s="60" t="s">
        <v>419</v>
      </c>
      <c r="F132" s="60" t="s">
        <v>777</v>
      </c>
      <c r="G132" s="47" t="s">
        <v>778</v>
      </c>
      <c r="H132" s="1" t="s">
        <v>779</v>
      </c>
      <c r="J132" s="38" t="s">
        <v>780</v>
      </c>
    </row>
    <row r="133" ht="15.75" customHeight="1">
      <c r="A133" s="39">
        <v>43505.0</v>
      </c>
      <c r="B133" s="61" t="s">
        <v>781</v>
      </c>
      <c r="C133" s="73" t="s">
        <v>782</v>
      </c>
      <c r="D133" s="46" t="s">
        <v>783</v>
      </c>
      <c r="E133" s="44" t="s">
        <v>293</v>
      </c>
      <c r="F133" s="61" t="s">
        <v>784</v>
      </c>
      <c r="G133" s="44"/>
      <c r="H133" s="1" t="s">
        <v>785</v>
      </c>
      <c r="J133" s="38" t="s">
        <v>244</v>
      </c>
    </row>
    <row r="134" ht="15.75" customHeight="1">
      <c r="A134" s="32">
        <v>43506.0</v>
      </c>
      <c r="B134" s="47" t="s">
        <v>786</v>
      </c>
      <c r="C134" s="52" t="s">
        <v>787</v>
      </c>
      <c r="D134" s="49" t="s">
        <v>788</v>
      </c>
      <c r="E134" s="60" t="s">
        <v>222</v>
      </c>
      <c r="F134" s="47" t="s">
        <v>789</v>
      </c>
      <c r="G134" s="47" t="s">
        <v>790</v>
      </c>
      <c r="H134" s="1" t="s">
        <v>791</v>
      </c>
      <c r="J134" s="38" t="s">
        <v>395</v>
      </c>
    </row>
    <row r="135" ht="15.75" customHeight="1">
      <c r="A135" s="39">
        <v>43506.0</v>
      </c>
      <c r="B135" s="61" t="s">
        <v>792</v>
      </c>
      <c r="C135" s="51" t="s">
        <v>793</v>
      </c>
      <c r="D135" s="62" t="s">
        <v>757</v>
      </c>
      <c r="E135" s="61" t="s">
        <v>794</v>
      </c>
      <c r="F135" s="61" t="s">
        <v>795</v>
      </c>
      <c r="G135" s="44" t="s">
        <v>796</v>
      </c>
      <c r="H135" s="1" t="s">
        <v>797</v>
      </c>
      <c r="J135" s="1" t="s">
        <v>798</v>
      </c>
    </row>
    <row r="136" ht="15.75" customHeight="1">
      <c r="A136" s="32">
        <v>43506.0</v>
      </c>
      <c r="B136" s="60" t="s">
        <v>799</v>
      </c>
      <c r="C136" s="52" t="s">
        <v>800</v>
      </c>
      <c r="D136" s="64" t="s">
        <v>801</v>
      </c>
      <c r="E136" s="47" t="s">
        <v>179</v>
      </c>
      <c r="F136" s="60" t="s">
        <v>802</v>
      </c>
      <c r="G136" s="47"/>
      <c r="H136" s="1" t="s">
        <v>803</v>
      </c>
      <c r="J136" s="38" t="s">
        <v>300</v>
      </c>
    </row>
    <row r="137" ht="15.75" customHeight="1">
      <c r="A137" s="39">
        <v>43507.0</v>
      </c>
      <c r="B137" s="61" t="s">
        <v>804</v>
      </c>
      <c r="C137" s="44" t="s">
        <v>805</v>
      </c>
      <c r="D137" s="62" t="s">
        <v>806</v>
      </c>
      <c r="E137" s="44" t="s">
        <v>179</v>
      </c>
      <c r="F137" s="61" t="s">
        <v>802</v>
      </c>
      <c r="G137" s="44"/>
      <c r="J137" s="38" t="s">
        <v>300</v>
      </c>
    </row>
    <row r="138" ht="15.75" customHeight="1">
      <c r="A138" s="32">
        <v>43507.0</v>
      </c>
      <c r="B138" s="60" t="s">
        <v>807</v>
      </c>
      <c r="C138" s="60" t="s">
        <v>808</v>
      </c>
      <c r="D138" s="64" t="s">
        <v>809</v>
      </c>
      <c r="E138" s="60" t="s">
        <v>468</v>
      </c>
      <c r="F138" s="60" t="s">
        <v>810</v>
      </c>
      <c r="G138" s="47"/>
      <c r="J138" s="38" t="s">
        <v>811</v>
      </c>
    </row>
    <row r="139" ht="15.75" customHeight="1">
      <c r="A139" s="39">
        <v>43507.0</v>
      </c>
      <c r="B139" s="61" t="s">
        <v>812</v>
      </c>
      <c r="C139" s="61" t="s">
        <v>813</v>
      </c>
      <c r="D139" s="46" t="s">
        <v>814</v>
      </c>
      <c r="E139" s="61" t="s">
        <v>222</v>
      </c>
      <c r="F139" s="61" t="s">
        <v>815</v>
      </c>
      <c r="G139" s="44" t="s">
        <v>816</v>
      </c>
      <c r="H139" s="1" t="s">
        <v>817</v>
      </c>
      <c r="J139" s="38" t="s">
        <v>201</v>
      </c>
    </row>
    <row r="140" ht="15.75" customHeight="1">
      <c r="A140" s="32">
        <v>43507.0</v>
      </c>
      <c r="B140" s="60" t="s">
        <v>818</v>
      </c>
      <c r="C140" s="60" t="s">
        <v>819</v>
      </c>
      <c r="D140" s="64" t="s">
        <v>820</v>
      </c>
      <c r="E140" s="47" t="s">
        <v>179</v>
      </c>
      <c r="F140" s="60" t="s">
        <v>821</v>
      </c>
      <c r="G140" s="47"/>
      <c r="J140" s="38" t="s">
        <v>201</v>
      </c>
    </row>
    <row r="141" ht="15.75" customHeight="1">
      <c r="A141" s="39">
        <v>43510.0</v>
      </c>
      <c r="B141" s="61" t="s">
        <v>822</v>
      </c>
      <c r="C141" s="44" t="s">
        <v>823</v>
      </c>
      <c r="D141" s="62" t="s">
        <v>824</v>
      </c>
      <c r="E141" s="44" t="s">
        <v>179</v>
      </c>
      <c r="F141" s="61" t="s">
        <v>825</v>
      </c>
      <c r="G141" s="44"/>
      <c r="J141" s="38" t="s">
        <v>16</v>
      </c>
    </row>
    <row r="142" ht="15.75" customHeight="1">
      <c r="A142" s="32">
        <v>43510.0</v>
      </c>
      <c r="B142" s="83" t="s">
        <v>826</v>
      </c>
      <c r="C142" s="84" t="s">
        <v>827</v>
      </c>
      <c r="D142" s="85" t="s">
        <v>828</v>
      </c>
      <c r="E142" s="60" t="s">
        <v>829</v>
      </c>
      <c r="F142" s="47" t="s">
        <v>830</v>
      </c>
      <c r="G142" s="47"/>
      <c r="H142" s="1" t="s">
        <v>38</v>
      </c>
      <c r="J142" s="1" t="s">
        <v>831</v>
      </c>
    </row>
    <row r="143" ht="15.75" customHeight="1">
      <c r="A143" s="39">
        <v>43510.0</v>
      </c>
      <c r="B143" s="86" t="s">
        <v>826</v>
      </c>
      <c r="C143" s="87" t="s">
        <v>827</v>
      </c>
      <c r="D143" s="88" t="s">
        <v>832</v>
      </c>
      <c r="E143" s="61" t="s">
        <v>833</v>
      </c>
      <c r="F143" s="44" t="s">
        <v>830</v>
      </c>
      <c r="G143" s="44"/>
      <c r="H143" s="1" t="s">
        <v>38</v>
      </c>
      <c r="J143" s="1" t="s">
        <v>831</v>
      </c>
    </row>
    <row r="144" ht="15.75" customHeight="1">
      <c r="A144" s="32">
        <v>43512.0</v>
      </c>
      <c r="B144" s="47" t="s">
        <v>834</v>
      </c>
      <c r="C144" s="52" t="s">
        <v>835</v>
      </c>
      <c r="D144" s="49" t="s">
        <v>836</v>
      </c>
      <c r="E144" s="60" t="s">
        <v>222</v>
      </c>
      <c r="F144" s="60" t="s">
        <v>837</v>
      </c>
      <c r="G144" s="47" t="s">
        <v>838</v>
      </c>
      <c r="J144" s="38" t="s">
        <v>201</v>
      </c>
    </row>
    <row r="145" ht="15.75" customHeight="1">
      <c r="A145" s="39">
        <v>43512.0</v>
      </c>
      <c r="B145" s="61" t="s">
        <v>839</v>
      </c>
      <c r="C145" s="61" t="s">
        <v>840</v>
      </c>
      <c r="D145" s="62" t="s">
        <v>841</v>
      </c>
      <c r="E145" s="61" t="s">
        <v>212</v>
      </c>
      <c r="F145" s="61" t="s">
        <v>842</v>
      </c>
      <c r="G145" s="44" t="s">
        <v>843</v>
      </c>
      <c r="H145" s="1" t="s">
        <v>844</v>
      </c>
      <c r="J145" s="38" t="s">
        <v>845</v>
      </c>
    </row>
    <row r="146" ht="15.75" customHeight="1">
      <c r="A146" s="32">
        <v>43514.0</v>
      </c>
      <c r="B146" s="60" t="s">
        <v>234</v>
      </c>
      <c r="C146" s="60" t="s">
        <v>846</v>
      </c>
      <c r="D146" s="64" t="s">
        <v>847</v>
      </c>
      <c r="E146" s="60" t="s">
        <v>222</v>
      </c>
      <c r="F146" s="60" t="s">
        <v>848</v>
      </c>
      <c r="G146" s="47" t="s">
        <v>849</v>
      </c>
      <c r="H146" s="1" t="s">
        <v>372</v>
      </c>
      <c r="J146" s="38" t="s">
        <v>201</v>
      </c>
    </row>
    <row r="147" ht="15.75" customHeight="1">
      <c r="A147" s="39">
        <v>43514.0</v>
      </c>
      <c r="B147" s="61" t="s">
        <v>850</v>
      </c>
      <c r="C147" s="61" t="s">
        <v>851</v>
      </c>
      <c r="D147" s="62" t="s">
        <v>852</v>
      </c>
      <c r="E147" s="61" t="s">
        <v>853</v>
      </c>
      <c r="F147" s="61" t="s">
        <v>854</v>
      </c>
      <c r="G147" s="44"/>
      <c r="H147" s="1" t="s">
        <v>260</v>
      </c>
      <c r="J147" s="38" t="s">
        <v>395</v>
      </c>
    </row>
    <row r="148" ht="15.75" customHeight="1">
      <c r="A148" s="32">
        <v>43514.0</v>
      </c>
      <c r="B148" s="60" t="s">
        <v>855</v>
      </c>
      <c r="C148" s="52" t="s">
        <v>856</v>
      </c>
      <c r="D148" s="49" t="s">
        <v>857</v>
      </c>
      <c r="E148" s="60" t="s">
        <v>179</v>
      </c>
      <c r="F148" s="60" t="s">
        <v>854</v>
      </c>
      <c r="G148" s="47"/>
      <c r="H148" s="1" t="s">
        <v>260</v>
      </c>
      <c r="J148" s="38" t="s">
        <v>395</v>
      </c>
    </row>
    <row r="149" ht="15.75" customHeight="1">
      <c r="A149" s="39">
        <v>43514.0</v>
      </c>
      <c r="B149" s="55" t="s">
        <v>858</v>
      </c>
      <c r="C149" s="44">
        <f>+971565952187</f>
        <v>971565952187</v>
      </c>
      <c r="D149" s="46" t="s">
        <v>859</v>
      </c>
      <c r="E149" s="61" t="s">
        <v>248</v>
      </c>
      <c r="F149" s="44" t="s">
        <v>249</v>
      </c>
      <c r="G149" s="44"/>
      <c r="J149" s="1" t="s">
        <v>250</v>
      </c>
    </row>
    <row r="150" ht="15.75" customHeight="1">
      <c r="A150" s="32">
        <v>43516.0</v>
      </c>
      <c r="B150" s="60" t="s">
        <v>860</v>
      </c>
      <c r="C150" s="47" t="s">
        <v>861</v>
      </c>
      <c r="D150" s="64" t="s">
        <v>862</v>
      </c>
      <c r="E150" s="60" t="s">
        <v>179</v>
      </c>
      <c r="F150" s="60" t="s">
        <v>863</v>
      </c>
      <c r="G150" s="47"/>
      <c r="J150" s="38" t="s">
        <v>16</v>
      </c>
    </row>
    <row r="151" ht="15.75" customHeight="1">
      <c r="A151" s="39">
        <v>43521.0</v>
      </c>
      <c r="B151" s="61" t="s">
        <v>864</v>
      </c>
      <c r="C151" s="44" t="s">
        <v>865</v>
      </c>
      <c r="D151" s="46" t="s">
        <v>866</v>
      </c>
      <c r="E151" s="61" t="s">
        <v>222</v>
      </c>
      <c r="F151" s="61" t="s">
        <v>624</v>
      </c>
      <c r="G151" s="44" t="s">
        <v>867</v>
      </c>
      <c r="H151" s="1" t="s">
        <v>868</v>
      </c>
      <c r="J151" s="38" t="s">
        <v>16</v>
      </c>
    </row>
    <row r="152" ht="15.75" customHeight="1">
      <c r="A152" s="32">
        <v>43521.0</v>
      </c>
      <c r="B152" s="83" t="s">
        <v>869</v>
      </c>
      <c r="C152" s="83" t="s">
        <v>870</v>
      </c>
      <c r="D152" s="85" t="s">
        <v>871</v>
      </c>
      <c r="E152" s="60" t="s">
        <v>222</v>
      </c>
      <c r="F152" s="83" t="s">
        <v>872</v>
      </c>
      <c r="G152" s="47"/>
      <c r="H152" s="89" t="s">
        <v>873</v>
      </c>
      <c r="J152" s="1" t="s">
        <v>673</v>
      </c>
    </row>
    <row r="153" ht="15.75" customHeight="1">
      <c r="A153" s="39">
        <v>43521.0</v>
      </c>
      <c r="B153" s="61" t="s">
        <v>874</v>
      </c>
      <c r="C153" s="61" t="s">
        <v>875</v>
      </c>
      <c r="D153" s="62" t="s">
        <v>876</v>
      </c>
      <c r="E153" s="61" t="s">
        <v>179</v>
      </c>
      <c r="F153" s="61" t="s">
        <v>877</v>
      </c>
      <c r="G153" s="87" t="s">
        <v>878</v>
      </c>
      <c r="I153" s="90" t="s">
        <v>879</v>
      </c>
      <c r="J153" s="1" t="s">
        <v>880</v>
      </c>
    </row>
    <row r="154" ht="15.75" customHeight="1">
      <c r="A154" s="32">
        <v>43521.0</v>
      </c>
      <c r="B154" s="60" t="s">
        <v>68</v>
      </c>
      <c r="C154" s="47" t="s">
        <v>881</v>
      </c>
      <c r="D154" s="49" t="s">
        <v>882</v>
      </c>
      <c r="E154" s="60" t="s">
        <v>222</v>
      </c>
      <c r="F154" s="60" t="s">
        <v>883</v>
      </c>
      <c r="G154" s="47"/>
      <c r="I154" s="1" t="s">
        <v>884</v>
      </c>
      <c r="J154" s="38" t="s">
        <v>16</v>
      </c>
    </row>
    <row r="155" ht="15.75" customHeight="1">
      <c r="A155" s="39">
        <v>43521.0</v>
      </c>
      <c r="B155" s="61" t="s">
        <v>68</v>
      </c>
      <c r="C155" s="61" t="s">
        <v>885</v>
      </c>
      <c r="D155" s="62" t="s">
        <v>886</v>
      </c>
      <c r="E155" s="61" t="s">
        <v>887</v>
      </c>
      <c r="F155" s="44" t="s">
        <v>457</v>
      </c>
      <c r="G155" s="44"/>
      <c r="I155" s="1" t="s">
        <v>888</v>
      </c>
      <c r="J155" s="38" t="s">
        <v>265</v>
      </c>
    </row>
    <row r="156" ht="15.75" customHeight="1">
      <c r="A156" s="32">
        <v>43521.0</v>
      </c>
      <c r="B156" s="60" t="s">
        <v>889</v>
      </c>
      <c r="C156" s="60" t="s">
        <v>890</v>
      </c>
      <c r="D156" s="49" t="s">
        <v>891</v>
      </c>
      <c r="E156" s="60" t="s">
        <v>222</v>
      </c>
      <c r="F156" s="60" t="s">
        <v>632</v>
      </c>
      <c r="G156" s="47" t="s">
        <v>892</v>
      </c>
      <c r="I156" s="1" t="s">
        <v>893</v>
      </c>
      <c r="J156" s="38" t="s">
        <v>16</v>
      </c>
    </row>
    <row r="157" ht="15.75" customHeight="1">
      <c r="A157" s="39">
        <v>43521.0</v>
      </c>
      <c r="B157" s="61" t="s">
        <v>894</v>
      </c>
      <c r="C157" s="61" t="s">
        <v>895</v>
      </c>
      <c r="D157" s="62" t="s">
        <v>896</v>
      </c>
      <c r="E157" s="61" t="s">
        <v>179</v>
      </c>
      <c r="G157" s="44"/>
      <c r="I157" s="89" t="s">
        <v>897</v>
      </c>
      <c r="J157" s="38" t="s">
        <v>16</v>
      </c>
    </row>
    <row r="158" ht="15.75" customHeight="1">
      <c r="A158" s="32">
        <v>43521.0</v>
      </c>
      <c r="B158" s="60" t="s">
        <v>898</v>
      </c>
      <c r="C158" s="60" t="s">
        <v>899</v>
      </c>
      <c r="D158" s="64" t="s">
        <v>900</v>
      </c>
      <c r="E158" s="60" t="s">
        <v>212</v>
      </c>
      <c r="F158" s="60" t="s">
        <v>901</v>
      </c>
      <c r="G158" s="47" t="s">
        <v>902</v>
      </c>
      <c r="J158" s="1" t="s">
        <v>903</v>
      </c>
    </row>
    <row r="159" ht="15.75" customHeight="1">
      <c r="A159" s="39">
        <v>43523.0</v>
      </c>
      <c r="B159" s="61" t="s">
        <v>904</v>
      </c>
      <c r="C159" s="44" t="s">
        <v>905</v>
      </c>
      <c r="D159" s="62" t="s">
        <v>906</v>
      </c>
      <c r="E159" s="61" t="s">
        <v>179</v>
      </c>
      <c r="F159" s="61" t="s">
        <v>907</v>
      </c>
      <c r="G159" s="44"/>
      <c r="I159" s="1" t="s">
        <v>908</v>
      </c>
      <c r="J159" s="38" t="s">
        <v>16</v>
      </c>
    </row>
    <row r="160" ht="15.75" customHeight="1">
      <c r="A160" s="32">
        <v>43524.0</v>
      </c>
      <c r="B160" s="60" t="s">
        <v>909</v>
      </c>
      <c r="C160" s="60" t="s">
        <v>910</v>
      </c>
      <c r="D160" s="49" t="s">
        <v>911</v>
      </c>
      <c r="E160" s="60" t="s">
        <v>222</v>
      </c>
      <c r="F160" s="60" t="s">
        <v>912</v>
      </c>
      <c r="G160" s="47" t="s">
        <v>913</v>
      </c>
      <c r="J160" s="1" t="s">
        <v>914</v>
      </c>
    </row>
    <row r="161" ht="15.75" customHeight="1">
      <c r="A161" s="39">
        <v>43524.0</v>
      </c>
      <c r="B161" s="91" t="s">
        <v>915</v>
      </c>
      <c r="C161" s="91">
        <f>+971564546999</f>
        <v>971564546999</v>
      </c>
      <c r="D161" s="92" t="s">
        <v>916</v>
      </c>
      <c r="E161" s="61" t="s">
        <v>222</v>
      </c>
      <c r="F161" s="91" t="s">
        <v>917</v>
      </c>
      <c r="G161" s="44"/>
      <c r="I161" s="93" t="s">
        <v>918</v>
      </c>
      <c r="J161" s="1" t="s">
        <v>919</v>
      </c>
    </row>
    <row r="162" ht="15.75" customHeight="1">
      <c r="A162" s="32">
        <v>43524.0</v>
      </c>
      <c r="B162" s="94" t="s">
        <v>68</v>
      </c>
      <c r="C162" s="94" t="s">
        <v>920</v>
      </c>
      <c r="D162" s="95" t="s">
        <v>921</v>
      </c>
      <c r="E162" s="60" t="s">
        <v>222</v>
      </c>
      <c r="F162" s="94" t="s">
        <v>922</v>
      </c>
      <c r="G162" s="47"/>
      <c r="I162" s="96" t="s">
        <v>923</v>
      </c>
      <c r="J162" s="1" t="s">
        <v>673</v>
      </c>
    </row>
    <row r="163" ht="15.75" customHeight="1">
      <c r="A163" s="39">
        <v>43524.0</v>
      </c>
      <c r="B163" s="61" t="s">
        <v>924</v>
      </c>
      <c r="C163" s="61" t="s">
        <v>925</v>
      </c>
      <c r="D163" s="62" t="s">
        <v>926</v>
      </c>
      <c r="E163" s="61" t="s">
        <v>179</v>
      </c>
      <c r="F163" s="61" t="s">
        <v>927</v>
      </c>
      <c r="G163" s="44"/>
      <c r="I163" s="89" t="s">
        <v>897</v>
      </c>
      <c r="J163" s="38" t="s">
        <v>395</v>
      </c>
    </row>
    <row r="164" ht="15.75" customHeight="1">
      <c r="A164" s="32">
        <v>43526.0</v>
      </c>
      <c r="B164" s="47" t="s">
        <v>68</v>
      </c>
      <c r="C164" s="47" t="s">
        <v>928</v>
      </c>
      <c r="D164" s="49" t="s">
        <v>929</v>
      </c>
      <c r="E164" s="60" t="s">
        <v>222</v>
      </c>
      <c r="F164" s="60" t="s">
        <v>624</v>
      </c>
      <c r="G164" s="47" t="s">
        <v>930</v>
      </c>
      <c r="I164" s="1" t="s">
        <v>868</v>
      </c>
      <c r="J164" s="38" t="s">
        <v>395</v>
      </c>
    </row>
    <row r="165" ht="15.75" customHeight="1">
      <c r="A165" s="39">
        <v>43527.0</v>
      </c>
      <c r="B165" s="61" t="s">
        <v>931</v>
      </c>
      <c r="C165" s="61" t="s">
        <v>932</v>
      </c>
      <c r="D165" s="62" t="s">
        <v>933</v>
      </c>
      <c r="E165" s="61" t="s">
        <v>179</v>
      </c>
      <c r="F165" s="61" t="s">
        <v>810</v>
      </c>
      <c r="G165" s="44"/>
      <c r="I165" s="1" t="s">
        <v>934</v>
      </c>
      <c r="J165" s="38" t="s">
        <v>780</v>
      </c>
    </row>
    <row r="166" ht="15.75" customHeight="1">
      <c r="A166" s="32">
        <v>43528.0</v>
      </c>
      <c r="B166" s="60" t="s">
        <v>935</v>
      </c>
      <c r="C166" s="60" t="s">
        <v>936</v>
      </c>
      <c r="D166" s="64" t="s">
        <v>937</v>
      </c>
      <c r="E166" s="60" t="s">
        <v>179</v>
      </c>
      <c r="F166" s="60" t="s">
        <v>938</v>
      </c>
      <c r="G166" s="47" t="s">
        <v>939</v>
      </c>
      <c r="I166" s="1" t="s">
        <v>940</v>
      </c>
      <c r="J166" s="38" t="s">
        <v>395</v>
      </c>
    </row>
    <row r="167" ht="15.75" customHeight="1">
      <c r="A167" s="39">
        <v>43528.0</v>
      </c>
      <c r="B167" s="61" t="s">
        <v>941</v>
      </c>
      <c r="C167" s="61" t="s">
        <v>942</v>
      </c>
      <c r="D167" s="62" t="s">
        <v>943</v>
      </c>
      <c r="E167" s="61" t="s">
        <v>179</v>
      </c>
      <c r="F167" s="61" t="s">
        <v>944</v>
      </c>
      <c r="G167" s="44"/>
      <c r="J167" s="1" t="s">
        <v>880</v>
      </c>
    </row>
    <row r="168" ht="15.75" customHeight="1">
      <c r="A168" s="32">
        <v>43528.0</v>
      </c>
      <c r="B168" s="60" t="s">
        <v>945</v>
      </c>
      <c r="C168" s="47" t="s">
        <v>946</v>
      </c>
      <c r="D168" s="64" t="s">
        <v>947</v>
      </c>
      <c r="E168" s="60" t="s">
        <v>179</v>
      </c>
      <c r="F168" s="60" t="s">
        <v>948</v>
      </c>
      <c r="G168" s="47"/>
      <c r="I168" s="90" t="s">
        <v>949</v>
      </c>
      <c r="J168" s="38" t="s">
        <v>395</v>
      </c>
    </row>
    <row r="169" ht="15.75" customHeight="1">
      <c r="A169" s="39">
        <v>43529.0</v>
      </c>
      <c r="B169" s="61" t="s">
        <v>950</v>
      </c>
      <c r="C169" s="61" t="s">
        <v>951</v>
      </c>
      <c r="D169" s="62" t="s">
        <v>952</v>
      </c>
      <c r="E169" s="61" t="s">
        <v>179</v>
      </c>
      <c r="F169" s="61" t="s">
        <v>907</v>
      </c>
      <c r="G169" s="44" t="s">
        <v>953</v>
      </c>
      <c r="J169" s="38" t="s">
        <v>395</v>
      </c>
    </row>
    <row r="170" ht="15.75" customHeight="1">
      <c r="A170" s="32">
        <v>43529.0</v>
      </c>
      <c r="B170" s="60" t="s">
        <v>941</v>
      </c>
      <c r="C170" s="60" t="s">
        <v>954</v>
      </c>
      <c r="D170" s="49" t="s">
        <v>955</v>
      </c>
      <c r="E170" s="60" t="s">
        <v>179</v>
      </c>
      <c r="F170" s="60" t="s">
        <v>956</v>
      </c>
      <c r="G170" s="47" t="s">
        <v>957</v>
      </c>
      <c r="J170" s="1" t="s">
        <v>880</v>
      </c>
    </row>
    <row r="171" ht="15.75" customHeight="1">
      <c r="A171" s="39">
        <v>43529.0</v>
      </c>
      <c r="B171" s="61" t="s">
        <v>958</v>
      </c>
      <c r="C171" s="61" t="s">
        <v>959</v>
      </c>
      <c r="D171" s="62" t="s">
        <v>946</v>
      </c>
      <c r="E171" s="61" t="s">
        <v>179</v>
      </c>
      <c r="F171" s="61" t="s">
        <v>960</v>
      </c>
      <c r="G171" s="44" t="s">
        <v>961</v>
      </c>
      <c r="I171" s="71" t="s">
        <v>962</v>
      </c>
      <c r="J171" s="38" t="s">
        <v>395</v>
      </c>
    </row>
    <row r="172" ht="15.75" customHeight="1">
      <c r="A172" s="32">
        <v>43529.0</v>
      </c>
      <c r="B172" s="47" t="s">
        <v>963</v>
      </c>
      <c r="C172" s="47" t="s">
        <v>964</v>
      </c>
      <c r="D172" s="49" t="s">
        <v>965</v>
      </c>
      <c r="E172" s="60" t="s">
        <v>222</v>
      </c>
      <c r="F172" s="47" t="s">
        <v>966</v>
      </c>
      <c r="G172" s="47" t="s">
        <v>967</v>
      </c>
      <c r="J172" s="38" t="s">
        <v>395</v>
      </c>
    </row>
    <row r="173" ht="15.75" customHeight="1">
      <c r="A173" s="39">
        <v>43529.0</v>
      </c>
      <c r="B173" s="61" t="s">
        <v>950</v>
      </c>
      <c r="C173" s="61" t="s">
        <v>968</v>
      </c>
      <c r="D173" s="46" t="s">
        <v>952</v>
      </c>
      <c r="E173" s="61" t="s">
        <v>179</v>
      </c>
      <c r="F173" s="61" t="s">
        <v>907</v>
      </c>
      <c r="G173" s="44"/>
      <c r="I173" s="90" t="s">
        <v>969</v>
      </c>
      <c r="J173" s="38" t="s">
        <v>395</v>
      </c>
    </row>
    <row r="174" ht="15.75" customHeight="1">
      <c r="A174" s="32">
        <v>43533.0</v>
      </c>
      <c r="B174" s="60" t="s">
        <v>68</v>
      </c>
      <c r="C174" s="47" t="s">
        <v>970</v>
      </c>
      <c r="D174" s="64" t="s">
        <v>971</v>
      </c>
      <c r="E174" s="60" t="s">
        <v>222</v>
      </c>
      <c r="F174" s="60" t="s">
        <v>972</v>
      </c>
      <c r="G174" s="47" t="s">
        <v>973</v>
      </c>
      <c r="I174" s="89" t="s">
        <v>974</v>
      </c>
      <c r="J174" s="38" t="s">
        <v>395</v>
      </c>
    </row>
    <row r="175" ht="15.75" customHeight="1">
      <c r="A175" s="39">
        <v>43533.0</v>
      </c>
      <c r="B175" s="61" t="s">
        <v>975</v>
      </c>
      <c r="C175" s="61" t="s">
        <v>976</v>
      </c>
      <c r="D175" s="62" t="s">
        <v>977</v>
      </c>
      <c r="E175" s="61" t="s">
        <v>179</v>
      </c>
      <c r="F175" s="61" t="s">
        <v>978</v>
      </c>
      <c r="G175" s="44"/>
      <c r="I175" s="90" t="s">
        <v>979</v>
      </c>
      <c r="J175" s="38" t="s">
        <v>780</v>
      </c>
    </row>
    <row r="176" ht="15.75" customHeight="1">
      <c r="A176" s="32">
        <v>43533.0</v>
      </c>
      <c r="B176" s="60" t="s">
        <v>980</v>
      </c>
      <c r="C176" s="60" t="s">
        <v>981</v>
      </c>
      <c r="D176" s="49" t="s">
        <v>982</v>
      </c>
      <c r="E176" s="47" t="s">
        <v>293</v>
      </c>
      <c r="F176" s="60" t="s">
        <v>983</v>
      </c>
      <c r="G176" s="47"/>
      <c r="I176" s="1" t="s">
        <v>984</v>
      </c>
      <c r="J176" s="1" t="s">
        <v>798</v>
      </c>
    </row>
    <row r="177" ht="15.75" customHeight="1">
      <c r="A177" s="39">
        <v>43533.0</v>
      </c>
      <c r="B177" s="61" t="s">
        <v>985</v>
      </c>
      <c r="C177" s="61" t="s">
        <v>986</v>
      </c>
      <c r="D177" s="46" t="s">
        <v>987</v>
      </c>
      <c r="E177" s="44" t="s">
        <v>293</v>
      </c>
      <c r="F177" s="61" t="s">
        <v>988</v>
      </c>
      <c r="G177" s="44" t="s">
        <v>989</v>
      </c>
      <c r="I177" s="1" t="s">
        <v>990</v>
      </c>
      <c r="J177" s="1" t="s">
        <v>798</v>
      </c>
    </row>
    <row r="178" ht="15.75" customHeight="1">
      <c r="A178" s="32">
        <v>43533.0</v>
      </c>
      <c r="B178" s="60" t="s">
        <v>991</v>
      </c>
      <c r="C178" s="60" t="s">
        <v>992</v>
      </c>
      <c r="D178" s="64" t="s">
        <v>993</v>
      </c>
      <c r="E178" s="47" t="s">
        <v>293</v>
      </c>
      <c r="F178" s="60" t="s">
        <v>994</v>
      </c>
      <c r="G178" s="47" t="s">
        <v>995</v>
      </c>
      <c r="I178" s="1" t="s">
        <v>996</v>
      </c>
      <c r="J178" s="1" t="s">
        <v>798</v>
      </c>
    </row>
    <row r="179" ht="15.75" customHeight="1">
      <c r="A179" s="39">
        <v>43533.0</v>
      </c>
      <c r="B179" s="61" t="s">
        <v>997</v>
      </c>
      <c r="C179" s="61" t="s">
        <v>998</v>
      </c>
      <c r="D179" s="62" t="s">
        <v>999</v>
      </c>
      <c r="E179" s="44" t="s">
        <v>293</v>
      </c>
      <c r="F179" s="61" t="s">
        <v>1000</v>
      </c>
      <c r="G179" s="44" t="s">
        <v>1001</v>
      </c>
      <c r="J179" s="1" t="s">
        <v>1002</v>
      </c>
    </row>
    <row r="180" ht="15.75" customHeight="1">
      <c r="A180" s="32">
        <v>43533.0</v>
      </c>
      <c r="B180" s="60" t="s">
        <v>1003</v>
      </c>
      <c r="C180" s="60" t="s">
        <v>1004</v>
      </c>
      <c r="D180" s="64" t="s">
        <v>1005</v>
      </c>
      <c r="E180" s="47" t="s">
        <v>293</v>
      </c>
      <c r="F180" s="60" t="s">
        <v>1006</v>
      </c>
      <c r="G180" s="60" t="s">
        <v>995</v>
      </c>
      <c r="J180" s="38" t="s">
        <v>201</v>
      </c>
    </row>
    <row r="181" ht="15.75" customHeight="1">
      <c r="A181" s="39">
        <v>43534.0</v>
      </c>
      <c r="B181" s="61" t="s">
        <v>1007</v>
      </c>
      <c r="C181" s="61" t="s">
        <v>1008</v>
      </c>
      <c r="D181" s="62" t="s">
        <v>1009</v>
      </c>
      <c r="E181" s="61" t="s">
        <v>179</v>
      </c>
      <c r="F181" s="61" t="s">
        <v>1010</v>
      </c>
      <c r="G181" s="44"/>
      <c r="I181" s="1" t="s">
        <v>1011</v>
      </c>
      <c r="J181" s="1" t="s">
        <v>1012</v>
      </c>
    </row>
    <row r="182" ht="15.75" customHeight="1">
      <c r="A182" s="32">
        <v>43534.0</v>
      </c>
      <c r="B182" s="60" t="s">
        <v>1013</v>
      </c>
      <c r="C182" s="60" t="s">
        <v>1014</v>
      </c>
      <c r="D182" s="49" t="s">
        <v>1015</v>
      </c>
      <c r="E182" s="60" t="s">
        <v>212</v>
      </c>
      <c r="F182" s="60" t="s">
        <v>1016</v>
      </c>
      <c r="G182" s="47"/>
      <c r="I182" s="1" t="s">
        <v>1017</v>
      </c>
      <c r="J182" s="38" t="s">
        <v>265</v>
      </c>
    </row>
    <row r="183" ht="15.75" customHeight="1">
      <c r="A183" s="39">
        <v>43534.0</v>
      </c>
      <c r="B183" s="61" t="s">
        <v>1013</v>
      </c>
      <c r="C183" s="61" t="s">
        <v>1014</v>
      </c>
      <c r="D183" s="46" t="s">
        <v>1015</v>
      </c>
      <c r="E183" s="61" t="s">
        <v>212</v>
      </c>
      <c r="F183" s="61" t="s">
        <v>1016</v>
      </c>
      <c r="G183" s="44"/>
      <c r="I183" s="1" t="s">
        <v>1017</v>
      </c>
      <c r="J183" s="38" t="s">
        <v>265</v>
      </c>
    </row>
    <row r="184" ht="15.75" customHeight="1">
      <c r="A184" s="32">
        <v>43534.0</v>
      </c>
      <c r="B184" s="60" t="s">
        <v>1018</v>
      </c>
      <c r="C184" s="60" t="s">
        <v>1019</v>
      </c>
      <c r="D184" s="49" t="s">
        <v>1020</v>
      </c>
      <c r="E184" s="60" t="s">
        <v>179</v>
      </c>
      <c r="F184" s="60" t="s">
        <v>1021</v>
      </c>
      <c r="G184" s="47"/>
      <c r="I184" s="1" t="s">
        <v>1022</v>
      </c>
      <c r="J184" s="38" t="s">
        <v>395</v>
      </c>
    </row>
    <row r="185" ht="15.75" customHeight="1">
      <c r="A185" s="39">
        <v>43535.0</v>
      </c>
      <c r="B185" s="61" t="s">
        <v>1023</v>
      </c>
      <c r="C185" s="61" t="s">
        <v>1024</v>
      </c>
      <c r="D185" s="46" t="s">
        <v>1025</v>
      </c>
      <c r="E185" s="61" t="s">
        <v>179</v>
      </c>
      <c r="F185" s="61" t="s">
        <v>1026</v>
      </c>
      <c r="G185" s="44" t="s">
        <v>1027</v>
      </c>
    </row>
    <row r="186" ht="15.75" customHeight="1">
      <c r="A186" s="32">
        <v>43536.0</v>
      </c>
      <c r="B186" s="60" t="s">
        <v>1028</v>
      </c>
      <c r="C186" s="60" t="s">
        <v>1029</v>
      </c>
      <c r="D186" s="64" t="s">
        <v>1030</v>
      </c>
      <c r="E186" s="60" t="s">
        <v>212</v>
      </c>
      <c r="F186" s="60" t="s">
        <v>1031</v>
      </c>
      <c r="G186" s="47"/>
      <c r="J186" s="38" t="s">
        <v>300</v>
      </c>
    </row>
    <row r="187" ht="15.75" customHeight="1">
      <c r="A187" s="39">
        <v>43537.0</v>
      </c>
      <c r="B187" s="61" t="s">
        <v>1032</v>
      </c>
      <c r="C187" s="61" t="s">
        <v>1033</v>
      </c>
      <c r="D187" s="46" t="s">
        <v>1034</v>
      </c>
      <c r="E187" s="61" t="s">
        <v>179</v>
      </c>
      <c r="F187" s="61" t="s">
        <v>863</v>
      </c>
      <c r="G187" s="44"/>
      <c r="J187" s="38" t="s">
        <v>395</v>
      </c>
    </row>
    <row r="188" ht="15.75" customHeight="1">
      <c r="A188" s="32">
        <v>43537.0</v>
      </c>
      <c r="B188" s="60" t="s">
        <v>1035</v>
      </c>
      <c r="C188" s="60" t="s">
        <v>1036</v>
      </c>
      <c r="D188" s="64" t="s">
        <v>1037</v>
      </c>
      <c r="E188" s="60" t="s">
        <v>179</v>
      </c>
      <c r="F188" s="97" t="s">
        <v>1038</v>
      </c>
      <c r="G188" s="47"/>
      <c r="J188" s="38" t="s">
        <v>395</v>
      </c>
    </row>
    <row r="189" ht="15.75" customHeight="1">
      <c r="A189" s="39">
        <v>43537.0</v>
      </c>
      <c r="B189" s="61" t="s">
        <v>1039</v>
      </c>
      <c r="C189" s="44" t="s">
        <v>1040</v>
      </c>
      <c r="D189" s="46" t="s">
        <v>1041</v>
      </c>
      <c r="E189" s="61" t="s">
        <v>179</v>
      </c>
      <c r="F189" s="61" t="s">
        <v>1042</v>
      </c>
      <c r="G189" s="44"/>
      <c r="J189" s="38" t="s">
        <v>395</v>
      </c>
    </row>
    <row r="190" ht="15.75" customHeight="1">
      <c r="A190" s="32">
        <v>43537.0</v>
      </c>
      <c r="B190" s="60" t="s">
        <v>1043</v>
      </c>
      <c r="C190" s="47" t="s">
        <v>1044</v>
      </c>
      <c r="D190" s="64" t="s">
        <v>1045</v>
      </c>
      <c r="E190" s="60" t="s">
        <v>222</v>
      </c>
      <c r="F190" s="60" t="s">
        <v>1046</v>
      </c>
      <c r="G190" s="47" t="s">
        <v>1047</v>
      </c>
      <c r="J190" s="38" t="s">
        <v>395</v>
      </c>
    </row>
    <row r="191" ht="15.75" customHeight="1">
      <c r="A191" s="39">
        <v>43537.0</v>
      </c>
      <c r="B191" s="61" t="s">
        <v>935</v>
      </c>
      <c r="C191" s="61" t="s">
        <v>1048</v>
      </c>
      <c r="D191" s="62" t="s">
        <v>936</v>
      </c>
      <c r="E191" s="61" t="s">
        <v>179</v>
      </c>
      <c r="F191" s="61" t="s">
        <v>1049</v>
      </c>
      <c r="G191" s="44" t="s">
        <v>1050</v>
      </c>
      <c r="J191" s="1" t="s">
        <v>915</v>
      </c>
    </row>
    <row r="192" ht="15.75" customHeight="1">
      <c r="A192" s="32">
        <v>43537.0</v>
      </c>
      <c r="B192" s="60" t="s">
        <v>1051</v>
      </c>
      <c r="C192" s="60" t="s">
        <v>809</v>
      </c>
      <c r="D192" s="64" t="s">
        <v>1052</v>
      </c>
      <c r="E192" s="60" t="s">
        <v>179</v>
      </c>
      <c r="F192" s="60" t="s">
        <v>1053</v>
      </c>
      <c r="G192" s="47"/>
      <c r="J192" s="38" t="s">
        <v>811</v>
      </c>
    </row>
    <row r="193" ht="15.75" customHeight="1">
      <c r="A193" s="39">
        <v>43538.0</v>
      </c>
      <c r="B193" s="61" t="s">
        <v>1054</v>
      </c>
      <c r="C193" s="44" t="s">
        <v>1055</v>
      </c>
      <c r="D193" s="62" t="s">
        <v>1056</v>
      </c>
      <c r="E193" s="61" t="s">
        <v>222</v>
      </c>
      <c r="F193" s="61" t="s">
        <v>1057</v>
      </c>
      <c r="G193" s="44" t="s">
        <v>1058</v>
      </c>
      <c r="J193" s="1" t="s">
        <v>1059</v>
      </c>
    </row>
    <row r="194" ht="15.75" customHeight="1">
      <c r="A194" s="32">
        <v>43538.0</v>
      </c>
      <c r="B194" s="60" t="s">
        <v>1060</v>
      </c>
      <c r="C194" s="60" t="s">
        <v>1061</v>
      </c>
      <c r="D194" s="64" t="s">
        <v>1062</v>
      </c>
      <c r="E194" s="60" t="s">
        <v>222</v>
      </c>
      <c r="F194" s="60" t="s">
        <v>1063</v>
      </c>
      <c r="G194" s="47"/>
      <c r="I194" s="1" t="s">
        <v>1064</v>
      </c>
      <c r="J194" s="1" t="s">
        <v>16</v>
      </c>
    </row>
    <row r="195" ht="15.75" customHeight="1">
      <c r="A195" s="39">
        <v>43538.0</v>
      </c>
      <c r="B195" s="61" t="s">
        <v>1065</v>
      </c>
      <c r="C195" s="44" t="s">
        <v>1066</v>
      </c>
      <c r="D195" s="46" t="s">
        <v>1067</v>
      </c>
      <c r="E195" s="61" t="s">
        <v>222</v>
      </c>
      <c r="F195" s="61" t="s">
        <v>1068</v>
      </c>
      <c r="G195" s="44" t="s">
        <v>1069</v>
      </c>
      <c r="I195" s="1" t="s">
        <v>1070</v>
      </c>
      <c r="J195" s="38" t="s">
        <v>265</v>
      </c>
    </row>
    <row r="196" ht="15.75" customHeight="1">
      <c r="A196" s="32">
        <v>43540.0</v>
      </c>
      <c r="B196" s="47" t="s">
        <v>1071</v>
      </c>
      <c r="C196" s="47" t="s">
        <v>1072</v>
      </c>
      <c r="D196" s="49" t="s">
        <v>1073</v>
      </c>
      <c r="E196" s="60" t="s">
        <v>179</v>
      </c>
      <c r="F196" s="47" t="s">
        <v>1074</v>
      </c>
      <c r="G196" s="47"/>
      <c r="J196" s="1" t="s">
        <v>1075</v>
      </c>
    </row>
    <row r="197" ht="15.75" customHeight="1">
      <c r="A197" s="39">
        <v>43542.0</v>
      </c>
      <c r="B197" s="46" t="s">
        <v>1076</v>
      </c>
      <c r="C197" s="44" t="s">
        <v>1077</v>
      </c>
      <c r="D197" s="46" t="s">
        <v>1078</v>
      </c>
      <c r="E197" s="44" t="s">
        <v>1079</v>
      </c>
      <c r="F197" s="44" t="s">
        <v>1080</v>
      </c>
      <c r="G197" s="44" t="s">
        <v>1081</v>
      </c>
      <c r="I197" s="89" t="s">
        <v>1082</v>
      </c>
      <c r="J197" s="1" t="s">
        <v>395</v>
      </c>
    </row>
    <row r="198" ht="15.75" customHeight="1">
      <c r="A198" s="32">
        <v>43542.0</v>
      </c>
      <c r="B198" s="64" t="s">
        <v>1083</v>
      </c>
      <c r="C198" s="60" t="s">
        <v>1084</v>
      </c>
      <c r="D198" s="64" t="s">
        <v>1085</v>
      </c>
      <c r="E198" s="60" t="s">
        <v>179</v>
      </c>
      <c r="F198" s="60" t="s">
        <v>1086</v>
      </c>
      <c r="G198" s="47"/>
      <c r="J198" s="1" t="s">
        <v>395</v>
      </c>
    </row>
    <row r="199" ht="15.75" customHeight="1">
      <c r="A199" s="39">
        <v>43542.0</v>
      </c>
      <c r="B199" s="98" t="s">
        <v>1087</v>
      </c>
      <c r="C199" s="61" t="s">
        <v>1088</v>
      </c>
      <c r="D199" s="62" t="s">
        <v>1089</v>
      </c>
      <c r="E199" s="61" t="s">
        <v>212</v>
      </c>
      <c r="F199" s="61" t="s">
        <v>1090</v>
      </c>
      <c r="G199" s="44"/>
      <c r="I199" s="99" t="s">
        <v>1091</v>
      </c>
      <c r="J199" s="1" t="s">
        <v>673</v>
      </c>
    </row>
    <row r="200" ht="15.75" customHeight="1">
      <c r="A200" s="32">
        <v>43543.0</v>
      </c>
      <c r="B200" s="64" t="s">
        <v>1092</v>
      </c>
      <c r="C200" s="60" t="s">
        <v>1093</v>
      </c>
      <c r="D200" s="64" t="s">
        <v>1094</v>
      </c>
      <c r="E200" s="60" t="s">
        <v>179</v>
      </c>
      <c r="F200" s="60" t="s">
        <v>1095</v>
      </c>
      <c r="G200" s="47"/>
      <c r="J200" s="1" t="s">
        <v>395</v>
      </c>
    </row>
    <row r="201" ht="15.75" customHeight="1">
      <c r="A201" s="39">
        <v>43543.0</v>
      </c>
      <c r="B201" s="98" t="s">
        <v>1096</v>
      </c>
      <c r="C201" s="61" t="s">
        <v>1097</v>
      </c>
      <c r="D201" s="80" t="s">
        <v>1098</v>
      </c>
      <c r="E201" s="61" t="s">
        <v>212</v>
      </c>
      <c r="F201" s="61" t="s">
        <v>1099</v>
      </c>
      <c r="G201" s="44"/>
      <c r="J201" s="1" t="s">
        <v>1100</v>
      </c>
    </row>
    <row r="202" ht="15.75" customHeight="1">
      <c r="A202" s="32">
        <v>43544.0</v>
      </c>
      <c r="B202" s="60" t="s">
        <v>234</v>
      </c>
      <c r="C202" s="60" t="s">
        <v>1101</v>
      </c>
      <c r="D202" s="100" t="s">
        <v>1102</v>
      </c>
      <c r="E202" s="60" t="s">
        <v>222</v>
      </c>
      <c r="F202" s="60" t="s">
        <v>1103</v>
      </c>
      <c r="G202" s="60" t="s">
        <v>491</v>
      </c>
      <c r="J202" s="1" t="s">
        <v>395</v>
      </c>
    </row>
    <row r="203" ht="15.75" customHeight="1">
      <c r="A203" s="39">
        <v>43547.0</v>
      </c>
      <c r="B203" s="61" t="s">
        <v>234</v>
      </c>
      <c r="C203" s="61" t="s">
        <v>1104</v>
      </c>
      <c r="D203" s="80" t="s">
        <v>1105</v>
      </c>
      <c r="E203" s="61" t="s">
        <v>222</v>
      </c>
      <c r="F203" s="61" t="s">
        <v>450</v>
      </c>
      <c r="G203" s="61" t="s">
        <v>457</v>
      </c>
      <c r="J203" s="1" t="s">
        <v>1002</v>
      </c>
    </row>
    <row r="204" ht="15.75" customHeight="1">
      <c r="A204" s="32">
        <v>43547.0</v>
      </c>
      <c r="B204" s="60" t="s">
        <v>1106</v>
      </c>
      <c r="C204" s="47" t="s">
        <v>1107</v>
      </c>
      <c r="D204" s="70" t="s">
        <v>1108</v>
      </c>
      <c r="E204" s="60" t="s">
        <v>222</v>
      </c>
      <c r="F204" s="47" t="s">
        <v>1109</v>
      </c>
      <c r="G204" s="47" t="s">
        <v>1110</v>
      </c>
      <c r="I204" s="71" t="s">
        <v>1111</v>
      </c>
      <c r="J204" s="1" t="s">
        <v>673</v>
      </c>
    </row>
    <row r="205" ht="15.75" customHeight="1">
      <c r="A205" s="39">
        <v>43548.0</v>
      </c>
      <c r="B205" s="61" t="s">
        <v>1112</v>
      </c>
      <c r="C205" s="61" t="s">
        <v>1113</v>
      </c>
      <c r="D205" s="80" t="s">
        <v>1114</v>
      </c>
      <c r="E205" s="61" t="s">
        <v>179</v>
      </c>
      <c r="F205" s="61" t="s">
        <v>1115</v>
      </c>
      <c r="G205" s="44"/>
      <c r="J205" s="1" t="s">
        <v>300</v>
      </c>
    </row>
    <row r="206" ht="15.75" customHeight="1">
      <c r="A206" s="32">
        <v>43548.0</v>
      </c>
      <c r="B206" s="60" t="s">
        <v>1116</v>
      </c>
      <c r="C206" s="60" t="s">
        <v>1117</v>
      </c>
      <c r="D206" s="100" t="s">
        <v>1118</v>
      </c>
      <c r="E206" s="60" t="s">
        <v>179</v>
      </c>
      <c r="F206" s="60" t="s">
        <v>1119</v>
      </c>
      <c r="I206" s="90" t="s">
        <v>979</v>
      </c>
      <c r="J206" s="1" t="s">
        <v>780</v>
      </c>
    </row>
    <row r="207" ht="15.75" customHeight="1">
      <c r="A207" s="39">
        <v>43548.0</v>
      </c>
      <c r="B207" s="61" t="s">
        <v>1120</v>
      </c>
      <c r="C207" s="44" t="s">
        <v>1121</v>
      </c>
      <c r="D207" s="80" t="s">
        <v>1122</v>
      </c>
      <c r="E207" s="61" t="s">
        <v>222</v>
      </c>
      <c r="F207" s="61" t="s">
        <v>1123</v>
      </c>
      <c r="G207" s="44" t="s">
        <v>1124</v>
      </c>
      <c r="I207" s="71" t="s">
        <v>1125</v>
      </c>
      <c r="J207" s="1" t="s">
        <v>1126</v>
      </c>
    </row>
    <row r="208" ht="15.75" customHeight="1">
      <c r="A208" s="32">
        <v>43548.0</v>
      </c>
      <c r="B208" s="60" t="s">
        <v>1127</v>
      </c>
      <c r="C208" s="60" t="s">
        <v>1128</v>
      </c>
      <c r="D208" s="100" t="s">
        <v>1129</v>
      </c>
      <c r="E208" s="60" t="s">
        <v>222</v>
      </c>
      <c r="F208" s="60" t="s">
        <v>1130</v>
      </c>
      <c r="G208" s="47" t="s">
        <v>1131</v>
      </c>
      <c r="I208" s="1" t="s">
        <v>1132</v>
      </c>
      <c r="J208" s="1" t="s">
        <v>395</v>
      </c>
    </row>
    <row r="209" ht="15.75" customHeight="1">
      <c r="A209" s="39">
        <v>43548.0</v>
      </c>
      <c r="B209" s="61" t="s">
        <v>1133</v>
      </c>
      <c r="C209" s="61" t="s">
        <v>1134</v>
      </c>
      <c r="D209" s="80" t="s">
        <v>1135</v>
      </c>
      <c r="E209" s="61" t="s">
        <v>222</v>
      </c>
      <c r="F209" s="61" t="s">
        <v>1136</v>
      </c>
      <c r="G209" s="61" t="s">
        <v>1137</v>
      </c>
      <c r="I209" s="1" t="s">
        <v>1138</v>
      </c>
      <c r="J209" s="1" t="s">
        <v>395</v>
      </c>
    </row>
    <row r="210" ht="15.75" customHeight="1">
      <c r="A210" s="32">
        <v>76421.0</v>
      </c>
      <c r="B210" s="60" t="s">
        <v>1139</v>
      </c>
      <c r="C210" s="60" t="s">
        <v>1089</v>
      </c>
      <c r="D210" s="100" t="s">
        <v>1140</v>
      </c>
      <c r="E210" s="60" t="s">
        <v>222</v>
      </c>
      <c r="F210" s="60" t="s">
        <v>1141</v>
      </c>
      <c r="G210" s="47" t="s">
        <v>1142</v>
      </c>
      <c r="I210" s="1" t="s">
        <v>1143</v>
      </c>
      <c r="J210" s="1" t="s">
        <v>673</v>
      </c>
    </row>
    <row r="211" ht="15.75" customHeight="1">
      <c r="A211" s="39">
        <v>43186.0</v>
      </c>
      <c r="B211" s="44" t="s">
        <v>1144</v>
      </c>
      <c r="C211" s="44" t="s">
        <v>1145</v>
      </c>
      <c r="D211" s="101" t="s">
        <v>1146</v>
      </c>
      <c r="E211" s="44" t="s">
        <v>179</v>
      </c>
      <c r="F211" s="44" t="s">
        <v>1147</v>
      </c>
      <c r="G211" s="44"/>
    </row>
    <row r="212" ht="15.75" customHeight="1">
      <c r="A212" s="32">
        <v>43187.0</v>
      </c>
      <c r="B212" s="47" t="s">
        <v>1148</v>
      </c>
      <c r="C212" s="47" t="s">
        <v>1149</v>
      </c>
      <c r="D212" s="37"/>
      <c r="E212" s="60" t="s">
        <v>1150</v>
      </c>
      <c r="F212" s="60" t="s">
        <v>1151</v>
      </c>
      <c r="G212" s="47"/>
      <c r="J212" s="1" t="s">
        <v>16</v>
      </c>
    </row>
    <row r="213" ht="16.5" customHeight="1">
      <c r="A213" s="39">
        <v>43554.0</v>
      </c>
      <c r="B213" s="44" t="s">
        <v>1152</v>
      </c>
      <c r="C213" s="46" t="s">
        <v>1153</v>
      </c>
      <c r="D213" s="66" t="s">
        <v>1154</v>
      </c>
      <c r="F213" s="44" t="s">
        <v>1155</v>
      </c>
      <c r="G213" s="44" t="s">
        <v>1156</v>
      </c>
      <c r="I213" s="102" t="s">
        <v>1157</v>
      </c>
      <c r="J213" s="1" t="s">
        <v>811</v>
      </c>
    </row>
    <row r="214" ht="15.75" customHeight="1">
      <c r="A214" s="32">
        <v>43555.0</v>
      </c>
      <c r="B214" s="60" t="s">
        <v>1158</v>
      </c>
      <c r="C214" s="47" t="s">
        <v>1159</v>
      </c>
      <c r="D214" s="70" t="s">
        <v>1160</v>
      </c>
      <c r="E214" s="60" t="s">
        <v>212</v>
      </c>
      <c r="F214" s="47" t="s">
        <v>1161</v>
      </c>
      <c r="G214" s="47"/>
      <c r="J214" s="1" t="s">
        <v>1162</v>
      </c>
    </row>
    <row r="215" ht="15.75" customHeight="1">
      <c r="A215" s="39">
        <v>43555.0</v>
      </c>
      <c r="B215" s="61" t="s">
        <v>1163</v>
      </c>
      <c r="C215" s="61" t="s">
        <v>1164</v>
      </c>
      <c r="D215" s="80" t="s">
        <v>1165</v>
      </c>
      <c r="E215" s="61" t="s">
        <v>222</v>
      </c>
      <c r="F215" s="61" t="s">
        <v>1166</v>
      </c>
      <c r="G215" s="61" t="s">
        <v>1167</v>
      </c>
      <c r="H215" s="1" t="s">
        <v>1168</v>
      </c>
      <c r="I215" s="1" t="s">
        <v>1169</v>
      </c>
      <c r="J215" s="1" t="s">
        <v>1100</v>
      </c>
    </row>
    <row r="216" ht="15.75" customHeight="1">
      <c r="A216" s="32">
        <v>43555.0</v>
      </c>
      <c r="B216" s="60" t="s">
        <v>1170</v>
      </c>
      <c r="C216" s="63" t="s">
        <v>1171</v>
      </c>
      <c r="D216" s="100" t="s">
        <v>1172</v>
      </c>
      <c r="E216" s="60" t="s">
        <v>222</v>
      </c>
      <c r="F216" s="60" t="s">
        <v>624</v>
      </c>
      <c r="G216" s="63" t="s">
        <v>1173</v>
      </c>
      <c r="I216" s="1" t="s">
        <v>868</v>
      </c>
      <c r="J216" s="1" t="s">
        <v>395</v>
      </c>
    </row>
    <row r="217" ht="15.75" customHeight="1">
      <c r="A217" s="39">
        <v>43556.0</v>
      </c>
      <c r="B217" s="102" t="s">
        <v>1174</v>
      </c>
      <c r="C217" s="61" t="s">
        <v>1175</v>
      </c>
      <c r="D217" s="62" t="s">
        <v>1176</v>
      </c>
      <c r="E217" s="61" t="s">
        <v>212</v>
      </c>
      <c r="F217" s="61" t="s">
        <v>1177</v>
      </c>
      <c r="J217" s="1" t="s">
        <v>201</v>
      </c>
    </row>
    <row r="218" ht="15.75" customHeight="1">
      <c r="A218" s="103">
        <v>43556.0</v>
      </c>
      <c r="B218" s="104" t="s">
        <v>1178</v>
      </c>
      <c r="C218" s="104" t="s">
        <v>1179</v>
      </c>
      <c r="D218" s="105" t="s">
        <v>1180</v>
      </c>
      <c r="E218" s="60" t="s">
        <v>222</v>
      </c>
      <c r="F218" s="104" t="s">
        <v>457</v>
      </c>
      <c r="J218" s="1" t="s">
        <v>780</v>
      </c>
    </row>
    <row r="219" ht="15.75" customHeight="1">
      <c r="A219" s="106">
        <v>43556.0</v>
      </c>
      <c r="B219" s="61" t="s">
        <v>1181</v>
      </c>
      <c r="C219" s="46"/>
      <c r="D219" s="62" t="s">
        <v>1182</v>
      </c>
      <c r="E219" s="61" t="s">
        <v>548</v>
      </c>
      <c r="F219" s="61" t="s">
        <v>1183</v>
      </c>
      <c r="G219" s="61" t="s">
        <v>1184</v>
      </c>
      <c r="H219" s="1" t="s">
        <v>1185</v>
      </c>
      <c r="I219" s="102" t="s">
        <v>969</v>
      </c>
      <c r="J219" s="1" t="s">
        <v>16</v>
      </c>
    </row>
    <row r="220" ht="15.75" customHeight="1">
      <c r="A220" s="103">
        <v>43556.0</v>
      </c>
      <c r="B220" s="60" t="s">
        <v>1186</v>
      </c>
      <c r="C220" s="47" t="s">
        <v>1187</v>
      </c>
      <c r="D220" s="49">
        <f>+971529185317</f>
        <v>971529185317</v>
      </c>
      <c r="E220" s="60" t="s">
        <v>1188</v>
      </c>
      <c r="F220" s="107" t="s">
        <v>1189</v>
      </c>
      <c r="I220" s="1" t="s">
        <v>1190</v>
      </c>
    </row>
    <row r="221" ht="15.75" customHeight="1">
      <c r="A221" s="39">
        <v>43557.0</v>
      </c>
      <c r="B221" s="108" t="s">
        <v>1191</v>
      </c>
      <c r="C221" s="73" t="s">
        <v>1192</v>
      </c>
      <c r="D221" s="42">
        <f>+971569239267</f>
        <v>971569239267</v>
      </c>
      <c r="E221" s="46" t="s">
        <v>248</v>
      </c>
      <c r="I221" s="109" t="s">
        <v>1193</v>
      </c>
    </row>
    <row r="222" ht="15.75" customHeight="1">
      <c r="A222" s="32">
        <v>43557.0</v>
      </c>
      <c r="B222" s="49" t="s">
        <v>1194</v>
      </c>
      <c r="C222" s="110" t="s">
        <v>1195</v>
      </c>
      <c r="D222" s="37">
        <v>9.71555886699E11</v>
      </c>
      <c r="E222" s="49" t="s">
        <v>222</v>
      </c>
      <c r="F222" s="60" t="s">
        <v>1196</v>
      </c>
      <c r="I222" s="111" t="s">
        <v>1197</v>
      </c>
    </row>
    <row r="223" ht="15.75" customHeight="1">
      <c r="A223" s="39">
        <v>43557.0</v>
      </c>
      <c r="B223" s="44" t="s">
        <v>1198</v>
      </c>
      <c r="C223" s="44" t="s">
        <v>1199</v>
      </c>
      <c r="D223" s="101" t="s">
        <v>1200</v>
      </c>
      <c r="E223" s="61" t="s">
        <v>179</v>
      </c>
      <c r="F223" s="44" t="s">
        <v>1201</v>
      </c>
      <c r="J223" s="1" t="s">
        <v>1202</v>
      </c>
    </row>
    <row r="224" ht="15.75" customHeight="1">
      <c r="A224" s="32">
        <v>43558.0</v>
      </c>
      <c r="B224" s="49" t="s">
        <v>1203</v>
      </c>
      <c r="C224" s="63" t="s">
        <v>1204</v>
      </c>
      <c r="D224" s="49" t="s">
        <v>1205</v>
      </c>
      <c r="E224" s="49" t="s">
        <v>222</v>
      </c>
      <c r="F224" s="60" t="s">
        <v>1206</v>
      </c>
      <c r="I224" s="111" t="s">
        <v>1207</v>
      </c>
    </row>
    <row r="225" ht="15.75" customHeight="1">
      <c r="A225" s="39">
        <v>43558.0</v>
      </c>
      <c r="B225" s="61" t="s">
        <v>1208</v>
      </c>
      <c r="C225" s="73" t="s">
        <v>1209</v>
      </c>
      <c r="D225" s="101" t="s">
        <v>1210</v>
      </c>
      <c r="E225" s="61" t="s">
        <v>179</v>
      </c>
      <c r="F225" s="61" t="s">
        <v>1211</v>
      </c>
      <c r="J225" s="1" t="s">
        <v>401</v>
      </c>
    </row>
    <row r="226" ht="15.75" customHeight="1">
      <c r="A226" s="32">
        <v>43558.0</v>
      </c>
      <c r="B226" s="60" t="s">
        <v>1212</v>
      </c>
      <c r="C226" s="52" t="s">
        <v>1213</v>
      </c>
      <c r="D226" s="70" t="s">
        <v>1214</v>
      </c>
      <c r="E226" s="60" t="s">
        <v>222</v>
      </c>
      <c r="F226" s="60" t="s">
        <v>1215</v>
      </c>
      <c r="G226" s="47" t="s">
        <v>1216</v>
      </c>
      <c r="I226" s="1" t="s">
        <v>1217</v>
      </c>
      <c r="J226" s="1" t="s">
        <v>265</v>
      </c>
    </row>
    <row r="227" ht="15.75" customHeight="1">
      <c r="A227" s="39">
        <v>43558.0</v>
      </c>
      <c r="B227" s="61" t="s">
        <v>1218</v>
      </c>
      <c r="C227" s="61" t="s">
        <v>1195</v>
      </c>
      <c r="D227" s="80" t="s">
        <v>1219</v>
      </c>
      <c r="E227" s="61" t="s">
        <v>222</v>
      </c>
      <c r="F227" s="61" t="s">
        <v>1220</v>
      </c>
      <c r="G227" s="44" t="s">
        <v>1196</v>
      </c>
      <c r="I227" s="1" t="s">
        <v>1221</v>
      </c>
      <c r="J227" s="1" t="s">
        <v>401</v>
      </c>
    </row>
    <row r="228" ht="15.75" customHeight="1">
      <c r="A228" s="32">
        <v>43558.0</v>
      </c>
      <c r="B228" s="60" t="s">
        <v>1222</v>
      </c>
      <c r="C228" s="60" t="s">
        <v>1223</v>
      </c>
      <c r="D228" s="100" t="s">
        <v>1224</v>
      </c>
      <c r="E228" s="60" t="s">
        <v>179</v>
      </c>
      <c r="F228" s="60" t="s">
        <v>1225</v>
      </c>
      <c r="G228" s="47"/>
      <c r="J228" s="1" t="s">
        <v>569</v>
      </c>
    </row>
    <row r="229" ht="15.75" customHeight="1">
      <c r="A229" s="39">
        <v>43558.0</v>
      </c>
      <c r="B229" s="61" t="s">
        <v>1226</v>
      </c>
      <c r="C229" s="61" t="s">
        <v>1159</v>
      </c>
      <c r="D229" s="80" t="s">
        <v>1160</v>
      </c>
      <c r="E229" s="61" t="s">
        <v>212</v>
      </c>
      <c r="F229" s="61" t="s">
        <v>1227</v>
      </c>
      <c r="G229" s="44"/>
      <c r="J229" s="1" t="s">
        <v>798</v>
      </c>
    </row>
    <row r="230" ht="15.75" customHeight="1">
      <c r="A230" s="32">
        <v>43558.0</v>
      </c>
      <c r="B230" s="60" t="s">
        <v>1170</v>
      </c>
      <c r="C230" s="52" t="s">
        <v>1171</v>
      </c>
      <c r="D230" s="70" t="s">
        <v>1172</v>
      </c>
      <c r="E230" s="60" t="s">
        <v>222</v>
      </c>
      <c r="F230" s="60" t="s">
        <v>1228</v>
      </c>
      <c r="G230" s="47" t="s">
        <v>1229</v>
      </c>
      <c r="I230" s="1" t="s">
        <v>868</v>
      </c>
      <c r="J230" s="1" t="s">
        <v>395</v>
      </c>
    </row>
    <row r="231" ht="15.75" customHeight="1">
      <c r="A231" s="39">
        <v>43561.0</v>
      </c>
      <c r="B231" s="61" t="s">
        <v>1230</v>
      </c>
      <c r="C231" s="73" t="s">
        <v>1231</v>
      </c>
      <c r="D231" s="80" t="s">
        <v>1232</v>
      </c>
      <c r="E231" s="61" t="s">
        <v>0</v>
      </c>
      <c r="F231" s="61" t="s">
        <v>957</v>
      </c>
      <c r="G231" s="44"/>
      <c r="I231" s="1" t="s">
        <v>1233</v>
      </c>
      <c r="J231" s="1" t="s">
        <v>265</v>
      </c>
    </row>
    <row r="232" ht="15.75" customHeight="1">
      <c r="A232" s="32">
        <v>43561.0</v>
      </c>
      <c r="B232" s="60" t="s">
        <v>1230</v>
      </c>
      <c r="C232" s="63" t="s">
        <v>1231</v>
      </c>
      <c r="D232" s="100" t="s">
        <v>1232</v>
      </c>
      <c r="E232" s="60" t="s">
        <v>179</v>
      </c>
      <c r="F232" s="60" t="s">
        <v>1234</v>
      </c>
      <c r="I232" s="1" t="s">
        <v>1235</v>
      </c>
      <c r="J232" s="1" t="s">
        <v>265</v>
      </c>
    </row>
    <row r="233" ht="15.75" customHeight="1">
      <c r="A233" s="39">
        <v>43562.0</v>
      </c>
      <c r="B233" s="61" t="s">
        <v>1236</v>
      </c>
      <c r="C233" s="61" t="s">
        <v>1237</v>
      </c>
      <c r="D233" s="80" t="s">
        <v>1238</v>
      </c>
      <c r="E233" s="61" t="s">
        <v>222</v>
      </c>
      <c r="F233" s="61" t="s">
        <v>1239</v>
      </c>
      <c r="G233" s="44" t="s">
        <v>1240</v>
      </c>
      <c r="I233" s="1" t="s">
        <v>1241</v>
      </c>
      <c r="J233" s="1" t="s">
        <v>265</v>
      </c>
    </row>
    <row r="234" ht="15.75" customHeight="1">
      <c r="A234" s="32">
        <v>43562.0</v>
      </c>
      <c r="B234" s="60" t="s">
        <v>1242</v>
      </c>
      <c r="C234" s="60" t="s">
        <v>1243</v>
      </c>
      <c r="D234" s="100" t="s">
        <v>1244</v>
      </c>
      <c r="E234" s="60" t="s">
        <v>212</v>
      </c>
      <c r="F234" s="112" t="s">
        <v>1245</v>
      </c>
      <c r="G234" s="47"/>
      <c r="J234" s="1" t="s">
        <v>1246</v>
      </c>
    </row>
    <row r="235" ht="15.75" customHeight="1">
      <c r="A235" s="39">
        <v>43562.0</v>
      </c>
      <c r="B235" s="61" t="s">
        <v>1247</v>
      </c>
      <c r="C235" s="44" t="s">
        <v>1248</v>
      </c>
      <c r="D235" s="101" t="s">
        <v>1249</v>
      </c>
      <c r="E235" s="61" t="s">
        <v>222</v>
      </c>
      <c r="F235" s="61" t="s">
        <v>1250</v>
      </c>
      <c r="G235" s="44" t="s">
        <v>1251</v>
      </c>
      <c r="I235" s="1" t="s">
        <v>1252</v>
      </c>
      <c r="J235" s="1" t="s">
        <v>265</v>
      </c>
    </row>
    <row r="236" ht="15.75" customHeight="1">
      <c r="A236" s="32">
        <v>43563.0</v>
      </c>
      <c r="B236" s="60" t="s">
        <v>1253</v>
      </c>
      <c r="C236" s="60" t="s">
        <v>1254</v>
      </c>
      <c r="D236" s="64">
        <v>9.71551844566E11</v>
      </c>
      <c r="E236" s="60" t="s">
        <v>0</v>
      </c>
      <c r="F236" s="60" t="s">
        <v>1255</v>
      </c>
      <c r="G236" s="47"/>
      <c r="I236" s="90" t="s">
        <v>1256</v>
      </c>
      <c r="J236" s="1" t="s">
        <v>395</v>
      </c>
    </row>
    <row r="237" ht="15.75" customHeight="1">
      <c r="A237" s="39">
        <v>43564.0</v>
      </c>
      <c r="B237" s="61" t="s">
        <v>1257</v>
      </c>
      <c r="C237" s="61" t="s">
        <v>1258</v>
      </c>
      <c r="D237" s="80" t="s">
        <v>1259</v>
      </c>
      <c r="E237" s="61" t="s">
        <v>0</v>
      </c>
      <c r="F237" s="61" t="s">
        <v>1260</v>
      </c>
      <c r="G237" s="44"/>
      <c r="I237" s="102" t="s">
        <v>1261</v>
      </c>
      <c r="J237" s="1" t="s">
        <v>1059</v>
      </c>
    </row>
    <row r="238" ht="15.75" customHeight="1">
      <c r="A238" s="32">
        <v>43564.0</v>
      </c>
      <c r="B238" s="60" t="s">
        <v>1262</v>
      </c>
      <c r="D238" s="100" t="s">
        <v>1263</v>
      </c>
      <c r="E238" s="60" t="s">
        <v>419</v>
      </c>
      <c r="F238" s="60" t="s">
        <v>1264</v>
      </c>
      <c r="G238" s="47"/>
    </row>
    <row r="239" ht="15.75" customHeight="1">
      <c r="A239" s="39">
        <v>43565.0</v>
      </c>
      <c r="B239" s="102" t="s">
        <v>1265</v>
      </c>
      <c r="C239" s="61" t="s">
        <v>1266</v>
      </c>
      <c r="D239" s="80" t="s">
        <v>1267</v>
      </c>
      <c r="E239" s="61" t="s">
        <v>0</v>
      </c>
      <c r="F239" s="44" t="s">
        <v>1268</v>
      </c>
      <c r="G239" s="44" t="s">
        <v>1269</v>
      </c>
    </row>
    <row r="240" ht="15.75" customHeight="1">
      <c r="A240" s="32">
        <v>43565.0</v>
      </c>
      <c r="B240" s="60" t="s">
        <v>1270</v>
      </c>
      <c r="C240" s="60" t="s">
        <v>1271</v>
      </c>
      <c r="D240" s="100" t="s">
        <v>1272</v>
      </c>
      <c r="E240" s="60" t="s">
        <v>0</v>
      </c>
      <c r="F240" s="60" t="s">
        <v>1273</v>
      </c>
      <c r="G240" s="47"/>
      <c r="J240" s="1" t="s">
        <v>1002</v>
      </c>
    </row>
    <row r="241" ht="15.75" customHeight="1">
      <c r="A241" s="39">
        <v>43566.0</v>
      </c>
      <c r="B241" s="61" t="s">
        <v>1274</v>
      </c>
      <c r="C241" s="61" t="s">
        <v>1275</v>
      </c>
      <c r="D241" s="80" t="s">
        <v>1276</v>
      </c>
      <c r="E241" s="61" t="s">
        <v>0</v>
      </c>
      <c r="F241" s="44" t="s">
        <v>1277</v>
      </c>
      <c r="G241" s="44" t="s">
        <v>1278</v>
      </c>
      <c r="H241" s="71" t="s">
        <v>1279</v>
      </c>
      <c r="I241" s="113" t="s">
        <v>1280</v>
      </c>
    </row>
    <row r="242" ht="15.75" customHeight="1">
      <c r="A242" s="32">
        <v>43568.0</v>
      </c>
      <c r="B242" s="60" t="s">
        <v>1281</v>
      </c>
      <c r="C242" s="60" t="s">
        <v>1282</v>
      </c>
      <c r="D242" s="70" t="s">
        <v>1283</v>
      </c>
      <c r="E242" s="60" t="s">
        <v>0</v>
      </c>
      <c r="F242" s="60" t="s">
        <v>1284</v>
      </c>
      <c r="G242" s="60" t="s">
        <v>1285</v>
      </c>
      <c r="J242" s="1" t="s">
        <v>1286</v>
      </c>
    </row>
    <row r="243" ht="15.75" customHeight="1">
      <c r="A243" s="39">
        <v>43569.0</v>
      </c>
      <c r="B243" s="61" t="s">
        <v>234</v>
      </c>
      <c r="C243" s="61" t="s">
        <v>1287</v>
      </c>
      <c r="D243" s="80" t="s">
        <v>1288</v>
      </c>
      <c r="E243" s="61" t="s">
        <v>222</v>
      </c>
      <c r="F243" s="61" t="s">
        <v>1289</v>
      </c>
      <c r="G243" s="44" t="s">
        <v>1290</v>
      </c>
      <c r="I243" s="1" t="s">
        <v>1291</v>
      </c>
    </row>
    <row r="244" ht="15.75" customHeight="1">
      <c r="A244" s="32">
        <v>43582.0</v>
      </c>
      <c r="B244" s="60" t="s">
        <v>1292</v>
      </c>
      <c r="C244" s="60" t="s">
        <v>1293</v>
      </c>
      <c r="D244" s="64" t="s">
        <v>1294</v>
      </c>
      <c r="E244" s="60" t="s">
        <v>2</v>
      </c>
      <c r="F244" s="60" t="s">
        <v>1295</v>
      </c>
      <c r="G244" s="47"/>
      <c r="I244" s="71" t="s">
        <v>1125</v>
      </c>
    </row>
    <row r="245" ht="15.75" customHeight="1">
      <c r="A245" s="39">
        <v>43582.0</v>
      </c>
      <c r="B245" s="44" t="s">
        <v>1292</v>
      </c>
      <c r="C245" s="44" t="s">
        <v>1293</v>
      </c>
      <c r="D245" s="46" t="s">
        <v>1294</v>
      </c>
      <c r="E245" s="61" t="s">
        <v>222</v>
      </c>
      <c r="F245" s="44" t="s">
        <v>1296</v>
      </c>
      <c r="G245" s="44" t="s">
        <v>1297</v>
      </c>
    </row>
    <row r="246" ht="15.75" customHeight="1">
      <c r="A246" s="114">
        <v>43584.0</v>
      </c>
      <c r="B246" s="115" t="s">
        <v>1298</v>
      </c>
      <c r="C246" s="115" t="s">
        <v>1299</v>
      </c>
      <c r="D246" s="116" t="s">
        <v>1300</v>
      </c>
      <c r="E246" s="117" t="s">
        <v>1301</v>
      </c>
      <c r="F246" s="118" t="s">
        <v>1302</v>
      </c>
      <c r="G246" s="119"/>
      <c r="H246" s="120"/>
      <c r="J246" s="121" t="s">
        <v>1303</v>
      </c>
      <c r="K246" s="121"/>
      <c r="L246" s="121"/>
      <c r="M246" s="121"/>
      <c r="N246" s="121"/>
      <c r="O246" s="121"/>
      <c r="P246" s="121"/>
      <c r="Q246" s="121"/>
      <c r="R246" s="121"/>
      <c r="S246" s="121"/>
      <c r="T246" s="121"/>
      <c r="U246" s="121"/>
      <c r="V246" s="121"/>
      <c r="W246" s="121"/>
      <c r="X246" s="121"/>
      <c r="Y246" s="121"/>
      <c r="Z246" s="121"/>
      <c r="AA246" s="121"/>
      <c r="AB246" s="121"/>
      <c r="AC246" s="120"/>
      <c r="AD246" s="120"/>
    </row>
    <row r="247" ht="15.75" customHeight="1">
      <c r="A247" s="39">
        <v>43593.0</v>
      </c>
      <c r="B247" s="61" t="s">
        <v>1304</v>
      </c>
      <c r="C247" s="61" t="s">
        <v>1305</v>
      </c>
      <c r="D247" s="62" t="s">
        <v>1306</v>
      </c>
      <c r="E247" s="61" t="s">
        <v>179</v>
      </c>
      <c r="F247" s="61" t="s">
        <v>1307</v>
      </c>
      <c r="G247" s="61" t="s">
        <v>1308</v>
      </c>
      <c r="I247" s="122" t="s">
        <v>1309</v>
      </c>
      <c r="J247" s="1" t="s">
        <v>780</v>
      </c>
    </row>
    <row r="248" ht="15.75" customHeight="1">
      <c r="A248" s="103">
        <v>43596.0</v>
      </c>
      <c r="B248" s="104" t="s">
        <v>1310</v>
      </c>
      <c r="C248" s="104" t="s">
        <v>1311</v>
      </c>
      <c r="D248" s="105">
        <f>+13124988888</f>
        <v>13124988888</v>
      </c>
      <c r="E248" s="60" t="s">
        <v>1301</v>
      </c>
      <c r="F248" s="123" t="s">
        <v>1312</v>
      </c>
      <c r="G248" s="104" t="s">
        <v>1313</v>
      </c>
      <c r="H248" s="124"/>
      <c r="I248" s="124"/>
    </row>
    <row r="249" ht="15.75" customHeight="1">
      <c r="A249" s="106">
        <v>43596.0</v>
      </c>
      <c r="B249" s="125" t="s">
        <v>1314</v>
      </c>
      <c r="C249" s="125" t="s">
        <v>1315</v>
      </c>
      <c r="D249" s="126">
        <v>9.7152949218E11</v>
      </c>
      <c r="E249" s="61" t="s">
        <v>179</v>
      </c>
      <c r="F249" s="127" t="s">
        <v>1316</v>
      </c>
      <c r="G249" s="125" t="s">
        <v>1317</v>
      </c>
      <c r="H249" s="124"/>
      <c r="I249" s="124"/>
    </row>
    <row r="250" ht="15.75" customHeight="1">
      <c r="A250" s="103">
        <v>43596.0</v>
      </c>
      <c r="B250" s="104" t="s">
        <v>1318</v>
      </c>
      <c r="C250" s="104" t="s">
        <v>1319</v>
      </c>
      <c r="D250" s="105">
        <f>+966553737050</f>
        <v>966553737050</v>
      </c>
      <c r="E250" s="60" t="s">
        <v>1320</v>
      </c>
      <c r="F250" s="123" t="s">
        <v>249</v>
      </c>
      <c r="G250" s="104" t="s">
        <v>1321</v>
      </c>
      <c r="H250" s="124"/>
      <c r="I250" s="124"/>
    </row>
    <row r="251" ht="15.75" customHeight="1">
      <c r="A251" s="106">
        <v>43596.0</v>
      </c>
      <c r="B251" s="125" t="s">
        <v>1322</v>
      </c>
      <c r="C251" s="125" t="s">
        <v>1323</v>
      </c>
      <c r="D251" s="126">
        <f>+971508851860</f>
        <v>971508851860</v>
      </c>
      <c r="E251" s="61" t="s">
        <v>1301</v>
      </c>
      <c r="F251" s="127" t="s">
        <v>1324</v>
      </c>
      <c r="G251" s="125" t="s">
        <v>1325</v>
      </c>
      <c r="H251" s="124"/>
      <c r="J251" s="124" t="s">
        <v>915</v>
      </c>
    </row>
    <row r="252" ht="15.75" customHeight="1">
      <c r="A252" s="103">
        <v>43596.0</v>
      </c>
      <c r="B252" s="104" t="s">
        <v>1326</v>
      </c>
      <c r="C252" s="104" t="s">
        <v>1327</v>
      </c>
      <c r="D252" s="105">
        <f>+971525667625</f>
        <v>971525667625</v>
      </c>
      <c r="E252" s="60" t="s">
        <v>179</v>
      </c>
      <c r="F252" s="123" t="s">
        <v>1328</v>
      </c>
      <c r="G252" s="104" t="s">
        <v>1329</v>
      </c>
      <c r="H252" s="124"/>
      <c r="I252" s="124"/>
    </row>
    <row r="253" ht="15.75" customHeight="1">
      <c r="A253" s="39">
        <v>43605.0</v>
      </c>
      <c r="B253" s="61" t="s">
        <v>1330</v>
      </c>
      <c r="C253" s="61" t="s">
        <v>1331</v>
      </c>
      <c r="D253" s="80" t="s">
        <v>1332</v>
      </c>
      <c r="E253" s="61" t="s">
        <v>222</v>
      </c>
      <c r="F253" s="44" t="s">
        <v>973</v>
      </c>
      <c r="G253" s="44" t="s">
        <v>1125</v>
      </c>
      <c r="I253" s="44" t="s">
        <v>1125</v>
      </c>
      <c r="J253" s="44" t="s">
        <v>1002</v>
      </c>
    </row>
    <row r="254" ht="15.75" customHeight="1">
      <c r="A254" s="32">
        <v>43605.0</v>
      </c>
      <c r="B254" s="60" t="s">
        <v>11</v>
      </c>
      <c r="C254" s="60" t="s">
        <v>1333</v>
      </c>
      <c r="D254" s="100" t="s">
        <v>1334</v>
      </c>
      <c r="E254" s="60" t="s">
        <v>179</v>
      </c>
      <c r="F254" s="47" t="s">
        <v>1335</v>
      </c>
      <c r="G254" s="47"/>
      <c r="H254" s="47"/>
      <c r="I254" s="60"/>
      <c r="J254" s="47" t="s">
        <v>16</v>
      </c>
    </row>
    <row r="255" ht="15.75" customHeight="1">
      <c r="A255" s="39">
        <v>43605.0</v>
      </c>
      <c r="B255" s="61" t="s">
        <v>1336</v>
      </c>
      <c r="C255" s="61" t="s">
        <v>1337</v>
      </c>
      <c r="D255" s="80" t="s">
        <v>1338</v>
      </c>
      <c r="E255" s="61" t="s">
        <v>212</v>
      </c>
      <c r="F255" s="61" t="s">
        <v>1339</v>
      </c>
      <c r="G255" s="44"/>
    </row>
    <row r="256" ht="15.75" customHeight="1">
      <c r="A256" s="32">
        <v>43605.0</v>
      </c>
      <c r="B256" s="60" t="s">
        <v>40</v>
      </c>
      <c r="C256" s="60" t="s">
        <v>1340</v>
      </c>
      <c r="D256" s="70" t="s">
        <v>42</v>
      </c>
      <c r="E256" s="60" t="s">
        <v>1301</v>
      </c>
      <c r="F256" s="60" t="s">
        <v>54</v>
      </c>
      <c r="G256" s="47" t="s">
        <v>1341</v>
      </c>
      <c r="J256" s="1" t="s">
        <v>16</v>
      </c>
    </row>
    <row r="257" ht="15.75" customHeight="1">
      <c r="A257" s="39">
        <v>43605.0</v>
      </c>
      <c r="B257" s="61" t="s">
        <v>1342</v>
      </c>
      <c r="C257" s="61" t="s">
        <v>36</v>
      </c>
      <c r="D257" s="73" t="s">
        <v>1343</v>
      </c>
      <c r="E257" s="61" t="s">
        <v>222</v>
      </c>
      <c r="F257" s="61" t="s">
        <v>1344</v>
      </c>
      <c r="G257" s="44"/>
      <c r="J257" s="1" t="s">
        <v>16</v>
      </c>
    </row>
    <row r="258" ht="15.75" customHeight="1">
      <c r="A258" s="32"/>
      <c r="B258" s="47"/>
      <c r="C258" s="49"/>
      <c r="D258" s="37"/>
      <c r="F258" s="47"/>
      <c r="G258" s="47"/>
    </row>
    <row r="259" ht="15.75" customHeight="1">
      <c r="A259" s="39"/>
      <c r="B259" s="44"/>
      <c r="C259" s="46"/>
      <c r="D259" s="42"/>
      <c r="F259" s="44"/>
      <c r="G259" s="44"/>
    </row>
    <row r="260" ht="15.75" customHeight="1">
      <c r="A260" s="32"/>
      <c r="B260" s="47"/>
      <c r="C260" s="49"/>
      <c r="D260" s="37"/>
      <c r="F260" s="47"/>
      <c r="G260" s="47"/>
    </row>
    <row r="261" ht="15.75" customHeight="1">
      <c r="A261" s="39"/>
      <c r="B261" s="44"/>
      <c r="C261" s="46"/>
      <c r="D261" s="42"/>
      <c r="F261" s="44"/>
      <c r="G261" s="44"/>
    </row>
    <row r="262" ht="15.75" customHeight="1">
      <c r="A262" s="32"/>
      <c r="B262" s="47"/>
      <c r="C262" s="49"/>
      <c r="D262" s="37"/>
      <c r="E262" s="47"/>
      <c r="F262" s="47"/>
      <c r="G262" s="47"/>
    </row>
    <row r="263" ht="15.75" customHeight="1">
      <c r="A263" s="39"/>
      <c r="B263" s="44"/>
      <c r="C263" s="46"/>
      <c r="D263" s="42"/>
      <c r="E263" s="44"/>
      <c r="F263" s="44"/>
      <c r="G263" s="44"/>
    </row>
    <row r="264" ht="15.75" customHeight="1">
      <c r="A264" s="32"/>
      <c r="B264" s="47"/>
      <c r="C264" s="49"/>
      <c r="D264" s="37"/>
      <c r="E264" s="47"/>
      <c r="F264" s="47"/>
      <c r="G264" s="47"/>
    </row>
    <row r="265" ht="15.75" customHeight="1">
      <c r="A265" s="39"/>
      <c r="B265" s="44"/>
      <c r="C265" s="46"/>
      <c r="D265" s="42"/>
      <c r="E265" s="44"/>
      <c r="F265" s="44"/>
      <c r="G265" s="44"/>
    </row>
    <row r="266" ht="15.75" customHeight="1">
      <c r="A266" s="128"/>
      <c r="B266" s="71"/>
      <c r="C266" s="111"/>
      <c r="D266" s="111"/>
      <c r="E266" s="71"/>
      <c r="F266" s="71"/>
      <c r="G266" s="71"/>
    </row>
    <row r="267" ht="15.75" customHeight="1">
      <c r="A267" s="128"/>
      <c r="B267" s="71"/>
      <c r="C267" s="111"/>
      <c r="D267" s="111"/>
      <c r="E267" s="71"/>
      <c r="F267" s="71"/>
      <c r="G267" s="71"/>
    </row>
    <row r="268" ht="15.75" customHeight="1">
      <c r="A268" s="128"/>
      <c r="B268" s="71"/>
      <c r="C268" s="111"/>
      <c r="D268" s="111"/>
      <c r="E268" s="71"/>
      <c r="F268" s="71"/>
      <c r="G268" s="71"/>
    </row>
    <row r="269" ht="15.75" customHeight="1">
      <c r="A269" s="128"/>
      <c r="B269" s="71"/>
      <c r="C269" s="111"/>
      <c r="D269" s="111"/>
      <c r="E269" s="71"/>
      <c r="F269" s="71"/>
      <c r="G269" s="71"/>
    </row>
    <row r="270" ht="15.75" customHeight="1">
      <c r="A270" s="128"/>
      <c r="B270" s="71"/>
      <c r="C270" s="111"/>
      <c r="D270" s="111"/>
      <c r="E270" s="71"/>
      <c r="F270" s="71"/>
      <c r="G270" s="71"/>
    </row>
    <row r="271" ht="15.75" customHeight="1">
      <c r="A271" s="128"/>
      <c r="B271" s="71"/>
      <c r="C271" s="111"/>
      <c r="D271" s="111"/>
      <c r="E271" s="71"/>
      <c r="F271" s="71"/>
      <c r="G271" s="71"/>
    </row>
    <row r="272" ht="15.75" customHeight="1">
      <c r="A272" s="128"/>
      <c r="B272" s="71"/>
      <c r="C272" s="111"/>
      <c r="D272" s="111"/>
      <c r="E272" s="71"/>
      <c r="F272" s="71"/>
      <c r="G272" s="71"/>
    </row>
    <row r="273" ht="15.75" customHeight="1">
      <c r="A273" s="128"/>
      <c r="B273" s="71"/>
      <c r="C273" s="111"/>
      <c r="D273" s="111"/>
      <c r="E273" s="71"/>
      <c r="F273" s="71"/>
      <c r="G273" s="71"/>
    </row>
    <row r="274" ht="15.75" customHeight="1">
      <c r="A274" s="128"/>
      <c r="B274" s="71"/>
      <c r="C274" s="111"/>
      <c r="D274" s="111"/>
      <c r="E274" s="71"/>
      <c r="F274" s="71"/>
      <c r="G274" s="71"/>
    </row>
    <row r="275" ht="15.75" customHeight="1">
      <c r="A275" s="128"/>
      <c r="B275" s="71"/>
      <c r="C275" s="111"/>
      <c r="D275" s="111"/>
      <c r="E275" s="71"/>
      <c r="F275" s="71"/>
      <c r="G275" s="71"/>
    </row>
    <row r="276" ht="15.75" customHeight="1">
      <c r="A276" s="128"/>
      <c r="B276" s="71"/>
      <c r="C276" s="111"/>
      <c r="D276" s="111"/>
      <c r="E276" s="71"/>
      <c r="F276" s="71"/>
      <c r="G276" s="71"/>
    </row>
    <row r="277" ht="15.75" customHeight="1">
      <c r="A277" s="128"/>
      <c r="B277" s="71"/>
      <c r="C277" s="111"/>
      <c r="D277" s="111"/>
      <c r="E277" s="71"/>
      <c r="F277" s="71"/>
      <c r="G277" s="71"/>
    </row>
    <row r="278" ht="15.75" customHeight="1">
      <c r="A278" s="128"/>
      <c r="B278" s="71"/>
      <c r="C278" s="111"/>
      <c r="D278" s="111"/>
      <c r="E278" s="71"/>
      <c r="F278" s="71"/>
      <c r="G278" s="71"/>
    </row>
    <row r="279" ht="15.75" customHeight="1">
      <c r="A279" s="128"/>
      <c r="B279" s="71"/>
      <c r="C279" s="111"/>
      <c r="D279" s="111"/>
      <c r="E279" s="71"/>
      <c r="F279" s="71"/>
      <c r="G279" s="71"/>
    </row>
    <row r="280" ht="15.75" customHeight="1">
      <c r="A280" s="128"/>
      <c r="B280" s="71"/>
      <c r="C280" s="111"/>
      <c r="D280" s="111"/>
      <c r="E280" s="71"/>
      <c r="F280" s="71"/>
      <c r="G280" s="71"/>
    </row>
    <row r="281" ht="15.75" customHeight="1">
      <c r="A281" s="128"/>
      <c r="B281" s="71"/>
      <c r="C281" s="111"/>
      <c r="D281" s="111"/>
      <c r="E281" s="71"/>
      <c r="F281" s="71"/>
      <c r="G281" s="71"/>
    </row>
    <row r="282" ht="15.75" customHeight="1">
      <c r="A282" s="128"/>
      <c r="B282" s="71"/>
      <c r="C282" s="111"/>
      <c r="D282" s="111"/>
      <c r="E282" s="71"/>
      <c r="F282" s="71"/>
      <c r="G282" s="71"/>
    </row>
    <row r="283" ht="15.75" customHeight="1">
      <c r="A283" s="128"/>
      <c r="B283" s="71"/>
      <c r="C283" s="111"/>
      <c r="D283" s="111"/>
      <c r="E283" s="71"/>
      <c r="F283" s="71"/>
      <c r="G283" s="71"/>
    </row>
    <row r="284" ht="15.75" customHeight="1">
      <c r="A284" s="128"/>
      <c r="B284" s="71"/>
      <c r="C284" s="111"/>
      <c r="D284" s="111"/>
      <c r="E284" s="71"/>
      <c r="F284" s="71"/>
      <c r="G284" s="71"/>
    </row>
    <row r="285" ht="15.75" customHeight="1">
      <c r="A285" s="128"/>
      <c r="B285" s="71"/>
      <c r="C285" s="111"/>
      <c r="D285" s="111"/>
      <c r="E285" s="71"/>
      <c r="F285" s="71"/>
      <c r="G285" s="71"/>
    </row>
    <row r="286" ht="15.75" customHeight="1">
      <c r="A286" s="128"/>
      <c r="B286" s="71"/>
      <c r="C286" s="111"/>
      <c r="D286" s="111"/>
      <c r="E286" s="71"/>
      <c r="F286" s="71"/>
      <c r="G286" s="71"/>
    </row>
    <row r="287" ht="15.75" customHeight="1">
      <c r="A287" s="128"/>
      <c r="B287" s="71"/>
      <c r="C287" s="111"/>
      <c r="D287" s="111"/>
      <c r="E287" s="71"/>
      <c r="F287" s="71"/>
      <c r="G287" s="71"/>
    </row>
    <row r="288" ht="15.75" customHeight="1">
      <c r="A288" s="128"/>
      <c r="B288" s="71"/>
      <c r="C288" s="111"/>
      <c r="D288" s="111"/>
      <c r="E288" s="71"/>
      <c r="F288" s="71"/>
      <c r="G288" s="71"/>
    </row>
    <row r="289" ht="15.75" customHeight="1">
      <c r="A289" s="128"/>
      <c r="B289" s="71"/>
      <c r="C289" s="111"/>
      <c r="D289" s="111"/>
      <c r="E289" s="71"/>
      <c r="F289" s="71"/>
      <c r="G289" s="71"/>
    </row>
    <row r="290" ht="15.75" customHeight="1">
      <c r="A290" s="128"/>
      <c r="B290" s="71"/>
      <c r="C290" s="111"/>
      <c r="D290" s="111"/>
      <c r="E290" s="71"/>
      <c r="F290" s="71"/>
      <c r="G290" s="71"/>
    </row>
    <row r="291" ht="15.75" customHeight="1">
      <c r="A291" s="128"/>
      <c r="B291" s="71"/>
      <c r="C291" s="111"/>
      <c r="D291" s="111"/>
      <c r="E291" s="71"/>
      <c r="F291" s="71"/>
      <c r="G291" s="71"/>
    </row>
    <row r="292" ht="15.75" customHeight="1">
      <c r="A292" s="128"/>
      <c r="B292" s="71"/>
      <c r="C292" s="111"/>
      <c r="D292" s="111"/>
      <c r="E292" s="71"/>
      <c r="F292" s="71"/>
      <c r="G292" s="71"/>
    </row>
    <row r="293" ht="15.75" customHeight="1">
      <c r="A293" s="128"/>
      <c r="B293" s="71"/>
      <c r="C293" s="111"/>
      <c r="D293" s="111"/>
      <c r="E293" s="71"/>
      <c r="F293" s="71"/>
      <c r="G293" s="71"/>
    </row>
    <row r="294" ht="15.75" customHeight="1">
      <c r="A294" s="128"/>
      <c r="B294" s="71"/>
      <c r="C294" s="111"/>
      <c r="D294" s="111"/>
      <c r="E294" s="71"/>
      <c r="F294" s="71"/>
      <c r="G294" s="71"/>
    </row>
    <row r="295" ht="15.75" customHeight="1">
      <c r="A295" s="128"/>
      <c r="B295" s="71"/>
      <c r="C295" s="111"/>
      <c r="D295" s="111"/>
      <c r="E295" s="71"/>
      <c r="F295" s="71"/>
      <c r="G295" s="71"/>
    </row>
    <row r="296" ht="15.75" customHeight="1">
      <c r="A296" s="128"/>
      <c r="B296" s="71"/>
      <c r="C296" s="111"/>
      <c r="D296" s="111"/>
      <c r="E296" s="71"/>
      <c r="F296" s="71"/>
      <c r="G296" s="71"/>
    </row>
    <row r="297" ht="15.75" customHeight="1">
      <c r="A297" s="128"/>
      <c r="B297" s="71"/>
      <c r="C297" s="111"/>
      <c r="D297" s="111"/>
      <c r="E297" s="71"/>
      <c r="F297" s="71"/>
      <c r="G297" s="71"/>
    </row>
    <row r="298" ht="15.75" customHeight="1">
      <c r="A298" s="128"/>
      <c r="B298" s="71"/>
      <c r="C298" s="111"/>
      <c r="D298" s="111"/>
      <c r="E298" s="71"/>
      <c r="F298" s="71"/>
      <c r="G298" s="71"/>
    </row>
    <row r="299" ht="15.75" customHeight="1">
      <c r="A299" s="128"/>
      <c r="B299" s="71"/>
      <c r="C299" s="111"/>
      <c r="D299" s="111"/>
      <c r="E299" s="71"/>
      <c r="F299" s="71"/>
      <c r="G299" s="71"/>
    </row>
    <row r="300" ht="15.75" customHeight="1">
      <c r="A300" s="128"/>
      <c r="B300" s="71"/>
      <c r="C300" s="111"/>
      <c r="D300" s="111"/>
      <c r="E300" s="71"/>
      <c r="F300" s="71"/>
      <c r="G300" s="71"/>
    </row>
    <row r="301" ht="15.75" customHeight="1">
      <c r="A301" s="128"/>
      <c r="B301" s="71"/>
      <c r="C301" s="111"/>
      <c r="D301" s="111"/>
      <c r="E301" s="71"/>
      <c r="F301" s="71"/>
      <c r="G301" s="71"/>
    </row>
    <row r="302" ht="15.75" customHeight="1">
      <c r="A302" s="128"/>
      <c r="B302" s="71"/>
      <c r="C302" s="111"/>
      <c r="D302" s="111"/>
      <c r="E302" s="71"/>
      <c r="F302" s="71"/>
      <c r="G302" s="71"/>
    </row>
    <row r="303" ht="15.75" customHeight="1">
      <c r="A303" s="128"/>
      <c r="B303" s="71"/>
      <c r="C303" s="111"/>
      <c r="D303" s="111"/>
      <c r="E303" s="71"/>
      <c r="F303" s="71"/>
      <c r="G303" s="71"/>
    </row>
    <row r="304" ht="15.75" customHeight="1">
      <c r="A304" s="128"/>
      <c r="B304" s="71"/>
      <c r="C304" s="111"/>
      <c r="D304" s="111"/>
      <c r="E304" s="71"/>
      <c r="F304" s="71"/>
      <c r="G304" s="71"/>
    </row>
    <row r="305" ht="15.75" customHeight="1">
      <c r="A305" s="128"/>
      <c r="B305" s="71"/>
      <c r="C305" s="111"/>
      <c r="D305" s="111"/>
      <c r="E305" s="71"/>
      <c r="F305" s="71"/>
      <c r="G305" s="71"/>
    </row>
    <row r="306" ht="15.75" customHeight="1">
      <c r="A306" s="128"/>
      <c r="B306" s="71"/>
      <c r="C306" s="111"/>
      <c r="D306" s="111"/>
      <c r="E306" s="71"/>
      <c r="F306" s="71"/>
      <c r="G306" s="71"/>
    </row>
    <row r="307" ht="15.75" customHeight="1">
      <c r="A307" s="128"/>
      <c r="B307" s="71"/>
      <c r="C307" s="111"/>
      <c r="D307" s="111"/>
      <c r="E307" s="71"/>
      <c r="F307" s="71"/>
      <c r="G307" s="71"/>
    </row>
    <row r="308" ht="15.75" customHeight="1">
      <c r="A308" s="128"/>
      <c r="B308" s="71"/>
      <c r="C308" s="111"/>
      <c r="D308" s="111"/>
      <c r="E308" s="71"/>
      <c r="F308" s="71"/>
      <c r="G308" s="71"/>
    </row>
    <row r="309" ht="15.75" customHeight="1">
      <c r="A309" s="128"/>
      <c r="B309" s="71"/>
      <c r="C309" s="111"/>
      <c r="D309" s="111"/>
      <c r="E309" s="71"/>
      <c r="F309" s="71"/>
      <c r="G309" s="71"/>
    </row>
    <row r="310" ht="15.75" customHeight="1">
      <c r="A310" s="128"/>
      <c r="B310" s="71"/>
      <c r="C310" s="111"/>
      <c r="D310" s="111"/>
      <c r="E310" s="71"/>
      <c r="F310" s="71"/>
      <c r="G310" s="71"/>
    </row>
    <row r="311" ht="15.75" customHeight="1">
      <c r="A311" s="128"/>
      <c r="B311" s="71"/>
      <c r="C311" s="111"/>
      <c r="D311" s="111"/>
      <c r="E311" s="71"/>
      <c r="F311" s="71"/>
      <c r="G311" s="71"/>
    </row>
    <row r="312" ht="15.75" customHeight="1">
      <c r="A312" s="128"/>
      <c r="B312" s="71"/>
      <c r="C312" s="111"/>
      <c r="D312" s="111"/>
      <c r="E312" s="71"/>
      <c r="F312" s="71"/>
      <c r="G312" s="71"/>
    </row>
    <row r="313" ht="15.75" customHeight="1">
      <c r="A313" s="128"/>
      <c r="B313" s="71"/>
      <c r="C313" s="111"/>
      <c r="D313" s="111"/>
      <c r="E313" s="71"/>
      <c r="F313" s="71"/>
      <c r="G313" s="71"/>
    </row>
    <row r="314" ht="15.75" customHeight="1">
      <c r="A314" s="128"/>
      <c r="B314" s="71"/>
      <c r="C314" s="111"/>
      <c r="D314" s="111"/>
      <c r="E314" s="71"/>
      <c r="F314" s="71"/>
      <c r="G314" s="71"/>
    </row>
    <row r="315" ht="15.75" customHeight="1">
      <c r="A315" s="128"/>
      <c r="B315" s="71"/>
      <c r="C315" s="111"/>
      <c r="D315" s="111"/>
      <c r="E315" s="71"/>
      <c r="F315" s="71"/>
      <c r="G315" s="71"/>
    </row>
    <row r="316" ht="15.75" customHeight="1">
      <c r="A316" s="128"/>
      <c r="B316" s="71"/>
      <c r="C316" s="111"/>
      <c r="D316" s="111"/>
      <c r="E316" s="71"/>
      <c r="F316" s="71"/>
      <c r="G316" s="71"/>
    </row>
    <row r="317" ht="15.75" customHeight="1">
      <c r="A317" s="128"/>
      <c r="B317" s="71"/>
      <c r="C317" s="111"/>
      <c r="D317" s="111"/>
      <c r="E317" s="71"/>
      <c r="F317" s="71"/>
      <c r="G317" s="71"/>
    </row>
    <row r="318" ht="15.75" customHeight="1">
      <c r="A318" s="128"/>
      <c r="B318" s="71"/>
      <c r="C318" s="111"/>
      <c r="D318" s="111"/>
      <c r="E318" s="71"/>
      <c r="F318" s="71"/>
      <c r="G318" s="71"/>
    </row>
    <row r="319" ht="15.75" customHeight="1">
      <c r="A319" s="128"/>
      <c r="B319" s="71"/>
      <c r="C319" s="111"/>
      <c r="D319" s="111"/>
      <c r="E319" s="71"/>
      <c r="F319" s="71"/>
      <c r="G319" s="71"/>
    </row>
    <row r="320" ht="15.75" customHeight="1">
      <c r="A320" s="128"/>
      <c r="B320" s="71"/>
      <c r="C320" s="111"/>
      <c r="D320" s="111"/>
      <c r="E320" s="71"/>
      <c r="F320" s="71"/>
      <c r="G320" s="71"/>
    </row>
    <row r="321" ht="15.75" customHeight="1">
      <c r="A321" s="128"/>
      <c r="B321" s="71"/>
      <c r="C321" s="111"/>
      <c r="D321" s="111"/>
      <c r="E321" s="71"/>
      <c r="F321" s="71"/>
      <c r="G321" s="71"/>
    </row>
    <row r="322" ht="15.75" customHeight="1">
      <c r="A322" s="128"/>
      <c r="B322" s="71"/>
      <c r="C322" s="111"/>
      <c r="D322" s="111"/>
      <c r="E322" s="71"/>
      <c r="F322" s="71"/>
      <c r="G322" s="71"/>
    </row>
    <row r="323" ht="15.75" customHeight="1">
      <c r="A323" s="128"/>
      <c r="B323" s="71"/>
      <c r="C323" s="111"/>
      <c r="D323" s="111"/>
      <c r="E323" s="71"/>
      <c r="F323" s="71"/>
      <c r="G323" s="71"/>
    </row>
    <row r="324" ht="15.75" customHeight="1">
      <c r="A324" s="128"/>
      <c r="B324" s="71"/>
      <c r="C324" s="111"/>
      <c r="D324" s="111"/>
      <c r="E324" s="71"/>
      <c r="F324" s="71"/>
      <c r="G324" s="71"/>
    </row>
    <row r="325" ht="15.75" customHeight="1">
      <c r="A325" s="128"/>
      <c r="B325" s="71"/>
      <c r="C325" s="111"/>
      <c r="D325" s="111"/>
      <c r="E325" s="71"/>
      <c r="F325" s="71"/>
      <c r="G325" s="71"/>
    </row>
    <row r="326" ht="15.75" customHeight="1">
      <c r="A326" s="128"/>
      <c r="B326" s="71"/>
      <c r="C326" s="111"/>
      <c r="D326" s="111"/>
      <c r="E326" s="71"/>
      <c r="F326" s="71"/>
      <c r="G326" s="71"/>
    </row>
    <row r="327" ht="15.75" customHeight="1">
      <c r="A327" s="128"/>
      <c r="B327" s="71"/>
      <c r="C327" s="111"/>
      <c r="D327" s="111"/>
      <c r="E327" s="71"/>
      <c r="F327" s="71"/>
      <c r="G327" s="71"/>
    </row>
    <row r="328" ht="15.75" customHeight="1">
      <c r="A328" s="128"/>
      <c r="B328" s="71"/>
      <c r="C328" s="111"/>
      <c r="D328" s="111"/>
      <c r="E328" s="71"/>
      <c r="F328" s="71"/>
      <c r="G328" s="71"/>
    </row>
    <row r="329" ht="15.75" customHeight="1">
      <c r="A329" s="128"/>
      <c r="B329" s="71"/>
      <c r="C329" s="111"/>
      <c r="D329" s="111"/>
      <c r="E329" s="71"/>
      <c r="F329" s="71"/>
      <c r="G329" s="71"/>
    </row>
    <row r="330" ht="15.75" customHeight="1">
      <c r="A330" s="128"/>
      <c r="B330" s="71"/>
      <c r="C330" s="111"/>
      <c r="D330" s="111"/>
      <c r="E330" s="71"/>
      <c r="F330" s="71"/>
      <c r="G330" s="71"/>
    </row>
    <row r="331" ht="15.75" customHeight="1">
      <c r="A331" s="128"/>
      <c r="B331" s="71"/>
      <c r="C331" s="111"/>
      <c r="D331" s="111"/>
      <c r="E331" s="71"/>
      <c r="F331" s="71"/>
      <c r="G331" s="71"/>
    </row>
    <row r="332" ht="15.75" customHeight="1">
      <c r="A332" s="128"/>
      <c r="B332" s="71"/>
      <c r="C332" s="111"/>
      <c r="D332" s="111"/>
      <c r="E332" s="71"/>
      <c r="F332" s="71"/>
      <c r="G332" s="71"/>
    </row>
    <row r="333" ht="15.75" customHeight="1">
      <c r="A333" s="128"/>
      <c r="B333" s="71"/>
      <c r="C333" s="111"/>
      <c r="D333" s="111"/>
      <c r="E333" s="71"/>
      <c r="F333" s="71"/>
      <c r="G333" s="71"/>
    </row>
    <row r="334" ht="15.75" customHeight="1">
      <c r="A334" s="128"/>
      <c r="B334" s="71"/>
      <c r="C334" s="111"/>
      <c r="D334" s="111"/>
      <c r="E334" s="71"/>
      <c r="F334" s="71"/>
      <c r="G334" s="71"/>
    </row>
    <row r="335" ht="15.75" customHeight="1">
      <c r="A335" s="128"/>
      <c r="B335" s="71"/>
      <c r="C335" s="111"/>
      <c r="D335" s="111"/>
      <c r="E335" s="71"/>
      <c r="F335" s="71"/>
      <c r="G335" s="71"/>
    </row>
    <row r="336" ht="15.75" customHeight="1">
      <c r="A336" s="128"/>
      <c r="B336" s="71"/>
      <c r="C336" s="111"/>
      <c r="D336" s="111"/>
      <c r="E336" s="71"/>
      <c r="F336" s="71"/>
      <c r="G336" s="71"/>
    </row>
    <row r="337" ht="15.75" customHeight="1">
      <c r="A337" s="128"/>
      <c r="B337" s="71"/>
      <c r="C337" s="111"/>
      <c r="D337" s="111"/>
      <c r="E337" s="71"/>
      <c r="F337" s="71"/>
      <c r="G337" s="71"/>
    </row>
    <row r="338" ht="15.75" customHeight="1">
      <c r="A338" s="128"/>
      <c r="B338" s="71"/>
      <c r="C338" s="111"/>
      <c r="D338" s="111"/>
      <c r="E338" s="71"/>
      <c r="F338" s="71"/>
      <c r="G338" s="71"/>
    </row>
    <row r="339" ht="15.75" customHeight="1">
      <c r="A339" s="128"/>
      <c r="B339" s="71"/>
      <c r="C339" s="111"/>
      <c r="D339" s="111"/>
      <c r="E339" s="71"/>
      <c r="F339" s="71"/>
      <c r="G339" s="71"/>
    </row>
    <row r="340" ht="15.75" customHeight="1">
      <c r="A340" s="128"/>
      <c r="B340" s="71"/>
      <c r="C340" s="111"/>
      <c r="D340" s="111"/>
      <c r="E340" s="71"/>
      <c r="F340" s="71"/>
      <c r="G340" s="71"/>
    </row>
    <row r="341" ht="15.75" customHeight="1">
      <c r="A341" s="128"/>
      <c r="B341" s="71"/>
      <c r="C341" s="111"/>
      <c r="D341" s="111"/>
      <c r="E341" s="71"/>
      <c r="F341" s="71"/>
      <c r="G341" s="71"/>
    </row>
    <row r="342" ht="15.75" customHeight="1">
      <c r="A342" s="128"/>
      <c r="B342" s="71"/>
      <c r="C342" s="111"/>
      <c r="D342" s="111"/>
      <c r="E342" s="71"/>
      <c r="F342" s="71"/>
      <c r="G342" s="71"/>
    </row>
    <row r="343" ht="15.75" customHeight="1">
      <c r="A343" s="128"/>
      <c r="B343" s="71"/>
      <c r="C343" s="111"/>
      <c r="D343" s="111"/>
      <c r="E343" s="71"/>
      <c r="F343" s="71"/>
      <c r="G343" s="71"/>
    </row>
    <row r="344" ht="15.75" customHeight="1">
      <c r="A344" s="128"/>
      <c r="B344" s="71"/>
      <c r="C344" s="111"/>
      <c r="D344" s="111"/>
      <c r="E344" s="71"/>
      <c r="F344" s="71"/>
      <c r="G344" s="71"/>
    </row>
    <row r="345" ht="15.75" customHeight="1">
      <c r="A345" s="128"/>
      <c r="B345" s="71"/>
      <c r="C345" s="111"/>
      <c r="D345" s="111"/>
      <c r="E345" s="71"/>
      <c r="F345" s="71"/>
      <c r="G345" s="71"/>
    </row>
    <row r="346" ht="15.75" customHeight="1">
      <c r="A346" s="128"/>
      <c r="B346" s="71"/>
      <c r="C346" s="111"/>
      <c r="D346" s="111"/>
      <c r="E346" s="71"/>
      <c r="F346" s="71"/>
      <c r="G346" s="71"/>
    </row>
    <row r="347" ht="15.75" customHeight="1">
      <c r="A347" s="128"/>
      <c r="B347" s="71"/>
      <c r="C347" s="111"/>
      <c r="D347" s="111"/>
      <c r="E347" s="71"/>
      <c r="F347" s="71"/>
      <c r="G347" s="71"/>
    </row>
    <row r="348" ht="15.75" customHeight="1">
      <c r="A348" s="128"/>
      <c r="B348" s="71"/>
      <c r="C348" s="111"/>
      <c r="D348" s="111"/>
      <c r="E348" s="71"/>
      <c r="F348" s="71"/>
      <c r="G348" s="71"/>
    </row>
    <row r="349" ht="15.75" customHeight="1">
      <c r="A349" s="128"/>
      <c r="B349" s="71"/>
      <c r="C349" s="111"/>
      <c r="D349" s="111"/>
      <c r="E349" s="71"/>
      <c r="F349" s="71"/>
      <c r="G349" s="71"/>
    </row>
    <row r="350" ht="15.75" customHeight="1">
      <c r="A350" s="128"/>
      <c r="B350" s="71"/>
      <c r="C350" s="111"/>
      <c r="D350" s="111"/>
      <c r="E350" s="71"/>
      <c r="F350" s="71"/>
      <c r="G350" s="71"/>
    </row>
    <row r="351" ht="15.75" customHeight="1">
      <c r="A351" s="128"/>
      <c r="B351" s="71"/>
      <c r="C351" s="111"/>
      <c r="D351" s="111"/>
      <c r="E351" s="71"/>
      <c r="F351" s="71"/>
      <c r="G351" s="71"/>
    </row>
    <row r="352" ht="15.75" customHeight="1">
      <c r="A352" s="128"/>
      <c r="B352" s="71"/>
      <c r="C352" s="111"/>
      <c r="D352" s="111"/>
      <c r="E352" s="71"/>
      <c r="F352" s="71"/>
      <c r="G352" s="71"/>
    </row>
    <row r="353" ht="15.75" customHeight="1">
      <c r="A353" s="128"/>
      <c r="B353" s="71"/>
      <c r="C353" s="111"/>
      <c r="D353" s="111"/>
      <c r="E353" s="71"/>
      <c r="F353" s="71"/>
      <c r="G353" s="71"/>
    </row>
    <row r="354" ht="15.75" customHeight="1">
      <c r="A354" s="128"/>
      <c r="B354" s="71"/>
      <c r="C354" s="111"/>
      <c r="D354" s="111"/>
      <c r="E354" s="71"/>
      <c r="F354" s="71"/>
      <c r="G354" s="71"/>
    </row>
    <row r="355" ht="15.75" customHeight="1">
      <c r="A355" s="128"/>
      <c r="B355" s="71"/>
      <c r="C355" s="111"/>
      <c r="D355" s="111"/>
      <c r="E355" s="71"/>
      <c r="F355" s="71"/>
      <c r="G355" s="71"/>
    </row>
    <row r="356" ht="15.75" customHeight="1">
      <c r="A356" s="128"/>
      <c r="B356" s="71"/>
      <c r="C356" s="111"/>
      <c r="D356" s="111"/>
      <c r="E356" s="71"/>
      <c r="F356" s="71"/>
      <c r="G356" s="71"/>
    </row>
    <row r="357" ht="15.75" customHeight="1">
      <c r="A357" s="128"/>
      <c r="B357" s="71"/>
      <c r="C357" s="111"/>
      <c r="D357" s="111"/>
      <c r="E357" s="71"/>
      <c r="F357" s="71"/>
      <c r="G357" s="71"/>
    </row>
    <row r="358" ht="15.75" customHeight="1">
      <c r="A358" s="128"/>
      <c r="B358" s="71"/>
      <c r="C358" s="111"/>
      <c r="D358" s="111"/>
      <c r="E358" s="71"/>
      <c r="F358" s="71"/>
      <c r="G358" s="71"/>
    </row>
    <row r="359" ht="15.75" customHeight="1">
      <c r="A359" s="128"/>
      <c r="B359" s="71"/>
      <c r="C359" s="111"/>
      <c r="D359" s="111"/>
      <c r="E359" s="71"/>
      <c r="F359" s="71"/>
      <c r="G359" s="71"/>
    </row>
    <row r="360" ht="15.75" customHeight="1">
      <c r="A360" s="128"/>
      <c r="B360" s="71"/>
      <c r="C360" s="111"/>
      <c r="D360" s="111"/>
      <c r="E360" s="71"/>
      <c r="F360" s="71"/>
      <c r="G360" s="71"/>
    </row>
    <row r="361" ht="15.75" customHeight="1">
      <c r="A361" s="128"/>
      <c r="B361" s="71"/>
      <c r="C361" s="111"/>
      <c r="D361" s="111"/>
      <c r="E361" s="71"/>
      <c r="F361" s="71"/>
      <c r="G361" s="71"/>
    </row>
    <row r="362" ht="15.75" customHeight="1">
      <c r="A362" s="128"/>
      <c r="B362" s="71"/>
      <c r="C362" s="111"/>
      <c r="D362" s="111"/>
      <c r="E362" s="71"/>
      <c r="F362" s="71"/>
      <c r="G362" s="71"/>
    </row>
    <row r="363" ht="15.75" customHeight="1">
      <c r="A363" s="128"/>
      <c r="B363" s="71"/>
      <c r="C363" s="111"/>
      <c r="D363" s="111"/>
      <c r="E363" s="71"/>
      <c r="F363" s="71"/>
      <c r="G363" s="71"/>
    </row>
    <row r="364" ht="15.75" customHeight="1">
      <c r="A364" s="128"/>
      <c r="B364" s="71"/>
      <c r="C364" s="111"/>
      <c r="D364" s="111"/>
      <c r="E364" s="71"/>
      <c r="F364" s="71"/>
      <c r="G364" s="71"/>
    </row>
    <row r="365" ht="15.75" customHeight="1">
      <c r="A365" s="128"/>
      <c r="B365" s="71"/>
      <c r="C365" s="111"/>
      <c r="D365" s="111"/>
      <c r="E365" s="71"/>
      <c r="F365" s="71"/>
      <c r="G365" s="71"/>
    </row>
    <row r="366" ht="15.75" customHeight="1">
      <c r="A366" s="128"/>
      <c r="B366" s="71"/>
      <c r="C366" s="111"/>
      <c r="D366" s="111"/>
      <c r="E366" s="71"/>
      <c r="F366" s="71"/>
      <c r="G366" s="71"/>
    </row>
    <row r="367" ht="15.75" customHeight="1">
      <c r="A367" s="128"/>
      <c r="B367" s="71"/>
      <c r="C367" s="111"/>
      <c r="D367" s="111"/>
      <c r="E367" s="71"/>
      <c r="F367" s="71"/>
      <c r="G367" s="71"/>
    </row>
    <row r="368" ht="15.75" customHeight="1">
      <c r="A368" s="128"/>
      <c r="B368" s="71"/>
      <c r="C368" s="111"/>
      <c r="D368" s="111"/>
      <c r="E368" s="71"/>
      <c r="F368" s="71"/>
      <c r="G368" s="71"/>
    </row>
    <row r="369" ht="15.75" customHeight="1">
      <c r="A369" s="128"/>
      <c r="B369" s="71"/>
      <c r="C369" s="111"/>
      <c r="D369" s="111"/>
      <c r="E369" s="71"/>
      <c r="F369" s="71"/>
      <c r="G369" s="71"/>
    </row>
    <row r="370" ht="15.75" customHeight="1">
      <c r="A370" s="128"/>
      <c r="B370" s="71"/>
      <c r="C370" s="111"/>
      <c r="D370" s="111"/>
      <c r="E370" s="71"/>
      <c r="F370" s="71"/>
      <c r="G370" s="71"/>
    </row>
    <row r="371" ht="15.75" customHeight="1">
      <c r="A371" s="128"/>
      <c r="B371" s="71"/>
      <c r="C371" s="111"/>
      <c r="D371" s="111"/>
      <c r="E371" s="71"/>
      <c r="F371" s="71"/>
      <c r="G371" s="71"/>
    </row>
    <row r="372" ht="15.75" customHeight="1">
      <c r="A372" s="128"/>
      <c r="B372" s="71"/>
      <c r="C372" s="111"/>
      <c r="D372" s="111"/>
      <c r="E372" s="71"/>
      <c r="F372" s="71"/>
      <c r="G372" s="71"/>
    </row>
    <row r="373" ht="15.75" customHeight="1">
      <c r="A373" s="128"/>
      <c r="B373" s="71"/>
      <c r="C373" s="111"/>
      <c r="D373" s="111"/>
      <c r="E373" s="71"/>
      <c r="F373" s="71"/>
      <c r="G373" s="71"/>
    </row>
    <row r="374" ht="15.75" customHeight="1">
      <c r="A374" s="128"/>
      <c r="B374" s="71"/>
      <c r="C374" s="111"/>
      <c r="D374" s="111"/>
      <c r="E374" s="71"/>
      <c r="F374" s="71"/>
      <c r="G374" s="71"/>
    </row>
    <row r="375" ht="15.75" customHeight="1">
      <c r="A375" s="128"/>
      <c r="B375" s="71"/>
      <c r="C375" s="111"/>
      <c r="D375" s="111"/>
      <c r="E375" s="71"/>
      <c r="F375" s="71"/>
      <c r="G375" s="71"/>
    </row>
    <row r="376" ht="15.75" customHeight="1">
      <c r="A376" s="128"/>
      <c r="B376" s="71"/>
      <c r="C376" s="111"/>
      <c r="D376" s="111"/>
      <c r="E376" s="71"/>
      <c r="F376" s="71"/>
      <c r="G376" s="71"/>
    </row>
    <row r="377" ht="15.75" customHeight="1">
      <c r="A377" s="128"/>
      <c r="B377" s="71"/>
      <c r="C377" s="111"/>
      <c r="D377" s="111"/>
      <c r="E377" s="71"/>
      <c r="F377" s="71"/>
      <c r="G377" s="71"/>
    </row>
    <row r="378" ht="15.75" customHeight="1">
      <c r="A378" s="128"/>
      <c r="B378" s="71"/>
      <c r="C378" s="111"/>
      <c r="D378" s="111"/>
      <c r="E378" s="71"/>
      <c r="F378" s="71"/>
      <c r="G378" s="71"/>
    </row>
    <row r="379" ht="15.75" customHeight="1">
      <c r="A379" s="128"/>
      <c r="B379" s="71"/>
      <c r="C379" s="111"/>
      <c r="D379" s="111"/>
      <c r="E379" s="71"/>
      <c r="F379" s="71"/>
      <c r="G379" s="71"/>
    </row>
    <row r="380" ht="15.75" customHeight="1">
      <c r="A380" s="128"/>
      <c r="B380" s="71"/>
      <c r="C380" s="111"/>
      <c r="D380" s="111"/>
      <c r="E380" s="71"/>
      <c r="F380" s="71"/>
      <c r="G380" s="71"/>
    </row>
    <row r="381" ht="15.75" customHeight="1">
      <c r="A381" s="128"/>
      <c r="B381" s="71"/>
      <c r="C381" s="111"/>
      <c r="D381" s="111"/>
      <c r="E381" s="71"/>
      <c r="F381" s="71"/>
      <c r="G381" s="71"/>
    </row>
    <row r="382" ht="15.75" customHeight="1">
      <c r="A382" s="128"/>
      <c r="B382" s="71"/>
      <c r="C382" s="111"/>
      <c r="D382" s="111"/>
      <c r="E382" s="71"/>
      <c r="F382" s="71"/>
      <c r="G382" s="71"/>
    </row>
    <row r="383" ht="15.75" customHeight="1">
      <c r="A383" s="128"/>
      <c r="B383" s="71"/>
      <c r="C383" s="111"/>
      <c r="D383" s="111"/>
      <c r="E383" s="71"/>
      <c r="F383" s="71"/>
      <c r="G383" s="71"/>
    </row>
    <row r="384" ht="15.75" customHeight="1">
      <c r="A384" s="128"/>
      <c r="B384" s="71"/>
      <c r="C384" s="111"/>
      <c r="D384" s="111"/>
      <c r="E384" s="71"/>
      <c r="F384" s="71"/>
      <c r="G384" s="71"/>
    </row>
    <row r="385" ht="15.75" customHeight="1">
      <c r="A385" s="128"/>
      <c r="B385" s="71"/>
      <c r="C385" s="111"/>
      <c r="D385" s="111"/>
      <c r="E385" s="71"/>
      <c r="F385" s="71"/>
      <c r="G385" s="71"/>
    </row>
    <row r="386" ht="15.75" customHeight="1">
      <c r="A386" s="128"/>
      <c r="B386" s="71"/>
      <c r="C386" s="111"/>
      <c r="D386" s="111"/>
      <c r="E386" s="71"/>
      <c r="F386" s="71"/>
      <c r="G386" s="71"/>
    </row>
    <row r="387" ht="15.75" customHeight="1">
      <c r="A387" s="128"/>
      <c r="B387" s="71"/>
      <c r="C387" s="111"/>
      <c r="D387" s="111"/>
      <c r="E387" s="71"/>
      <c r="F387" s="71"/>
      <c r="G387" s="71"/>
    </row>
    <row r="388" ht="15.75" customHeight="1">
      <c r="A388" s="128"/>
      <c r="B388" s="71"/>
      <c r="C388" s="111"/>
      <c r="D388" s="111"/>
      <c r="E388" s="71"/>
      <c r="F388" s="71"/>
      <c r="G388" s="71"/>
    </row>
    <row r="389" ht="15.75" customHeight="1">
      <c r="A389" s="128"/>
      <c r="B389" s="71"/>
      <c r="C389" s="111"/>
      <c r="D389" s="111"/>
      <c r="E389" s="71"/>
      <c r="F389" s="71"/>
      <c r="G389" s="71"/>
    </row>
    <row r="390" ht="15.75" customHeight="1">
      <c r="A390" s="128"/>
      <c r="B390" s="71"/>
      <c r="C390" s="111"/>
      <c r="D390" s="111"/>
      <c r="E390" s="71"/>
      <c r="F390" s="71"/>
      <c r="G390" s="71"/>
    </row>
    <row r="391" ht="15.75" customHeight="1">
      <c r="A391" s="128"/>
      <c r="B391" s="71"/>
      <c r="C391" s="111"/>
      <c r="D391" s="111"/>
      <c r="E391" s="71"/>
      <c r="F391" s="71"/>
      <c r="G391" s="71"/>
    </row>
    <row r="392" ht="15.75" customHeight="1">
      <c r="A392" s="128"/>
      <c r="B392" s="71"/>
      <c r="C392" s="111"/>
      <c r="D392" s="111"/>
      <c r="E392" s="71"/>
      <c r="F392" s="71"/>
      <c r="G392" s="71"/>
    </row>
    <row r="393" ht="15.75" customHeight="1">
      <c r="A393" s="128"/>
      <c r="B393" s="71"/>
      <c r="C393" s="111"/>
      <c r="D393" s="111"/>
      <c r="E393" s="71"/>
      <c r="F393" s="71"/>
      <c r="G393" s="71"/>
    </row>
    <row r="394" ht="15.75" customHeight="1">
      <c r="A394" s="128"/>
      <c r="B394" s="71"/>
      <c r="C394" s="111"/>
      <c r="D394" s="111"/>
      <c r="E394" s="71"/>
      <c r="F394" s="71"/>
      <c r="G394" s="71"/>
    </row>
    <row r="395" ht="15.75" customHeight="1">
      <c r="A395" s="128"/>
      <c r="B395" s="71"/>
      <c r="C395" s="111"/>
      <c r="D395" s="111"/>
      <c r="E395" s="71"/>
      <c r="F395" s="71"/>
      <c r="G395" s="71"/>
    </row>
    <row r="396" ht="15.75" customHeight="1">
      <c r="A396" s="128"/>
      <c r="B396" s="71"/>
      <c r="C396" s="111"/>
      <c r="D396" s="111"/>
      <c r="E396" s="71"/>
      <c r="F396" s="71"/>
      <c r="G396" s="71"/>
    </row>
    <row r="397" ht="15.75" customHeight="1">
      <c r="A397" s="128"/>
      <c r="B397" s="71"/>
      <c r="C397" s="111"/>
      <c r="D397" s="111"/>
      <c r="E397" s="71"/>
      <c r="F397" s="71"/>
      <c r="G397" s="71"/>
    </row>
    <row r="398" ht="15.75" customHeight="1">
      <c r="A398" s="128"/>
      <c r="B398" s="71"/>
      <c r="C398" s="111"/>
      <c r="D398" s="111"/>
      <c r="E398" s="71"/>
      <c r="F398" s="71"/>
      <c r="G398" s="71"/>
    </row>
    <row r="399" ht="15.75" customHeight="1">
      <c r="A399" s="128"/>
      <c r="B399" s="71"/>
      <c r="C399" s="111"/>
      <c r="D399" s="111"/>
      <c r="E399" s="71"/>
      <c r="F399" s="71"/>
      <c r="G399" s="71"/>
    </row>
    <row r="400" ht="15.75" customHeight="1">
      <c r="A400" s="128"/>
      <c r="B400" s="71"/>
      <c r="C400" s="111"/>
      <c r="D400" s="111"/>
      <c r="E400" s="71"/>
      <c r="F400" s="71"/>
      <c r="G400" s="71"/>
    </row>
    <row r="401" ht="15.75" customHeight="1">
      <c r="A401" s="128"/>
      <c r="B401" s="71"/>
      <c r="C401" s="111"/>
      <c r="D401" s="111"/>
      <c r="E401" s="71"/>
      <c r="F401" s="71"/>
      <c r="G401" s="71"/>
    </row>
    <row r="402" ht="15.75" customHeight="1">
      <c r="A402" s="128"/>
      <c r="B402" s="71"/>
      <c r="C402" s="111"/>
      <c r="D402" s="111"/>
      <c r="E402" s="71"/>
      <c r="F402" s="71"/>
      <c r="G402" s="71"/>
    </row>
    <row r="403" ht="15.75" customHeight="1">
      <c r="A403" s="128"/>
      <c r="B403" s="71"/>
      <c r="C403" s="111"/>
      <c r="D403" s="111"/>
      <c r="E403" s="71"/>
      <c r="F403" s="71"/>
      <c r="G403" s="71"/>
    </row>
    <row r="404" ht="15.75" customHeight="1">
      <c r="A404" s="128"/>
      <c r="B404" s="71"/>
      <c r="C404" s="111"/>
      <c r="D404" s="111"/>
      <c r="E404" s="71"/>
      <c r="F404" s="71"/>
      <c r="G404" s="71"/>
    </row>
    <row r="405" ht="15.75" customHeight="1">
      <c r="A405" s="128"/>
      <c r="B405" s="71"/>
      <c r="C405" s="111"/>
      <c r="D405" s="111"/>
      <c r="E405" s="71"/>
      <c r="F405" s="71"/>
      <c r="G405" s="71"/>
    </row>
    <row r="406" ht="15.75" customHeight="1">
      <c r="A406" s="128"/>
      <c r="B406" s="71"/>
      <c r="C406" s="111"/>
      <c r="D406" s="111"/>
      <c r="E406" s="71"/>
      <c r="F406" s="71"/>
      <c r="G406" s="71"/>
    </row>
    <row r="407" ht="15.75" customHeight="1">
      <c r="A407" s="128"/>
      <c r="B407" s="71"/>
      <c r="C407" s="111"/>
      <c r="D407" s="111"/>
      <c r="E407" s="71"/>
      <c r="F407" s="71"/>
      <c r="G407" s="71"/>
    </row>
    <row r="408" ht="15.75" customHeight="1">
      <c r="A408" s="128"/>
      <c r="B408" s="71"/>
      <c r="C408" s="111"/>
      <c r="D408" s="111"/>
      <c r="E408" s="71"/>
      <c r="F408" s="71"/>
      <c r="G408" s="71"/>
    </row>
    <row r="409" ht="15.75" customHeight="1">
      <c r="A409" s="128"/>
      <c r="B409" s="71"/>
      <c r="C409" s="111"/>
      <c r="D409" s="111"/>
      <c r="E409" s="71"/>
      <c r="F409" s="71"/>
      <c r="G409" s="71"/>
    </row>
    <row r="410" ht="15.75" customHeight="1">
      <c r="A410" s="128"/>
      <c r="B410" s="71"/>
      <c r="C410" s="111"/>
      <c r="D410" s="111"/>
      <c r="E410" s="71"/>
      <c r="F410" s="71"/>
      <c r="G410" s="71"/>
    </row>
    <row r="411" ht="15.75" customHeight="1">
      <c r="A411" s="128"/>
      <c r="B411" s="71"/>
      <c r="C411" s="111"/>
      <c r="D411" s="111"/>
      <c r="E411" s="71"/>
      <c r="F411" s="71"/>
      <c r="G411" s="71"/>
    </row>
    <row r="412" ht="15.75" customHeight="1">
      <c r="A412" s="128"/>
      <c r="B412" s="71"/>
      <c r="C412" s="111"/>
      <c r="D412" s="111"/>
      <c r="E412" s="71"/>
      <c r="F412" s="71"/>
      <c r="G412" s="71"/>
    </row>
    <row r="413" ht="15.75" customHeight="1">
      <c r="A413" s="128"/>
      <c r="B413" s="71"/>
      <c r="C413" s="111"/>
      <c r="D413" s="111"/>
      <c r="E413" s="71"/>
      <c r="F413" s="71"/>
      <c r="G413" s="71"/>
    </row>
    <row r="414" ht="15.75" customHeight="1">
      <c r="A414" s="128"/>
      <c r="B414" s="71"/>
      <c r="C414" s="111"/>
      <c r="D414" s="111"/>
      <c r="E414" s="71"/>
      <c r="F414" s="71"/>
      <c r="G414" s="71"/>
    </row>
    <row r="415" ht="15.75" customHeight="1">
      <c r="A415" s="128"/>
      <c r="B415" s="71"/>
      <c r="C415" s="111"/>
      <c r="D415" s="111"/>
      <c r="E415" s="71"/>
      <c r="F415" s="71"/>
      <c r="G415" s="71"/>
    </row>
    <row r="416" ht="15.75" customHeight="1">
      <c r="A416" s="128"/>
      <c r="B416" s="71"/>
      <c r="C416" s="111"/>
      <c r="D416" s="111"/>
      <c r="E416" s="71"/>
      <c r="F416" s="71"/>
      <c r="G416" s="71"/>
    </row>
    <row r="417" ht="15.75" customHeight="1">
      <c r="A417" s="128"/>
      <c r="B417" s="71"/>
      <c r="C417" s="111"/>
      <c r="D417" s="111"/>
      <c r="E417" s="71"/>
      <c r="F417" s="71"/>
      <c r="G417" s="71"/>
    </row>
    <row r="418" ht="15.75" customHeight="1">
      <c r="A418" s="128"/>
      <c r="B418" s="71"/>
      <c r="C418" s="111"/>
      <c r="D418" s="111"/>
      <c r="E418" s="71"/>
      <c r="F418" s="71"/>
      <c r="G418" s="71"/>
    </row>
    <row r="419" ht="15.75" customHeight="1">
      <c r="A419" s="128"/>
      <c r="B419" s="71"/>
      <c r="C419" s="111"/>
      <c r="D419" s="111"/>
      <c r="E419" s="71"/>
      <c r="F419" s="71"/>
      <c r="G419" s="71"/>
    </row>
    <row r="420" ht="15.75" customHeight="1">
      <c r="A420" s="128"/>
      <c r="B420" s="71"/>
      <c r="C420" s="111"/>
      <c r="D420" s="111"/>
      <c r="E420" s="71"/>
      <c r="F420" s="71"/>
      <c r="G420" s="71"/>
    </row>
    <row r="421" ht="15.75" customHeight="1">
      <c r="A421" s="128"/>
      <c r="B421" s="71"/>
      <c r="C421" s="111"/>
      <c r="D421" s="111"/>
      <c r="E421" s="71"/>
      <c r="F421" s="71"/>
      <c r="G421" s="71"/>
    </row>
    <row r="422" ht="15.75" customHeight="1">
      <c r="A422" s="128"/>
      <c r="B422" s="71"/>
      <c r="C422" s="111"/>
      <c r="D422" s="111"/>
      <c r="E422" s="71"/>
      <c r="F422" s="71"/>
      <c r="G422" s="71"/>
    </row>
    <row r="423" ht="15.75" customHeight="1">
      <c r="A423" s="128"/>
      <c r="B423" s="71"/>
      <c r="C423" s="111"/>
      <c r="D423" s="111"/>
      <c r="E423" s="71"/>
      <c r="F423" s="71"/>
      <c r="G423" s="71"/>
    </row>
    <row r="424" ht="15.75" customHeight="1">
      <c r="A424" s="128"/>
      <c r="B424" s="71"/>
      <c r="C424" s="111"/>
      <c r="D424" s="111"/>
      <c r="E424" s="71"/>
      <c r="F424" s="71"/>
      <c r="G424" s="71"/>
    </row>
    <row r="425" ht="15.75" customHeight="1">
      <c r="A425" s="128"/>
      <c r="B425" s="71"/>
      <c r="C425" s="111"/>
      <c r="D425" s="111"/>
      <c r="E425" s="71"/>
      <c r="F425" s="71"/>
      <c r="G425" s="71"/>
    </row>
    <row r="426" ht="15.75" customHeight="1">
      <c r="A426" s="128"/>
      <c r="B426" s="71"/>
      <c r="C426" s="111"/>
      <c r="D426" s="111"/>
      <c r="E426" s="71"/>
      <c r="F426" s="71"/>
      <c r="G426" s="71"/>
    </row>
    <row r="427" ht="15.75" customHeight="1">
      <c r="A427" s="128"/>
      <c r="B427" s="71"/>
      <c r="C427" s="111"/>
      <c r="D427" s="111"/>
      <c r="E427" s="71"/>
      <c r="F427" s="71"/>
      <c r="G427" s="71"/>
    </row>
    <row r="428" ht="15.75" customHeight="1">
      <c r="A428" s="128"/>
      <c r="B428" s="71"/>
      <c r="C428" s="111"/>
      <c r="D428" s="111"/>
      <c r="E428" s="71"/>
      <c r="F428" s="71"/>
      <c r="G428" s="71"/>
    </row>
    <row r="429" ht="15.75" customHeight="1">
      <c r="A429" s="128"/>
      <c r="B429" s="71"/>
      <c r="C429" s="111"/>
      <c r="D429" s="111"/>
      <c r="E429" s="71"/>
      <c r="F429" s="71"/>
      <c r="G429" s="71"/>
    </row>
    <row r="430" ht="15.75" customHeight="1">
      <c r="A430" s="128"/>
      <c r="B430" s="71"/>
      <c r="C430" s="111"/>
      <c r="D430" s="111"/>
      <c r="E430" s="71"/>
      <c r="F430" s="71"/>
      <c r="G430" s="71"/>
    </row>
    <row r="431" ht="15.75" customHeight="1">
      <c r="A431" s="128"/>
      <c r="B431" s="71"/>
      <c r="C431" s="111"/>
      <c r="D431" s="111"/>
      <c r="E431" s="71"/>
      <c r="F431" s="71"/>
      <c r="G431" s="71"/>
    </row>
    <row r="432" ht="15.75" customHeight="1">
      <c r="A432" s="128"/>
      <c r="B432" s="71"/>
      <c r="C432" s="111"/>
      <c r="D432" s="111"/>
      <c r="E432" s="71"/>
      <c r="F432" s="71"/>
      <c r="G432" s="71"/>
    </row>
    <row r="433" ht="15.75" customHeight="1">
      <c r="A433" s="128"/>
      <c r="B433" s="71"/>
      <c r="C433" s="111"/>
      <c r="D433" s="111"/>
      <c r="E433" s="71"/>
      <c r="F433" s="71"/>
      <c r="G433" s="71"/>
    </row>
    <row r="434" ht="15.75" customHeight="1">
      <c r="A434" s="128"/>
      <c r="B434" s="71"/>
      <c r="C434" s="111"/>
      <c r="D434" s="111"/>
      <c r="E434" s="71"/>
      <c r="F434" s="71"/>
      <c r="G434" s="71"/>
    </row>
    <row r="435" ht="15.75" customHeight="1">
      <c r="A435" s="128"/>
      <c r="B435" s="71"/>
      <c r="C435" s="111"/>
      <c r="D435" s="111"/>
      <c r="E435" s="71"/>
      <c r="F435" s="71"/>
      <c r="G435" s="71"/>
    </row>
    <row r="436" ht="15.75" customHeight="1">
      <c r="A436" s="128"/>
      <c r="B436" s="71"/>
      <c r="C436" s="111"/>
      <c r="D436" s="111"/>
      <c r="E436" s="71"/>
      <c r="F436" s="71"/>
      <c r="G436" s="71"/>
    </row>
    <row r="437" ht="15.75" customHeight="1">
      <c r="A437" s="128"/>
      <c r="B437" s="71"/>
      <c r="C437" s="111"/>
      <c r="D437" s="111"/>
      <c r="E437" s="71"/>
      <c r="F437" s="71"/>
      <c r="G437" s="71"/>
    </row>
    <row r="438" ht="15.75" customHeight="1">
      <c r="A438" s="128"/>
      <c r="B438" s="71"/>
      <c r="C438" s="111"/>
      <c r="D438" s="111"/>
      <c r="E438" s="71"/>
      <c r="F438" s="71"/>
      <c r="G438" s="71"/>
    </row>
    <row r="439" ht="15.75" customHeight="1">
      <c r="A439" s="128"/>
      <c r="B439" s="71"/>
      <c r="C439" s="111"/>
      <c r="D439" s="111"/>
      <c r="E439" s="71"/>
      <c r="F439" s="71"/>
      <c r="G439" s="71"/>
    </row>
    <row r="440" ht="15.75" customHeight="1">
      <c r="A440" s="128"/>
      <c r="B440" s="71"/>
      <c r="C440" s="111"/>
      <c r="D440" s="111"/>
      <c r="E440" s="71"/>
      <c r="F440" s="71"/>
      <c r="G440" s="71"/>
    </row>
    <row r="441" ht="15.75" customHeight="1">
      <c r="A441" s="128"/>
      <c r="B441" s="71"/>
      <c r="C441" s="111"/>
      <c r="D441" s="111"/>
      <c r="E441" s="71"/>
      <c r="F441" s="71"/>
      <c r="G441" s="71"/>
    </row>
    <row r="442" ht="15.75" customHeight="1">
      <c r="A442" s="128"/>
      <c r="B442" s="71"/>
      <c r="C442" s="111"/>
      <c r="D442" s="111"/>
      <c r="E442" s="71"/>
      <c r="F442" s="71"/>
      <c r="G442" s="71"/>
    </row>
    <row r="443" ht="15.75" customHeight="1">
      <c r="A443" s="128"/>
      <c r="B443" s="71"/>
      <c r="C443" s="111"/>
      <c r="D443" s="111"/>
      <c r="E443" s="71"/>
      <c r="F443" s="71"/>
      <c r="G443" s="71"/>
    </row>
    <row r="444" ht="15.75" customHeight="1">
      <c r="A444" s="128"/>
      <c r="B444" s="71"/>
      <c r="C444" s="111"/>
      <c r="D444" s="111"/>
      <c r="E444" s="71"/>
      <c r="F444" s="71"/>
      <c r="G444" s="71"/>
    </row>
    <row r="445" ht="15.75" customHeight="1">
      <c r="A445" s="128"/>
      <c r="B445" s="71"/>
      <c r="C445" s="111"/>
      <c r="D445" s="111"/>
      <c r="E445" s="71"/>
      <c r="F445" s="71"/>
      <c r="G445" s="71"/>
    </row>
    <row r="446" ht="15.75" customHeight="1">
      <c r="A446" s="128"/>
      <c r="B446" s="71"/>
      <c r="C446" s="111"/>
      <c r="D446" s="111"/>
      <c r="E446" s="71"/>
      <c r="F446" s="71"/>
      <c r="G446" s="71"/>
    </row>
    <row r="447" ht="15.75" customHeight="1">
      <c r="A447" s="128"/>
      <c r="B447" s="71"/>
      <c r="C447" s="111"/>
      <c r="D447" s="111"/>
      <c r="E447" s="71"/>
      <c r="F447" s="71"/>
      <c r="G447" s="71"/>
    </row>
    <row r="448" ht="15.75" customHeight="1">
      <c r="A448" s="128"/>
      <c r="B448" s="71"/>
      <c r="C448" s="111"/>
      <c r="D448" s="111"/>
      <c r="E448" s="71"/>
      <c r="F448" s="71"/>
      <c r="G448" s="71"/>
    </row>
    <row r="449" ht="15.75" customHeight="1">
      <c r="A449" s="128"/>
      <c r="B449" s="71"/>
      <c r="C449" s="111"/>
      <c r="D449" s="111"/>
      <c r="E449" s="71"/>
      <c r="F449" s="71"/>
      <c r="G449" s="71"/>
    </row>
    <row r="450" ht="15.75" customHeight="1">
      <c r="A450" s="128"/>
      <c r="B450" s="71"/>
      <c r="C450" s="111"/>
      <c r="D450" s="111"/>
      <c r="E450" s="71"/>
      <c r="F450" s="71"/>
      <c r="G450" s="71"/>
    </row>
    <row r="451" ht="15.75" customHeight="1">
      <c r="A451" s="128"/>
      <c r="B451" s="71"/>
      <c r="C451" s="111"/>
      <c r="D451" s="111"/>
      <c r="E451" s="71"/>
      <c r="F451" s="71"/>
      <c r="G451" s="71"/>
    </row>
    <row r="452" ht="15.75" customHeight="1">
      <c r="A452" s="128"/>
      <c r="B452" s="71"/>
      <c r="C452" s="111"/>
      <c r="D452" s="111"/>
      <c r="E452" s="71"/>
      <c r="F452" s="71"/>
      <c r="G452" s="71"/>
    </row>
    <row r="453" ht="15.75" customHeight="1">
      <c r="A453" s="128"/>
      <c r="B453" s="71"/>
      <c r="C453" s="111"/>
      <c r="D453" s="111"/>
      <c r="E453" s="71"/>
      <c r="F453" s="71"/>
      <c r="G453" s="71"/>
    </row>
    <row r="454" ht="15.75" customHeight="1">
      <c r="A454" s="128"/>
      <c r="B454" s="71"/>
      <c r="C454" s="111"/>
      <c r="D454" s="111"/>
      <c r="E454" s="71"/>
      <c r="F454" s="71"/>
      <c r="G454" s="71"/>
    </row>
    <row r="455" ht="15.75" customHeight="1">
      <c r="A455" s="128"/>
      <c r="B455" s="71"/>
      <c r="C455" s="111"/>
      <c r="D455" s="111"/>
      <c r="E455" s="71"/>
      <c r="F455" s="71"/>
      <c r="G455" s="71"/>
    </row>
    <row r="456" ht="15.75" customHeight="1">
      <c r="A456" s="128"/>
      <c r="B456" s="71"/>
      <c r="C456" s="111"/>
      <c r="D456" s="111"/>
      <c r="E456" s="71"/>
      <c r="F456" s="71"/>
      <c r="G456" s="71"/>
    </row>
    <row r="457" ht="15.75" customHeight="1">
      <c r="A457" s="128"/>
      <c r="B457" s="71"/>
      <c r="C457" s="111"/>
      <c r="D457" s="111"/>
      <c r="E457" s="71"/>
      <c r="F457" s="71"/>
      <c r="G457" s="71"/>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265"/>
  <customSheetViews>
    <customSheetView guid="{9B50D902-B80A-40FB-96EB-DF0F9B2681E9}" filter="1" showAutoFilter="1">
      <autoFilter ref="$E$1:$E$457"/>
      <extLst>
        <ext uri="GoogleSheetsCustomDataVersion1">
          <go:sheetsCustomData xmlns:go="http://customooxmlschemas.google.com/" filterViewId="1708003107"/>
        </ext>
      </extLst>
    </customSheetView>
    <customSheetView guid="{DABA0E9E-9FB3-4FB8-A09F-7C7FE5B5274A}" filter="1" showAutoFilter="1">
      <autoFilter ref="$A$1:$AD$265">
        <filterColumn colId="2">
          <customFilters>
            <customFilter val="*971*"/>
          </customFilters>
        </filterColumn>
      </autoFilter>
      <extLst>
        <ext uri="GoogleSheetsCustomDataVersion1">
          <go:sheetsCustomData xmlns:go="http://customooxmlschemas.google.com/" filterViewId="219641320"/>
        </ext>
      </extLst>
    </customSheetView>
    <customSheetView guid="{4B769E08-A4CF-4C36-8B65-253A5FCB4C3D}" filter="1" showAutoFilter="1">
      <autoFilter ref="$A$1:$AD$265">
        <filterColumn colId="4">
          <filters>
            <filter val="Dubbizle"/>
            <filter val="DUBIZZLE"/>
            <filter val="Green-Acres"/>
            <filter val="Property wifi"/>
            <filter val="Propspace"/>
            <filter val="Propertyfinder"/>
            <filter val="Justproperty"/>
            <filter val="Dubizzle (DC)"/>
            <filter val="Property Wifi"/>
            <filter val="Property Finder"/>
            <filter val="From:  Dubizzle"/>
            <filter val="bayut"/>
            <filter val="From: Propertyfrinder"/>
            <filter val="PropertyWifi"/>
            <filter val="propspace"/>
            <filter val="Property finder"/>
            <filter val="Dubizzle:"/>
          </filters>
        </filterColumn>
      </autoFilter>
      <extLst>
        <ext uri="GoogleSheetsCustomDataVersion1">
          <go:sheetsCustomData xmlns:go="http://customooxmlschemas.google.com/" filterViewId="447467573"/>
        </ext>
      </extLst>
    </customSheetView>
    <customSheetView guid="{10EB5E37-4D4E-484B-BE38-D3AD6ED5CD60}" filter="1" showAutoFilter="1">
      <autoFilter ref="$E$1:$E$457">
        <filterColumn colId="0">
          <filters>
            <filter val="Dubbizle"/>
            <filter val="DUBIZZLE"/>
            <filter val="Green-Acres"/>
            <filter val="Property wifi"/>
            <filter val="Propspace"/>
            <filter val="Justproperty"/>
            <filter val="Dubizzle (DC)"/>
            <filter val="Property Wifi"/>
            <filter val="Property Finder"/>
            <filter val="bayut"/>
            <filter val="From: Propertyfrinder"/>
            <filter val="PropertyWifi"/>
            <filter val="propspace"/>
            <filter val="Property finder"/>
            <filter val="Dubizzle:"/>
          </filters>
        </filterColumn>
      </autoFilter>
      <extLst>
        <ext uri="GoogleSheetsCustomDataVersion1">
          <go:sheetsCustomData xmlns:go="http://customooxmlschemas.google.com/" filterViewId="980231465"/>
        </ext>
      </extLst>
    </customSheetView>
  </customSheetViews>
  <hyperlinks>
    <hyperlink r:id="rId1" ref="I31"/>
    <hyperlink r:id="rId2" ref="D131"/>
    <hyperlink r:id="rId3" ref="I153"/>
    <hyperlink r:id="rId4" ref="D161"/>
    <hyperlink r:id="rId5" ref="I168"/>
    <hyperlink r:id="rId6" ref="I173"/>
    <hyperlink r:id="rId7" ref="I175"/>
    <hyperlink r:id="rId8" ref="F188"/>
    <hyperlink r:id="rId9" ref="I206"/>
    <hyperlink r:id="rId10" ref="I23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0"/>
  <cols>
    <col customWidth="1" min="1" max="2" width="14.38"/>
    <col customWidth="1" min="3" max="3" width="4.25"/>
    <col customWidth="1" min="4" max="4" width="19.63"/>
    <col customWidth="1" min="5" max="5" width="21.13"/>
    <col customWidth="1" min="6" max="6" width="19.25"/>
    <col customWidth="1" min="7" max="7" width="18.25"/>
    <col customWidth="1" min="8" max="30" width="14.38"/>
  </cols>
  <sheetData>
    <row r="1" ht="15.75" customHeight="1">
      <c r="A1" s="129" t="s">
        <v>1345</v>
      </c>
      <c r="B1" s="130" t="s">
        <v>3</v>
      </c>
      <c r="C1" s="130"/>
      <c r="D1" s="130" t="s">
        <v>171</v>
      </c>
      <c r="E1" s="130" t="s">
        <v>4</v>
      </c>
      <c r="F1" s="130" t="s">
        <v>172</v>
      </c>
      <c r="G1" s="130" t="s">
        <v>173</v>
      </c>
      <c r="H1" s="28" t="s">
        <v>174</v>
      </c>
      <c r="I1" s="29" t="s">
        <v>175</v>
      </c>
      <c r="J1" s="28" t="s">
        <v>9</v>
      </c>
      <c r="K1" s="30"/>
      <c r="L1" s="31"/>
      <c r="M1" s="31"/>
      <c r="N1" s="31"/>
      <c r="O1" s="31"/>
      <c r="P1" s="31"/>
      <c r="Q1" s="31"/>
      <c r="R1" s="31"/>
      <c r="S1" s="31"/>
      <c r="T1" s="31"/>
      <c r="U1" s="31"/>
      <c r="V1" s="31"/>
      <c r="W1" s="31"/>
      <c r="X1" s="31"/>
      <c r="Y1" s="31"/>
      <c r="Z1" s="31"/>
      <c r="AA1" s="31"/>
      <c r="AB1" s="31"/>
      <c r="AC1" s="31"/>
      <c r="AD1" s="31"/>
    </row>
    <row r="2" ht="15.75" customHeight="1">
      <c r="A2" s="131">
        <v>43407.0</v>
      </c>
      <c r="B2" s="132" t="s">
        <v>1346</v>
      </c>
      <c r="C2" s="132"/>
      <c r="D2" s="133" t="s">
        <v>1347</v>
      </c>
      <c r="E2" s="134" t="s">
        <v>1348</v>
      </c>
      <c r="F2" s="132" t="s">
        <v>548</v>
      </c>
      <c r="G2" s="135" t="s">
        <v>1349</v>
      </c>
      <c r="H2" s="136"/>
      <c r="I2" s="136"/>
      <c r="J2" s="136" t="s">
        <v>1350</v>
      </c>
      <c r="K2" s="136"/>
      <c r="L2" s="120"/>
      <c r="M2" s="120"/>
      <c r="N2" s="120"/>
      <c r="O2" s="120"/>
      <c r="P2" s="120"/>
      <c r="Q2" s="120"/>
      <c r="R2" s="120"/>
      <c r="S2" s="120"/>
      <c r="T2" s="120"/>
      <c r="U2" s="120"/>
      <c r="V2" s="120"/>
      <c r="W2" s="120"/>
      <c r="X2" s="120"/>
      <c r="Y2" s="120"/>
      <c r="Z2" s="120"/>
      <c r="AA2" s="120"/>
      <c r="AB2" s="120"/>
      <c r="AC2" s="120"/>
      <c r="AD2" s="120"/>
    </row>
    <row r="3" ht="15.75" customHeight="1">
      <c r="A3" s="131">
        <v>43407.0</v>
      </c>
      <c r="B3" s="134" t="s">
        <v>1351</v>
      </c>
      <c r="C3" s="132"/>
      <c r="D3" s="133" t="s">
        <v>1352</v>
      </c>
      <c r="E3" s="134" t="s">
        <v>1353</v>
      </c>
      <c r="F3" s="137" t="s">
        <v>1354</v>
      </c>
      <c r="G3" s="135" t="s">
        <v>1355</v>
      </c>
      <c r="H3" s="98" t="s">
        <v>1356</v>
      </c>
      <c r="I3" s="138"/>
      <c r="J3" s="138" t="s">
        <v>16</v>
      </c>
      <c r="K3" s="138"/>
    </row>
    <row r="4" ht="15.75" customHeight="1">
      <c r="A4" s="139">
        <v>43407.0</v>
      </c>
      <c r="B4" s="138" t="s">
        <v>1357</v>
      </c>
      <c r="C4" s="138"/>
      <c r="D4" s="140" t="s">
        <v>1358</v>
      </c>
      <c r="E4" s="138"/>
      <c r="F4" s="138" t="s">
        <v>1359</v>
      </c>
      <c r="G4" s="98" t="s">
        <v>1360</v>
      </c>
      <c r="H4" s="138"/>
      <c r="I4" s="138"/>
      <c r="J4" s="138" t="s">
        <v>1350</v>
      </c>
      <c r="K4" s="138"/>
    </row>
    <row r="5" ht="15.75" customHeight="1">
      <c r="A5" s="139">
        <v>43407.0</v>
      </c>
      <c r="B5" s="138" t="s">
        <v>1361</v>
      </c>
      <c r="C5" s="138"/>
      <c r="D5" s="140" t="s">
        <v>1362</v>
      </c>
      <c r="E5" s="138" t="s">
        <v>1363</v>
      </c>
      <c r="F5" s="98" t="s">
        <v>179</v>
      </c>
      <c r="G5" s="98" t="s">
        <v>1364</v>
      </c>
      <c r="H5" s="138"/>
      <c r="I5" s="138"/>
      <c r="J5" s="138" t="s">
        <v>300</v>
      </c>
      <c r="K5" s="138"/>
    </row>
    <row r="6" ht="15.75" customHeight="1">
      <c r="A6" s="131">
        <v>43408.0</v>
      </c>
      <c r="B6" s="134" t="s">
        <v>1365</v>
      </c>
      <c r="C6" s="132"/>
      <c r="D6" s="135" t="s">
        <v>1366</v>
      </c>
      <c r="E6" s="134"/>
      <c r="F6" s="134" t="s">
        <v>179</v>
      </c>
      <c r="G6" s="135" t="s">
        <v>1367</v>
      </c>
      <c r="H6" s="135"/>
      <c r="I6" s="138"/>
      <c r="J6" s="138" t="s">
        <v>300</v>
      </c>
      <c r="K6" s="138"/>
    </row>
    <row r="7" ht="15.75" customHeight="1">
      <c r="A7" s="131">
        <v>43408.0</v>
      </c>
      <c r="B7" s="135" t="s">
        <v>1368</v>
      </c>
      <c r="C7" s="132"/>
      <c r="D7" s="141" t="s">
        <v>1369</v>
      </c>
      <c r="E7" s="135" t="s">
        <v>1370</v>
      </c>
      <c r="F7" s="134" t="s">
        <v>179</v>
      </c>
      <c r="G7" s="135" t="s">
        <v>1371</v>
      </c>
      <c r="H7" s="135"/>
      <c r="I7" s="138"/>
      <c r="J7" s="138" t="s">
        <v>300</v>
      </c>
      <c r="K7" s="138"/>
    </row>
    <row r="8" ht="15.75" customHeight="1">
      <c r="A8" s="131">
        <v>43408.0</v>
      </c>
      <c r="B8" s="135" t="s">
        <v>1372</v>
      </c>
      <c r="C8" s="132"/>
      <c r="D8" s="141" t="s">
        <v>1373</v>
      </c>
      <c r="E8" s="135" t="s">
        <v>1374</v>
      </c>
      <c r="F8" s="134" t="s">
        <v>1375</v>
      </c>
      <c r="G8" s="135" t="s">
        <v>1376</v>
      </c>
      <c r="H8" s="135"/>
      <c r="I8" s="138"/>
      <c r="J8" s="138" t="s">
        <v>1059</v>
      </c>
      <c r="K8" s="138"/>
    </row>
    <row r="9" ht="15.75" customHeight="1">
      <c r="A9" s="131">
        <v>43409.0</v>
      </c>
      <c r="B9" s="135" t="s">
        <v>1377</v>
      </c>
      <c r="C9" s="132"/>
      <c r="D9" s="141" t="s">
        <v>1378</v>
      </c>
      <c r="E9" s="135" t="s">
        <v>1379</v>
      </c>
      <c r="F9" s="134" t="s">
        <v>1380</v>
      </c>
      <c r="G9" s="134" t="s">
        <v>1381</v>
      </c>
      <c r="H9" s="134" t="s">
        <v>1382</v>
      </c>
      <c r="I9" s="138"/>
      <c r="J9" s="138" t="s">
        <v>1059</v>
      </c>
      <c r="K9" s="138"/>
    </row>
    <row r="10" ht="15.75" customHeight="1">
      <c r="A10" s="142">
        <v>43414.0</v>
      </c>
      <c r="B10" s="138" t="s">
        <v>1383</v>
      </c>
      <c r="C10" s="138"/>
      <c r="D10" s="140" t="s">
        <v>1384</v>
      </c>
      <c r="E10" s="138" t="s">
        <v>1385</v>
      </c>
      <c r="F10" s="98" t="s">
        <v>179</v>
      </c>
      <c r="G10" s="98" t="s">
        <v>1386</v>
      </c>
      <c r="H10" s="138"/>
      <c r="I10" s="138"/>
      <c r="J10" s="138" t="s">
        <v>16</v>
      </c>
      <c r="K10" s="138"/>
    </row>
    <row r="11" ht="15.75" customHeight="1">
      <c r="A11" s="142">
        <v>43414.0</v>
      </c>
      <c r="B11" s="138" t="s">
        <v>1387</v>
      </c>
      <c r="C11" s="138"/>
      <c r="D11" s="140" t="s">
        <v>1388</v>
      </c>
      <c r="E11" s="138" t="s">
        <v>1389</v>
      </c>
      <c r="F11" s="98" t="s">
        <v>179</v>
      </c>
      <c r="G11" s="98" t="s">
        <v>1390</v>
      </c>
      <c r="H11" s="138" t="s">
        <v>1391</v>
      </c>
      <c r="I11" s="138"/>
      <c r="J11" s="138" t="s">
        <v>244</v>
      </c>
      <c r="K11" s="138"/>
    </row>
    <row r="12" ht="15.75" customHeight="1">
      <c r="A12" s="142">
        <v>43414.0</v>
      </c>
      <c r="B12" s="143" t="s">
        <v>822</v>
      </c>
      <c r="C12" s="138"/>
      <c r="D12" s="144" t="s">
        <v>1392</v>
      </c>
      <c r="E12" s="145" t="s">
        <v>1393</v>
      </c>
      <c r="F12" s="98" t="s">
        <v>179</v>
      </c>
      <c r="G12" s="143" t="s">
        <v>1394</v>
      </c>
      <c r="H12" s="138"/>
      <c r="I12" s="138"/>
      <c r="J12" s="138" t="s">
        <v>300</v>
      </c>
      <c r="K12" s="138"/>
    </row>
    <row r="13" ht="15.75" customHeight="1">
      <c r="A13" s="142">
        <v>43414.0</v>
      </c>
      <c r="B13" s="138" t="s">
        <v>1395</v>
      </c>
      <c r="C13" s="138"/>
      <c r="D13" s="146" t="s">
        <v>1396</v>
      </c>
      <c r="E13" s="138" t="s">
        <v>1397</v>
      </c>
      <c r="F13" s="98" t="s">
        <v>179</v>
      </c>
      <c r="G13" s="98" t="s">
        <v>1398</v>
      </c>
      <c r="H13" s="138"/>
      <c r="I13" s="138"/>
      <c r="J13" s="138" t="s">
        <v>244</v>
      </c>
      <c r="K13" s="138"/>
    </row>
    <row r="14" ht="15.75" customHeight="1">
      <c r="A14" s="142">
        <v>43414.0</v>
      </c>
      <c r="B14" s="147" t="s">
        <v>1399</v>
      </c>
      <c r="C14" s="138"/>
      <c r="D14" s="140" t="s">
        <v>1400</v>
      </c>
      <c r="E14" s="148" t="s">
        <v>1401</v>
      </c>
      <c r="F14" s="98" t="s">
        <v>179</v>
      </c>
      <c r="G14" s="149" t="s">
        <v>1402</v>
      </c>
      <c r="H14" s="138"/>
      <c r="I14" s="138"/>
      <c r="J14" s="138" t="s">
        <v>300</v>
      </c>
      <c r="K14" s="138"/>
    </row>
    <row r="15" ht="15.75" customHeight="1">
      <c r="A15" s="142">
        <v>43414.0</v>
      </c>
      <c r="B15" s="138" t="s">
        <v>1403</v>
      </c>
      <c r="C15" s="138"/>
      <c r="D15" s="140" t="s">
        <v>1404</v>
      </c>
      <c r="E15" s="138" t="s">
        <v>1405</v>
      </c>
      <c r="F15" s="98" t="s">
        <v>179</v>
      </c>
      <c r="G15" s="98" t="s">
        <v>1406</v>
      </c>
      <c r="H15" s="138"/>
      <c r="I15" s="138"/>
      <c r="J15" s="138" t="s">
        <v>470</v>
      </c>
      <c r="K15" s="138"/>
    </row>
    <row r="16" ht="15.75" customHeight="1">
      <c r="A16" s="142">
        <v>43414.0</v>
      </c>
      <c r="B16" s="147" t="s">
        <v>1407</v>
      </c>
      <c r="C16" s="138"/>
      <c r="D16" s="150" t="s">
        <v>1408</v>
      </c>
      <c r="E16" s="148" t="s">
        <v>1409</v>
      </c>
      <c r="F16" s="98" t="s">
        <v>179</v>
      </c>
      <c r="G16" s="98" t="s">
        <v>179</v>
      </c>
      <c r="H16" s="149" t="s">
        <v>1410</v>
      </c>
      <c r="I16" s="138"/>
      <c r="J16" s="138" t="s">
        <v>16</v>
      </c>
      <c r="K16" s="138"/>
    </row>
    <row r="17" ht="15.75" customHeight="1">
      <c r="A17" s="142">
        <v>43414.0</v>
      </c>
      <c r="B17" s="138" t="s">
        <v>1411</v>
      </c>
      <c r="C17" s="138"/>
      <c r="D17" s="146" t="s">
        <v>1412</v>
      </c>
      <c r="E17" s="138" t="s">
        <v>1413</v>
      </c>
      <c r="F17" s="98" t="s">
        <v>179</v>
      </c>
      <c r="G17" s="98" t="s">
        <v>1414</v>
      </c>
      <c r="H17" s="149" t="s">
        <v>1415</v>
      </c>
      <c r="I17" s="138"/>
      <c r="J17" s="138" t="s">
        <v>16</v>
      </c>
      <c r="K17" s="138"/>
    </row>
    <row r="18" ht="15.75" customHeight="1">
      <c r="A18" s="139">
        <v>43411.0</v>
      </c>
      <c r="B18" s="138" t="s">
        <v>1416</v>
      </c>
      <c r="C18" s="138"/>
      <c r="D18" s="140" t="s">
        <v>1417</v>
      </c>
      <c r="E18" s="138" t="s">
        <v>1418</v>
      </c>
      <c r="F18" s="98" t="s">
        <v>179</v>
      </c>
      <c r="G18" s="98" t="s">
        <v>1419</v>
      </c>
      <c r="H18" s="138"/>
      <c r="I18" s="138"/>
      <c r="J18" s="138"/>
      <c r="K18" s="138"/>
    </row>
    <row r="19" ht="15.75" customHeight="1">
      <c r="A19" s="139">
        <v>43411.0</v>
      </c>
      <c r="B19" s="138" t="s">
        <v>1420</v>
      </c>
      <c r="C19" s="138"/>
      <c r="D19" s="138" t="s">
        <v>1421</v>
      </c>
      <c r="E19" s="138" t="s">
        <v>1422</v>
      </c>
      <c r="F19" s="138" t="s">
        <v>1423</v>
      </c>
      <c r="G19" s="98" t="s">
        <v>1424</v>
      </c>
      <c r="H19" s="138" t="s">
        <v>1425</v>
      </c>
      <c r="I19" s="138"/>
      <c r="J19" s="138"/>
      <c r="K19" s="138"/>
    </row>
    <row r="20" ht="15.75" customHeight="1">
      <c r="A20" s="139">
        <v>43412.0</v>
      </c>
      <c r="B20" s="138" t="s">
        <v>1426</v>
      </c>
      <c r="C20" s="138"/>
      <c r="D20" s="138">
        <f>971-555-553087</f>
        <v>-552671</v>
      </c>
      <c r="E20" s="138" t="s">
        <v>1427</v>
      </c>
      <c r="F20" s="138" t="s">
        <v>1375</v>
      </c>
      <c r="G20" s="151" t="s">
        <v>1428</v>
      </c>
      <c r="H20" s="138" t="s">
        <v>1429</v>
      </c>
      <c r="I20" s="138"/>
      <c r="J20" s="138"/>
      <c r="K20" s="138"/>
    </row>
    <row r="21" ht="15.75" customHeight="1">
      <c r="A21" s="139">
        <v>43412.0</v>
      </c>
      <c r="B21" s="138" t="s">
        <v>1430</v>
      </c>
      <c r="C21" s="138"/>
      <c r="D21" s="140" t="s">
        <v>1431</v>
      </c>
      <c r="E21" s="138"/>
      <c r="F21" s="138" t="s">
        <v>1432</v>
      </c>
      <c r="G21" s="138" t="s">
        <v>1433</v>
      </c>
      <c r="H21" s="138"/>
      <c r="I21" s="138"/>
      <c r="J21" s="138" t="s">
        <v>1434</v>
      </c>
      <c r="K21" s="138"/>
    </row>
    <row r="22" ht="15.75" customHeight="1">
      <c r="A22" s="142">
        <v>43414.0</v>
      </c>
      <c r="B22" s="138" t="s">
        <v>1387</v>
      </c>
      <c r="C22" s="138"/>
      <c r="D22" s="140" t="s">
        <v>1388</v>
      </c>
      <c r="E22" s="138" t="s">
        <v>1435</v>
      </c>
      <c r="F22" s="98" t="s">
        <v>179</v>
      </c>
      <c r="G22" s="152" t="s">
        <v>1436</v>
      </c>
      <c r="H22" s="138"/>
      <c r="I22" s="138"/>
      <c r="J22" s="138" t="s">
        <v>470</v>
      </c>
      <c r="K22" s="138"/>
    </row>
    <row r="23" ht="15.75" customHeight="1">
      <c r="A23" s="142">
        <v>43414.0</v>
      </c>
      <c r="B23" s="138" t="s">
        <v>822</v>
      </c>
      <c r="C23" s="138"/>
      <c r="D23" s="146" t="s">
        <v>1392</v>
      </c>
      <c r="E23" s="138" t="s">
        <v>1393</v>
      </c>
      <c r="F23" s="98" t="s">
        <v>179</v>
      </c>
      <c r="G23" s="138" t="s">
        <v>1437</v>
      </c>
      <c r="H23" s="138"/>
      <c r="I23" s="138"/>
      <c r="J23" s="138" t="s">
        <v>300</v>
      </c>
      <c r="K23" s="138"/>
    </row>
    <row r="24" ht="15.75" customHeight="1">
      <c r="A24" s="142">
        <v>43414.0</v>
      </c>
      <c r="B24" s="151" t="s">
        <v>1438</v>
      </c>
      <c r="C24" s="138"/>
      <c r="D24" s="153">
        <f>+971501172266</f>
        <v>971501172266</v>
      </c>
      <c r="E24" s="138" t="s">
        <v>1439</v>
      </c>
      <c r="F24" s="152" t="s">
        <v>1320</v>
      </c>
      <c r="G24" s="138" t="s">
        <v>1440</v>
      </c>
      <c r="H24" s="138"/>
      <c r="I24" s="138"/>
      <c r="J24" s="138"/>
      <c r="K24" s="138"/>
    </row>
    <row r="25" ht="15.75" customHeight="1">
      <c r="A25" s="142">
        <v>43414.0</v>
      </c>
      <c r="B25" s="138" t="s">
        <v>1441</v>
      </c>
      <c r="C25" s="138"/>
      <c r="D25" s="140" t="s">
        <v>1442</v>
      </c>
      <c r="E25" s="138"/>
      <c r="F25" s="138" t="s">
        <v>1443</v>
      </c>
      <c r="G25" s="138"/>
      <c r="H25" s="138"/>
      <c r="I25" s="138"/>
      <c r="J25" s="138"/>
      <c r="K25" s="138"/>
    </row>
    <row r="26" ht="15.75" customHeight="1">
      <c r="A26" s="142">
        <v>43414.0</v>
      </c>
      <c r="B26" s="151" t="s">
        <v>1444</v>
      </c>
      <c r="C26" s="138"/>
      <c r="D26" s="153">
        <f>+971557197445</f>
        <v>971557197445</v>
      </c>
      <c r="E26" s="138" t="s">
        <v>1445</v>
      </c>
      <c r="F26" s="138" t="s">
        <v>1320</v>
      </c>
      <c r="G26" s="138" t="s">
        <v>249</v>
      </c>
      <c r="H26" s="138" t="s">
        <v>1446</v>
      </c>
      <c r="I26" s="138"/>
      <c r="J26" s="138"/>
      <c r="K26" s="138"/>
    </row>
    <row r="27" ht="15.75" customHeight="1">
      <c r="A27" s="154">
        <v>43415.0</v>
      </c>
      <c r="B27" s="155" t="s">
        <v>1447</v>
      </c>
      <c r="C27" s="155"/>
      <c r="D27" s="156">
        <v>9.71502429809E11</v>
      </c>
      <c r="E27" s="157" t="s">
        <v>1448</v>
      </c>
      <c r="F27" s="155"/>
      <c r="G27" s="155"/>
      <c r="H27" s="155"/>
      <c r="I27" s="155"/>
      <c r="J27" s="155"/>
      <c r="K27" s="155"/>
      <c r="L27" s="124"/>
      <c r="M27" s="124"/>
      <c r="N27" s="124"/>
      <c r="O27" s="124"/>
      <c r="P27" s="124"/>
      <c r="Q27" s="124"/>
      <c r="R27" s="124"/>
      <c r="S27" s="124"/>
      <c r="T27" s="124"/>
      <c r="U27" s="124"/>
      <c r="V27" s="124"/>
      <c r="W27" s="124"/>
      <c r="X27" s="124"/>
      <c r="Y27" s="124"/>
      <c r="Z27" s="124"/>
    </row>
    <row r="28" ht="15.75" customHeight="1">
      <c r="A28" s="142">
        <v>43416.0</v>
      </c>
      <c r="B28" s="138" t="s">
        <v>1449</v>
      </c>
      <c r="C28" s="138"/>
      <c r="D28" s="158">
        <v>9.71547704125E11</v>
      </c>
      <c r="E28" s="138" t="s">
        <v>1450</v>
      </c>
      <c r="F28" s="138"/>
      <c r="G28" s="138"/>
      <c r="H28" s="138"/>
      <c r="I28" s="138"/>
      <c r="J28" s="138"/>
      <c r="K28" s="138"/>
    </row>
    <row r="29" ht="15.75" customHeight="1">
      <c r="A29" s="142">
        <v>43417.0</v>
      </c>
      <c r="B29" s="138" t="s">
        <v>1451</v>
      </c>
      <c r="C29" s="138"/>
      <c r="D29" s="159" t="s">
        <v>1452</v>
      </c>
      <c r="E29" s="138"/>
      <c r="F29" s="138" t="s">
        <v>1453</v>
      </c>
      <c r="G29" s="138" t="s">
        <v>1454</v>
      </c>
      <c r="H29" s="138"/>
      <c r="I29" s="138"/>
      <c r="J29" s="138"/>
      <c r="K29" s="138"/>
    </row>
    <row r="30" ht="15.75" customHeight="1">
      <c r="A30" s="142">
        <v>43417.0</v>
      </c>
      <c r="B30" s="138" t="s">
        <v>1416</v>
      </c>
      <c r="C30" s="138"/>
      <c r="D30" s="141" t="s">
        <v>1455</v>
      </c>
      <c r="E30" s="138" t="s">
        <v>1418</v>
      </c>
      <c r="F30" s="98" t="s">
        <v>179</v>
      </c>
      <c r="G30" s="138" t="s">
        <v>1456</v>
      </c>
      <c r="H30" s="138"/>
      <c r="I30" s="138"/>
      <c r="J30" s="138"/>
      <c r="K30" s="138"/>
    </row>
    <row r="31" ht="15.75" customHeight="1">
      <c r="A31" s="142">
        <v>43417.0</v>
      </c>
      <c r="B31" s="138" t="s">
        <v>1457</v>
      </c>
      <c r="C31" s="138"/>
      <c r="D31" s="159" t="s">
        <v>1458</v>
      </c>
      <c r="E31" s="138" t="s">
        <v>1459</v>
      </c>
      <c r="F31" s="138" t="s">
        <v>1460</v>
      </c>
      <c r="G31" s="152" t="s">
        <v>1461</v>
      </c>
      <c r="H31" s="138"/>
      <c r="I31" s="138" t="s">
        <v>1462</v>
      </c>
      <c r="J31" s="138"/>
      <c r="K31" s="138"/>
    </row>
    <row r="32" ht="15.75" customHeight="1">
      <c r="A32" s="142">
        <v>43418.0</v>
      </c>
      <c r="B32" s="138" t="s">
        <v>1463</v>
      </c>
      <c r="C32" s="138"/>
      <c r="D32" s="156">
        <v>9.71563161782E11</v>
      </c>
      <c r="E32" s="138"/>
      <c r="F32" s="138" t="s">
        <v>1464</v>
      </c>
      <c r="G32" s="98" t="s">
        <v>1465</v>
      </c>
      <c r="H32" s="138"/>
      <c r="I32" s="138"/>
      <c r="J32" s="138"/>
      <c r="K32" s="138"/>
    </row>
    <row r="33" ht="15.75" customHeight="1">
      <c r="A33" s="142">
        <v>43419.0</v>
      </c>
      <c r="B33" s="138" t="s">
        <v>1466</v>
      </c>
      <c r="C33" s="138"/>
      <c r="D33" s="160">
        <f>+971507478227</f>
        <v>971507478227</v>
      </c>
      <c r="E33" s="138" t="s">
        <v>1467</v>
      </c>
      <c r="F33" s="138" t="s">
        <v>419</v>
      </c>
      <c r="G33" s="98" t="s">
        <v>1468</v>
      </c>
      <c r="H33" s="138"/>
      <c r="I33" s="138"/>
      <c r="J33" s="138" t="s">
        <v>244</v>
      </c>
      <c r="K33" s="138"/>
    </row>
    <row r="34" ht="15.75" customHeight="1">
      <c r="A34" s="142">
        <v>43419.0</v>
      </c>
      <c r="B34" s="138" t="s">
        <v>234</v>
      </c>
      <c r="C34" s="138"/>
      <c r="D34" s="140" t="s">
        <v>1469</v>
      </c>
      <c r="E34" s="146" t="s">
        <v>1470</v>
      </c>
      <c r="F34" s="138" t="s">
        <v>222</v>
      </c>
      <c r="G34" s="98" t="s">
        <v>1471</v>
      </c>
      <c r="H34" s="138" t="s">
        <v>1472</v>
      </c>
      <c r="I34" s="138" t="s">
        <v>1473</v>
      </c>
      <c r="J34" s="138" t="s">
        <v>300</v>
      </c>
      <c r="K34" s="138"/>
    </row>
    <row r="35" ht="15.75" customHeight="1">
      <c r="A35" s="142">
        <v>43419.0</v>
      </c>
      <c r="B35" s="146" t="s">
        <v>1257</v>
      </c>
      <c r="C35" s="138"/>
      <c r="D35" s="140" t="s">
        <v>1474</v>
      </c>
      <c r="E35" s="138"/>
      <c r="F35" s="138" t="s">
        <v>419</v>
      </c>
      <c r="G35" s="98" t="s">
        <v>1475</v>
      </c>
      <c r="H35" s="138"/>
      <c r="I35" s="138"/>
      <c r="J35" s="138" t="s">
        <v>395</v>
      </c>
      <c r="K35" s="138"/>
    </row>
    <row r="36" ht="15.75" customHeight="1">
      <c r="A36" s="142">
        <v>43421.0</v>
      </c>
      <c r="B36" s="138" t="s">
        <v>1476</v>
      </c>
      <c r="C36" s="138"/>
      <c r="D36" s="140" t="s">
        <v>1477</v>
      </c>
      <c r="E36" s="138" t="s">
        <v>1478</v>
      </c>
      <c r="F36" s="138" t="s">
        <v>419</v>
      </c>
      <c r="G36" s="138" t="s">
        <v>1479</v>
      </c>
      <c r="H36" s="138"/>
      <c r="I36" s="138"/>
      <c r="J36" s="138" t="s">
        <v>244</v>
      </c>
      <c r="K36" s="138"/>
    </row>
    <row r="37" ht="15.75" customHeight="1">
      <c r="A37" s="142">
        <v>43421.0</v>
      </c>
      <c r="B37" s="138" t="s">
        <v>1480</v>
      </c>
      <c r="C37" s="138"/>
      <c r="D37" s="140" t="s">
        <v>1481</v>
      </c>
      <c r="E37" s="138" t="s">
        <v>1482</v>
      </c>
      <c r="F37" s="98" t="s">
        <v>179</v>
      </c>
      <c r="G37" s="98" t="s">
        <v>1483</v>
      </c>
      <c r="H37" s="138"/>
      <c r="I37" s="138"/>
      <c r="J37" s="138" t="s">
        <v>244</v>
      </c>
      <c r="K37" s="138"/>
    </row>
    <row r="38" ht="15.75" customHeight="1">
      <c r="A38" s="142">
        <v>43415.0</v>
      </c>
      <c r="B38" s="138" t="s">
        <v>1484</v>
      </c>
      <c r="C38" s="138"/>
      <c r="D38" s="140" t="s">
        <v>1485</v>
      </c>
      <c r="E38" s="138" t="s">
        <v>1486</v>
      </c>
      <c r="F38" s="98" t="s">
        <v>179</v>
      </c>
      <c r="G38" s="98" t="s">
        <v>1487</v>
      </c>
      <c r="H38" s="138"/>
      <c r="I38" s="138"/>
      <c r="J38" s="138" t="s">
        <v>244</v>
      </c>
      <c r="K38" s="138"/>
    </row>
    <row r="39" ht="15.75" customHeight="1">
      <c r="A39" s="142">
        <v>43414.0</v>
      </c>
      <c r="B39" s="138" t="s">
        <v>1488</v>
      </c>
      <c r="C39" s="138"/>
      <c r="D39" s="161">
        <v>9.71502547024E11</v>
      </c>
      <c r="E39" s="138" t="s">
        <v>1405</v>
      </c>
      <c r="F39" s="98" t="s">
        <v>179</v>
      </c>
      <c r="G39" s="98" t="s">
        <v>1489</v>
      </c>
      <c r="H39" s="138"/>
      <c r="I39" s="138"/>
      <c r="J39" s="138" t="s">
        <v>244</v>
      </c>
      <c r="K39" s="138"/>
    </row>
    <row r="40" ht="15.75" customHeight="1">
      <c r="A40" s="154">
        <v>43414.0</v>
      </c>
      <c r="B40" s="155" t="s">
        <v>1395</v>
      </c>
      <c r="C40" s="155"/>
      <c r="D40" s="162">
        <v>9.7158153307E11</v>
      </c>
      <c r="E40" s="155" t="s">
        <v>1490</v>
      </c>
      <c r="F40" s="98" t="s">
        <v>179</v>
      </c>
      <c r="G40" s="98" t="s">
        <v>1398</v>
      </c>
      <c r="H40" s="155"/>
      <c r="I40" s="155"/>
      <c r="J40" s="155" t="s">
        <v>244</v>
      </c>
      <c r="K40" s="155"/>
      <c r="L40" s="124"/>
      <c r="M40" s="124"/>
      <c r="N40" s="124"/>
      <c r="O40" s="124"/>
      <c r="P40" s="124"/>
      <c r="Q40" s="124"/>
      <c r="R40" s="124"/>
      <c r="S40" s="124"/>
      <c r="T40" s="124"/>
      <c r="U40" s="124"/>
      <c r="V40" s="124"/>
      <c r="W40" s="124"/>
      <c r="X40" s="124"/>
      <c r="Y40" s="124"/>
      <c r="Z40" s="124"/>
      <c r="AA40" s="124"/>
      <c r="AB40" s="124"/>
      <c r="AC40" s="124"/>
      <c r="AD40" s="124"/>
    </row>
    <row r="41" ht="15.75" customHeight="1">
      <c r="A41" s="139">
        <v>43411.0</v>
      </c>
      <c r="B41" s="138" t="s">
        <v>1491</v>
      </c>
      <c r="C41" s="138"/>
      <c r="D41" s="138"/>
      <c r="E41" s="138" t="s">
        <v>1492</v>
      </c>
      <c r="F41" s="98" t="s">
        <v>179</v>
      </c>
      <c r="G41" s="138" t="s">
        <v>1493</v>
      </c>
      <c r="H41" s="138"/>
      <c r="I41" s="138"/>
      <c r="J41" s="155" t="s">
        <v>244</v>
      </c>
      <c r="K41" s="138"/>
    </row>
    <row r="42" ht="15.75" customHeight="1">
      <c r="A42" s="139">
        <v>43408.0</v>
      </c>
      <c r="B42" s="138" t="s">
        <v>1494</v>
      </c>
      <c r="C42" s="138"/>
      <c r="D42" s="140" t="s">
        <v>1495</v>
      </c>
      <c r="E42" s="138" t="s">
        <v>1496</v>
      </c>
      <c r="F42" s="98" t="s">
        <v>179</v>
      </c>
      <c r="G42" s="98" t="s">
        <v>1497</v>
      </c>
      <c r="H42" s="138"/>
      <c r="I42" s="138"/>
      <c r="J42" s="155" t="s">
        <v>244</v>
      </c>
      <c r="K42" s="138"/>
    </row>
    <row r="43" ht="15.75" customHeight="1">
      <c r="A43" s="142">
        <v>43421.0</v>
      </c>
      <c r="B43" s="138" t="s">
        <v>1498</v>
      </c>
      <c r="C43" s="138"/>
      <c r="D43" s="146" t="s">
        <v>722</v>
      </c>
      <c r="E43" s="138" t="s">
        <v>1499</v>
      </c>
      <c r="F43" s="98" t="s">
        <v>179</v>
      </c>
      <c r="G43" s="98" t="s">
        <v>1500</v>
      </c>
      <c r="H43" s="138"/>
      <c r="I43" s="138"/>
      <c r="J43" s="138" t="s">
        <v>16</v>
      </c>
      <c r="K43" s="138"/>
    </row>
    <row r="44" ht="15.75" customHeight="1">
      <c r="A44" s="142">
        <v>43421.0</v>
      </c>
      <c r="B44" s="138" t="s">
        <v>1501</v>
      </c>
      <c r="C44" s="138"/>
      <c r="D44" s="161">
        <v>9.71562160492E11</v>
      </c>
      <c r="E44" s="138" t="s">
        <v>1502</v>
      </c>
      <c r="F44" s="138" t="s">
        <v>419</v>
      </c>
      <c r="G44" s="98" t="s">
        <v>1503</v>
      </c>
      <c r="H44" s="138"/>
      <c r="I44" s="138"/>
      <c r="J44" s="138" t="s">
        <v>16</v>
      </c>
      <c r="K44" s="138"/>
    </row>
    <row r="45" ht="15.75" customHeight="1">
      <c r="A45" s="142">
        <v>43423.0</v>
      </c>
      <c r="B45" s="138" t="s">
        <v>1504</v>
      </c>
      <c r="C45" s="138"/>
      <c r="D45" s="146" t="s">
        <v>1505</v>
      </c>
      <c r="E45" s="138" t="s">
        <v>1506</v>
      </c>
      <c r="F45" s="138" t="s">
        <v>222</v>
      </c>
      <c r="G45" s="138" t="s">
        <v>1507</v>
      </c>
      <c r="H45" s="138" t="s">
        <v>1508</v>
      </c>
      <c r="I45" s="138"/>
      <c r="J45" s="138" t="s">
        <v>300</v>
      </c>
      <c r="K45" s="138"/>
    </row>
    <row r="46" ht="15.75" customHeight="1">
      <c r="A46" s="142">
        <v>43423.0</v>
      </c>
      <c r="B46" s="138" t="s">
        <v>1509</v>
      </c>
      <c r="C46" s="138"/>
      <c r="D46" s="138">
        <v>9.18447754411E11</v>
      </c>
      <c r="E46" s="138" t="s">
        <v>1510</v>
      </c>
      <c r="F46" s="98" t="s">
        <v>179</v>
      </c>
      <c r="G46" s="138" t="s">
        <v>1511</v>
      </c>
      <c r="H46" s="138" t="s">
        <v>1512</v>
      </c>
      <c r="I46" s="98" t="s">
        <v>1513</v>
      </c>
      <c r="J46" s="138" t="s">
        <v>16</v>
      </c>
      <c r="K46" s="138"/>
    </row>
    <row r="47" ht="15.75" customHeight="1">
      <c r="A47" s="142">
        <v>43423.0</v>
      </c>
      <c r="B47" s="138" t="s">
        <v>1514</v>
      </c>
      <c r="C47" s="138"/>
      <c r="D47" s="146" t="s">
        <v>1515</v>
      </c>
      <c r="E47" s="138" t="s">
        <v>1516</v>
      </c>
      <c r="F47" s="98" t="s">
        <v>179</v>
      </c>
      <c r="G47" s="138" t="s">
        <v>1517</v>
      </c>
      <c r="H47" s="138" t="s">
        <v>1518</v>
      </c>
      <c r="I47" s="98" t="s">
        <v>1519</v>
      </c>
      <c r="J47" s="138" t="s">
        <v>16</v>
      </c>
      <c r="K47" s="138"/>
    </row>
    <row r="48" ht="15.75" customHeight="1">
      <c r="A48" s="142">
        <v>43423.0</v>
      </c>
      <c r="B48" s="138" t="s">
        <v>234</v>
      </c>
      <c r="C48" s="138"/>
      <c r="D48" s="140" t="s">
        <v>1520</v>
      </c>
      <c r="E48" s="138" t="s">
        <v>1467</v>
      </c>
      <c r="F48" s="138" t="s">
        <v>222</v>
      </c>
      <c r="G48" s="98" t="s">
        <v>1521</v>
      </c>
      <c r="H48" s="138" t="s">
        <v>1522</v>
      </c>
      <c r="I48" s="138" t="s">
        <v>72</v>
      </c>
      <c r="J48" s="138" t="s">
        <v>244</v>
      </c>
      <c r="K48" s="138"/>
    </row>
    <row r="49" ht="15.75" customHeight="1">
      <c r="A49" s="142">
        <v>43423.0</v>
      </c>
      <c r="B49" s="138" t="s">
        <v>1523</v>
      </c>
      <c r="C49" s="138"/>
      <c r="D49" s="146" t="s">
        <v>1524</v>
      </c>
      <c r="E49" s="138" t="s">
        <v>1525</v>
      </c>
      <c r="F49" s="138" t="s">
        <v>222</v>
      </c>
      <c r="G49" s="98" t="s">
        <v>1526</v>
      </c>
      <c r="H49" s="138" t="s">
        <v>1527</v>
      </c>
      <c r="I49" s="138" t="s">
        <v>1517</v>
      </c>
      <c r="J49" s="138" t="s">
        <v>300</v>
      </c>
      <c r="K49" s="138"/>
    </row>
    <row r="50" ht="15.0" customHeight="1">
      <c r="A50" s="142">
        <v>43424.0</v>
      </c>
      <c r="B50" s="138" t="s">
        <v>1528</v>
      </c>
      <c r="C50" s="138"/>
      <c r="D50" s="140" t="s">
        <v>1529</v>
      </c>
      <c r="E50" s="138" t="s">
        <v>1530</v>
      </c>
      <c r="F50" s="138" t="s">
        <v>1531</v>
      </c>
      <c r="G50" s="98" t="s">
        <v>1532</v>
      </c>
      <c r="H50" s="138" t="s">
        <v>1533</v>
      </c>
      <c r="I50" s="138"/>
      <c r="J50" s="138" t="s">
        <v>244</v>
      </c>
      <c r="K50" s="138"/>
    </row>
    <row r="51" ht="15.75" customHeight="1">
      <c r="A51" s="142">
        <v>43424.0</v>
      </c>
      <c r="B51" s="138" t="s">
        <v>1534</v>
      </c>
      <c r="C51" s="138"/>
      <c r="D51" s="140" t="s">
        <v>1535</v>
      </c>
      <c r="E51" s="138" t="s">
        <v>1536</v>
      </c>
      <c r="F51" s="138" t="s">
        <v>1537</v>
      </c>
      <c r="G51" s="98" t="s">
        <v>1538</v>
      </c>
      <c r="H51" s="138" t="s">
        <v>1539</v>
      </c>
      <c r="I51" s="138"/>
      <c r="J51" s="138" t="s">
        <v>569</v>
      </c>
      <c r="K51" s="138"/>
    </row>
    <row r="52" ht="15.75" customHeight="1">
      <c r="A52" s="142">
        <v>43424.0</v>
      </c>
      <c r="B52" s="138" t="s">
        <v>1540</v>
      </c>
      <c r="C52" s="138"/>
      <c r="D52" s="146" t="s">
        <v>1541</v>
      </c>
      <c r="E52" s="138" t="s">
        <v>1542</v>
      </c>
      <c r="F52" s="138" t="s">
        <v>1543</v>
      </c>
      <c r="G52" s="98" t="s">
        <v>1513</v>
      </c>
      <c r="H52" s="138"/>
      <c r="I52" s="138"/>
      <c r="J52" s="138" t="s">
        <v>16</v>
      </c>
      <c r="K52" s="138"/>
    </row>
    <row r="53" ht="15.75" customHeight="1">
      <c r="A53" s="142">
        <v>43424.0</v>
      </c>
      <c r="B53" s="151" t="s">
        <v>1544</v>
      </c>
      <c r="C53" s="138"/>
      <c r="D53" s="140" t="s">
        <v>1545</v>
      </c>
      <c r="E53" s="138" t="s">
        <v>1546</v>
      </c>
      <c r="F53" s="138" t="s">
        <v>1547</v>
      </c>
      <c r="G53" s="138"/>
      <c r="H53" s="138"/>
      <c r="I53" s="138"/>
      <c r="J53" s="138" t="s">
        <v>250</v>
      </c>
      <c r="K53" s="138"/>
    </row>
    <row r="54" ht="15.75" customHeight="1">
      <c r="A54" s="142">
        <v>43426.0</v>
      </c>
      <c r="B54" s="138" t="s">
        <v>1548</v>
      </c>
      <c r="C54" s="138"/>
      <c r="D54" s="140" t="s">
        <v>1549</v>
      </c>
      <c r="E54" s="138" t="s">
        <v>1550</v>
      </c>
      <c r="F54" s="98" t="s">
        <v>179</v>
      </c>
      <c r="G54" s="102" t="s">
        <v>1551</v>
      </c>
      <c r="H54" s="138"/>
      <c r="I54" s="138"/>
      <c r="J54" s="138" t="s">
        <v>250</v>
      </c>
      <c r="K54" s="138"/>
    </row>
    <row r="55" ht="15.75" customHeight="1">
      <c r="A55" s="142">
        <v>43428.0</v>
      </c>
      <c r="B55" s="138" t="s">
        <v>1552</v>
      </c>
      <c r="C55" s="138"/>
      <c r="D55" s="140" t="s">
        <v>1553</v>
      </c>
      <c r="E55" s="1" t="s">
        <v>1554</v>
      </c>
      <c r="F55" s="98" t="s">
        <v>179</v>
      </c>
      <c r="G55" s="102" t="s">
        <v>1555</v>
      </c>
      <c r="H55" s="138" t="s">
        <v>1556</v>
      </c>
      <c r="I55" s="138"/>
      <c r="J55" s="163" t="s">
        <v>761</v>
      </c>
      <c r="K55" s="138"/>
    </row>
    <row r="56" ht="15.75" customHeight="1">
      <c r="A56" s="142">
        <v>43428.0</v>
      </c>
      <c r="B56" s="138" t="s">
        <v>1557</v>
      </c>
      <c r="C56" s="138"/>
      <c r="D56" s="140" t="s">
        <v>1558</v>
      </c>
      <c r="E56" s="1" t="s">
        <v>1559</v>
      </c>
      <c r="F56" s="98" t="s">
        <v>179</v>
      </c>
      <c r="G56" s="102" t="s">
        <v>1560</v>
      </c>
      <c r="H56" s="138" t="s">
        <v>372</v>
      </c>
      <c r="I56" s="138"/>
      <c r="J56" s="138" t="s">
        <v>300</v>
      </c>
      <c r="K56" s="138"/>
    </row>
    <row r="57" ht="15.75" customHeight="1">
      <c r="A57" s="142">
        <v>43428.0</v>
      </c>
      <c r="B57" s="138" t="s">
        <v>1561</v>
      </c>
      <c r="C57" s="138"/>
      <c r="D57" s="140" t="s">
        <v>1562</v>
      </c>
      <c r="E57" s="138"/>
      <c r="F57" s="1" t="s">
        <v>330</v>
      </c>
      <c r="G57" s="102" t="s">
        <v>1563</v>
      </c>
      <c r="H57" s="138" t="s">
        <v>1564</v>
      </c>
      <c r="I57" s="138"/>
      <c r="J57" s="138" t="s">
        <v>395</v>
      </c>
      <c r="K57" s="138"/>
    </row>
    <row r="58" ht="15.75" customHeight="1">
      <c r="A58" s="142">
        <v>43428.0</v>
      </c>
      <c r="B58" s="138" t="s">
        <v>1523</v>
      </c>
      <c r="C58" s="138"/>
      <c r="D58" s="146" t="s">
        <v>1524</v>
      </c>
      <c r="E58" s="138" t="s">
        <v>1525</v>
      </c>
      <c r="F58" s="98" t="s">
        <v>179</v>
      </c>
      <c r="G58" s="102" t="s">
        <v>1526</v>
      </c>
      <c r="H58" s="138" t="s">
        <v>1527</v>
      </c>
      <c r="I58" s="138"/>
      <c r="J58" s="138" t="s">
        <v>300</v>
      </c>
      <c r="K58" s="138"/>
    </row>
    <row r="59" ht="15.75" customHeight="1">
      <c r="A59" s="142">
        <v>43428.0</v>
      </c>
      <c r="B59" s="138" t="s">
        <v>1565</v>
      </c>
      <c r="C59" s="138"/>
      <c r="D59" s="140" t="s">
        <v>1566</v>
      </c>
      <c r="E59" s="1" t="s">
        <v>1567</v>
      </c>
      <c r="F59" s="1" t="s">
        <v>222</v>
      </c>
      <c r="G59" s="138" t="s">
        <v>1568</v>
      </c>
      <c r="H59" s="138" t="s">
        <v>1569</v>
      </c>
      <c r="I59" s="138"/>
      <c r="J59" s="163" t="s">
        <v>761</v>
      </c>
      <c r="K59" s="138"/>
    </row>
    <row r="60" ht="15.75" customHeight="1">
      <c r="A60" s="142">
        <v>43428.0</v>
      </c>
      <c r="B60" s="138" t="s">
        <v>1570</v>
      </c>
      <c r="C60" s="138"/>
      <c r="D60" s="140" t="s">
        <v>1571</v>
      </c>
      <c r="E60" s="138" t="s">
        <v>1572</v>
      </c>
      <c r="F60" s="138" t="s">
        <v>1573</v>
      </c>
      <c r="G60" s="102" t="s">
        <v>1574</v>
      </c>
      <c r="H60" s="138" t="s">
        <v>1512</v>
      </c>
      <c r="I60" s="138"/>
      <c r="J60" s="138" t="s">
        <v>16</v>
      </c>
      <c r="K60" s="138"/>
    </row>
    <row r="61" ht="15.75" customHeight="1">
      <c r="A61" s="142">
        <v>43429.0</v>
      </c>
      <c r="B61" s="151" t="s">
        <v>1575</v>
      </c>
      <c r="C61" s="138"/>
      <c r="D61" s="164" t="s">
        <v>1576</v>
      </c>
      <c r="E61" s="138" t="s">
        <v>1577</v>
      </c>
      <c r="F61" s="98" t="s">
        <v>179</v>
      </c>
      <c r="G61" s="102" t="s">
        <v>1578</v>
      </c>
      <c r="H61" s="138"/>
      <c r="I61" s="138"/>
      <c r="J61" s="138" t="s">
        <v>1002</v>
      </c>
      <c r="K61" s="138"/>
    </row>
    <row r="62" ht="15.75" customHeight="1">
      <c r="A62" s="142">
        <v>43429.0</v>
      </c>
      <c r="B62" s="138" t="s">
        <v>1579</v>
      </c>
      <c r="C62" s="138"/>
      <c r="D62" s="140" t="s">
        <v>1580</v>
      </c>
      <c r="E62" s="1" t="s">
        <v>1581</v>
      </c>
      <c r="F62" s="98" t="s">
        <v>179</v>
      </c>
      <c r="H62" s="138" t="s">
        <v>279</v>
      </c>
      <c r="I62" s="138"/>
      <c r="J62" s="138" t="s">
        <v>16</v>
      </c>
      <c r="K62" s="138"/>
    </row>
    <row r="63" ht="15.75" customHeight="1">
      <c r="A63" s="142">
        <v>43429.0</v>
      </c>
      <c r="B63" s="138" t="s">
        <v>1582</v>
      </c>
      <c r="C63" s="138"/>
      <c r="D63" s="140" t="s">
        <v>1583</v>
      </c>
      <c r="E63" s="1" t="s">
        <v>1584</v>
      </c>
      <c r="F63" s="98" t="s">
        <v>179</v>
      </c>
      <c r="G63" s="102" t="s">
        <v>1585</v>
      </c>
      <c r="H63" s="138" t="s">
        <v>643</v>
      </c>
      <c r="I63" s="138"/>
      <c r="J63" s="138" t="s">
        <v>16</v>
      </c>
      <c r="K63" s="138"/>
    </row>
    <row r="64" ht="15.75" customHeight="1">
      <c r="A64" s="142">
        <v>43429.0</v>
      </c>
      <c r="B64" s="138" t="s">
        <v>1586</v>
      </c>
      <c r="C64" s="138"/>
      <c r="D64" s="140" t="s">
        <v>1587</v>
      </c>
      <c r="E64" s="1" t="s">
        <v>1588</v>
      </c>
      <c r="F64" s="1" t="s">
        <v>222</v>
      </c>
      <c r="G64" s="138" t="s">
        <v>1589</v>
      </c>
      <c r="H64" s="138"/>
      <c r="I64" s="102" t="s">
        <v>1590</v>
      </c>
      <c r="J64" s="138" t="s">
        <v>244</v>
      </c>
      <c r="K64" s="138"/>
    </row>
    <row r="65" ht="15.75" customHeight="1">
      <c r="A65" s="142">
        <v>43429.0</v>
      </c>
      <c r="B65" s="138" t="s">
        <v>234</v>
      </c>
      <c r="C65" s="138"/>
      <c r="D65" s="140" t="s">
        <v>1591</v>
      </c>
      <c r="E65" s="1" t="s">
        <v>1592</v>
      </c>
      <c r="F65" s="1" t="s">
        <v>222</v>
      </c>
      <c r="G65" s="102" t="s">
        <v>1593</v>
      </c>
      <c r="H65" s="138" t="s">
        <v>406</v>
      </c>
      <c r="I65" s="138" t="s">
        <v>1594</v>
      </c>
      <c r="J65" s="138" t="s">
        <v>16</v>
      </c>
      <c r="K65" s="138"/>
    </row>
    <row r="66" ht="15.75" customHeight="1">
      <c r="A66" s="142">
        <v>43429.0</v>
      </c>
      <c r="B66" s="1" t="s">
        <v>1595</v>
      </c>
      <c r="C66" s="138"/>
      <c r="D66" s="165" t="s">
        <v>1596</v>
      </c>
      <c r="E66" s="1" t="s">
        <v>1597</v>
      </c>
      <c r="F66" s="1" t="s">
        <v>222</v>
      </c>
      <c r="G66" s="102" t="s">
        <v>1598</v>
      </c>
      <c r="H66" s="138" t="s">
        <v>1599</v>
      </c>
      <c r="I66" s="138" t="s">
        <v>1600</v>
      </c>
      <c r="J66" s="1" t="s">
        <v>1601</v>
      </c>
      <c r="K66" s="138"/>
    </row>
    <row r="67" ht="15.75" customHeight="1">
      <c r="A67" s="142">
        <v>43430.0</v>
      </c>
      <c r="B67" s="1" t="s">
        <v>1602</v>
      </c>
      <c r="C67" s="138"/>
      <c r="D67" s="140" t="s">
        <v>1603</v>
      </c>
      <c r="E67" s="1" t="s">
        <v>1604</v>
      </c>
      <c r="F67" s="98" t="s">
        <v>179</v>
      </c>
      <c r="G67" s="1" t="s">
        <v>1605</v>
      </c>
      <c r="H67" s="138" t="s">
        <v>1512</v>
      </c>
      <c r="I67" s="138"/>
      <c r="J67" s="138" t="s">
        <v>16</v>
      </c>
      <c r="K67" s="138"/>
    </row>
    <row r="68" ht="15.75" customHeight="1">
      <c r="A68" s="142">
        <v>43430.0</v>
      </c>
      <c r="B68" s="138" t="s">
        <v>234</v>
      </c>
      <c r="C68" s="138"/>
      <c r="D68" s="140" t="s">
        <v>1606</v>
      </c>
      <c r="E68" s="1" t="s">
        <v>1607</v>
      </c>
      <c r="F68" s="1" t="s">
        <v>222</v>
      </c>
      <c r="G68" s="1" t="s">
        <v>1608</v>
      </c>
      <c r="H68" s="138" t="s">
        <v>1609</v>
      </c>
      <c r="I68" s="138"/>
      <c r="J68" s="138" t="s">
        <v>1610</v>
      </c>
      <c r="K68" s="138"/>
    </row>
    <row r="69" ht="15.75" customHeight="1">
      <c r="A69" s="142">
        <v>43430.0</v>
      </c>
      <c r="B69" s="1" t="s">
        <v>1611</v>
      </c>
      <c r="C69" s="138"/>
      <c r="D69" s="140" t="s">
        <v>1612</v>
      </c>
      <c r="E69" s="1" t="s">
        <v>1604</v>
      </c>
      <c r="F69" s="1" t="s">
        <v>1543</v>
      </c>
      <c r="G69" s="102" t="s">
        <v>1574</v>
      </c>
      <c r="H69" s="138" t="s">
        <v>1512</v>
      </c>
      <c r="I69" s="138"/>
      <c r="J69" s="138" t="s">
        <v>16</v>
      </c>
      <c r="K69" s="138"/>
    </row>
    <row r="70" ht="15.75" customHeight="1">
      <c r="A70" s="142">
        <v>43430.0</v>
      </c>
      <c r="B70" s="1" t="s">
        <v>1613</v>
      </c>
      <c r="C70" s="138"/>
      <c r="D70" s="140" t="s">
        <v>1614</v>
      </c>
      <c r="E70" s="1" t="s">
        <v>1615</v>
      </c>
      <c r="F70" s="1" t="s">
        <v>222</v>
      </c>
      <c r="G70" s="1" t="s">
        <v>1616</v>
      </c>
      <c r="H70" s="138"/>
      <c r="I70" s="138"/>
      <c r="J70" s="138" t="s">
        <v>300</v>
      </c>
      <c r="K70" s="138"/>
    </row>
    <row r="71" ht="15.75" customHeight="1">
      <c r="A71" s="142">
        <v>43430.0</v>
      </c>
      <c r="B71" s="138" t="s">
        <v>569</v>
      </c>
      <c r="C71" s="138"/>
      <c r="D71" s="146" t="s">
        <v>1617</v>
      </c>
      <c r="E71" s="1" t="s">
        <v>1618</v>
      </c>
      <c r="F71" s="1" t="s">
        <v>1619</v>
      </c>
      <c r="G71" s="1" t="s">
        <v>1620</v>
      </c>
      <c r="H71" s="138" t="s">
        <v>543</v>
      </c>
      <c r="I71" s="138"/>
      <c r="J71" s="138" t="s">
        <v>1621</v>
      </c>
      <c r="K71" s="138"/>
    </row>
    <row r="72" ht="15.75" customHeight="1">
      <c r="A72" s="142">
        <v>43431.0</v>
      </c>
      <c r="B72" s="1" t="s">
        <v>1622</v>
      </c>
      <c r="C72" s="138"/>
      <c r="D72" s="140" t="s">
        <v>1623</v>
      </c>
      <c r="E72" s="1" t="s">
        <v>1624</v>
      </c>
      <c r="F72" s="1" t="s">
        <v>222</v>
      </c>
      <c r="G72" s="1" t="s">
        <v>1625</v>
      </c>
      <c r="H72" s="138" t="s">
        <v>1626</v>
      </c>
      <c r="I72" s="138" t="s">
        <v>1627</v>
      </c>
      <c r="J72" s="138" t="s">
        <v>16</v>
      </c>
      <c r="K72" s="138"/>
    </row>
    <row r="73" ht="15.75" customHeight="1">
      <c r="A73" s="142">
        <v>43431.0</v>
      </c>
      <c r="B73" s="1" t="s">
        <v>1628</v>
      </c>
      <c r="C73" s="138"/>
      <c r="D73" s="164" t="s">
        <v>1629</v>
      </c>
      <c r="E73" s="1" t="s">
        <v>1630</v>
      </c>
      <c r="F73" s="98" t="s">
        <v>179</v>
      </c>
      <c r="G73" s="1" t="s">
        <v>1631</v>
      </c>
      <c r="H73" s="138"/>
      <c r="I73" s="138"/>
      <c r="J73" s="138" t="s">
        <v>16</v>
      </c>
      <c r="K73" s="138"/>
    </row>
    <row r="74" ht="15.75" customHeight="1">
      <c r="A74" s="142">
        <v>43431.0</v>
      </c>
      <c r="B74" s="1" t="s">
        <v>1632</v>
      </c>
      <c r="C74" s="138"/>
      <c r="D74" s="165" t="s">
        <v>1633</v>
      </c>
      <c r="E74" s="138"/>
      <c r="F74" s="1" t="s">
        <v>222</v>
      </c>
      <c r="G74" s="1" t="s">
        <v>1634</v>
      </c>
      <c r="H74" s="138" t="s">
        <v>1635</v>
      </c>
      <c r="I74" s="138"/>
      <c r="J74" s="138" t="s">
        <v>244</v>
      </c>
      <c r="K74" s="138"/>
    </row>
    <row r="75" ht="15.75" customHeight="1">
      <c r="A75" s="142">
        <v>43432.0</v>
      </c>
      <c r="B75" s="1" t="s">
        <v>1636</v>
      </c>
      <c r="C75" s="138"/>
      <c r="D75" s="146" t="s">
        <v>1637</v>
      </c>
      <c r="E75" s="138" t="s">
        <v>1638</v>
      </c>
      <c r="F75" s="98" t="s">
        <v>179</v>
      </c>
      <c r="G75" s="1" t="s">
        <v>1639</v>
      </c>
      <c r="H75" s="138" t="s">
        <v>372</v>
      </c>
      <c r="I75" s="138"/>
      <c r="J75" s="138" t="s">
        <v>201</v>
      </c>
      <c r="K75" s="138"/>
    </row>
    <row r="76" ht="15.75" customHeight="1">
      <c r="A76" s="142">
        <v>43432.0</v>
      </c>
      <c r="B76" s="138" t="s">
        <v>1640</v>
      </c>
      <c r="C76" s="138"/>
      <c r="D76" s="140" t="s">
        <v>1641</v>
      </c>
      <c r="E76" s="138" t="s">
        <v>1642</v>
      </c>
      <c r="F76" s="98" t="s">
        <v>179</v>
      </c>
      <c r="G76" s="102" t="s">
        <v>1643</v>
      </c>
      <c r="H76" s="138" t="s">
        <v>260</v>
      </c>
      <c r="I76" s="138"/>
      <c r="J76" s="138" t="s">
        <v>16</v>
      </c>
      <c r="K76" s="138"/>
    </row>
    <row r="77" ht="15.75" customHeight="1">
      <c r="A77" s="142">
        <v>43432.0</v>
      </c>
      <c r="B77" s="138" t="s">
        <v>1644</v>
      </c>
      <c r="C77" s="138"/>
      <c r="D77" s="140" t="s">
        <v>1645</v>
      </c>
      <c r="E77" s="138" t="s">
        <v>1646</v>
      </c>
      <c r="F77" s="98" t="s">
        <v>179</v>
      </c>
      <c r="G77" s="102" t="s">
        <v>1643</v>
      </c>
      <c r="H77" s="138" t="s">
        <v>260</v>
      </c>
      <c r="I77" s="138"/>
      <c r="J77" s="138" t="s">
        <v>16</v>
      </c>
      <c r="K77" s="138"/>
    </row>
    <row r="78" ht="15.75" customHeight="1">
      <c r="A78" s="142">
        <v>43432.0</v>
      </c>
      <c r="B78" s="89" t="s">
        <v>1647</v>
      </c>
      <c r="C78" s="138"/>
      <c r="D78" s="166" t="s">
        <v>1648</v>
      </c>
      <c r="E78" s="89" t="s">
        <v>1649</v>
      </c>
      <c r="F78" s="1" t="s">
        <v>833</v>
      </c>
      <c r="H78" s="138"/>
      <c r="I78" s="138"/>
      <c r="J78" s="138"/>
      <c r="K78" s="138"/>
    </row>
    <row r="79" ht="15.75" customHeight="1">
      <c r="A79" s="142">
        <v>43432.0</v>
      </c>
      <c r="B79" s="138" t="s">
        <v>1650</v>
      </c>
      <c r="C79" s="138"/>
      <c r="D79" s="140" t="s">
        <v>1651</v>
      </c>
      <c r="E79" s="138"/>
      <c r="G79" s="1" t="s">
        <v>1652</v>
      </c>
      <c r="H79" s="138"/>
      <c r="I79" s="138" t="s">
        <v>1653</v>
      </c>
      <c r="J79" s="138" t="s">
        <v>244</v>
      </c>
      <c r="K79" s="138"/>
    </row>
    <row r="80" ht="15.75" customHeight="1">
      <c r="A80" s="142">
        <v>43433.0</v>
      </c>
      <c r="B80" s="138" t="s">
        <v>1654</v>
      </c>
      <c r="C80" s="138"/>
      <c r="D80" s="140" t="s">
        <v>1655</v>
      </c>
      <c r="E80" s="138" t="s">
        <v>1656</v>
      </c>
      <c r="F80" s="1" t="s">
        <v>222</v>
      </c>
      <c r="G80" s="89" t="s">
        <v>1657</v>
      </c>
      <c r="H80" s="138" t="s">
        <v>1658</v>
      </c>
      <c r="I80" s="138"/>
      <c r="J80" s="138" t="s">
        <v>201</v>
      </c>
      <c r="K80" s="138"/>
    </row>
    <row r="81" ht="15.75" customHeight="1">
      <c r="A81" s="142">
        <v>43433.0</v>
      </c>
      <c r="B81" s="1" t="s">
        <v>1659</v>
      </c>
      <c r="C81" s="138"/>
      <c r="D81" s="162">
        <v>9.71585859002E11</v>
      </c>
      <c r="E81" s="1" t="s">
        <v>1660</v>
      </c>
      <c r="F81" s="98" t="s">
        <v>179</v>
      </c>
      <c r="G81" s="1" t="s">
        <v>1657</v>
      </c>
      <c r="H81" s="138"/>
      <c r="I81" s="138"/>
      <c r="J81" s="138" t="s">
        <v>201</v>
      </c>
      <c r="K81" s="138"/>
    </row>
    <row r="82" ht="15.75" customHeight="1">
      <c r="A82" s="142">
        <v>43433.0</v>
      </c>
      <c r="B82" s="1" t="s">
        <v>234</v>
      </c>
      <c r="C82" s="138"/>
      <c r="D82" s="146" t="s">
        <v>1661</v>
      </c>
      <c r="E82" s="1" t="s">
        <v>1662</v>
      </c>
      <c r="F82" s="1" t="s">
        <v>222</v>
      </c>
      <c r="G82" s="1" t="s">
        <v>1663</v>
      </c>
      <c r="H82" s="1" t="s">
        <v>285</v>
      </c>
      <c r="I82" s="151" t="s">
        <v>1664</v>
      </c>
      <c r="J82" s="138" t="s">
        <v>201</v>
      </c>
      <c r="K82" s="138"/>
    </row>
    <row r="83" ht="15.75" customHeight="1">
      <c r="A83" s="142">
        <v>43433.0</v>
      </c>
      <c r="B83" s="1" t="s">
        <v>234</v>
      </c>
      <c r="C83" s="138"/>
      <c r="D83" s="140" t="s">
        <v>1665</v>
      </c>
      <c r="E83" s="1" t="s">
        <v>1666</v>
      </c>
      <c r="F83" s="1" t="s">
        <v>222</v>
      </c>
      <c r="G83" s="1" t="s">
        <v>1667</v>
      </c>
      <c r="H83" s="138" t="s">
        <v>1668</v>
      </c>
      <c r="I83" s="138" t="s">
        <v>1669</v>
      </c>
      <c r="J83" s="138" t="s">
        <v>16</v>
      </c>
      <c r="K83" s="138"/>
    </row>
    <row r="84" ht="15.75" customHeight="1">
      <c r="A84" s="142">
        <v>43433.0</v>
      </c>
      <c r="B84" s="1" t="s">
        <v>1670</v>
      </c>
      <c r="C84" s="138"/>
      <c r="D84" s="164" t="s">
        <v>1671</v>
      </c>
      <c r="E84" s="1" t="s">
        <v>1672</v>
      </c>
      <c r="F84" s="1" t="s">
        <v>222</v>
      </c>
      <c r="G84" s="1" t="s">
        <v>1593</v>
      </c>
      <c r="H84" s="138" t="s">
        <v>406</v>
      </c>
      <c r="I84" s="138" t="s">
        <v>1673</v>
      </c>
      <c r="J84" s="138" t="s">
        <v>16</v>
      </c>
      <c r="K84" s="138"/>
    </row>
    <row r="85" ht="15.75" customHeight="1">
      <c r="A85" s="142">
        <v>43433.0</v>
      </c>
      <c r="B85" s="1" t="s">
        <v>1674</v>
      </c>
      <c r="C85" s="138"/>
      <c r="D85" s="165" t="s">
        <v>1675</v>
      </c>
      <c r="E85" s="1" t="s">
        <v>1676</v>
      </c>
      <c r="F85" s="98" t="s">
        <v>179</v>
      </c>
      <c r="G85" s="1" t="s">
        <v>1677</v>
      </c>
      <c r="H85" s="138" t="s">
        <v>1678</v>
      </c>
      <c r="I85" s="138"/>
      <c r="J85" s="138" t="s">
        <v>1679</v>
      </c>
      <c r="K85" s="138"/>
    </row>
    <row r="86" ht="15.75" customHeight="1">
      <c r="A86" s="142">
        <v>43433.0</v>
      </c>
      <c r="B86" s="1" t="s">
        <v>1680</v>
      </c>
      <c r="C86" s="138"/>
      <c r="D86" s="140" t="s">
        <v>1681</v>
      </c>
      <c r="E86" s="164" t="s">
        <v>1682</v>
      </c>
      <c r="F86" s="98" t="s">
        <v>179</v>
      </c>
      <c r="G86" s="1" t="s">
        <v>1657</v>
      </c>
      <c r="H86" s="138" t="s">
        <v>1658</v>
      </c>
      <c r="I86" s="138"/>
      <c r="J86" s="138" t="s">
        <v>201</v>
      </c>
      <c r="K86" s="138"/>
    </row>
    <row r="87" ht="15.75" customHeight="1">
      <c r="A87" s="142">
        <v>43433.0</v>
      </c>
      <c r="B87" s="1" t="s">
        <v>1683</v>
      </c>
      <c r="C87" s="138"/>
      <c r="D87" s="140" t="s">
        <v>1684</v>
      </c>
      <c r="E87" s="1" t="s">
        <v>1685</v>
      </c>
      <c r="F87" s="1" t="s">
        <v>1686</v>
      </c>
      <c r="G87" s="1" t="s">
        <v>1687</v>
      </c>
      <c r="H87" s="138" t="s">
        <v>817</v>
      </c>
      <c r="J87" s="138" t="s">
        <v>201</v>
      </c>
      <c r="K87" s="138"/>
    </row>
    <row r="88" ht="15.75" customHeight="1">
      <c r="A88" s="167">
        <v>43424.0</v>
      </c>
      <c r="B88" s="124" t="s">
        <v>1403</v>
      </c>
      <c r="C88" s="124"/>
      <c r="D88" s="168" t="s">
        <v>1404</v>
      </c>
      <c r="E88" s="124" t="s">
        <v>1405</v>
      </c>
      <c r="F88" s="169" t="s">
        <v>179</v>
      </c>
      <c r="G88" s="170" t="s">
        <v>1406</v>
      </c>
      <c r="H88" s="124"/>
      <c r="J88" s="124" t="s">
        <v>470</v>
      </c>
      <c r="K88" s="124"/>
      <c r="L88" s="124"/>
      <c r="M88" s="124"/>
      <c r="N88" s="124"/>
      <c r="O88" s="124"/>
      <c r="P88" s="124"/>
      <c r="Q88" s="124"/>
      <c r="R88" s="124"/>
      <c r="S88" s="124"/>
      <c r="T88" s="124"/>
      <c r="U88" s="124"/>
      <c r="V88" s="124"/>
      <c r="W88" s="124"/>
      <c r="X88" s="124"/>
      <c r="Y88" s="124"/>
      <c r="Z88" s="124"/>
      <c r="AA88" s="124"/>
      <c r="AB88" s="124"/>
      <c r="AC88" s="124"/>
      <c r="AD88" s="124"/>
    </row>
    <row r="89" ht="15.75" customHeight="1">
      <c r="A89" s="138"/>
      <c r="B89" s="138"/>
      <c r="C89" s="138"/>
      <c r="D89" s="138"/>
      <c r="E89" s="138"/>
      <c r="G89" s="138"/>
      <c r="H89" s="138"/>
      <c r="I89" s="138"/>
      <c r="J89" s="138"/>
      <c r="K89" s="138"/>
    </row>
    <row r="90" ht="15.75" customHeight="1">
      <c r="A90" s="138"/>
      <c r="B90" s="138"/>
      <c r="C90" s="138"/>
      <c r="D90" s="138"/>
      <c r="E90" s="138"/>
      <c r="G90" s="138"/>
      <c r="H90" s="138"/>
      <c r="I90" s="138"/>
      <c r="J90" s="138"/>
      <c r="K90" s="138"/>
    </row>
    <row r="91" ht="15.75" customHeight="1">
      <c r="A91" s="138"/>
      <c r="B91" s="138"/>
      <c r="C91" s="138"/>
      <c r="D91" s="138"/>
      <c r="E91" s="138"/>
      <c r="G91" s="138"/>
      <c r="H91" s="138"/>
      <c r="I91" s="138"/>
      <c r="J91" s="138"/>
      <c r="K91" s="138"/>
    </row>
    <row r="92" ht="15.75" customHeight="1">
      <c r="A92" s="138"/>
      <c r="B92" s="138"/>
      <c r="C92" s="138"/>
      <c r="D92" s="138"/>
      <c r="E92" s="138"/>
      <c r="F92" s="138"/>
      <c r="G92" s="138"/>
      <c r="H92" s="138"/>
      <c r="I92" s="138"/>
      <c r="J92" s="138"/>
      <c r="K92" s="138"/>
    </row>
    <row r="93" ht="15.75" customHeight="1">
      <c r="A93" s="138"/>
      <c r="B93" s="138"/>
      <c r="C93" s="138"/>
      <c r="D93" s="138"/>
      <c r="E93" s="138"/>
      <c r="F93" s="138"/>
      <c r="G93" s="138"/>
      <c r="H93" s="138"/>
      <c r="I93" s="138"/>
      <c r="J93" s="138"/>
      <c r="K93" s="138"/>
    </row>
    <row r="94" ht="15.75" customHeight="1">
      <c r="A94" s="138"/>
      <c r="B94" s="138"/>
      <c r="C94" s="138"/>
      <c r="D94" s="138"/>
      <c r="E94" s="138"/>
      <c r="F94" s="138"/>
      <c r="G94" s="138"/>
      <c r="H94" s="138"/>
      <c r="I94" s="138"/>
      <c r="J94" s="138"/>
      <c r="K94" s="138"/>
    </row>
    <row r="95" ht="15.75" customHeight="1">
      <c r="A95" s="138"/>
      <c r="B95" s="138"/>
      <c r="C95" s="138"/>
      <c r="D95" s="138"/>
      <c r="E95" s="138"/>
      <c r="F95" s="138"/>
      <c r="G95" s="138"/>
      <c r="H95" s="138"/>
      <c r="I95" s="138"/>
      <c r="J95" s="138"/>
      <c r="K95" s="138"/>
    </row>
    <row r="96" ht="15.75" customHeight="1">
      <c r="A96" s="138"/>
      <c r="B96" s="138"/>
      <c r="C96" s="138"/>
      <c r="D96" s="138"/>
      <c r="E96" s="138"/>
      <c r="F96" s="138"/>
      <c r="G96" s="138"/>
      <c r="H96" s="138"/>
      <c r="I96" s="138"/>
      <c r="J96" s="138"/>
      <c r="K96" s="138"/>
    </row>
    <row r="97" ht="15.75" customHeight="1">
      <c r="A97" s="138"/>
      <c r="B97" s="138"/>
      <c r="C97" s="138"/>
      <c r="D97" s="138"/>
      <c r="E97" s="138"/>
      <c r="F97" s="138"/>
      <c r="G97" s="138"/>
      <c r="H97" s="138"/>
      <c r="I97" s="138"/>
      <c r="J97" s="138"/>
      <c r="K97" s="138"/>
    </row>
    <row r="98" ht="15.75" customHeight="1">
      <c r="A98" s="138"/>
      <c r="B98" s="138"/>
      <c r="C98" s="138"/>
      <c r="D98" s="138"/>
      <c r="E98" s="138"/>
      <c r="F98" s="138"/>
      <c r="G98" s="138"/>
      <c r="H98" s="138"/>
      <c r="I98" s="138"/>
      <c r="J98" s="138"/>
      <c r="K98" s="138"/>
    </row>
    <row r="99" ht="15.75" customHeight="1">
      <c r="A99" s="138"/>
      <c r="B99" s="138"/>
      <c r="C99" s="138"/>
      <c r="D99" s="138"/>
      <c r="E99" s="138"/>
      <c r="F99" s="138"/>
      <c r="G99" s="138"/>
      <c r="H99" s="138"/>
      <c r="I99" s="138"/>
      <c r="J99" s="138"/>
      <c r="K99" s="138"/>
    </row>
    <row r="100" ht="15.75" customHeight="1">
      <c r="A100" s="138"/>
      <c r="B100" s="138"/>
      <c r="C100" s="138"/>
      <c r="D100" s="138"/>
      <c r="E100" s="138"/>
      <c r="F100" s="138"/>
      <c r="G100" s="138"/>
      <c r="H100" s="138"/>
      <c r="I100" s="138"/>
      <c r="J100" s="138"/>
      <c r="K100" s="138"/>
    </row>
    <row r="101" ht="15.75" customHeight="1">
      <c r="A101" s="138"/>
      <c r="B101" s="138"/>
      <c r="C101" s="138"/>
      <c r="D101" s="138"/>
      <c r="E101" s="138"/>
      <c r="F101" s="138"/>
      <c r="G101" s="138"/>
      <c r="H101" s="138"/>
      <c r="I101" s="138"/>
      <c r="J101" s="138"/>
      <c r="K101" s="138"/>
    </row>
    <row r="102" ht="15.75" customHeight="1">
      <c r="A102" s="138"/>
      <c r="B102" s="138"/>
      <c r="C102" s="138"/>
      <c r="D102" s="138"/>
      <c r="E102" s="138"/>
      <c r="F102" s="138"/>
      <c r="G102" s="138"/>
      <c r="H102" s="138"/>
      <c r="I102" s="138"/>
      <c r="J102" s="138"/>
      <c r="K102" s="138"/>
    </row>
    <row r="103" ht="15.75" customHeight="1">
      <c r="A103" s="138"/>
      <c r="B103" s="138"/>
      <c r="C103" s="138"/>
      <c r="D103" s="138"/>
      <c r="E103" s="138"/>
      <c r="F103" s="138"/>
      <c r="G103" s="138"/>
      <c r="H103" s="138"/>
      <c r="I103" s="138"/>
      <c r="J103" s="138"/>
      <c r="K103" s="138"/>
    </row>
    <row r="104" ht="15.75" customHeight="1">
      <c r="A104" s="138"/>
      <c r="B104" s="138"/>
      <c r="C104" s="138"/>
      <c r="D104" s="138"/>
      <c r="E104" s="138"/>
      <c r="F104" s="138"/>
      <c r="G104" s="138"/>
      <c r="H104" s="138"/>
      <c r="I104" s="138"/>
      <c r="J104" s="138"/>
      <c r="K104" s="138"/>
    </row>
    <row r="105" ht="15.75" customHeight="1">
      <c r="A105" s="138"/>
      <c r="B105" s="138"/>
      <c r="C105" s="138"/>
      <c r="D105" s="138"/>
      <c r="E105" s="138"/>
      <c r="F105" s="138"/>
      <c r="G105" s="138"/>
      <c r="H105" s="138"/>
      <c r="I105" s="138"/>
      <c r="J105" s="138"/>
      <c r="K105" s="138"/>
    </row>
    <row r="106" ht="15.75" customHeight="1">
      <c r="A106" s="138"/>
      <c r="B106" s="138"/>
      <c r="C106" s="138"/>
      <c r="D106" s="138"/>
      <c r="E106" s="138"/>
      <c r="F106" s="138"/>
      <c r="G106" s="138"/>
      <c r="H106" s="138"/>
      <c r="I106" s="138"/>
      <c r="J106" s="138"/>
      <c r="K106" s="138"/>
    </row>
    <row r="107" ht="15.75" customHeight="1">
      <c r="A107" s="138"/>
      <c r="B107" s="138"/>
      <c r="C107" s="138"/>
      <c r="D107" s="138"/>
      <c r="E107" s="138"/>
      <c r="F107" s="138"/>
      <c r="G107" s="138"/>
      <c r="H107" s="138"/>
      <c r="I107" s="138"/>
      <c r="J107" s="138"/>
      <c r="K107" s="138"/>
    </row>
    <row r="108" ht="15.75" customHeight="1">
      <c r="A108" s="138"/>
      <c r="B108" s="138"/>
      <c r="C108" s="138"/>
      <c r="D108" s="138"/>
      <c r="E108" s="138"/>
      <c r="F108" s="138"/>
      <c r="G108" s="138"/>
      <c r="H108" s="138"/>
      <c r="I108" s="138"/>
      <c r="J108" s="138"/>
      <c r="K108" s="138"/>
    </row>
    <row r="109" ht="15.75" customHeight="1">
      <c r="A109" s="138"/>
      <c r="B109" s="138"/>
      <c r="C109" s="138"/>
      <c r="D109" s="138"/>
      <c r="E109" s="138"/>
      <c r="F109" s="138"/>
      <c r="G109" s="138"/>
      <c r="H109" s="138"/>
      <c r="I109" s="138"/>
      <c r="J109" s="138"/>
      <c r="K109" s="138"/>
    </row>
    <row r="110" ht="15.75" customHeight="1">
      <c r="A110" s="138"/>
      <c r="B110" s="138"/>
      <c r="C110" s="138"/>
      <c r="D110" s="138"/>
      <c r="E110" s="138"/>
      <c r="F110" s="138"/>
      <c r="G110" s="138"/>
      <c r="H110" s="138"/>
      <c r="I110" s="138"/>
      <c r="J110" s="138"/>
      <c r="K110" s="138"/>
    </row>
    <row r="111" ht="15.75" customHeight="1">
      <c r="A111" s="138"/>
      <c r="B111" s="138"/>
      <c r="C111" s="138"/>
      <c r="D111" s="138"/>
      <c r="E111" s="138"/>
      <c r="F111" s="138"/>
      <c r="G111" s="138"/>
      <c r="H111" s="138"/>
      <c r="I111" s="138"/>
      <c r="J111" s="138"/>
      <c r="K111" s="138"/>
    </row>
    <row r="112" ht="15.75" customHeight="1">
      <c r="A112" s="138"/>
      <c r="B112" s="138"/>
      <c r="C112" s="138"/>
      <c r="D112" s="138"/>
      <c r="E112" s="138"/>
      <c r="F112" s="138"/>
      <c r="G112" s="138"/>
      <c r="H112" s="138"/>
      <c r="I112" s="138"/>
      <c r="J112" s="138"/>
      <c r="K112" s="138"/>
    </row>
    <row r="113" ht="15.75" customHeight="1">
      <c r="A113" s="138"/>
      <c r="B113" s="138"/>
      <c r="C113" s="138"/>
      <c r="D113" s="138"/>
      <c r="E113" s="138"/>
      <c r="F113" s="138"/>
      <c r="G113" s="138"/>
      <c r="H113" s="138"/>
      <c r="I113" s="138"/>
      <c r="J113" s="138"/>
      <c r="K113" s="138"/>
    </row>
    <row r="114" ht="15.75" customHeight="1">
      <c r="A114" s="138"/>
      <c r="B114" s="138"/>
      <c r="C114" s="138"/>
      <c r="D114" s="138"/>
      <c r="E114" s="138"/>
      <c r="F114" s="138"/>
      <c r="G114" s="138"/>
      <c r="H114" s="138"/>
      <c r="I114" s="138"/>
      <c r="J114" s="138"/>
      <c r="K114" s="138"/>
    </row>
    <row r="115" ht="15.75" customHeight="1">
      <c r="A115" s="138"/>
      <c r="B115" s="138"/>
      <c r="C115" s="138"/>
      <c r="D115" s="138"/>
      <c r="E115" s="138"/>
      <c r="F115" s="138"/>
      <c r="G115" s="138"/>
      <c r="H115" s="138"/>
      <c r="I115" s="138"/>
      <c r="J115" s="138"/>
      <c r="K115" s="138"/>
    </row>
    <row r="116" ht="15.75" customHeight="1">
      <c r="A116" s="138"/>
      <c r="B116" s="138"/>
      <c r="C116" s="138"/>
      <c r="D116" s="138"/>
      <c r="E116" s="138"/>
      <c r="F116" s="138"/>
      <c r="G116" s="138"/>
      <c r="H116" s="138"/>
      <c r="I116" s="138"/>
      <c r="J116" s="138"/>
      <c r="K116" s="138"/>
    </row>
    <row r="117" ht="15.75" customHeight="1">
      <c r="A117" s="138"/>
      <c r="B117" s="138"/>
      <c r="C117" s="138"/>
      <c r="D117" s="138"/>
      <c r="E117" s="138"/>
      <c r="F117" s="138"/>
      <c r="G117" s="138"/>
      <c r="H117" s="138"/>
      <c r="I117" s="138"/>
      <c r="J117" s="138"/>
      <c r="K117" s="138"/>
    </row>
    <row r="118" ht="15.75" customHeight="1">
      <c r="A118" s="138"/>
      <c r="B118" s="138"/>
      <c r="C118" s="138"/>
      <c r="D118" s="138"/>
      <c r="E118" s="138"/>
      <c r="F118" s="138"/>
      <c r="G118" s="138"/>
      <c r="H118" s="138"/>
      <c r="I118" s="138"/>
      <c r="J118" s="138"/>
      <c r="K118" s="138"/>
    </row>
    <row r="119" ht="15.75" customHeight="1">
      <c r="A119" s="138"/>
      <c r="B119" s="138"/>
      <c r="C119" s="138"/>
      <c r="D119" s="138"/>
      <c r="E119" s="138"/>
      <c r="F119" s="138"/>
      <c r="G119" s="138"/>
      <c r="H119" s="138"/>
      <c r="I119" s="138"/>
      <c r="J119" s="138"/>
      <c r="K119" s="138"/>
    </row>
    <row r="120" ht="15.75" customHeight="1">
      <c r="A120" s="138"/>
      <c r="B120" s="138"/>
      <c r="C120" s="138"/>
      <c r="D120" s="138"/>
      <c r="E120" s="138"/>
      <c r="F120" s="138"/>
      <c r="G120" s="138"/>
      <c r="H120" s="138"/>
      <c r="I120" s="138"/>
      <c r="J120" s="138"/>
      <c r="K120" s="138"/>
    </row>
    <row r="121" ht="15.75" customHeight="1">
      <c r="A121" s="138"/>
      <c r="B121" s="138"/>
      <c r="C121" s="138"/>
      <c r="D121" s="138"/>
      <c r="E121" s="138"/>
      <c r="F121" s="138"/>
      <c r="G121" s="138"/>
      <c r="H121" s="138"/>
      <c r="I121" s="138"/>
      <c r="J121" s="138"/>
      <c r="K121" s="138"/>
    </row>
    <row r="122" ht="15.75" customHeight="1">
      <c r="A122" s="138"/>
      <c r="B122" s="138"/>
      <c r="C122" s="138"/>
      <c r="D122" s="138"/>
      <c r="E122" s="138"/>
      <c r="F122" s="138"/>
      <c r="G122" s="138"/>
      <c r="H122" s="138"/>
      <c r="I122" s="138"/>
      <c r="J122" s="138"/>
      <c r="K122" s="138"/>
    </row>
    <row r="123" ht="15.75" customHeight="1">
      <c r="A123" s="138"/>
      <c r="B123" s="138"/>
      <c r="C123" s="138"/>
      <c r="D123" s="138"/>
      <c r="E123" s="138"/>
      <c r="F123" s="138"/>
      <c r="G123" s="138"/>
      <c r="H123" s="138"/>
      <c r="I123" s="138"/>
      <c r="J123" s="138"/>
      <c r="K123" s="138"/>
    </row>
    <row r="124" ht="15.75" customHeight="1">
      <c r="A124" s="138"/>
      <c r="B124" s="138"/>
      <c r="C124" s="138"/>
      <c r="D124" s="138"/>
      <c r="E124" s="138"/>
      <c r="F124" s="138"/>
      <c r="G124" s="138"/>
      <c r="H124" s="138"/>
      <c r="I124" s="138"/>
      <c r="J124" s="138"/>
      <c r="K124" s="138"/>
    </row>
    <row r="125" ht="15.75" customHeight="1">
      <c r="A125" s="138"/>
      <c r="B125" s="138"/>
      <c r="C125" s="138"/>
      <c r="D125" s="138"/>
      <c r="E125" s="138"/>
      <c r="F125" s="138"/>
      <c r="G125" s="138"/>
      <c r="H125" s="138"/>
      <c r="I125" s="138"/>
      <c r="J125" s="138"/>
      <c r="K125" s="138"/>
    </row>
    <row r="126" ht="15.75" customHeight="1">
      <c r="A126" s="138"/>
      <c r="B126" s="138"/>
      <c r="C126" s="138"/>
      <c r="D126" s="138"/>
      <c r="E126" s="138"/>
      <c r="F126" s="138"/>
      <c r="G126" s="138"/>
      <c r="H126" s="138"/>
      <c r="I126" s="138"/>
      <c r="J126" s="138"/>
      <c r="K126" s="138"/>
    </row>
    <row r="127" ht="15.75" customHeight="1">
      <c r="A127" s="138"/>
      <c r="B127" s="138"/>
      <c r="C127" s="138"/>
      <c r="D127" s="138"/>
      <c r="E127" s="138"/>
      <c r="F127" s="138"/>
      <c r="G127" s="138"/>
      <c r="H127" s="138"/>
      <c r="I127" s="138"/>
      <c r="J127" s="138"/>
      <c r="K127" s="138"/>
    </row>
    <row r="128" ht="15.75" customHeight="1">
      <c r="A128" s="138"/>
      <c r="B128" s="138"/>
      <c r="C128" s="138"/>
      <c r="D128" s="138"/>
      <c r="E128" s="138"/>
      <c r="F128" s="138"/>
      <c r="G128" s="138"/>
      <c r="H128" s="138"/>
      <c r="I128" s="138"/>
      <c r="J128" s="138"/>
      <c r="K128" s="138"/>
    </row>
    <row r="129" ht="15.75" customHeight="1">
      <c r="A129" s="138"/>
      <c r="B129" s="138"/>
      <c r="C129" s="138"/>
      <c r="D129" s="138"/>
      <c r="E129" s="138"/>
      <c r="F129" s="138"/>
      <c r="G129" s="138"/>
      <c r="H129" s="138"/>
      <c r="I129" s="138"/>
      <c r="J129" s="138"/>
      <c r="K129" s="138"/>
    </row>
    <row r="130" ht="15.75" customHeight="1">
      <c r="A130" s="138"/>
      <c r="B130" s="138"/>
      <c r="C130" s="138"/>
      <c r="D130" s="138"/>
      <c r="E130" s="138"/>
      <c r="F130" s="138"/>
      <c r="G130" s="138"/>
      <c r="H130" s="138"/>
      <c r="I130" s="138"/>
      <c r="J130" s="138"/>
      <c r="K130" s="138"/>
    </row>
    <row r="131" ht="15.75" customHeight="1">
      <c r="A131" s="138"/>
      <c r="B131" s="138"/>
      <c r="C131" s="138"/>
      <c r="D131" s="138"/>
      <c r="E131" s="138"/>
      <c r="F131" s="138"/>
      <c r="G131" s="138"/>
      <c r="H131" s="138"/>
      <c r="I131" s="138"/>
      <c r="J131" s="138"/>
      <c r="K131" s="138"/>
    </row>
    <row r="132" ht="15.75" customHeight="1">
      <c r="A132" s="138"/>
      <c r="B132" s="138"/>
      <c r="C132" s="138"/>
      <c r="D132" s="138"/>
      <c r="E132" s="138"/>
      <c r="F132" s="138"/>
      <c r="G132" s="138"/>
      <c r="H132" s="138"/>
      <c r="I132" s="138"/>
      <c r="J132" s="138"/>
      <c r="K132" s="138"/>
    </row>
    <row r="133" ht="15.75" customHeight="1">
      <c r="A133" s="138"/>
      <c r="B133" s="138"/>
      <c r="C133" s="138"/>
      <c r="D133" s="138"/>
      <c r="E133" s="138"/>
      <c r="F133" s="138"/>
      <c r="G133" s="138"/>
      <c r="H133" s="138"/>
      <c r="I133" s="138"/>
      <c r="J133" s="138"/>
      <c r="K133" s="138"/>
    </row>
    <row r="134" ht="15.75" customHeight="1">
      <c r="A134" s="138"/>
      <c r="B134" s="138"/>
      <c r="C134" s="138"/>
      <c r="D134" s="138"/>
      <c r="E134" s="138"/>
      <c r="F134" s="138"/>
      <c r="G134" s="138"/>
      <c r="H134" s="138"/>
      <c r="I134" s="138"/>
      <c r="J134" s="138"/>
      <c r="K134" s="138"/>
    </row>
    <row r="135" ht="15.75" customHeight="1">
      <c r="A135" s="138"/>
      <c r="B135" s="138"/>
      <c r="C135" s="138"/>
      <c r="D135" s="138"/>
      <c r="E135" s="138"/>
      <c r="F135" s="138"/>
      <c r="G135" s="138"/>
      <c r="H135" s="138"/>
      <c r="I135" s="138"/>
      <c r="J135" s="138"/>
      <c r="K135" s="138"/>
    </row>
    <row r="136" ht="15.75" customHeight="1">
      <c r="A136" s="138"/>
      <c r="B136" s="138"/>
      <c r="C136" s="138"/>
      <c r="D136" s="138"/>
      <c r="E136" s="138"/>
      <c r="F136" s="138"/>
      <c r="G136" s="138"/>
      <c r="H136" s="138"/>
      <c r="I136" s="138"/>
      <c r="J136" s="138"/>
      <c r="K136" s="138"/>
    </row>
    <row r="137" ht="15.75" customHeight="1">
      <c r="A137" s="138"/>
      <c r="B137" s="138"/>
      <c r="C137" s="138"/>
      <c r="D137" s="138"/>
      <c r="E137" s="138"/>
      <c r="F137" s="138"/>
      <c r="G137" s="138"/>
      <c r="H137" s="138"/>
      <c r="I137" s="138"/>
      <c r="J137" s="138"/>
      <c r="K137" s="138"/>
    </row>
    <row r="138" ht="15.75" customHeight="1">
      <c r="A138" s="138"/>
      <c r="B138" s="138"/>
      <c r="C138" s="138"/>
      <c r="D138" s="138"/>
      <c r="E138" s="138"/>
      <c r="F138" s="138"/>
      <c r="G138" s="138"/>
      <c r="H138" s="138"/>
      <c r="I138" s="138"/>
      <c r="J138" s="138"/>
      <c r="K138" s="138"/>
    </row>
    <row r="139" ht="15.75" customHeight="1">
      <c r="A139" s="138"/>
      <c r="B139" s="138"/>
      <c r="C139" s="138"/>
      <c r="D139" s="138"/>
      <c r="E139" s="138"/>
      <c r="F139" s="138"/>
      <c r="G139" s="138"/>
      <c r="H139" s="138"/>
      <c r="I139" s="138"/>
      <c r="J139" s="138"/>
      <c r="K139" s="138"/>
    </row>
    <row r="140" ht="15.75" customHeight="1">
      <c r="A140" s="138"/>
      <c r="B140" s="138"/>
      <c r="C140" s="138"/>
      <c r="D140" s="138"/>
      <c r="E140" s="138"/>
      <c r="F140" s="138"/>
      <c r="G140" s="138"/>
      <c r="H140" s="138"/>
      <c r="I140" s="138"/>
      <c r="J140" s="138"/>
      <c r="K140" s="138"/>
    </row>
    <row r="141" ht="15.75" customHeight="1">
      <c r="A141" s="138"/>
      <c r="B141" s="138"/>
      <c r="C141" s="138"/>
      <c r="D141" s="138"/>
      <c r="E141" s="138"/>
      <c r="F141" s="138"/>
      <c r="G141" s="138"/>
      <c r="H141" s="138"/>
      <c r="I141" s="138"/>
      <c r="J141" s="138"/>
      <c r="K141" s="138"/>
    </row>
    <row r="142" ht="15.75" customHeight="1">
      <c r="A142" s="138"/>
      <c r="B142" s="138"/>
      <c r="C142" s="138"/>
      <c r="D142" s="138"/>
      <c r="E142" s="138"/>
      <c r="F142" s="138"/>
      <c r="G142" s="138"/>
      <c r="H142" s="138"/>
      <c r="I142" s="138"/>
      <c r="J142" s="138"/>
      <c r="K142" s="138"/>
    </row>
    <row r="143" ht="15.75" customHeight="1">
      <c r="A143" s="138"/>
      <c r="B143" s="138"/>
      <c r="C143" s="138"/>
      <c r="D143" s="138"/>
      <c r="E143" s="138"/>
      <c r="F143" s="138"/>
      <c r="G143" s="138"/>
      <c r="H143" s="138"/>
      <c r="I143" s="138"/>
      <c r="J143" s="138"/>
      <c r="K143" s="138"/>
    </row>
    <row r="144" ht="15.75" customHeight="1">
      <c r="A144" s="138"/>
      <c r="B144" s="138"/>
      <c r="C144" s="138"/>
      <c r="D144" s="138"/>
      <c r="E144" s="138"/>
      <c r="F144" s="138"/>
      <c r="G144" s="138"/>
      <c r="H144" s="138"/>
      <c r="I144" s="138"/>
      <c r="J144" s="138"/>
      <c r="K144" s="138"/>
    </row>
    <row r="145" ht="15.75" customHeight="1">
      <c r="A145" s="138"/>
      <c r="B145" s="138"/>
      <c r="C145" s="138"/>
      <c r="D145" s="138"/>
      <c r="E145" s="138"/>
      <c r="F145" s="138"/>
      <c r="G145" s="138"/>
      <c r="H145" s="138"/>
      <c r="I145" s="138"/>
      <c r="J145" s="138"/>
      <c r="K145" s="138"/>
    </row>
    <row r="146" ht="15.75" customHeight="1">
      <c r="A146" s="138"/>
      <c r="B146" s="138"/>
      <c r="C146" s="138"/>
      <c r="D146" s="138"/>
      <c r="E146" s="138"/>
      <c r="F146" s="138"/>
      <c r="G146" s="138"/>
      <c r="H146" s="138"/>
      <c r="I146" s="138"/>
      <c r="J146" s="138"/>
      <c r="K146" s="138"/>
    </row>
    <row r="147" ht="15.75" customHeight="1">
      <c r="A147" s="138"/>
      <c r="B147" s="138"/>
      <c r="C147" s="138"/>
      <c r="D147" s="138"/>
      <c r="E147" s="138"/>
      <c r="F147" s="138"/>
      <c r="G147" s="138"/>
      <c r="H147" s="138"/>
      <c r="I147" s="138"/>
      <c r="J147" s="138"/>
      <c r="K147" s="138"/>
    </row>
    <row r="148" ht="15.75" customHeight="1">
      <c r="A148" s="138"/>
      <c r="B148" s="138"/>
      <c r="C148" s="138"/>
      <c r="D148" s="138"/>
      <c r="E148" s="138"/>
      <c r="F148" s="138"/>
      <c r="G148" s="138"/>
      <c r="H148" s="138"/>
      <c r="I148" s="138"/>
      <c r="J148" s="138"/>
      <c r="K148" s="138"/>
    </row>
    <row r="149" ht="15.75" customHeight="1">
      <c r="A149" s="138"/>
      <c r="B149" s="138"/>
      <c r="C149" s="138"/>
      <c r="D149" s="138"/>
      <c r="E149" s="138"/>
      <c r="F149" s="138"/>
      <c r="G149" s="138"/>
      <c r="H149" s="138"/>
      <c r="I149" s="138"/>
      <c r="J149" s="138"/>
      <c r="K149" s="138"/>
    </row>
    <row r="150" ht="15.75" customHeight="1">
      <c r="A150" s="138"/>
      <c r="B150" s="138"/>
      <c r="C150" s="138"/>
      <c r="D150" s="138"/>
      <c r="E150" s="138"/>
      <c r="F150" s="138"/>
      <c r="G150" s="138"/>
      <c r="H150" s="138"/>
      <c r="I150" s="138"/>
      <c r="J150" s="138"/>
      <c r="K150" s="138"/>
    </row>
    <row r="151" ht="15.75" customHeight="1">
      <c r="A151" s="138"/>
      <c r="B151" s="138"/>
      <c r="C151" s="138"/>
      <c r="D151" s="138"/>
      <c r="E151" s="138"/>
      <c r="F151" s="138"/>
      <c r="G151" s="138"/>
      <c r="H151" s="138"/>
      <c r="I151" s="138"/>
      <c r="J151" s="138"/>
      <c r="K151" s="138"/>
    </row>
    <row r="152" ht="15.75" customHeight="1">
      <c r="A152" s="138"/>
      <c r="B152" s="138"/>
      <c r="C152" s="138"/>
      <c r="D152" s="138"/>
      <c r="E152" s="138"/>
      <c r="F152" s="138"/>
      <c r="G152" s="138"/>
      <c r="H152" s="138"/>
      <c r="I152" s="138"/>
      <c r="J152" s="138"/>
      <c r="K152" s="138"/>
    </row>
    <row r="153" ht="15.75" customHeight="1">
      <c r="A153" s="138"/>
      <c r="B153" s="138"/>
      <c r="C153" s="138"/>
      <c r="D153" s="138"/>
      <c r="E153" s="138"/>
      <c r="F153" s="138"/>
      <c r="G153" s="138"/>
      <c r="H153" s="138"/>
      <c r="I153" s="138"/>
      <c r="J153" s="138"/>
      <c r="K153" s="138"/>
    </row>
    <row r="154" ht="15.75" customHeight="1">
      <c r="A154" s="138"/>
      <c r="B154" s="138"/>
      <c r="C154" s="138"/>
      <c r="D154" s="138"/>
      <c r="E154" s="138"/>
      <c r="F154" s="138"/>
      <c r="G154" s="138"/>
      <c r="H154" s="138"/>
      <c r="I154" s="138"/>
      <c r="J154" s="138"/>
      <c r="K154" s="138"/>
    </row>
    <row r="155" ht="15.75" customHeight="1">
      <c r="A155" s="138"/>
      <c r="B155" s="138"/>
      <c r="C155" s="138"/>
      <c r="D155" s="138"/>
      <c r="E155" s="138"/>
      <c r="F155" s="138"/>
      <c r="G155" s="138"/>
      <c r="H155" s="138"/>
      <c r="I155" s="138"/>
      <c r="J155" s="138"/>
      <c r="K155" s="138"/>
    </row>
    <row r="156" ht="15.75" customHeight="1">
      <c r="A156" s="138"/>
      <c r="B156" s="138"/>
      <c r="C156" s="138"/>
      <c r="D156" s="138"/>
      <c r="E156" s="138"/>
      <c r="F156" s="138"/>
      <c r="G156" s="138"/>
      <c r="H156" s="138"/>
      <c r="I156" s="138"/>
      <c r="J156" s="138"/>
      <c r="K156" s="138"/>
    </row>
    <row r="157" ht="15.75" customHeight="1">
      <c r="A157" s="138"/>
      <c r="B157" s="138"/>
      <c r="C157" s="138"/>
      <c r="D157" s="138"/>
      <c r="E157" s="138"/>
      <c r="F157" s="138"/>
      <c r="G157" s="138"/>
      <c r="H157" s="138"/>
      <c r="I157" s="138"/>
      <c r="J157" s="138"/>
      <c r="K157" s="138"/>
    </row>
    <row r="158" ht="15.75" customHeight="1">
      <c r="A158" s="138"/>
      <c r="B158" s="138"/>
      <c r="C158" s="138"/>
      <c r="D158" s="138"/>
      <c r="E158" s="138"/>
      <c r="F158" s="138"/>
      <c r="G158" s="138"/>
      <c r="H158" s="138"/>
      <c r="I158" s="138"/>
      <c r="J158" s="138"/>
      <c r="K158" s="138"/>
    </row>
    <row r="159" ht="15.75" customHeight="1">
      <c r="A159" s="138"/>
      <c r="B159" s="138"/>
      <c r="C159" s="138"/>
      <c r="D159" s="138"/>
      <c r="E159" s="138"/>
      <c r="F159" s="138"/>
      <c r="G159" s="138"/>
      <c r="H159" s="138"/>
      <c r="I159" s="138"/>
      <c r="J159" s="138"/>
      <c r="K159" s="138"/>
    </row>
    <row r="160" ht="15.75" customHeight="1">
      <c r="A160" s="138"/>
      <c r="B160" s="138"/>
      <c r="C160" s="138"/>
      <c r="D160" s="138"/>
      <c r="E160" s="138"/>
      <c r="F160" s="138"/>
      <c r="G160" s="138"/>
      <c r="H160" s="138"/>
      <c r="I160" s="138"/>
      <c r="J160" s="138"/>
      <c r="K160" s="138"/>
    </row>
    <row r="161" ht="15.75" customHeight="1">
      <c r="A161" s="138"/>
      <c r="B161" s="138"/>
      <c r="C161" s="138"/>
      <c r="D161" s="138"/>
      <c r="E161" s="138"/>
      <c r="F161" s="138"/>
      <c r="G161" s="138"/>
      <c r="H161" s="138"/>
      <c r="I161" s="138"/>
      <c r="J161" s="138"/>
      <c r="K161" s="138"/>
    </row>
    <row r="162" ht="15.75" customHeight="1">
      <c r="A162" s="138"/>
      <c r="B162" s="138"/>
      <c r="C162" s="138"/>
      <c r="D162" s="138"/>
      <c r="E162" s="138"/>
      <c r="F162" s="138"/>
      <c r="G162" s="138"/>
      <c r="H162" s="138"/>
      <c r="I162" s="138"/>
      <c r="J162" s="138"/>
      <c r="K162" s="138"/>
    </row>
    <row r="163" ht="15.75" customHeight="1">
      <c r="A163" s="138"/>
      <c r="B163" s="138"/>
      <c r="C163" s="138"/>
      <c r="D163" s="138"/>
      <c r="E163" s="138"/>
      <c r="F163" s="138"/>
      <c r="G163" s="138"/>
      <c r="H163" s="138"/>
      <c r="I163" s="138"/>
      <c r="J163" s="138"/>
      <c r="K163" s="138"/>
    </row>
    <row r="164" ht="15.75" customHeight="1">
      <c r="A164" s="138"/>
      <c r="B164" s="138"/>
      <c r="C164" s="138"/>
      <c r="D164" s="138"/>
      <c r="E164" s="138"/>
      <c r="F164" s="138"/>
      <c r="G164" s="138"/>
      <c r="H164" s="138"/>
      <c r="I164" s="138"/>
      <c r="J164" s="138"/>
      <c r="K164" s="138"/>
    </row>
    <row r="165" ht="15.75" customHeight="1">
      <c r="A165" s="138"/>
      <c r="B165" s="138"/>
      <c r="C165" s="138"/>
      <c r="D165" s="138"/>
      <c r="E165" s="138"/>
      <c r="F165" s="138"/>
      <c r="G165" s="138"/>
      <c r="H165" s="138"/>
      <c r="I165" s="138"/>
      <c r="J165" s="138"/>
      <c r="K165" s="138"/>
    </row>
    <row r="166" ht="15.75" customHeight="1">
      <c r="A166" s="138"/>
      <c r="B166" s="138"/>
      <c r="C166" s="138"/>
      <c r="D166" s="138"/>
      <c r="E166" s="138"/>
      <c r="F166" s="138"/>
      <c r="G166" s="138"/>
      <c r="H166" s="138"/>
      <c r="I166" s="138"/>
      <c r="J166" s="138"/>
      <c r="K166" s="138"/>
    </row>
    <row r="167" ht="15.75" customHeight="1">
      <c r="A167" s="138"/>
      <c r="B167" s="138"/>
      <c r="C167" s="138"/>
      <c r="D167" s="138"/>
      <c r="E167" s="138"/>
      <c r="F167" s="138"/>
      <c r="G167" s="138"/>
      <c r="H167" s="138"/>
      <c r="I167" s="138"/>
      <c r="J167" s="138"/>
      <c r="K167" s="138"/>
    </row>
    <row r="168" ht="15.75" customHeight="1">
      <c r="A168" s="138"/>
      <c r="B168" s="138"/>
      <c r="C168" s="138"/>
      <c r="D168" s="138"/>
      <c r="E168" s="138"/>
      <c r="F168" s="138"/>
      <c r="G168" s="138"/>
      <c r="H168" s="138"/>
      <c r="I168" s="138"/>
      <c r="J168" s="138"/>
      <c r="K168" s="138"/>
    </row>
    <row r="169" ht="15.75" customHeight="1">
      <c r="A169" s="138"/>
      <c r="B169" s="138"/>
      <c r="C169" s="138"/>
      <c r="D169" s="138"/>
      <c r="E169" s="138"/>
      <c r="F169" s="138"/>
      <c r="G169" s="138"/>
      <c r="H169" s="138"/>
      <c r="I169" s="138"/>
      <c r="J169" s="138"/>
      <c r="K169" s="138"/>
    </row>
    <row r="170" ht="15.75" customHeight="1">
      <c r="A170" s="138"/>
      <c r="B170" s="138"/>
      <c r="C170" s="138"/>
      <c r="D170" s="138"/>
      <c r="E170" s="138"/>
      <c r="F170" s="138"/>
      <c r="G170" s="138"/>
      <c r="H170" s="138"/>
      <c r="I170" s="138"/>
      <c r="J170" s="138"/>
      <c r="K170" s="138"/>
    </row>
    <row r="171" ht="15.75" customHeight="1">
      <c r="A171" s="138"/>
      <c r="B171" s="138"/>
      <c r="C171" s="138"/>
      <c r="D171" s="138"/>
      <c r="E171" s="138"/>
      <c r="F171" s="138"/>
      <c r="G171" s="138"/>
      <c r="H171" s="138"/>
      <c r="I171" s="138"/>
      <c r="J171" s="138"/>
      <c r="K171" s="138"/>
    </row>
    <row r="172" ht="15.75" customHeight="1">
      <c r="A172" s="138"/>
      <c r="B172" s="138"/>
      <c r="C172" s="138"/>
      <c r="D172" s="138"/>
      <c r="E172" s="138"/>
      <c r="F172" s="138"/>
      <c r="G172" s="138"/>
      <c r="H172" s="138"/>
      <c r="I172" s="138"/>
      <c r="J172" s="138"/>
      <c r="K172" s="138"/>
    </row>
    <row r="173" ht="15.75" customHeight="1">
      <c r="A173" s="138"/>
      <c r="B173" s="138"/>
      <c r="C173" s="138"/>
      <c r="D173" s="138"/>
      <c r="E173" s="138"/>
      <c r="F173" s="138"/>
      <c r="G173" s="138"/>
      <c r="H173" s="138"/>
      <c r="I173" s="138"/>
      <c r="J173" s="138"/>
      <c r="K173" s="138"/>
    </row>
    <row r="174" ht="15.75" customHeight="1">
      <c r="A174" s="138"/>
      <c r="B174" s="138"/>
      <c r="C174" s="138"/>
      <c r="D174" s="138"/>
      <c r="E174" s="138"/>
      <c r="F174" s="138"/>
      <c r="G174" s="138"/>
      <c r="H174" s="138"/>
      <c r="I174" s="138"/>
      <c r="J174" s="138"/>
      <c r="K174" s="138"/>
    </row>
    <row r="175" ht="15.75" customHeight="1">
      <c r="A175" s="138"/>
      <c r="B175" s="138"/>
      <c r="C175" s="138"/>
      <c r="D175" s="138"/>
      <c r="E175" s="138"/>
      <c r="F175" s="138"/>
      <c r="G175" s="138"/>
      <c r="H175" s="138"/>
      <c r="I175" s="138"/>
      <c r="J175" s="138"/>
      <c r="K175" s="138"/>
    </row>
    <row r="176" ht="15.75" customHeight="1">
      <c r="A176" s="138"/>
      <c r="B176" s="138"/>
      <c r="C176" s="138"/>
      <c r="D176" s="138"/>
      <c r="E176" s="138"/>
      <c r="F176" s="138"/>
      <c r="G176" s="138"/>
      <c r="H176" s="138"/>
      <c r="I176" s="138"/>
      <c r="J176" s="138"/>
      <c r="K176" s="138"/>
    </row>
    <row r="177" ht="15.75" customHeight="1">
      <c r="A177" s="138"/>
      <c r="B177" s="138"/>
      <c r="C177" s="138"/>
      <c r="D177" s="138"/>
      <c r="E177" s="138"/>
      <c r="F177" s="138"/>
      <c r="G177" s="138"/>
      <c r="H177" s="138"/>
      <c r="I177" s="138"/>
      <c r="J177" s="138"/>
      <c r="K177" s="138"/>
    </row>
    <row r="178" ht="15.75" customHeight="1">
      <c r="A178" s="138"/>
      <c r="B178" s="138"/>
      <c r="C178" s="138"/>
      <c r="D178" s="138"/>
      <c r="E178" s="138"/>
      <c r="F178" s="138"/>
      <c r="G178" s="138"/>
      <c r="H178" s="138"/>
      <c r="I178" s="138"/>
      <c r="J178" s="138"/>
      <c r="K178" s="138"/>
    </row>
    <row r="179" ht="15.75" customHeight="1">
      <c r="A179" s="138"/>
      <c r="B179" s="138"/>
      <c r="C179" s="138"/>
      <c r="D179" s="138"/>
      <c r="E179" s="138"/>
      <c r="F179" s="138"/>
      <c r="G179" s="138"/>
      <c r="H179" s="138"/>
      <c r="I179" s="138"/>
      <c r="J179" s="138"/>
      <c r="K179" s="138"/>
    </row>
    <row r="180" ht="15.75" customHeight="1">
      <c r="A180" s="138"/>
      <c r="B180" s="138"/>
      <c r="C180" s="138"/>
      <c r="D180" s="138"/>
      <c r="E180" s="138"/>
      <c r="F180" s="138"/>
      <c r="G180" s="138"/>
      <c r="H180" s="138"/>
      <c r="I180" s="138"/>
      <c r="J180" s="138"/>
      <c r="K180" s="138"/>
    </row>
    <row r="181" ht="15.75" customHeight="1">
      <c r="A181" s="138"/>
      <c r="B181" s="138"/>
      <c r="C181" s="138"/>
      <c r="D181" s="138"/>
      <c r="E181" s="138"/>
      <c r="F181" s="138"/>
      <c r="G181" s="138"/>
      <c r="H181" s="138"/>
      <c r="I181" s="138"/>
      <c r="J181" s="138"/>
      <c r="K181" s="138"/>
    </row>
    <row r="182" ht="15.75" customHeight="1">
      <c r="A182" s="138"/>
      <c r="B182" s="138"/>
      <c r="C182" s="138"/>
      <c r="D182" s="138"/>
      <c r="E182" s="138"/>
      <c r="F182" s="138"/>
      <c r="G182" s="138"/>
      <c r="H182" s="138"/>
      <c r="I182" s="138"/>
      <c r="J182" s="138"/>
      <c r="K182" s="138"/>
    </row>
    <row r="183" ht="15.75" customHeight="1">
      <c r="A183" s="138"/>
      <c r="B183" s="138"/>
      <c r="C183" s="138"/>
      <c r="D183" s="138"/>
      <c r="E183" s="138"/>
      <c r="F183" s="138"/>
      <c r="G183" s="138"/>
      <c r="H183" s="138"/>
      <c r="I183" s="138"/>
      <c r="J183" s="138"/>
      <c r="K183" s="138"/>
    </row>
    <row r="184" ht="15.75" customHeight="1">
      <c r="A184" s="138"/>
      <c r="B184" s="138"/>
      <c r="C184" s="138"/>
      <c r="D184" s="138"/>
      <c r="E184" s="138"/>
      <c r="F184" s="138"/>
      <c r="G184" s="138"/>
      <c r="H184" s="138"/>
      <c r="I184" s="138"/>
      <c r="J184" s="138"/>
      <c r="K184" s="138"/>
    </row>
    <row r="185" ht="15.75" customHeight="1">
      <c r="A185" s="138"/>
      <c r="B185" s="138"/>
      <c r="C185" s="138"/>
      <c r="D185" s="138"/>
      <c r="E185" s="138"/>
      <c r="F185" s="138"/>
      <c r="G185" s="138"/>
      <c r="H185" s="138"/>
      <c r="I185" s="138"/>
      <c r="J185" s="138"/>
      <c r="K185" s="138"/>
    </row>
    <row r="186" ht="15.75" customHeight="1">
      <c r="A186" s="138"/>
      <c r="B186" s="138"/>
      <c r="C186" s="138"/>
      <c r="D186" s="138"/>
      <c r="E186" s="138"/>
      <c r="F186" s="138"/>
      <c r="G186" s="138"/>
      <c r="H186" s="138"/>
      <c r="I186" s="138"/>
      <c r="J186" s="138"/>
      <c r="K186" s="138"/>
    </row>
    <row r="187" ht="15.75" customHeight="1">
      <c r="A187" s="138"/>
      <c r="B187" s="138"/>
      <c r="C187" s="138"/>
      <c r="D187" s="138"/>
      <c r="E187" s="138"/>
      <c r="F187" s="138"/>
      <c r="G187" s="138"/>
      <c r="H187" s="138"/>
      <c r="I187" s="138"/>
      <c r="J187" s="138"/>
      <c r="K187" s="138"/>
    </row>
    <row r="188" ht="15.75" customHeight="1">
      <c r="A188" s="138"/>
      <c r="B188" s="138"/>
      <c r="C188" s="138"/>
      <c r="D188" s="138"/>
      <c r="E188" s="138"/>
      <c r="F188" s="138"/>
      <c r="G188" s="138"/>
      <c r="H188" s="138"/>
      <c r="I188" s="138"/>
      <c r="J188" s="138"/>
      <c r="K188" s="138"/>
    </row>
    <row r="189" ht="15.75" customHeight="1">
      <c r="A189" s="138"/>
      <c r="B189" s="138"/>
      <c r="C189" s="138"/>
      <c r="D189" s="138"/>
      <c r="E189" s="138"/>
      <c r="F189" s="138"/>
      <c r="G189" s="138"/>
      <c r="H189" s="138"/>
      <c r="I189" s="138"/>
      <c r="J189" s="138"/>
      <c r="K189" s="138"/>
    </row>
    <row r="190" ht="15.75" customHeight="1">
      <c r="A190" s="138"/>
      <c r="B190" s="138"/>
      <c r="C190" s="138"/>
      <c r="D190" s="138"/>
      <c r="E190" s="138"/>
      <c r="F190" s="138"/>
      <c r="G190" s="138"/>
      <c r="H190" s="138"/>
      <c r="I190" s="138"/>
      <c r="J190" s="138"/>
      <c r="K190" s="138"/>
    </row>
    <row r="191" ht="15.75" customHeight="1">
      <c r="A191" s="138"/>
      <c r="B191" s="138"/>
      <c r="C191" s="138"/>
      <c r="D191" s="138"/>
      <c r="E191" s="138"/>
      <c r="F191" s="138"/>
      <c r="G191" s="138"/>
      <c r="H191" s="138"/>
      <c r="I191" s="138"/>
      <c r="J191" s="138"/>
      <c r="K191" s="138"/>
    </row>
    <row r="192" ht="15.75" customHeight="1">
      <c r="A192" s="138"/>
      <c r="B192" s="138"/>
      <c r="C192" s="138"/>
      <c r="D192" s="138"/>
      <c r="E192" s="138"/>
      <c r="F192" s="138"/>
      <c r="G192" s="138"/>
      <c r="H192" s="138"/>
      <c r="I192" s="138"/>
      <c r="J192" s="138"/>
      <c r="K192" s="138"/>
    </row>
    <row r="193" ht="15.75" customHeight="1">
      <c r="A193" s="138"/>
      <c r="B193" s="138"/>
      <c r="C193" s="138"/>
      <c r="D193" s="138"/>
      <c r="E193" s="138"/>
      <c r="F193" s="138"/>
      <c r="G193" s="138"/>
      <c r="H193" s="138"/>
      <c r="I193" s="138"/>
      <c r="J193" s="138"/>
      <c r="K193" s="138"/>
    </row>
    <row r="194" ht="15.75" customHeight="1">
      <c r="A194" s="138"/>
      <c r="B194" s="138"/>
      <c r="C194" s="138"/>
      <c r="D194" s="138"/>
      <c r="E194" s="138"/>
      <c r="F194" s="138"/>
      <c r="G194" s="138"/>
      <c r="H194" s="138"/>
      <c r="I194" s="138"/>
      <c r="J194" s="138"/>
      <c r="K194" s="138"/>
    </row>
    <row r="195" ht="15.75" customHeight="1">
      <c r="A195" s="138"/>
      <c r="B195" s="138"/>
      <c r="C195" s="138"/>
      <c r="D195" s="138"/>
      <c r="E195" s="138"/>
      <c r="F195" s="138"/>
      <c r="G195" s="138"/>
      <c r="H195" s="138"/>
      <c r="I195" s="138"/>
      <c r="J195" s="138"/>
      <c r="K195" s="138"/>
    </row>
    <row r="196" ht="15.75" customHeight="1">
      <c r="A196" s="138"/>
      <c r="B196" s="138"/>
      <c r="C196" s="138"/>
      <c r="D196" s="138"/>
      <c r="E196" s="138"/>
      <c r="F196" s="138"/>
      <c r="G196" s="138"/>
      <c r="H196" s="138"/>
      <c r="I196" s="138"/>
      <c r="J196" s="138"/>
      <c r="K196" s="138"/>
    </row>
    <row r="197" ht="15.75" customHeight="1">
      <c r="A197" s="138"/>
      <c r="B197" s="138"/>
      <c r="C197" s="138"/>
      <c r="D197" s="138"/>
      <c r="E197" s="138"/>
      <c r="F197" s="138"/>
      <c r="G197" s="138"/>
      <c r="H197" s="138"/>
      <c r="I197" s="138"/>
      <c r="J197" s="138"/>
      <c r="K197" s="138"/>
    </row>
    <row r="198" ht="15.75" customHeight="1">
      <c r="A198" s="138"/>
      <c r="B198" s="138"/>
      <c r="C198" s="138"/>
      <c r="D198" s="138"/>
      <c r="E198" s="138"/>
      <c r="F198" s="138"/>
      <c r="G198" s="138"/>
      <c r="H198" s="138"/>
      <c r="I198" s="138"/>
      <c r="J198" s="138"/>
      <c r="K198" s="138"/>
    </row>
    <row r="199" ht="15.75" customHeight="1">
      <c r="A199" s="138"/>
      <c r="B199" s="138"/>
      <c r="C199" s="138"/>
      <c r="D199" s="138"/>
      <c r="E199" s="138"/>
      <c r="F199" s="138"/>
      <c r="G199" s="138"/>
      <c r="H199" s="138"/>
      <c r="I199" s="138"/>
      <c r="J199" s="138"/>
      <c r="K199" s="138"/>
    </row>
    <row r="200" ht="15.75" customHeight="1">
      <c r="A200" s="138"/>
      <c r="B200" s="138"/>
      <c r="C200" s="138"/>
      <c r="D200" s="138"/>
      <c r="E200" s="138"/>
      <c r="F200" s="138"/>
      <c r="G200" s="138"/>
      <c r="H200" s="138"/>
      <c r="I200" s="138"/>
      <c r="J200" s="138"/>
      <c r="K200" s="138"/>
    </row>
    <row r="201" ht="15.75" customHeight="1">
      <c r="A201" s="138"/>
      <c r="B201" s="138"/>
      <c r="C201" s="138"/>
      <c r="D201" s="138"/>
      <c r="E201" s="138"/>
      <c r="F201" s="138"/>
      <c r="G201" s="138"/>
      <c r="H201" s="138"/>
      <c r="I201" s="138"/>
      <c r="J201" s="138"/>
      <c r="K201" s="138"/>
    </row>
    <row r="202" ht="15.75" customHeight="1">
      <c r="A202" s="138"/>
      <c r="B202" s="138"/>
      <c r="C202" s="138"/>
      <c r="D202" s="138"/>
      <c r="E202" s="138"/>
      <c r="F202" s="138"/>
      <c r="G202" s="138"/>
      <c r="H202" s="138"/>
      <c r="I202" s="138"/>
      <c r="J202" s="138"/>
      <c r="K202" s="138"/>
    </row>
    <row r="203" ht="15.75" customHeight="1">
      <c r="A203" s="138"/>
      <c r="B203" s="138"/>
      <c r="C203" s="138"/>
      <c r="D203" s="138"/>
      <c r="E203" s="138"/>
      <c r="F203" s="138"/>
      <c r="G203" s="138"/>
      <c r="H203" s="138"/>
      <c r="I203" s="138"/>
      <c r="J203" s="138"/>
      <c r="K203" s="138"/>
    </row>
    <row r="204" ht="15.75" customHeight="1">
      <c r="A204" s="138"/>
      <c r="B204" s="138"/>
      <c r="C204" s="138"/>
      <c r="D204" s="138"/>
      <c r="E204" s="138"/>
      <c r="F204" s="138"/>
      <c r="G204" s="138"/>
      <c r="H204" s="138"/>
      <c r="I204" s="138"/>
      <c r="J204" s="138"/>
      <c r="K204" s="138"/>
    </row>
    <row r="205" ht="15.75" customHeight="1">
      <c r="A205" s="138"/>
      <c r="B205" s="138"/>
      <c r="C205" s="138"/>
      <c r="D205" s="138"/>
      <c r="E205" s="138"/>
      <c r="F205" s="138"/>
      <c r="G205" s="138"/>
      <c r="H205" s="138"/>
      <c r="I205" s="138"/>
      <c r="J205" s="138"/>
      <c r="K205" s="138"/>
    </row>
    <row r="206" ht="15.75" customHeight="1">
      <c r="A206" s="138"/>
      <c r="B206" s="138"/>
      <c r="C206" s="138"/>
      <c r="D206" s="138"/>
      <c r="E206" s="138"/>
      <c r="F206" s="138"/>
      <c r="G206" s="138"/>
      <c r="H206" s="138"/>
      <c r="I206" s="138"/>
      <c r="J206" s="138"/>
      <c r="K206" s="138"/>
    </row>
    <row r="207" ht="15.75" customHeight="1">
      <c r="A207" s="138"/>
      <c r="B207" s="138"/>
      <c r="C207" s="138"/>
      <c r="D207" s="138"/>
      <c r="E207" s="138"/>
      <c r="F207" s="138"/>
      <c r="G207" s="138"/>
      <c r="H207" s="138"/>
      <c r="I207" s="138"/>
      <c r="J207" s="138"/>
      <c r="K207" s="138"/>
    </row>
    <row r="208" ht="15.75" customHeight="1">
      <c r="A208" s="138"/>
      <c r="B208" s="138"/>
      <c r="C208" s="138"/>
      <c r="D208" s="138"/>
      <c r="E208" s="138"/>
      <c r="F208" s="138"/>
      <c r="G208" s="138"/>
      <c r="H208" s="138"/>
      <c r="I208" s="138"/>
      <c r="J208" s="138"/>
      <c r="K208" s="138"/>
    </row>
    <row r="209" ht="15.75" customHeight="1">
      <c r="A209" s="138"/>
      <c r="B209" s="138"/>
      <c r="C209" s="138"/>
      <c r="D209" s="138"/>
      <c r="E209" s="138"/>
      <c r="F209" s="138"/>
      <c r="G209" s="138"/>
      <c r="H209" s="138"/>
      <c r="I209" s="138"/>
      <c r="J209" s="138"/>
      <c r="K209" s="138"/>
    </row>
    <row r="210" ht="15.75" customHeight="1">
      <c r="A210" s="138"/>
      <c r="B210" s="138"/>
      <c r="C210" s="138"/>
      <c r="D210" s="138"/>
      <c r="E210" s="138"/>
      <c r="F210" s="138"/>
      <c r="G210" s="138"/>
      <c r="H210" s="138"/>
      <c r="I210" s="138"/>
      <c r="J210" s="138"/>
      <c r="K210" s="138"/>
    </row>
    <row r="211" ht="15.75" customHeight="1">
      <c r="A211" s="138"/>
      <c r="B211" s="138"/>
      <c r="C211" s="138"/>
      <c r="D211" s="138"/>
      <c r="E211" s="138"/>
      <c r="F211" s="138"/>
      <c r="G211" s="138"/>
      <c r="H211" s="138"/>
      <c r="I211" s="138"/>
      <c r="J211" s="138"/>
      <c r="K211" s="138"/>
    </row>
    <row r="212" ht="15.75" customHeight="1">
      <c r="A212" s="138"/>
      <c r="B212" s="138"/>
      <c r="C212" s="138"/>
      <c r="D212" s="138"/>
      <c r="E212" s="138"/>
      <c r="F212" s="138"/>
      <c r="G212" s="138"/>
      <c r="H212" s="138"/>
      <c r="I212" s="138"/>
      <c r="J212" s="138"/>
      <c r="K212" s="138"/>
    </row>
    <row r="213" ht="15.75" customHeight="1">
      <c r="A213" s="138"/>
      <c r="B213" s="138"/>
      <c r="C213" s="138"/>
      <c r="D213" s="138"/>
      <c r="E213" s="138"/>
      <c r="F213" s="138"/>
      <c r="G213" s="138"/>
      <c r="H213" s="138"/>
      <c r="I213" s="138"/>
      <c r="J213" s="138"/>
      <c r="K213" s="138"/>
    </row>
    <row r="214" ht="15.75" customHeight="1">
      <c r="A214" s="138"/>
      <c r="B214" s="138"/>
      <c r="C214" s="138"/>
      <c r="D214" s="138"/>
      <c r="E214" s="138"/>
      <c r="F214" s="138"/>
      <c r="G214" s="138"/>
      <c r="H214" s="138"/>
      <c r="I214" s="138"/>
      <c r="J214" s="138"/>
      <c r="K214" s="138"/>
    </row>
    <row r="215" ht="15.75" customHeight="1">
      <c r="A215" s="138"/>
      <c r="B215" s="138"/>
      <c r="C215" s="138"/>
      <c r="D215" s="138"/>
      <c r="E215" s="138"/>
      <c r="F215" s="138"/>
      <c r="G215" s="138"/>
      <c r="H215" s="138"/>
      <c r="I215" s="138"/>
      <c r="J215" s="138"/>
      <c r="K215" s="138"/>
    </row>
    <row r="216" ht="15.75" customHeight="1">
      <c r="A216" s="138"/>
      <c r="B216" s="138"/>
      <c r="C216" s="138"/>
      <c r="D216" s="138"/>
      <c r="E216" s="138"/>
      <c r="F216" s="138"/>
      <c r="G216" s="138"/>
      <c r="H216" s="138"/>
      <c r="I216" s="138"/>
      <c r="J216" s="138"/>
      <c r="K216" s="138"/>
    </row>
    <row r="217" ht="15.75" customHeight="1">
      <c r="A217" s="138"/>
      <c r="B217" s="138"/>
      <c r="C217" s="138"/>
      <c r="D217" s="138"/>
      <c r="E217" s="138"/>
      <c r="F217" s="138"/>
      <c r="G217" s="138"/>
      <c r="H217" s="138"/>
      <c r="I217" s="138"/>
      <c r="J217" s="138"/>
      <c r="K217" s="138"/>
    </row>
    <row r="218" ht="15.75" customHeight="1">
      <c r="A218" s="138"/>
      <c r="B218" s="138"/>
      <c r="C218" s="138"/>
      <c r="D218" s="138"/>
      <c r="E218" s="138"/>
      <c r="F218" s="138"/>
      <c r="G218" s="138"/>
      <c r="H218" s="138"/>
      <c r="I218" s="138"/>
      <c r="J218" s="138"/>
      <c r="K218" s="138"/>
    </row>
    <row r="219" ht="15.75" customHeight="1">
      <c r="A219" s="138"/>
      <c r="B219" s="138"/>
      <c r="C219" s="138"/>
      <c r="D219" s="138"/>
      <c r="E219" s="138"/>
      <c r="F219" s="138"/>
      <c r="G219" s="138"/>
      <c r="H219" s="138"/>
      <c r="I219" s="138"/>
      <c r="J219" s="138"/>
      <c r="K219" s="138"/>
    </row>
    <row r="220" ht="15.75" customHeight="1">
      <c r="A220" s="138"/>
      <c r="B220" s="138"/>
      <c r="C220" s="138"/>
      <c r="D220" s="138"/>
      <c r="E220" s="138"/>
      <c r="F220" s="138"/>
      <c r="G220" s="138"/>
      <c r="H220" s="138"/>
      <c r="I220" s="138"/>
      <c r="J220" s="138"/>
      <c r="K220" s="138"/>
    </row>
    <row r="221" ht="15.75" customHeight="1">
      <c r="A221" s="138"/>
      <c r="B221" s="138"/>
      <c r="C221" s="138"/>
      <c r="D221" s="138"/>
      <c r="E221" s="138"/>
      <c r="F221" s="138"/>
      <c r="G221" s="138"/>
      <c r="H221" s="138"/>
      <c r="I221" s="138"/>
      <c r="J221" s="138"/>
      <c r="K221" s="138"/>
    </row>
    <row r="222" ht="15.75" customHeight="1">
      <c r="A222" s="138"/>
      <c r="B222" s="138"/>
      <c r="C222" s="138"/>
      <c r="D222" s="138"/>
      <c r="E222" s="138"/>
      <c r="F222" s="138"/>
      <c r="G222" s="138"/>
      <c r="H222" s="138"/>
      <c r="I222" s="138"/>
      <c r="J222" s="138"/>
      <c r="K222" s="138"/>
    </row>
    <row r="223" ht="15.75" customHeight="1">
      <c r="A223" s="138"/>
      <c r="B223" s="138"/>
      <c r="C223" s="138"/>
      <c r="D223" s="138"/>
      <c r="E223" s="138"/>
      <c r="F223" s="138"/>
      <c r="G223" s="138"/>
      <c r="H223" s="138"/>
      <c r="I223" s="138"/>
      <c r="J223" s="138"/>
      <c r="K223" s="138"/>
    </row>
    <row r="224" ht="15.75" customHeight="1">
      <c r="A224" s="138"/>
      <c r="B224" s="138"/>
      <c r="C224" s="138"/>
      <c r="D224" s="138"/>
      <c r="E224" s="138"/>
      <c r="F224" s="138"/>
      <c r="G224" s="138"/>
      <c r="H224" s="138"/>
      <c r="I224" s="138"/>
      <c r="J224" s="138"/>
      <c r="K224" s="138"/>
    </row>
    <row r="225" ht="15.75" customHeight="1">
      <c r="A225" s="138"/>
      <c r="B225" s="138"/>
      <c r="C225" s="138"/>
      <c r="D225" s="138"/>
      <c r="E225" s="138"/>
      <c r="F225" s="138"/>
      <c r="G225" s="138"/>
      <c r="H225" s="138"/>
      <c r="I225" s="138"/>
      <c r="J225" s="138"/>
      <c r="K225" s="138"/>
    </row>
    <row r="226" ht="15.75" customHeight="1">
      <c r="A226" s="138"/>
      <c r="B226" s="138"/>
      <c r="C226" s="138"/>
      <c r="D226" s="138"/>
      <c r="E226" s="138"/>
      <c r="F226" s="138"/>
      <c r="G226" s="138"/>
      <c r="H226" s="138"/>
      <c r="I226" s="138"/>
      <c r="J226" s="138"/>
      <c r="K226" s="138"/>
    </row>
    <row r="227" ht="15.75" customHeight="1">
      <c r="A227" s="138"/>
      <c r="B227" s="138"/>
      <c r="C227" s="138"/>
      <c r="D227" s="138"/>
      <c r="E227" s="138"/>
      <c r="F227" s="138"/>
      <c r="G227" s="138"/>
      <c r="H227" s="138"/>
      <c r="I227" s="138"/>
      <c r="J227" s="138"/>
      <c r="K227" s="138"/>
    </row>
    <row r="228" ht="15.75" customHeight="1">
      <c r="A228" s="138"/>
      <c r="B228" s="138"/>
      <c r="C228" s="138"/>
      <c r="D228" s="138"/>
      <c r="E228" s="138"/>
      <c r="F228" s="138"/>
      <c r="G228" s="138"/>
      <c r="H228" s="138"/>
      <c r="I228" s="138"/>
      <c r="J228" s="138"/>
      <c r="K228" s="138"/>
    </row>
    <row r="229" ht="15.75" customHeight="1">
      <c r="A229" s="138"/>
      <c r="B229" s="138"/>
      <c r="C229" s="138"/>
      <c r="D229" s="138"/>
      <c r="E229" s="138"/>
      <c r="F229" s="138"/>
      <c r="G229" s="138"/>
      <c r="H229" s="138"/>
      <c r="I229" s="138"/>
      <c r="J229" s="138"/>
      <c r="K229" s="138"/>
    </row>
    <row r="230" ht="15.75" customHeight="1">
      <c r="A230" s="138"/>
      <c r="B230" s="138"/>
      <c r="C230" s="138"/>
      <c r="D230" s="138"/>
      <c r="E230" s="138"/>
      <c r="F230" s="138"/>
      <c r="G230" s="138"/>
      <c r="H230" s="138"/>
      <c r="I230" s="138"/>
      <c r="J230" s="138"/>
      <c r="K230" s="138"/>
    </row>
    <row r="231" ht="15.75" customHeight="1">
      <c r="A231" s="138"/>
      <c r="B231" s="138"/>
      <c r="C231" s="138"/>
      <c r="D231" s="138"/>
      <c r="E231" s="138"/>
      <c r="F231" s="138"/>
      <c r="G231" s="138"/>
      <c r="H231" s="138"/>
      <c r="I231" s="138"/>
      <c r="J231" s="138"/>
      <c r="K231" s="138"/>
    </row>
    <row r="232" ht="15.75" customHeight="1">
      <c r="A232" s="138"/>
      <c r="B232" s="138"/>
      <c r="C232" s="138"/>
      <c r="D232" s="138"/>
      <c r="E232" s="138"/>
      <c r="F232" s="138"/>
      <c r="G232" s="138"/>
      <c r="H232" s="138"/>
      <c r="I232" s="138"/>
      <c r="J232" s="138"/>
      <c r="K232" s="138"/>
    </row>
    <row r="233" ht="15.75" customHeight="1">
      <c r="A233" s="138"/>
      <c r="B233" s="138"/>
      <c r="C233" s="138"/>
      <c r="D233" s="138"/>
      <c r="E233" s="138"/>
      <c r="F233" s="138"/>
      <c r="G233" s="138"/>
      <c r="H233" s="138"/>
      <c r="I233" s="138"/>
      <c r="J233" s="138"/>
      <c r="K233" s="138"/>
    </row>
    <row r="234" ht="15.75" customHeight="1">
      <c r="A234" s="138"/>
      <c r="B234" s="138"/>
      <c r="C234" s="138"/>
      <c r="D234" s="138"/>
      <c r="E234" s="138"/>
      <c r="F234" s="138"/>
      <c r="G234" s="138"/>
      <c r="H234" s="138"/>
      <c r="I234" s="138"/>
      <c r="J234" s="138"/>
      <c r="K234" s="138"/>
    </row>
    <row r="235" ht="15.75" customHeight="1">
      <c r="A235" s="138"/>
      <c r="B235" s="138"/>
      <c r="C235" s="138"/>
      <c r="D235" s="138"/>
      <c r="E235" s="138"/>
      <c r="F235" s="138"/>
      <c r="G235" s="138"/>
      <c r="H235" s="138"/>
      <c r="I235" s="138"/>
      <c r="J235" s="138"/>
      <c r="K235" s="138"/>
    </row>
    <row r="236" ht="15.75" customHeight="1">
      <c r="A236" s="138"/>
      <c r="B236" s="138"/>
      <c r="C236" s="138"/>
      <c r="D236" s="138"/>
      <c r="E236" s="138"/>
      <c r="F236" s="138"/>
      <c r="G236" s="138"/>
      <c r="H236" s="138"/>
      <c r="I236" s="138"/>
      <c r="J236" s="138"/>
      <c r="K236" s="138"/>
    </row>
    <row r="237" ht="15.75" customHeight="1">
      <c r="A237" s="138"/>
      <c r="B237" s="138"/>
      <c r="C237" s="138"/>
      <c r="D237" s="138"/>
      <c r="E237" s="138"/>
      <c r="F237" s="138"/>
      <c r="G237" s="138"/>
      <c r="H237" s="138"/>
      <c r="I237" s="138"/>
      <c r="J237" s="138"/>
      <c r="K237" s="138"/>
    </row>
    <row r="238" ht="15.75" customHeight="1">
      <c r="A238" s="138"/>
      <c r="B238" s="138"/>
      <c r="C238" s="138"/>
      <c r="D238" s="138"/>
      <c r="E238" s="138"/>
      <c r="F238" s="138"/>
      <c r="G238" s="138"/>
      <c r="H238" s="138"/>
      <c r="I238" s="138"/>
      <c r="J238" s="138"/>
      <c r="K238" s="138"/>
    </row>
    <row r="239" ht="15.75" customHeight="1">
      <c r="A239" s="138"/>
      <c r="B239" s="138"/>
      <c r="C239" s="138"/>
      <c r="D239" s="138"/>
      <c r="E239" s="138"/>
      <c r="F239" s="138"/>
      <c r="G239" s="138"/>
      <c r="H239" s="138"/>
      <c r="I239" s="138"/>
      <c r="J239" s="138"/>
      <c r="K239" s="138"/>
    </row>
    <row r="240" ht="15.75" customHeight="1">
      <c r="A240" s="138"/>
      <c r="B240" s="138"/>
      <c r="C240" s="138"/>
      <c r="D240" s="138"/>
      <c r="E240" s="138"/>
      <c r="F240" s="138"/>
      <c r="G240" s="138"/>
      <c r="H240" s="138"/>
      <c r="I240" s="138"/>
      <c r="J240" s="138"/>
      <c r="K240" s="138"/>
    </row>
    <row r="241" ht="15.75" customHeight="1">
      <c r="A241" s="138"/>
      <c r="B241" s="138"/>
      <c r="C241" s="138"/>
      <c r="D241" s="138"/>
      <c r="E241" s="138"/>
      <c r="F241" s="138"/>
      <c r="G241" s="138"/>
      <c r="H241" s="138"/>
      <c r="I241" s="138"/>
      <c r="J241" s="138"/>
      <c r="K241" s="138"/>
    </row>
    <row r="242" ht="15.75" customHeight="1">
      <c r="A242" s="138"/>
      <c r="B242" s="138"/>
      <c r="C242" s="138"/>
      <c r="D242" s="138"/>
      <c r="E242" s="138"/>
      <c r="F242" s="138"/>
      <c r="G242" s="138"/>
      <c r="H242" s="138"/>
      <c r="I242" s="138"/>
      <c r="J242" s="138"/>
      <c r="K242" s="138"/>
    </row>
    <row r="243" ht="15.75" customHeight="1">
      <c r="A243" s="138"/>
      <c r="B243" s="138"/>
      <c r="C243" s="138"/>
      <c r="D243" s="138"/>
      <c r="E243" s="138"/>
      <c r="F243" s="138"/>
      <c r="G243" s="138"/>
      <c r="H243" s="138"/>
      <c r="I243" s="138"/>
      <c r="J243" s="138"/>
      <c r="K243" s="138"/>
    </row>
    <row r="244" ht="15.75" customHeight="1">
      <c r="A244" s="138"/>
      <c r="B244" s="138"/>
      <c r="C244" s="138"/>
      <c r="D244" s="138"/>
      <c r="E244" s="138"/>
      <c r="F244" s="138"/>
      <c r="G244" s="138"/>
      <c r="H244" s="138"/>
      <c r="I244" s="138"/>
      <c r="J244" s="138"/>
      <c r="K244" s="138"/>
    </row>
    <row r="245" ht="15.75" customHeight="1">
      <c r="A245" s="138"/>
      <c r="B245" s="138"/>
      <c r="C245" s="138"/>
      <c r="D245" s="138"/>
      <c r="E245" s="138"/>
      <c r="F245" s="138"/>
      <c r="G245" s="138"/>
      <c r="H245" s="138"/>
      <c r="I245" s="138"/>
      <c r="J245" s="138"/>
      <c r="K245" s="138"/>
    </row>
    <row r="246" ht="15.75" customHeight="1">
      <c r="A246" s="138"/>
      <c r="B246" s="138"/>
      <c r="C246" s="138"/>
      <c r="D246" s="138"/>
      <c r="E246" s="138"/>
      <c r="F246" s="138"/>
      <c r="G246" s="138"/>
      <c r="H246" s="138"/>
      <c r="I246" s="138"/>
      <c r="J246" s="138"/>
      <c r="K246" s="138"/>
    </row>
    <row r="247" ht="15.75" customHeight="1">
      <c r="A247" s="138"/>
      <c r="B247" s="138"/>
      <c r="C247" s="138"/>
      <c r="D247" s="138"/>
      <c r="E247" s="138"/>
      <c r="F247" s="138"/>
      <c r="G247" s="138"/>
      <c r="H247" s="138"/>
      <c r="I247" s="138"/>
      <c r="J247" s="138"/>
      <c r="K247" s="138"/>
    </row>
    <row r="248" ht="15.75" customHeight="1">
      <c r="A248" s="138"/>
      <c r="B248" s="138"/>
      <c r="C248" s="138"/>
      <c r="D248" s="138"/>
      <c r="E248" s="138"/>
      <c r="F248" s="138"/>
      <c r="G248" s="138"/>
      <c r="H248" s="138"/>
      <c r="I248" s="138"/>
      <c r="J248" s="138"/>
      <c r="K248" s="138"/>
    </row>
    <row r="249" ht="15.75" customHeight="1">
      <c r="A249" s="138"/>
      <c r="B249" s="138"/>
      <c r="C249" s="138"/>
      <c r="D249" s="138"/>
      <c r="E249" s="138"/>
      <c r="F249" s="138"/>
      <c r="G249" s="138"/>
      <c r="H249" s="138"/>
      <c r="I249" s="138"/>
      <c r="J249" s="138"/>
      <c r="K249" s="138"/>
    </row>
    <row r="250" ht="15.75" customHeight="1">
      <c r="A250" s="138"/>
      <c r="B250" s="138"/>
      <c r="C250" s="138"/>
      <c r="D250" s="138"/>
      <c r="E250" s="138"/>
      <c r="F250" s="138"/>
      <c r="G250" s="138"/>
      <c r="H250" s="138"/>
      <c r="I250" s="138"/>
      <c r="J250" s="138"/>
      <c r="K250" s="138"/>
    </row>
    <row r="251" ht="15.75" customHeight="1">
      <c r="A251" s="138"/>
      <c r="B251" s="138"/>
      <c r="C251" s="138"/>
      <c r="D251" s="138"/>
      <c r="E251" s="138"/>
      <c r="F251" s="138"/>
      <c r="G251" s="138"/>
      <c r="H251" s="138"/>
      <c r="I251" s="138"/>
      <c r="J251" s="138"/>
      <c r="K251" s="138"/>
    </row>
    <row r="252" ht="15.75" customHeight="1">
      <c r="A252" s="138"/>
      <c r="B252" s="138"/>
      <c r="C252" s="138"/>
      <c r="D252" s="138"/>
      <c r="E252" s="138"/>
      <c r="F252" s="138"/>
      <c r="G252" s="138"/>
      <c r="H252" s="138"/>
      <c r="I252" s="138"/>
      <c r="J252" s="138"/>
      <c r="K252" s="138"/>
    </row>
    <row r="253" ht="15.75" customHeight="1">
      <c r="A253" s="138"/>
      <c r="B253" s="138"/>
      <c r="C253" s="138"/>
      <c r="D253" s="138"/>
      <c r="E253" s="138"/>
      <c r="F253" s="138"/>
      <c r="G253" s="138"/>
      <c r="H253" s="138"/>
      <c r="I253" s="138"/>
      <c r="J253" s="138"/>
      <c r="K253" s="138"/>
    </row>
    <row r="254" ht="15.75" customHeight="1">
      <c r="A254" s="138"/>
      <c r="B254" s="138"/>
      <c r="C254" s="138"/>
      <c r="D254" s="138"/>
      <c r="E254" s="138"/>
      <c r="F254" s="138"/>
      <c r="G254" s="138"/>
      <c r="H254" s="138"/>
      <c r="I254" s="138"/>
      <c r="J254" s="138"/>
      <c r="K254" s="138"/>
    </row>
    <row r="255" ht="15.75" customHeight="1">
      <c r="A255" s="138"/>
      <c r="B255" s="138"/>
      <c r="C255" s="138"/>
      <c r="D255" s="138"/>
      <c r="E255" s="138"/>
      <c r="F255" s="138"/>
      <c r="G255" s="138"/>
      <c r="H255" s="138"/>
      <c r="I255" s="138"/>
      <c r="J255" s="138"/>
      <c r="K255" s="138"/>
    </row>
    <row r="256" ht="15.75" customHeight="1">
      <c r="A256" s="138"/>
      <c r="B256" s="138"/>
      <c r="C256" s="138"/>
      <c r="D256" s="138"/>
      <c r="E256" s="138"/>
      <c r="F256" s="138"/>
      <c r="G256" s="138"/>
      <c r="H256" s="138"/>
      <c r="I256" s="138"/>
      <c r="J256" s="138"/>
      <c r="K256" s="138"/>
    </row>
    <row r="257" ht="15.75" customHeight="1">
      <c r="A257" s="138"/>
      <c r="B257" s="138"/>
      <c r="C257" s="138"/>
      <c r="D257" s="138"/>
      <c r="E257" s="138"/>
      <c r="F257" s="138"/>
      <c r="G257" s="138"/>
      <c r="H257" s="138"/>
      <c r="I257" s="138"/>
      <c r="J257" s="138"/>
      <c r="K257" s="138"/>
    </row>
    <row r="258" ht="15.75" customHeight="1">
      <c r="A258" s="138"/>
      <c r="B258" s="138"/>
      <c r="C258" s="138"/>
      <c r="D258" s="138"/>
      <c r="E258" s="138"/>
      <c r="F258" s="138"/>
      <c r="G258" s="138"/>
      <c r="H258" s="138"/>
      <c r="I258" s="138"/>
      <c r="J258" s="138"/>
      <c r="K258" s="138"/>
    </row>
    <row r="259" ht="15.75" customHeight="1">
      <c r="A259" s="138"/>
      <c r="B259" s="138"/>
      <c r="C259" s="138"/>
      <c r="D259" s="138"/>
      <c r="E259" s="138"/>
      <c r="F259" s="138"/>
      <c r="G259" s="138"/>
      <c r="H259" s="138"/>
      <c r="I259" s="138"/>
      <c r="J259" s="138"/>
      <c r="K259" s="138"/>
    </row>
    <row r="260" ht="15.75" customHeight="1">
      <c r="A260" s="138"/>
      <c r="B260" s="138"/>
      <c r="C260" s="138"/>
      <c r="D260" s="138"/>
      <c r="E260" s="138"/>
      <c r="F260" s="138"/>
      <c r="G260" s="138"/>
      <c r="H260" s="138"/>
      <c r="I260" s="138"/>
      <c r="J260" s="138"/>
      <c r="K260" s="138"/>
    </row>
    <row r="261" ht="15.75" customHeight="1">
      <c r="A261" s="138"/>
      <c r="B261" s="138"/>
      <c r="C261" s="138"/>
      <c r="D261" s="138"/>
      <c r="E261" s="138"/>
      <c r="F261" s="138"/>
      <c r="G261" s="138"/>
      <c r="H261" s="138"/>
      <c r="I261" s="138"/>
      <c r="J261" s="138"/>
      <c r="K261" s="138"/>
    </row>
    <row r="262" ht="15.75" customHeight="1">
      <c r="A262" s="138"/>
      <c r="B262" s="138"/>
      <c r="C262" s="138"/>
      <c r="D262" s="138"/>
      <c r="E262" s="138"/>
      <c r="F262" s="138"/>
      <c r="G262" s="138"/>
      <c r="H262" s="138"/>
      <c r="I262" s="138"/>
      <c r="J262" s="138"/>
      <c r="K262" s="138"/>
    </row>
    <row r="263" ht="15.75" customHeight="1">
      <c r="A263" s="138"/>
      <c r="B263" s="138"/>
      <c r="C263" s="138"/>
      <c r="D263" s="138"/>
      <c r="E263" s="138"/>
      <c r="F263" s="138"/>
      <c r="G263" s="138"/>
      <c r="H263" s="138"/>
      <c r="I263" s="138"/>
      <c r="J263" s="138"/>
      <c r="K263" s="138"/>
    </row>
    <row r="264" ht="15.75" customHeight="1">
      <c r="A264" s="138"/>
      <c r="B264" s="138"/>
      <c r="C264" s="138"/>
      <c r="D264" s="138"/>
      <c r="E264" s="138"/>
      <c r="F264" s="138"/>
      <c r="G264" s="138"/>
      <c r="H264" s="138"/>
      <c r="I264" s="138"/>
      <c r="J264" s="138"/>
      <c r="K264" s="138"/>
    </row>
    <row r="265" ht="15.75" customHeight="1">
      <c r="A265" s="138"/>
      <c r="B265" s="138"/>
      <c r="C265" s="138"/>
      <c r="D265" s="138"/>
      <c r="E265" s="138"/>
      <c r="F265" s="138"/>
      <c r="G265" s="138"/>
      <c r="H265" s="138"/>
      <c r="I265" s="138"/>
      <c r="J265" s="138"/>
      <c r="K265" s="138"/>
    </row>
    <row r="266" ht="15.75" customHeight="1">
      <c r="A266" s="138"/>
      <c r="B266" s="138"/>
      <c r="C266" s="138"/>
      <c r="D266" s="138"/>
      <c r="E266" s="138"/>
      <c r="F266" s="138"/>
      <c r="G266" s="138"/>
      <c r="H266" s="138"/>
      <c r="I266" s="138"/>
      <c r="J266" s="138"/>
      <c r="K266" s="138"/>
    </row>
    <row r="267" ht="15.75" customHeight="1">
      <c r="A267" s="138"/>
      <c r="B267" s="138"/>
      <c r="C267" s="138"/>
      <c r="D267" s="138"/>
      <c r="E267" s="138"/>
      <c r="F267" s="138"/>
      <c r="G267" s="138"/>
      <c r="H267" s="138"/>
      <c r="I267" s="138"/>
      <c r="J267" s="138"/>
      <c r="K267" s="138"/>
    </row>
    <row r="268" ht="15.75" customHeight="1">
      <c r="A268" s="138"/>
      <c r="B268" s="138"/>
      <c r="C268" s="138"/>
      <c r="D268" s="138"/>
      <c r="E268" s="138"/>
      <c r="F268" s="138"/>
      <c r="G268" s="138"/>
      <c r="H268" s="138"/>
      <c r="I268" s="138"/>
      <c r="J268" s="138"/>
      <c r="K268" s="138"/>
    </row>
    <row r="269" ht="15.75" customHeight="1">
      <c r="A269" s="138"/>
      <c r="B269" s="138"/>
      <c r="C269" s="138"/>
      <c r="D269" s="138"/>
      <c r="E269" s="138"/>
      <c r="F269" s="138"/>
      <c r="G269" s="138"/>
      <c r="H269" s="138"/>
      <c r="I269" s="138"/>
      <c r="J269" s="138"/>
      <c r="K269" s="138"/>
    </row>
    <row r="270" ht="15.75" customHeight="1">
      <c r="A270" s="138"/>
      <c r="B270" s="138"/>
      <c r="C270" s="138"/>
      <c r="D270" s="138"/>
      <c r="E270" s="138"/>
      <c r="F270" s="138"/>
      <c r="G270" s="138"/>
      <c r="H270" s="138"/>
      <c r="I270" s="138"/>
      <c r="J270" s="138"/>
      <c r="K270" s="138"/>
    </row>
    <row r="271" ht="15.75" customHeight="1">
      <c r="A271" s="138"/>
      <c r="B271" s="138"/>
      <c r="C271" s="138"/>
      <c r="D271" s="138"/>
      <c r="E271" s="138"/>
      <c r="F271" s="138"/>
      <c r="G271" s="138"/>
      <c r="H271" s="138"/>
      <c r="I271" s="138"/>
      <c r="J271" s="138"/>
      <c r="K271" s="138"/>
    </row>
    <row r="272" ht="15.75" customHeight="1">
      <c r="A272" s="138"/>
      <c r="B272" s="138"/>
      <c r="C272" s="138"/>
      <c r="D272" s="138"/>
      <c r="E272" s="138"/>
      <c r="F272" s="138"/>
      <c r="G272" s="138"/>
      <c r="H272" s="138"/>
      <c r="I272" s="138"/>
      <c r="J272" s="138"/>
      <c r="K272" s="138"/>
    </row>
    <row r="273" ht="15.75" customHeight="1">
      <c r="A273" s="138"/>
      <c r="B273" s="138"/>
      <c r="C273" s="138"/>
      <c r="D273" s="138"/>
      <c r="E273" s="138"/>
      <c r="F273" s="138"/>
      <c r="G273" s="138"/>
      <c r="H273" s="138"/>
      <c r="I273" s="138"/>
      <c r="J273" s="138"/>
      <c r="K273" s="138"/>
    </row>
    <row r="274" ht="15.75" customHeight="1">
      <c r="A274" s="138"/>
      <c r="B274" s="138"/>
      <c r="C274" s="138"/>
      <c r="D274" s="138"/>
      <c r="E274" s="138"/>
      <c r="F274" s="138"/>
      <c r="G274" s="138"/>
      <c r="H274" s="138"/>
      <c r="I274" s="138"/>
      <c r="J274" s="138"/>
      <c r="K274" s="138"/>
    </row>
    <row r="275" ht="15.75" customHeight="1">
      <c r="A275" s="138"/>
      <c r="B275" s="138"/>
      <c r="C275" s="138"/>
      <c r="D275" s="138"/>
      <c r="E275" s="138"/>
      <c r="F275" s="138"/>
      <c r="G275" s="138"/>
      <c r="H275" s="138"/>
      <c r="I275" s="138"/>
      <c r="J275" s="138"/>
      <c r="K275" s="138"/>
    </row>
    <row r="276" ht="15.75" customHeight="1">
      <c r="A276" s="138"/>
      <c r="B276" s="138"/>
      <c r="C276" s="138"/>
      <c r="D276" s="138"/>
      <c r="E276" s="138"/>
      <c r="F276" s="138"/>
      <c r="G276" s="138"/>
      <c r="H276" s="138"/>
      <c r="I276" s="138"/>
      <c r="J276" s="138"/>
      <c r="K276" s="138"/>
    </row>
    <row r="277" ht="15.75" customHeight="1">
      <c r="A277" s="138"/>
      <c r="B277" s="138"/>
      <c r="C277" s="138"/>
      <c r="D277" s="138"/>
      <c r="E277" s="138"/>
      <c r="F277" s="138"/>
      <c r="G277" s="138"/>
      <c r="H277" s="138"/>
      <c r="I277" s="138"/>
      <c r="J277" s="138"/>
      <c r="K277" s="138"/>
    </row>
    <row r="278" ht="15.75" customHeight="1">
      <c r="A278" s="138"/>
      <c r="B278" s="138"/>
      <c r="C278" s="138"/>
      <c r="D278" s="138"/>
      <c r="E278" s="138"/>
      <c r="F278" s="138"/>
      <c r="G278" s="138"/>
      <c r="H278" s="138"/>
      <c r="I278" s="138"/>
      <c r="J278" s="138"/>
      <c r="K278" s="138"/>
    </row>
    <row r="279" ht="15.75" customHeight="1">
      <c r="A279" s="138"/>
      <c r="B279" s="138"/>
      <c r="C279" s="138"/>
      <c r="D279" s="138"/>
      <c r="E279" s="138"/>
      <c r="F279" s="138"/>
      <c r="G279" s="138"/>
      <c r="H279" s="138"/>
      <c r="I279" s="138"/>
      <c r="J279" s="138"/>
      <c r="K279" s="138"/>
    </row>
    <row r="280" ht="15.75" customHeight="1">
      <c r="A280" s="138"/>
      <c r="B280" s="138"/>
      <c r="C280" s="138"/>
      <c r="D280" s="138"/>
      <c r="E280" s="138"/>
      <c r="F280" s="138"/>
      <c r="G280" s="138"/>
      <c r="H280" s="138"/>
      <c r="I280" s="138"/>
      <c r="J280" s="138"/>
      <c r="K280" s="138"/>
    </row>
    <row r="281" ht="15.75" customHeight="1">
      <c r="A281" s="138"/>
      <c r="B281" s="138"/>
      <c r="C281" s="138"/>
      <c r="D281" s="138"/>
      <c r="E281" s="138"/>
      <c r="F281" s="138"/>
      <c r="G281" s="138"/>
      <c r="H281" s="138"/>
      <c r="I281" s="138"/>
      <c r="J281" s="138"/>
      <c r="K281" s="138"/>
    </row>
    <row r="282" ht="15.75" customHeight="1">
      <c r="A282" s="138"/>
      <c r="B282" s="138"/>
      <c r="C282" s="138"/>
      <c r="D282" s="138"/>
      <c r="E282" s="138"/>
      <c r="F282" s="138"/>
      <c r="G282" s="138"/>
      <c r="H282" s="138"/>
      <c r="I282" s="138"/>
      <c r="J282" s="138"/>
      <c r="K282" s="138"/>
    </row>
    <row r="283" ht="15.75" customHeight="1">
      <c r="A283" s="138"/>
      <c r="B283" s="138"/>
      <c r="C283" s="138"/>
      <c r="D283" s="138"/>
      <c r="E283" s="138"/>
      <c r="F283" s="138"/>
      <c r="G283" s="138"/>
      <c r="H283" s="138"/>
      <c r="I283" s="138"/>
      <c r="J283" s="138"/>
      <c r="K283" s="138"/>
    </row>
    <row r="284" ht="15.75" customHeight="1">
      <c r="A284" s="138"/>
      <c r="B284" s="138"/>
      <c r="C284" s="138"/>
      <c r="D284" s="138"/>
      <c r="E284" s="138"/>
      <c r="F284" s="138"/>
      <c r="G284" s="138"/>
      <c r="H284" s="138"/>
      <c r="I284" s="138"/>
      <c r="J284" s="138"/>
      <c r="K284" s="138"/>
    </row>
    <row r="285" ht="15.75" customHeight="1">
      <c r="A285" s="138"/>
      <c r="B285" s="138"/>
      <c r="C285" s="138"/>
      <c r="D285" s="138"/>
      <c r="E285" s="138"/>
      <c r="F285" s="138"/>
      <c r="G285" s="138"/>
      <c r="H285" s="138"/>
      <c r="I285" s="138"/>
      <c r="J285" s="138"/>
      <c r="K285" s="138"/>
    </row>
    <row r="286" ht="15.75" customHeight="1">
      <c r="A286" s="138"/>
      <c r="B286" s="138"/>
      <c r="C286" s="138"/>
      <c r="D286" s="138"/>
      <c r="E286" s="138"/>
      <c r="F286" s="138"/>
      <c r="G286" s="138"/>
      <c r="H286" s="138"/>
      <c r="I286" s="138"/>
      <c r="J286" s="138"/>
      <c r="K286" s="138"/>
    </row>
    <row r="287" ht="15.75" customHeight="1">
      <c r="A287" s="138"/>
      <c r="B287" s="138"/>
      <c r="C287" s="138"/>
      <c r="D287" s="138"/>
      <c r="E287" s="138"/>
      <c r="F287" s="138"/>
      <c r="G287" s="138"/>
      <c r="H287" s="138"/>
      <c r="I287" s="138"/>
      <c r="J287" s="138"/>
      <c r="K287" s="138"/>
    </row>
    <row r="288" ht="15.75" customHeight="1">
      <c r="A288" s="138"/>
      <c r="B288" s="138"/>
      <c r="C288" s="138"/>
      <c r="D288" s="138"/>
      <c r="E288" s="138"/>
      <c r="F288" s="138"/>
      <c r="G288" s="138"/>
      <c r="H288" s="138"/>
      <c r="I288" s="138"/>
      <c r="J288" s="138"/>
      <c r="K288" s="138"/>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E$1:$E$288"/>
      <extLst>
        <ext uri="GoogleSheetsCustomDataVersion1">
          <go:sheetsCustomData xmlns:go="http://customooxmlschemas.google.com/" filterViewId="1222173148"/>
        </ext>
      </extLst>
    </customSheetView>
    <customSheetView guid="{4B769E08-A4CF-4C36-8B65-253A5FCB4C3D}" filter="1" showAutoFilter="1">
      <autoFilter ref="$J$1:$J$288">
        <filterColumn colId="0">
          <filters>
            <filter val="shane"/>
            <filter val="Victoria"/>
            <filter val="Aylar"/>
            <filter val="aylar"/>
            <filter val="fahad"/>
          </filters>
        </filterColumn>
      </autoFilter>
      <extLst>
        <ext uri="GoogleSheetsCustomDataVersion1">
          <go:sheetsCustomData xmlns:go="http://customooxmlschemas.google.com/" filterViewId="1491837372"/>
        </ext>
      </extLst>
    </customSheetView>
    <customSheetView guid="{B866DD3E-B436-4B0C-A6D0-DE1EC8C99435}" filter="1" showAutoFilter="1">
      <autoFilter ref="$F$1:$F$288">
        <filterColumn colId="0">
          <filters>
            <filter val="Dubizzle /"/>
            <filter val="PropertyFinder"/>
            <filter val="JustProperty"/>
            <filter val="Propspace"/>
            <filter val="Bayut"/>
            <filter val="Propertyfinder /Sale"/>
            <filter val="propspace"/>
            <filter val="Bayut /Rent"/>
            <filter val="Bayut / Bayut"/>
            <filter val="*Propertywifi* looking for rent"/>
          </filters>
        </filterColumn>
      </autoFilter>
      <extLst>
        <ext uri="GoogleSheetsCustomDataVersion1">
          <go:sheetsCustomData xmlns:go="http://customooxmlschemas.google.com/" filterViewId="152641600"/>
        </ext>
      </extLst>
    </customSheetView>
    <customSheetView guid="{10EB5E37-4D4E-484B-BE38-D3AD6ED5CD60}" filter="1" showAutoFilter="1">
      <autoFilter ref="$J$1:$J$288"/>
      <extLst>
        <ext uri="GoogleSheetsCustomDataVersion1">
          <go:sheetsCustomData xmlns:go="http://customooxmlschemas.google.com/" filterViewId="1534895985"/>
        </ext>
      </extLst>
    </customSheetView>
    <customSheetView guid="{CB234B23-B38A-4D8E-8062-1BE1CA0F8D46}" filter="1" showAutoFilter="1">
      <autoFilter ref="$B$1:$B$288"/>
      <extLst>
        <ext uri="GoogleSheetsCustomDataVersion1">
          <go:sheetsCustomData xmlns:go="http://customooxmlschemas.google.com/" filterViewId="1550640860"/>
        </ext>
      </extLst>
    </customSheetView>
    <customSheetView guid="{E9A8CBD2-962E-4707-83EF-CDCE11E15A65}" filter="1" showAutoFilter="1">
      <autoFilter ref="$A$1:$AD$88">
        <filterColumn colId="3">
          <customFilters>
            <customFilter val="*55*"/>
          </customFilters>
        </filterColumn>
      </autoFilter>
      <extLst>
        <ext uri="GoogleSheetsCustomDataVersion1">
          <go:sheetsCustomData xmlns:go="http://customooxmlschemas.google.com/" filterViewId="1551331502"/>
        </ext>
      </extLst>
    </customSheetView>
    <customSheetView guid="{9B50D902-B80A-40FB-96EB-DF0F9B2681E9}" filter="1" showAutoFilter="1">
      <autoFilter ref="$J$1:$J$288"/>
      <extLst>
        <ext uri="GoogleSheetsCustomDataVersion1">
          <go:sheetsCustomData xmlns:go="http://customooxmlschemas.google.com/" filterViewId="1710539885"/>
        </ext>
      </extLst>
    </customSheetView>
    <customSheetView guid="{30D09E09-FE23-4FF1-B87C-82BD01A9D156}" filter="1" showAutoFilter="1">
      <autoFilter ref="$J$1:$J$288"/>
      <extLst>
        <ext uri="GoogleSheetsCustomDataVersion1">
          <go:sheetsCustomData xmlns:go="http://customooxmlschemas.google.com/" filterViewId="1936200778"/>
        </ext>
      </extLst>
    </customSheetView>
    <customSheetView guid="{679C8C01-AF08-4A69-8C5B-A635E2BA0283}" filter="1" showAutoFilter="1">
      <autoFilter ref="$F$1:$F$288"/>
      <extLst>
        <ext uri="GoogleSheetsCustomDataVersion1">
          <go:sheetsCustomData xmlns:go="http://customooxmlschemas.google.com/" filterViewId="786979582"/>
        </ext>
      </extLst>
    </customSheetView>
  </customSheetViews>
  <hyperlinks>
    <hyperlink r:id="rId1" ref="F3"/>
    <hyperlink r:id="rId2" ref="E12"/>
    <hyperlink r:id="rId3" ref="E14"/>
    <hyperlink r:id="rId4" ref="G14"/>
    <hyperlink r:id="rId5" ref="E16"/>
    <hyperlink r:id="rId6" ref="H16"/>
    <hyperlink r:id="rId7" ref="H17"/>
  </hyperlinks>
  <drawing r:id="rId8"/>
  <tableParts count="3">
    <tablePart r:id="rId12"/>
    <tablePart r:id="rId13"/>
    <tablePart r:id="rId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4.38"/>
    <col customWidth="1" min="2" max="2" width="27.63"/>
    <col customWidth="1" min="3" max="3" width="10.25"/>
    <col customWidth="1" min="4" max="4" width="14.38"/>
    <col customWidth="1" min="5" max="5" width="27.63"/>
    <col customWidth="1" min="6" max="7" width="14.38"/>
    <col customWidth="1" min="8" max="8" width="16.13"/>
    <col customWidth="1" min="9" max="9" width="10.88"/>
    <col customWidth="1" min="10" max="31" width="14.38"/>
  </cols>
  <sheetData>
    <row r="1" ht="15.75" customHeight="1">
      <c r="A1" s="171" t="s">
        <v>170</v>
      </c>
      <c r="B1" s="172" t="s">
        <v>3</v>
      </c>
      <c r="C1" s="172"/>
      <c r="D1" s="172" t="s">
        <v>171</v>
      </c>
      <c r="E1" s="172" t="s">
        <v>4</v>
      </c>
      <c r="F1" s="172" t="s">
        <v>172</v>
      </c>
      <c r="G1" s="172" t="s">
        <v>173</v>
      </c>
      <c r="H1" s="172"/>
      <c r="I1" s="28" t="s">
        <v>174</v>
      </c>
      <c r="J1" s="29" t="s">
        <v>175</v>
      </c>
      <c r="K1" s="28" t="s">
        <v>9</v>
      </c>
      <c r="L1" s="30"/>
      <c r="M1" s="31"/>
      <c r="N1" s="31"/>
      <c r="O1" s="31"/>
      <c r="P1" s="31"/>
      <c r="Q1" s="31"/>
      <c r="R1" s="31"/>
      <c r="S1" s="31"/>
      <c r="T1" s="31"/>
      <c r="U1" s="31"/>
      <c r="V1" s="31"/>
      <c r="W1" s="31"/>
      <c r="X1" s="31"/>
      <c r="Y1" s="31"/>
      <c r="Z1" s="31"/>
      <c r="AA1" s="31"/>
      <c r="AB1" s="31"/>
      <c r="AC1" s="31"/>
      <c r="AD1" s="31"/>
      <c r="AE1" s="31"/>
    </row>
    <row r="2" ht="17.25" customHeight="1">
      <c r="A2" s="173">
        <v>43435.0</v>
      </c>
      <c r="B2" s="174" t="s">
        <v>234</v>
      </c>
      <c r="C2" s="175"/>
      <c r="D2" s="176" t="s">
        <v>1688</v>
      </c>
      <c r="E2" s="177" t="s">
        <v>1689</v>
      </c>
      <c r="F2" s="175" t="s">
        <v>222</v>
      </c>
      <c r="G2" s="174" t="s">
        <v>1690</v>
      </c>
      <c r="I2" s="120" t="s">
        <v>1658</v>
      </c>
      <c r="J2" s="120"/>
      <c r="K2" s="120" t="s">
        <v>201</v>
      </c>
      <c r="L2" s="120"/>
      <c r="M2" s="120"/>
      <c r="N2" s="120"/>
      <c r="O2" s="120"/>
      <c r="P2" s="120"/>
      <c r="Q2" s="120"/>
      <c r="R2" s="120"/>
      <c r="S2" s="120"/>
      <c r="T2" s="120"/>
      <c r="U2" s="120"/>
      <c r="V2" s="120"/>
      <c r="W2" s="120"/>
      <c r="X2" s="120"/>
      <c r="Y2" s="120"/>
      <c r="Z2" s="120"/>
      <c r="AA2" s="120"/>
      <c r="AB2" s="120"/>
      <c r="AC2" s="120"/>
      <c r="AD2" s="120"/>
      <c r="AE2" s="120"/>
    </row>
    <row r="3" ht="15.75" customHeight="1">
      <c r="A3" s="178">
        <v>43435.0</v>
      </c>
      <c r="B3" s="179" t="s">
        <v>1691</v>
      </c>
      <c r="C3" s="179"/>
      <c r="D3" s="180" t="s">
        <v>1692</v>
      </c>
      <c r="E3" s="179" t="s">
        <v>1693</v>
      </c>
      <c r="F3" s="179" t="s">
        <v>548</v>
      </c>
      <c r="G3" s="179" t="s">
        <v>1694</v>
      </c>
      <c r="I3" s="1" t="s">
        <v>1695</v>
      </c>
      <c r="K3" s="1" t="s">
        <v>16</v>
      </c>
    </row>
    <row r="4" ht="15.75" customHeight="1">
      <c r="A4" s="173">
        <v>43435.0</v>
      </c>
      <c r="B4" s="60" t="s">
        <v>1696</v>
      </c>
      <c r="C4" s="175"/>
      <c r="D4" s="60">
        <v>5.04595809E8</v>
      </c>
      <c r="E4" s="60" t="s">
        <v>1697</v>
      </c>
      <c r="F4" s="60" t="s">
        <v>179</v>
      </c>
      <c r="G4" s="60" t="s">
        <v>1698</v>
      </c>
      <c r="I4" s="1" t="s">
        <v>1699</v>
      </c>
      <c r="K4" s="1" t="s">
        <v>244</v>
      </c>
    </row>
    <row r="5" ht="15.75" customHeight="1">
      <c r="A5" s="178">
        <v>43435.0</v>
      </c>
      <c r="B5" s="61" t="s">
        <v>1700</v>
      </c>
      <c r="C5" s="179"/>
      <c r="D5" s="73" t="s">
        <v>1701</v>
      </c>
      <c r="E5" s="61" t="s">
        <v>1702</v>
      </c>
      <c r="F5" s="61" t="s">
        <v>212</v>
      </c>
      <c r="G5" s="61" t="s">
        <v>1703</v>
      </c>
      <c r="I5" s="1" t="s">
        <v>1695</v>
      </c>
      <c r="K5" s="1" t="s">
        <v>16</v>
      </c>
    </row>
    <row r="6" ht="15.75" customHeight="1">
      <c r="A6" s="173">
        <v>43435.0</v>
      </c>
      <c r="B6" s="119" t="s">
        <v>822</v>
      </c>
      <c r="C6" s="175"/>
      <c r="D6" s="63" t="s">
        <v>1704</v>
      </c>
      <c r="E6" s="60" t="s">
        <v>1705</v>
      </c>
      <c r="F6" s="60" t="s">
        <v>179</v>
      </c>
      <c r="G6" s="60" t="s">
        <v>609</v>
      </c>
      <c r="I6" s="1" t="s">
        <v>610</v>
      </c>
      <c r="K6" s="1" t="s">
        <v>16</v>
      </c>
    </row>
    <row r="7" ht="15.75" customHeight="1">
      <c r="A7" s="178">
        <v>43435.0</v>
      </c>
      <c r="B7" s="181" t="s">
        <v>1706</v>
      </c>
      <c r="C7" s="179"/>
      <c r="D7" s="73" t="s">
        <v>1707</v>
      </c>
      <c r="E7" s="61" t="s">
        <v>1708</v>
      </c>
      <c r="F7" s="61" t="s">
        <v>1150</v>
      </c>
      <c r="G7" s="61" t="s">
        <v>1709</v>
      </c>
      <c r="K7" s="1" t="s">
        <v>574</v>
      </c>
    </row>
    <row r="8" ht="15.75" customHeight="1">
      <c r="A8" s="173">
        <v>43435.0</v>
      </c>
      <c r="B8" s="60" t="s">
        <v>1710</v>
      </c>
      <c r="C8" s="175"/>
      <c r="D8" s="63" t="s">
        <v>1711</v>
      </c>
      <c r="E8" s="60" t="s">
        <v>1712</v>
      </c>
      <c r="F8" s="60" t="s">
        <v>179</v>
      </c>
      <c r="G8" s="60" t="s">
        <v>1713</v>
      </c>
      <c r="K8" s="120" t="s">
        <v>201</v>
      </c>
    </row>
    <row r="9" ht="15.75" customHeight="1">
      <c r="A9" s="178">
        <v>43437.0</v>
      </c>
      <c r="B9" s="61" t="s">
        <v>1714</v>
      </c>
      <c r="C9" s="179"/>
      <c r="D9" s="73" t="s">
        <v>1715</v>
      </c>
      <c r="E9" s="61" t="s">
        <v>1716</v>
      </c>
      <c r="F9" s="61" t="s">
        <v>212</v>
      </c>
      <c r="G9" s="61" t="s">
        <v>1717</v>
      </c>
      <c r="H9" s="61"/>
      <c r="I9" s="1" t="s">
        <v>1718</v>
      </c>
      <c r="K9" s="1" t="s">
        <v>401</v>
      </c>
    </row>
    <row r="10" ht="15.75" customHeight="1">
      <c r="A10" s="173">
        <v>43437.0</v>
      </c>
      <c r="B10" s="60" t="s">
        <v>1719</v>
      </c>
      <c r="C10" s="175"/>
      <c r="D10" s="63" t="s">
        <v>1720</v>
      </c>
      <c r="E10" s="60" t="s">
        <v>1721</v>
      </c>
      <c r="F10" s="175" t="s">
        <v>222</v>
      </c>
      <c r="G10" s="60" t="s">
        <v>521</v>
      </c>
      <c r="H10" s="60"/>
      <c r="K10" s="120" t="s">
        <v>201</v>
      </c>
    </row>
    <row r="11" ht="15.75" customHeight="1">
      <c r="A11" s="178">
        <v>43437.0</v>
      </c>
      <c r="B11" s="61" t="s">
        <v>1523</v>
      </c>
      <c r="C11" s="179"/>
      <c r="D11" s="73" t="s">
        <v>1722</v>
      </c>
      <c r="E11" s="61" t="s">
        <v>1525</v>
      </c>
      <c r="F11" s="61" t="s">
        <v>179</v>
      </c>
      <c r="G11" s="61" t="s">
        <v>521</v>
      </c>
      <c r="H11" s="61"/>
      <c r="K11" s="120" t="s">
        <v>201</v>
      </c>
    </row>
    <row r="12" ht="15.75" customHeight="1">
      <c r="A12" s="173">
        <v>43437.0</v>
      </c>
      <c r="B12" s="60" t="s">
        <v>1723</v>
      </c>
      <c r="C12" s="175"/>
      <c r="D12" s="63" t="s">
        <v>1724</v>
      </c>
      <c r="E12" s="60" t="s">
        <v>1725</v>
      </c>
      <c r="F12" s="60" t="s">
        <v>179</v>
      </c>
      <c r="G12" s="60" t="s">
        <v>1726</v>
      </c>
      <c r="H12" s="60"/>
      <c r="K12" s="1" t="s">
        <v>1727</v>
      </c>
    </row>
    <row r="13" ht="15.75" customHeight="1">
      <c r="A13" s="178">
        <v>43438.0</v>
      </c>
      <c r="B13" s="61" t="s">
        <v>1654</v>
      </c>
      <c r="C13" s="179"/>
      <c r="D13" s="73" t="s">
        <v>1655</v>
      </c>
      <c r="E13" s="61" t="s">
        <v>1656</v>
      </c>
      <c r="F13" s="61" t="s">
        <v>179</v>
      </c>
      <c r="G13" s="61" t="s">
        <v>1728</v>
      </c>
      <c r="H13" s="61"/>
      <c r="I13" s="1" t="s">
        <v>1658</v>
      </c>
      <c r="K13" s="120" t="s">
        <v>201</v>
      </c>
    </row>
    <row r="14" ht="15.75" customHeight="1">
      <c r="A14" s="173">
        <v>43439.0</v>
      </c>
      <c r="B14" s="60" t="s">
        <v>1729</v>
      </c>
      <c r="C14" s="175"/>
      <c r="D14" s="63" t="s">
        <v>1730</v>
      </c>
      <c r="E14" s="60" t="s">
        <v>1731</v>
      </c>
      <c r="F14" s="60" t="s">
        <v>179</v>
      </c>
      <c r="G14" s="60" t="s">
        <v>1732</v>
      </c>
      <c r="H14" s="60"/>
      <c r="I14" s="1" t="s">
        <v>1733</v>
      </c>
      <c r="K14" s="1" t="s">
        <v>244</v>
      </c>
    </row>
    <row r="15" ht="15.75" customHeight="1">
      <c r="A15" s="178">
        <v>43439.0</v>
      </c>
      <c r="B15" s="61" t="s">
        <v>1734</v>
      </c>
      <c r="C15" s="179"/>
      <c r="D15" s="61" t="s">
        <v>1735</v>
      </c>
      <c r="E15" s="61" t="s">
        <v>1736</v>
      </c>
      <c r="F15" s="61" t="s">
        <v>212</v>
      </c>
      <c r="G15" s="61" t="s">
        <v>1657</v>
      </c>
      <c r="H15" s="61"/>
      <c r="I15" s="1" t="s">
        <v>1658</v>
      </c>
      <c r="K15" s="120" t="s">
        <v>201</v>
      </c>
    </row>
    <row r="16" ht="15.75" customHeight="1">
      <c r="A16" s="173">
        <v>43439.0</v>
      </c>
      <c r="B16" s="60" t="s">
        <v>1737</v>
      </c>
      <c r="C16" s="175"/>
      <c r="D16" s="63" t="s">
        <v>1738</v>
      </c>
      <c r="E16" s="60" t="s">
        <v>1739</v>
      </c>
      <c r="F16" s="175" t="s">
        <v>548</v>
      </c>
      <c r="G16" s="60" t="s">
        <v>1740</v>
      </c>
      <c r="H16" s="60"/>
      <c r="I16" s="1" t="s">
        <v>1658</v>
      </c>
      <c r="K16" s="120" t="s">
        <v>201</v>
      </c>
    </row>
    <row r="17" ht="15.75" customHeight="1">
      <c r="A17" s="178">
        <v>43440.0</v>
      </c>
      <c r="B17" s="61" t="s">
        <v>1741</v>
      </c>
      <c r="C17" s="179"/>
      <c r="D17" s="61" t="s">
        <v>1742</v>
      </c>
      <c r="E17" s="61" t="s">
        <v>1743</v>
      </c>
      <c r="F17" s="61" t="s">
        <v>179</v>
      </c>
      <c r="G17" s="61" t="s">
        <v>1744</v>
      </c>
      <c r="H17" s="61"/>
      <c r="I17" s="1" t="s">
        <v>1745</v>
      </c>
      <c r="K17" s="1" t="s">
        <v>244</v>
      </c>
    </row>
    <row r="18" ht="15.75" customHeight="1">
      <c r="A18" s="173">
        <v>43440.0</v>
      </c>
      <c r="B18" s="60" t="s">
        <v>1746</v>
      </c>
      <c r="C18" s="175"/>
      <c r="D18" s="63" t="s">
        <v>1747</v>
      </c>
      <c r="E18" s="60" t="s">
        <v>1748</v>
      </c>
      <c r="F18" s="60" t="s">
        <v>179</v>
      </c>
      <c r="G18" s="60" t="s">
        <v>1749</v>
      </c>
      <c r="H18" s="60"/>
      <c r="K18" s="1" t="s">
        <v>244</v>
      </c>
    </row>
    <row r="19" ht="15.75" customHeight="1">
      <c r="A19" s="178">
        <v>43440.0</v>
      </c>
      <c r="B19" s="182" t="s">
        <v>1750</v>
      </c>
      <c r="C19" s="179"/>
      <c r="D19" s="180" t="s">
        <v>1751</v>
      </c>
      <c r="E19" s="182" t="s">
        <v>1752</v>
      </c>
      <c r="F19" s="179" t="s">
        <v>548</v>
      </c>
      <c r="G19" s="61" t="s">
        <v>1753</v>
      </c>
      <c r="H19" s="61"/>
      <c r="I19" s="1" t="s">
        <v>243</v>
      </c>
      <c r="J19" s="1" t="s">
        <v>1754</v>
      </c>
      <c r="K19" s="1" t="s">
        <v>244</v>
      </c>
    </row>
    <row r="20" ht="15.75" customHeight="1">
      <c r="A20" s="173">
        <v>43440.0</v>
      </c>
      <c r="B20" s="174" t="s">
        <v>822</v>
      </c>
      <c r="C20" s="175"/>
      <c r="D20" s="63" t="s">
        <v>1755</v>
      </c>
      <c r="E20" s="60" t="s">
        <v>1756</v>
      </c>
      <c r="F20" s="175" t="s">
        <v>548</v>
      </c>
      <c r="G20" s="60" t="s">
        <v>1757</v>
      </c>
      <c r="H20" s="60"/>
      <c r="K20" s="1" t="s">
        <v>250</v>
      </c>
    </row>
    <row r="21" ht="15.75" customHeight="1">
      <c r="A21" s="178">
        <v>43440.0</v>
      </c>
      <c r="B21" s="61" t="s">
        <v>1758</v>
      </c>
      <c r="C21" s="179"/>
      <c r="D21" s="73" t="s">
        <v>1759</v>
      </c>
      <c r="E21" s="182"/>
      <c r="F21" s="61" t="s">
        <v>1652</v>
      </c>
      <c r="G21" s="61" t="s">
        <v>1760</v>
      </c>
      <c r="H21" s="61"/>
      <c r="I21" s="1" t="s">
        <v>1761</v>
      </c>
      <c r="K21" s="1" t="s">
        <v>250</v>
      </c>
    </row>
    <row r="22" ht="15.75" customHeight="1">
      <c r="A22" s="173">
        <v>43442.0</v>
      </c>
      <c r="B22" s="60" t="s">
        <v>1762</v>
      </c>
      <c r="C22" s="175"/>
      <c r="D22" s="63" t="s">
        <v>1763</v>
      </c>
      <c r="E22" s="60" t="s">
        <v>1764</v>
      </c>
      <c r="F22" s="60" t="s">
        <v>179</v>
      </c>
      <c r="G22" s="60" t="s">
        <v>1765</v>
      </c>
      <c r="H22" s="60"/>
      <c r="K22" s="120" t="s">
        <v>201</v>
      </c>
    </row>
    <row r="23" ht="15.75" customHeight="1">
      <c r="A23" s="178">
        <v>43442.0</v>
      </c>
      <c r="B23" s="61" t="s">
        <v>1766</v>
      </c>
      <c r="C23" s="179"/>
      <c r="D23" s="73" t="s">
        <v>1767</v>
      </c>
      <c r="E23" s="61" t="s">
        <v>1768</v>
      </c>
      <c r="F23" s="61" t="s">
        <v>212</v>
      </c>
      <c r="G23" s="61" t="s">
        <v>1769</v>
      </c>
      <c r="H23" s="61"/>
      <c r="K23" s="1" t="s">
        <v>16</v>
      </c>
    </row>
    <row r="24" ht="15.75" customHeight="1">
      <c r="A24" s="173">
        <v>43442.0</v>
      </c>
      <c r="B24" s="60" t="s">
        <v>234</v>
      </c>
      <c r="C24" s="175"/>
      <c r="D24" s="63" t="s">
        <v>1770</v>
      </c>
      <c r="E24" s="60" t="s">
        <v>1771</v>
      </c>
      <c r="F24" s="60" t="s">
        <v>222</v>
      </c>
      <c r="G24" s="60" t="s">
        <v>1772</v>
      </c>
      <c r="H24" s="60"/>
      <c r="I24" s="1" t="s">
        <v>1773</v>
      </c>
      <c r="J24" s="1" t="s">
        <v>72</v>
      </c>
      <c r="K24" s="1" t="s">
        <v>16</v>
      </c>
    </row>
    <row r="25" ht="15.75" customHeight="1">
      <c r="A25" s="178">
        <v>43442.0</v>
      </c>
      <c r="B25" s="182" t="s">
        <v>1774</v>
      </c>
      <c r="C25" s="179"/>
      <c r="D25" s="73" t="s">
        <v>1775</v>
      </c>
      <c r="E25" s="61" t="s">
        <v>1776</v>
      </c>
      <c r="F25" s="61" t="s">
        <v>222</v>
      </c>
      <c r="G25" s="61" t="s">
        <v>1777</v>
      </c>
      <c r="H25" s="61"/>
      <c r="I25" s="1" t="s">
        <v>1658</v>
      </c>
      <c r="J25" s="1" t="s">
        <v>72</v>
      </c>
      <c r="K25" s="120" t="s">
        <v>201</v>
      </c>
    </row>
    <row r="26" ht="15.75" customHeight="1">
      <c r="A26" s="173">
        <v>43442.0</v>
      </c>
      <c r="B26" s="60" t="s">
        <v>1778</v>
      </c>
      <c r="C26" s="175"/>
      <c r="D26" s="63" t="s">
        <v>1779</v>
      </c>
      <c r="E26" s="60" t="s">
        <v>1780</v>
      </c>
      <c r="F26" s="60" t="s">
        <v>179</v>
      </c>
      <c r="G26" s="60" t="s">
        <v>1781</v>
      </c>
      <c r="H26" s="60"/>
      <c r="I26" s="1" t="s">
        <v>400</v>
      </c>
      <c r="K26" s="1" t="s">
        <v>401</v>
      </c>
    </row>
    <row r="27" ht="15.75" customHeight="1">
      <c r="A27" s="178">
        <v>43442.0</v>
      </c>
      <c r="B27" s="61" t="s">
        <v>1778</v>
      </c>
      <c r="C27" s="179"/>
      <c r="D27" s="73" t="s">
        <v>1779</v>
      </c>
      <c r="E27" s="61" t="s">
        <v>1780</v>
      </c>
      <c r="F27" s="61" t="s">
        <v>179</v>
      </c>
      <c r="G27" s="61" t="s">
        <v>1782</v>
      </c>
      <c r="H27" s="61"/>
      <c r="I27" s="1" t="s">
        <v>1783</v>
      </c>
      <c r="K27" s="1" t="s">
        <v>401</v>
      </c>
    </row>
    <row r="28" ht="15.75" customHeight="1">
      <c r="A28" s="173">
        <v>43442.0</v>
      </c>
      <c r="B28" s="60" t="s">
        <v>1784</v>
      </c>
      <c r="C28" s="175"/>
      <c r="D28" s="63" t="s">
        <v>1785</v>
      </c>
      <c r="E28" s="60" t="s">
        <v>1786</v>
      </c>
      <c r="F28" s="60" t="s">
        <v>179</v>
      </c>
      <c r="G28" s="60" t="s">
        <v>1787</v>
      </c>
      <c r="H28" s="60"/>
      <c r="I28" s="1" t="s">
        <v>1788</v>
      </c>
      <c r="K28" s="120" t="s">
        <v>201</v>
      </c>
    </row>
    <row r="29" ht="15.75" customHeight="1">
      <c r="A29" s="178">
        <v>43442.0</v>
      </c>
      <c r="B29" s="61" t="s">
        <v>1789</v>
      </c>
      <c r="C29" s="179"/>
      <c r="D29" s="73" t="s">
        <v>1790</v>
      </c>
      <c r="E29" s="61" t="s">
        <v>1791</v>
      </c>
      <c r="F29" s="61" t="s">
        <v>1320</v>
      </c>
      <c r="G29" s="61" t="s">
        <v>1792</v>
      </c>
      <c r="H29" s="61"/>
      <c r="K29" s="1" t="s">
        <v>1793</v>
      </c>
    </row>
    <row r="30" ht="15.75" customHeight="1">
      <c r="A30" s="173">
        <v>43442.0</v>
      </c>
      <c r="B30" s="60" t="s">
        <v>1794</v>
      </c>
      <c r="C30" s="175"/>
      <c r="D30" s="63" t="s">
        <v>1795</v>
      </c>
      <c r="E30" s="60" t="s">
        <v>1796</v>
      </c>
      <c r="F30" s="60" t="s">
        <v>179</v>
      </c>
      <c r="G30" s="60" t="s">
        <v>374</v>
      </c>
      <c r="H30" s="60"/>
      <c r="I30" s="1" t="s">
        <v>187</v>
      </c>
      <c r="K30" s="1" t="s">
        <v>16</v>
      </c>
    </row>
    <row r="31" ht="15.75" customHeight="1">
      <c r="A31" s="178">
        <v>43442.0</v>
      </c>
      <c r="B31" s="61" t="s">
        <v>1797</v>
      </c>
      <c r="C31" s="179"/>
      <c r="D31" s="73" t="s">
        <v>1798</v>
      </c>
      <c r="E31" s="182"/>
      <c r="F31" s="61" t="s">
        <v>212</v>
      </c>
      <c r="G31" s="61" t="s">
        <v>1799</v>
      </c>
      <c r="H31" s="61"/>
      <c r="I31" s="1" t="s">
        <v>243</v>
      </c>
      <c r="K31" s="1" t="s">
        <v>244</v>
      </c>
    </row>
    <row r="32" ht="15.75" customHeight="1">
      <c r="A32" s="173">
        <v>43442.0</v>
      </c>
      <c r="B32" s="60" t="s">
        <v>1800</v>
      </c>
      <c r="C32" s="175"/>
      <c r="D32" s="63" t="s">
        <v>1801</v>
      </c>
      <c r="E32" s="60" t="s">
        <v>1802</v>
      </c>
      <c r="F32" s="60" t="s">
        <v>1777</v>
      </c>
      <c r="G32" s="174"/>
      <c r="H32" s="174"/>
      <c r="K32" s="1" t="s">
        <v>673</v>
      </c>
    </row>
    <row r="33" ht="15.75" customHeight="1">
      <c r="A33" s="178">
        <v>43443.0</v>
      </c>
      <c r="B33" s="61" t="s">
        <v>1803</v>
      </c>
      <c r="C33" s="179"/>
      <c r="D33" s="61" t="s">
        <v>1804</v>
      </c>
      <c r="E33" s="61" t="s">
        <v>1805</v>
      </c>
      <c r="F33" s="61" t="s">
        <v>212</v>
      </c>
      <c r="G33" s="61" t="s">
        <v>1777</v>
      </c>
      <c r="H33" s="61"/>
      <c r="I33" s="1" t="s">
        <v>1658</v>
      </c>
      <c r="K33" s="120" t="s">
        <v>201</v>
      </c>
    </row>
    <row r="34" ht="15.75" customHeight="1">
      <c r="A34" s="173">
        <v>43443.0</v>
      </c>
      <c r="B34" s="60" t="s">
        <v>1806</v>
      </c>
      <c r="C34" s="175"/>
      <c r="D34" s="63" t="s">
        <v>1807</v>
      </c>
      <c r="E34" s="60" t="s">
        <v>1808</v>
      </c>
      <c r="F34" s="60" t="s">
        <v>179</v>
      </c>
      <c r="G34" s="60" t="s">
        <v>1809</v>
      </c>
      <c r="H34" s="83" t="s">
        <v>1810</v>
      </c>
      <c r="I34" s="1" t="s">
        <v>1811</v>
      </c>
      <c r="K34" s="1" t="s">
        <v>306</v>
      </c>
    </row>
    <row r="35" ht="15.75" customHeight="1">
      <c r="A35" s="178">
        <v>43443.0</v>
      </c>
      <c r="B35" s="61" t="s">
        <v>1812</v>
      </c>
      <c r="C35" s="179"/>
      <c r="D35" s="73" t="s">
        <v>1813</v>
      </c>
      <c r="E35" s="61" t="s">
        <v>1814</v>
      </c>
      <c r="F35" s="61" t="s">
        <v>179</v>
      </c>
      <c r="G35" s="61" t="s">
        <v>1815</v>
      </c>
      <c r="H35" s="61" t="s">
        <v>1816</v>
      </c>
      <c r="I35" s="1" t="s">
        <v>522</v>
      </c>
      <c r="K35" s="120" t="s">
        <v>201</v>
      </c>
    </row>
    <row r="36" ht="15.75" customHeight="1">
      <c r="A36" s="173">
        <v>43443.0</v>
      </c>
      <c r="B36" s="83" t="s">
        <v>1817</v>
      </c>
      <c r="C36" s="175"/>
      <c r="D36" s="84" t="s">
        <v>1818</v>
      </c>
      <c r="E36" s="183" t="s">
        <v>1819</v>
      </c>
      <c r="F36" s="60" t="s">
        <v>179</v>
      </c>
      <c r="G36" s="174" t="s">
        <v>1820</v>
      </c>
      <c r="H36" s="174" t="s">
        <v>1821</v>
      </c>
      <c r="I36" s="1" t="s">
        <v>478</v>
      </c>
      <c r="K36" s="1" t="s">
        <v>244</v>
      </c>
    </row>
    <row r="37" ht="15.75" customHeight="1">
      <c r="A37" s="178">
        <v>43443.0</v>
      </c>
      <c r="B37" s="61" t="s">
        <v>1822</v>
      </c>
      <c r="C37" s="179"/>
      <c r="D37" s="73" t="s">
        <v>1823</v>
      </c>
      <c r="E37" s="182"/>
      <c r="F37" s="61" t="s">
        <v>1652</v>
      </c>
      <c r="G37" s="61" t="s">
        <v>1824</v>
      </c>
      <c r="H37" s="182"/>
      <c r="K37" s="1" t="s">
        <v>574</v>
      </c>
    </row>
    <row r="38" ht="15.75" customHeight="1">
      <c r="A38" s="173">
        <v>43443.0</v>
      </c>
      <c r="B38" s="60" t="s">
        <v>1825</v>
      </c>
      <c r="C38" s="175"/>
      <c r="D38" s="63" t="s">
        <v>1747</v>
      </c>
      <c r="E38" s="60" t="s">
        <v>1826</v>
      </c>
      <c r="F38" s="60" t="s">
        <v>179</v>
      </c>
      <c r="G38" s="60" t="s">
        <v>1827</v>
      </c>
      <c r="H38" s="174"/>
    </row>
    <row r="39" ht="15.75" customHeight="1">
      <c r="A39" s="178">
        <v>43443.0</v>
      </c>
      <c r="B39" s="61" t="s">
        <v>1758</v>
      </c>
      <c r="C39" s="179"/>
      <c r="D39" s="73" t="s">
        <v>1759</v>
      </c>
      <c r="E39" s="61" t="s">
        <v>1761</v>
      </c>
      <c r="F39" s="61" t="s">
        <v>1652</v>
      </c>
      <c r="G39" s="61" t="s">
        <v>1760</v>
      </c>
      <c r="H39" s="182"/>
    </row>
    <row r="40" ht="15.75" customHeight="1">
      <c r="A40" s="173">
        <v>43443.0</v>
      </c>
      <c r="B40" s="174" t="s">
        <v>822</v>
      </c>
      <c r="C40" s="175"/>
      <c r="D40" s="63" t="s">
        <v>1828</v>
      </c>
      <c r="E40" s="60" t="s">
        <v>1756</v>
      </c>
      <c r="F40" s="175" t="s">
        <v>548</v>
      </c>
      <c r="G40" s="60" t="s">
        <v>1829</v>
      </c>
      <c r="H40" s="60" t="s">
        <v>1830</v>
      </c>
    </row>
    <row r="41" ht="15.75" customHeight="1">
      <c r="A41" s="178">
        <v>43443.0</v>
      </c>
      <c r="B41" s="61" t="s">
        <v>1817</v>
      </c>
      <c r="C41" s="179"/>
      <c r="D41" s="73" t="s">
        <v>1831</v>
      </c>
      <c r="E41" s="61" t="s">
        <v>1819</v>
      </c>
      <c r="F41" s="61" t="s">
        <v>179</v>
      </c>
      <c r="G41" s="61" t="s">
        <v>1832</v>
      </c>
      <c r="H41" s="182"/>
      <c r="K41" s="1" t="s">
        <v>244</v>
      </c>
    </row>
    <row r="42" ht="15.75" customHeight="1">
      <c r="A42" s="173">
        <v>43443.0</v>
      </c>
      <c r="B42" s="60" t="s">
        <v>1822</v>
      </c>
      <c r="C42" s="175"/>
      <c r="D42" s="63" t="s">
        <v>1823</v>
      </c>
      <c r="E42" s="174"/>
      <c r="F42" s="60" t="s">
        <v>1652</v>
      </c>
      <c r="G42" s="60" t="s">
        <v>1833</v>
      </c>
      <c r="H42" s="174"/>
    </row>
    <row r="43" ht="15.75" customHeight="1">
      <c r="A43" s="178">
        <v>43444.0</v>
      </c>
      <c r="B43" s="61" t="s">
        <v>725</v>
      </c>
      <c r="C43" s="179"/>
      <c r="D43" s="180" t="s">
        <v>1834</v>
      </c>
      <c r="E43" s="61" t="s">
        <v>1835</v>
      </c>
      <c r="F43" s="61" t="s">
        <v>212</v>
      </c>
      <c r="G43" s="61" t="s">
        <v>1836</v>
      </c>
      <c r="H43" s="179" t="s">
        <v>1837</v>
      </c>
      <c r="I43" s="1" t="s">
        <v>279</v>
      </c>
      <c r="K43" s="1" t="s">
        <v>16</v>
      </c>
    </row>
    <row r="44" ht="15.75" customHeight="1">
      <c r="A44" s="173">
        <v>43444.0</v>
      </c>
      <c r="B44" s="60" t="s">
        <v>1838</v>
      </c>
      <c r="C44" s="175"/>
      <c r="D44" s="63" t="s">
        <v>1839</v>
      </c>
      <c r="E44" s="60" t="s">
        <v>1840</v>
      </c>
      <c r="F44" s="60" t="s">
        <v>179</v>
      </c>
      <c r="G44" s="63" t="s">
        <v>1841</v>
      </c>
      <c r="H44" s="174"/>
      <c r="I44" s="1" t="s">
        <v>1842</v>
      </c>
      <c r="K44" s="1" t="s">
        <v>244</v>
      </c>
    </row>
    <row r="45" ht="15.75" customHeight="1">
      <c r="A45" s="178">
        <v>43444.0</v>
      </c>
      <c r="B45" s="61" t="s">
        <v>1843</v>
      </c>
      <c r="C45" s="179"/>
      <c r="D45" s="73" t="s">
        <v>197</v>
      </c>
      <c r="E45" s="61" t="s">
        <v>198</v>
      </c>
      <c r="F45" s="61" t="s">
        <v>179</v>
      </c>
      <c r="G45" s="61" t="s">
        <v>228</v>
      </c>
      <c r="H45" s="182"/>
      <c r="K45" s="120" t="s">
        <v>201</v>
      </c>
    </row>
    <row r="46" ht="15.75" customHeight="1">
      <c r="A46" s="173">
        <v>43444.0</v>
      </c>
      <c r="B46" s="60" t="s">
        <v>1844</v>
      </c>
      <c r="C46" s="175"/>
      <c r="D46" s="63" t="s">
        <v>1845</v>
      </c>
      <c r="E46" s="60" t="s">
        <v>1846</v>
      </c>
      <c r="F46" s="60" t="s">
        <v>179</v>
      </c>
      <c r="G46" s="60" t="s">
        <v>1560</v>
      </c>
      <c r="H46" s="174"/>
      <c r="I46" s="1" t="s">
        <v>372</v>
      </c>
      <c r="K46" s="120" t="s">
        <v>201</v>
      </c>
    </row>
    <row r="47" ht="15.75" customHeight="1">
      <c r="A47" s="178">
        <v>43445.0</v>
      </c>
      <c r="B47" s="61" t="s">
        <v>1847</v>
      </c>
      <c r="C47" s="179"/>
      <c r="D47" s="73" t="s">
        <v>1848</v>
      </c>
      <c r="E47" s="61" t="s">
        <v>1849</v>
      </c>
      <c r="F47" s="61" t="s">
        <v>212</v>
      </c>
      <c r="G47" s="61" t="s">
        <v>304</v>
      </c>
      <c r="H47" s="182"/>
      <c r="K47" s="1" t="s">
        <v>306</v>
      </c>
    </row>
    <row r="48" ht="15.75" customHeight="1">
      <c r="A48" s="173">
        <v>43445.0</v>
      </c>
      <c r="B48" s="60" t="s">
        <v>234</v>
      </c>
      <c r="C48" s="175"/>
      <c r="D48" s="63" t="s">
        <v>1850</v>
      </c>
      <c r="E48" s="60" t="s">
        <v>1851</v>
      </c>
      <c r="F48" s="60" t="s">
        <v>222</v>
      </c>
      <c r="G48" s="60" t="s">
        <v>1852</v>
      </c>
      <c r="H48" s="174"/>
      <c r="I48" s="89" t="s">
        <v>1853</v>
      </c>
      <c r="K48" s="1" t="s">
        <v>16</v>
      </c>
    </row>
    <row r="49" ht="15.75" customHeight="1">
      <c r="A49" s="178">
        <v>43445.0</v>
      </c>
      <c r="B49" s="61" t="s">
        <v>1854</v>
      </c>
      <c r="C49" s="179"/>
      <c r="D49" s="73" t="s">
        <v>1855</v>
      </c>
      <c r="E49" s="61" t="s">
        <v>1856</v>
      </c>
      <c r="F49" s="61" t="s">
        <v>1857</v>
      </c>
      <c r="G49" s="61" t="s">
        <v>1858</v>
      </c>
      <c r="H49" s="182"/>
      <c r="I49" s="1" t="s">
        <v>1859</v>
      </c>
      <c r="K49" s="1" t="s">
        <v>16</v>
      </c>
    </row>
    <row r="50" ht="15.75" customHeight="1">
      <c r="A50" s="173">
        <v>43445.0</v>
      </c>
      <c r="B50" s="102" t="s">
        <v>1860</v>
      </c>
      <c r="C50" s="175"/>
      <c r="D50" s="63" t="s">
        <v>1861</v>
      </c>
      <c r="E50" s="60" t="s">
        <v>1862</v>
      </c>
      <c r="F50" s="60" t="s">
        <v>179</v>
      </c>
      <c r="G50" s="60" t="s">
        <v>1863</v>
      </c>
      <c r="H50" s="174"/>
      <c r="I50" s="1" t="s">
        <v>478</v>
      </c>
      <c r="J50" s="1" t="s">
        <v>1864</v>
      </c>
      <c r="K50" s="120" t="s">
        <v>201</v>
      </c>
    </row>
    <row r="51" ht="15.75" customHeight="1">
      <c r="A51" s="178">
        <v>43445.0</v>
      </c>
      <c r="B51" s="182" t="s">
        <v>1865</v>
      </c>
      <c r="C51" s="179"/>
      <c r="D51" s="180" t="s">
        <v>1866</v>
      </c>
      <c r="E51" s="182"/>
      <c r="F51" s="61" t="s">
        <v>179</v>
      </c>
      <c r="G51" s="61" t="s">
        <v>1867</v>
      </c>
      <c r="H51" s="182"/>
      <c r="K51" s="1" t="s">
        <v>16</v>
      </c>
    </row>
    <row r="52" ht="15.75" customHeight="1">
      <c r="A52" s="173">
        <v>43445.0</v>
      </c>
      <c r="B52" s="60" t="s">
        <v>725</v>
      </c>
      <c r="C52" s="175"/>
      <c r="D52" s="63" t="s">
        <v>1834</v>
      </c>
      <c r="E52" s="60" t="s">
        <v>1835</v>
      </c>
      <c r="F52" s="60" t="s">
        <v>212</v>
      </c>
      <c r="G52" s="60" t="s">
        <v>1868</v>
      </c>
      <c r="H52" s="174"/>
      <c r="K52" s="1" t="s">
        <v>16</v>
      </c>
    </row>
    <row r="53" ht="15.75" customHeight="1">
      <c r="A53" s="178">
        <v>43445.0</v>
      </c>
      <c r="B53" s="61" t="s">
        <v>1734</v>
      </c>
      <c r="C53" s="179"/>
      <c r="D53" s="61" t="s">
        <v>1735</v>
      </c>
      <c r="E53" s="61" t="s">
        <v>1736</v>
      </c>
      <c r="F53" s="61" t="s">
        <v>212</v>
      </c>
      <c r="G53" s="61" t="s">
        <v>1869</v>
      </c>
      <c r="H53" s="182"/>
      <c r="I53" s="1" t="s">
        <v>1658</v>
      </c>
      <c r="K53" s="120" t="s">
        <v>201</v>
      </c>
    </row>
    <row r="54" ht="15.75" customHeight="1">
      <c r="A54" s="173">
        <v>43445.0</v>
      </c>
      <c r="B54" s="174" t="s">
        <v>1870</v>
      </c>
      <c r="C54" s="175"/>
      <c r="D54" s="184" t="s">
        <v>1871</v>
      </c>
      <c r="E54" s="174" t="s">
        <v>1872</v>
      </c>
      <c r="F54" s="60" t="s">
        <v>212</v>
      </c>
      <c r="G54" s="174" t="s">
        <v>1526</v>
      </c>
      <c r="H54" s="174"/>
      <c r="I54" s="1" t="s">
        <v>522</v>
      </c>
      <c r="K54" s="120" t="s">
        <v>201</v>
      </c>
    </row>
    <row r="55" ht="15.75" customHeight="1">
      <c r="A55" s="178">
        <v>43445.0</v>
      </c>
      <c r="B55" s="61" t="s">
        <v>1873</v>
      </c>
      <c r="C55" s="179"/>
      <c r="D55" s="61" t="s">
        <v>1701</v>
      </c>
      <c r="E55" s="61" t="s">
        <v>1702</v>
      </c>
      <c r="F55" s="61" t="s">
        <v>212</v>
      </c>
      <c r="G55" s="61" t="s">
        <v>1874</v>
      </c>
      <c r="H55" s="182"/>
      <c r="I55" s="1" t="s">
        <v>1695</v>
      </c>
      <c r="K55" s="1" t="s">
        <v>16</v>
      </c>
    </row>
    <row r="56" ht="15.75" customHeight="1">
      <c r="A56" s="173">
        <v>43447.0</v>
      </c>
      <c r="B56" s="83" t="s">
        <v>1875</v>
      </c>
      <c r="C56" s="175"/>
      <c r="D56" s="176" t="s">
        <v>1876</v>
      </c>
      <c r="E56" s="60" t="s">
        <v>1877</v>
      </c>
      <c r="F56" s="60" t="s">
        <v>222</v>
      </c>
      <c r="G56" s="60" t="s">
        <v>1878</v>
      </c>
      <c r="H56" s="174"/>
      <c r="I56" s="1" t="s">
        <v>1879</v>
      </c>
      <c r="J56" s="1" t="s">
        <v>1880</v>
      </c>
      <c r="K56" s="1" t="s">
        <v>401</v>
      </c>
    </row>
    <row r="57" ht="15.75" customHeight="1">
      <c r="A57" s="178">
        <v>43447.0</v>
      </c>
      <c r="B57" s="61" t="s">
        <v>1881</v>
      </c>
      <c r="C57" s="179"/>
      <c r="D57" s="73" t="s">
        <v>1882</v>
      </c>
      <c r="E57" s="61" t="s">
        <v>1883</v>
      </c>
      <c r="F57" s="61" t="s">
        <v>212</v>
      </c>
      <c r="G57" s="61" t="s">
        <v>1884</v>
      </c>
      <c r="H57" s="182"/>
      <c r="I57" s="1" t="s">
        <v>285</v>
      </c>
      <c r="K57" s="120" t="s">
        <v>201</v>
      </c>
    </row>
    <row r="58" ht="15.75" customHeight="1">
      <c r="A58" s="173">
        <v>43449.0</v>
      </c>
      <c r="B58" s="60" t="s">
        <v>1885</v>
      </c>
      <c r="C58" s="175"/>
      <c r="D58" s="63" t="s">
        <v>1886</v>
      </c>
      <c r="E58" s="60" t="s">
        <v>1887</v>
      </c>
      <c r="F58" s="60" t="s">
        <v>179</v>
      </c>
      <c r="G58" s="60" t="s">
        <v>1888</v>
      </c>
      <c r="H58" s="174"/>
      <c r="I58" s="1" t="s">
        <v>496</v>
      </c>
      <c r="K58" s="1" t="s">
        <v>16</v>
      </c>
    </row>
    <row r="59" ht="15.75" customHeight="1">
      <c r="A59" s="178">
        <v>43449.0</v>
      </c>
      <c r="B59" s="185" t="s">
        <v>1889</v>
      </c>
      <c r="C59" s="179"/>
      <c r="D59" s="73" t="s">
        <v>1890</v>
      </c>
      <c r="E59" s="186" t="s">
        <v>1891</v>
      </c>
      <c r="F59" s="61" t="s">
        <v>179</v>
      </c>
      <c r="G59" s="61" t="s">
        <v>1892</v>
      </c>
      <c r="H59" s="182"/>
      <c r="I59" s="1" t="s">
        <v>1893</v>
      </c>
      <c r="K59" s="57" t="s">
        <v>1894</v>
      </c>
    </row>
    <row r="60" ht="15.75" customHeight="1">
      <c r="A60" s="173">
        <v>43449.0</v>
      </c>
      <c r="B60" s="60" t="s">
        <v>1895</v>
      </c>
      <c r="C60" s="175"/>
      <c r="D60" s="63" t="s">
        <v>1896</v>
      </c>
      <c r="E60" s="60" t="s">
        <v>1897</v>
      </c>
      <c r="F60" s="60" t="s">
        <v>179</v>
      </c>
      <c r="G60" s="60" t="s">
        <v>1888</v>
      </c>
      <c r="H60" s="174"/>
      <c r="I60" s="1" t="s">
        <v>496</v>
      </c>
      <c r="K60" s="1" t="s">
        <v>16</v>
      </c>
    </row>
    <row r="61" ht="15.75" customHeight="1">
      <c r="A61" s="178">
        <v>43449.0</v>
      </c>
      <c r="B61" s="61" t="s">
        <v>1898</v>
      </c>
      <c r="C61" s="179"/>
      <c r="D61" s="73" t="s">
        <v>1899</v>
      </c>
      <c r="E61" s="61" t="s">
        <v>1900</v>
      </c>
      <c r="F61" s="61" t="s">
        <v>179</v>
      </c>
      <c r="G61" s="61" t="s">
        <v>1901</v>
      </c>
      <c r="H61" s="182"/>
      <c r="I61" s="1" t="s">
        <v>694</v>
      </c>
      <c r="K61" s="1" t="s">
        <v>16</v>
      </c>
    </row>
    <row r="62" ht="15.75" customHeight="1">
      <c r="A62" s="173">
        <v>43449.0</v>
      </c>
      <c r="B62" s="187" t="s">
        <v>1889</v>
      </c>
      <c r="C62" s="175"/>
      <c r="D62" s="63" t="s">
        <v>1890</v>
      </c>
      <c r="E62" s="183" t="s">
        <v>1891</v>
      </c>
      <c r="F62" s="60" t="s">
        <v>794</v>
      </c>
      <c r="G62" s="60" t="s">
        <v>1892</v>
      </c>
      <c r="H62" s="174"/>
      <c r="I62" s="1" t="s">
        <v>1893</v>
      </c>
      <c r="K62" s="57" t="s">
        <v>1894</v>
      </c>
    </row>
    <row r="63" ht="15.75" customHeight="1">
      <c r="A63" s="178">
        <v>43449.0</v>
      </c>
      <c r="B63" s="61" t="s">
        <v>1902</v>
      </c>
      <c r="C63" s="179"/>
      <c r="D63" s="73" t="s">
        <v>1903</v>
      </c>
      <c r="E63" s="182"/>
      <c r="F63" s="61" t="s">
        <v>1904</v>
      </c>
      <c r="G63" s="61" t="s">
        <v>1905</v>
      </c>
      <c r="H63" s="61" t="s">
        <v>1906</v>
      </c>
      <c r="I63" s="1" t="s">
        <v>285</v>
      </c>
      <c r="K63" s="120" t="s">
        <v>201</v>
      </c>
    </row>
    <row r="64" ht="15.75" customHeight="1">
      <c r="A64" s="173">
        <v>43449.0</v>
      </c>
      <c r="B64" s="83" t="s">
        <v>1907</v>
      </c>
      <c r="C64" s="175"/>
      <c r="D64" s="83" t="s">
        <v>1908</v>
      </c>
      <c r="E64" s="83" t="s">
        <v>1909</v>
      </c>
      <c r="F64" s="60" t="s">
        <v>222</v>
      </c>
      <c r="G64" s="83" t="s">
        <v>1910</v>
      </c>
      <c r="H64" s="188" t="s">
        <v>1911</v>
      </c>
      <c r="I64" s="1" t="s">
        <v>1912</v>
      </c>
      <c r="K64" s="1" t="s">
        <v>244</v>
      </c>
    </row>
    <row r="65" ht="15.75" customHeight="1">
      <c r="A65" s="178">
        <v>43449.0</v>
      </c>
      <c r="B65" s="61" t="s">
        <v>1913</v>
      </c>
      <c r="C65" s="179"/>
      <c r="D65" s="73" t="s">
        <v>1914</v>
      </c>
      <c r="E65" s="61" t="s">
        <v>1915</v>
      </c>
      <c r="F65" s="61" t="s">
        <v>179</v>
      </c>
      <c r="G65" s="61" t="s">
        <v>1916</v>
      </c>
      <c r="H65" s="182"/>
      <c r="I65" s="1" t="s">
        <v>1917</v>
      </c>
      <c r="K65" s="1" t="s">
        <v>401</v>
      </c>
    </row>
    <row r="66" ht="15.75" customHeight="1">
      <c r="A66" s="189">
        <v>43451.0</v>
      </c>
      <c r="B66" s="60" t="s">
        <v>1918</v>
      </c>
      <c r="C66" s="175"/>
      <c r="D66" s="63" t="s">
        <v>1919</v>
      </c>
      <c r="E66" s="60" t="s">
        <v>1920</v>
      </c>
      <c r="F66" s="60" t="s">
        <v>212</v>
      </c>
      <c r="G66" s="60" t="s">
        <v>283</v>
      </c>
      <c r="H66" s="174"/>
      <c r="I66" s="1" t="s">
        <v>285</v>
      </c>
      <c r="K66" s="120" t="s">
        <v>201</v>
      </c>
    </row>
    <row r="67" ht="15.75" customHeight="1">
      <c r="A67" s="190">
        <v>43451.0</v>
      </c>
      <c r="B67" s="61" t="s">
        <v>234</v>
      </c>
      <c r="C67" s="179"/>
      <c r="D67" s="61">
        <v>9.71502974339E11</v>
      </c>
      <c r="E67" s="61" t="s">
        <v>1921</v>
      </c>
      <c r="F67" s="61" t="s">
        <v>613</v>
      </c>
      <c r="G67" s="61" t="s">
        <v>1922</v>
      </c>
      <c r="H67" s="182"/>
      <c r="I67" s="1" t="s">
        <v>1923</v>
      </c>
      <c r="K67" s="120" t="s">
        <v>201</v>
      </c>
    </row>
    <row r="68" ht="15.75" customHeight="1">
      <c r="A68" s="189">
        <v>43451.0</v>
      </c>
      <c r="B68" s="60" t="s">
        <v>1924</v>
      </c>
      <c r="C68" s="175"/>
      <c r="D68" s="63" t="s">
        <v>1925</v>
      </c>
      <c r="E68" s="60" t="s">
        <v>1926</v>
      </c>
      <c r="F68" s="60" t="s">
        <v>212</v>
      </c>
      <c r="G68" s="60" t="s">
        <v>1874</v>
      </c>
      <c r="H68" s="174"/>
      <c r="I68" s="1" t="s">
        <v>1695</v>
      </c>
      <c r="K68" s="1" t="s">
        <v>16</v>
      </c>
    </row>
    <row r="69" ht="15.75" customHeight="1">
      <c r="A69" s="190">
        <v>43451.0</v>
      </c>
      <c r="B69" s="61" t="s">
        <v>1927</v>
      </c>
      <c r="C69" s="179"/>
      <c r="D69" s="73" t="s">
        <v>1928</v>
      </c>
      <c r="E69" s="61" t="s">
        <v>1929</v>
      </c>
      <c r="F69" s="61" t="s">
        <v>222</v>
      </c>
      <c r="G69" s="61" t="s">
        <v>1930</v>
      </c>
      <c r="H69" s="61" t="s">
        <v>1931</v>
      </c>
      <c r="I69" s="1" t="s">
        <v>1932</v>
      </c>
      <c r="K69" s="1" t="s">
        <v>16</v>
      </c>
    </row>
    <row r="70" ht="15.75" customHeight="1">
      <c r="A70" s="189">
        <v>43452.0</v>
      </c>
      <c r="B70" s="60" t="s">
        <v>1933</v>
      </c>
      <c r="C70" s="175"/>
      <c r="D70" s="176" t="s">
        <v>1934</v>
      </c>
      <c r="E70" s="191" t="s">
        <v>1935</v>
      </c>
      <c r="F70" s="60" t="s">
        <v>179</v>
      </c>
      <c r="G70" s="174" t="s">
        <v>1820</v>
      </c>
      <c r="H70" s="174" t="s">
        <v>1936</v>
      </c>
      <c r="I70" s="1" t="s">
        <v>486</v>
      </c>
      <c r="K70" s="1" t="s">
        <v>761</v>
      </c>
    </row>
    <row r="71" ht="15.75" customHeight="1">
      <c r="A71" s="190">
        <v>43452.0</v>
      </c>
      <c r="B71" s="61" t="s">
        <v>234</v>
      </c>
      <c r="C71" s="179"/>
      <c r="D71" s="73" t="s">
        <v>1937</v>
      </c>
      <c r="E71" s="61" t="s">
        <v>1938</v>
      </c>
      <c r="F71" s="61" t="s">
        <v>222</v>
      </c>
      <c r="G71" s="61" t="s">
        <v>1939</v>
      </c>
      <c r="H71" s="61" t="s">
        <v>72</v>
      </c>
      <c r="I71" s="1" t="s">
        <v>1940</v>
      </c>
      <c r="K71" s="1" t="s">
        <v>244</v>
      </c>
    </row>
    <row r="72" ht="15.75" customHeight="1">
      <c r="A72" s="189">
        <v>43452.0</v>
      </c>
      <c r="B72" s="60" t="s">
        <v>1933</v>
      </c>
      <c r="C72" s="175"/>
      <c r="D72" s="176" t="s">
        <v>1934</v>
      </c>
      <c r="E72" s="191" t="s">
        <v>1935</v>
      </c>
      <c r="F72" s="60" t="s">
        <v>794</v>
      </c>
      <c r="G72" s="174" t="s">
        <v>1820</v>
      </c>
      <c r="H72" s="174" t="s">
        <v>1936</v>
      </c>
      <c r="I72" s="1" t="s">
        <v>486</v>
      </c>
      <c r="K72" s="1" t="s">
        <v>574</v>
      </c>
    </row>
    <row r="73" ht="15.75" customHeight="1">
      <c r="A73" s="190">
        <v>43452.0</v>
      </c>
      <c r="B73" s="61" t="s">
        <v>1941</v>
      </c>
      <c r="C73" s="179"/>
      <c r="D73" s="73" t="s">
        <v>1942</v>
      </c>
      <c r="E73" s="182" t="s">
        <v>1943</v>
      </c>
      <c r="F73" s="61" t="s">
        <v>222</v>
      </c>
      <c r="G73" s="61" t="s">
        <v>1944</v>
      </c>
      <c r="H73" s="182"/>
      <c r="I73" s="1" t="s">
        <v>1945</v>
      </c>
      <c r="K73" s="1" t="s">
        <v>265</v>
      </c>
    </row>
    <row r="74" ht="15.75" customHeight="1">
      <c r="A74" s="189">
        <v>43453.0</v>
      </c>
      <c r="B74" s="60" t="s">
        <v>1946</v>
      </c>
      <c r="C74" s="175"/>
      <c r="D74" s="63" t="s">
        <v>1947</v>
      </c>
      <c r="E74" s="63" t="s">
        <v>1948</v>
      </c>
      <c r="F74" s="60" t="s">
        <v>222</v>
      </c>
      <c r="G74" s="60" t="s">
        <v>1949</v>
      </c>
      <c r="H74" s="60" t="s">
        <v>1950</v>
      </c>
      <c r="I74" s="1" t="s">
        <v>562</v>
      </c>
      <c r="K74" s="57" t="s">
        <v>563</v>
      </c>
    </row>
    <row r="75" ht="15.75" customHeight="1">
      <c r="A75" s="192">
        <v>43453.0</v>
      </c>
      <c r="B75" s="182" t="s">
        <v>1951</v>
      </c>
      <c r="C75" s="179"/>
      <c r="D75" s="179"/>
      <c r="E75" s="182" t="s">
        <v>1952</v>
      </c>
      <c r="G75" s="182" t="s">
        <v>1953</v>
      </c>
      <c r="H75" s="182" t="s">
        <v>1954</v>
      </c>
      <c r="I75" s="1" t="s">
        <v>1955</v>
      </c>
      <c r="K75" s="1" t="s">
        <v>16</v>
      </c>
    </row>
    <row r="76" ht="15.75" customHeight="1">
      <c r="A76" s="192">
        <v>43453.0</v>
      </c>
      <c r="B76" s="60" t="s">
        <v>1956</v>
      </c>
      <c r="C76" s="175"/>
      <c r="D76" s="63" t="s">
        <v>1957</v>
      </c>
      <c r="E76" s="60" t="s">
        <v>1958</v>
      </c>
      <c r="F76" s="60" t="s">
        <v>179</v>
      </c>
      <c r="G76" s="60" t="s">
        <v>1959</v>
      </c>
      <c r="H76" s="174"/>
      <c r="K76" s="1" t="s">
        <v>244</v>
      </c>
    </row>
    <row r="77" ht="15.75" customHeight="1">
      <c r="A77" s="192">
        <v>43453.0</v>
      </c>
      <c r="B77" s="61" t="s">
        <v>1960</v>
      </c>
      <c r="C77" s="179"/>
      <c r="D77" s="73" t="s">
        <v>1961</v>
      </c>
      <c r="E77" s="61" t="s">
        <v>1962</v>
      </c>
      <c r="F77" s="61" t="s">
        <v>179</v>
      </c>
      <c r="G77" s="61" t="s">
        <v>1963</v>
      </c>
      <c r="H77" s="61" t="s">
        <v>1964</v>
      </c>
      <c r="K77" s="57" t="s">
        <v>319</v>
      </c>
    </row>
    <row r="78" ht="15.75" customHeight="1">
      <c r="A78" s="192">
        <v>43454.0</v>
      </c>
      <c r="B78" s="60" t="s">
        <v>1960</v>
      </c>
      <c r="C78" s="175"/>
      <c r="D78" s="63" t="s">
        <v>1961</v>
      </c>
      <c r="E78" s="60" t="s">
        <v>1962</v>
      </c>
      <c r="F78" s="60" t="s">
        <v>179</v>
      </c>
      <c r="G78" s="60" t="s">
        <v>1963</v>
      </c>
      <c r="H78" s="60" t="s">
        <v>1964</v>
      </c>
      <c r="K78" s="57" t="s">
        <v>319</v>
      </c>
    </row>
    <row r="79" ht="15.75" customHeight="1">
      <c r="A79" s="192">
        <v>43454.0</v>
      </c>
      <c r="B79" s="61" t="s">
        <v>1965</v>
      </c>
      <c r="C79" s="179"/>
      <c r="D79" s="73" t="s">
        <v>1966</v>
      </c>
      <c r="E79" s="61" t="s">
        <v>1967</v>
      </c>
      <c r="F79" s="61" t="s">
        <v>179</v>
      </c>
      <c r="G79" s="61" t="s">
        <v>1968</v>
      </c>
      <c r="H79" s="61" t="s">
        <v>1969</v>
      </c>
      <c r="K79" s="120" t="s">
        <v>201</v>
      </c>
    </row>
    <row r="80" ht="15.75" customHeight="1">
      <c r="A80" s="192">
        <v>43454.0</v>
      </c>
      <c r="B80" s="60" t="s">
        <v>1970</v>
      </c>
      <c r="C80" s="175"/>
      <c r="D80" s="63" t="s">
        <v>1971</v>
      </c>
      <c r="E80" s="60" t="s">
        <v>1972</v>
      </c>
      <c r="F80" s="60" t="s">
        <v>222</v>
      </c>
      <c r="G80" s="60" t="s">
        <v>1973</v>
      </c>
      <c r="H80" s="60" t="s">
        <v>1974</v>
      </c>
      <c r="K80" s="1" t="s">
        <v>244</v>
      </c>
    </row>
    <row r="81" ht="15.75" customHeight="1">
      <c r="A81" s="192">
        <v>43454.0</v>
      </c>
      <c r="B81" s="61" t="s">
        <v>1975</v>
      </c>
      <c r="C81" s="179"/>
      <c r="D81" s="73" t="s">
        <v>1976</v>
      </c>
      <c r="E81" s="61" t="s">
        <v>1977</v>
      </c>
      <c r="F81" s="61" t="s">
        <v>179</v>
      </c>
      <c r="G81" s="61" t="s">
        <v>1978</v>
      </c>
      <c r="H81" s="182"/>
      <c r="I81" s="1" t="s">
        <v>600</v>
      </c>
      <c r="K81" s="1" t="s">
        <v>16</v>
      </c>
    </row>
    <row r="82" ht="15.75" customHeight="1">
      <c r="A82" s="192">
        <v>43456.0</v>
      </c>
      <c r="B82" s="60" t="s">
        <v>1979</v>
      </c>
      <c r="C82" s="175"/>
      <c r="D82" s="63" t="s">
        <v>1980</v>
      </c>
      <c r="E82" s="60" t="s">
        <v>1981</v>
      </c>
      <c r="F82" s="60" t="s">
        <v>222</v>
      </c>
      <c r="G82" s="60" t="s">
        <v>1982</v>
      </c>
      <c r="H82" s="60" t="s">
        <v>1983</v>
      </c>
      <c r="I82" s="1" t="s">
        <v>1984</v>
      </c>
      <c r="K82" s="57" t="s">
        <v>1985</v>
      </c>
    </row>
    <row r="83" ht="15.75" customHeight="1">
      <c r="A83" s="192">
        <v>43457.0</v>
      </c>
      <c r="B83" s="61" t="s">
        <v>1986</v>
      </c>
      <c r="C83" s="179"/>
      <c r="D83" s="73" t="s">
        <v>1987</v>
      </c>
      <c r="E83" s="61" t="s">
        <v>1988</v>
      </c>
      <c r="F83" s="61" t="s">
        <v>222</v>
      </c>
      <c r="G83" s="61" t="s">
        <v>259</v>
      </c>
      <c r="H83" s="61" t="s">
        <v>1989</v>
      </c>
      <c r="I83" s="1" t="s">
        <v>260</v>
      </c>
      <c r="K83" s="1" t="s">
        <v>16</v>
      </c>
    </row>
    <row r="84" ht="15.75" customHeight="1">
      <c r="A84" s="192">
        <v>43457.0</v>
      </c>
      <c r="B84" s="60" t="s">
        <v>1990</v>
      </c>
      <c r="C84" s="175"/>
      <c r="D84" s="63" t="s">
        <v>1991</v>
      </c>
      <c r="E84" s="174"/>
      <c r="F84" s="60" t="s">
        <v>222</v>
      </c>
      <c r="G84" s="60" t="s">
        <v>1992</v>
      </c>
      <c r="H84" s="174"/>
      <c r="I84" s="1" t="s">
        <v>1993</v>
      </c>
      <c r="K84" s="57" t="s">
        <v>1059</v>
      </c>
    </row>
    <row r="85" ht="15.75" customHeight="1">
      <c r="A85" s="192">
        <v>43457.0</v>
      </c>
      <c r="B85" s="61" t="s">
        <v>1994</v>
      </c>
      <c r="C85" s="179"/>
      <c r="D85" s="73" t="s">
        <v>1995</v>
      </c>
      <c r="E85" s="73" t="s">
        <v>1996</v>
      </c>
      <c r="F85" s="61" t="s">
        <v>179</v>
      </c>
      <c r="G85" s="61" t="s">
        <v>1997</v>
      </c>
      <c r="H85" s="182"/>
      <c r="I85" s="1" t="s">
        <v>233</v>
      </c>
      <c r="K85" s="120" t="s">
        <v>201</v>
      </c>
    </row>
    <row r="86" ht="15.75" customHeight="1">
      <c r="A86" s="192">
        <v>43457.0</v>
      </c>
      <c r="B86" s="174" t="s">
        <v>1998</v>
      </c>
      <c r="C86" s="175"/>
      <c r="D86" s="63" t="s">
        <v>1999</v>
      </c>
      <c r="E86" s="174" t="s">
        <v>2000</v>
      </c>
      <c r="F86" s="60" t="s">
        <v>330</v>
      </c>
      <c r="G86" s="60" t="s">
        <v>2001</v>
      </c>
      <c r="H86" s="174"/>
      <c r="I86" s="1" t="s">
        <v>1564</v>
      </c>
      <c r="K86" s="1" t="s">
        <v>16</v>
      </c>
    </row>
    <row r="87" ht="15.75" customHeight="1">
      <c r="A87" s="192">
        <v>43457.0</v>
      </c>
      <c r="B87" s="61" t="s">
        <v>2002</v>
      </c>
      <c r="C87" s="179"/>
      <c r="D87" s="73" t="s">
        <v>2003</v>
      </c>
      <c r="E87" s="61" t="s">
        <v>2004</v>
      </c>
      <c r="F87" s="61" t="s">
        <v>179</v>
      </c>
      <c r="G87" s="61" t="s">
        <v>2005</v>
      </c>
      <c r="H87" s="182"/>
      <c r="I87" s="1" t="s">
        <v>2006</v>
      </c>
      <c r="K87" s="57" t="s">
        <v>1202</v>
      </c>
    </row>
    <row r="88" ht="15.75" customHeight="1">
      <c r="A88" s="192">
        <v>43457.0</v>
      </c>
      <c r="B88" s="60" t="s">
        <v>574</v>
      </c>
      <c r="C88" s="175"/>
      <c r="D88" s="63" t="s">
        <v>2007</v>
      </c>
      <c r="E88" s="174"/>
      <c r="F88" s="60" t="s">
        <v>222</v>
      </c>
      <c r="G88" s="60" t="s">
        <v>2008</v>
      </c>
      <c r="H88" s="174"/>
      <c r="K88" s="57" t="s">
        <v>2009</v>
      </c>
    </row>
    <row r="89" ht="15.75" customHeight="1">
      <c r="A89" s="192">
        <v>43460.0</v>
      </c>
      <c r="B89" s="61" t="s">
        <v>2010</v>
      </c>
      <c r="C89" s="179"/>
      <c r="D89" s="73" t="s">
        <v>2011</v>
      </c>
      <c r="E89" s="61" t="s">
        <v>2012</v>
      </c>
      <c r="F89" s="61" t="s">
        <v>179</v>
      </c>
      <c r="G89" s="61" t="s">
        <v>521</v>
      </c>
      <c r="H89" s="182"/>
      <c r="I89" s="1" t="s">
        <v>522</v>
      </c>
      <c r="K89" s="120" t="s">
        <v>201</v>
      </c>
    </row>
    <row r="90" ht="15.75" customHeight="1">
      <c r="A90" s="192">
        <v>43460.0</v>
      </c>
      <c r="B90" s="60" t="s">
        <v>2013</v>
      </c>
      <c r="C90" s="175"/>
      <c r="D90" s="60">
        <v>5.53669906E8</v>
      </c>
      <c r="E90" s="60" t="s">
        <v>221</v>
      </c>
      <c r="F90" s="60" t="s">
        <v>179</v>
      </c>
      <c r="G90" s="60" t="s">
        <v>228</v>
      </c>
      <c r="H90" s="174"/>
      <c r="I90" s="1" t="s">
        <v>200</v>
      </c>
      <c r="K90" s="120" t="s">
        <v>201</v>
      </c>
    </row>
    <row r="91" ht="15.75" customHeight="1">
      <c r="A91" s="192">
        <v>43460.0</v>
      </c>
      <c r="B91" s="61" t="s">
        <v>2014</v>
      </c>
      <c r="C91" s="179"/>
      <c r="D91" s="73" t="s">
        <v>2015</v>
      </c>
      <c r="E91" s="61" t="s">
        <v>2016</v>
      </c>
      <c r="F91" s="61" t="s">
        <v>179</v>
      </c>
      <c r="G91" s="61" t="s">
        <v>706</v>
      </c>
      <c r="H91" s="182"/>
      <c r="I91" s="1" t="s">
        <v>2017</v>
      </c>
      <c r="K91" s="1" t="s">
        <v>16</v>
      </c>
    </row>
    <row r="92" ht="15.75" customHeight="1">
      <c r="A92" s="192">
        <v>43460.0</v>
      </c>
      <c r="B92" s="60" t="s">
        <v>2018</v>
      </c>
      <c r="C92" s="175"/>
      <c r="D92" s="63" t="s">
        <v>2019</v>
      </c>
      <c r="E92" s="60" t="s">
        <v>2020</v>
      </c>
      <c r="F92" s="60" t="s">
        <v>179</v>
      </c>
      <c r="G92" s="60" t="s">
        <v>2021</v>
      </c>
      <c r="H92" s="174"/>
      <c r="K92" s="1" t="s">
        <v>2022</v>
      </c>
    </row>
    <row r="93" ht="15.75" customHeight="1">
      <c r="A93" s="192">
        <v>43460.0</v>
      </c>
      <c r="B93" s="61" t="s">
        <v>1979</v>
      </c>
      <c r="C93" s="179"/>
      <c r="D93" s="73" t="s">
        <v>1980</v>
      </c>
      <c r="E93" s="61" t="s">
        <v>1981</v>
      </c>
      <c r="F93" s="61" t="s">
        <v>179</v>
      </c>
      <c r="G93" s="61" t="s">
        <v>2023</v>
      </c>
      <c r="H93" s="61" t="s">
        <v>2024</v>
      </c>
      <c r="K93" s="57" t="s">
        <v>1679</v>
      </c>
    </row>
    <row r="94" ht="15.75" customHeight="1">
      <c r="A94" s="192">
        <v>43460.0</v>
      </c>
      <c r="B94" s="60" t="s">
        <v>1975</v>
      </c>
      <c r="C94" s="175"/>
      <c r="D94" s="63" t="s">
        <v>1976</v>
      </c>
      <c r="E94" s="60" t="s">
        <v>1977</v>
      </c>
      <c r="F94" s="60" t="s">
        <v>212</v>
      </c>
      <c r="G94" s="60" t="s">
        <v>2025</v>
      </c>
      <c r="H94" s="174"/>
      <c r="I94" s="1" t="s">
        <v>600</v>
      </c>
      <c r="K94" s="1" t="s">
        <v>16</v>
      </c>
    </row>
    <row r="95" ht="15.75" customHeight="1">
      <c r="A95" s="192">
        <v>43460.0</v>
      </c>
      <c r="B95" s="61" t="s">
        <v>2026</v>
      </c>
      <c r="C95" s="179"/>
      <c r="D95" s="73" t="s">
        <v>2027</v>
      </c>
      <c r="E95" s="61" t="s">
        <v>2028</v>
      </c>
      <c r="F95" s="61" t="s">
        <v>179</v>
      </c>
      <c r="G95" s="61" t="s">
        <v>578</v>
      </c>
      <c r="H95" s="61" t="s">
        <v>2029</v>
      </c>
      <c r="I95" s="1" t="s">
        <v>279</v>
      </c>
      <c r="K95" s="1" t="s">
        <v>16</v>
      </c>
    </row>
    <row r="96" ht="15.75" customHeight="1">
      <c r="A96" s="173">
        <v>43461.0</v>
      </c>
      <c r="B96" s="60" t="s">
        <v>234</v>
      </c>
      <c r="C96" s="175"/>
      <c r="D96" s="63" t="s">
        <v>2030</v>
      </c>
      <c r="E96" s="60" t="s">
        <v>2031</v>
      </c>
      <c r="F96" s="60" t="s">
        <v>222</v>
      </c>
      <c r="G96" s="60" t="s">
        <v>2032</v>
      </c>
      <c r="H96" s="60" t="s">
        <v>2033</v>
      </c>
      <c r="I96" s="1" t="s">
        <v>2034</v>
      </c>
      <c r="K96" s="1" t="s">
        <v>1126</v>
      </c>
    </row>
    <row r="97" ht="15.75" customHeight="1">
      <c r="A97" s="193">
        <v>43461.0</v>
      </c>
      <c r="B97" s="194" t="s">
        <v>2035</v>
      </c>
      <c r="C97" s="195"/>
      <c r="D97" s="196" t="s">
        <v>2036</v>
      </c>
      <c r="E97" s="194" t="s">
        <v>2037</v>
      </c>
      <c r="F97" s="194" t="s">
        <v>2038</v>
      </c>
      <c r="G97" s="194" t="s">
        <v>2039</v>
      </c>
      <c r="H97" s="197"/>
      <c r="I97" s="57"/>
      <c r="J97" s="57"/>
      <c r="K97" s="57" t="s">
        <v>2040</v>
      </c>
    </row>
    <row r="98" ht="15.75" customHeight="1">
      <c r="A98" s="173">
        <v>43461.0</v>
      </c>
      <c r="B98" s="60" t="s">
        <v>2041</v>
      </c>
      <c r="C98" s="175"/>
      <c r="D98" s="63" t="s">
        <v>2042</v>
      </c>
      <c r="E98" s="174"/>
      <c r="F98" s="60" t="s">
        <v>2043</v>
      </c>
      <c r="G98" s="60" t="s">
        <v>2044</v>
      </c>
      <c r="H98" s="60" t="s">
        <v>2045</v>
      </c>
      <c r="I98" s="1" t="s">
        <v>620</v>
      </c>
      <c r="K98" s="1" t="s">
        <v>574</v>
      </c>
    </row>
    <row r="99" ht="15.75" customHeight="1">
      <c r="A99" s="178">
        <v>43463.0</v>
      </c>
      <c r="B99" s="61" t="s">
        <v>234</v>
      </c>
      <c r="C99" s="179"/>
      <c r="D99" s="73" t="s">
        <v>2046</v>
      </c>
      <c r="E99" s="61" t="s">
        <v>2047</v>
      </c>
      <c r="F99" s="61" t="s">
        <v>222</v>
      </c>
      <c r="G99" s="61" t="s">
        <v>2048</v>
      </c>
      <c r="H99" s="61" t="s">
        <v>263</v>
      </c>
      <c r="K99" s="1" t="s">
        <v>569</v>
      </c>
    </row>
    <row r="100" ht="15.75" customHeight="1">
      <c r="A100" s="173">
        <v>43463.0</v>
      </c>
      <c r="B100" s="60" t="s">
        <v>2049</v>
      </c>
      <c r="C100" s="175"/>
      <c r="D100" s="63" t="s">
        <v>2050</v>
      </c>
      <c r="E100" s="60" t="s">
        <v>2051</v>
      </c>
      <c r="F100" s="60" t="s">
        <v>222</v>
      </c>
      <c r="G100" s="60" t="s">
        <v>2052</v>
      </c>
      <c r="H100" s="60" t="s">
        <v>72</v>
      </c>
      <c r="I100" s="1" t="s">
        <v>2053</v>
      </c>
      <c r="K100" s="1" t="s">
        <v>244</v>
      </c>
    </row>
    <row r="101" ht="15.75" customHeight="1">
      <c r="A101" s="178">
        <v>43463.0</v>
      </c>
      <c r="B101" s="61" t="s">
        <v>2054</v>
      </c>
      <c r="C101" s="179"/>
      <c r="D101" s="73" t="s">
        <v>2055</v>
      </c>
      <c r="E101" s="61" t="s">
        <v>2056</v>
      </c>
      <c r="F101" s="61" t="s">
        <v>179</v>
      </c>
      <c r="G101" s="61" t="s">
        <v>561</v>
      </c>
      <c r="H101" s="182"/>
      <c r="I101" s="1" t="s">
        <v>2057</v>
      </c>
      <c r="K101" s="1" t="s">
        <v>2058</v>
      </c>
    </row>
    <row r="102" ht="15.75" customHeight="1">
      <c r="A102" s="173">
        <v>43463.0</v>
      </c>
      <c r="B102" s="60" t="s">
        <v>2059</v>
      </c>
      <c r="C102" s="175"/>
      <c r="D102" s="63" t="s">
        <v>1896</v>
      </c>
      <c r="E102" s="60" t="s">
        <v>2060</v>
      </c>
      <c r="F102" s="60" t="s">
        <v>179</v>
      </c>
      <c r="G102" s="60" t="s">
        <v>2061</v>
      </c>
      <c r="H102" s="174"/>
      <c r="I102" s="1" t="s">
        <v>260</v>
      </c>
      <c r="K102" s="120" t="s">
        <v>201</v>
      </c>
    </row>
    <row r="103" ht="15.75" customHeight="1">
      <c r="A103" s="178">
        <v>43463.0</v>
      </c>
      <c r="B103" s="61" t="s">
        <v>2062</v>
      </c>
      <c r="C103" s="179"/>
      <c r="D103" s="73" t="s">
        <v>2063</v>
      </c>
      <c r="E103" s="61" t="s">
        <v>2064</v>
      </c>
      <c r="F103" s="61" t="s">
        <v>212</v>
      </c>
      <c r="G103" s="61" t="s">
        <v>2065</v>
      </c>
      <c r="H103" s="182"/>
      <c r="K103" s="120" t="s">
        <v>201</v>
      </c>
    </row>
    <row r="104" ht="15.75" customHeight="1">
      <c r="A104" s="173">
        <v>43463.0</v>
      </c>
      <c r="B104" s="198" t="s">
        <v>2054</v>
      </c>
      <c r="D104" s="198">
        <f>+971551777768</f>
        <v>971551777768</v>
      </c>
      <c r="E104" s="198" t="s">
        <v>2056</v>
      </c>
      <c r="F104" s="60" t="s">
        <v>179</v>
      </c>
      <c r="G104" s="198" t="s">
        <v>0</v>
      </c>
      <c r="H104" s="198" t="s">
        <v>561</v>
      </c>
      <c r="K104" s="57" t="s">
        <v>2066</v>
      </c>
    </row>
    <row r="105" ht="19.5" customHeight="1">
      <c r="A105" s="178">
        <v>43464.0</v>
      </c>
      <c r="B105" s="61" t="s">
        <v>2067</v>
      </c>
      <c r="C105" s="179" t="s">
        <v>2068</v>
      </c>
      <c r="D105" s="180" t="s">
        <v>2069</v>
      </c>
      <c r="E105" s="182" t="s">
        <v>2070</v>
      </c>
      <c r="F105" s="61" t="s">
        <v>179</v>
      </c>
      <c r="G105" s="182" t="s">
        <v>179</v>
      </c>
      <c r="H105" s="182"/>
      <c r="I105" s="1" t="s">
        <v>400</v>
      </c>
      <c r="K105" s="57" t="s">
        <v>401</v>
      </c>
    </row>
    <row r="106" ht="15.75" customHeight="1">
      <c r="A106" s="173">
        <v>43464.0</v>
      </c>
      <c r="B106" s="60" t="s">
        <v>2071</v>
      </c>
      <c r="C106" s="175"/>
      <c r="D106" s="63" t="s">
        <v>2072</v>
      </c>
      <c r="E106" s="60" t="s">
        <v>2073</v>
      </c>
      <c r="F106" s="60" t="s">
        <v>179</v>
      </c>
      <c r="G106" s="60" t="s">
        <v>2074</v>
      </c>
      <c r="H106" s="174"/>
      <c r="I106" s="1" t="s">
        <v>2075</v>
      </c>
      <c r="K106" s="57" t="s">
        <v>2076</v>
      </c>
    </row>
    <row r="107" ht="15.75" customHeight="1">
      <c r="A107" s="178">
        <v>43464.0</v>
      </c>
      <c r="B107" s="61" t="s">
        <v>2077</v>
      </c>
      <c r="C107" s="179"/>
      <c r="D107" s="73" t="s">
        <v>2078</v>
      </c>
      <c r="E107" s="61" t="s">
        <v>2079</v>
      </c>
      <c r="F107" s="61" t="s">
        <v>179</v>
      </c>
      <c r="G107" s="61" t="s">
        <v>2080</v>
      </c>
      <c r="H107" s="182"/>
      <c r="I107" s="1" t="s">
        <v>233</v>
      </c>
      <c r="K107" s="120" t="s">
        <v>201</v>
      </c>
    </row>
    <row r="108" ht="15.75" customHeight="1">
      <c r="A108" s="173">
        <v>43464.0</v>
      </c>
      <c r="B108" s="60" t="s">
        <v>2081</v>
      </c>
      <c r="C108" s="175"/>
      <c r="D108" s="63" t="s">
        <v>2082</v>
      </c>
      <c r="E108" s="60" t="s">
        <v>2083</v>
      </c>
      <c r="F108" s="60" t="s">
        <v>179</v>
      </c>
      <c r="G108" s="60" t="s">
        <v>2084</v>
      </c>
      <c r="H108" s="174"/>
      <c r="I108" s="1" t="s">
        <v>2085</v>
      </c>
      <c r="K108" s="57" t="s">
        <v>742</v>
      </c>
    </row>
    <row r="109" ht="15.75" customHeight="1">
      <c r="A109" s="178">
        <v>43464.0</v>
      </c>
      <c r="B109" s="182" t="s">
        <v>2086</v>
      </c>
      <c r="C109" s="179"/>
      <c r="D109" s="180" t="s">
        <v>2087</v>
      </c>
      <c r="E109" s="182" t="s">
        <v>2088</v>
      </c>
      <c r="F109" s="61" t="s">
        <v>179</v>
      </c>
      <c r="G109" s="182" t="s">
        <v>249</v>
      </c>
      <c r="H109" s="182"/>
      <c r="K109" s="1" t="s">
        <v>1059</v>
      </c>
    </row>
    <row r="110" ht="19.5" customHeight="1">
      <c r="A110" s="173">
        <v>43464.0</v>
      </c>
      <c r="B110" s="60" t="s">
        <v>2067</v>
      </c>
      <c r="C110" s="175" t="s">
        <v>2068</v>
      </c>
      <c r="D110" s="176" t="s">
        <v>2069</v>
      </c>
      <c r="E110" s="174" t="s">
        <v>2070</v>
      </c>
      <c r="F110" s="174" t="s">
        <v>179</v>
      </c>
      <c r="H110" s="174"/>
      <c r="K110" s="57" t="s">
        <v>401</v>
      </c>
    </row>
    <row r="111" ht="15.75" customHeight="1">
      <c r="A111" s="178">
        <v>43465.0</v>
      </c>
      <c r="B111" s="61" t="s">
        <v>2089</v>
      </c>
      <c r="C111" s="179"/>
      <c r="D111" s="73" t="s">
        <v>2090</v>
      </c>
      <c r="E111" s="61" t="s">
        <v>2091</v>
      </c>
      <c r="F111" s="182" t="s">
        <v>179</v>
      </c>
      <c r="G111" s="61" t="s">
        <v>2092</v>
      </c>
      <c r="H111" s="182"/>
      <c r="I111" s="1" t="s">
        <v>2093</v>
      </c>
      <c r="K111" s="1" t="s">
        <v>1059</v>
      </c>
    </row>
    <row r="112" ht="15.75" customHeight="1">
      <c r="A112" s="173">
        <v>43465.0</v>
      </c>
      <c r="B112" s="60" t="s">
        <v>2094</v>
      </c>
      <c r="C112" s="175"/>
      <c r="D112" s="63" t="s">
        <v>2095</v>
      </c>
      <c r="E112" s="174"/>
      <c r="F112" s="174" t="s">
        <v>179</v>
      </c>
      <c r="G112" s="60" t="s">
        <v>2096</v>
      </c>
      <c r="H112" s="174"/>
      <c r="K112" s="1" t="s">
        <v>1059</v>
      </c>
    </row>
    <row r="113" ht="15.75" customHeight="1">
      <c r="A113" s="178">
        <v>43465.0</v>
      </c>
      <c r="B113" s="61" t="s">
        <v>2097</v>
      </c>
      <c r="C113" s="179"/>
      <c r="D113" s="61" t="s">
        <v>2098</v>
      </c>
      <c r="E113" s="61" t="s">
        <v>2099</v>
      </c>
      <c r="F113" s="61" t="s">
        <v>1686</v>
      </c>
      <c r="G113" s="61" t="s">
        <v>2100</v>
      </c>
      <c r="H113" s="182"/>
      <c r="K113" s="1" t="s">
        <v>244</v>
      </c>
    </row>
    <row r="114" ht="15.75" customHeight="1">
      <c r="A114" s="175"/>
      <c r="B114" s="60"/>
      <c r="C114" s="175"/>
      <c r="D114" s="175"/>
      <c r="E114" s="174"/>
      <c r="H114" s="174"/>
    </row>
    <row r="115" ht="15.75" customHeight="1">
      <c r="A115" s="179"/>
      <c r="B115" s="61"/>
      <c r="C115" s="179"/>
      <c r="D115" s="179"/>
      <c r="E115" s="182"/>
      <c r="H115" s="182"/>
    </row>
    <row r="116" ht="15.75" customHeight="1">
      <c r="A116" s="175"/>
      <c r="B116" s="60"/>
      <c r="C116" s="175"/>
      <c r="D116" s="175"/>
      <c r="E116" s="174"/>
      <c r="H116" s="174"/>
    </row>
    <row r="117" ht="15.75" customHeight="1">
      <c r="A117" s="179"/>
      <c r="B117" s="61"/>
      <c r="C117" s="179"/>
      <c r="D117" s="179"/>
      <c r="E117" s="182"/>
      <c r="G117" s="61"/>
      <c r="H117" s="18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K$1:$K$117"/>
      <extLst>
        <ext uri="GoogleSheetsCustomDataVersion1">
          <go:sheetsCustomData xmlns:go="http://customooxmlschemas.google.com/" filterViewId="1259210316"/>
        </ext>
      </extLst>
    </customSheetView>
    <customSheetView guid="{4B769E08-A4CF-4C36-8B65-253A5FCB4C3D}" filter="1" showAutoFilter="1">
      <autoFilter ref="$F$1:$F$117"/>
      <extLst>
        <ext uri="GoogleSheetsCustomDataVersion1">
          <go:sheetsCustomData xmlns:go="http://customooxmlschemas.google.com/" filterViewId="742125131"/>
        </ext>
      </extLst>
    </customSheetView>
  </customSheetViews>
  <mergeCells count="8">
    <mergeCell ref="G2:H2"/>
    <mergeCell ref="G3:H3"/>
    <mergeCell ref="G4:H4"/>
    <mergeCell ref="G5:H5"/>
    <mergeCell ref="G6:H6"/>
    <mergeCell ref="G7:H7"/>
    <mergeCell ref="G8:H8"/>
    <mergeCell ref="H104:I104"/>
  </mergeCells>
  <hyperlinks>
    <hyperlink r:id="rId1" ref="E2"/>
    <hyperlink r:id="rId2" ref="E36"/>
    <hyperlink r:id="rId3" ref="E59"/>
    <hyperlink r:id="rId4" ref="E6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14.38"/>
    <col customWidth="1" min="2" max="2" width="21.0"/>
    <col customWidth="1" min="3" max="3" width="13.63"/>
    <col customWidth="1" min="4" max="4" width="16.13"/>
    <col customWidth="1" min="5" max="5" width="27.0"/>
    <col customWidth="1" min="6" max="30" width="14.38"/>
  </cols>
  <sheetData>
    <row r="1" ht="15.75" customHeight="1">
      <c r="A1" s="199" t="s">
        <v>1345</v>
      </c>
      <c r="B1" s="200" t="s">
        <v>3</v>
      </c>
      <c r="C1" s="200" t="s">
        <v>2101</v>
      </c>
      <c r="D1" s="200" t="s">
        <v>171</v>
      </c>
      <c r="E1" s="200" t="s">
        <v>4</v>
      </c>
      <c r="F1" s="200" t="s">
        <v>172</v>
      </c>
      <c r="G1" s="201"/>
      <c r="H1" s="201" t="s">
        <v>174</v>
      </c>
      <c r="I1" s="202" t="s">
        <v>175</v>
      </c>
      <c r="J1" s="201" t="s">
        <v>9</v>
      </c>
      <c r="K1" s="203"/>
      <c r="L1" s="31"/>
      <c r="M1" s="31"/>
      <c r="N1" s="31"/>
      <c r="O1" s="31"/>
      <c r="P1" s="31"/>
      <c r="Q1" s="31"/>
      <c r="R1" s="31"/>
      <c r="S1" s="31"/>
      <c r="T1" s="31"/>
      <c r="U1" s="31"/>
      <c r="V1" s="31"/>
      <c r="W1" s="31"/>
      <c r="X1" s="31"/>
      <c r="Y1" s="31"/>
      <c r="Z1" s="31"/>
      <c r="AA1" s="31"/>
      <c r="AB1" s="31"/>
      <c r="AC1" s="31"/>
      <c r="AD1" s="31"/>
    </row>
    <row r="2" ht="15.75" customHeight="1">
      <c r="A2" s="204">
        <v>43375.0</v>
      </c>
      <c r="B2" s="205" t="s">
        <v>2102</v>
      </c>
      <c r="C2" s="206" t="s">
        <v>2103</v>
      </c>
      <c r="D2" s="207" t="s">
        <v>2104</v>
      </c>
      <c r="E2" s="208" t="s">
        <v>2105</v>
      </c>
      <c r="F2" s="209" t="s">
        <v>2106</v>
      </c>
      <c r="H2" s="210" t="s">
        <v>2107</v>
      </c>
      <c r="I2" s="89" t="s">
        <v>2108</v>
      </c>
    </row>
    <row r="3" ht="15.75" customHeight="1">
      <c r="A3" s="204">
        <v>43375.0</v>
      </c>
      <c r="B3" s="211" t="s">
        <v>2109</v>
      </c>
      <c r="C3" s="206"/>
      <c r="D3" s="212" t="s">
        <v>2110</v>
      </c>
      <c r="E3" s="213" t="s">
        <v>2111</v>
      </c>
      <c r="F3" s="209" t="s">
        <v>1301</v>
      </c>
      <c r="I3" s="214" t="s">
        <v>2112</v>
      </c>
    </row>
    <row r="4" ht="15.75" customHeight="1">
      <c r="A4" s="204">
        <v>43375.0</v>
      </c>
      <c r="B4" s="99" t="s">
        <v>2113</v>
      </c>
      <c r="C4" s="1" t="s">
        <v>1002</v>
      </c>
      <c r="D4" s="215" t="s">
        <v>2114</v>
      </c>
      <c r="E4" s="216" t="s">
        <v>2115</v>
      </c>
      <c r="F4" s="209" t="s">
        <v>1301</v>
      </c>
      <c r="I4" s="217" t="s">
        <v>2116</v>
      </c>
    </row>
    <row r="5" ht="15.75" customHeight="1">
      <c r="A5" s="204">
        <v>43375.0</v>
      </c>
      <c r="B5" s="93" t="s">
        <v>2117</v>
      </c>
      <c r="C5" s="206" t="s">
        <v>2118</v>
      </c>
      <c r="D5" s="165" t="s">
        <v>2119</v>
      </c>
      <c r="E5" s="89" t="s">
        <v>2120</v>
      </c>
      <c r="F5" s="218" t="s">
        <v>419</v>
      </c>
      <c r="H5" s="219" t="s">
        <v>2121</v>
      </c>
    </row>
    <row r="6" ht="15.75" customHeight="1">
      <c r="A6" s="204">
        <v>43375.0</v>
      </c>
      <c r="B6" s="205" t="s">
        <v>2122</v>
      </c>
      <c r="C6" s="206" t="s">
        <v>2103</v>
      </c>
      <c r="D6" s="165" t="s">
        <v>2123</v>
      </c>
      <c r="E6" s="220" t="s">
        <v>2124</v>
      </c>
      <c r="F6" s="218" t="s">
        <v>419</v>
      </c>
    </row>
    <row r="7" ht="15.75" customHeight="1">
      <c r="A7" s="204">
        <v>43375.0</v>
      </c>
      <c r="B7" s="93" t="s">
        <v>2125</v>
      </c>
      <c r="C7" s="206" t="s">
        <v>2103</v>
      </c>
      <c r="D7" s="221">
        <f>+923008645303</f>
        <v>923008645303</v>
      </c>
      <c r="E7" s="208" t="s">
        <v>2126</v>
      </c>
      <c r="F7" s="218" t="s">
        <v>419</v>
      </c>
    </row>
    <row r="8" ht="15.75" customHeight="1">
      <c r="A8" s="204">
        <v>43375.0</v>
      </c>
      <c r="B8" s="211" t="s">
        <v>2127</v>
      </c>
      <c r="C8" s="206" t="s">
        <v>2103</v>
      </c>
      <c r="D8" s="165" t="s">
        <v>2128</v>
      </c>
      <c r="E8" s="213" t="s">
        <v>2129</v>
      </c>
      <c r="F8" s="209" t="s">
        <v>1301</v>
      </c>
      <c r="H8" s="90" t="s">
        <v>2130</v>
      </c>
    </row>
    <row r="9" ht="15.75" customHeight="1">
      <c r="A9" s="222">
        <v>43371.0</v>
      </c>
      <c r="B9" s="223" t="s">
        <v>2131</v>
      </c>
      <c r="C9" s="206" t="s">
        <v>2132</v>
      </c>
      <c r="D9" s="224" t="s">
        <v>2133</v>
      </c>
      <c r="E9" s="208" t="s">
        <v>2134</v>
      </c>
      <c r="F9" s="1" t="s">
        <v>2135</v>
      </c>
      <c r="H9" s="1" t="s">
        <v>2136</v>
      </c>
    </row>
    <row r="10" ht="15.75" customHeight="1">
      <c r="A10" s="222">
        <v>43370.0</v>
      </c>
      <c r="B10" s="223" t="s">
        <v>2137</v>
      </c>
      <c r="C10" s="206" t="s">
        <v>2138</v>
      </c>
      <c r="D10" s="225" t="s">
        <v>2139</v>
      </c>
      <c r="E10" s="220" t="s">
        <v>2140</v>
      </c>
      <c r="F10" s="209" t="s">
        <v>1301</v>
      </c>
    </row>
    <row r="11" ht="15.75" customHeight="1">
      <c r="A11" s="222">
        <v>43369.0</v>
      </c>
      <c r="B11" s="93" t="s">
        <v>2141</v>
      </c>
      <c r="C11" s="226" t="s">
        <v>2142</v>
      </c>
      <c r="D11" s="227">
        <v>9.710552893441E12</v>
      </c>
      <c r="E11" s="89" t="s">
        <v>2143</v>
      </c>
      <c r="F11" s="1" t="s">
        <v>2144</v>
      </c>
    </row>
    <row r="12" ht="15.75" customHeight="1">
      <c r="A12" s="222">
        <v>43367.0</v>
      </c>
      <c r="B12" s="93" t="s">
        <v>2145</v>
      </c>
      <c r="C12" s="206" t="s">
        <v>2138</v>
      </c>
      <c r="D12" s="228" t="s">
        <v>2146</v>
      </c>
      <c r="E12" s="89" t="s">
        <v>2147</v>
      </c>
      <c r="F12" s="1" t="s">
        <v>2148</v>
      </c>
      <c r="H12" s="1" t="s">
        <v>2149</v>
      </c>
    </row>
    <row r="13" ht="15.75" customHeight="1">
      <c r="A13" s="222">
        <v>43366.0</v>
      </c>
      <c r="B13" s="205" t="s">
        <v>2150</v>
      </c>
      <c r="C13" s="206" t="s">
        <v>2138</v>
      </c>
      <c r="D13" s="229" t="s">
        <v>2151</v>
      </c>
      <c r="E13" s="208" t="s">
        <v>2152</v>
      </c>
      <c r="F13" s="218" t="s">
        <v>419</v>
      </c>
    </row>
    <row r="14" ht="15.75" customHeight="1">
      <c r="A14" s="222">
        <v>43365.0</v>
      </c>
      <c r="B14" s="205" t="s">
        <v>2153</v>
      </c>
      <c r="C14" s="206"/>
      <c r="D14" s="229" t="s">
        <v>2154</v>
      </c>
      <c r="E14" s="208" t="s">
        <v>2155</v>
      </c>
      <c r="F14" s="218" t="s">
        <v>419</v>
      </c>
      <c r="H14" s="93" t="s">
        <v>2156</v>
      </c>
    </row>
    <row r="15" ht="15.75" customHeight="1">
      <c r="A15" s="204">
        <v>43376.0</v>
      </c>
      <c r="C15" s="89" t="s">
        <v>1350</v>
      </c>
      <c r="D15" s="89"/>
    </row>
    <row r="16" ht="15.75" customHeight="1">
      <c r="A16" s="204">
        <v>43376.0</v>
      </c>
      <c r="B16" s="102" t="s">
        <v>2157</v>
      </c>
      <c r="C16" s="89" t="s">
        <v>401</v>
      </c>
      <c r="D16" s="165" t="s">
        <v>2158</v>
      </c>
      <c r="E16" s="102" t="s">
        <v>2159</v>
      </c>
      <c r="F16" s="209" t="s">
        <v>1301</v>
      </c>
      <c r="H16" s="1" t="s">
        <v>2160</v>
      </c>
      <c r="I16" s="1" t="s">
        <v>673</v>
      </c>
    </row>
    <row r="17" ht="15.75" customHeight="1">
      <c r="A17" s="204">
        <v>43376.0</v>
      </c>
      <c r="B17" s="89" t="s">
        <v>2161</v>
      </c>
      <c r="C17" s="206" t="s">
        <v>2103</v>
      </c>
      <c r="D17" s="165" t="s">
        <v>2162</v>
      </c>
      <c r="E17" s="213" t="s">
        <v>2163</v>
      </c>
      <c r="F17" s="209" t="s">
        <v>1301</v>
      </c>
      <c r="H17" s="209" t="s">
        <v>1832</v>
      </c>
    </row>
    <row r="18" ht="15.75" customHeight="1">
      <c r="A18" s="204">
        <v>43376.0</v>
      </c>
      <c r="B18" s="1" t="s">
        <v>2164</v>
      </c>
      <c r="C18" s="230" t="s">
        <v>2165</v>
      </c>
      <c r="D18" s="165" t="s">
        <v>2166</v>
      </c>
      <c r="F18" s="1" t="s">
        <v>2167</v>
      </c>
      <c r="H18" s="1" t="s">
        <v>2168</v>
      </c>
    </row>
    <row r="19" ht="15.75" customHeight="1">
      <c r="A19" s="204">
        <v>43377.0</v>
      </c>
      <c r="B19" s="89" t="s">
        <v>2169</v>
      </c>
      <c r="C19" s="231" t="s">
        <v>2170</v>
      </c>
      <c r="D19" s="165" t="s">
        <v>2171</v>
      </c>
      <c r="E19" s="1" t="s">
        <v>2172</v>
      </c>
      <c r="F19" s="209" t="s">
        <v>1301</v>
      </c>
      <c r="H19" s="90" t="s">
        <v>2173</v>
      </c>
    </row>
    <row r="20" ht="15.75" customHeight="1">
      <c r="A20" s="222">
        <v>43377.0</v>
      </c>
      <c r="B20" s="1" t="s">
        <v>2174</v>
      </c>
      <c r="D20" s="164" t="s">
        <v>2175</v>
      </c>
      <c r="E20" s="1" t="s">
        <v>2176</v>
      </c>
      <c r="F20" s="1" t="s">
        <v>222</v>
      </c>
      <c r="J20" s="1" t="s">
        <v>201</v>
      </c>
    </row>
    <row r="21" ht="15.75" customHeight="1">
      <c r="A21" s="222">
        <v>43379.0</v>
      </c>
      <c r="B21" s="232" t="s">
        <v>2177</v>
      </c>
      <c r="C21" s="233"/>
      <c r="D21" s="225" t="s">
        <v>2178</v>
      </c>
      <c r="E21" s="213" t="s">
        <v>2179</v>
      </c>
      <c r="F21" s="209" t="s">
        <v>1301</v>
      </c>
      <c r="H21" s="90" t="s">
        <v>2180</v>
      </c>
    </row>
    <row r="22" ht="15.75" customHeight="1">
      <c r="A22" s="222">
        <v>43380.0</v>
      </c>
      <c r="B22" s="89" t="s">
        <v>1501</v>
      </c>
      <c r="C22" s="233"/>
      <c r="D22" s="229" t="s">
        <v>2181</v>
      </c>
      <c r="E22" s="213" t="s">
        <v>2182</v>
      </c>
      <c r="H22" s="214" t="s">
        <v>2183</v>
      </c>
    </row>
    <row r="23" ht="15.75" customHeight="1">
      <c r="A23" s="222">
        <v>43380.0</v>
      </c>
      <c r="B23" s="1" t="s">
        <v>2184</v>
      </c>
      <c r="D23" s="165" t="s">
        <v>2185</v>
      </c>
      <c r="E23" s="213" t="s">
        <v>2186</v>
      </c>
      <c r="F23" s="1" t="s">
        <v>222</v>
      </c>
      <c r="H23" s="89" t="s">
        <v>2187</v>
      </c>
      <c r="I23" s="96" t="s">
        <v>2188</v>
      </c>
      <c r="J23" s="1" t="s">
        <v>201</v>
      </c>
    </row>
    <row r="24" ht="15.75" customHeight="1">
      <c r="A24" s="222">
        <v>43381.0</v>
      </c>
      <c r="B24" s="1" t="s">
        <v>2189</v>
      </c>
      <c r="D24" s="1" t="s">
        <v>2190</v>
      </c>
      <c r="E24" s="1" t="s">
        <v>2191</v>
      </c>
      <c r="H24" s="1" t="s">
        <v>2192</v>
      </c>
      <c r="J24" s="57" t="s">
        <v>306</v>
      </c>
    </row>
    <row r="25" ht="15.75" customHeight="1">
      <c r="A25" s="222">
        <v>43382.0</v>
      </c>
      <c r="B25" s="89" t="s">
        <v>2193</v>
      </c>
      <c r="C25" s="233"/>
      <c r="D25" s="229" t="s">
        <v>2194</v>
      </c>
      <c r="E25" s="213" t="s">
        <v>2195</v>
      </c>
      <c r="H25" s="89" t="s">
        <v>2196</v>
      </c>
    </row>
    <row r="26" ht="15.75" customHeight="1">
      <c r="A26" s="222">
        <v>43414.0</v>
      </c>
      <c r="B26" s="102" t="s">
        <v>2197</v>
      </c>
      <c r="C26" s="233"/>
      <c r="D26" s="164" t="s">
        <v>2198</v>
      </c>
      <c r="E26" s="1" t="s">
        <v>2199</v>
      </c>
      <c r="F26" s="1" t="s">
        <v>833</v>
      </c>
      <c r="H26" s="1" t="s">
        <v>2200</v>
      </c>
    </row>
    <row r="27" ht="15.75" customHeight="1">
      <c r="A27" s="222">
        <v>43414.0</v>
      </c>
      <c r="B27" s="1" t="s">
        <v>2201</v>
      </c>
      <c r="D27" s="1" t="s">
        <v>2202</v>
      </c>
      <c r="E27" s="1" t="s">
        <v>2203</v>
      </c>
      <c r="F27" s="209" t="s">
        <v>1301</v>
      </c>
      <c r="G27" s="1" t="s">
        <v>2204</v>
      </c>
    </row>
    <row r="28" ht="15.75" customHeight="1">
      <c r="A28" s="234" t="s">
        <v>2205</v>
      </c>
      <c r="B28" s="89" t="s">
        <v>2206</v>
      </c>
      <c r="C28" s="233"/>
      <c r="D28" s="164" t="s">
        <v>2207</v>
      </c>
      <c r="E28" s="1" t="s">
        <v>2208</v>
      </c>
      <c r="J28" s="57" t="s">
        <v>395</v>
      </c>
    </row>
    <row r="29" ht="15.75" customHeight="1">
      <c r="A29" s="234" t="s">
        <v>2205</v>
      </c>
      <c r="B29" s="1" t="s">
        <v>2209</v>
      </c>
      <c r="C29" s="233"/>
      <c r="D29" s="229" t="s">
        <v>2210</v>
      </c>
      <c r="E29" s="213" t="s">
        <v>2211</v>
      </c>
      <c r="F29" s="1" t="s">
        <v>222</v>
      </c>
      <c r="G29" s="213" t="s">
        <v>2212</v>
      </c>
    </row>
    <row r="30" ht="15.75" customHeight="1">
      <c r="A30" s="234" t="s">
        <v>2205</v>
      </c>
      <c r="B30" s="89" t="s">
        <v>2213</v>
      </c>
      <c r="D30" s="165" t="s">
        <v>2214</v>
      </c>
      <c r="E30" s="1" t="s">
        <v>2215</v>
      </c>
      <c r="F30" s="209" t="s">
        <v>1301</v>
      </c>
      <c r="G30" s="214" t="s">
        <v>500</v>
      </c>
      <c r="J30" s="1" t="s">
        <v>16</v>
      </c>
    </row>
    <row r="31" ht="15.75" customHeight="1">
      <c r="A31" s="234" t="s">
        <v>2216</v>
      </c>
      <c r="B31" s="1" t="s">
        <v>2217</v>
      </c>
      <c r="D31" s="235" t="s">
        <v>2218</v>
      </c>
      <c r="E31" s="1" t="s">
        <v>2219</v>
      </c>
      <c r="F31" s="209" t="s">
        <v>1301</v>
      </c>
      <c r="H31" s="102" t="s">
        <v>2220</v>
      </c>
    </row>
    <row r="32" ht="15.75" customHeight="1">
      <c r="A32" s="234" t="s">
        <v>2216</v>
      </c>
      <c r="B32" s="1" t="s">
        <v>2221</v>
      </c>
      <c r="D32" s="235" t="s">
        <v>2222</v>
      </c>
      <c r="E32" s="89"/>
      <c r="F32" s="1" t="s">
        <v>1652</v>
      </c>
      <c r="G32" s="1" t="s">
        <v>2223</v>
      </c>
    </row>
    <row r="33" ht="15.75" customHeight="1">
      <c r="A33" s="234" t="s">
        <v>2216</v>
      </c>
      <c r="B33" s="1" t="s">
        <v>2224</v>
      </c>
      <c r="D33" s="164" t="s">
        <v>2225</v>
      </c>
      <c r="E33" s="1" t="s">
        <v>2226</v>
      </c>
      <c r="F33" s="1" t="s">
        <v>2227</v>
      </c>
      <c r="H33" s="1" t="s">
        <v>2228</v>
      </c>
    </row>
    <row r="34" ht="15.75" customHeight="1">
      <c r="A34" s="236" t="s">
        <v>2229</v>
      </c>
      <c r="B34" s="1" t="s">
        <v>2230</v>
      </c>
      <c r="D34" s="235">
        <f>971558495835</f>
        <v>971558495835</v>
      </c>
      <c r="E34" s="1" t="s">
        <v>2231</v>
      </c>
      <c r="F34" s="1" t="s">
        <v>2232</v>
      </c>
      <c r="J34" s="1" t="s">
        <v>300</v>
      </c>
    </row>
    <row r="35" ht="15.75" customHeight="1">
      <c r="A35" s="236" t="s">
        <v>2229</v>
      </c>
      <c r="B35" s="1" t="s">
        <v>2233</v>
      </c>
      <c r="D35" s="164" t="s">
        <v>2234</v>
      </c>
      <c r="E35" s="164" t="s">
        <v>2235</v>
      </c>
      <c r="F35" s="1" t="s">
        <v>2236</v>
      </c>
      <c r="H35" s="1" t="s">
        <v>2237</v>
      </c>
      <c r="J35" s="57" t="s">
        <v>395</v>
      </c>
    </row>
    <row r="36" ht="15.75" customHeight="1">
      <c r="A36" s="1" t="s">
        <v>2238</v>
      </c>
      <c r="B36" s="1" t="s">
        <v>2239</v>
      </c>
      <c r="D36" s="164" t="s">
        <v>2240</v>
      </c>
      <c r="E36" s="1" t="s">
        <v>2241</v>
      </c>
      <c r="F36" s="1" t="s">
        <v>2242</v>
      </c>
      <c r="G36" s="1" t="s">
        <v>2243</v>
      </c>
      <c r="J36" s="1" t="s">
        <v>300</v>
      </c>
    </row>
    <row r="37" ht="15.75" customHeight="1">
      <c r="A37" s="1" t="s">
        <v>2238</v>
      </c>
      <c r="B37" s="1" t="s">
        <v>2244</v>
      </c>
      <c r="D37" s="165" t="s">
        <v>2245</v>
      </c>
      <c r="E37" s="1" t="s">
        <v>2246</v>
      </c>
      <c r="F37" s="1" t="s">
        <v>2247</v>
      </c>
      <c r="H37" s="1" t="s">
        <v>957</v>
      </c>
    </row>
    <row r="38" ht="15.75" customHeight="1">
      <c r="A38" s="1" t="s">
        <v>2248</v>
      </c>
      <c r="B38" s="1" t="s">
        <v>2249</v>
      </c>
      <c r="D38" s="165" t="s">
        <v>2250</v>
      </c>
      <c r="E38" s="1" t="s">
        <v>2251</v>
      </c>
      <c r="F38" s="1" t="s">
        <v>2252</v>
      </c>
      <c r="I38" s="1" t="s">
        <v>2253</v>
      </c>
      <c r="J38" s="1" t="s">
        <v>271</v>
      </c>
    </row>
    <row r="39" ht="15.75" customHeight="1">
      <c r="A39" s="1" t="s">
        <v>2254</v>
      </c>
      <c r="B39" s="1" t="s">
        <v>2255</v>
      </c>
      <c r="C39" s="57" t="s">
        <v>2256</v>
      </c>
      <c r="D39" s="1" t="s">
        <v>2257</v>
      </c>
      <c r="E39" s="1" t="s">
        <v>2258</v>
      </c>
      <c r="F39" s="1" t="s">
        <v>2259</v>
      </c>
      <c r="H39" s="1" t="s">
        <v>2260</v>
      </c>
    </row>
    <row r="40" ht="15.75" customHeight="1">
      <c r="A40" s="1" t="s">
        <v>2254</v>
      </c>
      <c r="B40" s="1" t="s">
        <v>2261</v>
      </c>
      <c r="D40" s="235" t="s">
        <v>2262</v>
      </c>
      <c r="E40" s="1" t="s">
        <v>2263</v>
      </c>
      <c r="F40" s="1" t="s">
        <v>2264</v>
      </c>
      <c r="J40" s="57" t="s">
        <v>569</v>
      </c>
    </row>
    <row r="41" ht="15.75" customHeight="1">
      <c r="A41" s="1" t="s">
        <v>2254</v>
      </c>
      <c r="B41" s="1" t="s">
        <v>2265</v>
      </c>
      <c r="D41" s="235" t="s">
        <v>2266</v>
      </c>
      <c r="E41" s="1" t="s">
        <v>2267</v>
      </c>
      <c r="F41" s="1" t="s">
        <v>2268</v>
      </c>
      <c r="J41" s="57" t="s">
        <v>395</v>
      </c>
    </row>
    <row r="42" ht="15.75" customHeight="1">
      <c r="A42" s="1" t="s">
        <v>2254</v>
      </c>
      <c r="B42" s="1" t="s">
        <v>2269</v>
      </c>
      <c r="D42" s="235" t="s">
        <v>2270</v>
      </c>
      <c r="E42" s="1" t="s">
        <v>2271</v>
      </c>
      <c r="F42" s="1" t="s">
        <v>2272</v>
      </c>
      <c r="J42" s="1" t="s">
        <v>300</v>
      </c>
    </row>
    <row r="43" ht="15.75" customHeight="1">
      <c r="A43" s="1" t="s">
        <v>2273</v>
      </c>
      <c r="B43" s="1" t="s">
        <v>2274</v>
      </c>
      <c r="D43" s="235" t="s">
        <v>2275</v>
      </c>
      <c r="E43" s="1" t="s">
        <v>2276</v>
      </c>
      <c r="F43" s="1" t="s">
        <v>2277</v>
      </c>
      <c r="H43" s="1" t="s">
        <v>2278</v>
      </c>
      <c r="J43" s="57" t="s">
        <v>569</v>
      </c>
    </row>
    <row r="44" ht="15.75" customHeight="1">
      <c r="A44" s="1" t="s">
        <v>2273</v>
      </c>
      <c r="B44" s="1" t="s">
        <v>2279</v>
      </c>
      <c r="D44" s="164" t="s">
        <v>630</v>
      </c>
      <c r="E44" s="1" t="s">
        <v>2280</v>
      </c>
      <c r="F44" s="1" t="s">
        <v>2281</v>
      </c>
      <c r="G44" s="1" t="s">
        <v>2282</v>
      </c>
      <c r="J44" s="57" t="s">
        <v>401</v>
      </c>
    </row>
    <row r="45" ht="15.75" customHeight="1">
      <c r="A45" s="1" t="s">
        <v>2273</v>
      </c>
      <c r="B45" s="1" t="s">
        <v>2283</v>
      </c>
      <c r="D45" s="165" t="s">
        <v>2284</v>
      </c>
      <c r="E45" s="1" t="s">
        <v>2285</v>
      </c>
      <c r="F45" s="1" t="s">
        <v>2286</v>
      </c>
      <c r="J45" s="57" t="s">
        <v>569</v>
      </c>
    </row>
    <row r="46" ht="15.75" customHeight="1">
      <c r="A46" s="1" t="s">
        <v>2273</v>
      </c>
      <c r="B46" s="1" t="s">
        <v>2287</v>
      </c>
      <c r="D46" s="165" t="s">
        <v>2288</v>
      </c>
      <c r="F46" s="1" t="s">
        <v>2289</v>
      </c>
      <c r="G46" s="1" t="s">
        <v>2290</v>
      </c>
      <c r="J46" s="57" t="s">
        <v>569</v>
      </c>
    </row>
    <row r="47" ht="15.75" customHeight="1">
      <c r="A47" s="1" t="s">
        <v>2273</v>
      </c>
      <c r="B47" s="1" t="s">
        <v>2291</v>
      </c>
      <c r="D47" s="165" t="s">
        <v>2292</v>
      </c>
      <c r="F47" s="1" t="s">
        <v>2293</v>
      </c>
      <c r="I47" s="1" t="s">
        <v>2294</v>
      </c>
      <c r="J47" s="1" t="s">
        <v>201</v>
      </c>
    </row>
    <row r="48" ht="15.75" customHeight="1">
      <c r="A48" s="1" t="s">
        <v>2273</v>
      </c>
      <c r="B48" s="1" t="s">
        <v>2295</v>
      </c>
      <c r="D48" s="165" t="s">
        <v>2296</v>
      </c>
      <c r="F48" s="1" t="s">
        <v>2297</v>
      </c>
      <c r="H48" s="1" t="s">
        <v>2298</v>
      </c>
      <c r="J48" s="1" t="s">
        <v>552</v>
      </c>
    </row>
    <row r="49" ht="15.75" customHeight="1">
      <c r="A49" s="1" t="s">
        <v>2299</v>
      </c>
      <c r="B49" s="1" t="s">
        <v>2300</v>
      </c>
      <c r="D49" s="165" t="s">
        <v>580</v>
      </c>
      <c r="F49" s="1" t="s">
        <v>2301</v>
      </c>
      <c r="J49" s="1" t="s">
        <v>16</v>
      </c>
    </row>
    <row r="50" ht="15.75" customHeight="1">
      <c r="A50" s="1" t="s">
        <v>2299</v>
      </c>
      <c r="B50" s="1" t="s">
        <v>2302</v>
      </c>
      <c r="D50" s="165" t="s">
        <v>2303</v>
      </c>
      <c r="E50" s="1" t="s">
        <v>2304</v>
      </c>
      <c r="F50" s="1" t="s">
        <v>2305</v>
      </c>
      <c r="J50" s="57" t="s">
        <v>569</v>
      </c>
    </row>
    <row r="51" ht="15.75" customHeight="1">
      <c r="A51" s="1" t="s">
        <v>2306</v>
      </c>
      <c r="B51" s="1" t="s">
        <v>2307</v>
      </c>
      <c r="D51" s="165" t="s">
        <v>2308</v>
      </c>
      <c r="E51" s="1" t="s">
        <v>2309</v>
      </c>
      <c r="F51" s="1" t="s">
        <v>2310</v>
      </c>
      <c r="J51" s="1" t="s">
        <v>244</v>
      </c>
    </row>
    <row r="52" ht="15.75" customHeight="1">
      <c r="A52" s="1" t="s">
        <v>2306</v>
      </c>
      <c r="B52" s="1" t="s">
        <v>2311</v>
      </c>
      <c r="D52" s="1" t="s">
        <v>2312</v>
      </c>
      <c r="E52" s="1" t="s">
        <v>2313</v>
      </c>
      <c r="F52" s="1" t="s">
        <v>2314</v>
      </c>
      <c r="J52" s="1" t="s">
        <v>16</v>
      </c>
    </row>
    <row r="53" ht="15.75" customHeight="1">
      <c r="A53" s="1" t="s">
        <v>2299</v>
      </c>
      <c r="B53" s="1" t="s">
        <v>2315</v>
      </c>
      <c r="D53" s="1" t="s">
        <v>2316</v>
      </c>
      <c r="E53" s="1" t="s">
        <v>2317</v>
      </c>
      <c r="F53" s="1" t="s">
        <v>2318</v>
      </c>
      <c r="J53" s="1" t="s">
        <v>1059</v>
      </c>
    </row>
    <row r="54" ht="15.75" customHeight="1">
      <c r="A54" s="1" t="s">
        <v>2299</v>
      </c>
      <c r="B54" s="1" t="s">
        <v>2319</v>
      </c>
      <c r="D54" s="165" t="s">
        <v>2320</v>
      </c>
      <c r="E54" s="1" t="s">
        <v>2321</v>
      </c>
      <c r="F54" s="1" t="s">
        <v>2318</v>
      </c>
      <c r="I54" s="1" t="s">
        <v>2322</v>
      </c>
      <c r="J54" s="1" t="s">
        <v>1059</v>
      </c>
    </row>
    <row r="55" ht="15.75" customHeight="1">
      <c r="A55" s="1" t="s">
        <v>2323</v>
      </c>
      <c r="B55" s="102" t="s">
        <v>2324</v>
      </c>
      <c r="D55" s="237" t="s">
        <v>2325</v>
      </c>
      <c r="E55" s="102" t="s">
        <v>2326</v>
      </c>
      <c r="F55" s="102" t="s">
        <v>2327</v>
      </c>
      <c r="H55" s="1" t="s">
        <v>2328</v>
      </c>
      <c r="J55" s="57" t="s">
        <v>16</v>
      </c>
    </row>
    <row r="56" ht="15.75" customHeight="1">
      <c r="A56" s="1" t="s">
        <v>2323</v>
      </c>
      <c r="B56" s="1" t="s">
        <v>2329</v>
      </c>
      <c r="D56" s="165" t="s">
        <v>2330</v>
      </c>
      <c r="E56" s="1" t="s">
        <v>2331</v>
      </c>
      <c r="F56" s="1" t="s">
        <v>2332</v>
      </c>
      <c r="J56" s="57" t="s">
        <v>201</v>
      </c>
    </row>
    <row r="57" ht="15.75" customHeight="1">
      <c r="A57" s="1" t="s">
        <v>2323</v>
      </c>
      <c r="B57" s="238" t="s">
        <v>2333</v>
      </c>
      <c r="C57" s="239"/>
      <c r="D57" s="240">
        <f>+971507036675</f>
        <v>971507036675</v>
      </c>
      <c r="E57" s="220" t="s">
        <v>2334</v>
      </c>
      <c r="F57" s="1" t="s">
        <v>2335</v>
      </c>
      <c r="G57" s="1" t="s">
        <v>2336</v>
      </c>
      <c r="J57" s="57"/>
    </row>
    <row r="58" ht="15.75" customHeight="1">
      <c r="B58" s="1" t="s">
        <v>2337</v>
      </c>
      <c r="D58" s="241" t="s">
        <v>2338</v>
      </c>
      <c r="E58" s="102" t="s">
        <v>2339</v>
      </c>
      <c r="F58" s="1" t="s">
        <v>2340</v>
      </c>
      <c r="G58" s="102" t="s">
        <v>2341</v>
      </c>
      <c r="H58" s="1" t="s">
        <v>2342</v>
      </c>
      <c r="J58" s="57" t="s">
        <v>16</v>
      </c>
    </row>
    <row r="59" ht="15.75" customHeight="1">
      <c r="A59" s="1" t="s">
        <v>2343</v>
      </c>
      <c r="B59" s="1" t="s">
        <v>2344</v>
      </c>
      <c r="C59" s="188"/>
      <c r="D59" s="165" t="s">
        <v>2345</v>
      </c>
      <c r="E59" s="1" t="s">
        <v>2346</v>
      </c>
      <c r="F59" s="1" t="s">
        <v>2347</v>
      </c>
      <c r="G59" s="1" t="s">
        <v>2348</v>
      </c>
      <c r="I59" s="1" t="s">
        <v>831</v>
      </c>
    </row>
    <row r="60" ht="15.75" customHeight="1">
      <c r="B60" s="1" t="s">
        <v>2349</v>
      </c>
      <c r="D60" s="165" t="s">
        <v>2350</v>
      </c>
      <c r="E60" s="102" t="s">
        <v>2351</v>
      </c>
      <c r="F60" s="1" t="s">
        <v>222</v>
      </c>
      <c r="G60" s="102" t="s">
        <v>632</v>
      </c>
      <c r="H60" s="1" t="s">
        <v>2352</v>
      </c>
      <c r="J60" s="57" t="s">
        <v>395</v>
      </c>
    </row>
    <row r="61" ht="15.75" customHeight="1">
      <c r="B61" s="1" t="s">
        <v>2353</v>
      </c>
      <c r="D61" s="165" t="s">
        <v>2354</v>
      </c>
      <c r="E61" s="1" t="s">
        <v>2355</v>
      </c>
      <c r="F61" s="1" t="s">
        <v>212</v>
      </c>
      <c r="G61" s="1" t="s">
        <v>2356</v>
      </c>
      <c r="J61" s="1" t="s">
        <v>16</v>
      </c>
    </row>
    <row r="62" ht="15.75" customHeight="1">
      <c r="B62" s="1" t="s">
        <v>2357</v>
      </c>
      <c r="D62" s="165" t="s">
        <v>2358</v>
      </c>
      <c r="E62" s="1" t="s">
        <v>2359</v>
      </c>
      <c r="F62" s="1" t="s">
        <v>1301</v>
      </c>
      <c r="G62" s="1" t="s">
        <v>2360</v>
      </c>
    </row>
    <row r="63" ht="15.75" customHeight="1">
      <c r="A63" s="1" t="s">
        <v>2361</v>
      </c>
      <c r="B63" s="1" t="s">
        <v>2362</v>
      </c>
      <c r="D63" s="165" t="s">
        <v>2363</v>
      </c>
      <c r="E63" s="1" t="s">
        <v>2364</v>
      </c>
      <c r="F63" s="1" t="s">
        <v>2365</v>
      </c>
      <c r="H63" s="1" t="s">
        <v>2366</v>
      </c>
      <c r="J63" s="1" t="s">
        <v>16</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c r="D89" s="1" t="s">
        <v>395</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c r="B102" s="1" t="s">
        <v>2367</v>
      </c>
    </row>
    <row r="103" ht="15.75" customHeight="1">
      <c r="B103" s="1" t="s">
        <v>2368</v>
      </c>
    </row>
    <row r="104" ht="15.75" customHeight="1">
      <c r="B104" s="1" t="s">
        <v>2369</v>
      </c>
      <c r="D104" s="1" t="s">
        <v>300</v>
      </c>
    </row>
    <row r="105" ht="15.75" customHeight="1">
      <c r="B105" s="1" t="s">
        <v>2370</v>
      </c>
    </row>
    <row r="106" ht="15.75" customHeight="1"/>
    <row r="107" ht="15.75" customHeight="1"/>
    <row r="108" ht="15.75" customHeight="1">
      <c r="B108" s="1" t="s">
        <v>2371</v>
      </c>
    </row>
    <row r="109" ht="15.75" customHeight="1">
      <c r="B109" s="1" t="s">
        <v>2372</v>
      </c>
      <c r="C109" s="1" t="s">
        <v>2373</v>
      </c>
    </row>
    <row r="110" ht="15.75" customHeight="1">
      <c r="B110" s="1" t="s">
        <v>2374</v>
      </c>
      <c r="C110" s="1">
        <f>+971506848111</f>
        <v>971506848111</v>
      </c>
      <c r="E110" s="1" t="s">
        <v>831</v>
      </c>
    </row>
    <row r="111" ht="15.75" customHeight="1">
      <c r="B111" s="1" t="s">
        <v>2375</v>
      </c>
      <c r="C111" s="1" t="s">
        <v>2376</v>
      </c>
    </row>
    <row r="112" ht="15.75" customHeight="1">
      <c r="B112" s="1" t="s">
        <v>2377</v>
      </c>
    </row>
    <row r="113" ht="15.75" customHeight="1">
      <c r="B113" s="1" t="s">
        <v>2378</v>
      </c>
    </row>
    <row r="114" ht="15.75" customHeight="1">
      <c r="B114" s="1" t="s">
        <v>2379</v>
      </c>
    </row>
    <row r="115" ht="15.75" customHeight="1">
      <c r="B115" s="1" t="s">
        <v>2380</v>
      </c>
    </row>
    <row r="116" ht="15.75" customHeight="1">
      <c r="B116" s="1" t="s">
        <v>2381</v>
      </c>
    </row>
    <row r="117" ht="15.75" customHeight="1">
      <c r="B117" s="1" t="s">
        <v>2382</v>
      </c>
    </row>
    <row r="118" ht="15.75" customHeight="1">
      <c r="B118" s="1" t="s">
        <v>2383</v>
      </c>
    </row>
    <row r="119" ht="15.75" customHeight="1">
      <c r="B119" s="1" t="s">
        <v>2384</v>
      </c>
    </row>
    <row r="120" ht="15.75" customHeight="1">
      <c r="B120" s="1" t="s">
        <v>2385</v>
      </c>
      <c r="C120" s="1" t="s">
        <v>2386</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D$1:$D$120"/>
      <extLst>
        <ext uri="GoogleSheetsCustomDataVersion1">
          <go:sheetsCustomData xmlns:go="http://customooxmlschemas.google.com/" filterViewId="636713094"/>
        </ext>
      </extLst>
    </customSheetView>
  </customSheetViews>
  <hyperlinks>
    <hyperlink r:id="rId1" ref="E2"/>
    <hyperlink r:id="rId2" ref="E3"/>
    <hyperlink r:id="rId3" ref="E4"/>
    <hyperlink r:id="rId4" ref="H5"/>
    <hyperlink r:id="rId5" ref="E6"/>
    <hyperlink r:id="rId6" ref="E7"/>
    <hyperlink r:id="rId7" ref="E8"/>
    <hyperlink r:id="rId8" ref="H8"/>
    <hyperlink r:id="rId9" ref="E9"/>
    <hyperlink r:id="rId10" ref="E10"/>
    <hyperlink r:id="rId11" ref="E13"/>
    <hyperlink r:id="rId12" ref="E14"/>
    <hyperlink r:id="rId13" ref="E17"/>
    <hyperlink r:id="rId14" ref="H19"/>
    <hyperlink r:id="rId15" ref="E21"/>
    <hyperlink r:id="rId16" ref="H21"/>
    <hyperlink r:id="rId17" ref="E22"/>
    <hyperlink r:id="rId18" ref="E23"/>
    <hyperlink r:id="rId19" ref="E25"/>
    <hyperlink r:id="rId20" ref="E29"/>
    <hyperlink r:id="rId21" ref="G29"/>
    <hyperlink r:id="rId22" ref="E57"/>
  </hyperlinks>
  <drawing r:id="rId23"/>
  <tableParts count="1">
    <tablePart r:id="rId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88"/>
    <col customWidth="1" min="2" max="2" width="28.0"/>
    <col customWidth="1" min="3" max="3" width="18.38"/>
    <col customWidth="1" min="4" max="26" width="14.38"/>
  </cols>
  <sheetData>
    <row r="1" ht="15.75" customHeight="1">
      <c r="A1" s="242" t="s">
        <v>2387</v>
      </c>
      <c r="B1" s="242" t="s">
        <v>2388</v>
      </c>
      <c r="C1" s="242" t="s">
        <v>2389</v>
      </c>
      <c r="D1" s="243" t="s">
        <v>2390</v>
      </c>
      <c r="E1" s="243" t="s">
        <v>2391</v>
      </c>
      <c r="F1" s="243"/>
      <c r="G1" s="243"/>
      <c r="H1" s="243"/>
      <c r="I1" s="243"/>
      <c r="J1" s="243"/>
      <c r="K1" s="243"/>
      <c r="L1" s="243"/>
      <c r="M1" s="243"/>
      <c r="N1" s="243"/>
      <c r="O1" s="243"/>
      <c r="P1" s="243"/>
      <c r="Q1" s="243"/>
      <c r="R1" s="243"/>
      <c r="S1" s="243"/>
      <c r="T1" s="243"/>
      <c r="U1" s="243"/>
      <c r="V1" s="243"/>
      <c r="W1" s="243"/>
    </row>
    <row r="2" ht="15.75" customHeight="1">
      <c r="A2" s="143" t="s">
        <v>2392</v>
      </c>
      <c r="B2" s="143" t="s">
        <v>2393</v>
      </c>
      <c r="C2" s="144" t="s">
        <v>2394</v>
      </c>
      <c r="D2" s="1" t="s">
        <v>2395</v>
      </c>
      <c r="E2" s="217" t="s">
        <v>2396</v>
      </c>
    </row>
    <row r="3" ht="15.75" customHeight="1">
      <c r="A3" s="143" t="s">
        <v>2397</v>
      </c>
      <c r="B3" s="143" t="s">
        <v>2398</v>
      </c>
      <c r="C3" s="144" t="s">
        <v>2399</v>
      </c>
      <c r="D3" s="1" t="s">
        <v>2395</v>
      </c>
      <c r="E3" s="217" t="s">
        <v>2396</v>
      </c>
    </row>
    <row r="4" ht="15.75" customHeight="1">
      <c r="A4" s="143" t="s">
        <v>2400</v>
      </c>
      <c r="B4" s="143" t="s">
        <v>2401</v>
      </c>
      <c r="C4" s="144" t="s">
        <v>2402</v>
      </c>
      <c r="D4" s="1" t="s">
        <v>2395</v>
      </c>
      <c r="E4" s="217" t="s">
        <v>2396</v>
      </c>
    </row>
    <row r="5" ht="15.75" customHeight="1">
      <c r="A5" s="143" t="s">
        <v>2403</v>
      </c>
      <c r="B5" s="143" t="s">
        <v>2404</v>
      </c>
      <c r="C5" s="144" t="s">
        <v>2405</v>
      </c>
      <c r="D5" s="1" t="s">
        <v>2395</v>
      </c>
      <c r="E5" s="217" t="s">
        <v>2406</v>
      </c>
    </row>
    <row r="6" ht="15.75" customHeight="1">
      <c r="A6" s="143" t="s">
        <v>2407</v>
      </c>
      <c r="B6" s="143" t="s">
        <v>2408</v>
      </c>
      <c r="C6" s="144" t="s">
        <v>2409</v>
      </c>
      <c r="D6" s="1" t="s">
        <v>2395</v>
      </c>
      <c r="E6" s="217" t="s">
        <v>2406</v>
      </c>
    </row>
    <row r="7" ht="15.75" customHeight="1">
      <c r="A7" s="143" t="s">
        <v>2410</v>
      </c>
      <c r="B7" s="143" t="s">
        <v>2411</v>
      </c>
      <c r="C7" s="144" t="s">
        <v>197</v>
      </c>
      <c r="D7" s="1" t="s">
        <v>2395</v>
      </c>
      <c r="E7" s="217" t="s">
        <v>2396</v>
      </c>
    </row>
    <row r="8" ht="15.75" customHeight="1">
      <c r="A8" s="143" t="s">
        <v>2412</v>
      </c>
      <c r="B8" s="143" t="s">
        <v>2413</v>
      </c>
      <c r="C8" s="144" t="s">
        <v>2414</v>
      </c>
      <c r="D8" s="1" t="s">
        <v>2395</v>
      </c>
      <c r="E8" s="217" t="s">
        <v>2406</v>
      </c>
    </row>
    <row r="9" ht="15.75" customHeight="1">
      <c r="A9" s="244">
        <v>43443.722916666666</v>
      </c>
      <c r="B9" s="245">
        <v>4.7453703703703704E-4</v>
      </c>
      <c r="C9" s="146" t="s">
        <v>2415</v>
      </c>
      <c r="D9" s="1" t="s">
        <v>212</v>
      </c>
      <c r="E9" s="138" t="s">
        <v>2416</v>
      </c>
    </row>
    <row r="10" ht="15.75" customHeight="1">
      <c r="A10" s="244">
        <v>43443.71875</v>
      </c>
      <c r="B10" s="246" t="s">
        <v>2417</v>
      </c>
      <c r="C10" s="146" t="s">
        <v>2418</v>
      </c>
      <c r="D10" s="1" t="s">
        <v>212</v>
      </c>
      <c r="E10" s="138" t="s">
        <v>2419</v>
      </c>
    </row>
    <row r="11" ht="15.75" customHeight="1">
      <c r="A11" s="244">
        <v>43443.62708333333</v>
      </c>
      <c r="B11" s="245">
        <v>0.0012962962962962963</v>
      </c>
      <c r="C11" s="146" t="s">
        <v>2418</v>
      </c>
      <c r="D11" s="1" t="s">
        <v>212</v>
      </c>
      <c r="E11" s="1" t="s">
        <v>761</v>
      </c>
    </row>
    <row r="12" ht="15.75" customHeight="1">
      <c r="A12" s="244">
        <v>43443.626388888886</v>
      </c>
      <c r="B12" s="246" t="s">
        <v>2417</v>
      </c>
      <c r="C12" s="146" t="s">
        <v>2418</v>
      </c>
      <c r="D12" s="1" t="s">
        <v>212</v>
      </c>
      <c r="E12" s="138" t="s">
        <v>2419</v>
      </c>
    </row>
    <row r="13" ht="15.75" customHeight="1">
      <c r="A13" s="244">
        <v>43443.626388888886</v>
      </c>
      <c r="B13" s="246" t="s">
        <v>2417</v>
      </c>
      <c r="C13" s="146" t="s">
        <v>2418</v>
      </c>
      <c r="D13" s="1" t="s">
        <v>212</v>
      </c>
      <c r="E13" s="138" t="s">
        <v>2419</v>
      </c>
    </row>
    <row r="14" ht="15.75" customHeight="1">
      <c r="A14" s="244">
        <v>43443.55416666667</v>
      </c>
      <c r="B14" s="246" t="s">
        <v>2417</v>
      </c>
      <c r="C14" s="146" t="s">
        <v>2420</v>
      </c>
      <c r="D14" s="1" t="s">
        <v>212</v>
      </c>
      <c r="E14" s="1" t="s">
        <v>761</v>
      </c>
    </row>
    <row r="15" ht="15.75" customHeight="1">
      <c r="A15" s="244">
        <v>43439.538194444445</v>
      </c>
      <c r="B15" s="245">
        <v>9.953703703703704E-4</v>
      </c>
      <c r="C15" s="138">
        <f>+971506621735</f>
        <v>971506621735</v>
      </c>
      <c r="D15" s="1" t="s">
        <v>212</v>
      </c>
      <c r="E15" s="138" t="s">
        <v>2416</v>
      </c>
    </row>
    <row r="16" ht="15.75" customHeight="1">
      <c r="A16" s="244">
        <v>43439.53194444445</v>
      </c>
      <c r="B16" s="245">
        <v>0.0012962962962962963</v>
      </c>
      <c r="C16" s="146" t="s">
        <v>2421</v>
      </c>
      <c r="D16" s="1" t="s">
        <v>212</v>
      </c>
      <c r="E16" s="138" t="s">
        <v>2422</v>
      </c>
    </row>
    <row r="17" ht="15.75" customHeight="1">
      <c r="A17" s="247">
        <v>43418.67222222222</v>
      </c>
      <c r="B17" s="245">
        <v>0.0013773148148148147</v>
      </c>
      <c r="C17" s="138">
        <f>+971556825423</f>
        <v>971556825423</v>
      </c>
      <c r="D17" s="1" t="s">
        <v>212</v>
      </c>
      <c r="E17" s="138" t="s">
        <v>2416</v>
      </c>
    </row>
    <row r="18" ht="15.75" customHeight="1">
      <c r="A18" s="138" t="s">
        <v>2423</v>
      </c>
      <c r="B18" s="138" t="s">
        <v>2424</v>
      </c>
      <c r="C18" s="146" t="s">
        <v>2425</v>
      </c>
      <c r="D18" s="1" t="s">
        <v>2395</v>
      </c>
      <c r="E18" s="138" t="s">
        <v>2396</v>
      </c>
    </row>
    <row r="19" ht="15.75" customHeight="1">
      <c r="A19" s="247">
        <v>43415.76458333333</v>
      </c>
      <c r="B19" s="245">
        <v>3.2407407407407406E-4</v>
      </c>
      <c r="C19" s="146" t="s">
        <v>2426</v>
      </c>
      <c r="D19" s="1" t="s">
        <v>212</v>
      </c>
      <c r="E19" s="138" t="s">
        <v>2416</v>
      </c>
    </row>
    <row r="20" ht="15.75" customHeight="1">
      <c r="A20" s="247">
        <v>43445.75625</v>
      </c>
      <c r="B20" s="245">
        <v>7.407407407407407E-4</v>
      </c>
      <c r="C20" s="146" t="s">
        <v>2427</v>
      </c>
      <c r="D20" s="1" t="s">
        <v>212</v>
      </c>
      <c r="E20" s="138" t="s">
        <v>2419</v>
      </c>
    </row>
    <row r="21" ht="15.75" customHeight="1">
      <c r="A21" s="248">
        <v>43446.47083333333</v>
      </c>
      <c r="B21" s="249" t="s">
        <v>2428</v>
      </c>
      <c r="C21" s="164" t="s">
        <v>2429</v>
      </c>
      <c r="D21" s="1" t="s">
        <v>212</v>
      </c>
      <c r="E21" s="89" t="s">
        <v>2430</v>
      </c>
    </row>
    <row r="22" ht="15.75" customHeight="1">
      <c r="A22" s="138" t="s">
        <v>2431</v>
      </c>
      <c r="B22" s="138" t="s">
        <v>2432</v>
      </c>
      <c r="C22" s="138">
        <v>9.71562002019E11</v>
      </c>
      <c r="D22" s="1" t="s">
        <v>2395</v>
      </c>
      <c r="E22" s="138" t="s">
        <v>2419</v>
      </c>
    </row>
    <row r="23" ht="15.75" customHeight="1">
      <c r="A23" s="248">
        <v>43446.75277777778</v>
      </c>
      <c r="B23" s="250">
        <v>0.0038194444444444443</v>
      </c>
      <c r="C23" s="164" t="s">
        <v>2433</v>
      </c>
      <c r="D23" s="1" t="s">
        <v>212</v>
      </c>
      <c r="E23" s="1" t="s">
        <v>2416</v>
      </c>
    </row>
    <row r="24" ht="15.75" customHeight="1">
      <c r="A24" s="143" t="s">
        <v>2434</v>
      </c>
      <c r="B24" s="217" t="s">
        <v>2435</v>
      </c>
      <c r="C24" s="146" t="s">
        <v>2436</v>
      </c>
      <c r="D24" s="1" t="s">
        <v>2395</v>
      </c>
      <c r="E24" s="138" t="s">
        <v>2419</v>
      </c>
    </row>
    <row r="25" ht="15.75" customHeight="1">
      <c r="A25" s="138" t="s">
        <v>2437</v>
      </c>
      <c r="B25" s="138" t="s">
        <v>2438</v>
      </c>
      <c r="C25" s="164" t="s">
        <v>2439</v>
      </c>
      <c r="D25" s="1" t="s">
        <v>2395</v>
      </c>
      <c r="E25" s="1" t="s">
        <v>761</v>
      </c>
    </row>
    <row r="26" ht="15.75" customHeight="1">
      <c r="A26" s="143" t="s">
        <v>2440</v>
      </c>
      <c r="B26" s="217" t="s">
        <v>2441</v>
      </c>
      <c r="C26" s="146" t="s">
        <v>2442</v>
      </c>
      <c r="D26" s="1" t="s">
        <v>2395</v>
      </c>
      <c r="E26" s="1" t="s">
        <v>2416</v>
      </c>
    </row>
    <row r="27" ht="15.75" customHeight="1">
      <c r="A27" s="248">
        <v>43450.626388888886</v>
      </c>
      <c r="B27" s="251" t="s">
        <v>2417</v>
      </c>
      <c r="C27" s="164" t="s">
        <v>2443</v>
      </c>
      <c r="D27" s="1" t="s">
        <v>212</v>
      </c>
      <c r="E27" s="89" t="s">
        <v>761</v>
      </c>
    </row>
    <row r="28" ht="15.75" customHeight="1">
      <c r="A28" s="252" t="s">
        <v>2444</v>
      </c>
      <c r="B28" s="251" t="s">
        <v>2417</v>
      </c>
      <c r="C28" s="253" t="s">
        <v>2445</v>
      </c>
      <c r="D28" s="1" t="s">
        <v>222</v>
      </c>
      <c r="E28" s="89" t="s">
        <v>761</v>
      </c>
    </row>
    <row r="29" ht="15.75" customHeight="1">
      <c r="A29" s="252" t="s">
        <v>2446</v>
      </c>
      <c r="B29" s="251" t="s">
        <v>2417</v>
      </c>
      <c r="C29" s="253" t="s">
        <v>2447</v>
      </c>
      <c r="D29" s="1" t="s">
        <v>222</v>
      </c>
      <c r="E29" s="89" t="s">
        <v>761</v>
      </c>
    </row>
    <row r="30" ht="15.75" customHeight="1">
      <c r="A30" s="254">
        <v>43450.0</v>
      </c>
      <c r="B30" s="138" t="s">
        <v>2448</v>
      </c>
      <c r="D30" s="1" t="s">
        <v>2395</v>
      </c>
      <c r="E30" s="89" t="s">
        <v>761</v>
      </c>
    </row>
    <row r="31" ht="15.75" customHeight="1">
      <c r="A31" s="255">
        <v>43450.42986111111</v>
      </c>
      <c r="B31" s="256">
        <v>3.125E-4</v>
      </c>
      <c r="C31" s="147">
        <f>+971526908645</f>
        <v>971526908645</v>
      </c>
      <c r="D31" s="1" t="s">
        <v>212</v>
      </c>
      <c r="E31" s="89" t="s">
        <v>761</v>
      </c>
    </row>
    <row r="32" ht="15.75" customHeight="1">
      <c r="A32" s="217" t="s">
        <v>2449</v>
      </c>
      <c r="B32" s="217" t="s">
        <v>2450</v>
      </c>
      <c r="C32" s="146" t="s">
        <v>2451</v>
      </c>
      <c r="D32" s="1" t="s">
        <v>2395</v>
      </c>
      <c r="E32" s="138" t="s">
        <v>2419</v>
      </c>
    </row>
    <row r="33" ht="15.75" customHeight="1">
      <c r="A33" s="217" t="s">
        <v>2452</v>
      </c>
      <c r="B33" s="217" t="s">
        <v>2453</v>
      </c>
      <c r="C33" s="146" t="s">
        <v>2454</v>
      </c>
      <c r="D33" s="1" t="s">
        <v>2395</v>
      </c>
      <c r="E33" s="1" t="s">
        <v>2455</v>
      </c>
    </row>
    <row r="34" ht="15.75" customHeight="1">
      <c r="A34" s="217" t="s">
        <v>2456</v>
      </c>
      <c r="B34" s="217" t="s">
        <v>2457</v>
      </c>
      <c r="C34" s="146" t="s">
        <v>2458</v>
      </c>
      <c r="D34" s="1" t="s">
        <v>2395</v>
      </c>
      <c r="E34" s="138" t="s">
        <v>2419</v>
      </c>
    </row>
    <row r="35" ht="15.75" customHeight="1">
      <c r="A35" s="217" t="s">
        <v>2459</v>
      </c>
      <c r="B35" s="217" t="s">
        <v>2460</v>
      </c>
      <c r="C35" s="146" t="s">
        <v>2458</v>
      </c>
      <c r="D35" s="1" t="s">
        <v>2395</v>
      </c>
      <c r="E35" s="138" t="s">
        <v>2419</v>
      </c>
    </row>
    <row r="36" ht="15.75" customHeight="1">
      <c r="A36" s="138" t="s">
        <v>2461</v>
      </c>
      <c r="B36" s="138" t="s">
        <v>2462</v>
      </c>
      <c r="C36" s="146" t="s">
        <v>2463</v>
      </c>
      <c r="D36" s="1" t="s">
        <v>2395</v>
      </c>
      <c r="E36" s="1" t="s">
        <v>2464</v>
      </c>
    </row>
    <row r="37" ht="15.75" customHeight="1">
      <c r="A37" s="257">
        <v>43450.42986111111</v>
      </c>
      <c r="B37" s="258">
        <v>3.125E-4</v>
      </c>
      <c r="C37" s="164" t="s">
        <v>2465</v>
      </c>
      <c r="D37" s="1" t="s">
        <v>212</v>
      </c>
      <c r="E37" s="1" t="s">
        <v>2466</v>
      </c>
    </row>
    <row r="38" ht="15.75" customHeight="1">
      <c r="A38" s="217" t="s">
        <v>2467</v>
      </c>
      <c r="B38" s="217" t="s">
        <v>2468</v>
      </c>
      <c r="C38" s="146" t="s">
        <v>2469</v>
      </c>
      <c r="D38" s="1" t="s">
        <v>2395</v>
      </c>
      <c r="E38" s="217" t="s">
        <v>2470</v>
      </c>
    </row>
    <row r="39" ht="15.75" customHeight="1">
      <c r="A39" s="217" t="s">
        <v>2471</v>
      </c>
      <c r="B39" s="217" t="s">
        <v>2472</v>
      </c>
      <c r="C39" s="146" t="s">
        <v>2473</v>
      </c>
      <c r="D39" s="1" t="s">
        <v>2395</v>
      </c>
      <c r="E39" s="217" t="s">
        <v>2406</v>
      </c>
    </row>
    <row r="40" ht="15.75" customHeight="1">
      <c r="A40" s="143" t="s">
        <v>2474</v>
      </c>
      <c r="B40" s="143" t="s">
        <v>2475</v>
      </c>
      <c r="C40" s="164" t="s">
        <v>2476</v>
      </c>
      <c r="D40" s="1" t="s">
        <v>2395</v>
      </c>
      <c r="E40" s="217" t="s">
        <v>2477</v>
      </c>
    </row>
    <row r="41" ht="15.75" customHeight="1">
      <c r="A41" s="96" t="s">
        <v>2478</v>
      </c>
      <c r="B41" s="96" t="s">
        <v>2479</v>
      </c>
      <c r="C41" s="164" t="s">
        <v>2480</v>
      </c>
      <c r="D41" s="1" t="s">
        <v>222</v>
      </c>
      <c r="E41" s="1" t="s">
        <v>761</v>
      </c>
    </row>
    <row r="42" ht="15.75" customHeight="1">
      <c r="A42" s="96" t="s">
        <v>2478</v>
      </c>
      <c r="B42" s="96" t="s">
        <v>2481</v>
      </c>
      <c r="C42" s="164" t="s">
        <v>2482</v>
      </c>
      <c r="D42" s="1" t="s">
        <v>222</v>
      </c>
      <c r="E42" s="1" t="s">
        <v>761</v>
      </c>
    </row>
    <row r="43" ht="15.75" customHeight="1">
      <c r="B43" s="138"/>
      <c r="C43" s="138"/>
      <c r="D43" s="143"/>
    </row>
    <row r="44" ht="15.75" customHeight="1">
      <c r="A44" s="138"/>
      <c r="B44" s="138"/>
      <c r="C44" s="138"/>
    </row>
    <row r="45" ht="15.75" customHeight="1">
      <c r="A45" s="217" t="s">
        <v>2483</v>
      </c>
      <c r="B45" s="217" t="s">
        <v>2484</v>
      </c>
      <c r="C45" s="138">
        <v>9.6659555055E11</v>
      </c>
      <c r="D45" s="1" t="s">
        <v>2395</v>
      </c>
      <c r="E45" s="1" t="s">
        <v>2485</v>
      </c>
    </row>
    <row r="46" ht="15.75" customHeight="1">
      <c r="A46" s="217" t="s">
        <v>2486</v>
      </c>
      <c r="B46" s="217" t="s">
        <v>2487</v>
      </c>
      <c r="C46" s="140" t="s">
        <v>2488</v>
      </c>
      <c r="D46" s="1" t="s">
        <v>2395</v>
      </c>
      <c r="E46" s="1" t="s">
        <v>761</v>
      </c>
    </row>
    <row r="47" ht="15.75" customHeight="1">
      <c r="A47" s="138"/>
      <c r="B47" s="138"/>
      <c r="C47" s="138"/>
      <c r="D47" s="143"/>
    </row>
    <row r="48" ht="15.75" customHeight="1">
      <c r="A48" s="138"/>
      <c r="B48" s="138"/>
      <c r="C48" s="138"/>
      <c r="D48" s="143"/>
    </row>
    <row r="49" ht="15.75" customHeight="1">
      <c r="A49" s="138"/>
      <c r="B49" s="138"/>
      <c r="C49" s="89">
        <f>+971503408590</f>
        <v>971503408590</v>
      </c>
      <c r="D49" s="1" t="s">
        <v>212</v>
      </c>
    </row>
    <row r="50" ht="15.75" customHeight="1">
      <c r="A50" s="138"/>
      <c r="B50" s="138"/>
      <c r="C50" s="89">
        <f>+971501892514</f>
        <v>971501892514</v>
      </c>
      <c r="D50" s="1" t="s">
        <v>212</v>
      </c>
    </row>
    <row r="51" ht="15.75" customHeight="1">
      <c r="A51" s="259" t="s">
        <v>2489</v>
      </c>
      <c r="B51" s="260"/>
      <c r="C51" s="89">
        <f t="shared" ref="C51:C52" si="1">+971544879018</f>
        <v>971544879018</v>
      </c>
      <c r="D51" s="1" t="s">
        <v>212</v>
      </c>
      <c r="E51" s="1" t="s">
        <v>563</v>
      </c>
    </row>
    <row r="52" ht="15.75" customHeight="1">
      <c r="A52" s="259" t="s">
        <v>2490</v>
      </c>
      <c r="B52" s="260"/>
      <c r="C52" s="89">
        <f t="shared" si="1"/>
        <v>971544879018</v>
      </c>
      <c r="D52" s="1" t="s">
        <v>212</v>
      </c>
      <c r="E52" s="1" t="s">
        <v>563</v>
      </c>
    </row>
    <row r="53" ht="15.75" customHeight="1">
      <c r="A53" s="138"/>
      <c r="B53" s="138"/>
      <c r="C53" s="138"/>
    </row>
    <row r="54" ht="15.75" customHeight="1">
      <c r="A54" s="138"/>
      <c r="B54" s="138"/>
      <c r="C54" s="138"/>
    </row>
    <row r="55" ht="15.75" customHeight="1">
      <c r="A55" s="138"/>
      <c r="B55" s="138"/>
      <c r="C55" s="138"/>
    </row>
    <row r="56" ht="15.75" customHeight="1">
      <c r="A56" s="138"/>
      <c r="B56" s="138"/>
      <c r="C56" s="138"/>
    </row>
    <row r="57" ht="15.75" customHeight="1">
      <c r="A57" s="138"/>
      <c r="B57" s="138"/>
      <c r="C57" s="138"/>
    </row>
    <row r="58" ht="15.75" customHeight="1">
      <c r="A58" s="138"/>
      <c r="B58" s="138"/>
      <c r="C58" s="138"/>
    </row>
    <row r="59" ht="15.75" customHeight="1">
      <c r="A59" s="138"/>
      <c r="B59" s="138"/>
      <c r="C59" s="138"/>
    </row>
    <row r="60" ht="15.75" customHeight="1">
      <c r="A60" s="138"/>
      <c r="B60" s="138"/>
      <c r="C60" s="138"/>
    </row>
    <row r="61" ht="15.75" customHeight="1">
      <c r="A61" s="138"/>
      <c r="B61" s="138"/>
      <c r="C61" s="138"/>
    </row>
    <row r="62" ht="15.75" customHeight="1">
      <c r="A62" s="138"/>
      <c r="B62" s="138"/>
      <c r="C62" s="138"/>
    </row>
    <row r="63" ht="15.75" customHeight="1">
      <c r="A63" s="138"/>
      <c r="B63" s="138"/>
      <c r="C63" s="138"/>
    </row>
    <row r="64" ht="15.75" customHeight="1">
      <c r="A64" s="138"/>
      <c r="B64" s="138"/>
      <c r="C64" s="138"/>
    </row>
    <row r="65" ht="15.75" customHeight="1">
      <c r="A65" s="138"/>
      <c r="B65" s="138"/>
      <c r="C65" s="138"/>
    </row>
    <row r="66" ht="15.75" customHeight="1">
      <c r="A66" s="138"/>
      <c r="B66" s="138"/>
      <c r="C66" s="138"/>
    </row>
    <row r="67" ht="15.75" customHeight="1">
      <c r="A67" s="138"/>
      <c r="B67" s="138"/>
      <c r="C67" s="138"/>
    </row>
    <row r="68" ht="15.75" customHeight="1">
      <c r="A68" s="138"/>
      <c r="B68" s="138"/>
      <c r="C68" s="138"/>
    </row>
    <row r="69" ht="15.75" customHeight="1">
      <c r="A69" s="138"/>
      <c r="B69" s="138"/>
      <c r="C69" s="138"/>
    </row>
    <row r="70" ht="15.75" customHeight="1">
      <c r="A70" s="138"/>
      <c r="B70" s="138"/>
      <c r="C70" s="138"/>
    </row>
    <row r="71" ht="15.75" customHeight="1">
      <c r="A71" s="138"/>
      <c r="B71" s="138"/>
      <c r="C71" s="138"/>
    </row>
    <row r="72" ht="15.75" customHeight="1">
      <c r="A72" s="138"/>
      <c r="B72" s="138"/>
      <c r="C72" s="138"/>
    </row>
    <row r="73" ht="15.75" customHeight="1">
      <c r="A73" s="138"/>
      <c r="B73" s="138"/>
      <c r="C73" s="138"/>
    </row>
    <row r="74" ht="15.75" customHeight="1">
      <c r="A74" s="138"/>
      <c r="B74" s="138"/>
      <c r="C74" s="138"/>
    </row>
    <row r="75" ht="15.75" customHeight="1">
      <c r="A75" s="138"/>
      <c r="B75" s="138"/>
      <c r="C75" s="138"/>
    </row>
    <row r="76" ht="15.75" customHeight="1">
      <c r="A76" s="138"/>
      <c r="B76" s="138"/>
      <c r="C76" s="138"/>
    </row>
    <row r="77" ht="15.75" customHeight="1">
      <c r="A77" s="138"/>
      <c r="B77" s="138"/>
      <c r="C77" s="138"/>
    </row>
    <row r="78" ht="15.75" customHeight="1">
      <c r="A78" s="138"/>
      <c r="B78" s="138"/>
      <c r="C78" s="138"/>
    </row>
    <row r="79" ht="15.75" customHeight="1">
      <c r="A79" s="138"/>
      <c r="B79" s="138"/>
      <c r="C79" s="138"/>
    </row>
    <row r="80" ht="15.75" customHeight="1">
      <c r="A80" s="138"/>
      <c r="B80" s="138"/>
      <c r="C80" s="138"/>
    </row>
    <row r="81" ht="15.75" customHeight="1">
      <c r="A81" s="138"/>
      <c r="B81" s="138"/>
      <c r="C81" s="138"/>
    </row>
    <row r="82" ht="15.75" customHeight="1">
      <c r="A82" s="138"/>
      <c r="B82" s="138"/>
      <c r="C82" s="138"/>
    </row>
    <row r="83" ht="15.75" customHeight="1">
      <c r="A83" s="138"/>
      <c r="B83" s="138"/>
      <c r="C83" s="138"/>
    </row>
    <row r="84" ht="15.75" customHeight="1">
      <c r="A84" s="138"/>
      <c r="B84" s="138"/>
      <c r="C84" s="138"/>
    </row>
    <row r="85" ht="15.75" customHeight="1">
      <c r="A85" s="138"/>
      <c r="B85" s="138"/>
      <c r="C85" s="138"/>
    </row>
    <row r="86" ht="15.75" customHeight="1">
      <c r="A86" s="138"/>
      <c r="B86" s="138"/>
      <c r="C86" s="138"/>
    </row>
    <row r="87" ht="15.75" customHeight="1">
      <c r="A87" s="138"/>
      <c r="B87" s="138"/>
      <c r="C87" s="138"/>
    </row>
    <row r="88" ht="15.75" customHeight="1">
      <c r="A88" s="138"/>
      <c r="B88" s="138"/>
      <c r="C88" s="138"/>
    </row>
    <row r="89" ht="15.75" customHeight="1">
      <c r="A89" s="138"/>
      <c r="B89" s="138"/>
      <c r="C89" s="138"/>
    </row>
    <row r="90" ht="15.75" customHeight="1">
      <c r="A90" s="138"/>
      <c r="B90" s="138"/>
      <c r="C90" s="138"/>
    </row>
    <row r="91" ht="15.75" customHeight="1">
      <c r="A91" s="138"/>
      <c r="B91" s="138"/>
      <c r="C91" s="138"/>
    </row>
    <row r="92" ht="15.75" customHeight="1">
      <c r="A92" s="138"/>
      <c r="B92" s="138"/>
      <c r="C92" s="138"/>
    </row>
    <row r="93" ht="15.75" customHeight="1">
      <c r="A93" s="138"/>
      <c r="B93" s="138"/>
      <c r="C93" s="138"/>
    </row>
    <row r="94" ht="15.75" customHeight="1">
      <c r="A94" s="138"/>
      <c r="B94" s="138"/>
      <c r="C94" s="138"/>
    </row>
    <row r="95" ht="15.75" customHeight="1">
      <c r="A95" s="138"/>
      <c r="B95" s="138"/>
      <c r="C95" s="138"/>
    </row>
    <row r="96" ht="15.75" customHeight="1">
      <c r="A96" s="138"/>
      <c r="B96" s="138"/>
      <c r="C96" s="138"/>
    </row>
    <row r="97" ht="15.75" customHeight="1">
      <c r="A97" s="138"/>
      <c r="B97" s="138"/>
      <c r="C97" s="138"/>
    </row>
    <row r="98" ht="15.75" customHeight="1">
      <c r="A98" s="138"/>
      <c r="B98" s="138"/>
      <c r="C98" s="138"/>
    </row>
    <row r="99" ht="15.75" customHeight="1">
      <c r="A99" s="138"/>
      <c r="B99" s="138"/>
      <c r="C99" s="138"/>
    </row>
    <row r="100" ht="15.75" customHeight="1">
      <c r="A100" s="138"/>
      <c r="B100" s="138"/>
      <c r="C100" s="138"/>
    </row>
    <row r="101" ht="15.75" customHeight="1">
      <c r="A101" s="138"/>
      <c r="B101" s="138"/>
      <c r="C101" s="138"/>
    </row>
    <row r="102" ht="15.75" customHeight="1">
      <c r="A102" s="138"/>
      <c r="B102" s="138"/>
      <c r="C102" s="138"/>
    </row>
    <row r="103" ht="15.75" customHeight="1">
      <c r="A103" s="138"/>
      <c r="B103" s="138"/>
      <c r="C103" s="138"/>
    </row>
    <row r="104" ht="15.75" customHeight="1">
      <c r="A104" s="138"/>
      <c r="B104" s="138"/>
      <c r="C104" s="138"/>
    </row>
    <row r="105" ht="15.75" customHeight="1">
      <c r="A105" s="138"/>
      <c r="B105" s="138"/>
      <c r="C105" s="138"/>
    </row>
    <row r="106" ht="15.75" customHeight="1">
      <c r="A106" s="138"/>
      <c r="B106" s="138"/>
      <c r="C106" s="138"/>
    </row>
    <row r="107" ht="15.75" customHeight="1">
      <c r="A107" s="138"/>
      <c r="B107" s="138"/>
      <c r="C107" s="138"/>
    </row>
    <row r="108" ht="15.75" customHeight="1">
      <c r="A108" s="138"/>
      <c r="B108" s="138"/>
      <c r="C108" s="138"/>
    </row>
    <row r="109" ht="15.75" customHeight="1">
      <c r="A109" s="138"/>
      <c r="B109" s="138"/>
      <c r="C109" s="138"/>
    </row>
    <row r="110" ht="15.75" customHeight="1">
      <c r="A110" s="138"/>
      <c r="B110" s="138"/>
      <c r="C110" s="138"/>
    </row>
    <row r="111" ht="15.75" customHeight="1">
      <c r="A111" s="138"/>
      <c r="B111" s="138"/>
      <c r="C111" s="138"/>
    </row>
    <row r="112" ht="15.75" customHeight="1">
      <c r="A112" s="138"/>
      <c r="B112" s="138"/>
      <c r="C112" s="138"/>
    </row>
    <row r="113" ht="15.75" customHeight="1">
      <c r="A113" s="138"/>
      <c r="B113" s="138"/>
      <c r="C113" s="138"/>
    </row>
    <row r="114" ht="15.75" customHeight="1">
      <c r="A114" s="138"/>
      <c r="B114" s="138"/>
      <c r="C114" s="138"/>
    </row>
    <row r="115" ht="15.75" customHeight="1">
      <c r="A115" s="138"/>
      <c r="B115" s="138"/>
      <c r="C115" s="138"/>
    </row>
    <row r="116" ht="15.75" customHeight="1">
      <c r="A116" s="138"/>
      <c r="B116" s="138"/>
      <c r="C116" s="138"/>
    </row>
    <row r="117" ht="15.75" customHeight="1">
      <c r="A117" s="138"/>
      <c r="B117" s="138"/>
      <c r="C117" s="138"/>
    </row>
    <row r="118" ht="15.75" customHeight="1">
      <c r="A118" s="138"/>
      <c r="B118" s="138"/>
      <c r="C118" s="138"/>
    </row>
    <row r="119" ht="15.75" customHeight="1">
      <c r="A119" s="138"/>
      <c r="B119" s="138"/>
      <c r="C119" s="138"/>
    </row>
    <row r="120" ht="15.75" customHeight="1">
      <c r="A120" s="138"/>
      <c r="B120" s="138"/>
      <c r="C120" s="138"/>
    </row>
    <row r="121" ht="15.75" customHeight="1">
      <c r="A121" s="138"/>
      <c r="B121" s="138"/>
      <c r="C121" s="138"/>
    </row>
    <row r="122" ht="15.75" customHeight="1">
      <c r="A122" s="138"/>
      <c r="B122" s="138"/>
      <c r="C122" s="138"/>
    </row>
    <row r="123" ht="15.75" customHeight="1">
      <c r="A123" s="138"/>
      <c r="B123" s="138"/>
      <c r="C123" s="138"/>
    </row>
    <row r="124" ht="15.75" customHeight="1">
      <c r="A124" s="138"/>
      <c r="B124" s="138"/>
      <c r="C124" s="138"/>
    </row>
    <row r="125" ht="15.75" customHeight="1">
      <c r="A125" s="138"/>
      <c r="B125" s="138"/>
      <c r="C125" s="138"/>
    </row>
    <row r="126" ht="15.75" customHeight="1">
      <c r="A126" s="138"/>
      <c r="B126" s="138"/>
      <c r="C126" s="138"/>
    </row>
    <row r="127" ht="15.75" customHeight="1">
      <c r="A127" s="138"/>
      <c r="B127" s="138"/>
      <c r="C127" s="138"/>
    </row>
    <row r="128" ht="15.75" customHeight="1">
      <c r="A128" s="138"/>
      <c r="B128" s="138"/>
      <c r="C128" s="138"/>
    </row>
    <row r="129" ht="15.75" customHeight="1">
      <c r="A129" s="138"/>
      <c r="B129" s="138"/>
      <c r="C129" s="138"/>
    </row>
    <row r="130" ht="15.75" customHeight="1">
      <c r="A130" s="138"/>
      <c r="B130" s="138"/>
      <c r="C130" s="138"/>
    </row>
    <row r="131" ht="15.75" customHeight="1">
      <c r="A131" s="138"/>
      <c r="B131" s="138"/>
      <c r="C131" s="138"/>
    </row>
    <row r="132" ht="15.75" customHeight="1">
      <c r="A132" s="138"/>
      <c r="B132" s="138"/>
      <c r="C132" s="138"/>
    </row>
    <row r="133" ht="15.75" customHeight="1">
      <c r="A133" s="138"/>
      <c r="B133" s="138"/>
      <c r="C133" s="138"/>
    </row>
    <row r="134" ht="15.75" customHeight="1">
      <c r="A134" s="138"/>
      <c r="B134" s="138"/>
      <c r="C134" s="138"/>
    </row>
    <row r="135" ht="15.75" customHeight="1">
      <c r="A135" s="138"/>
      <c r="B135" s="138"/>
      <c r="C135" s="138"/>
    </row>
    <row r="136" ht="15.75" customHeight="1">
      <c r="A136" s="138"/>
      <c r="B136" s="138"/>
      <c r="C136" s="138"/>
    </row>
    <row r="137" ht="15.75" customHeight="1">
      <c r="A137" s="138"/>
      <c r="B137" s="138"/>
      <c r="C137" s="138"/>
    </row>
    <row r="138" ht="15.75" customHeight="1">
      <c r="A138" s="138"/>
      <c r="B138" s="138"/>
      <c r="C138" s="138"/>
    </row>
    <row r="139" ht="15.75" customHeight="1">
      <c r="A139" s="138"/>
      <c r="B139" s="138"/>
      <c r="C139" s="138"/>
    </row>
    <row r="140" ht="15.75" customHeight="1">
      <c r="A140" s="138"/>
      <c r="B140" s="138"/>
      <c r="C140" s="138"/>
    </row>
    <row r="141" ht="15.75" customHeight="1">
      <c r="A141" s="138"/>
      <c r="B141" s="138"/>
      <c r="C141" s="138"/>
    </row>
    <row r="142" ht="15.75" customHeight="1">
      <c r="A142" s="138"/>
      <c r="B142" s="138"/>
      <c r="C142" s="138"/>
    </row>
    <row r="143" ht="15.75" customHeight="1">
      <c r="A143" s="138"/>
      <c r="B143" s="138"/>
      <c r="C143" s="138"/>
    </row>
    <row r="144" ht="15.75" customHeight="1">
      <c r="A144" s="138"/>
      <c r="B144" s="138"/>
      <c r="C144" s="138"/>
    </row>
    <row r="145" ht="15.75" customHeight="1">
      <c r="A145" s="138"/>
      <c r="B145" s="138"/>
      <c r="C145" s="138"/>
    </row>
    <row r="146" ht="15.75" customHeight="1">
      <c r="A146" s="138"/>
      <c r="B146" s="138"/>
      <c r="C146" s="138"/>
    </row>
    <row r="147" ht="15.75" customHeight="1">
      <c r="A147" s="138"/>
      <c r="B147" s="138"/>
      <c r="C147" s="138"/>
    </row>
    <row r="148" ht="15.75" customHeight="1">
      <c r="A148" s="138"/>
      <c r="B148" s="138"/>
      <c r="C148" s="138"/>
    </row>
    <row r="149" ht="15.75" customHeight="1">
      <c r="A149" s="138"/>
      <c r="B149" s="138"/>
      <c r="C149" s="138"/>
    </row>
    <row r="150" ht="15.75" customHeight="1">
      <c r="A150" s="138"/>
      <c r="B150" s="138"/>
      <c r="C150" s="138"/>
    </row>
    <row r="151" ht="15.75" customHeight="1">
      <c r="A151" s="138"/>
      <c r="B151" s="138"/>
      <c r="C151" s="138"/>
    </row>
    <row r="152" ht="15.75" customHeight="1">
      <c r="A152" s="138"/>
      <c r="B152" s="138"/>
      <c r="C152" s="138"/>
    </row>
    <row r="153" ht="15.75" customHeight="1">
      <c r="A153" s="138"/>
      <c r="B153" s="138"/>
      <c r="C153" s="138"/>
    </row>
    <row r="154" ht="15.75" customHeight="1">
      <c r="A154" s="138"/>
      <c r="B154" s="138"/>
      <c r="C154" s="138"/>
    </row>
    <row r="155" ht="15.75" customHeight="1">
      <c r="A155" s="138"/>
      <c r="B155" s="138"/>
      <c r="C155" s="138"/>
    </row>
    <row r="156" ht="15.75" customHeight="1">
      <c r="A156" s="138"/>
      <c r="B156" s="138"/>
      <c r="C156" s="138"/>
    </row>
    <row r="157" ht="15.75" customHeight="1">
      <c r="A157" s="138"/>
      <c r="B157" s="138"/>
      <c r="C157" s="138"/>
    </row>
    <row r="158" ht="15.75" customHeight="1">
      <c r="A158" s="138"/>
      <c r="B158" s="138"/>
      <c r="C158" s="138"/>
    </row>
    <row r="159" ht="15.75" customHeight="1">
      <c r="A159" s="138"/>
      <c r="B159" s="138"/>
      <c r="C159" s="138"/>
    </row>
    <row r="160" ht="15.75" customHeight="1">
      <c r="A160" s="138"/>
      <c r="B160" s="138"/>
      <c r="C160" s="138"/>
    </row>
    <row r="161" ht="15.75" customHeight="1">
      <c r="A161" s="138"/>
      <c r="B161" s="138"/>
      <c r="C161" s="138"/>
    </row>
    <row r="162" ht="15.75" customHeight="1">
      <c r="A162" s="138"/>
      <c r="B162" s="138"/>
      <c r="C162" s="138"/>
    </row>
    <row r="163" ht="15.75" customHeight="1">
      <c r="A163" s="138"/>
      <c r="B163" s="138"/>
      <c r="C163" s="138"/>
    </row>
    <row r="164" ht="15.75" customHeight="1">
      <c r="A164" s="138"/>
      <c r="B164" s="138"/>
      <c r="C164" s="138"/>
    </row>
    <row r="165" ht="15.75" customHeight="1">
      <c r="A165" s="138"/>
      <c r="B165" s="138"/>
      <c r="C165" s="138"/>
    </row>
    <row r="166" ht="15.75" customHeight="1">
      <c r="A166" s="138"/>
      <c r="B166" s="138"/>
      <c r="C166" s="138"/>
    </row>
    <row r="167" ht="15.75" customHeight="1">
      <c r="A167" s="138"/>
      <c r="B167" s="138"/>
      <c r="C167" s="138"/>
    </row>
    <row r="168" ht="15.75" customHeight="1">
      <c r="A168" s="138"/>
      <c r="B168" s="138"/>
      <c r="C168" s="138"/>
    </row>
    <row r="169" ht="15.75" customHeight="1">
      <c r="A169" s="138"/>
      <c r="B169" s="138"/>
      <c r="C169" s="138"/>
    </row>
    <row r="170" ht="15.75" customHeight="1">
      <c r="A170" s="138"/>
      <c r="B170" s="138"/>
      <c r="C170" s="138"/>
    </row>
    <row r="171" ht="15.75" customHeight="1">
      <c r="A171" s="138"/>
      <c r="B171" s="138"/>
      <c r="C171" s="138"/>
    </row>
    <row r="172" ht="15.75" customHeight="1">
      <c r="A172" s="138"/>
      <c r="B172" s="138"/>
      <c r="C172" s="138"/>
    </row>
    <row r="173" ht="15.75" customHeight="1">
      <c r="A173" s="138"/>
      <c r="B173" s="138"/>
      <c r="C173" s="138"/>
    </row>
    <row r="174" ht="15.75" customHeight="1">
      <c r="A174" s="138"/>
      <c r="B174" s="138"/>
      <c r="C174" s="138"/>
    </row>
    <row r="175" ht="15.75" customHeight="1">
      <c r="A175" s="138"/>
      <c r="B175" s="138"/>
      <c r="C175" s="138"/>
    </row>
    <row r="176" ht="15.75" customHeight="1">
      <c r="A176" s="138"/>
      <c r="B176" s="138"/>
      <c r="C176" s="138"/>
    </row>
    <row r="177" ht="15.75" customHeight="1">
      <c r="A177" s="138"/>
      <c r="B177" s="138"/>
      <c r="C177" s="138"/>
    </row>
    <row r="178" ht="15.75" customHeight="1">
      <c r="A178" s="138"/>
      <c r="B178" s="138"/>
      <c r="C178" s="138"/>
    </row>
    <row r="179" ht="15.75" customHeight="1">
      <c r="A179" s="138"/>
      <c r="B179" s="138"/>
      <c r="C179" s="138"/>
    </row>
    <row r="180" ht="15.75" customHeight="1">
      <c r="A180" s="138"/>
      <c r="B180" s="138"/>
      <c r="C180" s="138"/>
    </row>
    <row r="181" ht="15.75" customHeight="1">
      <c r="A181" s="138"/>
      <c r="B181" s="138"/>
      <c r="C181" s="138"/>
    </row>
    <row r="182" ht="15.75" customHeight="1">
      <c r="A182" s="138"/>
      <c r="B182" s="138"/>
      <c r="C182" s="138"/>
    </row>
    <row r="183" ht="15.75" customHeight="1">
      <c r="A183" s="138"/>
      <c r="B183" s="138"/>
      <c r="C183" s="138"/>
    </row>
    <row r="184" ht="15.75" customHeight="1">
      <c r="A184" s="138"/>
      <c r="B184" s="138"/>
      <c r="C184" s="138"/>
    </row>
    <row r="185" ht="15.75" customHeight="1">
      <c r="A185" s="138"/>
      <c r="B185" s="138"/>
      <c r="C185" s="138"/>
    </row>
    <row r="186" ht="15.75" customHeight="1">
      <c r="A186" s="138"/>
      <c r="B186" s="138"/>
      <c r="C186" s="138"/>
    </row>
    <row r="187" ht="15.75" customHeight="1">
      <c r="A187" s="138"/>
      <c r="B187" s="138"/>
      <c r="C187" s="138"/>
    </row>
    <row r="188" ht="15.75" customHeight="1">
      <c r="A188" s="138"/>
      <c r="B188" s="138"/>
      <c r="C188" s="138"/>
    </row>
    <row r="189" ht="15.75" customHeight="1">
      <c r="A189" s="138"/>
      <c r="B189" s="138"/>
      <c r="C189" s="138"/>
    </row>
    <row r="190" ht="15.75" customHeight="1">
      <c r="A190" s="138"/>
      <c r="B190" s="138"/>
      <c r="C190" s="138"/>
    </row>
    <row r="191" ht="15.75" customHeight="1">
      <c r="A191" s="138"/>
      <c r="B191" s="138"/>
      <c r="C191" s="138"/>
    </row>
    <row r="192" ht="15.75" customHeight="1">
      <c r="A192" s="138"/>
      <c r="B192" s="138"/>
      <c r="C192" s="138"/>
    </row>
    <row r="193" ht="15.75" customHeight="1">
      <c r="A193" s="138"/>
      <c r="B193" s="138"/>
      <c r="C193" s="138"/>
    </row>
    <row r="194" ht="15.75" customHeight="1">
      <c r="A194" s="138"/>
      <c r="B194" s="138"/>
      <c r="C194" s="138"/>
    </row>
    <row r="195" ht="15.75" customHeight="1">
      <c r="A195" s="138"/>
      <c r="B195" s="138"/>
      <c r="C195" s="138"/>
    </row>
    <row r="196" ht="15.75" customHeight="1">
      <c r="A196" s="138"/>
      <c r="B196" s="138"/>
      <c r="C196" s="138"/>
    </row>
    <row r="197" ht="15.75" customHeight="1">
      <c r="A197" s="138"/>
      <c r="B197" s="138"/>
      <c r="C197" s="138"/>
    </row>
    <row r="198" ht="15.75" customHeight="1">
      <c r="A198" s="138"/>
      <c r="B198" s="138"/>
      <c r="C198" s="138"/>
    </row>
    <row r="199" ht="15.75" customHeight="1">
      <c r="A199" s="138"/>
      <c r="B199" s="138"/>
      <c r="C199" s="138"/>
    </row>
    <row r="200" ht="15.75" customHeight="1">
      <c r="A200" s="138"/>
      <c r="B200" s="138"/>
      <c r="C200" s="138"/>
    </row>
    <row r="201" ht="15.75" customHeight="1">
      <c r="A201" s="138"/>
      <c r="B201" s="138"/>
      <c r="C201" s="138"/>
    </row>
    <row r="202" ht="15.75" customHeight="1">
      <c r="A202" s="138"/>
      <c r="B202" s="138"/>
      <c r="C202" s="138"/>
    </row>
    <row r="203" ht="15.75" customHeight="1">
      <c r="A203" s="138"/>
      <c r="B203" s="138"/>
      <c r="C203" s="138"/>
    </row>
    <row r="204" ht="15.75" customHeight="1">
      <c r="A204" s="138"/>
      <c r="B204" s="138"/>
      <c r="C204" s="138"/>
    </row>
    <row r="205" ht="15.75" customHeight="1">
      <c r="A205" s="138"/>
      <c r="B205" s="138"/>
      <c r="C205" s="138"/>
    </row>
    <row r="206" ht="15.75" customHeight="1">
      <c r="A206" s="138"/>
      <c r="B206" s="138"/>
      <c r="C206" s="138"/>
    </row>
    <row r="207" ht="15.75" customHeight="1">
      <c r="A207" s="138"/>
      <c r="B207" s="138"/>
      <c r="C207" s="138"/>
    </row>
    <row r="208" ht="15.75" customHeight="1">
      <c r="A208" s="138"/>
      <c r="B208" s="138"/>
      <c r="C208" s="138"/>
    </row>
    <row r="209" ht="15.75" customHeight="1">
      <c r="A209" s="138"/>
      <c r="B209" s="138"/>
      <c r="C209" s="138"/>
    </row>
    <row r="210" ht="15.75" customHeight="1">
      <c r="A210" s="138"/>
      <c r="B210" s="138"/>
      <c r="C210" s="138"/>
    </row>
    <row r="211" ht="15.75" customHeight="1">
      <c r="A211" s="138"/>
      <c r="B211" s="138"/>
      <c r="C211" s="138"/>
    </row>
    <row r="212" ht="15.75" customHeight="1">
      <c r="A212" s="138"/>
      <c r="B212" s="138"/>
      <c r="C212" s="138"/>
    </row>
    <row r="213" ht="15.75" customHeight="1">
      <c r="A213" s="138"/>
      <c r="B213" s="138"/>
      <c r="C213" s="138"/>
    </row>
    <row r="214" ht="15.75" customHeight="1">
      <c r="A214" s="138"/>
      <c r="B214" s="138"/>
      <c r="C214" s="138"/>
    </row>
    <row r="215" ht="15.75" customHeight="1">
      <c r="A215" s="138"/>
      <c r="B215" s="138"/>
      <c r="C215" s="138"/>
    </row>
    <row r="216" ht="15.75" customHeight="1">
      <c r="A216" s="138"/>
      <c r="B216" s="138"/>
      <c r="C216" s="138"/>
    </row>
    <row r="217" ht="15.75" customHeight="1">
      <c r="A217" s="138"/>
      <c r="B217" s="138"/>
      <c r="C217" s="138"/>
    </row>
    <row r="218" ht="15.75" customHeight="1">
      <c r="A218" s="138"/>
      <c r="B218" s="138"/>
      <c r="C218" s="138"/>
    </row>
    <row r="219" ht="15.75" customHeight="1">
      <c r="A219" s="138"/>
      <c r="B219" s="138"/>
      <c r="C219" s="138"/>
    </row>
    <row r="220" ht="15.75" customHeight="1">
      <c r="A220" s="138"/>
      <c r="B220" s="138"/>
      <c r="C220" s="138"/>
    </row>
    <row r="221" ht="15.75" customHeight="1">
      <c r="A221" s="138"/>
      <c r="B221" s="138"/>
      <c r="C221" s="138"/>
    </row>
    <row r="222" ht="15.75" customHeight="1">
      <c r="A222" s="138"/>
      <c r="B222" s="138"/>
      <c r="C222" s="138"/>
    </row>
    <row r="223" ht="15.75" customHeight="1">
      <c r="A223" s="138"/>
      <c r="B223" s="138"/>
      <c r="C223" s="138"/>
    </row>
    <row r="224" ht="15.75" customHeight="1">
      <c r="A224" s="138"/>
      <c r="B224" s="138"/>
      <c r="C224" s="138"/>
    </row>
    <row r="225" ht="15.75" customHeight="1">
      <c r="A225" s="138"/>
      <c r="B225" s="138"/>
      <c r="C225" s="138"/>
    </row>
    <row r="226" ht="15.75" customHeight="1">
      <c r="A226" s="138"/>
      <c r="B226" s="138"/>
      <c r="C226" s="138"/>
    </row>
    <row r="227" ht="15.75" customHeight="1">
      <c r="A227" s="138"/>
      <c r="B227" s="138"/>
      <c r="C227" s="138"/>
    </row>
    <row r="228" ht="15.75" customHeight="1">
      <c r="A228" s="138"/>
      <c r="B228" s="138"/>
      <c r="C228" s="138"/>
    </row>
    <row r="229" ht="15.75" customHeight="1">
      <c r="A229" s="138"/>
      <c r="B229" s="138"/>
      <c r="C229" s="138"/>
    </row>
    <row r="230" ht="15.75" customHeight="1">
      <c r="A230" s="138"/>
      <c r="B230" s="138"/>
      <c r="C230" s="138"/>
    </row>
    <row r="231" ht="15.75" customHeight="1">
      <c r="A231" s="138"/>
      <c r="B231" s="138"/>
      <c r="C231" s="138"/>
    </row>
    <row r="232" ht="15.75" customHeight="1">
      <c r="A232" s="138"/>
      <c r="B232" s="138"/>
      <c r="C232" s="138"/>
    </row>
    <row r="233" ht="15.75" customHeight="1">
      <c r="A233" s="138"/>
      <c r="B233" s="138"/>
      <c r="C233" s="138"/>
    </row>
    <row r="234" ht="15.75" customHeight="1">
      <c r="A234" s="138"/>
      <c r="B234" s="138"/>
      <c r="C234" s="138"/>
    </row>
    <row r="235" ht="15.75" customHeight="1">
      <c r="A235" s="138"/>
      <c r="B235" s="138"/>
      <c r="C235" s="138"/>
    </row>
    <row r="236" ht="15.75" customHeight="1">
      <c r="A236" s="138"/>
      <c r="B236" s="138"/>
      <c r="C236" s="138"/>
    </row>
    <row r="237" ht="15.75" customHeight="1">
      <c r="A237" s="138"/>
      <c r="B237" s="138"/>
      <c r="C237" s="138"/>
    </row>
    <row r="238" ht="15.75" customHeight="1">
      <c r="A238" s="138"/>
      <c r="B238" s="138"/>
      <c r="C238" s="138"/>
    </row>
    <row r="239" ht="15.75" customHeight="1">
      <c r="A239" s="138"/>
      <c r="B239" s="138"/>
      <c r="C239" s="138"/>
    </row>
    <row r="240" ht="15.75" customHeight="1">
      <c r="A240" s="138"/>
      <c r="B240" s="138"/>
      <c r="C240" s="138"/>
    </row>
    <row r="241" ht="15.75" customHeight="1">
      <c r="A241" s="138"/>
      <c r="B241" s="138"/>
      <c r="C241" s="138"/>
    </row>
    <row r="242" ht="15.75" customHeight="1">
      <c r="A242" s="138"/>
      <c r="B242" s="138"/>
      <c r="C242" s="138"/>
    </row>
    <row r="243" ht="15.75" customHeight="1">
      <c r="A243" s="138"/>
      <c r="B243" s="138"/>
      <c r="C243" s="138"/>
    </row>
    <row r="244" ht="15.75" customHeight="1">
      <c r="A244" s="138"/>
      <c r="B244" s="138"/>
      <c r="C244" s="138"/>
    </row>
    <row r="245" ht="15.75" customHeight="1">
      <c r="A245" s="138"/>
      <c r="B245" s="138"/>
      <c r="C245" s="138"/>
    </row>
    <row r="246" ht="15.75" customHeight="1">
      <c r="A246" s="138"/>
      <c r="B246" s="138"/>
      <c r="C246" s="138"/>
    </row>
    <row r="247" ht="15.75" customHeight="1">
      <c r="A247" s="138"/>
      <c r="B247" s="138"/>
      <c r="C247" s="138"/>
    </row>
    <row r="248" ht="15.75" customHeight="1">
      <c r="A248" s="138"/>
      <c r="B248" s="138"/>
      <c r="C248" s="138"/>
    </row>
    <row r="249" ht="15.75" customHeight="1">
      <c r="A249" s="138"/>
      <c r="B249" s="138"/>
      <c r="C249" s="138"/>
    </row>
    <row r="250" ht="15.75" customHeight="1">
      <c r="A250" s="138"/>
      <c r="B250" s="138"/>
      <c r="C250" s="138"/>
    </row>
    <row r="251" ht="15.75" customHeight="1">
      <c r="A251" s="138"/>
      <c r="B251" s="138"/>
      <c r="C251" s="138"/>
    </row>
    <row r="252" ht="15.75" customHeight="1">
      <c r="A252" s="138"/>
      <c r="B252" s="138"/>
      <c r="C252" s="138"/>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A$1:$W$42">
        <filterColumn colId="2">
          <customFilters>
            <customFilter val="*971*"/>
          </customFilters>
        </filterColumn>
      </autoFilter>
      <extLst>
        <ext uri="GoogleSheetsCustomDataVersion1">
          <go:sheetsCustomData xmlns:go="http://customooxmlschemas.google.com/" filterViewId="721039825"/>
        </ext>
      </extLst>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8"/>
    <col customWidth="1" min="2" max="2" width="20.25"/>
    <col customWidth="1" min="3" max="3" width="14.38"/>
    <col customWidth="1" min="4" max="4" width="20.63"/>
    <col customWidth="1" min="5" max="5" width="28.25"/>
    <col customWidth="1" min="6" max="6" width="14.38"/>
    <col customWidth="1" min="7" max="7" width="6.63"/>
    <col customWidth="1" min="8" max="8" width="9.88"/>
    <col customWidth="1" min="9" max="9" width="27.0"/>
    <col customWidth="1" min="10" max="31" width="14.38"/>
  </cols>
  <sheetData>
    <row r="1" ht="15.75" customHeight="1">
      <c r="A1" s="199" t="s">
        <v>1345</v>
      </c>
      <c r="B1" s="200" t="s">
        <v>3</v>
      </c>
      <c r="C1" s="200" t="s">
        <v>2101</v>
      </c>
      <c r="D1" s="200" t="s">
        <v>171</v>
      </c>
      <c r="E1" s="200" t="s">
        <v>4</v>
      </c>
      <c r="F1" s="200" t="s">
        <v>172</v>
      </c>
      <c r="G1" s="201"/>
      <c r="H1" s="201" t="s">
        <v>174</v>
      </c>
      <c r="I1" s="202" t="s">
        <v>175</v>
      </c>
      <c r="J1" s="201" t="s">
        <v>9</v>
      </c>
      <c r="K1" s="203"/>
      <c r="L1" s="31"/>
      <c r="M1" s="31"/>
      <c r="N1" s="31"/>
      <c r="O1" s="31"/>
      <c r="P1" s="31"/>
      <c r="Q1" s="31"/>
      <c r="R1" s="31"/>
      <c r="S1" s="31"/>
      <c r="T1" s="31"/>
      <c r="U1" s="31"/>
      <c r="V1" s="31"/>
      <c r="W1" s="31"/>
      <c r="X1" s="31"/>
      <c r="Y1" s="31"/>
      <c r="Z1" s="31"/>
      <c r="AA1" s="31"/>
      <c r="AB1" s="31"/>
      <c r="AC1" s="31"/>
      <c r="AD1" s="31"/>
      <c r="AE1" s="31"/>
    </row>
    <row r="2" ht="15.75" customHeight="1">
      <c r="A2" s="261">
        <v>43344.0</v>
      </c>
      <c r="B2" s="262"/>
      <c r="C2" s="4"/>
      <c r="D2" s="263"/>
      <c r="E2" s="4"/>
      <c r="F2" s="264"/>
    </row>
    <row r="3" ht="15.75" customHeight="1">
      <c r="A3" s="4"/>
      <c r="B3" s="262" t="s">
        <v>2491</v>
      </c>
      <c r="C3" s="4"/>
      <c r="D3" s="265" t="s">
        <v>2492</v>
      </c>
      <c r="E3" s="266" t="s">
        <v>2493</v>
      </c>
      <c r="F3" s="264" t="s">
        <v>2494</v>
      </c>
      <c r="H3" s="1" t="s">
        <v>2495</v>
      </c>
      <c r="I3" s="214" t="s">
        <v>2496</v>
      </c>
      <c r="J3" s="1" t="s">
        <v>16</v>
      </c>
    </row>
    <row r="4" ht="15.75" customHeight="1">
      <c r="A4" s="4"/>
      <c r="B4" s="262" t="s">
        <v>2497</v>
      </c>
      <c r="C4" s="4"/>
      <c r="D4" s="265" t="s">
        <v>2498</v>
      </c>
      <c r="E4" s="266" t="s">
        <v>2499</v>
      </c>
      <c r="F4" s="264" t="s">
        <v>2494</v>
      </c>
      <c r="H4" s="1" t="s">
        <v>2495</v>
      </c>
      <c r="I4" s="1" t="s">
        <v>2500</v>
      </c>
      <c r="J4" s="1" t="s">
        <v>16</v>
      </c>
    </row>
    <row r="5" ht="15.75" customHeight="1">
      <c r="A5" s="4"/>
      <c r="B5" s="267" t="s">
        <v>2501</v>
      </c>
      <c r="C5" s="4"/>
      <c r="D5" s="265" t="s">
        <v>2502</v>
      </c>
      <c r="E5" s="268" t="s">
        <v>2503</v>
      </c>
      <c r="F5" s="264" t="s">
        <v>2504</v>
      </c>
      <c r="H5" s="1" t="s">
        <v>2495</v>
      </c>
      <c r="I5" s="1" t="s">
        <v>2505</v>
      </c>
      <c r="J5" s="1" t="s">
        <v>201</v>
      </c>
    </row>
    <row r="6" ht="15.75" customHeight="1">
      <c r="A6" s="4"/>
      <c r="B6" s="262" t="s">
        <v>2506</v>
      </c>
      <c r="C6" s="4"/>
      <c r="D6" s="265" t="s">
        <v>2507</v>
      </c>
      <c r="E6" s="266" t="s">
        <v>2508</v>
      </c>
      <c r="F6" s="264" t="s">
        <v>2494</v>
      </c>
      <c r="H6" s="1" t="s">
        <v>2495</v>
      </c>
      <c r="I6" s="214" t="s">
        <v>2509</v>
      </c>
      <c r="J6" s="1" t="s">
        <v>201</v>
      </c>
    </row>
    <row r="7" ht="15.75" customHeight="1">
      <c r="A7" s="4"/>
      <c r="B7" s="267" t="s">
        <v>2510</v>
      </c>
      <c r="C7" s="4"/>
      <c r="D7" s="265" t="s">
        <v>2511</v>
      </c>
      <c r="E7" s="268" t="s">
        <v>2512</v>
      </c>
      <c r="F7" s="264" t="s">
        <v>2504</v>
      </c>
      <c r="H7" s="1" t="s">
        <v>2495</v>
      </c>
      <c r="I7" s="269" t="s">
        <v>2513</v>
      </c>
      <c r="J7" s="1" t="s">
        <v>201</v>
      </c>
    </row>
    <row r="8" ht="15.75" customHeight="1">
      <c r="A8" s="4"/>
      <c r="B8" s="262" t="s">
        <v>117</v>
      </c>
      <c r="C8" s="4"/>
      <c r="D8" s="270" t="s">
        <v>2514</v>
      </c>
      <c r="E8" s="266" t="s">
        <v>2515</v>
      </c>
      <c r="F8" s="264" t="s">
        <v>2494</v>
      </c>
      <c r="H8" s="1" t="s">
        <v>2495</v>
      </c>
      <c r="I8" s="214" t="s">
        <v>2516</v>
      </c>
      <c r="J8" s="1" t="s">
        <v>201</v>
      </c>
    </row>
    <row r="9" ht="15.75" customHeight="1">
      <c r="A9" s="4"/>
      <c r="B9" s="271" t="s">
        <v>2517</v>
      </c>
      <c r="C9" s="4"/>
      <c r="D9" s="270" t="s">
        <v>2518</v>
      </c>
      <c r="E9" s="272" t="s">
        <v>2519</v>
      </c>
      <c r="F9" s="264"/>
      <c r="H9" s="1" t="s">
        <v>2520</v>
      </c>
      <c r="I9" s="273" t="s">
        <v>206</v>
      </c>
      <c r="J9" s="1" t="s">
        <v>2521</v>
      </c>
    </row>
    <row r="10" ht="15.75" customHeight="1">
      <c r="A10" s="4"/>
      <c r="B10" s="262" t="s">
        <v>2522</v>
      </c>
      <c r="C10" s="4"/>
      <c r="D10" s="265" t="s">
        <v>2523</v>
      </c>
      <c r="E10" s="266" t="s">
        <v>2524</v>
      </c>
      <c r="F10" s="264" t="s">
        <v>2494</v>
      </c>
      <c r="H10" s="1" t="s">
        <v>2495</v>
      </c>
      <c r="I10" s="214" t="s">
        <v>2525</v>
      </c>
      <c r="J10" s="1" t="s">
        <v>16</v>
      </c>
    </row>
    <row r="11" ht="15.75" customHeight="1">
      <c r="A11" s="4"/>
      <c r="B11" s="267" t="s">
        <v>2526</v>
      </c>
      <c r="C11" s="4"/>
      <c r="D11" s="265" t="s">
        <v>2527</v>
      </c>
      <c r="E11" s="268" t="s">
        <v>36</v>
      </c>
      <c r="F11" s="264" t="s">
        <v>2504</v>
      </c>
      <c r="H11" s="1" t="s">
        <v>2495</v>
      </c>
      <c r="I11" s="274" t="s">
        <v>2528</v>
      </c>
      <c r="J11" s="1" t="s">
        <v>16</v>
      </c>
    </row>
    <row r="12" ht="15.75" customHeight="1">
      <c r="A12" s="4"/>
      <c r="B12" s="262" t="s">
        <v>2529</v>
      </c>
      <c r="C12" s="4"/>
      <c r="D12" s="270" t="s">
        <v>2530</v>
      </c>
      <c r="E12" s="266" t="s">
        <v>2531</v>
      </c>
      <c r="F12" s="264" t="s">
        <v>2494</v>
      </c>
      <c r="H12" s="1" t="s">
        <v>2495</v>
      </c>
      <c r="I12" s="214" t="s">
        <v>538</v>
      </c>
      <c r="J12" s="1" t="s">
        <v>201</v>
      </c>
    </row>
    <row r="13" ht="15.75" customHeight="1">
      <c r="A13" s="275"/>
      <c r="B13" s="276" t="s">
        <v>2532</v>
      </c>
      <c r="C13" s="275"/>
      <c r="D13" s="277">
        <v>5.62638893E8</v>
      </c>
      <c r="E13" s="278" t="s">
        <v>2533</v>
      </c>
      <c r="F13" s="279" t="s">
        <v>2534</v>
      </c>
      <c r="G13" s="120"/>
      <c r="H13" s="1" t="s">
        <v>2495</v>
      </c>
      <c r="I13" s="280" t="s">
        <v>2535</v>
      </c>
      <c r="J13" s="120" t="s">
        <v>395</v>
      </c>
      <c r="K13" s="120"/>
      <c r="L13" s="120"/>
      <c r="M13" s="120"/>
      <c r="N13" s="120"/>
      <c r="O13" s="120"/>
      <c r="P13" s="120"/>
      <c r="Q13" s="120"/>
      <c r="R13" s="120"/>
      <c r="S13" s="120"/>
      <c r="T13" s="120"/>
      <c r="U13" s="120"/>
      <c r="V13" s="120"/>
      <c r="W13" s="120"/>
      <c r="X13" s="120"/>
      <c r="Y13" s="120"/>
      <c r="Z13" s="120"/>
      <c r="AA13" s="120"/>
      <c r="AB13" s="120"/>
      <c r="AC13" s="120"/>
      <c r="AD13" s="120"/>
      <c r="AE13" s="120"/>
    </row>
    <row r="14" ht="15.75" customHeight="1">
      <c r="A14" s="4"/>
      <c r="B14" s="262" t="s">
        <v>2536</v>
      </c>
      <c r="C14" s="4"/>
      <c r="D14" s="281" t="s">
        <v>2537</v>
      </c>
      <c r="E14" s="266" t="s">
        <v>2538</v>
      </c>
      <c r="F14" s="264" t="s">
        <v>2494</v>
      </c>
      <c r="H14" s="1" t="s">
        <v>2495</v>
      </c>
      <c r="I14" s="282" t="s">
        <v>2539</v>
      </c>
      <c r="J14" s="1" t="s">
        <v>395</v>
      </c>
    </row>
    <row r="15" ht="15.75" customHeight="1">
      <c r="A15" s="4"/>
      <c r="B15" s="283" t="s">
        <v>2540</v>
      </c>
      <c r="C15" s="4"/>
      <c r="D15" s="281" t="s">
        <v>2541</v>
      </c>
      <c r="E15" s="278" t="s">
        <v>2542</v>
      </c>
      <c r="F15" s="264" t="s">
        <v>2534</v>
      </c>
      <c r="H15" s="1" t="s">
        <v>2543</v>
      </c>
      <c r="I15" s="1" t="s">
        <v>2544</v>
      </c>
      <c r="J15" s="1" t="s">
        <v>2521</v>
      </c>
    </row>
    <row r="16" ht="15.75" customHeight="1">
      <c r="A16" s="4"/>
      <c r="B16" s="262" t="s">
        <v>2545</v>
      </c>
      <c r="C16" s="4"/>
      <c r="D16" s="281" t="s">
        <v>2546</v>
      </c>
      <c r="E16" s="266" t="s">
        <v>2547</v>
      </c>
      <c r="F16" s="264" t="s">
        <v>2494</v>
      </c>
      <c r="H16" s="1" t="s">
        <v>2495</v>
      </c>
      <c r="I16" s="282" t="s">
        <v>2548</v>
      </c>
      <c r="J16" s="1" t="s">
        <v>395</v>
      </c>
    </row>
    <row r="17" ht="15.75" customHeight="1">
      <c r="A17" s="261">
        <v>43345.0</v>
      </c>
      <c r="B17" s="4"/>
      <c r="C17" s="4"/>
      <c r="D17" s="4"/>
      <c r="E17" s="4"/>
      <c r="F17" s="4"/>
    </row>
    <row r="18" ht="15.75" customHeight="1">
      <c r="A18" s="4"/>
      <c r="B18" s="4" t="s">
        <v>2549</v>
      </c>
      <c r="C18" s="4"/>
      <c r="D18" s="265" t="s">
        <v>2550</v>
      </c>
      <c r="E18" s="266" t="s">
        <v>2551</v>
      </c>
      <c r="F18" s="264" t="s">
        <v>2494</v>
      </c>
      <c r="H18" s="1" t="s">
        <v>2552</v>
      </c>
      <c r="I18" s="1" t="s">
        <v>2553</v>
      </c>
      <c r="J18" s="1" t="s">
        <v>2554</v>
      </c>
    </row>
    <row r="19" ht="15.75" customHeight="1">
      <c r="A19" s="4"/>
      <c r="B19" s="262" t="s">
        <v>2555</v>
      </c>
      <c r="C19" s="4"/>
      <c r="D19" s="265" t="s">
        <v>2556</v>
      </c>
      <c r="E19" s="266" t="s">
        <v>2557</v>
      </c>
      <c r="F19" s="264" t="s">
        <v>2494</v>
      </c>
      <c r="H19" s="1" t="s">
        <v>38</v>
      </c>
      <c r="I19" s="214" t="s">
        <v>538</v>
      </c>
    </row>
    <row r="20" ht="15.75" customHeight="1">
      <c r="A20" s="261">
        <v>43346.0</v>
      </c>
      <c r="B20" s="4"/>
      <c r="C20" s="4"/>
      <c r="D20" s="263"/>
      <c r="E20" s="4"/>
      <c r="F20" s="264"/>
    </row>
    <row r="21" ht="15.75" customHeight="1">
      <c r="A21" s="4"/>
      <c r="B21" s="267" t="s">
        <v>2558</v>
      </c>
      <c r="C21" s="4"/>
      <c r="D21" s="265" t="s">
        <v>2559</v>
      </c>
      <c r="E21" s="268" t="s">
        <v>2560</v>
      </c>
      <c r="F21" s="264" t="s">
        <v>2504</v>
      </c>
      <c r="H21" s="1" t="s">
        <v>38</v>
      </c>
      <c r="I21" s="1" t="s">
        <v>2561</v>
      </c>
    </row>
    <row r="22" ht="15.75" customHeight="1">
      <c r="A22" s="261">
        <v>43347.0</v>
      </c>
      <c r="B22" s="262"/>
      <c r="C22" s="4"/>
      <c r="D22" s="263"/>
      <c r="E22" s="262"/>
      <c r="F22" s="264"/>
    </row>
    <row r="23" ht="15.75" customHeight="1">
      <c r="A23" s="4"/>
      <c r="B23" s="262" t="s">
        <v>822</v>
      </c>
      <c r="C23" s="4"/>
      <c r="D23" s="284" t="s">
        <v>2562</v>
      </c>
      <c r="E23" s="266" t="s">
        <v>2563</v>
      </c>
      <c r="F23" s="264" t="s">
        <v>2494</v>
      </c>
      <c r="H23" s="1" t="s">
        <v>38</v>
      </c>
      <c r="I23" s="214" t="s">
        <v>2564</v>
      </c>
      <c r="J23" s="1"/>
    </row>
    <row r="24" ht="15.75" customHeight="1">
      <c r="A24" s="261">
        <v>43348.0</v>
      </c>
      <c r="B24" s="4"/>
      <c r="C24" s="4"/>
      <c r="D24" s="263"/>
      <c r="E24" s="4"/>
      <c r="F24" s="264"/>
    </row>
    <row r="25" ht="15.75" customHeight="1">
      <c r="A25" s="4"/>
      <c r="B25" s="4" t="s">
        <v>2565</v>
      </c>
      <c r="C25" s="4"/>
      <c r="D25" s="285" t="s">
        <v>2566</v>
      </c>
      <c r="E25" s="4" t="s">
        <v>2567</v>
      </c>
      <c r="F25" s="264" t="s">
        <v>2494</v>
      </c>
      <c r="I25" s="1" t="s">
        <v>2568</v>
      </c>
      <c r="J25" s="286" t="s">
        <v>2569</v>
      </c>
      <c r="L25" s="236"/>
    </row>
    <row r="26" ht="15.75" customHeight="1">
      <c r="A26" s="4"/>
      <c r="B26" s="4" t="s">
        <v>1797</v>
      </c>
      <c r="C26" s="4"/>
      <c r="D26" s="287" t="s">
        <v>2570</v>
      </c>
      <c r="E26" s="4" t="s">
        <v>2571</v>
      </c>
      <c r="F26" s="264" t="s">
        <v>2494</v>
      </c>
      <c r="I26" s="1" t="s">
        <v>2572</v>
      </c>
      <c r="J26" s="1" t="s">
        <v>395</v>
      </c>
    </row>
    <row r="27" ht="15.75" customHeight="1">
      <c r="A27" s="288"/>
      <c r="B27" s="289" t="s">
        <v>2573</v>
      </c>
      <c r="C27" s="290"/>
      <c r="D27" s="291" t="s">
        <v>2574</v>
      </c>
      <c r="E27" s="289" t="s">
        <v>2575</v>
      </c>
      <c r="F27" s="292" t="s">
        <v>2494</v>
      </c>
      <c r="G27" s="293"/>
      <c r="H27" s="294" t="s">
        <v>2576</v>
      </c>
      <c r="I27" s="294" t="s">
        <v>2577</v>
      </c>
      <c r="J27" s="295" t="s">
        <v>395</v>
      </c>
      <c r="K27" s="295"/>
      <c r="L27" s="295"/>
      <c r="M27" s="295"/>
      <c r="N27" s="295"/>
      <c r="O27" s="295"/>
      <c r="P27" s="295"/>
      <c r="Q27" s="295"/>
      <c r="R27" s="295"/>
      <c r="S27" s="295"/>
      <c r="T27" s="295"/>
      <c r="U27" s="295"/>
      <c r="V27" s="295"/>
      <c r="W27" s="295"/>
      <c r="X27" s="295"/>
      <c r="Y27" s="295"/>
      <c r="Z27" s="295"/>
      <c r="AA27" s="295"/>
      <c r="AB27" s="295"/>
      <c r="AC27" s="295"/>
      <c r="AD27" s="295"/>
      <c r="AE27" s="295"/>
    </row>
    <row r="28" ht="15.75" customHeight="1">
      <c r="A28" s="4"/>
      <c r="B28" s="4" t="s">
        <v>2578</v>
      </c>
      <c r="C28" s="4"/>
      <c r="D28" s="287" t="s">
        <v>2579</v>
      </c>
      <c r="E28" s="4" t="s">
        <v>2580</v>
      </c>
      <c r="F28" s="296" t="s">
        <v>2534</v>
      </c>
      <c r="H28" s="1" t="s">
        <v>2576</v>
      </c>
      <c r="I28" s="1" t="s">
        <v>2581</v>
      </c>
      <c r="J28" s="1" t="s">
        <v>395</v>
      </c>
    </row>
    <row r="29" ht="15.75" customHeight="1">
      <c r="A29" s="261">
        <v>43349.0</v>
      </c>
      <c r="B29" s="4"/>
      <c r="C29" s="4"/>
      <c r="D29" s="263"/>
      <c r="E29" s="4"/>
      <c r="F29" s="264"/>
    </row>
    <row r="30" ht="15.75" customHeight="1">
      <c r="A30" s="4"/>
      <c r="B30" s="4" t="s">
        <v>2582</v>
      </c>
      <c r="C30" s="4"/>
      <c r="D30" s="265" t="s">
        <v>2583</v>
      </c>
      <c r="E30" s="4" t="s">
        <v>2584</v>
      </c>
      <c r="F30" s="264" t="s">
        <v>222</v>
      </c>
      <c r="H30" s="1" t="s">
        <v>14</v>
      </c>
      <c r="I30" s="89" t="s">
        <v>2585</v>
      </c>
      <c r="J30" s="1" t="s">
        <v>1350</v>
      </c>
    </row>
    <row r="31" ht="15.75" customHeight="1">
      <c r="A31" s="4"/>
      <c r="B31" s="297" t="s">
        <v>2586</v>
      </c>
      <c r="C31" s="4"/>
      <c r="D31" s="270" t="s">
        <v>2587</v>
      </c>
      <c r="E31" s="298" t="s">
        <v>2588</v>
      </c>
      <c r="F31" s="264" t="s">
        <v>548</v>
      </c>
      <c r="H31" s="1" t="s">
        <v>14</v>
      </c>
      <c r="I31" s="1" t="s">
        <v>2589</v>
      </c>
      <c r="J31" s="1" t="s">
        <v>1350</v>
      </c>
    </row>
    <row r="32" ht="15.75" customHeight="1">
      <c r="A32" s="4"/>
      <c r="B32" s="4" t="s">
        <v>2590</v>
      </c>
      <c r="C32" s="4"/>
      <c r="D32" s="270" t="s">
        <v>2591</v>
      </c>
      <c r="E32" s="4" t="s">
        <v>2592</v>
      </c>
      <c r="F32" s="264" t="s">
        <v>0</v>
      </c>
      <c r="H32" s="1" t="s">
        <v>2593</v>
      </c>
      <c r="I32" s="1" t="s">
        <v>2594</v>
      </c>
      <c r="J32" s="1" t="s">
        <v>2595</v>
      </c>
    </row>
    <row r="33" ht="15.75" customHeight="1">
      <c r="A33" s="4"/>
      <c r="B33" s="299" t="s">
        <v>2596</v>
      </c>
      <c r="C33" s="4"/>
      <c r="D33" s="270" t="s">
        <v>2597</v>
      </c>
      <c r="E33" s="299" t="s">
        <v>2598</v>
      </c>
      <c r="F33" s="264" t="s">
        <v>222</v>
      </c>
      <c r="H33" s="1" t="s">
        <v>2576</v>
      </c>
      <c r="I33" s="209" t="s">
        <v>1456</v>
      </c>
      <c r="J33" s="1" t="s">
        <v>395</v>
      </c>
    </row>
    <row r="34" ht="15.75" customHeight="1">
      <c r="A34" s="4"/>
      <c r="B34" s="4" t="s">
        <v>2599</v>
      </c>
      <c r="C34" s="4"/>
      <c r="D34" s="287" t="s">
        <v>2600</v>
      </c>
      <c r="E34" s="4" t="s">
        <v>2601</v>
      </c>
      <c r="F34" s="264" t="s">
        <v>0</v>
      </c>
      <c r="H34" s="1" t="s">
        <v>2593</v>
      </c>
      <c r="I34" s="209" t="s">
        <v>2602</v>
      </c>
      <c r="J34" s="1" t="s">
        <v>300</v>
      </c>
    </row>
    <row r="35" ht="15.75" customHeight="1">
      <c r="A35" s="261">
        <v>43351.0</v>
      </c>
      <c r="B35" s="4"/>
      <c r="C35" s="4"/>
      <c r="D35" s="263"/>
      <c r="E35" s="4"/>
      <c r="F35" s="264"/>
    </row>
    <row r="36" ht="15.75" customHeight="1">
      <c r="A36" s="4"/>
      <c r="B36" s="300" t="s">
        <v>2603</v>
      </c>
      <c r="C36" s="4"/>
      <c r="D36" s="265" t="s">
        <v>2604</v>
      </c>
      <c r="E36" s="266" t="s">
        <v>2605</v>
      </c>
      <c r="F36" s="264" t="s">
        <v>0</v>
      </c>
      <c r="H36" s="1" t="s">
        <v>2576</v>
      </c>
      <c r="I36" s="301" t="s">
        <v>2606</v>
      </c>
      <c r="J36" s="1"/>
      <c r="K36" s="1" t="s">
        <v>2607</v>
      </c>
    </row>
    <row r="37" ht="15.75" customHeight="1">
      <c r="A37" s="4"/>
      <c r="B37" s="302" t="s">
        <v>2608</v>
      </c>
      <c r="C37" s="303"/>
      <c r="D37" s="304" t="s">
        <v>2609</v>
      </c>
      <c r="E37" s="302" t="s">
        <v>2610</v>
      </c>
      <c r="F37" s="264" t="s">
        <v>212</v>
      </c>
      <c r="I37" s="305" t="s">
        <v>2611</v>
      </c>
      <c r="J37" s="1" t="s">
        <v>300</v>
      </c>
    </row>
    <row r="38" ht="15.75" customHeight="1">
      <c r="A38" s="4"/>
      <c r="B38" s="306" t="s">
        <v>2612</v>
      </c>
      <c r="C38" s="303"/>
      <c r="D38" s="307" t="s">
        <v>2613</v>
      </c>
      <c r="E38" s="298" t="s">
        <v>2614</v>
      </c>
      <c r="F38" s="264" t="s">
        <v>548</v>
      </c>
      <c r="H38" s="1" t="s">
        <v>2576</v>
      </c>
      <c r="I38" s="280" t="s">
        <v>2615</v>
      </c>
      <c r="J38" s="1" t="s">
        <v>395</v>
      </c>
    </row>
    <row r="39" ht="15.75" customHeight="1">
      <c r="A39" s="4"/>
      <c r="B39" s="308" t="s">
        <v>2616</v>
      </c>
      <c r="C39" s="303"/>
      <c r="D39" s="309" t="s">
        <v>2617</v>
      </c>
      <c r="E39" s="310" t="s">
        <v>2618</v>
      </c>
      <c r="F39" s="264" t="s">
        <v>2619</v>
      </c>
      <c r="J39" s="1" t="s">
        <v>2620</v>
      </c>
    </row>
    <row r="40" ht="15.75" customHeight="1">
      <c r="A40" s="4"/>
      <c r="B40" s="311" t="s">
        <v>2621</v>
      </c>
      <c r="C40" s="312"/>
      <c r="D40" s="307" t="s">
        <v>2622</v>
      </c>
      <c r="E40" s="299" t="s">
        <v>2623</v>
      </c>
      <c r="F40" s="264" t="s">
        <v>0</v>
      </c>
      <c r="H40" s="1" t="s">
        <v>2576</v>
      </c>
      <c r="I40" s="214" t="s">
        <v>2624</v>
      </c>
      <c r="J40" s="1" t="s">
        <v>300</v>
      </c>
    </row>
    <row r="41" ht="15.75" customHeight="1">
      <c r="A41" s="4"/>
      <c r="B41" s="308" t="s">
        <v>2625</v>
      </c>
      <c r="C41" s="4"/>
      <c r="D41" s="313">
        <f>971555921010</f>
        <v>971555921010</v>
      </c>
      <c r="E41" s="310" t="s">
        <v>2626</v>
      </c>
      <c r="F41" s="264" t="s">
        <v>2619</v>
      </c>
    </row>
    <row r="42" ht="15.75" customHeight="1">
      <c r="A42" s="4"/>
      <c r="B42" s="4" t="s">
        <v>2627</v>
      </c>
      <c r="C42" s="302"/>
      <c r="D42" s="307" t="s">
        <v>2628</v>
      </c>
      <c r="E42" s="303" t="s">
        <v>2629</v>
      </c>
      <c r="F42" s="264" t="s">
        <v>0</v>
      </c>
      <c r="H42" s="1" t="s">
        <v>2576</v>
      </c>
      <c r="I42" s="209" t="s">
        <v>2630</v>
      </c>
      <c r="J42" s="1" t="s">
        <v>300</v>
      </c>
    </row>
    <row r="43" ht="15.75" customHeight="1">
      <c r="A43" s="261">
        <v>43352.0</v>
      </c>
      <c r="B43" s="4"/>
      <c r="C43" s="302"/>
      <c r="D43" s="263"/>
      <c r="E43" s="4"/>
      <c r="F43" s="264"/>
    </row>
    <row r="44" ht="15.75" customHeight="1">
      <c r="A44" s="4"/>
      <c r="B44" s="262" t="s">
        <v>2631</v>
      </c>
      <c r="C44" s="262"/>
      <c r="D44" s="270" t="s">
        <v>2632</v>
      </c>
      <c r="E44" s="266" t="s">
        <v>2633</v>
      </c>
      <c r="F44" s="264"/>
    </row>
    <row r="45" ht="15.75" customHeight="1">
      <c r="A45" s="261">
        <v>43353.0</v>
      </c>
      <c r="B45" s="4"/>
      <c r="C45" s="314"/>
      <c r="D45" s="315"/>
      <c r="E45" s="316"/>
      <c r="F45" s="264"/>
    </row>
    <row r="46" ht="15.75" customHeight="1">
      <c r="A46" s="4"/>
      <c r="B46" s="262" t="s">
        <v>2634</v>
      </c>
      <c r="C46" s="314"/>
      <c r="D46" s="317" t="s">
        <v>2635</v>
      </c>
      <c r="E46" s="266" t="s">
        <v>2636</v>
      </c>
      <c r="F46" s="264" t="s">
        <v>2494</v>
      </c>
      <c r="H46" s="1" t="s">
        <v>2495</v>
      </c>
      <c r="I46" s="1" t="s">
        <v>2637</v>
      </c>
      <c r="J46" s="1" t="s">
        <v>2638</v>
      </c>
    </row>
    <row r="47" ht="15.75" customHeight="1">
      <c r="A47" s="4"/>
      <c r="B47" s="267" t="s">
        <v>2639</v>
      </c>
      <c r="C47" s="314"/>
      <c r="D47" s="317" t="s">
        <v>2640</v>
      </c>
      <c r="E47" s="268" t="s">
        <v>2641</v>
      </c>
      <c r="F47" s="264" t="s">
        <v>2504</v>
      </c>
      <c r="H47" s="1" t="s">
        <v>2543</v>
      </c>
      <c r="I47" s="1" t="s">
        <v>2642</v>
      </c>
    </row>
    <row r="48" ht="15.75" customHeight="1">
      <c r="A48" s="4"/>
      <c r="B48" s="262" t="s">
        <v>2643</v>
      </c>
      <c r="C48" s="314"/>
      <c r="D48" s="318" t="s">
        <v>2644</v>
      </c>
      <c r="E48" s="266" t="s">
        <v>2645</v>
      </c>
      <c r="F48" s="264" t="s">
        <v>2494</v>
      </c>
      <c r="H48" s="1" t="s">
        <v>2495</v>
      </c>
      <c r="I48" s="319" t="s">
        <v>1585</v>
      </c>
      <c r="J48" s="1" t="s">
        <v>16</v>
      </c>
    </row>
    <row r="49" ht="15.75" customHeight="1">
      <c r="A49" s="4"/>
      <c r="B49" s="302" t="s">
        <v>2646</v>
      </c>
      <c r="C49" s="320"/>
      <c r="D49" s="317" t="s">
        <v>2647</v>
      </c>
      <c r="E49" s="316" t="s">
        <v>2648</v>
      </c>
      <c r="F49" s="264" t="s">
        <v>2649</v>
      </c>
      <c r="H49" s="1" t="s">
        <v>2495</v>
      </c>
      <c r="I49" s="1" t="s">
        <v>2650</v>
      </c>
      <c r="J49" s="1" t="s">
        <v>831</v>
      </c>
      <c r="K49" s="321" t="s">
        <v>2651</v>
      </c>
    </row>
    <row r="50" ht="15.75" customHeight="1">
      <c r="A50" s="261">
        <v>43354.0</v>
      </c>
      <c r="B50" s="4"/>
      <c r="C50" s="4"/>
      <c r="D50" s="316"/>
      <c r="E50" s="316"/>
      <c r="F50" s="264"/>
    </row>
    <row r="51" ht="15.75" customHeight="1">
      <c r="A51" s="4"/>
      <c r="B51" s="262" t="s">
        <v>2652</v>
      </c>
      <c r="C51" s="4"/>
      <c r="D51" s="317" t="s">
        <v>2653</v>
      </c>
      <c r="E51" s="266" t="s">
        <v>2654</v>
      </c>
      <c r="F51" s="264" t="s">
        <v>2494</v>
      </c>
      <c r="H51" s="1" t="s">
        <v>2495</v>
      </c>
      <c r="I51" s="1" t="s">
        <v>2655</v>
      </c>
      <c r="J51" s="1" t="s">
        <v>16</v>
      </c>
    </row>
    <row r="52" ht="15.75" customHeight="1">
      <c r="A52" s="261">
        <v>43355.0</v>
      </c>
      <c r="B52" s="4"/>
      <c r="C52" s="4"/>
      <c r="D52" s="263"/>
      <c r="E52" s="4"/>
      <c r="F52" s="264"/>
    </row>
    <row r="53" ht="15.75" customHeight="1">
      <c r="A53" s="261"/>
      <c r="B53" s="322" t="s">
        <v>606</v>
      </c>
      <c r="C53" s="322"/>
      <c r="D53" s="323" t="s">
        <v>2656</v>
      </c>
      <c r="E53" s="324" t="s">
        <v>608</v>
      </c>
      <c r="F53" s="322"/>
      <c r="G53" s="124"/>
      <c r="H53" s="124" t="s">
        <v>2576</v>
      </c>
      <c r="I53" s="124" t="s">
        <v>2657</v>
      </c>
      <c r="J53" s="124" t="s">
        <v>395</v>
      </c>
    </row>
    <row r="54" ht="15.75" customHeight="1">
      <c r="A54" s="261"/>
      <c r="B54" s="4"/>
      <c r="C54" s="4"/>
      <c r="D54" s="313"/>
      <c r="E54" s="4"/>
      <c r="F54" s="264"/>
    </row>
    <row r="55" ht="15.75" customHeight="1">
      <c r="A55" s="261">
        <v>43358.0</v>
      </c>
      <c r="B55" s="325" t="s">
        <v>2658</v>
      </c>
      <c r="C55" s="4"/>
      <c r="D55" s="265" t="s">
        <v>2659</v>
      </c>
      <c r="E55" s="263" t="s">
        <v>2660</v>
      </c>
      <c r="F55" s="264" t="s">
        <v>548</v>
      </c>
      <c r="H55" s="124" t="s">
        <v>2576</v>
      </c>
      <c r="I55" s="286" t="s">
        <v>2661</v>
      </c>
      <c r="J55" s="1" t="s">
        <v>831</v>
      </c>
      <c r="K55" s="326" t="s">
        <v>2662</v>
      </c>
    </row>
    <row r="56" ht="15.75" customHeight="1">
      <c r="A56" s="261">
        <v>43358.0</v>
      </c>
      <c r="B56" s="327" t="s">
        <v>2663</v>
      </c>
      <c r="C56" s="4"/>
      <c r="D56" s="284" t="s">
        <v>2664</v>
      </c>
      <c r="E56" s="268" t="s">
        <v>2665</v>
      </c>
      <c r="F56" s="135" t="s">
        <v>222</v>
      </c>
      <c r="H56" s="124" t="s">
        <v>2576</v>
      </c>
      <c r="I56" s="89" t="s">
        <v>2666</v>
      </c>
      <c r="J56" s="1" t="s">
        <v>831</v>
      </c>
      <c r="K56" s="321" t="s">
        <v>2667</v>
      </c>
    </row>
    <row r="57" ht="15.75" customHeight="1">
      <c r="A57" s="261">
        <v>43358.0</v>
      </c>
      <c r="B57" s="275" t="s">
        <v>2668</v>
      </c>
      <c r="C57" s="4"/>
      <c r="D57" s="265" t="s">
        <v>2669</v>
      </c>
      <c r="E57" s="299" t="s">
        <v>2670</v>
      </c>
      <c r="F57" s="135" t="s">
        <v>548</v>
      </c>
      <c r="H57" s="124" t="s">
        <v>2576</v>
      </c>
      <c r="I57" s="209" t="s">
        <v>2671</v>
      </c>
      <c r="J57" s="1" t="s">
        <v>831</v>
      </c>
      <c r="K57" s="321" t="s">
        <v>2672</v>
      </c>
    </row>
    <row r="58" ht="15.75" customHeight="1">
      <c r="A58" s="261">
        <v>43358.0</v>
      </c>
      <c r="B58" s="299" t="s">
        <v>2673</v>
      </c>
      <c r="C58" s="4"/>
      <c r="D58" s="328" t="s">
        <v>2674</v>
      </c>
      <c r="E58" s="299" t="s">
        <v>2675</v>
      </c>
      <c r="F58" s="299" t="s">
        <v>0</v>
      </c>
      <c r="H58" s="124" t="s">
        <v>14</v>
      </c>
      <c r="I58" s="209" t="s">
        <v>2676</v>
      </c>
      <c r="J58" s="1" t="s">
        <v>300</v>
      </c>
    </row>
    <row r="59" ht="15.75" customHeight="1">
      <c r="A59" s="261">
        <v>43358.0</v>
      </c>
      <c r="B59" s="4" t="s">
        <v>234</v>
      </c>
      <c r="C59" s="4"/>
      <c r="D59" s="287" t="s">
        <v>2511</v>
      </c>
      <c r="E59" s="4" t="s">
        <v>2512</v>
      </c>
      <c r="F59" s="299" t="s">
        <v>222</v>
      </c>
      <c r="H59" s="124" t="s">
        <v>2576</v>
      </c>
      <c r="I59" s="1" t="s">
        <v>2677</v>
      </c>
      <c r="J59" s="1" t="s">
        <v>300</v>
      </c>
    </row>
    <row r="60" ht="15.75" customHeight="1">
      <c r="A60" s="261">
        <v>43358.0</v>
      </c>
      <c r="B60" s="4" t="s">
        <v>2678</v>
      </c>
      <c r="C60" s="4"/>
      <c r="D60" s="287" t="s">
        <v>2679</v>
      </c>
      <c r="E60" s="4" t="s">
        <v>2680</v>
      </c>
      <c r="F60" s="299" t="s">
        <v>0</v>
      </c>
      <c r="H60" s="124" t="s">
        <v>14</v>
      </c>
      <c r="I60" s="209" t="s">
        <v>2681</v>
      </c>
      <c r="J60" s="1" t="s">
        <v>300</v>
      </c>
    </row>
    <row r="61" ht="15.75" customHeight="1">
      <c r="A61" s="261">
        <v>43358.0</v>
      </c>
      <c r="B61" s="4" t="s">
        <v>1797</v>
      </c>
      <c r="C61" s="4"/>
      <c r="D61" s="313"/>
      <c r="E61" s="4" t="s">
        <v>2682</v>
      </c>
      <c r="F61" s="299" t="s">
        <v>2683</v>
      </c>
      <c r="I61" s="209" t="s">
        <v>2684</v>
      </c>
      <c r="J61" s="1" t="s">
        <v>395</v>
      </c>
      <c r="K61" s="1"/>
    </row>
    <row r="62" ht="15.75" customHeight="1">
      <c r="A62" s="261">
        <v>43358.0</v>
      </c>
      <c r="B62" s="4" t="s">
        <v>234</v>
      </c>
      <c r="C62" s="4"/>
      <c r="D62" s="287" t="s">
        <v>2685</v>
      </c>
      <c r="E62" s="4" t="s">
        <v>2686</v>
      </c>
      <c r="F62" s="299" t="s">
        <v>222</v>
      </c>
      <c r="H62" s="1" t="s">
        <v>2576</v>
      </c>
      <c r="I62" s="209" t="s">
        <v>2687</v>
      </c>
      <c r="J62" s="1" t="s">
        <v>395</v>
      </c>
    </row>
    <row r="63" ht="15.75" customHeight="1">
      <c r="A63" s="261">
        <v>43358.0</v>
      </c>
      <c r="B63" s="4" t="s">
        <v>2688</v>
      </c>
      <c r="C63" s="4"/>
      <c r="D63" s="287" t="s">
        <v>2689</v>
      </c>
      <c r="E63" s="4" t="s">
        <v>2690</v>
      </c>
      <c r="F63" s="299" t="s">
        <v>0</v>
      </c>
      <c r="H63" s="1" t="s">
        <v>2691</v>
      </c>
      <c r="J63" s="1" t="s">
        <v>2595</v>
      </c>
    </row>
    <row r="64" ht="15.75" customHeight="1">
      <c r="A64" s="261">
        <v>43358.0</v>
      </c>
      <c r="B64" s="263" t="s">
        <v>2692</v>
      </c>
      <c r="C64" s="4"/>
      <c r="D64" s="265" t="s">
        <v>2693</v>
      </c>
      <c r="E64" s="263" t="s">
        <v>2694</v>
      </c>
      <c r="F64" s="135" t="s">
        <v>212</v>
      </c>
      <c r="H64" s="1" t="s">
        <v>2576</v>
      </c>
      <c r="I64" s="286" t="s">
        <v>2695</v>
      </c>
      <c r="J64" s="1" t="s">
        <v>300</v>
      </c>
    </row>
    <row r="65" ht="15.75" customHeight="1">
      <c r="A65" s="261">
        <v>43359.0</v>
      </c>
      <c r="B65" s="4" t="s">
        <v>2696</v>
      </c>
      <c r="C65" s="4"/>
      <c r="D65" s="287" t="s">
        <v>2697</v>
      </c>
      <c r="E65" s="4" t="s">
        <v>2698</v>
      </c>
      <c r="F65" s="299" t="s">
        <v>0</v>
      </c>
      <c r="H65" s="1" t="s">
        <v>2576</v>
      </c>
      <c r="I65" s="1" t="s">
        <v>2699</v>
      </c>
      <c r="J65" s="1" t="s">
        <v>300</v>
      </c>
    </row>
    <row r="66" ht="15.75" customHeight="1">
      <c r="A66" s="4"/>
      <c r="B66" s="4"/>
      <c r="C66" s="4"/>
      <c r="D66" s="313"/>
      <c r="E66" s="4"/>
      <c r="F66" s="264"/>
      <c r="J66" s="57"/>
    </row>
    <row r="67" ht="15.75" customHeight="1">
      <c r="A67" s="261">
        <v>43360.0</v>
      </c>
      <c r="B67" s="4"/>
      <c r="C67" s="4"/>
      <c r="D67" s="313"/>
      <c r="E67" s="4"/>
      <c r="F67" s="264"/>
    </row>
    <row r="68" ht="15.75" customHeight="1">
      <c r="A68" s="4"/>
      <c r="B68" s="262" t="s">
        <v>2700</v>
      </c>
      <c r="C68" s="4"/>
      <c r="D68" s="287" t="s">
        <v>2701</v>
      </c>
      <c r="E68" s="266" t="s">
        <v>2702</v>
      </c>
      <c r="F68" s="264"/>
      <c r="H68" s="1" t="s">
        <v>2495</v>
      </c>
      <c r="I68" s="214" t="s">
        <v>1787</v>
      </c>
      <c r="J68" s="1" t="s">
        <v>201</v>
      </c>
    </row>
    <row r="69" ht="15.75" customHeight="1">
      <c r="A69" s="4"/>
      <c r="B69" s="283" t="s">
        <v>2703</v>
      </c>
      <c r="C69" s="4"/>
      <c r="D69" s="287" t="s">
        <v>2704</v>
      </c>
      <c r="E69" s="278" t="s">
        <v>2705</v>
      </c>
      <c r="F69" s="264"/>
      <c r="I69" s="220" t="s">
        <v>259</v>
      </c>
      <c r="J69" s="1" t="s">
        <v>16</v>
      </c>
    </row>
    <row r="70" ht="15.75" customHeight="1">
      <c r="A70" s="4"/>
      <c r="B70" s="262" t="s">
        <v>2706</v>
      </c>
      <c r="C70" s="4"/>
      <c r="D70" s="287" t="s">
        <v>2707</v>
      </c>
      <c r="E70" s="266" t="s">
        <v>2708</v>
      </c>
      <c r="F70" s="264"/>
      <c r="H70" s="1" t="s">
        <v>2495</v>
      </c>
      <c r="I70" s="319" t="s">
        <v>2709</v>
      </c>
      <c r="J70" s="1" t="s">
        <v>16</v>
      </c>
    </row>
    <row r="71" ht="15.75" customHeight="1">
      <c r="A71" s="4"/>
      <c r="B71" s="262" t="s">
        <v>2710</v>
      </c>
      <c r="C71" s="4"/>
      <c r="D71" s="287" t="s">
        <v>2711</v>
      </c>
      <c r="E71" s="263" t="s">
        <v>2712</v>
      </c>
      <c r="F71" s="299" t="s">
        <v>1301</v>
      </c>
      <c r="H71" s="1" t="s">
        <v>2543</v>
      </c>
      <c r="I71" s="1" t="s">
        <v>2544</v>
      </c>
      <c r="J71" s="1" t="s">
        <v>2595</v>
      </c>
    </row>
    <row r="72" ht="15.75" customHeight="1">
      <c r="A72" s="4"/>
      <c r="B72" s="302" t="s">
        <v>2713</v>
      </c>
      <c r="C72" s="4"/>
      <c r="D72" s="287" t="s">
        <v>2714</v>
      </c>
      <c r="E72" s="329" t="s">
        <v>2715</v>
      </c>
      <c r="F72" s="264"/>
      <c r="H72" s="1" t="s">
        <v>2495</v>
      </c>
      <c r="I72" s="1" t="s">
        <v>2716</v>
      </c>
      <c r="K72" s="321" t="s">
        <v>2717</v>
      </c>
    </row>
    <row r="73" ht="15.75" customHeight="1">
      <c r="A73" s="4"/>
      <c r="B73" s="302" t="s">
        <v>2718</v>
      </c>
      <c r="C73" s="4" t="s">
        <v>9</v>
      </c>
      <c r="D73" s="265" t="s">
        <v>2719</v>
      </c>
      <c r="E73" s="302"/>
      <c r="F73" s="135" t="s">
        <v>212</v>
      </c>
      <c r="H73" s="1" t="s">
        <v>2495</v>
      </c>
      <c r="I73" s="1" t="s">
        <v>2716</v>
      </c>
      <c r="K73" s="321" t="s">
        <v>2720</v>
      </c>
    </row>
    <row r="74" ht="15.75" customHeight="1">
      <c r="A74" s="4"/>
      <c r="B74" s="262" t="s">
        <v>2721</v>
      </c>
      <c r="C74" s="4"/>
      <c r="D74" s="265" t="s">
        <v>2722</v>
      </c>
      <c r="E74" s="266" t="s">
        <v>2723</v>
      </c>
      <c r="F74" s="299" t="s">
        <v>0</v>
      </c>
      <c r="H74" s="1" t="s">
        <v>2495</v>
      </c>
      <c r="I74" s="1" t="s">
        <v>2724</v>
      </c>
      <c r="J74" s="1" t="s">
        <v>16</v>
      </c>
    </row>
    <row r="75" ht="15.75" customHeight="1">
      <c r="A75" s="261">
        <v>43361.0</v>
      </c>
      <c r="B75" s="4" t="s">
        <v>2725</v>
      </c>
      <c r="C75" s="4"/>
      <c r="D75" s="287" t="s">
        <v>2726</v>
      </c>
      <c r="E75" s="4" t="s">
        <v>2727</v>
      </c>
      <c r="F75" s="299" t="s">
        <v>2728</v>
      </c>
      <c r="H75" s="1" t="s">
        <v>14</v>
      </c>
      <c r="I75" s="1" t="s">
        <v>2729</v>
      </c>
      <c r="J75" s="1" t="s">
        <v>1350</v>
      </c>
    </row>
    <row r="76" ht="15.75" customHeight="1">
      <c r="A76" s="4" t="s">
        <v>2730</v>
      </c>
      <c r="B76" s="263" t="s">
        <v>234</v>
      </c>
      <c r="C76" s="4"/>
      <c r="D76" s="265" t="s">
        <v>2731</v>
      </c>
      <c r="E76" s="263" t="s">
        <v>2732</v>
      </c>
      <c r="F76" s="299" t="s">
        <v>222</v>
      </c>
      <c r="I76" s="286" t="s">
        <v>2733</v>
      </c>
    </row>
    <row r="77" ht="15.75" customHeight="1">
      <c r="A77" s="261">
        <v>43362.0</v>
      </c>
      <c r="B77" s="4"/>
      <c r="C77" s="4"/>
      <c r="D77" s="313"/>
      <c r="E77" s="4"/>
      <c r="F77" s="264"/>
    </row>
    <row r="78" ht="15.75" customHeight="1">
      <c r="A78" s="4"/>
      <c r="B78" s="4" t="s">
        <v>2734</v>
      </c>
      <c r="C78" s="4"/>
      <c r="D78" s="265" t="s">
        <v>2735</v>
      </c>
      <c r="E78" s="268" t="s">
        <v>2736</v>
      </c>
      <c r="F78" s="264" t="s">
        <v>2494</v>
      </c>
      <c r="H78" s="1" t="s">
        <v>2737</v>
      </c>
      <c r="I78" s="214" t="s">
        <v>2738</v>
      </c>
      <c r="J78" s="57" t="s">
        <v>16</v>
      </c>
    </row>
    <row r="79" ht="15.75" customHeight="1">
      <c r="A79" s="4"/>
      <c r="B79" s="267" t="s">
        <v>2739</v>
      </c>
      <c r="C79" s="4"/>
      <c r="D79" s="265" t="s">
        <v>2740</v>
      </c>
      <c r="E79" s="268" t="s">
        <v>2741</v>
      </c>
      <c r="F79" s="264" t="s">
        <v>2504</v>
      </c>
      <c r="I79" s="213" t="s">
        <v>2742</v>
      </c>
      <c r="J79" s="57" t="s">
        <v>401</v>
      </c>
    </row>
    <row r="80" ht="15.75" customHeight="1">
      <c r="A80" s="4"/>
      <c r="B80" s="267" t="s">
        <v>2743</v>
      </c>
      <c r="C80" s="4"/>
      <c r="D80" s="265" t="s">
        <v>2744</v>
      </c>
      <c r="E80" s="268" t="s">
        <v>2745</v>
      </c>
      <c r="F80" s="264" t="s">
        <v>2494</v>
      </c>
      <c r="I80" s="1" t="s">
        <v>2544</v>
      </c>
      <c r="J80" s="57" t="s">
        <v>2746</v>
      </c>
    </row>
    <row r="81" ht="15.75" customHeight="1">
      <c r="A81" s="4"/>
      <c r="B81" s="4" t="s">
        <v>2747</v>
      </c>
      <c r="C81" s="4"/>
      <c r="D81" s="287" t="s">
        <v>2748</v>
      </c>
      <c r="E81" s="4" t="s">
        <v>2749</v>
      </c>
      <c r="F81" s="299" t="s">
        <v>1301</v>
      </c>
      <c r="I81" s="1" t="s">
        <v>2750</v>
      </c>
      <c r="J81" s="57" t="s">
        <v>401</v>
      </c>
    </row>
    <row r="82" ht="15.75" customHeight="1">
      <c r="A82" s="261">
        <v>43363.0</v>
      </c>
      <c r="B82" s="263" t="s">
        <v>2751</v>
      </c>
      <c r="C82" s="4"/>
      <c r="D82" s="265" t="s">
        <v>2752</v>
      </c>
      <c r="E82" s="4"/>
      <c r="F82" s="299" t="s">
        <v>330</v>
      </c>
      <c r="J82" s="57" t="s">
        <v>401</v>
      </c>
    </row>
    <row r="83" ht="15.75" customHeight="1">
      <c r="A83" s="261">
        <v>43367.0</v>
      </c>
      <c r="B83" s="4" t="s">
        <v>234</v>
      </c>
      <c r="C83" s="4" t="s">
        <v>300</v>
      </c>
      <c r="D83" s="287" t="s">
        <v>2753</v>
      </c>
      <c r="E83" s="4" t="s">
        <v>2754</v>
      </c>
      <c r="F83" s="299" t="s">
        <v>2755</v>
      </c>
      <c r="I83" s="1" t="s">
        <v>973</v>
      </c>
    </row>
    <row r="84" ht="15.75" customHeight="1">
      <c r="A84" s="261">
        <v>43370.0</v>
      </c>
      <c r="B84" s="4" t="s">
        <v>2756</v>
      </c>
      <c r="C84" s="4" t="s">
        <v>2757</v>
      </c>
      <c r="D84" s="287" t="s">
        <v>2758</v>
      </c>
      <c r="E84" s="4"/>
      <c r="F84" s="299" t="s">
        <v>2755</v>
      </c>
      <c r="I84" s="1" t="s">
        <v>2759</v>
      </c>
    </row>
    <row r="85" ht="15.75" customHeight="1">
      <c r="A85" s="261">
        <v>43372.0</v>
      </c>
      <c r="B85" s="4"/>
      <c r="C85" s="4" t="s">
        <v>395</v>
      </c>
      <c r="D85" s="287" t="s">
        <v>2760</v>
      </c>
      <c r="E85" s="4" t="s">
        <v>2761</v>
      </c>
      <c r="F85" s="264" t="s">
        <v>829</v>
      </c>
      <c r="I85" s="102" t="s">
        <v>2762</v>
      </c>
    </row>
    <row r="86" ht="15.75" customHeight="1">
      <c r="A86" s="261">
        <v>43372.0</v>
      </c>
      <c r="B86" s="4" t="s">
        <v>2763</v>
      </c>
      <c r="C86" s="4" t="s">
        <v>395</v>
      </c>
      <c r="D86" s="287" t="s">
        <v>2764</v>
      </c>
      <c r="E86" s="4" t="s">
        <v>2765</v>
      </c>
      <c r="F86" s="264" t="s">
        <v>829</v>
      </c>
    </row>
    <row r="87" ht="15.75" customHeight="1">
      <c r="A87" s="330">
        <v>43373.0</v>
      </c>
      <c r="B87" s="306" t="s">
        <v>1902</v>
      </c>
      <c r="C87" s="4" t="s">
        <v>300</v>
      </c>
      <c r="D87" s="331" t="s">
        <v>2766</v>
      </c>
      <c r="E87" s="4" t="s">
        <v>2767</v>
      </c>
      <c r="F87" s="299" t="s">
        <v>1301</v>
      </c>
      <c r="I87" s="89"/>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D91" s="286"/>
      <c r="F91" s="236"/>
      <c r="I91" s="217"/>
    </row>
    <row r="92" ht="15.75" customHeight="1">
      <c r="B92" s="332"/>
      <c r="C92" s="221"/>
      <c r="D92" s="286"/>
      <c r="F92" s="236"/>
    </row>
    <row r="93" ht="15.75" customHeight="1">
      <c r="B93" s="332"/>
      <c r="C93" s="221"/>
      <c r="D93" s="286"/>
      <c r="F93" s="236"/>
    </row>
    <row r="94" ht="15.75" customHeight="1">
      <c r="B94" s="332"/>
      <c r="C94" s="218"/>
      <c r="D94" s="286"/>
      <c r="F94" s="236"/>
    </row>
    <row r="95" ht="15.75" customHeight="1">
      <c r="D95" s="286"/>
      <c r="F95" s="236"/>
    </row>
    <row r="96" ht="15.75" customHeight="1">
      <c r="D96" s="286"/>
      <c r="F96" s="236"/>
    </row>
    <row r="97" ht="15.75" customHeight="1">
      <c r="D97" s="286"/>
      <c r="F97" s="236"/>
    </row>
    <row r="98" ht="15.75" customHeight="1">
      <c r="D98" s="286"/>
      <c r="F98" s="236"/>
    </row>
    <row r="99" ht="15.75" customHeight="1">
      <c r="D99" s="286"/>
      <c r="F99" s="236"/>
    </row>
    <row r="100" ht="15.75" customHeight="1">
      <c r="D100" s="286"/>
      <c r="F100" s="236"/>
    </row>
    <row r="101" ht="15.75" customHeight="1">
      <c r="D101" s="286"/>
      <c r="F101" s="236"/>
    </row>
    <row r="102" ht="15.75" customHeight="1">
      <c r="D102" s="286"/>
      <c r="F102" s="236"/>
    </row>
    <row r="103" ht="15.75" customHeight="1">
      <c r="D103" s="286"/>
      <c r="F103" s="236"/>
    </row>
    <row r="104" ht="15.75" customHeight="1">
      <c r="D104" s="286"/>
      <c r="F104" s="236"/>
    </row>
    <row r="105" ht="15.75" customHeight="1">
      <c r="D105" s="286"/>
      <c r="F105" s="236"/>
    </row>
    <row r="106" ht="15.75" customHeight="1">
      <c r="D106" s="286"/>
      <c r="F106" s="236"/>
    </row>
    <row r="107" ht="15.75" customHeight="1">
      <c r="D107" s="286"/>
      <c r="F107" s="236"/>
    </row>
    <row r="108" ht="15.75" customHeight="1">
      <c r="D108" s="286"/>
      <c r="F108" s="236"/>
    </row>
    <row r="109" ht="15.75" customHeight="1">
      <c r="D109" s="286"/>
      <c r="F109" s="236"/>
    </row>
    <row r="110" ht="15.75" customHeight="1">
      <c r="D110" s="286"/>
      <c r="F110" s="236"/>
    </row>
    <row r="111" ht="15.75" customHeight="1">
      <c r="D111" s="286"/>
      <c r="F111" s="236"/>
    </row>
    <row r="112" ht="15.75" customHeight="1">
      <c r="D112" s="286"/>
      <c r="F112" s="236"/>
    </row>
    <row r="113" ht="15.75" customHeight="1">
      <c r="D113" s="286"/>
      <c r="F113" s="236"/>
    </row>
    <row r="114" ht="15.75" customHeight="1">
      <c r="D114" s="286"/>
      <c r="F114" s="236"/>
    </row>
    <row r="115" ht="15.75" customHeight="1">
      <c r="D115" s="286"/>
      <c r="F115" s="236"/>
    </row>
    <row r="116" ht="15.75" customHeight="1">
      <c r="D116" s="286"/>
      <c r="F116" s="236"/>
    </row>
    <row r="117" ht="15.75" customHeight="1">
      <c r="D117" s="286"/>
      <c r="F117" s="236"/>
    </row>
    <row r="118" ht="15.75" customHeight="1">
      <c r="D118" s="286"/>
      <c r="F118" s="236"/>
    </row>
    <row r="119" ht="15.75" customHeight="1">
      <c r="D119" s="286"/>
      <c r="F119" s="236"/>
    </row>
    <row r="120" ht="15.75" customHeight="1">
      <c r="D120" s="286"/>
      <c r="F120" s="236"/>
    </row>
    <row r="121" ht="15.75" customHeight="1">
      <c r="D121" s="286"/>
      <c r="F121" s="236"/>
    </row>
    <row r="122" ht="15.75" customHeight="1">
      <c r="D122" s="286"/>
      <c r="F122" s="236"/>
    </row>
    <row r="123" ht="15.75" customHeight="1">
      <c r="D123" s="286"/>
      <c r="F123" s="236"/>
    </row>
    <row r="124" ht="15.75" customHeight="1">
      <c r="D124" s="286"/>
      <c r="F124" s="236"/>
    </row>
    <row r="125" ht="15.75" customHeight="1">
      <c r="D125" s="286"/>
      <c r="F125" s="236"/>
    </row>
    <row r="126" ht="15.75" customHeight="1">
      <c r="D126" s="286"/>
      <c r="F126" s="236"/>
    </row>
    <row r="127" ht="15.75" customHeight="1">
      <c r="D127" s="286"/>
      <c r="F127" s="236"/>
    </row>
    <row r="128" ht="15.75" customHeight="1">
      <c r="D128" s="286"/>
      <c r="F128" s="236"/>
    </row>
    <row r="129" ht="15.75" customHeight="1">
      <c r="D129" s="286"/>
      <c r="F129" s="236"/>
    </row>
    <row r="130" ht="15.75" customHeight="1">
      <c r="D130" s="286"/>
      <c r="F130" s="236"/>
    </row>
    <row r="131" ht="15.75" customHeight="1">
      <c r="D131" s="286"/>
      <c r="F131" s="236"/>
    </row>
    <row r="132" ht="15.75" customHeight="1">
      <c r="D132" s="286"/>
      <c r="F132" s="236"/>
    </row>
    <row r="133" ht="15.75" customHeight="1">
      <c r="D133" s="286"/>
      <c r="F133" s="236"/>
    </row>
    <row r="134" ht="15.75" customHeight="1">
      <c r="D134" s="286"/>
      <c r="F134" s="236"/>
    </row>
    <row r="135" ht="15.75" customHeight="1">
      <c r="D135" s="286"/>
      <c r="F135" s="236"/>
    </row>
    <row r="136" ht="15.75" customHeight="1">
      <c r="D136" s="286"/>
      <c r="F136" s="236"/>
    </row>
    <row r="137" ht="15.75" customHeight="1">
      <c r="D137" s="286"/>
      <c r="F137" s="236"/>
    </row>
    <row r="138" ht="15.75" customHeight="1">
      <c r="D138" s="286"/>
      <c r="F138" s="236"/>
    </row>
    <row r="139" ht="15.75" customHeight="1">
      <c r="D139" s="286"/>
      <c r="F139" s="236"/>
    </row>
    <row r="140" ht="15.75" customHeight="1">
      <c r="D140" s="286"/>
      <c r="F140" s="236"/>
    </row>
    <row r="141" ht="15.75" customHeight="1">
      <c r="D141" s="286"/>
      <c r="F141" s="236"/>
    </row>
    <row r="142" ht="15.75" customHeight="1">
      <c r="D142" s="286"/>
      <c r="F142" s="236"/>
    </row>
    <row r="143" ht="15.75" customHeight="1">
      <c r="D143" s="286"/>
      <c r="F143" s="236"/>
    </row>
    <row r="144" ht="15.75" customHeight="1">
      <c r="D144" s="286"/>
      <c r="F144" s="236"/>
    </row>
    <row r="145" ht="15.75" customHeight="1">
      <c r="D145" s="286"/>
      <c r="F145" s="236"/>
    </row>
    <row r="146" ht="15.75" customHeight="1">
      <c r="D146" s="286"/>
      <c r="F146" s="236"/>
    </row>
    <row r="147" ht="15.75" customHeight="1">
      <c r="D147" s="286"/>
      <c r="F147" s="236"/>
    </row>
    <row r="148" ht="15.75" customHeight="1">
      <c r="D148" s="286"/>
      <c r="F148" s="236"/>
    </row>
    <row r="149" ht="15.75" customHeight="1">
      <c r="D149" s="286"/>
      <c r="F149" s="236"/>
    </row>
    <row r="150" ht="15.75" customHeight="1">
      <c r="D150" s="286"/>
      <c r="F150" s="236"/>
    </row>
    <row r="151" ht="15.75" customHeight="1">
      <c r="D151" s="286"/>
      <c r="F151" s="236"/>
    </row>
    <row r="152" ht="15.75" customHeight="1">
      <c r="D152" s="286"/>
      <c r="F152" s="236"/>
    </row>
    <row r="153" ht="15.75" customHeight="1">
      <c r="D153" s="286"/>
      <c r="F153" s="236"/>
    </row>
    <row r="154" ht="15.75" customHeight="1">
      <c r="D154" s="286"/>
      <c r="F154" s="236"/>
    </row>
    <row r="155" ht="15.75" customHeight="1">
      <c r="D155" s="286"/>
      <c r="F155" s="236"/>
    </row>
    <row r="156" ht="15.75" customHeight="1">
      <c r="D156" s="286"/>
      <c r="F156" s="236"/>
    </row>
    <row r="157" ht="15.75" customHeight="1">
      <c r="D157" s="286"/>
      <c r="F157" s="236"/>
    </row>
    <row r="158" ht="15.75" customHeight="1">
      <c r="D158" s="286"/>
      <c r="F158" s="236"/>
    </row>
    <row r="159" ht="15.75" customHeight="1">
      <c r="D159" s="286"/>
      <c r="F159" s="236"/>
    </row>
    <row r="160" ht="15.75" customHeight="1">
      <c r="D160" s="286"/>
      <c r="F160" s="236"/>
    </row>
    <row r="161" ht="15.75" customHeight="1">
      <c r="D161" s="286"/>
      <c r="F161" s="236"/>
    </row>
    <row r="162" ht="15.75" customHeight="1">
      <c r="D162" s="286"/>
      <c r="F162" s="236"/>
    </row>
    <row r="163" ht="15.75" customHeight="1">
      <c r="D163" s="286"/>
      <c r="F163" s="236"/>
    </row>
    <row r="164" ht="15.75" customHeight="1">
      <c r="D164" s="286"/>
      <c r="F164" s="236"/>
    </row>
    <row r="165" ht="15.75" customHeight="1">
      <c r="D165" s="286"/>
      <c r="F165" s="236"/>
    </row>
    <row r="166" ht="15.75" customHeight="1">
      <c r="D166" s="286"/>
      <c r="F166" s="236"/>
    </row>
    <row r="167" ht="15.75" customHeight="1">
      <c r="D167" s="286"/>
      <c r="F167" s="236"/>
    </row>
    <row r="168" ht="15.75" customHeight="1">
      <c r="D168" s="286"/>
      <c r="F168" s="236"/>
    </row>
    <row r="169" ht="15.75" customHeight="1">
      <c r="D169" s="286"/>
      <c r="F169" s="236"/>
    </row>
    <row r="170" ht="15.75" customHeight="1">
      <c r="D170" s="286"/>
      <c r="F170" s="236"/>
    </row>
    <row r="171" ht="15.75" customHeight="1">
      <c r="D171" s="286"/>
      <c r="F171" s="236"/>
    </row>
    <row r="172" ht="15.75" customHeight="1">
      <c r="D172" s="286"/>
      <c r="F172" s="236"/>
    </row>
    <row r="173" ht="15.75" customHeight="1">
      <c r="D173" s="286"/>
      <c r="F173" s="236"/>
    </row>
    <row r="174" ht="15.75" customHeight="1">
      <c r="D174" s="286"/>
      <c r="F174" s="236"/>
    </row>
    <row r="175" ht="15.75" customHeight="1">
      <c r="D175" s="286"/>
      <c r="F175" s="236"/>
    </row>
    <row r="176" ht="15.75" customHeight="1">
      <c r="D176" s="286"/>
      <c r="F176" s="236"/>
    </row>
    <row r="177" ht="15.75" customHeight="1">
      <c r="D177" s="286"/>
      <c r="F177" s="236"/>
    </row>
    <row r="178" ht="15.75" customHeight="1">
      <c r="D178" s="286"/>
      <c r="F178" s="236"/>
    </row>
    <row r="179" ht="15.75" customHeight="1">
      <c r="D179" s="286"/>
      <c r="F179" s="236"/>
    </row>
    <row r="180" ht="15.75" customHeight="1">
      <c r="D180" s="286"/>
      <c r="F180" s="236"/>
    </row>
    <row r="181" ht="15.75" customHeight="1">
      <c r="D181" s="286"/>
      <c r="F181" s="236"/>
    </row>
    <row r="182" ht="15.75" customHeight="1">
      <c r="D182" s="286"/>
      <c r="F182" s="236"/>
    </row>
    <row r="183" ht="15.75" customHeight="1">
      <c r="D183" s="286"/>
      <c r="F183" s="236"/>
    </row>
    <row r="184" ht="15.75" customHeight="1">
      <c r="D184" s="286"/>
      <c r="F184" s="236"/>
    </row>
    <row r="185" ht="15.75" customHeight="1">
      <c r="D185" s="286"/>
      <c r="F185" s="236"/>
    </row>
    <row r="186" ht="15.75" customHeight="1">
      <c r="D186" s="286"/>
      <c r="F186" s="236"/>
    </row>
    <row r="187" ht="15.75" customHeight="1">
      <c r="D187" s="286"/>
      <c r="F187" s="236"/>
    </row>
    <row r="188" ht="15.75" customHeight="1">
      <c r="D188" s="286"/>
      <c r="F188" s="236"/>
    </row>
    <row r="189" ht="15.75" customHeight="1">
      <c r="D189" s="286"/>
      <c r="F189" s="236"/>
    </row>
    <row r="190" ht="15.75" customHeight="1">
      <c r="D190" s="286"/>
      <c r="F190" s="236"/>
    </row>
    <row r="191" ht="15.75" customHeight="1">
      <c r="D191" s="286"/>
      <c r="F191" s="236"/>
    </row>
    <row r="192" ht="15.75" customHeight="1">
      <c r="D192" s="286"/>
      <c r="F192" s="236"/>
    </row>
    <row r="193" ht="15.75" customHeight="1">
      <c r="D193" s="286"/>
      <c r="F193" s="236"/>
    </row>
    <row r="194" ht="15.75" customHeight="1">
      <c r="D194" s="286"/>
      <c r="F194" s="236"/>
    </row>
    <row r="195" ht="15.75" customHeight="1">
      <c r="D195" s="286"/>
      <c r="F195" s="236"/>
    </row>
    <row r="196" ht="15.75" customHeight="1">
      <c r="D196" s="286"/>
      <c r="F196" s="236"/>
    </row>
    <row r="197" ht="15.75" customHeight="1">
      <c r="D197" s="286"/>
      <c r="F197" s="236"/>
    </row>
    <row r="198" ht="15.75" customHeight="1">
      <c r="D198" s="286"/>
      <c r="F198" s="236"/>
    </row>
    <row r="199" ht="15.75" customHeight="1">
      <c r="D199" s="286"/>
      <c r="F199" s="236"/>
    </row>
    <row r="200" ht="15.75" customHeight="1">
      <c r="D200" s="286"/>
      <c r="F200" s="236"/>
    </row>
    <row r="201" ht="15.75" customHeight="1">
      <c r="D201" s="286"/>
      <c r="F201" s="236"/>
    </row>
    <row r="202" ht="15.75" customHeight="1">
      <c r="D202" s="286"/>
      <c r="F202" s="236"/>
    </row>
    <row r="203" ht="15.75" customHeight="1">
      <c r="D203" s="286"/>
      <c r="F203" s="236"/>
    </row>
    <row r="204" ht="15.75" customHeight="1">
      <c r="D204" s="286"/>
      <c r="F204" s="236"/>
    </row>
    <row r="205" ht="15.75" customHeight="1">
      <c r="D205" s="286"/>
      <c r="F205" s="236"/>
    </row>
    <row r="206" ht="15.75" customHeight="1">
      <c r="D206" s="286"/>
      <c r="F206" s="236"/>
    </row>
    <row r="207" ht="15.75" customHeight="1">
      <c r="D207" s="286"/>
      <c r="F207" s="236"/>
    </row>
    <row r="208" ht="15.75" customHeight="1">
      <c r="D208" s="286"/>
      <c r="F208" s="236"/>
    </row>
    <row r="209" ht="15.75" customHeight="1">
      <c r="D209" s="286"/>
      <c r="F209" s="236"/>
    </row>
    <row r="210" ht="15.75" customHeight="1">
      <c r="D210" s="286"/>
      <c r="F210" s="236"/>
    </row>
    <row r="211" ht="15.75" customHeight="1">
      <c r="D211" s="286"/>
      <c r="F211" s="236"/>
    </row>
    <row r="212" ht="15.75" customHeight="1">
      <c r="D212" s="286"/>
      <c r="F212" s="236"/>
    </row>
    <row r="213" ht="15.75" customHeight="1">
      <c r="D213" s="286"/>
      <c r="F213" s="236"/>
    </row>
    <row r="214" ht="15.75" customHeight="1">
      <c r="D214" s="286"/>
      <c r="F214" s="236"/>
    </row>
    <row r="215" ht="15.75" customHeight="1">
      <c r="D215" s="286"/>
      <c r="F215" s="236"/>
    </row>
    <row r="216" ht="15.75" customHeight="1">
      <c r="D216" s="286"/>
      <c r="F216" s="236"/>
    </row>
    <row r="217" ht="15.75" customHeight="1">
      <c r="D217" s="286"/>
      <c r="F217" s="236"/>
    </row>
    <row r="218" ht="15.75" customHeight="1">
      <c r="D218" s="286"/>
      <c r="F218" s="236"/>
    </row>
    <row r="219" ht="15.75" customHeight="1">
      <c r="D219" s="286"/>
      <c r="F219" s="236"/>
    </row>
    <row r="220" ht="15.75" customHeight="1">
      <c r="D220" s="286"/>
      <c r="F220" s="236"/>
    </row>
    <row r="221" ht="15.75" customHeight="1">
      <c r="D221" s="286"/>
      <c r="F221" s="236"/>
    </row>
    <row r="222" ht="15.75" customHeight="1">
      <c r="D222" s="286"/>
      <c r="F222" s="236"/>
    </row>
    <row r="223" ht="15.75" customHeight="1">
      <c r="D223" s="286"/>
      <c r="F223" s="236"/>
    </row>
    <row r="224" ht="15.75" customHeight="1">
      <c r="D224" s="286"/>
      <c r="F224" s="236"/>
    </row>
    <row r="225" ht="15.75" customHeight="1">
      <c r="D225" s="286"/>
      <c r="F225" s="236"/>
    </row>
    <row r="226" ht="15.75" customHeight="1">
      <c r="D226" s="286"/>
      <c r="F226" s="236"/>
    </row>
    <row r="227" ht="15.75" customHeight="1">
      <c r="D227" s="286"/>
      <c r="F227" s="236"/>
    </row>
    <row r="228" ht="15.75" customHeight="1">
      <c r="D228" s="286"/>
      <c r="F228" s="236"/>
    </row>
    <row r="229" ht="15.75" customHeight="1">
      <c r="D229" s="286"/>
      <c r="F229" s="236"/>
    </row>
    <row r="230" ht="15.75" customHeight="1">
      <c r="D230" s="286"/>
      <c r="F230" s="236"/>
    </row>
    <row r="231" ht="15.75" customHeight="1">
      <c r="D231" s="286"/>
      <c r="F231" s="236"/>
    </row>
    <row r="232" ht="15.75" customHeight="1">
      <c r="D232" s="286"/>
      <c r="F232" s="236"/>
    </row>
    <row r="233" ht="15.75" customHeight="1">
      <c r="D233" s="286"/>
      <c r="F233" s="236"/>
    </row>
    <row r="234" ht="15.75" customHeight="1">
      <c r="D234" s="286"/>
      <c r="F234" s="236"/>
    </row>
    <row r="235" ht="15.75" customHeight="1">
      <c r="D235" s="286"/>
      <c r="F235" s="236"/>
    </row>
    <row r="236" ht="15.75" customHeight="1">
      <c r="D236" s="286"/>
      <c r="F236" s="236"/>
    </row>
    <row r="237" ht="15.75" customHeight="1">
      <c r="D237" s="286"/>
      <c r="F237" s="236"/>
    </row>
    <row r="238" ht="15.75" customHeight="1">
      <c r="D238" s="286"/>
      <c r="F238" s="236"/>
    </row>
    <row r="239" ht="15.75" customHeight="1">
      <c r="D239" s="286"/>
      <c r="F239" s="236"/>
    </row>
    <row r="240" ht="15.75" customHeight="1">
      <c r="D240" s="286"/>
      <c r="F240" s="236"/>
    </row>
    <row r="241" ht="15.75" customHeight="1">
      <c r="D241" s="286"/>
      <c r="F241" s="236"/>
    </row>
    <row r="242" ht="15.75" customHeight="1">
      <c r="D242" s="286"/>
      <c r="F242" s="236"/>
    </row>
    <row r="243" ht="15.75" customHeight="1">
      <c r="D243" s="286"/>
      <c r="F243" s="236"/>
    </row>
    <row r="244" ht="15.75" customHeight="1">
      <c r="D244" s="286"/>
      <c r="F244" s="236"/>
    </row>
    <row r="245" ht="15.75" customHeight="1">
      <c r="D245" s="286"/>
      <c r="F245" s="236"/>
    </row>
    <row r="246" ht="15.75" customHeight="1">
      <c r="D246" s="286"/>
      <c r="F246" s="236"/>
    </row>
    <row r="247" ht="15.75" customHeight="1">
      <c r="D247" s="286"/>
      <c r="F247" s="236"/>
    </row>
    <row r="248" ht="15.75" customHeight="1">
      <c r="D248" s="286"/>
      <c r="F248" s="236"/>
    </row>
    <row r="249" ht="15.75" customHeight="1">
      <c r="D249" s="286"/>
      <c r="F249" s="236"/>
    </row>
    <row r="250" ht="15.75" customHeight="1">
      <c r="D250" s="286"/>
      <c r="F250" s="236"/>
    </row>
    <row r="251" ht="15.75" customHeight="1">
      <c r="D251" s="286"/>
      <c r="F251" s="236"/>
    </row>
    <row r="252" ht="15.75" customHeight="1">
      <c r="D252" s="286"/>
      <c r="F252" s="236"/>
    </row>
    <row r="253" ht="15.75" customHeight="1">
      <c r="D253" s="286"/>
      <c r="F253" s="236"/>
    </row>
    <row r="254" ht="15.75" customHeight="1">
      <c r="D254" s="286"/>
      <c r="F254" s="236"/>
    </row>
    <row r="255" ht="15.75" customHeight="1">
      <c r="D255" s="286"/>
      <c r="F255" s="236"/>
    </row>
    <row r="256" ht="15.75" customHeight="1">
      <c r="D256" s="286"/>
      <c r="F256" s="236"/>
    </row>
    <row r="257" ht="15.75" customHeight="1">
      <c r="D257" s="286"/>
      <c r="F257" s="236"/>
    </row>
    <row r="258" ht="15.75" customHeight="1">
      <c r="D258" s="286"/>
      <c r="F258" s="236"/>
    </row>
    <row r="259" ht="15.75" customHeight="1">
      <c r="D259" s="286"/>
      <c r="F259" s="236"/>
    </row>
    <row r="260" ht="15.75" customHeight="1">
      <c r="D260" s="286"/>
      <c r="F260" s="236"/>
    </row>
    <row r="261" ht="15.75" customHeight="1">
      <c r="D261" s="286"/>
      <c r="F261" s="236"/>
    </row>
    <row r="262" ht="15.75" customHeight="1">
      <c r="D262" s="286"/>
      <c r="F262" s="236"/>
    </row>
    <row r="263" ht="15.75" customHeight="1">
      <c r="D263" s="286"/>
      <c r="F263" s="236"/>
    </row>
    <row r="264" ht="15.75" customHeight="1">
      <c r="D264" s="286"/>
      <c r="F264" s="236"/>
    </row>
    <row r="265" ht="15.75" customHeight="1">
      <c r="D265" s="286"/>
      <c r="F265" s="236"/>
    </row>
    <row r="266" ht="15.75" customHeight="1">
      <c r="D266" s="286"/>
      <c r="F266" s="236"/>
    </row>
    <row r="267" ht="15.75" customHeight="1">
      <c r="D267" s="286"/>
      <c r="F267" s="236"/>
    </row>
    <row r="268" ht="15.75" customHeight="1">
      <c r="D268" s="286"/>
      <c r="F268" s="236"/>
    </row>
    <row r="269" ht="15.75" customHeight="1">
      <c r="D269" s="286"/>
      <c r="F269" s="236"/>
    </row>
    <row r="270" ht="15.75" customHeight="1">
      <c r="D270" s="286"/>
      <c r="F270" s="236"/>
    </row>
    <row r="271" ht="15.75" customHeight="1">
      <c r="D271" s="286"/>
      <c r="F271" s="236"/>
    </row>
    <row r="272" ht="15.75" customHeight="1">
      <c r="D272" s="286"/>
      <c r="F272" s="236"/>
    </row>
    <row r="273" ht="15.75" customHeight="1">
      <c r="D273" s="286"/>
      <c r="F273" s="236"/>
    </row>
    <row r="274" ht="15.75" customHeight="1">
      <c r="D274" s="286"/>
      <c r="F274" s="236"/>
    </row>
    <row r="275" ht="15.75" customHeight="1">
      <c r="D275" s="286"/>
      <c r="F275" s="236"/>
    </row>
    <row r="276" ht="15.75" customHeight="1">
      <c r="D276" s="286"/>
      <c r="F276" s="236"/>
    </row>
    <row r="277" ht="15.75" customHeight="1">
      <c r="D277" s="286"/>
      <c r="F277" s="236"/>
    </row>
    <row r="278" ht="15.75" customHeight="1">
      <c r="D278" s="286"/>
      <c r="F278" s="236"/>
    </row>
    <row r="279" ht="15.75" customHeight="1">
      <c r="D279" s="286"/>
      <c r="F279" s="236"/>
    </row>
    <row r="280" ht="15.75" customHeight="1">
      <c r="D280" s="286"/>
      <c r="F280" s="236"/>
    </row>
    <row r="281" ht="15.75" customHeight="1">
      <c r="D281" s="286"/>
      <c r="F281" s="236"/>
    </row>
    <row r="282" ht="15.75" customHeight="1">
      <c r="D282" s="286"/>
      <c r="F282" s="236"/>
    </row>
    <row r="283" ht="15.75" customHeight="1">
      <c r="D283" s="286"/>
      <c r="F283" s="236"/>
    </row>
    <row r="284" ht="15.75" customHeight="1">
      <c r="D284" s="286"/>
      <c r="F284" s="236"/>
    </row>
    <row r="285" ht="15.75" customHeight="1">
      <c r="D285" s="286"/>
      <c r="F285" s="236"/>
    </row>
    <row r="286" ht="15.75" customHeight="1">
      <c r="D286" s="286"/>
      <c r="F286" s="236"/>
    </row>
    <row r="287" ht="15.75" customHeight="1">
      <c r="D287" s="286"/>
      <c r="F287" s="236"/>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8"/>
    <hyperlink r:id="rId16" ref="E19"/>
    <hyperlink r:id="rId17" ref="E21"/>
    <hyperlink r:id="rId18" ref="E23"/>
    <hyperlink r:id="rId19" ref="E31"/>
    <hyperlink r:id="rId20" ref="E36"/>
    <hyperlink r:id="rId21" ref="E38"/>
    <hyperlink r:id="rId22" ref="I38"/>
    <hyperlink r:id="rId23" ref="E39"/>
    <hyperlink r:id="rId24" ref="E41"/>
    <hyperlink r:id="rId25" ref="E44"/>
    <hyperlink r:id="rId26" ref="E46"/>
    <hyperlink r:id="rId27" ref="E47"/>
    <hyperlink r:id="rId28" ref="E48"/>
    <hyperlink r:id="rId29" ref="I48"/>
    <hyperlink r:id="rId30" ref="E51"/>
    <hyperlink r:id="rId31" ref="E56"/>
    <hyperlink r:id="rId32" ref="E68"/>
    <hyperlink r:id="rId33" ref="E69"/>
    <hyperlink r:id="rId34" ref="I69"/>
    <hyperlink r:id="rId35" ref="E70"/>
    <hyperlink r:id="rId36" ref="I70"/>
    <hyperlink r:id="rId37" ref="E72"/>
    <hyperlink r:id="rId38" ref="E74"/>
    <hyperlink r:id="rId39" ref="E78"/>
    <hyperlink r:id="rId40" ref="E79"/>
    <hyperlink r:id="rId41" ref="I79"/>
    <hyperlink r:id="rId42" ref="E80"/>
  </hyperlinks>
  <drawing r:id="rId43"/>
  <tableParts count="1">
    <tablePart r:id="rId4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8" width="14.38"/>
    <col customWidth="1" min="9" max="9" width="27.75"/>
    <col customWidth="1" min="10" max="32" width="14.38"/>
  </cols>
  <sheetData>
    <row r="1" ht="15.75" customHeight="1">
      <c r="A1" s="333" t="s">
        <v>1345</v>
      </c>
      <c r="B1" s="201" t="s">
        <v>3</v>
      </c>
      <c r="C1" s="201" t="s">
        <v>2101</v>
      </c>
      <c r="D1" s="28" t="s">
        <v>171</v>
      </c>
      <c r="E1" s="201" t="s">
        <v>4</v>
      </c>
      <c r="F1" s="201" t="s">
        <v>172</v>
      </c>
      <c r="G1" s="201"/>
      <c r="H1" s="201" t="s">
        <v>174</v>
      </c>
      <c r="I1" s="202" t="s">
        <v>175</v>
      </c>
      <c r="J1" s="201" t="s">
        <v>9</v>
      </c>
      <c r="K1" s="203"/>
      <c r="L1" s="31"/>
      <c r="M1" s="31"/>
      <c r="N1" s="31"/>
      <c r="O1" s="31"/>
      <c r="P1" s="31"/>
      <c r="Q1" s="31"/>
      <c r="R1" s="31"/>
      <c r="S1" s="31"/>
      <c r="T1" s="31"/>
      <c r="U1" s="31"/>
      <c r="V1" s="31"/>
      <c r="W1" s="31"/>
      <c r="X1" s="31"/>
      <c r="Y1" s="31"/>
      <c r="Z1" s="31"/>
      <c r="AA1" s="31"/>
      <c r="AB1" s="31"/>
      <c r="AC1" s="31"/>
      <c r="AD1" s="31"/>
      <c r="AE1" s="31"/>
      <c r="AF1" s="31"/>
    </row>
    <row r="2" ht="15.75" customHeight="1">
      <c r="A2" s="334">
        <v>43313.0</v>
      </c>
      <c r="B2" s="335"/>
      <c r="C2" s="335"/>
      <c r="D2" s="336"/>
      <c r="E2" s="335"/>
      <c r="F2" s="337"/>
      <c r="G2" s="335"/>
      <c r="H2" s="335"/>
      <c r="I2" s="335"/>
      <c r="J2" s="335"/>
      <c r="K2" s="335"/>
      <c r="L2" s="335"/>
      <c r="M2" s="335"/>
      <c r="N2" s="335"/>
      <c r="O2" s="335"/>
      <c r="P2" s="335"/>
      <c r="Q2" s="335"/>
      <c r="R2" s="335"/>
      <c r="S2" s="335"/>
      <c r="T2" s="335"/>
      <c r="U2" s="335"/>
      <c r="V2" s="335"/>
      <c r="W2" s="335"/>
      <c r="X2" s="335"/>
      <c r="Y2" s="335"/>
      <c r="Z2" s="335"/>
      <c r="AA2" s="335"/>
      <c r="AB2" s="335"/>
      <c r="AC2" s="335"/>
      <c r="AD2" s="335"/>
      <c r="AE2" s="335"/>
      <c r="AF2" s="335"/>
    </row>
    <row r="3" ht="15.75" customHeight="1">
      <c r="A3" s="335"/>
      <c r="B3" s="338" t="s">
        <v>2768</v>
      </c>
      <c r="C3" s="335"/>
      <c r="D3" s="339" t="s">
        <v>2769</v>
      </c>
      <c r="E3" s="340" t="s">
        <v>2770</v>
      </c>
      <c r="F3" s="337" t="s">
        <v>2534</v>
      </c>
      <c r="G3" s="335"/>
      <c r="H3" s="335" t="s">
        <v>2495</v>
      </c>
      <c r="I3" s="335" t="s">
        <v>2771</v>
      </c>
      <c r="J3" s="335"/>
      <c r="K3" s="341" t="s">
        <v>2772</v>
      </c>
      <c r="L3" s="335"/>
      <c r="M3" s="335"/>
      <c r="N3" s="335"/>
      <c r="O3" s="335"/>
      <c r="P3" s="335"/>
      <c r="Q3" s="335"/>
      <c r="R3" s="335"/>
      <c r="S3" s="335"/>
      <c r="T3" s="335"/>
      <c r="U3" s="335"/>
      <c r="V3" s="335"/>
      <c r="W3" s="335"/>
      <c r="X3" s="335"/>
      <c r="Y3" s="335"/>
      <c r="Z3" s="335"/>
      <c r="AA3" s="335"/>
      <c r="AB3" s="335"/>
      <c r="AC3" s="335"/>
      <c r="AD3" s="335"/>
      <c r="AE3" s="335"/>
      <c r="AF3" s="335"/>
    </row>
    <row r="4" ht="15.75" customHeight="1">
      <c r="A4" s="334">
        <v>43314.0</v>
      </c>
      <c r="B4" s="335"/>
      <c r="C4" s="335"/>
      <c r="D4" s="336"/>
      <c r="E4" s="335"/>
      <c r="F4" s="337"/>
      <c r="G4" s="335"/>
      <c r="H4" s="335"/>
      <c r="I4" s="335"/>
      <c r="J4" s="335"/>
      <c r="K4" s="335"/>
      <c r="L4" s="335"/>
      <c r="M4" s="335"/>
      <c r="N4" s="335"/>
      <c r="O4" s="335"/>
      <c r="P4" s="335"/>
      <c r="Q4" s="335"/>
      <c r="R4" s="335"/>
      <c r="S4" s="335"/>
      <c r="T4" s="335"/>
      <c r="U4" s="335"/>
      <c r="V4" s="335"/>
      <c r="W4" s="335"/>
      <c r="X4" s="335"/>
      <c r="Y4" s="335"/>
      <c r="Z4" s="335"/>
      <c r="AA4" s="335"/>
      <c r="AB4" s="335"/>
      <c r="AC4" s="335"/>
      <c r="AD4" s="335"/>
      <c r="AE4" s="335"/>
      <c r="AF4" s="335"/>
    </row>
    <row r="5" ht="15.75" customHeight="1">
      <c r="A5" s="335"/>
      <c r="B5" s="338" t="s">
        <v>2773</v>
      </c>
      <c r="C5" s="335"/>
      <c r="D5" s="336"/>
      <c r="E5" s="335" t="s">
        <v>2774</v>
      </c>
      <c r="F5" s="337" t="s">
        <v>2534</v>
      </c>
      <c r="G5" s="335"/>
      <c r="H5" s="335" t="s">
        <v>2495</v>
      </c>
      <c r="I5" s="335" t="s">
        <v>2775</v>
      </c>
      <c r="J5" s="335" t="s">
        <v>16</v>
      </c>
      <c r="K5" s="335"/>
      <c r="L5" s="335"/>
      <c r="M5" s="335"/>
      <c r="N5" s="335"/>
      <c r="O5" s="335"/>
      <c r="P5" s="335"/>
      <c r="Q5" s="335"/>
      <c r="R5" s="335"/>
      <c r="S5" s="335"/>
      <c r="T5" s="335"/>
      <c r="U5" s="335"/>
      <c r="V5" s="335"/>
      <c r="W5" s="335"/>
      <c r="X5" s="335"/>
      <c r="Y5" s="335"/>
      <c r="Z5" s="335"/>
      <c r="AA5" s="335"/>
      <c r="AB5" s="335"/>
      <c r="AC5" s="335"/>
      <c r="AD5" s="335"/>
      <c r="AE5" s="335"/>
      <c r="AF5" s="335"/>
    </row>
    <row r="6" ht="15.75" customHeight="1">
      <c r="A6" s="334">
        <v>43316.0</v>
      </c>
      <c r="B6" s="335"/>
      <c r="C6" s="335"/>
      <c r="D6" s="336"/>
      <c r="E6" s="335"/>
      <c r="F6" s="337"/>
      <c r="G6" s="335"/>
      <c r="H6" s="335"/>
      <c r="I6" s="335"/>
      <c r="J6" s="335"/>
      <c r="K6" s="335"/>
      <c r="L6" s="335"/>
      <c r="M6" s="335"/>
      <c r="N6" s="335"/>
      <c r="O6" s="335"/>
      <c r="P6" s="335"/>
      <c r="Q6" s="335"/>
      <c r="R6" s="335"/>
      <c r="S6" s="335"/>
      <c r="T6" s="335"/>
      <c r="U6" s="335"/>
      <c r="V6" s="335"/>
      <c r="W6" s="335"/>
      <c r="X6" s="335"/>
      <c r="Y6" s="335"/>
      <c r="Z6" s="335"/>
      <c r="AA6" s="335"/>
      <c r="AB6" s="335"/>
      <c r="AC6" s="335"/>
      <c r="AD6" s="335"/>
      <c r="AE6" s="335"/>
      <c r="AF6" s="335"/>
    </row>
    <row r="7" ht="15.75" customHeight="1">
      <c r="A7" s="335"/>
      <c r="B7" s="335" t="s">
        <v>2776</v>
      </c>
      <c r="C7" s="335"/>
      <c r="D7" s="339" t="s">
        <v>2777</v>
      </c>
      <c r="E7" s="342" t="s">
        <v>2778</v>
      </c>
      <c r="F7" s="337" t="s">
        <v>2504</v>
      </c>
      <c r="G7" s="335"/>
      <c r="H7" s="335" t="s">
        <v>2495</v>
      </c>
      <c r="I7" s="342" t="s">
        <v>2779</v>
      </c>
      <c r="J7" s="335" t="s">
        <v>401</v>
      </c>
      <c r="K7" s="335"/>
      <c r="L7" s="335"/>
      <c r="M7" s="335"/>
      <c r="N7" s="335"/>
      <c r="O7" s="335"/>
      <c r="P7" s="335"/>
      <c r="Q7" s="335"/>
      <c r="R7" s="335"/>
      <c r="S7" s="335"/>
      <c r="T7" s="335"/>
      <c r="U7" s="335"/>
      <c r="V7" s="335"/>
      <c r="W7" s="335"/>
      <c r="X7" s="335"/>
      <c r="Y7" s="335"/>
      <c r="Z7" s="335"/>
      <c r="AA7" s="335"/>
      <c r="AB7" s="335"/>
      <c r="AC7" s="335"/>
      <c r="AD7" s="335"/>
      <c r="AE7" s="335"/>
      <c r="AF7" s="335"/>
    </row>
    <row r="8" ht="15.75" customHeight="1">
      <c r="A8" s="335"/>
      <c r="B8" s="343" t="s">
        <v>2780</v>
      </c>
      <c r="C8" s="335"/>
      <c r="D8" s="339" t="s">
        <v>2781</v>
      </c>
      <c r="E8" s="344" t="s">
        <v>2782</v>
      </c>
      <c r="F8" s="337" t="s">
        <v>2494</v>
      </c>
      <c r="G8" s="335"/>
      <c r="H8" s="335" t="s">
        <v>2495</v>
      </c>
      <c r="I8" s="345" t="s">
        <v>2535</v>
      </c>
      <c r="J8" s="335" t="s">
        <v>16</v>
      </c>
      <c r="K8" s="335"/>
      <c r="L8" s="335"/>
      <c r="M8" s="335"/>
      <c r="N8" s="335"/>
      <c r="O8" s="335"/>
      <c r="P8" s="335"/>
      <c r="Q8" s="335"/>
      <c r="R8" s="335"/>
      <c r="S8" s="335"/>
      <c r="T8" s="335"/>
      <c r="U8" s="335"/>
      <c r="V8" s="335"/>
      <c r="W8" s="335"/>
      <c r="X8" s="335"/>
      <c r="Y8" s="335"/>
      <c r="Z8" s="335"/>
      <c r="AA8" s="335"/>
      <c r="AB8" s="335"/>
      <c r="AC8" s="335"/>
      <c r="AD8" s="335"/>
      <c r="AE8" s="335"/>
      <c r="AF8" s="335"/>
    </row>
    <row r="9" ht="15.75" customHeight="1">
      <c r="A9" s="335"/>
      <c r="B9" s="335" t="s">
        <v>2783</v>
      </c>
      <c r="C9" s="335"/>
      <c r="D9" s="339" t="s">
        <v>2784</v>
      </c>
      <c r="E9" s="342" t="s">
        <v>2785</v>
      </c>
      <c r="F9" s="337" t="s">
        <v>2504</v>
      </c>
      <c r="G9" s="335"/>
      <c r="H9" s="335" t="s">
        <v>2495</v>
      </c>
      <c r="I9" s="335" t="s">
        <v>2786</v>
      </c>
      <c r="J9" s="335" t="s">
        <v>16</v>
      </c>
      <c r="K9" s="335"/>
      <c r="L9" s="335"/>
      <c r="M9" s="335"/>
      <c r="N9" s="335"/>
      <c r="O9" s="335"/>
      <c r="P9" s="335"/>
      <c r="Q9" s="335"/>
      <c r="R9" s="335"/>
      <c r="S9" s="335"/>
      <c r="T9" s="335"/>
      <c r="U9" s="335"/>
      <c r="V9" s="335"/>
      <c r="W9" s="335"/>
      <c r="X9" s="335"/>
      <c r="Y9" s="335"/>
      <c r="Z9" s="335"/>
      <c r="AA9" s="335"/>
      <c r="AB9" s="335"/>
      <c r="AC9" s="335"/>
      <c r="AD9" s="335"/>
      <c r="AE9" s="335"/>
      <c r="AF9" s="335"/>
    </row>
    <row r="10" ht="15.75" customHeight="1">
      <c r="A10" s="335"/>
      <c r="B10" s="343" t="s">
        <v>2787</v>
      </c>
      <c r="C10" s="335"/>
      <c r="D10" s="339" t="s">
        <v>2788</v>
      </c>
      <c r="E10" s="344" t="s">
        <v>2789</v>
      </c>
      <c r="F10" s="337" t="s">
        <v>2494</v>
      </c>
      <c r="G10" s="335"/>
      <c r="H10" s="335"/>
      <c r="I10" s="343" t="s">
        <v>2790</v>
      </c>
      <c r="J10" s="335" t="s">
        <v>201</v>
      </c>
      <c r="K10" s="335"/>
      <c r="L10" s="335"/>
      <c r="M10" s="335"/>
      <c r="N10" s="335"/>
      <c r="O10" s="335"/>
      <c r="P10" s="335"/>
      <c r="Q10" s="335"/>
      <c r="R10" s="335"/>
      <c r="S10" s="335"/>
      <c r="T10" s="335"/>
      <c r="U10" s="335"/>
      <c r="V10" s="335"/>
      <c r="W10" s="335"/>
      <c r="X10" s="335"/>
      <c r="Y10" s="335"/>
      <c r="Z10" s="335"/>
      <c r="AA10" s="335"/>
      <c r="AB10" s="335"/>
      <c r="AC10" s="335"/>
      <c r="AD10" s="335"/>
      <c r="AE10" s="335"/>
      <c r="AF10" s="335"/>
    </row>
    <row r="11" ht="15.75" customHeight="1">
      <c r="A11" s="335"/>
      <c r="B11" s="343" t="s">
        <v>2791</v>
      </c>
      <c r="C11" s="335"/>
      <c r="D11" s="339" t="s">
        <v>2792</v>
      </c>
      <c r="E11" s="344" t="s">
        <v>2793</v>
      </c>
      <c r="F11" s="337" t="s">
        <v>2494</v>
      </c>
      <c r="G11" s="335"/>
      <c r="H11" s="335" t="s">
        <v>2495</v>
      </c>
      <c r="I11" s="335" t="s">
        <v>2794</v>
      </c>
      <c r="J11" s="335" t="s">
        <v>201</v>
      </c>
      <c r="K11" s="335"/>
      <c r="L11" s="335"/>
      <c r="M11" s="335"/>
      <c r="N11" s="335"/>
      <c r="O11" s="335"/>
      <c r="P11" s="335"/>
      <c r="Q11" s="335"/>
      <c r="R11" s="335"/>
      <c r="S11" s="335"/>
      <c r="T11" s="335"/>
      <c r="U11" s="335"/>
      <c r="V11" s="335"/>
      <c r="W11" s="335"/>
      <c r="X11" s="335"/>
      <c r="Y11" s="335"/>
      <c r="Z11" s="335"/>
      <c r="AA11" s="335"/>
      <c r="AB11" s="335"/>
      <c r="AC11" s="335"/>
      <c r="AD11" s="335"/>
      <c r="AE11" s="335"/>
      <c r="AF11" s="335"/>
    </row>
    <row r="12" ht="15.75" customHeight="1">
      <c r="A12" s="334">
        <v>43317.0</v>
      </c>
      <c r="B12" s="335"/>
      <c r="C12" s="335"/>
      <c r="D12" s="336"/>
      <c r="E12" s="335"/>
      <c r="F12" s="337"/>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row>
    <row r="13" ht="15.75" customHeight="1">
      <c r="A13" s="335"/>
      <c r="B13" s="338" t="s">
        <v>2795</v>
      </c>
      <c r="C13" s="335"/>
      <c r="D13" s="339" t="s">
        <v>2796</v>
      </c>
      <c r="E13" s="340" t="s">
        <v>2797</v>
      </c>
      <c r="F13" s="337" t="s">
        <v>2534</v>
      </c>
      <c r="G13" s="335"/>
      <c r="H13" s="335" t="s">
        <v>2495</v>
      </c>
      <c r="I13" s="335" t="s">
        <v>2798</v>
      </c>
      <c r="J13" s="335" t="s">
        <v>16</v>
      </c>
      <c r="K13" s="335"/>
      <c r="L13" s="335"/>
      <c r="M13" s="335"/>
      <c r="N13" s="335"/>
      <c r="O13" s="335"/>
      <c r="P13" s="335"/>
      <c r="Q13" s="335"/>
      <c r="R13" s="335"/>
      <c r="S13" s="335"/>
      <c r="T13" s="335"/>
      <c r="U13" s="335"/>
      <c r="V13" s="335"/>
      <c r="W13" s="335"/>
      <c r="X13" s="335"/>
      <c r="Y13" s="335"/>
      <c r="Z13" s="335"/>
      <c r="AA13" s="335"/>
      <c r="AB13" s="335"/>
      <c r="AC13" s="335"/>
      <c r="AD13" s="335"/>
      <c r="AE13" s="335"/>
      <c r="AF13" s="335"/>
    </row>
    <row r="14" ht="15.75" customHeight="1">
      <c r="A14" s="335"/>
      <c r="B14" s="335" t="s">
        <v>2799</v>
      </c>
      <c r="C14" s="335"/>
      <c r="D14" s="346">
        <v>9.71508100596E11</v>
      </c>
      <c r="E14" s="342" t="s">
        <v>2800</v>
      </c>
      <c r="F14" s="337" t="s">
        <v>2504</v>
      </c>
      <c r="G14" s="335"/>
      <c r="H14" s="335"/>
      <c r="I14" s="335" t="s">
        <v>2801</v>
      </c>
      <c r="J14" s="335"/>
      <c r="K14" s="335" t="s">
        <v>2802</v>
      </c>
      <c r="L14" s="335"/>
      <c r="M14" s="335"/>
      <c r="N14" s="335"/>
      <c r="O14" s="335"/>
      <c r="P14" s="335"/>
      <c r="Q14" s="335"/>
      <c r="R14" s="335"/>
      <c r="S14" s="335"/>
      <c r="T14" s="335"/>
      <c r="U14" s="335"/>
      <c r="V14" s="335"/>
      <c r="W14" s="335"/>
      <c r="X14" s="335"/>
      <c r="Y14" s="335"/>
      <c r="Z14" s="335"/>
      <c r="AA14" s="335"/>
      <c r="AB14" s="335"/>
      <c r="AC14" s="335"/>
      <c r="AD14" s="335"/>
      <c r="AE14" s="335"/>
      <c r="AF14" s="335"/>
    </row>
    <row r="15" ht="15.75" customHeight="1">
      <c r="A15" s="335"/>
      <c r="B15" s="343" t="s">
        <v>2803</v>
      </c>
      <c r="C15" s="335"/>
      <c r="D15" s="347" t="s">
        <v>2804</v>
      </c>
      <c r="E15" s="344" t="s">
        <v>2805</v>
      </c>
      <c r="F15" s="337" t="s">
        <v>2494</v>
      </c>
      <c r="G15" s="335"/>
      <c r="H15" s="335"/>
      <c r="I15" s="335" t="s">
        <v>2786</v>
      </c>
      <c r="J15" s="335" t="s">
        <v>16</v>
      </c>
      <c r="K15" s="335"/>
      <c r="L15" s="335"/>
      <c r="M15" s="335"/>
      <c r="N15" s="335"/>
      <c r="O15" s="335"/>
      <c r="P15" s="335"/>
      <c r="Q15" s="335"/>
      <c r="R15" s="335"/>
      <c r="S15" s="335"/>
      <c r="T15" s="335"/>
      <c r="U15" s="335"/>
      <c r="V15" s="335"/>
      <c r="W15" s="335"/>
      <c r="X15" s="335"/>
      <c r="Y15" s="335"/>
      <c r="Z15" s="335"/>
      <c r="AA15" s="335"/>
      <c r="AB15" s="335"/>
      <c r="AC15" s="335"/>
      <c r="AD15" s="335"/>
      <c r="AE15" s="335"/>
      <c r="AF15" s="335"/>
    </row>
    <row r="16" ht="15.75" customHeight="1">
      <c r="A16" s="334">
        <v>43318.0</v>
      </c>
      <c r="B16" s="335"/>
      <c r="C16" s="335"/>
      <c r="D16" s="336"/>
      <c r="E16" s="335"/>
      <c r="F16" s="337"/>
      <c r="G16" s="335"/>
      <c r="H16" s="335"/>
      <c r="I16" s="335"/>
      <c r="J16" s="335"/>
      <c r="K16" s="335"/>
      <c r="L16" s="335"/>
      <c r="M16" s="335"/>
      <c r="N16" s="335"/>
      <c r="O16" s="335"/>
      <c r="P16" s="335"/>
      <c r="Q16" s="335"/>
      <c r="R16" s="335"/>
      <c r="S16" s="335"/>
      <c r="T16" s="335"/>
      <c r="U16" s="335"/>
      <c r="V16" s="335"/>
      <c r="W16" s="335"/>
      <c r="X16" s="335"/>
      <c r="Y16" s="335"/>
      <c r="Z16" s="335"/>
      <c r="AA16" s="335"/>
      <c r="AB16" s="335"/>
      <c r="AC16" s="335"/>
      <c r="AD16" s="335"/>
      <c r="AE16" s="335"/>
      <c r="AF16" s="335"/>
    </row>
    <row r="17" ht="15.75" customHeight="1">
      <c r="A17" s="335"/>
      <c r="B17" s="343" t="s">
        <v>2806</v>
      </c>
      <c r="C17" s="335"/>
      <c r="D17" s="339" t="s">
        <v>2807</v>
      </c>
      <c r="E17" s="335" t="s">
        <v>2808</v>
      </c>
      <c r="F17" s="337" t="s">
        <v>2494</v>
      </c>
      <c r="G17" s="335"/>
      <c r="H17" s="335" t="s">
        <v>2495</v>
      </c>
      <c r="I17" s="335" t="s">
        <v>2809</v>
      </c>
      <c r="J17" s="335"/>
      <c r="K17" s="335"/>
      <c r="L17" s="335"/>
      <c r="M17" s="335"/>
      <c r="N17" s="335"/>
      <c r="O17" s="335"/>
      <c r="P17" s="335"/>
      <c r="Q17" s="335"/>
      <c r="R17" s="335"/>
      <c r="S17" s="335"/>
      <c r="T17" s="335"/>
      <c r="U17" s="335"/>
      <c r="V17" s="335"/>
      <c r="W17" s="335"/>
      <c r="X17" s="335"/>
      <c r="Y17" s="335"/>
      <c r="Z17" s="335"/>
      <c r="AA17" s="335"/>
      <c r="AB17" s="335"/>
      <c r="AC17" s="335"/>
      <c r="AD17" s="335"/>
      <c r="AE17" s="335"/>
      <c r="AF17" s="335"/>
    </row>
    <row r="18" ht="15.75" customHeight="1">
      <c r="A18" s="334">
        <v>43319.0</v>
      </c>
      <c r="B18" s="335"/>
      <c r="C18" s="335"/>
      <c r="D18" s="336"/>
      <c r="E18" s="335"/>
      <c r="F18" s="337"/>
      <c r="G18" s="335"/>
      <c r="H18" s="335"/>
      <c r="I18" s="335"/>
      <c r="J18" s="335"/>
      <c r="K18" s="335"/>
      <c r="L18" s="335"/>
      <c r="M18" s="335"/>
      <c r="N18" s="335"/>
      <c r="O18" s="335"/>
      <c r="P18" s="335"/>
      <c r="Q18" s="335"/>
      <c r="R18" s="335"/>
      <c r="S18" s="335"/>
      <c r="T18" s="335"/>
      <c r="U18" s="335"/>
      <c r="V18" s="335"/>
      <c r="W18" s="335"/>
      <c r="X18" s="335"/>
      <c r="Y18" s="335"/>
      <c r="Z18" s="335"/>
      <c r="AA18" s="335"/>
      <c r="AB18" s="335"/>
      <c r="AC18" s="335"/>
      <c r="AD18" s="335"/>
      <c r="AE18" s="335"/>
      <c r="AF18" s="335"/>
    </row>
    <row r="19" ht="15.75" customHeight="1">
      <c r="A19" s="335"/>
      <c r="B19" s="343" t="s">
        <v>2810</v>
      </c>
      <c r="C19" s="335"/>
      <c r="D19" s="347" t="s">
        <v>2811</v>
      </c>
      <c r="E19" s="344" t="s">
        <v>2812</v>
      </c>
      <c r="F19" s="337" t="s">
        <v>2494</v>
      </c>
      <c r="G19" s="335"/>
      <c r="H19" s="335"/>
      <c r="I19" s="335" t="s">
        <v>2813</v>
      </c>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row>
    <row r="20" ht="15.75" customHeight="1">
      <c r="A20" s="334">
        <v>43320.0</v>
      </c>
      <c r="B20" s="335"/>
      <c r="C20" s="335"/>
      <c r="D20" s="336"/>
      <c r="E20" s="335"/>
      <c r="F20" s="337"/>
      <c r="G20" s="335"/>
      <c r="H20" s="335"/>
      <c r="I20" s="335"/>
      <c r="J20" s="335"/>
      <c r="K20" s="335"/>
      <c r="L20" s="335"/>
      <c r="M20" s="335"/>
      <c r="N20" s="335"/>
      <c r="O20" s="335"/>
      <c r="P20" s="335"/>
      <c r="Q20" s="335"/>
      <c r="R20" s="335"/>
      <c r="S20" s="335"/>
      <c r="T20" s="335"/>
      <c r="U20" s="335"/>
      <c r="V20" s="335"/>
      <c r="W20" s="335"/>
      <c r="X20" s="335"/>
      <c r="Y20" s="335"/>
      <c r="Z20" s="335"/>
      <c r="AA20" s="335"/>
      <c r="AB20" s="335"/>
      <c r="AC20" s="335"/>
      <c r="AD20" s="335"/>
      <c r="AE20" s="335"/>
      <c r="AF20" s="335"/>
    </row>
    <row r="21" ht="15.75" customHeight="1">
      <c r="A21" s="335"/>
      <c r="B21" s="335" t="s">
        <v>2814</v>
      </c>
      <c r="C21" s="335"/>
      <c r="D21" s="339" t="s">
        <v>2815</v>
      </c>
      <c r="E21" s="342" t="s">
        <v>2816</v>
      </c>
      <c r="F21" s="337" t="s">
        <v>2504</v>
      </c>
      <c r="G21" s="335"/>
      <c r="H21" s="335" t="s">
        <v>2543</v>
      </c>
      <c r="I21" s="335" t="s">
        <v>2817</v>
      </c>
      <c r="J21" s="335" t="s">
        <v>563</v>
      </c>
      <c r="K21" s="335"/>
      <c r="L21" s="335"/>
      <c r="M21" s="335"/>
      <c r="N21" s="335"/>
      <c r="O21" s="335"/>
      <c r="P21" s="335"/>
      <c r="Q21" s="335"/>
      <c r="R21" s="335"/>
      <c r="S21" s="335"/>
      <c r="T21" s="335"/>
      <c r="U21" s="335"/>
      <c r="V21" s="335"/>
      <c r="W21" s="335"/>
      <c r="X21" s="335"/>
      <c r="Y21" s="335"/>
      <c r="Z21" s="335"/>
      <c r="AA21" s="335"/>
      <c r="AB21" s="335"/>
      <c r="AC21" s="335"/>
      <c r="AD21" s="335"/>
      <c r="AE21" s="335"/>
      <c r="AF21" s="335"/>
    </row>
    <row r="22" ht="15.75" customHeight="1">
      <c r="A22" s="335"/>
      <c r="B22" s="335" t="s">
        <v>2818</v>
      </c>
      <c r="C22" s="335"/>
      <c r="D22" s="339" t="s">
        <v>2819</v>
      </c>
      <c r="E22" s="342" t="s">
        <v>2820</v>
      </c>
      <c r="F22" s="337" t="s">
        <v>2504</v>
      </c>
      <c r="G22" s="335"/>
      <c r="H22" s="335" t="s">
        <v>2495</v>
      </c>
      <c r="I22" s="335" t="s">
        <v>2821</v>
      </c>
      <c r="J22" s="335" t="s">
        <v>16</v>
      </c>
      <c r="K22" s="335"/>
      <c r="L22" s="335"/>
      <c r="M22" s="335"/>
      <c r="N22" s="335"/>
      <c r="O22" s="335"/>
      <c r="P22" s="335"/>
      <c r="Q22" s="335"/>
      <c r="R22" s="335"/>
      <c r="S22" s="335"/>
      <c r="T22" s="335"/>
      <c r="U22" s="335"/>
      <c r="V22" s="335"/>
      <c r="W22" s="335"/>
      <c r="X22" s="335"/>
      <c r="Y22" s="335"/>
      <c r="Z22" s="335"/>
      <c r="AA22" s="335"/>
      <c r="AB22" s="335"/>
      <c r="AC22" s="335"/>
      <c r="AD22" s="335"/>
      <c r="AE22" s="335"/>
      <c r="AF22" s="335"/>
    </row>
    <row r="23" ht="15.75" customHeight="1">
      <c r="A23" s="335"/>
      <c r="B23" s="343" t="s">
        <v>2822</v>
      </c>
      <c r="C23" s="335"/>
      <c r="D23" s="339" t="s">
        <v>2823</v>
      </c>
      <c r="E23" s="344" t="s">
        <v>2824</v>
      </c>
      <c r="F23" s="337" t="s">
        <v>2494</v>
      </c>
      <c r="G23" s="335"/>
      <c r="H23" s="335" t="s">
        <v>2495</v>
      </c>
      <c r="I23" s="335"/>
      <c r="J23" s="335"/>
      <c r="K23" s="335"/>
      <c r="L23" s="335"/>
      <c r="M23" s="335"/>
      <c r="N23" s="335"/>
      <c r="O23" s="335"/>
      <c r="P23" s="335"/>
      <c r="Q23" s="335"/>
      <c r="R23" s="335"/>
      <c r="S23" s="335"/>
      <c r="T23" s="335"/>
      <c r="U23" s="335"/>
      <c r="V23" s="335"/>
      <c r="W23" s="335"/>
      <c r="X23" s="335"/>
      <c r="Y23" s="335"/>
      <c r="Z23" s="335"/>
      <c r="AA23" s="335"/>
      <c r="AB23" s="335"/>
      <c r="AC23" s="335"/>
      <c r="AD23" s="335"/>
      <c r="AE23" s="335"/>
      <c r="AF23" s="335"/>
    </row>
    <row r="24" ht="15.75" customHeight="1">
      <c r="A24" s="334">
        <v>43321.0</v>
      </c>
      <c r="B24" s="335"/>
      <c r="C24" s="335"/>
      <c r="D24" s="336"/>
      <c r="E24" s="335"/>
      <c r="F24" s="337"/>
      <c r="G24" s="335"/>
      <c r="H24" s="335"/>
      <c r="I24" s="335"/>
      <c r="J24" s="335"/>
      <c r="K24" s="335"/>
      <c r="L24" s="335"/>
      <c r="M24" s="335"/>
      <c r="N24" s="335"/>
      <c r="O24" s="335"/>
      <c r="P24" s="335"/>
      <c r="Q24" s="335"/>
      <c r="R24" s="335"/>
      <c r="S24" s="335"/>
      <c r="T24" s="335"/>
      <c r="U24" s="335"/>
      <c r="V24" s="335"/>
      <c r="W24" s="335"/>
      <c r="X24" s="335"/>
      <c r="Y24" s="335"/>
      <c r="Z24" s="335"/>
      <c r="AA24" s="335"/>
      <c r="AB24" s="335"/>
      <c r="AC24" s="335"/>
      <c r="AD24" s="335"/>
      <c r="AE24" s="335"/>
      <c r="AF24" s="335"/>
    </row>
    <row r="25" ht="15.75" customHeight="1">
      <c r="A25" s="335"/>
      <c r="B25" s="343" t="s">
        <v>2825</v>
      </c>
      <c r="C25" s="335"/>
      <c r="D25" s="347" t="s">
        <v>2826</v>
      </c>
      <c r="E25" s="344" t="s">
        <v>2827</v>
      </c>
      <c r="F25" s="337" t="s">
        <v>2494</v>
      </c>
      <c r="G25" s="335"/>
      <c r="H25" s="335"/>
      <c r="I25" s="335" t="s">
        <v>2828</v>
      </c>
      <c r="J25" s="335"/>
      <c r="K25" s="335"/>
      <c r="L25" s="335"/>
      <c r="M25" s="335"/>
      <c r="N25" s="335"/>
      <c r="O25" s="335"/>
      <c r="P25" s="335"/>
      <c r="Q25" s="335"/>
      <c r="R25" s="335"/>
      <c r="S25" s="335"/>
      <c r="T25" s="335"/>
      <c r="U25" s="335"/>
      <c r="V25" s="335"/>
      <c r="W25" s="335"/>
      <c r="X25" s="335"/>
      <c r="Y25" s="335"/>
      <c r="Z25" s="335"/>
      <c r="AA25" s="335"/>
      <c r="AB25" s="335"/>
      <c r="AC25" s="335"/>
      <c r="AD25" s="335"/>
      <c r="AE25" s="335"/>
      <c r="AF25" s="335"/>
    </row>
    <row r="26" ht="15.75" customHeight="1">
      <c r="A26" s="335"/>
      <c r="B26" s="335"/>
      <c r="C26" s="335"/>
      <c r="D26" s="346">
        <f>+971506432829</f>
        <v>971506432829</v>
      </c>
      <c r="E26" s="342" t="s">
        <v>2829</v>
      </c>
      <c r="F26" s="337"/>
      <c r="G26" s="335"/>
      <c r="H26" s="335"/>
      <c r="I26" s="335" t="s">
        <v>2830</v>
      </c>
      <c r="J26" s="335"/>
      <c r="K26" s="335"/>
      <c r="L26" s="335"/>
      <c r="M26" s="335"/>
      <c r="N26" s="335"/>
      <c r="O26" s="335"/>
      <c r="P26" s="335"/>
      <c r="Q26" s="335"/>
      <c r="R26" s="335"/>
      <c r="S26" s="335"/>
      <c r="T26" s="335"/>
      <c r="U26" s="335"/>
      <c r="V26" s="335"/>
      <c r="W26" s="335"/>
      <c r="X26" s="335"/>
      <c r="Y26" s="335"/>
      <c r="Z26" s="335"/>
      <c r="AA26" s="335"/>
      <c r="AB26" s="335"/>
      <c r="AC26" s="335"/>
      <c r="AD26" s="335"/>
      <c r="AE26" s="335"/>
      <c r="AF26" s="335"/>
    </row>
    <row r="27" ht="15.75" customHeight="1">
      <c r="A27" s="335"/>
      <c r="B27" s="335"/>
      <c r="C27" s="335"/>
      <c r="D27" s="336">
        <v>5.02159951E8</v>
      </c>
      <c r="E27" s="342" t="s">
        <v>2831</v>
      </c>
      <c r="F27" s="337" t="s">
        <v>2504</v>
      </c>
      <c r="G27" s="335"/>
      <c r="H27" s="335"/>
      <c r="I27" s="335" t="s">
        <v>2832</v>
      </c>
      <c r="J27" s="335" t="s">
        <v>563</v>
      </c>
      <c r="K27" s="335"/>
      <c r="L27" s="335"/>
      <c r="M27" s="335"/>
      <c r="N27" s="335"/>
      <c r="O27" s="335"/>
      <c r="P27" s="335"/>
      <c r="Q27" s="335"/>
      <c r="R27" s="335"/>
      <c r="S27" s="335"/>
      <c r="T27" s="335"/>
      <c r="U27" s="335"/>
      <c r="V27" s="335"/>
      <c r="W27" s="335"/>
      <c r="X27" s="335"/>
      <c r="Y27" s="335"/>
      <c r="Z27" s="335"/>
      <c r="AA27" s="335"/>
      <c r="AB27" s="335"/>
      <c r="AC27" s="335"/>
      <c r="AD27" s="335"/>
      <c r="AE27" s="335"/>
      <c r="AF27" s="335"/>
    </row>
    <row r="28" ht="15.75" customHeight="1">
      <c r="A28" s="334">
        <v>43324.0</v>
      </c>
      <c r="B28" s="335"/>
      <c r="C28" s="335"/>
      <c r="D28" s="336"/>
      <c r="E28" s="335"/>
      <c r="F28" s="337"/>
      <c r="G28" s="335"/>
      <c r="H28" s="335"/>
      <c r="I28" s="335"/>
      <c r="J28" s="335"/>
      <c r="K28" s="335"/>
      <c r="L28" s="335"/>
      <c r="M28" s="335"/>
      <c r="N28" s="335"/>
      <c r="O28" s="335"/>
      <c r="P28" s="335"/>
      <c r="Q28" s="335"/>
      <c r="R28" s="335"/>
      <c r="S28" s="335"/>
      <c r="T28" s="335"/>
      <c r="U28" s="335"/>
      <c r="V28" s="335"/>
      <c r="W28" s="335"/>
      <c r="X28" s="335"/>
      <c r="Y28" s="335"/>
      <c r="Z28" s="335"/>
      <c r="AA28" s="335"/>
      <c r="AB28" s="335"/>
      <c r="AC28" s="335"/>
      <c r="AD28" s="335"/>
      <c r="AE28" s="335"/>
      <c r="AF28" s="335"/>
    </row>
    <row r="29" ht="15.75" customHeight="1">
      <c r="A29" s="335"/>
      <c r="B29" s="343" t="s">
        <v>2833</v>
      </c>
      <c r="C29" s="335"/>
      <c r="D29" s="348" t="s">
        <v>2834</v>
      </c>
      <c r="E29" s="344" t="s">
        <v>2835</v>
      </c>
      <c r="F29" s="337" t="s">
        <v>2494</v>
      </c>
      <c r="G29" s="335"/>
      <c r="H29" s="335" t="s">
        <v>2495</v>
      </c>
      <c r="I29" s="335" t="s">
        <v>2836</v>
      </c>
      <c r="J29" s="335"/>
      <c r="K29" s="335" t="s">
        <v>2837</v>
      </c>
      <c r="L29" s="335" t="s">
        <v>2838</v>
      </c>
      <c r="M29" s="335"/>
      <c r="N29" s="335"/>
      <c r="O29" s="335"/>
      <c r="P29" s="335"/>
      <c r="Q29" s="335"/>
      <c r="R29" s="335"/>
      <c r="S29" s="335"/>
      <c r="T29" s="335"/>
      <c r="U29" s="335"/>
      <c r="V29" s="335"/>
      <c r="W29" s="335"/>
      <c r="X29" s="335"/>
      <c r="Y29" s="335"/>
      <c r="Z29" s="335"/>
      <c r="AA29" s="335"/>
      <c r="AB29" s="335"/>
      <c r="AC29" s="335"/>
      <c r="AD29" s="335"/>
      <c r="AE29" s="335"/>
      <c r="AF29" s="335"/>
    </row>
    <row r="30" ht="15.75" customHeight="1">
      <c r="A30" s="335"/>
      <c r="B30" s="343" t="s">
        <v>2839</v>
      </c>
      <c r="C30" s="335"/>
      <c r="D30" s="339" t="s">
        <v>2840</v>
      </c>
      <c r="E30" s="344" t="s">
        <v>2841</v>
      </c>
      <c r="F30" s="337" t="s">
        <v>2494</v>
      </c>
      <c r="G30" s="335"/>
      <c r="H30" s="335" t="s">
        <v>2495</v>
      </c>
      <c r="I30" s="335" t="s">
        <v>1532</v>
      </c>
      <c r="J30" s="335"/>
      <c r="K30" s="335" t="s">
        <v>2837</v>
      </c>
      <c r="L30" s="335" t="s">
        <v>2842</v>
      </c>
      <c r="M30" s="335"/>
      <c r="N30" s="335"/>
      <c r="O30" s="335"/>
      <c r="P30" s="335"/>
      <c r="Q30" s="335"/>
      <c r="R30" s="335"/>
      <c r="S30" s="335"/>
      <c r="T30" s="335"/>
      <c r="U30" s="335"/>
      <c r="V30" s="335"/>
      <c r="W30" s="335"/>
      <c r="X30" s="335"/>
      <c r="Y30" s="335"/>
      <c r="Z30" s="335"/>
      <c r="AA30" s="335"/>
      <c r="AB30" s="335"/>
      <c r="AC30" s="335"/>
      <c r="AD30" s="335"/>
      <c r="AE30" s="335"/>
      <c r="AF30" s="335"/>
    </row>
    <row r="31" ht="15.75" customHeight="1">
      <c r="A31" s="335"/>
      <c r="B31" s="343" t="s">
        <v>2843</v>
      </c>
      <c r="C31" s="335"/>
      <c r="D31" s="339" t="s">
        <v>2844</v>
      </c>
      <c r="E31" s="344" t="s">
        <v>2845</v>
      </c>
      <c r="F31" s="337" t="s">
        <v>2494</v>
      </c>
      <c r="G31" s="335"/>
      <c r="H31" s="335" t="s">
        <v>2495</v>
      </c>
      <c r="I31" s="335" t="s">
        <v>2809</v>
      </c>
      <c r="J31" s="335"/>
      <c r="K31" s="335" t="s">
        <v>2846</v>
      </c>
      <c r="L31" s="335"/>
      <c r="M31" s="335"/>
      <c r="N31" s="335"/>
      <c r="O31" s="335"/>
      <c r="P31" s="335"/>
      <c r="Q31" s="335"/>
      <c r="R31" s="335"/>
      <c r="S31" s="335"/>
      <c r="T31" s="335"/>
      <c r="U31" s="335"/>
      <c r="V31" s="335"/>
      <c r="W31" s="335"/>
      <c r="X31" s="335"/>
      <c r="Y31" s="335"/>
      <c r="Z31" s="335"/>
      <c r="AA31" s="335"/>
      <c r="AB31" s="335"/>
      <c r="AC31" s="335"/>
      <c r="AD31" s="335"/>
      <c r="AE31" s="335"/>
      <c r="AF31" s="335"/>
    </row>
    <row r="32" ht="15.75" customHeight="1">
      <c r="A32" s="335"/>
      <c r="B32" s="343" t="s">
        <v>2847</v>
      </c>
      <c r="C32" s="335"/>
      <c r="D32" s="347" t="s">
        <v>2848</v>
      </c>
      <c r="E32" s="344" t="s">
        <v>2849</v>
      </c>
      <c r="F32" s="337"/>
      <c r="G32" s="335"/>
      <c r="H32" s="335"/>
      <c r="I32" s="335" t="s">
        <v>2850</v>
      </c>
      <c r="J32" s="335"/>
      <c r="K32" s="335"/>
      <c r="L32" s="335"/>
      <c r="M32" s="335"/>
      <c r="N32" s="335"/>
      <c r="O32" s="335"/>
      <c r="P32" s="335"/>
      <c r="Q32" s="335"/>
      <c r="R32" s="335"/>
      <c r="S32" s="335"/>
      <c r="T32" s="335"/>
      <c r="U32" s="335"/>
      <c r="V32" s="335"/>
      <c r="W32" s="335"/>
      <c r="X32" s="335"/>
      <c r="Y32" s="335"/>
      <c r="Z32" s="335"/>
      <c r="AA32" s="335"/>
      <c r="AB32" s="335"/>
      <c r="AC32" s="335"/>
      <c r="AD32" s="335"/>
      <c r="AE32" s="335"/>
      <c r="AF32" s="335"/>
    </row>
    <row r="33" ht="15.75" customHeight="1">
      <c r="A33" s="335"/>
      <c r="B33" s="335" t="s">
        <v>2851</v>
      </c>
      <c r="C33" s="335"/>
      <c r="D33" s="346">
        <v>5.08993292E8</v>
      </c>
      <c r="E33" s="342" t="s">
        <v>2852</v>
      </c>
      <c r="F33" s="337" t="s">
        <v>2504</v>
      </c>
      <c r="G33" s="335"/>
      <c r="H33" s="335" t="s">
        <v>2495</v>
      </c>
      <c r="I33" s="335" t="s">
        <v>2853</v>
      </c>
      <c r="J33" s="335" t="s">
        <v>16</v>
      </c>
      <c r="K33" s="335"/>
      <c r="L33" s="335"/>
      <c r="M33" s="335"/>
      <c r="N33" s="335"/>
      <c r="O33" s="335"/>
      <c r="P33" s="335"/>
      <c r="Q33" s="335"/>
      <c r="R33" s="335"/>
      <c r="S33" s="335"/>
      <c r="T33" s="335"/>
      <c r="U33" s="335"/>
      <c r="V33" s="335"/>
      <c r="W33" s="335"/>
      <c r="X33" s="335"/>
      <c r="Y33" s="335"/>
      <c r="Z33" s="335"/>
      <c r="AA33" s="335"/>
      <c r="AB33" s="335"/>
      <c r="AC33" s="335"/>
      <c r="AD33" s="335"/>
      <c r="AE33" s="335"/>
      <c r="AF33" s="335"/>
    </row>
    <row r="34" ht="15.75" customHeight="1">
      <c r="A34" s="335"/>
      <c r="B34" s="343" t="s">
        <v>2854</v>
      </c>
      <c r="C34" s="335"/>
      <c r="D34" s="347" t="s">
        <v>2855</v>
      </c>
      <c r="E34" s="335" t="s">
        <v>2856</v>
      </c>
      <c r="F34" s="337" t="s">
        <v>2494</v>
      </c>
      <c r="G34" s="335"/>
      <c r="H34" s="335" t="s">
        <v>2495</v>
      </c>
      <c r="I34" s="335" t="s">
        <v>2857</v>
      </c>
      <c r="J34" s="335" t="s">
        <v>16</v>
      </c>
      <c r="K34" s="335"/>
      <c r="L34" s="335"/>
      <c r="M34" s="335"/>
      <c r="N34" s="335"/>
      <c r="O34" s="335"/>
      <c r="P34" s="335"/>
      <c r="Q34" s="335"/>
      <c r="R34" s="335"/>
      <c r="S34" s="335"/>
      <c r="T34" s="335"/>
      <c r="U34" s="335"/>
      <c r="V34" s="335"/>
      <c r="W34" s="335"/>
      <c r="X34" s="335"/>
      <c r="Y34" s="335"/>
      <c r="Z34" s="335"/>
      <c r="AA34" s="335"/>
      <c r="AB34" s="335"/>
      <c r="AC34" s="335"/>
      <c r="AD34" s="335"/>
      <c r="AE34" s="335"/>
      <c r="AF34" s="335"/>
    </row>
    <row r="35" ht="15.75" customHeight="1">
      <c r="A35" s="335"/>
      <c r="B35" s="343" t="s">
        <v>2858</v>
      </c>
      <c r="C35" s="335"/>
      <c r="D35" s="339" t="s">
        <v>2859</v>
      </c>
      <c r="E35" s="344" t="s">
        <v>2860</v>
      </c>
      <c r="F35" s="337" t="s">
        <v>2494</v>
      </c>
      <c r="G35" s="335"/>
      <c r="H35" s="335" t="s">
        <v>2495</v>
      </c>
      <c r="I35" s="335" t="s">
        <v>2513</v>
      </c>
      <c r="J35" s="335" t="s">
        <v>201</v>
      </c>
      <c r="K35" s="335"/>
      <c r="L35" s="335"/>
      <c r="M35" s="335"/>
      <c r="N35" s="335"/>
      <c r="O35" s="335"/>
      <c r="P35" s="335"/>
      <c r="Q35" s="335"/>
      <c r="R35" s="335"/>
      <c r="S35" s="335"/>
      <c r="T35" s="335"/>
      <c r="U35" s="335"/>
      <c r="V35" s="335"/>
      <c r="W35" s="335"/>
      <c r="X35" s="335"/>
      <c r="Y35" s="335"/>
      <c r="Z35" s="335"/>
      <c r="AA35" s="335"/>
      <c r="AB35" s="335"/>
      <c r="AC35" s="335"/>
      <c r="AD35" s="335"/>
      <c r="AE35" s="335"/>
      <c r="AF35" s="335"/>
    </row>
    <row r="36" ht="15.75" customHeight="1">
      <c r="A36" s="335"/>
      <c r="B36" s="349" t="s">
        <v>2861</v>
      </c>
      <c r="C36" s="335"/>
      <c r="D36" s="347" t="s">
        <v>2862</v>
      </c>
      <c r="E36" s="350" t="s">
        <v>2863</v>
      </c>
      <c r="F36" s="351" t="s">
        <v>2649</v>
      </c>
      <c r="G36" s="352"/>
      <c r="H36" s="352" t="s">
        <v>2543</v>
      </c>
      <c r="I36" s="335" t="s">
        <v>2864</v>
      </c>
      <c r="J36" s="335"/>
      <c r="K36" s="335"/>
      <c r="L36" s="335"/>
      <c r="M36" s="335"/>
      <c r="N36" s="335"/>
      <c r="O36" s="335"/>
      <c r="P36" s="335"/>
      <c r="Q36" s="335"/>
      <c r="R36" s="335"/>
      <c r="S36" s="335"/>
      <c r="T36" s="335"/>
      <c r="U36" s="335"/>
      <c r="V36" s="335"/>
      <c r="W36" s="335"/>
      <c r="X36" s="335"/>
      <c r="Y36" s="335"/>
      <c r="Z36" s="335"/>
      <c r="AA36" s="335"/>
      <c r="AB36" s="335"/>
      <c r="AC36" s="335"/>
      <c r="AD36" s="335"/>
      <c r="AE36" s="335"/>
      <c r="AF36" s="335"/>
    </row>
    <row r="37" ht="15.75" customHeight="1">
      <c r="A37" s="335"/>
      <c r="B37" s="343" t="s">
        <v>2865</v>
      </c>
      <c r="C37" s="335"/>
      <c r="D37" s="339" t="s">
        <v>2866</v>
      </c>
      <c r="E37" s="344" t="s">
        <v>2867</v>
      </c>
      <c r="F37" s="337"/>
      <c r="G37" s="335"/>
      <c r="H37" s="335" t="s">
        <v>2495</v>
      </c>
      <c r="I37" s="335" t="s">
        <v>2868</v>
      </c>
      <c r="J37" s="335" t="s">
        <v>16</v>
      </c>
      <c r="K37" s="335"/>
      <c r="L37" s="335"/>
      <c r="M37" s="335"/>
      <c r="N37" s="335"/>
      <c r="O37" s="335"/>
      <c r="P37" s="335"/>
      <c r="Q37" s="335"/>
      <c r="R37" s="335"/>
      <c r="S37" s="335"/>
      <c r="T37" s="335"/>
      <c r="U37" s="335"/>
      <c r="V37" s="335"/>
      <c r="W37" s="335"/>
      <c r="X37" s="335"/>
      <c r="Y37" s="335"/>
      <c r="Z37" s="335"/>
      <c r="AA37" s="335"/>
      <c r="AB37" s="335"/>
      <c r="AC37" s="335"/>
      <c r="AD37" s="335"/>
      <c r="AE37" s="335"/>
      <c r="AF37" s="335"/>
    </row>
    <row r="38" ht="15.75" customHeight="1">
      <c r="A38" s="334">
        <v>43325.0</v>
      </c>
      <c r="B38" s="335"/>
      <c r="C38" s="335"/>
      <c r="D38" s="336"/>
      <c r="E38" s="335"/>
      <c r="F38" s="337"/>
      <c r="G38" s="335"/>
      <c r="H38" s="335"/>
      <c r="I38" s="335"/>
      <c r="J38" s="335"/>
      <c r="K38" s="335"/>
      <c r="L38" s="335"/>
      <c r="M38" s="335"/>
      <c r="N38" s="335"/>
      <c r="O38" s="335"/>
      <c r="P38" s="335"/>
      <c r="Q38" s="335"/>
      <c r="R38" s="335"/>
      <c r="S38" s="335"/>
      <c r="T38" s="335"/>
      <c r="U38" s="335"/>
      <c r="V38" s="335"/>
      <c r="W38" s="335"/>
      <c r="X38" s="335"/>
      <c r="Y38" s="335"/>
      <c r="Z38" s="335"/>
      <c r="AA38" s="335"/>
      <c r="AB38" s="335"/>
      <c r="AC38" s="335"/>
      <c r="AD38" s="335"/>
      <c r="AE38" s="335"/>
      <c r="AF38" s="335"/>
    </row>
    <row r="39" ht="15.75" customHeight="1">
      <c r="A39" s="335"/>
      <c r="B39" s="343" t="s">
        <v>2869</v>
      </c>
      <c r="C39" s="335"/>
      <c r="D39" s="339" t="s">
        <v>2870</v>
      </c>
      <c r="E39" s="344" t="s">
        <v>2871</v>
      </c>
      <c r="F39" s="337" t="s">
        <v>2494</v>
      </c>
      <c r="G39" s="335"/>
      <c r="H39" s="335" t="s">
        <v>2495</v>
      </c>
      <c r="I39" s="335" t="s">
        <v>2872</v>
      </c>
      <c r="J39" s="335"/>
      <c r="K39" s="335" t="s">
        <v>2837</v>
      </c>
      <c r="L39" s="335"/>
      <c r="M39" s="335"/>
      <c r="N39" s="335"/>
      <c r="O39" s="335"/>
      <c r="P39" s="335"/>
      <c r="Q39" s="335"/>
      <c r="R39" s="335"/>
      <c r="S39" s="335"/>
      <c r="T39" s="335"/>
      <c r="U39" s="335"/>
      <c r="V39" s="335"/>
      <c r="W39" s="335"/>
      <c r="X39" s="335"/>
      <c r="Y39" s="335"/>
      <c r="Z39" s="335"/>
      <c r="AA39" s="335"/>
      <c r="AB39" s="335"/>
      <c r="AC39" s="335"/>
      <c r="AD39" s="335"/>
      <c r="AE39" s="335"/>
      <c r="AF39" s="335"/>
    </row>
    <row r="40" ht="15.75" customHeight="1">
      <c r="A40" s="335"/>
      <c r="B40" s="335" t="s">
        <v>2873</v>
      </c>
      <c r="C40" s="335"/>
      <c r="D40" s="347" t="s">
        <v>2874</v>
      </c>
      <c r="E40" s="342" t="s">
        <v>2875</v>
      </c>
      <c r="F40" s="337" t="s">
        <v>2504</v>
      </c>
      <c r="G40" s="335"/>
      <c r="H40" s="335" t="s">
        <v>2495</v>
      </c>
      <c r="I40" s="342" t="s">
        <v>2876</v>
      </c>
      <c r="J40" s="335" t="s">
        <v>401</v>
      </c>
      <c r="K40" s="335"/>
      <c r="L40" s="335"/>
      <c r="M40" s="335"/>
      <c r="N40" s="335"/>
      <c r="O40" s="335"/>
      <c r="P40" s="335"/>
      <c r="Q40" s="335"/>
      <c r="R40" s="335"/>
      <c r="S40" s="335"/>
      <c r="T40" s="335"/>
      <c r="U40" s="335"/>
      <c r="V40" s="335"/>
      <c r="W40" s="335"/>
      <c r="X40" s="335"/>
      <c r="Y40" s="335"/>
      <c r="Z40" s="335"/>
      <c r="AA40" s="335"/>
      <c r="AB40" s="335"/>
      <c r="AC40" s="335"/>
      <c r="AD40" s="335"/>
      <c r="AE40" s="335"/>
      <c r="AF40" s="335"/>
    </row>
    <row r="41" ht="15.75" customHeight="1">
      <c r="A41" s="335"/>
      <c r="B41" s="343" t="s">
        <v>2877</v>
      </c>
      <c r="C41" s="335"/>
      <c r="D41" s="346">
        <f>971502886609</f>
        <v>971502886609</v>
      </c>
      <c r="E41" s="344" t="s">
        <v>2878</v>
      </c>
      <c r="F41" s="337" t="s">
        <v>2494</v>
      </c>
      <c r="G41" s="335"/>
      <c r="H41" s="335"/>
      <c r="I41" s="343" t="s">
        <v>2879</v>
      </c>
      <c r="J41" s="335" t="s">
        <v>16</v>
      </c>
      <c r="K41" s="335"/>
      <c r="L41" s="335"/>
      <c r="M41" s="335"/>
      <c r="N41" s="335"/>
      <c r="O41" s="335"/>
      <c r="P41" s="335"/>
      <c r="Q41" s="335"/>
      <c r="R41" s="335"/>
      <c r="S41" s="335"/>
      <c r="T41" s="335"/>
      <c r="U41" s="335"/>
      <c r="V41" s="335"/>
      <c r="W41" s="335"/>
      <c r="X41" s="335"/>
      <c r="Y41" s="335"/>
      <c r="Z41" s="335"/>
      <c r="AA41" s="335"/>
      <c r="AB41" s="335"/>
      <c r="AC41" s="335"/>
      <c r="AD41" s="335"/>
      <c r="AE41" s="335"/>
      <c r="AF41" s="335"/>
    </row>
    <row r="42" ht="15.75" customHeight="1">
      <c r="A42" s="335"/>
      <c r="B42" s="343" t="s">
        <v>2880</v>
      </c>
      <c r="C42" s="335"/>
      <c r="D42" s="339" t="s">
        <v>2881</v>
      </c>
      <c r="E42" s="344" t="s">
        <v>2882</v>
      </c>
      <c r="F42" s="337" t="s">
        <v>2494</v>
      </c>
      <c r="G42" s="335"/>
      <c r="H42" s="335" t="s">
        <v>2495</v>
      </c>
      <c r="I42" s="345" t="s">
        <v>2883</v>
      </c>
      <c r="J42" s="335" t="s">
        <v>16</v>
      </c>
      <c r="K42" s="335"/>
      <c r="L42" s="335"/>
      <c r="M42" s="335"/>
      <c r="N42" s="335"/>
      <c r="O42" s="335"/>
      <c r="P42" s="335"/>
      <c r="Q42" s="335"/>
      <c r="R42" s="335"/>
      <c r="S42" s="335"/>
      <c r="T42" s="335"/>
      <c r="U42" s="335"/>
      <c r="V42" s="335"/>
      <c r="W42" s="335"/>
      <c r="X42" s="335"/>
      <c r="Y42" s="335"/>
      <c r="Z42" s="335"/>
      <c r="AA42" s="335"/>
      <c r="AB42" s="335"/>
      <c r="AC42" s="335"/>
      <c r="AD42" s="335"/>
      <c r="AE42" s="335"/>
      <c r="AF42" s="335"/>
    </row>
    <row r="43" ht="15.75" customHeight="1">
      <c r="A43" s="335"/>
      <c r="B43" s="343" t="s">
        <v>2884</v>
      </c>
      <c r="C43" s="335"/>
      <c r="D43" s="347" t="s">
        <v>2885</v>
      </c>
      <c r="E43" s="344" t="s">
        <v>2886</v>
      </c>
      <c r="F43" s="337"/>
      <c r="G43" s="335"/>
      <c r="H43" s="335" t="s">
        <v>2552</v>
      </c>
      <c r="I43" s="335" t="s">
        <v>2887</v>
      </c>
      <c r="J43" s="335" t="s">
        <v>2888</v>
      </c>
      <c r="K43" s="335"/>
      <c r="L43" s="335"/>
      <c r="M43" s="335"/>
      <c r="N43" s="335"/>
      <c r="O43" s="335"/>
      <c r="P43" s="335"/>
      <c r="Q43" s="335"/>
      <c r="R43" s="335"/>
      <c r="S43" s="335"/>
      <c r="T43" s="335"/>
      <c r="U43" s="335"/>
      <c r="V43" s="335"/>
      <c r="W43" s="335"/>
      <c r="X43" s="335"/>
      <c r="Y43" s="335"/>
      <c r="Z43" s="335"/>
      <c r="AA43" s="335"/>
      <c r="AB43" s="335"/>
      <c r="AC43" s="335"/>
      <c r="AD43" s="335"/>
      <c r="AE43" s="335"/>
      <c r="AF43" s="335"/>
    </row>
    <row r="44" ht="15.75" customHeight="1">
      <c r="A44" s="335"/>
      <c r="B44" s="335" t="s">
        <v>2889</v>
      </c>
      <c r="C44" s="335"/>
      <c r="D44" s="339" t="s">
        <v>2890</v>
      </c>
      <c r="E44" s="342" t="s">
        <v>2891</v>
      </c>
      <c r="F44" s="337" t="s">
        <v>2504</v>
      </c>
      <c r="G44" s="335"/>
      <c r="H44" s="335" t="s">
        <v>2543</v>
      </c>
      <c r="I44" s="335" t="s">
        <v>2544</v>
      </c>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row>
    <row r="45" ht="15.75" customHeight="1">
      <c r="A45" s="334">
        <v>43326.0</v>
      </c>
      <c r="B45" s="335"/>
      <c r="C45" s="335"/>
      <c r="D45" s="336"/>
      <c r="E45" s="335"/>
      <c r="F45" s="337"/>
      <c r="G45" s="335"/>
      <c r="H45" s="335"/>
      <c r="I45" s="335"/>
      <c r="J45" s="335"/>
      <c r="K45" s="335"/>
      <c r="L45" s="335"/>
      <c r="M45" s="335"/>
      <c r="N45" s="335"/>
      <c r="O45" s="335"/>
      <c r="P45" s="335"/>
      <c r="Q45" s="335"/>
      <c r="R45" s="335"/>
      <c r="S45" s="335"/>
      <c r="T45" s="335"/>
      <c r="U45" s="335"/>
      <c r="V45" s="335"/>
      <c r="W45" s="335"/>
      <c r="X45" s="335"/>
      <c r="Y45" s="335"/>
      <c r="Z45" s="335"/>
      <c r="AA45" s="335"/>
      <c r="AB45" s="335"/>
      <c r="AC45" s="335"/>
      <c r="AD45" s="335"/>
      <c r="AE45" s="335"/>
      <c r="AF45" s="335"/>
    </row>
    <row r="46" ht="15.75" customHeight="1">
      <c r="A46" s="335"/>
      <c r="B46" s="353" t="s">
        <v>2892</v>
      </c>
      <c r="C46" s="335"/>
      <c r="D46" s="346">
        <f>+971505497876</f>
        <v>971505497876</v>
      </c>
      <c r="E46" s="342" t="s">
        <v>2893</v>
      </c>
      <c r="F46" s="337" t="s">
        <v>2894</v>
      </c>
      <c r="G46" s="335" t="s">
        <v>1188</v>
      </c>
      <c r="H46" s="335"/>
      <c r="I46" s="335"/>
      <c r="J46" s="335"/>
      <c r="K46" s="335"/>
      <c r="L46" s="335"/>
      <c r="M46" s="335"/>
      <c r="N46" s="335"/>
      <c r="O46" s="335"/>
      <c r="P46" s="335"/>
      <c r="Q46" s="335"/>
      <c r="R46" s="335"/>
      <c r="S46" s="335"/>
      <c r="T46" s="335"/>
      <c r="U46" s="335"/>
      <c r="V46" s="335"/>
      <c r="W46" s="335"/>
      <c r="X46" s="335"/>
      <c r="Y46" s="335"/>
      <c r="Z46" s="335"/>
      <c r="AA46" s="335"/>
      <c r="AB46" s="335"/>
      <c r="AC46" s="335"/>
      <c r="AD46" s="335"/>
      <c r="AE46" s="335"/>
      <c r="AF46" s="335"/>
    </row>
    <row r="47" ht="15.75" customHeight="1">
      <c r="A47" s="335"/>
      <c r="B47" s="343" t="s">
        <v>2895</v>
      </c>
      <c r="C47" s="335"/>
      <c r="D47" s="339" t="s">
        <v>2896</v>
      </c>
      <c r="E47" s="344" t="s">
        <v>2897</v>
      </c>
      <c r="F47" s="337" t="s">
        <v>2494</v>
      </c>
      <c r="G47" s="335"/>
      <c r="H47" s="335" t="s">
        <v>2543</v>
      </c>
      <c r="I47" s="335" t="s">
        <v>2864</v>
      </c>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row>
    <row r="48" ht="15.75" customHeight="1">
      <c r="A48" s="334">
        <v>43328.0</v>
      </c>
      <c r="B48" s="335"/>
      <c r="C48" s="335"/>
      <c r="D48" s="336"/>
      <c r="E48" s="335"/>
      <c r="F48" s="337"/>
      <c r="G48" s="335"/>
      <c r="H48" s="335"/>
      <c r="I48" s="335"/>
      <c r="J48" s="335"/>
      <c r="K48" s="335"/>
      <c r="L48" s="335"/>
      <c r="M48" s="335"/>
      <c r="N48" s="335"/>
      <c r="O48" s="335"/>
      <c r="P48" s="335"/>
      <c r="Q48" s="335"/>
      <c r="R48" s="335"/>
      <c r="S48" s="335"/>
      <c r="T48" s="335"/>
      <c r="U48" s="335"/>
      <c r="V48" s="335"/>
      <c r="W48" s="335"/>
      <c r="X48" s="335"/>
      <c r="Y48" s="335"/>
      <c r="Z48" s="335"/>
      <c r="AA48" s="335"/>
      <c r="AB48" s="335"/>
      <c r="AC48" s="335"/>
      <c r="AD48" s="335"/>
      <c r="AE48" s="335"/>
      <c r="AF48" s="335"/>
    </row>
    <row r="49" ht="15.75" customHeight="1">
      <c r="A49" s="335"/>
      <c r="B49" s="354" t="s">
        <v>2898</v>
      </c>
      <c r="C49" s="335"/>
      <c r="D49" s="347" t="s">
        <v>2899</v>
      </c>
      <c r="E49" s="354" t="s">
        <v>2900</v>
      </c>
      <c r="F49" s="337" t="s">
        <v>2894</v>
      </c>
      <c r="G49" s="335"/>
      <c r="H49" s="335"/>
      <c r="I49" s="335"/>
      <c r="J49" s="335"/>
      <c r="K49" s="335"/>
      <c r="L49" s="335"/>
      <c r="M49" s="335"/>
      <c r="N49" s="335"/>
      <c r="O49" s="335"/>
      <c r="P49" s="335"/>
      <c r="Q49" s="335"/>
      <c r="R49" s="335"/>
      <c r="S49" s="335"/>
      <c r="T49" s="335"/>
      <c r="U49" s="335"/>
      <c r="V49" s="335"/>
      <c r="W49" s="335"/>
      <c r="X49" s="335"/>
      <c r="Y49" s="335"/>
      <c r="Z49" s="335"/>
      <c r="AA49" s="335"/>
      <c r="AB49" s="335"/>
      <c r="AC49" s="335"/>
      <c r="AD49" s="335"/>
      <c r="AE49" s="335"/>
      <c r="AF49" s="335"/>
    </row>
    <row r="50" ht="15.75" customHeight="1">
      <c r="A50" s="335"/>
      <c r="B50" s="343" t="s">
        <v>2901</v>
      </c>
      <c r="C50" s="335"/>
      <c r="D50" s="339" t="s">
        <v>2902</v>
      </c>
      <c r="E50" s="344" t="s">
        <v>2903</v>
      </c>
      <c r="F50" s="337" t="s">
        <v>2494</v>
      </c>
      <c r="G50" s="335"/>
      <c r="H50" s="335" t="s">
        <v>2495</v>
      </c>
      <c r="I50" s="335" t="s">
        <v>2904</v>
      </c>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row>
    <row r="51" ht="15.75" customHeight="1">
      <c r="A51" s="334">
        <v>43330.0</v>
      </c>
      <c r="B51" s="335"/>
      <c r="C51" s="335"/>
      <c r="D51" s="336"/>
      <c r="E51" s="335"/>
      <c r="F51" s="337"/>
      <c r="G51" s="335"/>
      <c r="H51" s="335"/>
      <c r="I51" s="335"/>
      <c r="J51" s="335"/>
      <c r="K51" s="335"/>
      <c r="L51" s="335"/>
      <c r="M51" s="335"/>
      <c r="N51" s="335"/>
      <c r="O51" s="335"/>
      <c r="P51" s="335"/>
      <c r="Q51" s="335"/>
      <c r="R51" s="335"/>
      <c r="S51" s="335"/>
      <c r="T51" s="335"/>
      <c r="U51" s="335"/>
      <c r="V51" s="335"/>
      <c r="W51" s="335"/>
      <c r="X51" s="335"/>
      <c r="Y51" s="335"/>
      <c r="Z51" s="335"/>
      <c r="AA51" s="335"/>
      <c r="AB51" s="335"/>
      <c r="AC51" s="335"/>
      <c r="AD51" s="335"/>
      <c r="AE51" s="335"/>
      <c r="AF51" s="335"/>
    </row>
    <row r="52" ht="15.75" customHeight="1">
      <c r="A52" s="335"/>
      <c r="B52" s="343" t="s">
        <v>2905</v>
      </c>
      <c r="C52" s="335"/>
      <c r="D52" s="336">
        <v>5.58230719E8</v>
      </c>
      <c r="E52" s="344" t="s">
        <v>2906</v>
      </c>
      <c r="F52" s="337" t="s">
        <v>2494</v>
      </c>
      <c r="G52" s="335"/>
      <c r="H52" s="335" t="s">
        <v>2495</v>
      </c>
      <c r="I52" s="355" t="s">
        <v>2907</v>
      </c>
      <c r="J52" s="335" t="s">
        <v>16</v>
      </c>
      <c r="K52" s="335"/>
      <c r="L52" s="335"/>
      <c r="M52" s="335"/>
      <c r="N52" s="335"/>
      <c r="O52" s="335"/>
      <c r="P52" s="335"/>
      <c r="Q52" s="335"/>
      <c r="R52" s="335"/>
      <c r="S52" s="335"/>
      <c r="T52" s="335"/>
      <c r="U52" s="335"/>
      <c r="V52" s="335"/>
      <c r="W52" s="335"/>
      <c r="X52" s="335"/>
      <c r="Y52" s="335"/>
      <c r="Z52" s="335"/>
      <c r="AA52" s="335"/>
      <c r="AB52" s="335"/>
      <c r="AC52" s="335"/>
      <c r="AD52" s="335"/>
      <c r="AE52" s="335"/>
      <c r="AF52" s="335"/>
    </row>
    <row r="53" ht="15.75" customHeight="1">
      <c r="A53" s="335"/>
      <c r="B53" s="349" t="s">
        <v>2908</v>
      </c>
      <c r="C53" s="335"/>
      <c r="D53" s="339" t="s">
        <v>2909</v>
      </c>
      <c r="E53" s="350" t="s">
        <v>2910</v>
      </c>
      <c r="F53" s="337" t="s">
        <v>2649</v>
      </c>
      <c r="G53" s="335"/>
      <c r="H53" s="335" t="s">
        <v>2552</v>
      </c>
      <c r="I53" s="349" t="s">
        <v>2911</v>
      </c>
      <c r="J53" s="335" t="s">
        <v>201</v>
      </c>
      <c r="K53" s="335"/>
      <c r="L53" s="335"/>
      <c r="M53" s="335"/>
      <c r="N53" s="335"/>
      <c r="O53" s="335"/>
      <c r="P53" s="335"/>
      <c r="Q53" s="335"/>
      <c r="R53" s="335"/>
      <c r="S53" s="335"/>
      <c r="T53" s="335"/>
      <c r="U53" s="335"/>
      <c r="V53" s="335"/>
      <c r="W53" s="335"/>
      <c r="X53" s="335"/>
      <c r="Y53" s="335"/>
      <c r="Z53" s="335"/>
      <c r="AA53" s="335"/>
      <c r="AB53" s="335"/>
      <c r="AC53" s="335"/>
      <c r="AD53" s="335"/>
      <c r="AE53" s="335"/>
      <c r="AF53" s="335"/>
    </row>
    <row r="54" ht="15.75" customHeight="1">
      <c r="A54" s="335"/>
      <c r="B54" s="343" t="s">
        <v>2912</v>
      </c>
      <c r="C54" s="335"/>
      <c r="D54" s="347" t="s">
        <v>2913</v>
      </c>
      <c r="E54" s="344" t="s">
        <v>2914</v>
      </c>
      <c r="F54" s="337" t="s">
        <v>2494</v>
      </c>
      <c r="G54" s="335"/>
      <c r="H54" s="335" t="s">
        <v>2552</v>
      </c>
      <c r="I54" s="335" t="s">
        <v>2915</v>
      </c>
      <c r="J54" s="335" t="s">
        <v>16</v>
      </c>
      <c r="K54" s="335"/>
      <c r="L54" s="335"/>
      <c r="M54" s="335"/>
      <c r="N54" s="335"/>
      <c r="O54" s="335"/>
      <c r="P54" s="335"/>
      <c r="Q54" s="335"/>
      <c r="R54" s="335"/>
      <c r="S54" s="335"/>
      <c r="T54" s="335"/>
      <c r="U54" s="335"/>
      <c r="V54" s="335"/>
      <c r="W54" s="335"/>
      <c r="X54" s="335"/>
      <c r="Y54" s="335"/>
      <c r="Z54" s="335"/>
      <c r="AA54" s="335"/>
      <c r="AB54" s="335"/>
      <c r="AC54" s="335"/>
      <c r="AD54" s="335"/>
      <c r="AE54" s="335"/>
      <c r="AF54" s="335"/>
    </row>
    <row r="55" ht="15.75" customHeight="1">
      <c r="A55" s="335"/>
      <c r="B55" s="342" t="s">
        <v>2916</v>
      </c>
      <c r="C55" s="335"/>
      <c r="D55" s="347" t="s">
        <v>2917</v>
      </c>
      <c r="E55" s="342" t="s">
        <v>2916</v>
      </c>
      <c r="F55" s="337" t="s">
        <v>2504</v>
      </c>
      <c r="G55" s="335"/>
      <c r="H55" s="335" t="s">
        <v>2495</v>
      </c>
      <c r="I55" s="335" t="s">
        <v>2794</v>
      </c>
      <c r="J55" s="335" t="s">
        <v>201</v>
      </c>
      <c r="K55" s="335"/>
      <c r="L55" s="335"/>
      <c r="M55" s="335"/>
      <c r="N55" s="335"/>
      <c r="O55" s="335"/>
      <c r="P55" s="335"/>
      <c r="Q55" s="335"/>
      <c r="R55" s="335"/>
      <c r="S55" s="335"/>
      <c r="T55" s="335"/>
      <c r="U55" s="335"/>
      <c r="V55" s="335"/>
      <c r="W55" s="335"/>
      <c r="X55" s="335"/>
      <c r="Y55" s="335"/>
      <c r="Z55" s="335"/>
      <c r="AA55" s="335"/>
      <c r="AB55" s="335"/>
      <c r="AC55" s="335"/>
      <c r="AD55" s="335"/>
      <c r="AE55" s="335"/>
      <c r="AF55" s="335"/>
    </row>
    <row r="56" ht="15.75" customHeight="1">
      <c r="A56" s="335"/>
      <c r="B56" s="335" t="s">
        <v>2918</v>
      </c>
      <c r="C56" s="335"/>
      <c r="D56" s="339" t="s">
        <v>2919</v>
      </c>
      <c r="E56" s="342" t="s">
        <v>2920</v>
      </c>
      <c r="F56" s="337" t="s">
        <v>2494</v>
      </c>
      <c r="G56" s="335"/>
      <c r="H56" s="335" t="s">
        <v>2495</v>
      </c>
      <c r="I56" s="335" t="s">
        <v>2921</v>
      </c>
      <c r="J56" s="335"/>
      <c r="K56" s="335" t="s">
        <v>2922</v>
      </c>
      <c r="L56" s="335"/>
      <c r="M56" s="335"/>
      <c r="N56" s="335"/>
      <c r="O56" s="335"/>
      <c r="P56" s="335"/>
      <c r="Q56" s="335"/>
      <c r="R56" s="335"/>
      <c r="S56" s="335"/>
      <c r="T56" s="335"/>
      <c r="U56" s="335"/>
      <c r="V56" s="335"/>
      <c r="W56" s="335"/>
      <c r="X56" s="335"/>
      <c r="Y56" s="335"/>
      <c r="Z56" s="335"/>
      <c r="AA56" s="335"/>
      <c r="AB56" s="335"/>
      <c r="AC56" s="335"/>
      <c r="AD56" s="335"/>
      <c r="AE56" s="335"/>
      <c r="AF56" s="335"/>
    </row>
    <row r="57" ht="15.75" customHeight="1">
      <c r="A57" s="334">
        <v>43334.0</v>
      </c>
      <c r="B57" s="335"/>
      <c r="C57" s="335"/>
      <c r="D57" s="336"/>
      <c r="E57" s="335"/>
      <c r="F57" s="337"/>
      <c r="G57" s="335"/>
      <c r="H57" s="335"/>
      <c r="I57" s="335"/>
      <c r="J57" s="335"/>
      <c r="K57" s="335"/>
      <c r="L57" s="335"/>
      <c r="M57" s="335"/>
      <c r="N57" s="335"/>
      <c r="O57" s="335"/>
      <c r="P57" s="335"/>
      <c r="Q57" s="335"/>
      <c r="R57" s="335"/>
      <c r="S57" s="335"/>
      <c r="T57" s="335"/>
      <c r="U57" s="335"/>
      <c r="V57" s="335"/>
      <c r="W57" s="335"/>
      <c r="X57" s="335"/>
      <c r="Y57" s="335"/>
      <c r="Z57" s="335"/>
      <c r="AA57" s="335"/>
      <c r="AB57" s="335"/>
      <c r="AC57" s="335"/>
      <c r="AD57" s="335"/>
      <c r="AE57" s="335"/>
      <c r="AF57" s="335"/>
    </row>
    <row r="58" ht="15.75" customHeight="1">
      <c r="A58" s="335"/>
      <c r="B58" s="343" t="s">
        <v>2923</v>
      </c>
      <c r="C58" s="335"/>
      <c r="D58" s="347" t="s">
        <v>2924</v>
      </c>
      <c r="E58" s="344" t="s">
        <v>2925</v>
      </c>
      <c r="F58" s="337" t="s">
        <v>2494</v>
      </c>
      <c r="G58" s="335"/>
      <c r="H58" s="335" t="s">
        <v>2495</v>
      </c>
      <c r="I58" s="335" t="s">
        <v>2926</v>
      </c>
      <c r="J58" s="335"/>
      <c r="K58" s="335"/>
      <c r="L58" s="335"/>
      <c r="M58" s="335"/>
      <c r="N58" s="335"/>
      <c r="O58" s="335"/>
      <c r="P58" s="335"/>
      <c r="Q58" s="335"/>
      <c r="R58" s="335"/>
      <c r="S58" s="335"/>
      <c r="T58" s="335"/>
      <c r="U58" s="335"/>
      <c r="V58" s="335"/>
      <c r="W58" s="335"/>
      <c r="X58" s="335"/>
      <c r="Y58" s="335"/>
      <c r="Z58" s="335"/>
      <c r="AA58" s="335"/>
      <c r="AB58" s="335"/>
      <c r="AC58" s="335"/>
      <c r="AD58" s="335"/>
      <c r="AE58" s="335"/>
      <c r="AF58" s="335"/>
    </row>
    <row r="59" ht="15.75" customHeight="1">
      <c r="A59" s="335"/>
      <c r="B59" s="343" t="s">
        <v>2927</v>
      </c>
      <c r="C59" s="335"/>
      <c r="D59" s="347" t="s">
        <v>2928</v>
      </c>
      <c r="E59" s="344" t="s">
        <v>2929</v>
      </c>
      <c r="F59" s="337" t="s">
        <v>2494</v>
      </c>
      <c r="G59" s="335"/>
      <c r="H59" s="335" t="s">
        <v>2495</v>
      </c>
      <c r="I59" s="335" t="s">
        <v>2930</v>
      </c>
      <c r="J59" s="335"/>
      <c r="K59" s="335" t="s">
        <v>2922</v>
      </c>
      <c r="L59" s="335"/>
      <c r="M59" s="335"/>
      <c r="N59" s="335"/>
      <c r="O59" s="335"/>
      <c r="P59" s="335"/>
      <c r="Q59" s="335"/>
      <c r="R59" s="335"/>
      <c r="S59" s="335"/>
      <c r="T59" s="335"/>
      <c r="U59" s="335"/>
      <c r="V59" s="335"/>
      <c r="W59" s="335"/>
      <c r="X59" s="335"/>
      <c r="Y59" s="335"/>
      <c r="Z59" s="335"/>
      <c r="AA59" s="335"/>
      <c r="AB59" s="335"/>
      <c r="AC59" s="335"/>
      <c r="AD59" s="335"/>
      <c r="AE59" s="335"/>
      <c r="AF59" s="335"/>
    </row>
    <row r="60" ht="15.75" customHeight="1">
      <c r="A60" s="335"/>
      <c r="B60" s="335" t="s">
        <v>379</v>
      </c>
      <c r="C60" s="335"/>
      <c r="D60" s="347" t="s">
        <v>2931</v>
      </c>
      <c r="E60" s="342" t="s">
        <v>2932</v>
      </c>
      <c r="F60" s="337"/>
      <c r="G60" s="335"/>
      <c r="H60" s="335" t="s">
        <v>2495</v>
      </c>
      <c r="I60" s="335" t="s">
        <v>2930</v>
      </c>
      <c r="J60" s="335"/>
      <c r="K60" s="335" t="s">
        <v>2922</v>
      </c>
      <c r="L60" s="335"/>
      <c r="M60" s="335"/>
      <c r="N60" s="335"/>
      <c r="O60" s="335"/>
      <c r="P60" s="335"/>
      <c r="Q60" s="335"/>
      <c r="R60" s="335"/>
      <c r="S60" s="335"/>
      <c r="T60" s="335"/>
      <c r="U60" s="335"/>
      <c r="V60" s="335"/>
      <c r="W60" s="335"/>
      <c r="X60" s="335"/>
      <c r="Y60" s="335"/>
      <c r="Z60" s="335"/>
      <c r="AA60" s="335"/>
      <c r="AB60" s="335"/>
      <c r="AC60" s="335"/>
      <c r="AD60" s="335"/>
      <c r="AE60" s="335"/>
      <c r="AF60" s="335"/>
    </row>
    <row r="61" ht="15.75" customHeight="1">
      <c r="A61" s="335"/>
      <c r="B61" s="338" t="s">
        <v>2933</v>
      </c>
      <c r="C61" s="335"/>
      <c r="D61" s="339" t="s">
        <v>2934</v>
      </c>
      <c r="E61" s="340" t="s">
        <v>2935</v>
      </c>
      <c r="F61" s="337" t="s">
        <v>2534</v>
      </c>
      <c r="G61" s="335"/>
      <c r="H61" s="335" t="s">
        <v>2495</v>
      </c>
      <c r="I61" s="335" t="s">
        <v>2809</v>
      </c>
      <c r="J61" s="335"/>
      <c r="K61" s="335"/>
      <c r="L61" s="335"/>
      <c r="M61" s="335"/>
      <c r="N61" s="335"/>
      <c r="O61" s="335"/>
      <c r="P61" s="335"/>
      <c r="Q61" s="335"/>
      <c r="R61" s="335"/>
      <c r="S61" s="335"/>
      <c r="T61" s="335"/>
      <c r="U61" s="335"/>
      <c r="V61" s="335"/>
      <c r="W61" s="335"/>
      <c r="X61" s="335"/>
      <c r="Y61" s="335"/>
      <c r="Z61" s="335"/>
      <c r="AA61" s="335"/>
      <c r="AB61" s="335"/>
      <c r="AC61" s="335"/>
      <c r="AD61" s="335"/>
      <c r="AE61" s="335"/>
      <c r="AF61" s="335"/>
    </row>
    <row r="62" ht="15.75" customHeight="1">
      <c r="A62" s="335"/>
      <c r="B62" s="343" t="s">
        <v>2936</v>
      </c>
      <c r="C62" s="335"/>
      <c r="D62" s="339" t="s">
        <v>2937</v>
      </c>
      <c r="E62" s="344" t="s">
        <v>2938</v>
      </c>
      <c r="F62" s="337" t="s">
        <v>2494</v>
      </c>
      <c r="G62" s="335"/>
      <c r="H62" s="335" t="s">
        <v>2495</v>
      </c>
      <c r="I62" s="355" t="s">
        <v>2939</v>
      </c>
      <c r="J62" s="335" t="s">
        <v>201</v>
      </c>
      <c r="K62" s="335"/>
      <c r="L62" s="335"/>
      <c r="M62" s="335"/>
      <c r="N62" s="335"/>
      <c r="O62" s="335"/>
      <c r="P62" s="335"/>
      <c r="Q62" s="335"/>
      <c r="R62" s="335"/>
      <c r="S62" s="335"/>
      <c r="T62" s="335"/>
      <c r="U62" s="335"/>
      <c r="V62" s="335"/>
      <c r="W62" s="335"/>
      <c r="X62" s="335"/>
      <c r="Y62" s="335"/>
      <c r="Z62" s="335"/>
      <c r="AA62" s="335"/>
      <c r="AB62" s="335"/>
      <c r="AC62" s="335"/>
      <c r="AD62" s="335"/>
      <c r="AE62" s="335"/>
      <c r="AF62" s="335"/>
    </row>
    <row r="63" ht="15.75" customHeight="1">
      <c r="A63" s="335"/>
      <c r="B63" s="343" t="s">
        <v>2940</v>
      </c>
      <c r="C63" s="335"/>
      <c r="D63" s="348" t="s">
        <v>2941</v>
      </c>
      <c r="E63" s="344" t="s">
        <v>2942</v>
      </c>
      <c r="F63" s="337" t="s">
        <v>2494</v>
      </c>
      <c r="G63" s="335"/>
      <c r="H63" s="335" t="s">
        <v>2737</v>
      </c>
      <c r="I63" s="335" t="s">
        <v>2943</v>
      </c>
      <c r="J63" s="335" t="s">
        <v>306</v>
      </c>
      <c r="K63" s="335"/>
      <c r="L63" s="335"/>
      <c r="M63" s="335"/>
      <c r="N63" s="335"/>
      <c r="O63" s="335"/>
      <c r="P63" s="335"/>
      <c r="Q63" s="335"/>
      <c r="R63" s="335"/>
      <c r="S63" s="335"/>
      <c r="T63" s="335"/>
      <c r="U63" s="335"/>
      <c r="V63" s="335"/>
      <c r="W63" s="335"/>
      <c r="X63" s="335"/>
      <c r="Y63" s="335"/>
      <c r="Z63" s="335"/>
      <c r="AA63" s="335"/>
      <c r="AB63" s="335"/>
      <c r="AC63" s="335"/>
      <c r="AD63" s="335"/>
      <c r="AE63" s="335"/>
      <c r="AF63" s="335"/>
    </row>
    <row r="64" ht="15.75" customHeight="1">
      <c r="A64" s="335"/>
      <c r="B64" s="335" t="s">
        <v>2944</v>
      </c>
      <c r="C64" s="335"/>
      <c r="D64" s="347" t="s">
        <v>2945</v>
      </c>
      <c r="E64" s="342" t="s">
        <v>2946</v>
      </c>
      <c r="F64" s="337" t="s">
        <v>2504</v>
      </c>
      <c r="G64" s="335"/>
      <c r="H64" s="335" t="s">
        <v>2543</v>
      </c>
      <c r="I64" s="335" t="s">
        <v>2947</v>
      </c>
      <c r="J64" s="335"/>
      <c r="K64" s="335"/>
      <c r="L64" s="335"/>
      <c r="M64" s="335"/>
      <c r="N64" s="335"/>
      <c r="O64" s="335"/>
      <c r="P64" s="335"/>
      <c r="Q64" s="335"/>
      <c r="R64" s="335"/>
      <c r="S64" s="335"/>
      <c r="T64" s="335"/>
      <c r="U64" s="335"/>
      <c r="V64" s="335"/>
      <c r="W64" s="335"/>
      <c r="X64" s="335"/>
      <c r="Y64" s="335"/>
      <c r="Z64" s="335"/>
      <c r="AA64" s="335"/>
      <c r="AB64" s="335"/>
      <c r="AC64" s="335"/>
      <c r="AD64" s="335"/>
      <c r="AE64" s="335"/>
      <c r="AF64" s="335"/>
    </row>
    <row r="65" ht="15.75" customHeight="1">
      <c r="A65" s="335"/>
      <c r="B65" s="353" t="s">
        <v>2948</v>
      </c>
      <c r="C65" s="335"/>
      <c r="D65" s="347" t="s">
        <v>2949</v>
      </c>
      <c r="E65" s="342" t="s">
        <v>2950</v>
      </c>
      <c r="F65" s="337" t="s">
        <v>2504</v>
      </c>
      <c r="G65" s="335"/>
      <c r="H65" s="335"/>
      <c r="I65" s="342" t="s">
        <v>2951</v>
      </c>
      <c r="J65" s="335" t="s">
        <v>401</v>
      </c>
      <c r="K65" s="335"/>
      <c r="L65" s="335"/>
      <c r="M65" s="335"/>
      <c r="N65" s="335"/>
      <c r="O65" s="335"/>
      <c r="P65" s="335"/>
      <c r="Q65" s="335"/>
      <c r="R65" s="335"/>
      <c r="S65" s="335"/>
      <c r="T65" s="335"/>
      <c r="U65" s="335"/>
      <c r="V65" s="335"/>
      <c r="W65" s="335"/>
      <c r="X65" s="335"/>
      <c r="Y65" s="335"/>
      <c r="Z65" s="335"/>
      <c r="AA65" s="335"/>
      <c r="AB65" s="335"/>
      <c r="AC65" s="335"/>
      <c r="AD65" s="335"/>
      <c r="AE65" s="335"/>
      <c r="AF65" s="335"/>
    </row>
    <row r="66" ht="15.75" customHeight="1">
      <c r="A66" s="335"/>
      <c r="B66" s="335" t="s">
        <v>2952</v>
      </c>
      <c r="C66" s="335"/>
      <c r="D66" s="347" t="s">
        <v>2953</v>
      </c>
      <c r="E66" s="342" t="s">
        <v>2954</v>
      </c>
      <c r="F66" s="337" t="s">
        <v>2504</v>
      </c>
      <c r="G66" s="335"/>
      <c r="H66" s="335"/>
      <c r="I66" s="356" t="s">
        <v>1593</v>
      </c>
      <c r="J66" s="335" t="s">
        <v>16</v>
      </c>
      <c r="K66" s="335"/>
      <c r="L66" s="335"/>
      <c r="M66" s="335"/>
      <c r="N66" s="335"/>
      <c r="O66" s="335"/>
      <c r="P66" s="335"/>
      <c r="Q66" s="335"/>
      <c r="R66" s="335"/>
      <c r="S66" s="335"/>
      <c r="T66" s="335"/>
      <c r="U66" s="335"/>
      <c r="V66" s="335"/>
      <c r="W66" s="335"/>
      <c r="X66" s="335"/>
      <c r="Y66" s="335"/>
      <c r="Z66" s="335"/>
      <c r="AA66" s="335"/>
      <c r="AB66" s="335"/>
      <c r="AC66" s="335"/>
      <c r="AD66" s="335"/>
      <c r="AE66" s="335"/>
      <c r="AF66" s="335"/>
    </row>
    <row r="67" ht="15.75" customHeight="1">
      <c r="A67" s="335"/>
      <c r="B67" s="335" t="s">
        <v>2955</v>
      </c>
      <c r="C67" s="335"/>
      <c r="D67" s="339" t="s">
        <v>2956</v>
      </c>
      <c r="E67" s="342" t="s">
        <v>2957</v>
      </c>
      <c r="F67" s="337"/>
      <c r="G67" s="335"/>
      <c r="H67" s="335"/>
      <c r="I67" s="356" t="s">
        <v>789</v>
      </c>
      <c r="J67" s="335" t="s">
        <v>16</v>
      </c>
      <c r="K67" s="335"/>
      <c r="L67" s="335"/>
      <c r="M67" s="335"/>
      <c r="N67" s="335"/>
      <c r="O67" s="335"/>
      <c r="P67" s="335"/>
      <c r="Q67" s="335"/>
      <c r="R67" s="335"/>
      <c r="S67" s="335"/>
      <c r="T67" s="335"/>
      <c r="U67" s="335"/>
      <c r="V67" s="335"/>
      <c r="W67" s="335"/>
      <c r="X67" s="335"/>
      <c r="Y67" s="335"/>
      <c r="Z67" s="335"/>
      <c r="AA67" s="335"/>
      <c r="AB67" s="335"/>
      <c r="AC67" s="335"/>
      <c r="AD67" s="335"/>
      <c r="AE67" s="335"/>
      <c r="AF67" s="335"/>
    </row>
    <row r="68" ht="15.75" customHeight="1">
      <c r="A68" s="334">
        <v>43335.0</v>
      </c>
      <c r="B68" s="335"/>
      <c r="C68" s="335"/>
      <c r="D68" s="336"/>
      <c r="E68" s="335"/>
      <c r="F68" s="337"/>
      <c r="G68" s="335"/>
      <c r="H68" s="335"/>
      <c r="I68" s="335"/>
      <c r="J68" s="335"/>
      <c r="K68" s="335"/>
      <c r="L68" s="335"/>
      <c r="M68" s="335"/>
      <c r="N68" s="335"/>
      <c r="O68" s="335"/>
      <c r="P68" s="335"/>
      <c r="Q68" s="335"/>
      <c r="R68" s="335"/>
      <c r="S68" s="335"/>
      <c r="T68" s="335"/>
      <c r="U68" s="335"/>
      <c r="V68" s="335"/>
      <c r="W68" s="335"/>
      <c r="X68" s="335"/>
      <c r="Y68" s="335"/>
      <c r="Z68" s="335"/>
      <c r="AA68" s="335"/>
      <c r="AB68" s="335"/>
      <c r="AC68" s="335"/>
      <c r="AD68" s="335"/>
      <c r="AE68" s="335"/>
      <c r="AF68" s="335"/>
    </row>
    <row r="69" ht="15.75" customHeight="1">
      <c r="A69" s="335"/>
      <c r="B69" s="343" t="s">
        <v>2958</v>
      </c>
      <c r="C69" s="335"/>
      <c r="D69" s="339" t="s">
        <v>2959</v>
      </c>
      <c r="E69" s="344" t="s">
        <v>2960</v>
      </c>
      <c r="F69" s="337" t="s">
        <v>2494</v>
      </c>
      <c r="G69" s="335"/>
      <c r="H69" s="335" t="s">
        <v>2495</v>
      </c>
      <c r="I69" s="345" t="s">
        <v>2961</v>
      </c>
      <c r="J69" s="335" t="s">
        <v>201</v>
      </c>
      <c r="K69" s="335"/>
      <c r="L69" s="335"/>
      <c r="M69" s="335"/>
      <c r="N69" s="335"/>
      <c r="O69" s="335"/>
      <c r="P69" s="335"/>
      <c r="Q69" s="335"/>
      <c r="R69" s="335"/>
      <c r="S69" s="335"/>
      <c r="T69" s="335"/>
      <c r="U69" s="335"/>
      <c r="V69" s="335"/>
      <c r="W69" s="335"/>
      <c r="X69" s="335"/>
      <c r="Y69" s="335"/>
      <c r="Z69" s="335"/>
      <c r="AA69" s="335"/>
      <c r="AB69" s="335"/>
      <c r="AC69" s="335"/>
      <c r="AD69" s="335"/>
      <c r="AE69" s="335"/>
      <c r="AF69" s="335"/>
    </row>
    <row r="70" ht="15.75" customHeight="1">
      <c r="A70" s="335"/>
      <c r="B70" s="349" t="s">
        <v>2962</v>
      </c>
      <c r="C70" s="335"/>
      <c r="D70" s="339" t="s">
        <v>2963</v>
      </c>
      <c r="E70" s="350" t="s">
        <v>2964</v>
      </c>
      <c r="F70" s="351" t="s">
        <v>2649</v>
      </c>
      <c r="G70" s="352"/>
      <c r="H70" s="352" t="s">
        <v>2495</v>
      </c>
      <c r="I70" s="335" t="s">
        <v>2930</v>
      </c>
      <c r="J70" s="335"/>
      <c r="K70" s="335" t="s">
        <v>2922</v>
      </c>
      <c r="L70" s="335"/>
      <c r="M70" s="335"/>
      <c r="N70" s="335"/>
      <c r="O70" s="335"/>
      <c r="P70" s="335"/>
      <c r="Q70" s="335"/>
      <c r="R70" s="335"/>
      <c r="S70" s="335"/>
      <c r="T70" s="335"/>
      <c r="U70" s="335"/>
      <c r="V70" s="335"/>
      <c r="W70" s="335"/>
      <c r="X70" s="335"/>
      <c r="Y70" s="335"/>
      <c r="Z70" s="335"/>
      <c r="AA70" s="335"/>
      <c r="AB70" s="335"/>
      <c r="AC70" s="335"/>
      <c r="AD70" s="335"/>
      <c r="AE70" s="335"/>
      <c r="AF70" s="335"/>
    </row>
    <row r="71" ht="15.75" customHeight="1">
      <c r="A71" s="335"/>
      <c r="B71" s="335" t="s">
        <v>2965</v>
      </c>
      <c r="C71" s="335"/>
      <c r="D71" s="347" t="s">
        <v>2966</v>
      </c>
      <c r="E71" s="342" t="s">
        <v>2967</v>
      </c>
      <c r="F71" s="337" t="s">
        <v>2504</v>
      </c>
      <c r="G71" s="335"/>
      <c r="H71" s="335" t="s">
        <v>2495</v>
      </c>
      <c r="I71" s="335" t="s">
        <v>2637</v>
      </c>
      <c r="J71" s="335" t="s">
        <v>201</v>
      </c>
      <c r="K71" s="335"/>
      <c r="L71" s="335"/>
      <c r="M71" s="335"/>
      <c r="N71" s="335"/>
      <c r="O71" s="335"/>
      <c r="P71" s="335"/>
      <c r="Q71" s="335"/>
      <c r="R71" s="335"/>
      <c r="S71" s="335"/>
      <c r="T71" s="335"/>
      <c r="U71" s="335"/>
      <c r="V71" s="335"/>
      <c r="W71" s="335"/>
      <c r="X71" s="335"/>
      <c r="Y71" s="335"/>
      <c r="Z71" s="335"/>
      <c r="AA71" s="335"/>
      <c r="AB71" s="335"/>
      <c r="AC71" s="335"/>
      <c r="AD71" s="335"/>
      <c r="AE71" s="335"/>
      <c r="AF71" s="335"/>
    </row>
    <row r="72" ht="15.75" customHeight="1">
      <c r="A72" s="335"/>
      <c r="B72" s="335" t="s">
        <v>2968</v>
      </c>
      <c r="C72" s="335"/>
      <c r="D72" s="339" t="s">
        <v>2969</v>
      </c>
      <c r="E72" s="342" t="s">
        <v>2970</v>
      </c>
      <c r="F72" s="337" t="s">
        <v>2504</v>
      </c>
      <c r="G72" s="335"/>
      <c r="H72" s="335" t="s">
        <v>2543</v>
      </c>
      <c r="I72" s="335" t="s">
        <v>2971</v>
      </c>
      <c r="J72" s="335" t="s">
        <v>563</v>
      </c>
      <c r="K72" s="335"/>
      <c r="L72" s="335"/>
      <c r="M72" s="335"/>
      <c r="N72" s="335"/>
      <c r="O72" s="335"/>
      <c r="P72" s="335"/>
      <c r="Q72" s="335"/>
      <c r="R72" s="335"/>
      <c r="S72" s="335"/>
      <c r="T72" s="335"/>
      <c r="U72" s="335"/>
      <c r="V72" s="335"/>
      <c r="W72" s="335"/>
      <c r="X72" s="335"/>
      <c r="Y72" s="335"/>
      <c r="Z72" s="335"/>
      <c r="AA72" s="335"/>
      <c r="AB72" s="335"/>
      <c r="AC72" s="335"/>
      <c r="AD72" s="335"/>
      <c r="AE72" s="335"/>
      <c r="AF72" s="335"/>
    </row>
    <row r="73" ht="15.75" customHeight="1">
      <c r="A73" s="335"/>
      <c r="B73" s="343" t="s">
        <v>2972</v>
      </c>
      <c r="C73" s="335"/>
      <c r="D73" s="348" t="s">
        <v>2973</v>
      </c>
      <c r="E73" s="344" t="s">
        <v>2974</v>
      </c>
      <c r="F73" s="337"/>
      <c r="G73" s="335"/>
      <c r="H73" s="335" t="s">
        <v>2495</v>
      </c>
      <c r="I73" s="335" t="s">
        <v>2975</v>
      </c>
      <c r="J73" s="335" t="s">
        <v>16</v>
      </c>
      <c r="K73" s="335"/>
      <c r="L73" s="335"/>
      <c r="M73" s="335"/>
      <c r="N73" s="335"/>
      <c r="O73" s="335"/>
      <c r="P73" s="335"/>
      <c r="Q73" s="335"/>
      <c r="R73" s="335"/>
      <c r="S73" s="335"/>
      <c r="T73" s="335"/>
      <c r="U73" s="335"/>
      <c r="V73" s="335"/>
      <c r="W73" s="335"/>
      <c r="X73" s="335"/>
      <c r="Y73" s="335"/>
      <c r="Z73" s="335"/>
      <c r="AA73" s="335"/>
      <c r="AB73" s="335"/>
      <c r="AC73" s="335"/>
      <c r="AD73" s="335"/>
      <c r="AE73" s="335"/>
      <c r="AF73" s="335"/>
    </row>
    <row r="74" ht="15.75" customHeight="1">
      <c r="A74" s="334">
        <v>43337.0</v>
      </c>
      <c r="B74" s="335"/>
      <c r="C74" s="335"/>
      <c r="D74" s="336"/>
      <c r="E74" s="335"/>
      <c r="F74" s="337"/>
      <c r="G74" s="335"/>
      <c r="H74" s="335"/>
      <c r="I74" s="335"/>
      <c r="J74" s="335"/>
      <c r="K74" s="335"/>
      <c r="L74" s="335"/>
      <c r="M74" s="335"/>
      <c r="N74" s="335"/>
      <c r="O74" s="335"/>
      <c r="P74" s="335"/>
      <c r="Q74" s="335"/>
      <c r="R74" s="335"/>
      <c r="S74" s="335"/>
      <c r="T74" s="335"/>
      <c r="U74" s="335"/>
      <c r="V74" s="335"/>
      <c r="W74" s="335"/>
      <c r="X74" s="335"/>
      <c r="Y74" s="335"/>
      <c r="Z74" s="335"/>
      <c r="AA74" s="335"/>
      <c r="AB74" s="335"/>
      <c r="AC74" s="335"/>
      <c r="AD74" s="335"/>
      <c r="AE74" s="335"/>
      <c r="AF74" s="335"/>
    </row>
    <row r="75" ht="15.75" customHeight="1">
      <c r="A75" s="335"/>
      <c r="B75" s="335" t="s">
        <v>2627</v>
      </c>
      <c r="C75" s="335"/>
      <c r="D75" s="339" t="s">
        <v>2976</v>
      </c>
      <c r="E75" s="342" t="s">
        <v>2629</v>
      </c>
      <c r="F75" s="337" t="s">
        <v>2504</v>
      </c>
      <c r="G75" s="335"/>
      <c r="H75" s="335" t="s">
        <v>2495</v>
      </c>
      <c r="I75" s="357" t="s">
        <v>2977</v>
      </c>
      <c r="J75" s="335" t="s">
        <v>201</v>
      </c>
      <c r="K75" s="335"/>
      <c r="L75" s="335"/>
      <c r="M75" s="335"/>
      <c r="N75" s="335"/>
      <c r="O75" s="335"/>
      <c r="P75" s="335"/>
      <c r="Q75" s="335"/>
      <c r="R75" s="335"/>
      <c r="S75" s="335"/>
      <c r="T75" s="335"/>
      <c r="U75" s="335"/>
      <c r="V75" s="335"/>
      <c r="W75" s="335"/>
      <c r="X75" s="335"/>
      <c r="Y75" s="335"/>
      <c r="Z75" s="335"/>
      <c r="AA75" s="335"/>
      <c r="AB75" s="335"/>
      <c r="AC75" s="335"/>
      <c r="AD75" s="335"/>
      <c r="AE75" s="335"/>
      <c r="AF75" s="335"/>
    </row>
    <row r="76" ht="15.75" customHeight="1">
      <c r="A76" s="335"/>
      <c r="B76" s="335" t="s">
        <v>2627</v>
      </c>
      <c r="C76" s="335"/>
      <c r="D76" s="339" t="s">
        <v>2978</v>
      </c>
      <c r="E76" s="342" t="s">
        <v>2629</v>
      </c>
      <c r="F76" s="337" t="s">
        <v>2894</v>
      </c>
      <c r="G76" s="335" t="s">
        <v>2979</v>
      </c>
      <c r="H76" s="335" t="s">
        <v>2495</v>
      </c>
      <c r="I76" s="358" t="s">
        <v>2980</v>
      </c>
      <c r="J76" s="335" t="s">
        <v>201</v>
      </c>
      <c r="K76" s="335"/>
      <c r="L76" s="335"/>
      <c r="M76" s="335"/>
      <c r="N76" s="335"/>
      <c r="O76" s="335"/>
      <c r="P76" s="335"/>
      <c r="Q76" s="335"/>
      <c r="R76" s="335"/>
      <c r="S76" s="335"/>
      <c r="T76" s="335"/>
      <c r="U76" s="335"/>
      <c r="V76" s="335"/>
      <c r="W76" s="335"/>
      <c r="X76" s="335"/>
      <c r="Y76" s="335"/>
      <c r="Z76" s="335"/>
      <c r="AA76" s="335"/>
      <c r="AB76" s="335"/>
      <c r="AC76" s="335"/>
      <c r="AD76" s="335"/>
      <c r="AE76" s="335"/>
      <c r="AF76" s="335"/>
    </row>
    <row r="77" ht="15.75" customHeight="1">
      <c r="A77" s="335"/>
      <c r="B77" s="338" t="s">
        <v>2981</v>
      </c>
      <c r="C77" s="335"/>
      <c r="D77" s="339" t="s">
        <v>2982</v>
      </c>
      <c r="E77" s="340" t="s">
        <v>2983</v>
      </c>
      <c r="F77" s="337" t="s">
        <v>2534</v>
      </c>
      <c r="G77" s="335"/>
      <c r="H77" s="335" t="s">
        <v>2495</v>
      </c>
      <c r="I77" s="338" t="s">
        <v>2984</v>
      </c>
      <c r="J77" s="335" t="s">
        <v>201</v>
      </c>
      <c r="K77" s="335"/>
      <c r="L77" s="335"/>
      <c r="M77" s="335"/>
      <c r="N77" s="335"/>
      <c r="O77" s="335"/>
      <c r="P77" s="335"/>
      <c r="Q77" s="335"/>
      <c r="R77" s="335"/>
      <c r="S77" s="335"/>
      <c r="T77" s="335"/>
      <c r="U77" s="335"/>
      <c r="V77" s="335"/>
      <c r="W77" s="335"/>
      <c r="X77" s="335"/>
      <c r="Y77" s="335"/>
      <c r="Z77" s="335"/>
      <c r="AA77" s="335"/>
      <c r="AB77" s="335"/>
      <c r="AC77" s="335"/>
      <c r="AD77" s="335"/>
      <c r="AE77" s="335"/>
      <c r="AF77" s="335"/>
    </row>
    <row r="78" ht="15.75" customHeight="1">
      <c r="A78" s="335"/>
      <c r="B78" s="353" t="s">
        <v>2985</v>
      </c>
      <c r="C78" s="335"/>
      <c r="D78" s="347" t="s">
        <v>2986</v>
      </c>
      <c r="E78" s="342" t="s">
        <v>2987</v>
      </c>
      <c r="F78" s="337" t="s">
        <v>2894</v>
      </c>
      <c r="G78" s="335" t="s">
        <v>1188</v>
      </c>
      <c r="H78" s="335"/>
      <c r="I78" s="335"/>
      <c r="J78" s="335"/>
      <c r="K78" s="335"/>
      <c r="L78" s="335"/>
      <c r="M78" s="335"/>
      <c r="N78" s="335"/>
      <c r="O78" s="335"/>
      <c r="P78" s="335"/>
      <c r="Q78" s="335"/>
      <c r="R78" s="335"/>
      <c r="S78" s="335"/>
      <c r="T78" s="335"/>
      <c r="U78" s="335"/>
      <c r="V78" s="335"/>
      <c r="W78" s="335"/>
      <c r="X78" s="335"/>
      <c r="Y78" s="335"/>
      <c r="Z78" s="335"/>
      <c r="AA78" s="335"/>
      <c r="AB78" s="335"/>
      <c r="AC78" s="335"/>
      <c r="AD78" s="335"/>
      <c r="AE78" s="335"/>
      <c r="AF78" s="335"/>
    </row>
    <row r="79" ht="15.75" customHeight="1">
      <c r="A79" s="335"/>
      <c r="B79" s="335" t="s">
        <v>2988</v>
      </c>
      <c r="C79" s="335"/>
      <c r="D79" s="339" t="s">
        <v>2989</v>
      </c>
      <c r="E79" s="342" t="s">
        <v>2990</v>
      </c>
      <c r="F79" s="337" t="s">
        <v>2504</v>
      </c>
      <c r="G79" s="335"/>
      <c r="H79" s="335"/>
      <c r="I79" s="342" t="s">
        <v>2951</v>
      </c>
      <c r="J79" s="335" t="s">
        <v>401</v>
      </c>
      <c r="K79" s="335"/>
      <c r="L79" s="335"/>
      <c r="M79" s="335"/>
      <c r="N79" s="335"/>
      <c r="O79" s="335"/>
      <c r="P79" s="335"/>
      <c r="Q79" s="335"/>
      <c r="R79" s="335"/>
      <c r="S79" s="335"/>
      <c r="T79" s="335"/>
      <c r="U79" s="335"/>
      <c r="V79" s="335"/>
      <c r="W79" s="335"/>
      <c r="X79" s="335"/>
      <c r="Y79" s="335"/>
      <c r="Z79" s="335"/>
      <c r="AA79" s="335"/>
      <c r="AB79" s="335"/>
      <c r="AC79" s="335"/>
      <c r="AD79" s="335"/>
      <c r="AE79" s="335"/>
      <c r="AF79" s="335"/>
    </row>
    <row r="80" ht="15.75" customHeight="1">
      <c r="A80" s="335"/>
      <c r="B80" s="335" t="s">
        <v>2991</v>
      </c>
      <c r="C80" s="335"/>
      <c r="D80" s="339" t="s">
        <v>2992</v>
      </c>
      <c r="E80" s="342" t="s">
        <v>2993</v>
      </c>
      <c r="F80" s="337" t="s">
        <v>2504</v>
      </c>
      <c r="G80" s="335"/>
      <c r="H80" s="335" t="s">
        <v>2552</v>
      </c>
      <c r="I80" s="335" t="s">
        <v>2994</v>
      </c>
      <c r="J80" s="335" t="s">
        <v>563</v>
      </c>
      <c r="K80" s="359" t="s">
        <v>2995</v>
      </c>
      <c r="L80" s="335"/>
      <c r="M80" s="335"/>
      <c r="N80" s="335"/>
      <c r="O80" s="335"/>
      <c r="P80" s="335"/>
      <c r="Q80" s="335"/>
      <c r="R80" s="335"/>
      <c r="S80" s="335"/>
      <c r="T80" s="335"/>
      <c r="U80" s="335"/>
      <c r="V80" s="335"/>
      <c r="W80" s="335"/>
      <c r="X80" s="335"/>
      <c r="Y80" s="335"/>
      <c r="Z80" s="335"/>
      <c r="AA80" s="335"/>
      <c r="AB80" s="335"/>
      <c r="AC80" s="335"/>
      <c r="AD80" s="335"/>
      <c r="AE80" s="335"/>
      <c r="AF80" s="335"/>
    </row>
    <row r="81" ht="15.75" customHeight="1">
      <c r="A81" s="335"/>
      <c r="B81" s="343" t="s">
        <v>2706</v>
      </c>
      <c r="C81" s="335"/>
      <c r="D81" s="339" t="s">
        <v>2707</v>
      </c>
      <c r="E81" s="344" t="s">
        <v>2708</v>
      </c>
      <c r="F81" s="337" t="s">
        <v>2494</v>
      </c>
      <c r="G81" s="335"/>
      <c r="H81" s="335" t="s">
        <v>2495</v>
      </c>
      <c r="I81" s="335" t="s">
        <v>2996</v>
      </c>
      <c r="J81" s="335" t="s">
        <v>16</v>
      </c>
      <c r="K81" s="335"/>
      <c r="L81" s="335"/>
      <c r="M81" s="335"/>
      <c r="N81" s="335"/>
      <c r="O81" s="335"/>
      <c r="P81" s="335"/>
      <c r="Q81" s="335"/>
      <c r="R81" s="335"/>
      <c r="S81" s="335"/>
      <c r="T81" s="335"/>
      <c r="U81" s="335"/>
      <c r="V81" s="335"/>
      <c r="W81" s="335"/>
      <c r="X81" s="335"/>
      <c r="Y81" s="335"/>
      <c r="Z81" s="335"/>
      <c r="AA81" s="335"/>
      <c r="AB81" s="335"/>
      <c r="AC81" s="335"/>
      <c r="AD81" s="335"/>
      <c r="AE81" s="335"/>
      <c r="AF81" s="335"/>
    </row>
    <row r="82" ht="15.75" customHeight="1">
      <c r="A82" s="335"/>
      <c r="B82" s="335" t="s">
        <v>2997</v>
      </c>
      <c r="C82" s="335"/>
      <c r="D82" s="348" t="s">
        <v>2998</v>
      </c>
      <c r="E82" s="342" t="s">
        <v>2999</v>
      </c>
      <c r="F82" s="337" t="s">
        <v>2504</v>
      </c>
      <c r="G82" s="335"/>
      <c r="H82" s="335" t="s">
        <v>2495</v>
      </c>
      <c r="I82" s="335" t="s">
        <v>3000</v>
      </c>
      <c r="J82" s="335"/>
      <c r="K82" s="335" t="s">
        <v>3001</v>
      </c>
      <c r="L82" s="335"/>
      <c r="M82" s="335"/>
      <c r="N82" s="335"/>
      <c r="O82" s="335"/>
      <c r="P82" s="335"/>
      <c r="Q82" s="335"/>
      <c r="R82" s="335"/>
      <c r="S82" s="335"/>
      <c r="T82" s="335"/>
      <c r="U82" s="335"/>
      <c r="V82" s="335"/>
      <c r="W82" s="335"/>
      <c r="X82" s="335"/>
      <c r="Y82" s="335"/>
      <c r="Z82" s="335"/>
      <c r="AA82" s="335"/>
      <c r="AB82" s="335"/>
      <c r="AC82" s="335"/>
      <c r="AD82" s="335"/>
      <c r="AE82" s="335"/>
      <c r="AF82" s="335"/>
    </row>
    <row r="83" ht="15.75" customHeight="1">
      <c r="A83" s="334">
        <v>43338.0</v>
      </c>
      <c r="B83" s="335"/>
      <c r="C83" s="335"/>
      <c r="D83" s="336"/>
      <c r="E83" s="335"/>
      <c r="F83" s="335"/>
      <c r="G83" s="335"/>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c r="AF83" s="335"/>
    </row>
    <row r="84" ht="15.75" customHeight="1">
      <c r="A84" s="335"/>
      <c r="B84" s="353" t="s">
        <v>3002</v>
      </c>
      <c r="C84" s="335"/>
      <c r="D84" s="339" t="s">
        <v>3003</v>
      </c>
      <c r="E84" s="342" t="s">
        <v>3004</v>
      </c>
      <c r="F84" s="337" t="s">
        <v>2894</v>
      </c>
      <c r="G84" s="335" t="s">
        <v>1188</v>
      </c>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row>
    <row r="85" ht="15.75" customHeight="1">
      <c r="A85" s="335"/>
      <c r="B85" s="335" t="s">
        <v>3005</v>
      </c>
      <c r="C85" s="335"/>
      <c r="D85" s="339" t="s">
        <v>3006</v>
      </c>
      <c r="E85" s="342" t="s">
        <v>3007</v>
      </c>
      <c r="F85" s="337" t="s">
        <v>2504</v>
      </c>
      <c r="G85" s="335"/>
      <c r="H85" s="335" t="s">
        <v>2495</v>
      </c>
      <c r="I85" s="335" t="s">
        <v>3008</v>
      </c>
      <c r="J85" s="335" t="s">
        <v>16</v>
      </c>
      <c r="K85" s="335"/>
      <c r="L85" s="335"/>
      <c r="M85" s="335"/>
      <c r="N85" s="335"/>
      <c r="O85" s="335"/>
      <c r="P85" s="335"/>
      <c r="Q85" s="335"/>
      <c r="R85" s="335"/>
      <c r="S85" s="335"/>
      <c r="T85" s="335"/>
      <c r="U85" s="335"/>
      <c r="V85" s="335"/>
      <c r="W85" s="335"/>
      <c r="X85" s="335"/>
      <c r="Y85" s="335"/>
      <c r="Z85" s="335"/>
      <c r="AA85" s="335"/>
      <c r="AB85" s="335"/>
      <c r="AC85" s="335"/>
      <c r="AD85" s="335"/>
      <c r="AE85" s="335"/>
      <c r="AF85" s="335"/>
    </row>
    <row r="86" ht="15.75" customHeight="1">
      <c r="A86" s="335"/>
      <c r="B86" s="343" t="s">
        <v>3009</v>
      </c>
      <c r="C86" s="335"/>
      <c r="D86" s="347" t="s">
        <v>3010</v>
      </c>
      <c r="E86" s="344" t="s">
        <v>3011</v>
      </c>
      <c r="F86" s="337" t="s">
        <v>2494</v>
      </c>
      <c r="G86" s="335"/>
      <c r="H86" s="335"/>
      <c r="I86" s="360" t="s">
        <v>3012</v>
      </c>
      <c r="J86" s="335" t="s">
        <v>16</v>
      </c>
      <c r="K86" s="335"/>
      <c r="L86" s="335"/>
      <c r="M86" s="335"/>
      <c r="N86" s="335"/>
      <c r="O86" s="335"/>
      <c r="P86" s="335"/>
      <c r="Q86" s="335"/>
      <c r="R86" s="335"/>
      <c r="S86" s="335"/>
      <c r="T86" s="335"/>
      <c r="U86" s="335"/>
      <c r="V86" s="335"/>
      <c r="W86" s="335"/>
      <c r="X86" s="335"/>
      <c r="Y86" s="335"/>
      <c r="Z86" s="335"/>
      <c r="AA86" s="335"/>
      <c r="AB86" s="335"/>
      <c r="AC86" s="335"/>
      <c r="AD86" s="335"/>
      <c r="AE86" s="335"/>
      <c r="AF86" s="335"/>
    </row>
    <row r="87" ht="15.75" customHeight="1">
      <c r="A87" s="335"/>
      <c r="B87" s="343" t="s">
        <v>3013</v>
      </c>
      <c r="C87" s="335"/>
      <c r="D87" s="347" t="s">
        <v>3014</v>
      </c>
      <c r="E87" s="344" t="s">
        <v>3015</v>
      </c>
      <c r="F87" s="337" t="s">
        <v>2494</v>
      </c>
      <c r="G87" s="335"/>
      <c r="H87" s="335"/>
      <c r="I87" s="335" t="s">
        <v>3016</v>
      </c>
      <c r="J87" s="335" t="s">
        <v>401</v>
      </c>
      <c r="K87" s="335"/>
      <c r="L87" s="335"/>
      <c r="M87" s="335"/>
      <c r="N87" s="335"/>
      <c r="O87" s="335"/>
      <c r="P87" s="335"/>
      <c r="Q87" s="335"/>
      <c r="R87" s="335"/>
      <c r="S87" s="335"/>
      <c r="T87" s="335"/>
      <c r="U87" s="335"/>
      <c r="V87" s="335"/>
      <c r="W87" s="335"/>
      <c r="X87" s="335"/>
      <c r="Y87" s="335"/>
      <c r="Z87" s="335"/>
      <c r="AA87" s="335"/>
      <c r="AB87" s="335"/>
      <c r="AC87" s="335"/>
      <c r="AD87" s="335"/>
      <c r="AE87" s="335"/>
      <c r="AF87" s="335"/>
    </row>
    <row r="88" ht="15.75" customHeight="1">
      <c r="A88" s="335"/>
      <c r="B88" s="343" t="s">
        <v>3017</v>
      </c>
      <c r="C88" s="335"/>
      <c r="D88" s="348" t="s">
        <v>3018</v>
      </c>
      <c r="E88" s="344" t="s">
        <v>3019</v>
      </c>
      <c r="F88" s="337" t="s">
        <v>2494</v>
      </c>
      <c r="G88" s="335"/>
      <c r="H88" s="335" t="s">
        <v>2543</v>
      </c>
      <c r="I88" s="335" t="s">
        <v>3020</v>
      </c>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row>
    <row r="89" ht="15.75" customHeight="1">
      <c r="A89" s="334">
        <v>43339.0</v>
      </c>
      <c r="B89" s="335"/>
      <c r="C89" s="335"/>
      <c r="D89" s="336"/>
      <c r="E89" s="335"/>
      <c r="F89" s="337"/>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row>
    <row r="90" ht="15.75" customHeight="1">
      <c r="A90" s="335"/>
      <c r="B90" s="343" t="s">
        <v>3021</v>
      </c>
      <c r="C90" s="335"/>
      <c r="D90" s="339" t="s">
        <v>3022</v>
      </c>
      <c r="E90" s="344" t="s">
        <v>3023</v>
      </c>
      <c r="F90" s="337" t="s">
        <v>2494</v>
      </c>
      <c r="G90" s="335"/>
      <c r="H90" s="335" t="s">
        <v>2495</v>
      </c>
      <c r="I90" s="345" t="s">
        <v>2794</v>
      </c>
      <c r="J90" s="335" t="s">
        <v>201</v>
      </c>
      <c r="K90" s="335"/>
      <c r="L90" s="335"/>
      <c r="M90" s="335"/>
      <c r="N90" s="335"/>
      <c r="O90" s="335"/>
      <c r="P90" s="335"/>
      <c r="Q90" s="335"/>
      <c r="R90" s="335"/>
      <c r="S90" s="335"/>
      <c r="T90" s="335"/>
      <c r="U90" s="335"/>
      <c r="V90" s="335"/>
      <c r="W90" s="335"/>
      <c r="X90" s="335"/>
      <c r="Y90" s="335"/>
      <c r="Z90" s="335"/>
      <c r="AA90" s="335"/>
      <c r="AB90" s="335"/>
      <c r="AC90" s="335"/>
      <c r="AD90" s="335"/>
      <c r="AE90" s="335"/>
      <c r="AF90" s="335"/>
    </row>
    <row r="91" ht="15.75" customHeight="1">
      <c r="A91" s="335"/>
      <c r="B91" s="361" t="s">
        <v>3024</v>
      </c>
      <c r="C91" s="335"/>
      <c r="D91" s="347" t="s">
        <v>3025</v>
      </c>
      <c r="E91" s="344" t="s">
        <v>3026</v>
      </c>
      <c r="F91" s="337" t="s">
        <v>2494</v>
      </c>
      <c r="G91" s="335"/>
      <c r="H91" s="335"/>
      <c r="I91" s="335" t="s">
        <v>3027</v>
      </c>
      <c r="J91" s="335" t="s">
        <v>1377</v>
      </c>
      <c r="K91" s="335"/>
      <c r="L91" s="335"/>
      <c r="M91" s="335"/>
      <c r="N91" s="335"/>
      <c r="O91" s="335"/>
      <c r="P91" s="335"/>
      <c r="Q91" s="335"/>
      <c r="R91" s="335"/>
      <c r="S91" s="335"/>
      <c r="T91" s="335"/>
      <c r="U91" s="335"/>
      <c r="V91" s="335"/>
      <c r="W91" s="335"/>
      <c r="X91" s="335"/>
      <c r="Y91" s="335"/>
      <c r="Z91" s="335"/>
      <c r="AA91" s="335"/>
      <c r="AB91" s="335"/>
      <c r="AC91" s="335"/>
      <c r="AD91" s="335"/>
      <c r="AE91" s="335"/>
      <c r="AF91" s="335"/>
    </row>
    <row r="92" ht="15.75" customHeight="1">
      <c r="A92" s="335"/>
      <c r="B92" s="343" t="s">
        <v>2936</v>
      </c>
      <c r="C92" s="335"/>
      <c r="D92" s="339" t="s">
        <v>2937</v>
      </c>
      <c r="E92" s="344" t="s">
        <v>2938</v>
      </c>
      <c r="F92" s="337" t="s">
        <v>2494</v>
      </c>
      <c r="G92" s="335"/>
      <c r="H92" s="335" t="s">
        <v>2495</v>
      </c>
      <c r="I92" s="355" t="s">
        <v>2939</v>
      </c>
      <c r="J92" s="335" t="s">
        <v>201</v>
      </c>
      <c r="K92" s="335"/>
      <c r="L92" s="335"/>
      <c r="M92" s="335"/>
      <c r="N92" s="335"/>
      <c r="O92" s="335"/>
      <c r="P92" s="335"/>
      <c r="Q92" s="335"/>
      <c r="R92" s="335"/>
      <c r="S92" s="335"/>
      <c r="T92" s="335"/>
      <c r="U92" s="335"/>
      <c r="V92" s="335"/>
      <c r="W92" s="335"/>
      <c r="X92" s="335"/>
      <c r="Y92" s="335"/>
      <c r="Z92" s="335"/>
      <c r="AA92" s="335"/>
      <c r="AB92" s="335"/>
      <c r="AC92" s="335"/>
      <c r="AD92" s="335"/>
      <c r="AE92" s="335"/>
      <c r="AF92" s="335"/>
    </row>
    <row r="93" ht="15.75" customHeight="1">
      <c r="A93" s="335"/>
      <c r="B93" s="343" t="s">
        <v>3028</v>
      </c>
      <c r="C93" s="335"/>
      <c r="D93" s="339" t="s">
        <v>3029</v>
      </c>
      <c r="E93" s="344" t="s">
        <v>3030</v>
      </c>
      <c r="F93" s="337" t="s">
        <v>2494</v>
      </c>
      <c r="G93" s="335"/>
      <c r="H93" s="335" t="s">
        <v>2495</v>
      </c>
      <c r="I93" s="360" t="s">
        <v>3031</v>
      </c>
      <c r="J93" s="335" t="s">
        <v>401</v>
      </c>
      <c r="K93" s="335"/>
      <c r="L93" s="335"/>
      <c r="M93" s="335"/>
      <c r="N93" s="335"/>
      <c r="O93" s="335"/>
      <c r="P93" s="335"/>
      <c r="Q93" s="335"/>
      <c r="R93" s="335"/>
      <c r="S93" s="335"/>
      <c r="T93" s="335"/>
      <c r="U93" s="335"/>
      <c r="V93" s="335"/>
      <c r="W93" s="335"/>
      <c r="X93" s="335"/>
      <c r="Y93" s="335"/>
      <c r="Z93" s="335"/>
      <c r="AA93" s="335"/>
      <c r="AB93" s="335"/>
      <c r="AC93" s="335"/>
      <c r="AD93" s="335"/>
      <c r="AE93" s="335"/>
      <c r="AF93" s="335"/>
    </row>
    <row r="94" ht="15.75" customHeight="1">
      <c r="A94" s="334">
        <v>43340.0</v>
      </c>
      <c r="B94" s="335"/>
      <c r="C94" s="335"/>
      <c r="D94" s="336"/>
      <c r="E94" s="335"/>
      <c r="F94" s="337"/>
      <c r="G94" s="335"/>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c r="AF94" s="335"/>
    </row>
    <row r="95" ht="15.75" customHeight="1">
      <c r="A95" s="335"/>
      <c r="B95" s="349" t="s">
        <v>3032</v>
      </c>
      <c r="C95" s="335"/>
      <c r="D95" s="339" t="s">
        <v>3033</v>
      </c>
      <c r="E95" s="350" t="s">
        <v>3034</v>
      </c>
      <c r="F95" s="337" t="s">
        <v>2649</v>
      </c>
      <c r="G95" s="335"/>
      <c r="H95" s="335" t="s">
        <v>2495</v>
      </c>
      <c r="I95" s="335" t="s">
        <v>3035</v>
      </c>
      <c r="J95" s="335"/>
      <c r="K95" s="335"/>
      <c r="L95" s="335"/>
      <c r="M95" s="335"/>
      <c r="N95" s="335"/>
      <c r="O95" s="335"/>
      <c r="P95" s="335"/>
      <c r="Q95" s="335"/>
      <c r="R95" s="335"/>
      <c r="S95" s="335"/>
      <c r="T95" s="335"/>
      <c r="U95" s="335"/>
      <c r="V95" s="335"/>
      <c r="W95" s="335"/>
      <c r="X95" s="335"/>
      <c r="Y95" s="335"/>
      <c r="Z95" s="335"/>
      <c r="AA95" s="335"/>
      <c r="AB95" s="335"/>
      <c r="AC95" s="335"/>
      <c r="AD95" s="335"/>
      <c r="AE95" s="335"/>
      <c r="AF95" s="335"/>
    </row>
    <row r="96" ht="15.75" customHeight="1">
      <c r="A96" s="334">
        <v>43341.0</v>
      </c>
      <c r="B96" s="335"/>
      <c r="C96" s="335"/>
      <c r="D96" s="336"/>
      <c r="E96" s="335"/>
      <c r="F96" s="337"/>
      <c r="G96" s="335"/>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row>
    <row r="97" ht="15.75" customHeight="1">
      <c r="A97" s="335"/>
      <c r="B97" s="362" t="s">
        <v>3036</v>
      </c>
      <c r="C97" s="335"/>
      <c r="D97" s="347" t="s">
        <v>3037</v>
      </c>
      <c r="E97" s="363" t="s">
        <v>3038</v>
      </c>
      <c r="F97" s="337" t="s">
        <v>2494</v>
      </c>
      <c r="G97" s="335"/>
      <c r="H97" s="335" t="s">
        <v>2495</v>
      </c>
      <c r="I97" s="214" t="s">
        <v>2939</v>
      </c>
      <c r="J97" s="335" t="s">
        <v>201</v>
      </c>
      <c r="K97" s="335"/>
      <c r="L97" s="335"/>
      <c r="M97" s="335"/>
      <c r="N97" s="335"/>
      <c r="O97" s="335"/>
      <c r="P97" s="335"/>
      <c r="Q97" s="335"/>
      <c r="R97" s="335"/>
      <c r="S97" s="335"/>
      <c r="T97" s="335"/>
      <c r="U97" s="335"/>
      <c r="V97" s="335"/>
      <c r="W97" s="335"/>
      <c r="X97" s="335"/>
      <c r="Y97" s="335"/>
      <c r="Z97" s="335"/>
      <c r="AA97" s="335"/>
      <c r="AB97" s="335"/>
      <c r="AC97" s="335"/>
      <c r="AD97" s="335"/>
      <c r="AE97" s="335"/>
      <c r="AF97" s="335"/>
    </row>
    <row r="98" ht="15.75" customHeight="1">
      <c r="A98" s="335"/>
      <c r="B98" s="362" t="s">
        <v>2217</v>
      </c>
      <c r="C98" s="335"/>
      <c r="D98" s="348" t="s">
        <v>3039</v>
      </c>
      <c r="E98" s="363" t="s">
        <v>3040</v>
      </c>
      <c r="F98" s="337" t="s">
        <v>2494</v>
      </c>
      <c r="G98" s="335"/>
      <c r="H98" s="335" t="s">
        <v>2495</v>
      </c>
      <c r="I98" s="335" t="s">
        <v>1532</v>
      </c>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row>
    <row r="99" ht="15.75" customHeight="1">
      <c r="A99" s="335"/>
      <c r="B99" s="362"/>
      <c r="C99" s="335"/>
      <c r="D99" s="336"/>
      <c r="E99" s="335"/>
      <c r="F99" s="337"/>
      <c r="G99" s="335"/>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row>
    <row r="100" ht="15.75" customHeight="1">
      <c r="A100" s="335"/>
      <c r="B100" s="335"/>
      <c r="C100" s="335"/>
      <c r="D100" s="336"/>
      <c r="E100" s="335"/>
      <c r="F100" s="337"/>
      <c r="G100" s="335"/>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row>
    <row r="101" ht="15.75" customHeight="1">
      <c r="A101" s="335"/>
      <c r="B101" s="335"/>
      <c r="C101" s="335"/>
      <c r="D101" s="336"/>
      <c r="E101" s="335"/>
      <c r="F101" s="337"/>
      <c r="G101" s="335"/>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row>
    <row r="102" ht="15.75" customHeight="1">
      <c r="A102" s="335"/>
      <c r="B102" s="335"/>
      <c r="C102" s="335"/>
      <c r="D102" s="336"/>
      <c r="E102" s="335"/>
      <c r="F102" s="337"/>
      <c r="G102" s="335"/>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row>
    <row r="103" ht="15.75" customHeight="1">
      <c r="A103" s="335"/>
      <c r="B103" s="335"/>
      <c r="C103" s="335"/>
      <c r="D103" s="336"/>
      <c r="E103" s="335"/>
      <c r="F103" s="337"/>
      <c r="G103" s="335"/>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row>
    <row r="104" ht="15.75" customHeight="1">
      <c r="A104" s="335"/>
      <c r="B104" s="335"/>
      <c r="C104" s="335"/>
      <c r="D104" s="336"/>
      <c r="E104" s="335"/>
      <c r="F104" s="337"/>
      <c r="G104" s="335"/>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row>
    <row r="105" ht="15.75" customHeight="1">
      <c r="A105" s="335"/>
      <c r="B105" s="335"/>
      <c r="C105" s="335"/>
      <c r="D105" s="336"/>
      <c r="E105" s="335"/>
      <c r="F105" s="337"/>
      <c r="G105" s="335"/>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row>
    <row r="106" ht="15.75" customHeight="1">
      <c r="A106" s="335"/>
      <c r="B106" s="335"/>
      <c r="C106" s="335"/>
      <c r="D106" s="336"/>
      <c r="E106" s="335"/>
      <c r="F106" s="337"/>
      <c r="G106" s="335"/>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row>
    <row r="107" ht="15.75" customHeight="1">
      <c r="A107" s="335"/>
      <c r="B107" s="335"/>
      <c r="C107" s="335"/>
      <c r="D107" s="336"/>
      <c r="E107" s="335"/>
      <c r="F107" s="337"/>
      <c r="G107" s="335"/>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row>
    <row r="108" ht="15.75" customHeight="1">
      <c r="A108" s="335"/>
      <c r="B108" s="335"/>
      <c r="C108" s="335"/>
      <c r="D108" s="336"/>
      <c r="E108" s="335"/>
      <c r="F108" s="337"/>
      <c r="G108" s="335"/>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row>
    <row r="109" ht="15.75" customHeight="1">
      <c r="A109" s="335"/>
      <c r="B109" s="335"/>
      <c r="C109" s="335"/>
      <c r="D109" s="336"/>
      <c r="E109" s="335"/>
      <c r="F109" s="337"/>
      <c r="G109" s="335"/>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row>
    <row r="110" ht="15.75" customHeight="1">
      <c r="A110" s="335"/>
      <c r="B110" s="335"/>
      <c r="C110" s="335"/>
      <c r="D110" s="336"/>
      <c r="E110" s="335"/>
      <c r="F110" s="337"/>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row>
    <row r="111" ht="15.75" customHeight="1">
      <c r="A111" s="335"/>
      <c r="B111" s="335"/>
      <c r="C111" s="335"/>
      <c r="D111" s="336"/>
      <c r="E111" s="335"/>
      <c r="F111" s="337"/>
      <c r="G111" s="335"/>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row>
    <row r="112" ht="15.75" customHeight="1">
      <c r="A112" s="335"/>
      <c r="B112" s="335"/>
      <c r="C112" s="335"/>
      <c r="D112" s="336"/>
      <c r="E112" s="335"/>
      <c r="F112" s="337"/>
      <c r="G112" s="335"/>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row>
    <row r="113" ht="15.75" customHeight="1">
      <c r="A113" s="335"/>
      <c r="B113" s="335"/>
      <c r="C113" s="335"/>
      <c r="D113" s="336"/>
      <c r="E113" s="335"/>
      <c r="F113" s="337"/>
      <c r="G113" s="335"/>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row>
    <row r="114" ht="15.75" customHeight="1">
      <c r="A114" s="335"/>
      <c r="B114" s="335"/>
      <c r="C114" s="335"/>
      <c r="D114" s="336"/>
      <c r="E114" s="335"/>
      <c r="F114" s="337"/>
      <c r="G114" s="335"/>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row>
    <row r="115" ht="15.75" customHeight="1">
      <c r="A115" s="335"/>
      <c r="B115" s="335"/>
      <c r="C115" s="335"/>
      <c r="D115" s="336"/>
      <c r="E115" s="335"/>
      <c r="F115" s="337"/>
      <c r="G115" s="335"/>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row>
    <row r="116" ht="15.75" customHeight="1">
      <c r="A116" s="335"/>
      <c r="B116" s="335"/>
      <c r="C116" s="335"/>
      <c r="D116" s="336"/>
      <c r="E116" s="335"/>
      <c r="F116" s="337"/>
      <c r="G116" s="335"/>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row>
    <row r="117" ht="15.75" customHeight="1">
      <c r="A117" s="335"/>
      <c r="B117" s="335"/>
      <c r="C117" s="335"/>
      <c r="D117" s="336"/>
      <c r="E117" s="335"/>
      <c r="F117" s="337"/>
      <c r="G117" s="335"/>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row>
    <row r="118" ht="15.75" customHeight="1">
      <c r="A118" s="335"/>
      <c r="B118" s="335"/>
      <c r="C118" s="335"/>
      <c r="D118" s="336"/>
      <c r="E118" s="335"/>
      <c r="F118" s="337"/>
      <c r="G118" s="335"/>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row>
    <row r="119" ht="15.75" customHeight="1">
      <c r="A119" s="335"/>
      <c r="B119" s="335"/>
      <c r="C119" s="335"/>
      <c r="D119" s="336"/>
      <c r="E119" s="335"/>
      <c r="F119" s="337"/>
      <c r="G119" s="335"/>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c r="AF119" s="335"/>
    </row>
    <row r="120" ht="15.75" customHeight="1">
      <c r="A120" s="335"/>
      <c r="B120" s="335"/>
      <c r="C120" s="335"/>
      <c r="D120" s="336"/>
      <c r="E120" s="335"/>
      <c r="F120" s="337"/>
      <c r="G120" s="335"/>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c r="AF120" s="335"/>
    </row>
    <row r="121" ht="15.75" customHeight="1">
      <c r="A121" s="335"/>
      <c r="B121" s="335"/>
      <c r="C121" s="335"/>
      <c r="D121" s="336"/>
      <c r="E121" s="335"/>
      <c r="F121" s="337"/>
      <c r="G121" s="335"/>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row>
    <row r="122" ht="15.75" customHeight="1">
      <c r="A122" s="335"/>
      <c r="B122" s="335"/>
      <c r="C122" s="335"/>
      <c r="D122" s="336"/>
      <c r="E122" s="335"/>
      <c r="F122" s="337"/>
      <c r="G122" s="335"/>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c r="AF122" s="335"/>
    </row>
    <row r="123" ht="15.75" customHeight="1">
      <c r="A123" s="335"/>
      <c r="B123" s="335"/>
      <c r="C123" s="335"/>
      <c r="D123" s="336"/>
      <c r="E123" s="335"/>
      <c r="F123" s="337"/>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c r="AD123" s="335"/>
      <c r="AE123" s="335"/>
      <c r="AF123" s="335"/>
    </row>
    <row r="124" ht="15.75" customHeight="1">
      <c r="A124" s="335"/>
      <c r="B124" s="335"/>
      <c r="C124" s="335"/>
      <c r="D124" s="336"/>
      <c r="E124" s="335"/>
      <c r="F124" s="337"/>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c r="AD124" s="335"/>
      <c r="AE124" s="335"/>
      <c r="AF124" s="335"/>
    </row>
    <row r="125" ht="15.75" customHeight="1">
      <c r="A125" s="335"/>
      <c r="B125" s="335"/>
      <c r="C125" s="335"/>
      <c r="D125" s="336"/>
      <c r="E125" s="335"/>
      <c r="F125" s="337"/>
      <c r="G125" s="335"/>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c r="AF125" s="335"/>
    </row>
    <row r="126" ht="15.75" customHeight="1">
      <c r="A126" s="335"/>
      <c r="B126" s="335"/>
      <c r="C126" s="335"/>
      <c r="D126" s="336"/>
      <c r="E126" s="335"/>
      <c r="F126" s="337"/>
      <c r="G126" s="335"/>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c r="AD126" s="335"/>
      <c r="AE126" s="335"/>
      <c r="AF126" s="335"/>
    </row>
    <row r="127" ht="15.75" customHeight="1">
      <c r="A127" s="335"/>
      <c r="B127" s="335"/>
      <c r="C127" s="335"/>
      <c r="D127" s="336"/>
      <c r="E127" s="335"/>
      <c r="F127" s="337"/>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c r="AD127" s="335"/>
      <c r="AE127" s="335"/>
      <c r="AF127" s="335"/>
    </row>
    <row r="128" ht="15.75" customHeight="1">
      <c r="A128" s="335"/>
      <c r="B128" s="335"/>
      <c r="C128" s="335"/>
      <c r="D128" s="336"/>
      <c r="E128" s="335"/>
      <c r="F128" s="337"/>
      <c r="G128" s="335"/>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row>
    <row r="129" ht="15.75" customHeight="1">
      <c r="A129" s="335"/>
      <c r="B129" s="335"/>
      <c r="C129" s="335"/>
      <c r="D129" s="336"/>
      <c r="E129" s="335"/>
      <c r="F129" s="337"/>
      <c r="G129" s="335"/>
      <c r="H129" s="335"/>
      <c r="I129" s="335"/>
      <c r="J129" s="335"/>
      <c r="K129" s="335"/>
      <c r="L129" s="335"/>
      <c r="M129" s="335"/>
      <c r="N129" s="335"/>
      <c r="O129" s="335"/>
      <c r="P129" s="335"/>
      <c r="Q129" s="335"/>
      <c r="R129" s="335"/>
      <c r="S129" s="335"/>
      <c r="T129" s="335"/>
      <c r="U129" s="335"/>
      <c r="V129" s="335"/>
      <c r="W129" s="335"/>
      <c r="X129" s="335"/>
      <c r="Y129" s="335"/>
      <c r="Z129" s="335"/>
      <c r="AA129" s="335"/>
      <c r="AB129" s="335"/>
      <c r="AC129" s="335"/>
      <c r="AD129" s="335"/>
      <c r="AE129" s="335"/>
      <c r="AF129" s="335"/>
    </row>
    <row r="130" ht="15.75" customHeight="1">
      <c r="A130" s="335"/>
      <c r="B130" s="335"/>
      <c r="C130" s="335"/>
      <c r="D130" s="336"/>
      <c r="E130" s="335"/>
      <c r="F130" s="337"/>
      <c r="G130" s="335"/>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row>
    <row r="131" ht="15.75" customHeight="1">
      <c r="A131" s="335"/>
      <c r="B131" s="335"/>
      <c r="C131" s="335"/>
      <c r="D131" s="336"/>
      <c r="E131" s="335"/>
      <c r="F131" s="337"/>
      <c r="G131" s="335"/>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row>
    <row r="132" ht="15.75" customHeight="1">
      <c r="A132" s="335"/>
      <c r="B132" s="335"/>
      <c r="C132" s="335"/>
      <c r="D132" s="336"/>
      <c r="E132" s="335"/>
      <c r="F132" s="337"/>
      <c r="G132" s="335"/>
      <c r="H132" s="335"/>
      <c r="I132" s="335"/>
      <c r="J132" s="335"/>
      <c r="K132" s="335"/>
      <c r="L132" s="335"/>
      <c r="M132" s="335"/>
      <c r="N132" s="335"/>
      <c r="O132" s="335"/>
      <c r="P132" s="335"/>
      <c r="Q132" s="335"/>
      <c r="R132" s="335"/>
      <c r="S132" s="335"/>
      <c r="T132" s="335"/>
      <c r="U132" s="335"/>
      <c r="V132" s="335"/>
      <c r="W132" s="335"/>
      <c r="X132" s="335"/>
      <c r="Y132" s="335"/>
      <c r="Z132" s="335"/>
      <c r="AA132" s="335"/>
      <c r="AB132" s="335"/>
      <c r="AC132" s="335"/>
      <c r="AD132" s="335"/>
      <c r="AE132" s="335"/>
      <c r="AF132" s="335"/>
    </row>
    <row r="133" ht="15.75" customHeight="1">
      <c r="A133" s="335"/>
      <c r="B133" s="335"/>
      <c r="C133" s="335"/>
      <c r="D133" s="336"/>
      <c r="E133" s="335"/>
      <c r="F133" s="337"/>
      <c r="G133" s="335"/>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row>
    <row r="134" ht="15.75" customHeight="1">
      <c r="A134" s="335"/>
      <c r="B134" s="335"/>
      <c r="C134" s="335"/>
      <c r="D134" s="336"/>
      <c r="E134" s="335"/>
      <c r="F134" s="337"/>
      <c r="G134" s="335"/>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row>
    <row r="135" ht="15.75" customHeight="1">
      <c r="A135" s="335"/>
      <c r="B135" s="335"/>
      <c r="C135" s="335"/>
      <c r="D135" s="336"/>
      <c r="E135" s="335"/>
      <c r="F135" s="337"/>
      <c r="G135" s="335"/>
      <c r="H135" s="335"/>
      <c r="I135" s="335"/>
      <c r="J135" s="335"/>
      <c r="K135" s="335"/>
      <c r="L135" s="335"/>
      <c r="M135" s="335"/>
      <c r="N135" s="335"/>
      <c r="O135" s="335"/>
      <c r="P135" s="335"/>
      <c r="Q135" s="335"/>
      <c r="R135" s="335"/>
      <c r="S135" s="335"/>
      <c r="T135" s="335"/>
      <c r="U135" s="335"/>
      <c r="V135" s="335"/>
      <c r="W135" s="335"/>
      <c r="X135" s="335"/>
      <c r="Y135" s="335"/>
      <c r="Z135" s="335"/>
      <c r="AA135" s="335"/>
      <c r="AB135" s="335"/>
      <c r="AC135" s="335"/>
      <c r="AD135" s="335"/>
      <c r="AE135" s="335"/>
      <c r="AF135" s="335"/>
    </row>
    <row r="136" ht="15.75" customHeight="1">
      <c r="A136" s="335"/>
      <c r="B136" s="335"/>
      <c r="C136" s="335"/>
      <c r="D136" s="336"/>
      <c r="E136" s="335"/>
      <c r="F136" s="337"/>
      <c r="G136" s="335"/>
      <c r="H136" s="335"/>
      <c r="I136" s="335"/>
      <c r="J136" s="335"/>
      <c r="K136" s="335"/>
      <c r="L136" s="335"/>
      <c r="M136" s="335"/>
      <c r="N136" s="335"/>
      <c r="O136" s="335"/>
      <c r="P136" s="335"/>
      <c r="Q136" s="335"/>
      <c r="R136" s="335"/>
      <c r="S136" s="335"/>
      <c r="T136" s="335"/>
      <c r="U136" s="335"/>
      <c r="V136" s="335"/>
      <c r="W136" s="335"/>
      <c r="X136" s="335"/>
      <c r="Y136" s="335"/>
      <c r="Z136" s="335"/>
      <c r="AA136" s="335"/>
      <c r="AB136" s="335"/>
      <c r="AC136" s="335"/>
      <c r="AD136" s="335"/>
      <c r="AE136" s="335"/>
      <c r="AF136" s="335"/>
    </row>
    <row r="137" ht="15.75" customHeight="1">
      <c r="A137" s="335"/>
      <c r="B137" s="335"/>
      <c r="C137" s="335"/>
      <c r="D137" s="336"/>
      <c r="E137" s="335"/>
      <c r="F137" s="337"/>
      <c r="G137" s="335"/>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row>
    <row r="138" ht="15.75" customHeight="1">
      <c r="A138" s="335"/>
      <c r="B138" s="335"/>
      <c r="C138" s="335"/>
      <c r="D138" s="336"/>
      <c r="E138" s="335"/>
      <c r="F138" s="337"/>
      <c r="G138" s="335"/>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row>
    <row r="139" ht="15.75" customHeight="1">
      <c r="A139" s="335"/>
      <c r="B139" s="335"/>
      <c r="C139" s="335"/>
      <c r="D139" s="336"/>
      <c r="E139" s="335"/>
      <c r="F139" s="337"/>
      <c r="G139" s="335"/>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row>
    <row r="140" ht="15.75" customHeight="1">
      <c r="A140" s="335"/>
      <c r="B140" s="335"/>
      <c r="C140" s="335"/>
      <c r="D140" s="336"/>
      <c r="E140" s="335"/>
      <c r="F140" s="337"/>
      <c r="G140" s="335"/>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row>
    <row r="141" ht="15.75" customHeight="1">
      <c r="A141" s="335"/>
      <c r="B141" s="335"/>
      <c r="C141" s="335"/>
      <c r="D141" s="336"/>
      <c r="E141" s="335"/>
      <c r="F141" s="337"/>
      <c r="G141" s="335"/>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row>
    <row r="142" ht="15.75" customHeight="1">
      <c r="A142" s="335"/>
      <c r="B142" s="335"/>
      <c r="C142" s="335"/>
      <c r="D142" s="336"/>
      <c r="E142" s="335"/>
      <c r="F142" s="337"/>
      <c r="G142" s="335"/>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row>
    <row r="143" ht="15.75" customHeight="1">
      <c r="A143" s="335"/>
      <c r="B143" s="335"/>
      <c r="C143" s="335"/>
      <c r="D143" s="336"/>
      <c r="E143" s="335"/>
      <c r="F143" s="337"/>
      <c r="G143" s="335"/>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row>
    <row r="144" ht="15.75" customHeight="1">
      <c r="A144" s="335"/>
      <c r="B144" s="335"/>
      <c r="C144" s="335"/>
      <c r="D144" s="336"/>
      <c r="E144" s="335"/>
      <c r="F144" s="337"/>
      <c r="G144" s="335"/>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row>
    <row r="145" ht="15.75" customHeight="1">
      <c r="A145" s="335"/>
      <c r="B145" s="335"/>
      <c r="C145" s="335"/>
      <c r="D145" s="336"/>
      <c r="E145" s="335"/>
      <c r="F145" s="337"/>
      <c r="G145" s="335"/>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row>
    <row r="146" ht="15.75" customHeight="1">
      <c r="A146" s="335"/>
      <c r="B146" s="335"/>
      <c r="C146" s="335"/>
      <c r="D146" s="336"/>
      <c r="E146" s="335"/>
      <c r="F146" s="337"/>
      <c r="G146" s="335"/>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row>
    <row r="147" ht="15.75" customHeight="1">
      <c r="A147" s="335"/>
      <c r="B147" s="335"/>
      <c r="C147" s="335"/>
      <c r="D147" s="336"/>
      <c r="E147" s="335"/>
      <c r="F147" s="337"/>
      <c r="G147" s="335"/>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row>
    <row r="148" ht="15.75" customHeight="1">
      <c r="A148" s="335"/>
      <c r="B148" s="335"/>
      <c r="C148" s="335"/>
      <c r="D148" s="336"/>
      <c r="E148" s="335"/>
      <c r="F148" s="337"/>
      <c r="G148" s="335"/>
      <c r="H148" s="335"/>
      <c r="I148" s="335"/>
      <c r="J148" s="335"/>
      <c r="K148" s="335"/>
      <c r="L148" s="335"/>
      <c r="M148" s="335"/>
      <c r="N148" s="335"/>
      <c r="O148" s="335"/>
      <c r="P148" s="335"/>
      <c r="Q148" s="335"/>
      <c r="R148" s="335"/>
      <c r="S148" s="335"/>
      <c r="T148" s="335"/>
      <c r="U148" s="335"/>
      <c r="V148" s="335"/>
      <c r="W148" s="335"/>
      <c r="X148" s="335"/>
      <c r="Y148" s="335"/>
      <c r="Z148" s="335"/>
      <c r="AA148" s="335"/>
      <c r="AB148" s="335"/>
      <c r="AC148" s="335"/>
      <c r="AD148" s="335"/>
      <c r="AE148" s="335"/>
      <c r="AF148" s="335"/>
    </row>
    <row r="149" ht="15.75" customHeight="1">
      <c r="A149" s="335"/>
      <c r="B149" s="335"/>
      <c r="C149" s="335"/>
      <c r="D149" s="336"/>
      <c r="E149" s="335"/>
      <c r="F149" s="337"/>
      <c r="G149" s="335"/>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row>
    <row r="150" ht="15.75" customHeight="1">
      <c r="A150" s="335"/>
      <c r="B150" s="335"/>
      <c r="C150" s="335"/>
      <c r="D150" s="336"/>
      <c r="E150" s="335"/>
      <c r="F150" s="337"/>
      <c r="G150" s="335"/>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row>
    <row r="151" ht="15.75" customHeight="1">
      <c r="A151" s="335"/>
      <c r="B151" s="335"/>
      <c r="C151" s="335"/>
      <c r="D151" s="336"/>
      <c r="E151" s="335"/>
      <c r="F151" s="337"/>
      <c r="G151" s="335"/>
      <c r="H151" s="335"/>
      <c r="I151" s="335"/>
      <c r="J151" s="335"/>
      <c r="K151" s="335"/>
      <c r="L151" s="335"/>
      <c r="M151" s="335"/>
      <c r="N151" s="335"/>
      <c r="O151" s="335"/>
      <c r="P151" s="335"/>
      <c r="Q151" s="335"/>
      <c r="R151" s="335"/>
      <c r="S151" s="335"/>
      <c r="T151" s="335"/>
      <c r="U151" s="335"/>
      <c r="V151" s="335"/>
      <c r="W151" s="335"/>
      <c r="X151" s="335"/>
      <c r="Y151" s="335"/>
      <c r="Z151" s="335"/>
      <c r="AA151" s="335"/>
      <c r="AB151" s="335"/>
      <c r="AC151" s="335"/>
      <c r="AD151" s="335"/>
      <c r="AE151" s="335"/>
      <c r="AF151" s="335"/>
    </row>
    <row r="152" ht="15.75" customHeight="1">
      <c r="A152" s="335"/>
      <c r="B152" s="335"/>
      <c r="C152" s="335"/>
      <c r="D152" s="336"/>
      <c r="E152" s="335"/>
      <c r="F152" s="337"/>
      <c r="G152" s="335"/>
      <c r="H152" s="335"/>
      <c r="I152" s="335"/>
      <c r="J152" s="335"/>
      <c r="K152" s="335"/>
      <c r="L152" s="335"/>
      <c r="M152" s="335"/>
      <c r="N152" s="335"/>
      <c r="O152" s="335"/>
      <c r="P152" s="335"/>
      <c r="Q152" s="335"/>
      <c r="R152" s="335"/>
      <c r="S152" s="335"/>
      <c r="T152" s="335"/>
      <c r="U152" s="335"/>
      <c r="V152" s="335"/>
      <c r="W152" s="335"/>
      <c r="X152" s="335"/>
      <c r="Y152" s="335"/>
      <c r="Z152" s="335"/>
      <c r="AA152" s="335"/>
      <c r="AB152" s="335"/>
      <c r="AC152" s="335"/>
      <c r="AD152" s="335"/>
      <c r="AE152" s="335"/>
      <c r="AF152" s="335"/>
    </row>
    <row r="153" ht="15.75" customHeight="1">
      <c r="A153" s="335"/>
      <c r="B153" s="335"/>
      <c r="C153" s="335"/>
      <c r="D153" s="336"/>
      <c r="E153" s="335"/>
      <c r="F153" s="337"/>
      <c r="G153" s="335"/>
      <c r="H153" s="335"/>
      <c r="I153" s="335"/>
      <c r="J153" s="335"/>
      <c r="K153" s="335"/>
      <c r="L153" s="335"/>
      <c r="M153" s="335"/>
      <c r="N153" s="335"/>
      <c r="O153" s="335"/>
      <c r="P153" s="335"/>
      <c r="Q153" s="335"/>
      <c r="R153" s="335"/>
      <c r="S153" s="335"/>
      <c r="T153" s="335"/>
      <c r="U153" s="335"/>
      <c r="V153" s="335"/>
      <c r="W153" s="335"/>
      <c r="X153" s="335"/>
      <c r="Y153" s="335"/>
      <c r="Z153" s="335"/>
      <c r="AA153" s="335"/>
      <c r="AB153" s="335"/>
      <c r="AC153" s="335"/>
      <c r="AD153" s="335"/>
      <c r="AE153" s="335"/>
      <c r="AF153" s="335"/>
    </row>
    <row r="154" ht="15.75" customHeight="1">
      <c r="A154" s="335"/>
      <c r="B154" s="335"/>
      <c r="C154" s="335"/>
      <c r="D154" s="336"/>
      <c r="E154" s="335"/>
      <c r="F154" s="337"/>
      <c r="G154" s="335"/>
      <c r="H154" s="335"/>
      <c r="I154" s="335"/>
      <c r="J154" s="335"/>
      <c r="K154" s="335"/>
      <c r="L154" s="335"/>
      <c r="M154" s="335"/>
      <c r="N154" s="335"/>
      <c r="O154" s="335"/>
      <c r="P154" s="335"/>
      <c r="Q154" s="335"/>
      <c r="R154" s="335"/>
      <c r="S154" s="335"/>
      <c r="T154" s="335"/>
      <c r="U154" s="335"/>
      <c r="V154" s="335"/>
      <c r="W154" s="335"/>
      <c r="X154" s="335"/>
      <c r="Y154" s="335"/>
      <c r="Z154" s="335"/>
      <c r="AA154" s="335"/>
      <c r="AB154" s="335"/>
      <c r="AC154" s="335"/>
      <c r="AD154" s="335"/>
      <c r="AE154" s="335"/>
      <c r="AF154" s="335"/>
    </row>
    <row r="155" ht="15.75" customHeight="1">
      <c r="A155" s="335"/>
      <c r="B155" s="335"/>
      <c r="C155" s="335"/>
      <c r="D155" s="336"/>
      <c r="E155" s="335"/>
      <c r="F155" s="337"/>
      <c r="G155" s="335"/>
      <c r="H155" s="335"/>
      <c r="I155" s="335"/>
      <c r="J155" s="335"/>
      <c r="K155" s="335"/>
      <c r="L155" s="335"/>
      <c r="M155" s="335"/>
      <c r="N155" s="335"/>
      <c r="O155" s="335"/>
      <c r="P155" s="335"/>
      <c r="Q155" s="335"/>
      <c r="R155" s="335"/>
      <c r="S155" s="335"/>
      <c r="T155" s="335"/>
      <c r="U155" s="335"/>
      <c r="V155" s="335"/>
      <c r="W155" s="335"/>
      <c r="X155" s="335"/>
      <c r="Y155" s="335"/>
      <c r="Z155" s="335"/>
      <c r="AA155" s="335"/>
      <c r="AB155" s="335"/>
      <c r="AC155" s="335"/>
      <c r="AD155" s="335"/>
      <c r="AE155" s="335"/>
      <c r="AF155" s="335"/>
    </row>
    <row r="156" ht="15.75" customHeight="1">
      <c r="A156" s="335"/>
      <c r="B156" s="335"/>
      <c r="C156" s="335"/>
      <c r="D156" s="336"/>
      <c r="E156" s="335"/>
      <c r="F156" s="337"/>
      <c r="G156" s="335"/>
      <c r="H156" s="335"/>
      <c r="I156" s="335"/>
      <c r="J156" s="335"/>
      <c r="K156" s="335"/>
      <c r="L156" s="335"/>
      <c r="M156" s="335"/>
      <c r="N156" s="335"/>
      <c r="O156" s="335"/>
      <c r="P156" s="335"/>
      <c r="Q156" s="335"/>
      <c r="R156" s="335"/>
      <c r="S156" s="335"/>
      <c r="T156" s="335"/>
      <c r="U156" s="335"/>
      <c r="V156" s="335"/>
      <c r="W156" s="335"/>
      <c r="X156" s="335"/>
      <c r="Y156" s="335"/>
      <c r="Z156" s="335"/>
      <c r="AA156" s="335"/>
      <c r="AB156" s="335"/>
      <c r="AC156" s="335"/>
      <c r="AD156" s="335"/>
      <c r="AE156" s="335"/>
      <c r="AF156" s="335"/>
    </row>
    <row r="157" ht="15.75" customHeight="1">
      <c r="A157" s="335"/>
      <c r="B157" s="335"/>
      <c r="C157" s="335"/>
      <c r="D157" s="336"/>
      <c r="E157" s="335"/>
      <c r="F157" s="337"/>
      <c r="G157" s="335"/>
      <c r="H157" s="335"/>
      <c r="I157" s="335"/>
      <c r="J157" s="335"/>
      <c r="K157" s="335"/>
      <c r="L157" s="335"/>
      <c r="M157" s="335"/>
      <c r="N157" s="335"/>
      <c r="O157" s="335"/>
      <c r="P157" s="335"/>
      <c r="Q157" s="335"/>
      <c r="R157" s="335"/>
      <c r="S157" s="335"/>
      <c r="T157" s="335"/>
      <c r="U157" s="335"/>
      <c r="V157" s="335"/>
      <c r="W157" s="335"/>
      <c r="X157" s="335"/>
      <c r="Y157" s="335"/>
      <c r="Z157" s="335"/>
      <c r="AA157" s="335"/>
      <c r="AB157" s="335"/>
      <c r="AC157" s="335"/>
      <c r="AD157" s="335"/>
      <c r="AE157" s="335"/>
      <c r="AF157" s="335"/>
    </row>
    <row r="158" ht="15.75" customHeight="1">
      <c r="A158" s="335"/>
      <c r="B158" s="335"/>
      <c r="C158" s="335"/>
      <c r="D158" s="336"/>
      <c r="E158" s="335"/>
      <c r="F158" s="337"/>
      <c r="G158" s="335"/>
      <c r="H158" s="335"/>
      <c r="I158" s="335"/>
      <c r="J158" s="335"/>
      <c r="K158" s="335"/>
      <c r="L158" s="335"/>
      <c r="M158" s="335"/>
      <c r="N158" s="335"/>
      <c r="O158" s="335"/>
      <c r="P158" s="335"/>
      <c r="Q158" s="335"/>
      <c r="R158" s="335"/>
      <c r="S158" s="335"/>
      <c r="T158" s="335"/>
      <c r="U158" s="335"/>
      <c r="V158" s="335"/>
      <c r="W158" s="335"/>
      <c r="X158" s="335"/>
      <c r="Y158" s="335"/>
      <c r="Z158" s="335"/>
      <c r="AA158" s="335"/>
      <c r="AB158" s="335"/>
      <c r="AC158" s="335"/>
      <c r="AD158" s="335"/>
      <c r="AE158" s="335"/>
      <c r="AF158" s="335"/>
    </row>
    <row r="159" ht="15.75" customHeight="1">
      <c r="A159" s="335"/>
      <c r="B159" s="335"/>
      <c r="C159" s="335"/>
      <c r="D159" s="336"/>
      <c r="E159" s="335"/>
      <c r="F159" s="337"/>
      <c r="G159" s="335"/>
      <c r="H159" s="335"/>
      <c r="I159" s="335"/>
      <c r="J159" s="335"/>
      <c r="K159" s="335"/>
      <c r="L159" s="335"/>
      <c r="M159" s="335"/>
      <c r="N159" s="335"/>
      <c r="O159" s="335"/>
      <c r="P159" s="335"/>
      <c r="Q159" s="335"/>
      <c r="R159" s="335"/>
      <c r="S159" s="335"/>
      <c r="T159" s="335"/>
      <c r="U159" s="335"/>
      <c r="V159" s="335"/>
      <c r="W159" s="335"/>
      <c r="X159" s="335"/>
      <c r="Y159" s="335"/>
      <c r="Z159" s="335"/>
      <c r="AA159" s="335"/>
      <c r="AB159" s="335"/>
      <c r="AC159" s="335"/>
      <c r="AD159" s="335"/>
      <c r="AE159" s="335"/>
      <c r="AF159" s="335"/>
    </row>
    <row r="160" ht="15.75" customHeight="1">
      <c r="A160" s="335"/>
      <c r="B160" s="335"/>
      <c r="C160" s="335"/>
      <c r="D160" s="336"/>
      <c r="E160" s="335"/>
      <c r="F160" s="337"/>
      <c r="G160" s="335"/>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5"/>
    </row>
    <row r="161" ht="15.75" customHeight="1">
      <c r="A161" s="335"/>
      <c r="B161" s="335"/>
      <c r="C161" s="335"/>
      <c r="D161" s="336"/>
      <c r="E161" s="335"/>
      <c r="F161" s="337"/>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row>
    <row r="162" ht="15.75" customHeight="1">
      <c r="A162" s="335"/>
      <c r="B162" s="335"/>
      <c r="C162" s="335"/>
      <c r="D162" s="336"/>
      <c r="E162" s="335"/>
      <c r="F162" s="337"/>
      <c r="G162" s="335"/>
      <c r="H162" s="335"/>
      <c r="I162" s="335"/>
      <c r="J162" s="335"/>
      <c r="K162" s="335"/>
      <c r="L162" s="335"/>
      <c r="M162" s="335"/>
      <c r="N162" s="335"/>
      <c r="O162" s="335"/>
      <c r="P162" s="335"/>
      <c r="Q162" s="335"/>
      <c r="R162" s="335"/>
      <c r="S162" s="335"/>
      <c r="T162" s="335"/>
      <c r="U162" s="335"/>
      <c r="V162" s="335"/>
      <c r="W162" s="335"/>
      <c r="X162" s="335"/>
      <c r="Y162" s="335"/>
      <c r="Z162" s="335"/>
      <c r="AA162" s="335"/>
      <c r="AB162" s="335"/>
      <c r="AC162" s="335"/>
      <c r="AD162" s="335"/>
      <c r="AE162" s="335"/>
      <c r="AF162" s="335"/>
    </row>
    <row r="163" ht="15.75" customHeight="1">
      <c r="A163" s="335"/>
      <c r="B163" s="335"/>
      <c r="C163" s="335"/>
      <c r="D163" s="336"/>
      <c r="E163" s="335"/>
      <c r="F163" s="337"/>
      <c r="G163" s="335"/>
      <c r="H163" s="335"/>
      <c r="I163" s="335"/>
      <c r="J163" s="335"/>
      <c r="K163" s="335"/>
      <c r="L163" s="335"/>
      <c r="M163" s="335"/>
      <c r="N163" s="335"/>
      <c r="O163" s="335"/>
      <c r="P163" s="335"/>
      <c r="Q163" s="335"/>
      <c r="R163" s="335"/>
      <c r="S163" s="335"/>
      <c r="T163" s="335"/>
      <c r="U163" s="335"/>
      <c r="V163" s="335"/>
      <c r="W163" s="335"/>
      <c r="X163" s="335"/>
      <c r="Y163" s="335"/>
      <c r="Z163" s="335"/>
      <c r="AA163" s="335"/>
      <c r="AB163" s="335"/>
      <c r="AC163" s="335"/>
      <c r="AD163" s="335"/>
      <c r="AE163" s="335"/>
      <c r="AF163" s="335"/>
    </row>
    <row r="164" ht="15.75" customHeight="1">
      <c r="A164" s="335"/>
      <c r="B164" s="335"/>
      <c r="C164" s="335"/>
      <c r="D164" s="336"/>
      <c r="E164" s="335"/>
      <c r="F164" s="337"/>
      <c r="G164" s="335"/>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row>
    <row r="165" ht="15.75" customHeight="1">
      <c r="A165" s="335"/>
      <c r="B165" s="335"/>
      <c r="C165" s="335"/>
      <c r="D165" s="336"/>
      <c r="E165" s="335"/>
      <c r="F165" s="337"/>
      <c r="G165" s="335"/>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c r="AF165" s="335"/>
    </row>
    <row r="166" ht="15.75" customHeight="1">
      <c r="A166" s="335"/>
      <c r="B166" s="335"/>
      <c r="C166" s="335"/>
      <c r="D166" s="336"/>
      <c r="E166" s="335"/>
      <c r="F166" s="337"/>
      <c r="G166" s="335"/>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c r="AF166" s="335"/>
    </row>
    <row r="167" ht="15.75" customHeight="1">
      <c r="A167" s="335"/>
      <c r="B167" s="335"/>
      <c r="C167" s="335"/>
      <c r="D167" s="336"/>
      <c r="E167" s="335"/>
      <c r="F167" s="337"/>
      <c r="G167" s="335"/>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row>
    <row r="168" ht="15.75" customHeight="1">
      <c r="A168" s="335"/>
      <c r="B168" s="335"/>
      <c r="C168" s="335"/>
      <c r="D168" s="336"/>
      <c r="E168" s="335"/>
      <c r="F168" s="337"/>
      <c r="G168" s="335"/>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row>
    <row r="169" ht="15.75" customHeight="1">
      <c r="A169" s="335"/>
      <c r="B169" s="335"/>
      <c r="C169" s="335"/>
      <c r="D169" s="336"/>
      <c r="E169" s="335"/>
      <c r="F169" s="337"/>
      <c r="G169" s="335"/>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row>
    <row r="170" ht="15.75" customHeight="1">
      <c r="A170" s="335"/>
      <c r="B170" s="335"/>
      <c r="C170" s="335"/>
      <c r="D170" s="336"/>
      <c r="E170" s="335"/>
      <c r="F170" s="337"/>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row>
    <row r="171" ht="15.75" customHeight="1">
      <c r="A171" s="335"/>
      <c r="B171" s="335"/>
      <c r="C171" s="335"/>
      <c r="D171" s="336"/>
      <c r="E171" s="335"/>
      <c r="F171" s="337"/>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row>
    <row r="172" ht="15.75" customHeight="1">
      <c r="A172" s="335"/>
      <c r="B172" s="335"/>
      <c r="C172" s="335"/>
      <c r="D172" s="336"/>
      <c r="E172" s="335"/>
      <c r="F172" s="337"/>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5"/>
    </row>
    <row r="173" ht="15.75" customHeight="1">
      <c r="A173" s="335"/>
      <c r="B173" s="335"/>
      <c r="C173" s="335"/>
      <c r="D173" s="336"/>
      <c r="E173" s="335"/>
      <c r="F173" s="337"/>
      <c r="G173" s="335"/>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c r="AF173" s="335"/>
    </row>
    <row r="174" ht="15.75" customHeight="1">
      <c r="A174" s="335"/>
      <c r="B174" s="335"/>
      <c r="C174" s="335"/>
      <c r="D174" s="336"/>
      <c r="E174" s="335"/>
      <c r="F174" s="337"/>
      <c r="G174" s="335"/>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row>
    <row r="175" ht="15.75" customHeight="1">
      <c r="A175" s="335"/>
      <c r="B175" s="335"/>
      <c r="C175" s="335"/>
      <c r="D175" s="336"/>
      <c r="E175" s="335"/>
      <c r="F175" s="337"/>
      <c r="G175" s="335"/>
      <c r="H175" s="335"/>
      <c r="I175" s="335"/>
      <c r="J175" s="335"/>
      <c r="K175" s="335"/>
      <c r="L175" s="335"/>
      <c r="M175" s="335"/>
      <c r="N175" s="335"/>
      <c r="O175" s="335"/>
      <c r="P175" s="335"/>
      <c r="Q175" s="335"/>
      <c r="R175" s="335"/>
      <c r="S175" s="335"/>
      <c r="T175" s="335"/>
      <c r="U175" s="335"/>
      <c r="V175" s="335"/>
      <c r="W175" s="335"/>
      <c r="X175" s="335"/>
      <c r="Y175" s="335"/>
      <c r="Z175" s="335"/>
      <c r="AA175" s="335"/>
      <c r="AB175" s="335"/>
      <c r="AC175" s="335"/>
      <c r="AD175" s="335"/>
      <c r="AE175" s="335"/>
      <c r="AF175" s="335"/>
    </row>
    <row r="176" ht="15.75" customHeight="1">
      <c r="A176" s="335"/>
      <c r="B176" s="335"/>
      <c r="C176" s="335"/>
      <c r="D176" s="336"/>
      <c r="E176" s="335"/>
      <c r="F176" s="337"/>
      <c r="G176" s="335"/>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c r="AF176" s="335"/>
    </row>
    <row r="177" ht="15.75" customHeight="1">
      <c r="A177" s="335"/>
      <c r="B177" s="335"/>
      <c r="C177" s="335"/>
      <c r="D177" s="336"/>
      <c r="E177" s="335"/>
      <c r="F177" s="337"/>
      <c r="G177" s="335"/>
      <c r="H177" s="335"/>
      <c r="I177" s="335"/>
      <c r="J177" s="335"/>
      <c r="K177" s="335"/>
      <c r="L177" s="335"/>
      <c r="M177" s="335"/>
      <c r="N177" s="335"/>
      <c r="O177" s="335"/>
      <c r="P177" s="335"/>
      <c r="Q177" s="335"/>
      <c r="R177" s="335"/>
      <c r="S177" s="335"/>
      <c r="T177" s="335"/>
      <c r="U177" s="335"/>
      <c r="V177" s="335"/>
      <c r="W177" s="335"/>
      <c r="X177" s="335"/>
      <c r="Y177" s="335"/>
      <c r="Z177" s="335"/>
      <c r="AA177" s="335"/>
      <c r="AB177" s="335"/>
      <c r="AC177" s="335"/>
      <c r="AD177" s="335"/>
      <c r="AE177" s="335"/>
      <c r="AF177" s="335"/>
    </row>
    <row r="178" ht="15.75" customHeight="1">
      <c r="A178" s="335"/>
      <c r="B178" s="335"/>
      <c r="C178" s="335"/>
      <c r="D178" s="336"/>
      <c r="E178" s="335"/>
      <c r="F178" s="337"/>
      <c r="G178" s="335"/>
      <c r="H178" s="335"/>
      <c r="I178" s="335"/>
      <c r="J178" s="335"/>
      <c r="K178" s="335"/>
      <c r="L178" s="335"/>
      <c r="M178" s="335"/>
      <c r="N178" s="335"/>
      <c r="O178" s="335"/>
      <c r="P178" s="335"/>
      <c r="Q178" s="335"/>
      <c r="R178" s="335"/>
      <c r="S178" s="335"/>
      <c r="T178" s="335"/>
      <c r="U178" s="335"/>
      <c r="V178" s="335"/>
      <c r="W178" s="335"/>
      <c r="X178" s="335"/>
      <c r="Y178" s="335"/>
      <c r="Z178" s="335"/>
      <c r="AA178" s="335"/>
      <c r="AB178" s="335"/>
      <c r="AC178" s="335"/>
      <c r="AD178" s="335"/>
      <c r="AE178" s="335"/>
      <c r="AF178" s="335"/>
    </row>
    <row r="179" ht="15.75" customHeight="1">
      <c r="A179" s="335"/>
      <c r="B179" s="335"/>
      <c r="C179" s="335"/>
      <c r="D179" s="336"/>
      <c r="E179" s="335"/>
      <c r="F179" s="337"/>
      <c r="G179" s="335"/>
      <c r="H179" s="335"/>
      <c r="I179" s="335"/>
      <c r="J179" s="335"/>
      <c r="K179" s="335"/>
      <c r="L179" s="335"/>
      <c r="M179" s="335"/>
      <c r="N179" s="335"/>
      <c r="O179" s="335"/>
      <c r="P179" s="335"/>
      <c r="Q179" s="335"/>
      <c r="R179" s="335"/>
      <c r="S179" s="335"/>
      <c r="T179" s="335"/>
      <c r="U179" s="335"/>
      <c r="V179" s="335"/>
      <c r="W179" s="335"/>
      <c r="X179" s="335"/>
      <c r="Y179" s="335"/>
      <c r="Z179" s="335"/>
      <c r="AA179" s="335"/>
      <c r="AB179" s="335"/>
      <c r="AC179" s="335"/>
      <c r="AD179" s="335"/>
      <c r="AE179" s="335"/>
      <c r="AF179" s="335"/>
    </row>
    <row r="180" ht="15.75" customHeight="1">
      <c r="A180" s="335"/>
      <c r="B180" s="335"/>
      <c r="C180" s="335"/>
      <c r="D180" s="336"/>
      <c r="E180" s="335"/>
      <c r="F180" s="337"/>
      <c r="G180" s="335"/>
      <c r="H180" s="335"/>
      <c r="I180" s="335"/>
      <c r="J180" s="335"/>
      <c r="K180" s="335"/>
      <c r="L180" s="335"/>
      <c r="M180" s="335"/>
      <c r="N180" s="335"/>
      <c r="O180" s="335"/>
      <c r="P180" s="335"/>
      <c r="Q180" s="335"/>
      <c r="R180" s="335"/>
      <c r="S180" s="335"/>
      <c r="T180" s="335"/>
      <c r="U180" s="335"/>
      <c r="V180" s="335"/>
      <c r="W180" s="335"/>
      <c r="X180" s="335"/>
      <c r="Y180" s="335"/>
      <c r="Z180" s="335"/>
      <c r="AA180" s="335"/>
      <c r="AB180" s="335"/>
      <c r="AC180" s="335"/>
      <c r="AD180" s="335"/>
      <c r="AE180" s="335"/>
      <c r="AF180" s="335"/>
    </row>
    <row r="181" ht="15.75" customHeight="1">
      <c r="A181" s="335"/>
      <c r="B181" s="335"/>
      <c r="C181" s="335"/>
      <c r="D181" s="336"/>
      <c r="E181" s="335"/>
      <c r="F181" s="337"/>
      <c r="G181" s="335"/>
      <c r="H181" s="335"/>
      <c r="I181" s="335"/>
      <c r="J181" s="335"/>
      <c r="K181" s="335"/>
      <c r="L181" s="335"/>
      <c r="M181" s="335"/>
      <c r="N181" s="335"/>
      <c r="O181" s="335"/>
      <c r="P181" s="335"/>
      <c r="Q181" s="335"/>
      <c r="R181" s="335"/>
      <c r="S181" s="335"/>
      <c r="T181" s="335"/>
      <c r="U181" s="335"/>
      <c r="V181" s="335"/>
      <c r="W181" s="335"/>
      <c r="X181" s="335"/>
      <c r="Y181" s="335"/>
      <c r="Z181" s="335"/>
      <c r="AA181" s="335"/>
      <c r="AB181" s="335"/>
      <c r="AC181" s="335"/>
      <c r="AD181" s="335"/>
      <c r="AE181" s="335"/>
      <c r="AF181" s="335"/>
    </row>
    <row r="182" ht="15.75" customHeight="1">
      <c r="A182" s="335"/>
      <c r="B182" s="335"/>
      <c r="C182" s="335"/>
      <c r="D182" s="336"/>
      <c r="E182" s="335"/>
      <c r="F182" s="337"/>
      <c r="G182" s="335"/>
      <c r="H182" s="335"/>
      <c r="I182" s="335"/>
      <c r="J182" s="335"/>
      <c r="K182" s="335"/>
      <c r="L182" s="335"/>
      <c r="M182" s="335"/>
      <c r="N182" s="335"/>
      <c r="O182" s="335"/>
      <c r="P182" s="335"/>
      <c r="Q182" s="335"/>
      <c r="R182" s="335"/>
      <c r="S182" s="335"/>
      <c r="T182" s="335"/>
      <c r="U182" s="335"/>
      <c r="V182" s="335"/>
      <c r="W182" s="335"/>
      <c r="X182" s="335"/>
      <c r="Y182" s="335"/>
      <c r="Z182" s="335"/>
      <c r="AA182" s="335"/>
      <c r="AB182" s="335"/>
      <c r="AC182" s="335"/>
      <c r="AD182" s="335"/>
      <c r="AE182" s="335"/>
      <c r="AF182" s="335"/>
    </row>
    <row r="183" ht="15.75" customHeight="1">
      <c r="A183" s="335"/>
      <c r="B183" s="335"/>
      <c r="C183" s="335"/>
      <c r="D183" s="336"/>
      <c r="E183" s="335"/>
      <c r="F183" s="337"/>
      <c r="G183" s="335"/>
      <c r="H183" s="335"/>
      <c r="I183" s="335"/>
      <c r="J183" s="335"/>
      <c r="K183" s="335"/>
      <c r="L183" s="335"/>
      <c r="M183" s="335"/>
      <c r="N183" s="335"/>
      <c r="O183" s="335"/>
      <c r="P183" s="335"/>
      <c r="Q183" s="335"/>
      <c r="R183" s="335"/>
      <c r="S183" s="335"/>
      <c r="T183" s="335"/>
      <c r="U183" s="335"/>
      <c r="V183" s="335"/>
      <c r="W183" s="335"/>
      <c r="X183" s="335"/>
      <c r="Y183" s="335"/>
      <c r="Z183" s="335"/>
      <c r="AA183" s="335"/>
      <c r="AB183" s="335"/>
      <c r="AC183" s="335"/>
      <c r="AD183" s="335"/>
      <c r="AE183" s="335"/>
      <c r="AF183" s="335"/>
    </row>
    <row r="184" ht="15.75" customHeight="1">
      <c r="A184" s="335"/>
      <c r="B184" s="335"/>
      <c r="C184" s="335"/>
      <c r="D184" s="336"/>
      <c r="E184" s="335"/>
      <c r="F184" s="337"/>
      <c r="G184" s="335"/>
      <c r="H184" s="335"/>
      <c r="I184" s="335"/>
      <c r="J184" s="335"/>
      <c r="K184" s="335"/>
      <c r="L184" s="335"/>
      <c r="M184" s="335"/>
      <c r="N184" s="335"/>
      <c r="O184" s="335"/>
      <c r="P184" s="335"/>
      <c r="Q184" s="335"/>
      <c r="R184" s="335"/>
      <c r="S184" s="335"/>
      <c r="T184" s="335"/>
      <c r="U184" s="335"/>
      <c r="V184" s="335"/>
      <c r="W184" s="335"/>
      <c r="X184" s="335"/>
      <c r="Y184" s="335"/>
      <c r="Z184" s="335"/>
      <c r="AA184" s="335"/>
      <c r="AB184" s="335"/>
      <c r="AC184" s="335"/>
      <c r="AD184" s="335"/>
      <c r="AE184" s="335"/>
      <c r="AF184" s="335"/>
    </row>
    <row r="185" ht="15.75" customHeight="1">
      <c r="A185" s="335"/>
      <c r="B185" s="335"/>
      <c r="C185" s="335"/>
      <c r="D185" s="336"/>
      <c r="E185" s="335"/>
      <c r="F185" s="337"/>
      <c r="G185" s="335"/>
      <c r="H185" s="335"/>
      <c r="I185" s="335"/>
      <c r="J185" s="335"/>
      <c r="K185" s="335"/>
      <c r="L185" s="335"/>
      <c r="M185" s="335"/>
      <c r="N185" s="335"/>
      <c r="O185" s="335"/>
      <c r="P185" s="335"/>
      <c r="Q185" s="335"/>
      <c r="R185" s="335"/>
      <c r="S185" s="335"/>
      <c r="T185" s="335"/>
      <c r="U185" s="335"/>
      <c r="V185" s="335"/>
      <c r="W185" s="335"/>
      <c r="X185" s="335"/>
      <c r="Y185" s="335"/>
      <c r="Z185" s="335"/>
      <c r="AA185" s="335"/>
      <c r="AB185" s="335"/>
      <c r="AC185" s="335"/>
      <c r="AD185" s="335"/>
      <c r="AE185" s="335"/>
      <c r="AF185" s="335"/>
    </row>
    <row r="186" ht="15.75" customHeight="1">
      <c r="A186" s="335"/>
      <c r="B186" s="335"/>
      <c r="C186" s="335"/>
      <c r="D186" s="336"/>
      <c r="E186" s="335"/>
      <c r="F186" s="337"/>
      <c r="G186" s="335"/>
      <c r="H186" s="335"/>
      <c r="I186" s="335"/>
      <c r="J186" s="335"/>
      <c r="K186" s="335"/>
      <c r="L186" s="335"/>
      <c r="M186" s="335"/>
      <c r="N186" s="335"/>
      <c r="O186" s="335"/>
      <c r="P186" s="335"/>
      <c r="Q186" s="335"/>
      <c r="R186" s="335"/>
      <c r="S186" s="335"/>
      <c r="T186" s="335"/>
      <c r="U186" s="335"/>
      <c r="V186" s="335"/>
      <c r="W186" s="335"/>
      <c r="X186" s="335"/>
      <c r="Y186" s="335"/>
      <c r="Z186" s="335"/>
      <c r="AA186" s="335"/>
      <c r="AB186" s="335"/>
      <c r="AC186" s="335"/>
      <c r="AD186" s="335"/>
      <c r="AE186" s="335"/>
      <c r="AF186" s="335"/>
    </row>
    <row r="187" ht="15.75" customHeight="1">
      <c r="A187" s="335"/>
      <c r="B187" s="335"/>
      <c r="C187" s="335"/>
      <c r="D187" s="336"/>
      <c r="E187" s="335"/>
      <c r="F187" s="337"/>
      <c r="G187" s="335"/>
      <c r="H187" s="335"/>
      <c r="I187" s="335"/>
      <c r="J187" s="335"/>
      <c r="K187" s="335"/>
      <c r="L187" s="335"/>
      <c r="M187" s="335"/>
      <c r="N187" s="335"/>
      <c r="O187" s="335"/>
      <c r="P187" s="335"/>
      <c r="Q187" s="335"/>
      <c r="R187" s="335"/>
      <c r="S187" s="335"/>
      <c r="T187" s="335"/>
      <c r="U187" s="335"/>
      <c r="V187" s="335"/>
      <c r="W187" s="335"/>
      <c r="X187" s="335"/>
      <c r="Y187" s="335"/>
      <c r="Z187" s="335"/>
      <c r="AA187" s="335"/>
      <c r="AB187" s="335"/>
      <c r="AC187" s="335"/>
      <c r="AD187" s="335"/>
      <c r="AE187" s="335"/>
      <c r="AF187" s="335"/>
    </row>
    <row r="188" ht="15.75" customHeight="1">
      <c r="A188" s="335"/>
      <c r="B188" s="335"/>
      <c r="C188" s="335"/>
      <c r="D188" s="336"/>
      <c r="E188" s="335"/>
      <c r="F188" s="337"/>
      <c r="G188" s="335"/>
      <c r="H188" s="335"/>
      <c r="I188" s="335"/>
      <c r="J188" s="335"/>
      <c r="K188" s="335"/>
      <c r="L188" s="335"/>
      <c r="M188" s="335"/>
      <c r="N188" s="335"/>
      <c r="O188" s="335"/>
      <c r="P188" s="335"/>
      <c r="Q188" s="335"/>
      <c r="R188" s="335"/>
      <c r="S188" s="335"/>
      <c r="T188" s="335"/>
      <c r="U188" s="335"/>
      <c r="V188" s="335"/>
      <c r="W188" s="335"/>
      <c r="X188" s="335"/>
      <c r="Y188" s="335"/>
      <c r="Z188" s="335"/>
      <c r="AA188" s="335"/>
      <c r="AB188" s="335"/>
      <c r="AC188" s="335"/>
      <c r="AD188" s="335"/>
      <c r="AE188" s="335"/>
      <c r="AF188" s="335"/>
    </row>
    <row r="189" ht="15.75" customHeight="1">
      <c r="A189" s="335"/>
      <c r="B189" s="335"/>
      <c r="C189" s="335"/>
      <c r="D189" s="336"/>
      <c r="E189" s="335"/>
      <c r="F189" s="337"/>
      <c r="G189" s="335"/>
      <c r="H189" s="335"/>
      <c r="I189" s="335"/>
      <c r="J189" s="335"/>
      <c r="K189" s="335"/>
      <c r="L189" s="335"/>
      <c r="M189" s="335"/>
      <c r="N189" s="335"/>
      <c r="O189" s="335"/>
      <c r="P189" s="335"/>
      <c r="Q189" s="335"/>
      <c r="R189" s="335"/>
      <c r="S189" s="335"/>
      <c r="T189" s="335"/>
      <c r="U189" s="335"/>
      <c r="V189" s="335"/>
      <c r="W189" s="335"/>
      <c r="X189" s="335"/>
      <c r="Y189" s="335"/>
      <c r="Z189" s="335"/>
      <c r="AA189" s="335"/>
      <c r="AB189" s="335"/>
      <c r="AC189" s="335"/>
      <c r="AD189" s="335"/>
      <c r="AE189" s="335"/>
      <c r="AF189" s="335"/>
    </row>
    <row r="190" ht="15.75" customHeight="1">
      <c r="A190" s="335"/>
      <c r="B190" s="335"/>
      <c r="C190" s="335"/>
      <c r="D190" s="336"/>
      <c r="E190" s="335"/>
      <c r="F190" s="337"/>
      <c r="G190" s="335"/>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c r="AF190" s="335"/>
    </row>
    <row r="191" ht="15.75" customHeight="1">
      <c r="A191" s="335"/>
      <c r="B191" s="335"/>
      <c r="C191" s="335"/>
      <c r="D191" s="336"/>
      <c r="E191" s="335"/>
      <c r="F191" s="337"/>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row>
    <row r="192" ht="15.75" customHeight="1">
      <c r="A192" s="335"/>
      <c r="B192" s="335"/>
      <c r="C192" s="335"/>
      <c r="D192" s="336"/>
      <c r="E192" s="335"/>
      <c r="F192" s="337"/>
      <c r="G192" s="335"/>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c r="AF192" s="335"/>
    </row>
    <row r="193" ht="15.75" customHeight="1">
      <c r="A193" s="335"/>
      <c r="B193" s="335"/>
      <c r="C193" s="335"/>
      <c r="D193" s="336"/>
      <c r="E193" s="335"/>
      <c r="F193" s="337"/>
      <c r="G193" s="335"/>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c r="AF193" s="335"/>
    </row>
    <row r="194" ht="15.75" customHeight="1">
      <c r="A194" s="335"/>
      <c r="B194" s="335"/>
      <c r="C194" s="335"/>
      <c r="D194" s="336"/>
      <c r="E194" s="335"/>
      <c r="F194" s="337"/>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row>
    <row r="195" ht="15.75" customHeight="1">
      <c r="A195" s="335"/>
      <c r="B195" s="335"/>
      <c r="C195" s="335"/>
      <c r="D195" s="336"/>
      <c r="E195" s="335"/>
      <c r="F195" s="337"/>
      <c r="G195" s="335"/>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c r="AF195" s="335"/>
    </row>
    <row r="196" ht="15.75" customHeight="1">
      <c r="A196" s="335"/>
      <c r="B196" s="335"/>
      <c r="C196" s="335"/>
      <c r="D196" s="336"/>
      <c r="E196" s="335"/>
      <c r="F196" s="337"/>
      <c r="G196" s="335"/>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c r="AF196" s="335"/>
    </row>
    <row r="197" ht="15.75" customHeight="1">
      <c r="A197" s="335"/>
      <c r="B197" s="335"/>
      <c r="C197" s="335"/>
      <c r="D197" s="336"/>
      <c r="E197" s="335"/>
      <c r="F197" s="337"/>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row>
    <row r="198" ht="15.75" customHeight="1">
      <c r="A198" s="335"/>
      <c r="B198" s="335"/>
      <c r="C198" s="335"/>
      <c r="D198" s="336"/>
      <c r="E198" s="335"/>
      <c r="F198" s="337"/>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row>
    <row r="199" ht="15.75" customHeight="1">
      <c r="A199" s="335"/>
      <c r="B199" s="335"/>
      <c r="C199" s="335"/>
      <c r="D199" s="336"/>
      <c r="E199" s="335"/>
      <c r="F199" s="337"/>
      <c r="G199" s="335"/>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c r="AF199" s="335"/>
    </row>
    <row r="200" ht="15.75" customHeight="1">
      <c r="A200" s="335"/>
      <c r="B200" s="335"/>
      <c r="C200" s="335"/>
      <c r="D200" s="336"/>
      <c r="E200" s="335"/>
      <c r="F200" s="337"/>
      <c r="G200" s="335"/>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c r="AF200" s="335"/>
    </row>
    <row r="201" ht="15.75" customHeight="1">
      <c r="A201" s="335"/>
      <c r="B201" s="335"/>
      <c r="C201" s="335"/>
      <c r="D201" s="336"/>
      <c r="E201" s="335"/>
      <c r="F201" s="337"/>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row>
    <row r="202" ht="15.75" customHeight="1">
      <c r="A202" s="335"/>
      <c r="B202" s="335"/>
      <c r="C202" s="335"/>
      <c r="D202" s="336"/>
      <c r="E202" s="335"/>
      <c r="F202" s="337"/>
      <c r="G202" s="335"/>
      <c r="H202" s="335"/>
      <c r="I202" s="335"/>
      <c r="J202" s="335"/>
      <c r="K202" s="335"/>
      <c r="L202" s="335"/>
      <c r="M202" s="335"/>
      <c r="N202" s="335"/>
      <c r="O202" s="335"/>
      <c r="P202" s="335"/>
      <c r="Q202" s="335"/>
      <c r="R202" s="335"/>
      <c r="S202" s="335"/>
      <c r="T202" s="335"/>
      <c r="U202" s="335"/>
      <c r="V202" s="335"/>
      <c r="W202" s="335"/>
      <c r="X202" s="335"/>
      <c r="Y202" s="335"/>
      <c r="Z202" s="335"/>
      <c r="AA202" s="335"/>
      <c r="AB202" s="335"/>
      <c r="AC202" s="335"/>
      <c r="AD202" s="335"/>
      <c r="AE202" s="335"/>
      <c r="AF202" s="335"/>
    </row>
    <row r="203" ht="15.75" customHeight="1">
      <c r="A203" s="335"/>
      <c r="B203" s="335"/>
      <c r="C203" s="335"/>
      <c r="D203" s="336"/>
      <c r="E203" s="335"/>
      <c r="F203" s="337"/>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row>
    <row r="204" ht="15.75" customHeight="1">
      <c r="A204" s="335"/>
      <c r="B204" s="335"/>
      <c r="C204" s="335"/>
      <c r="D204" s="336"/>
      <c r="E204" s="335"/>
      <c r="F204" s="337"/>
      <c r="G204" s="335"/>
      <c r="H204" s="335"/>
      <c r="I204" s="335"/>
      <c r="J204" s="335"/>
      <c r="K204" s="335"/>
      <c r="L204" s="335"/>
      <c r="M204" s="335"/>
      <c r="N204" s="335"/>
      <c r="O204" s="335"/>
      <c r="P204" s="335"/>
      <c r="Q204" s="335"/>
      <c r="R204" s="335"/>
      <c r="S204" s="335"/>
      <c r="T204" s="335"/>
      <c r="U204" s="335"/>
      <c r="V204" s="335"/>
      <c r="W204" s="335"/>
      <c r="X204" s="335"/>
      <c r="Y204" s="335"/>
      <c r="Z204" s="335"/>
      <c r="AA204" s="335"/>
      <c r="AB204" s="335"/>
      <c r="AC204" s="335"/>
      <c r="AD204" s="335"/>
      <c r="AE204" s="335"/>
      <c r="AF204" s="335"/>
    </row>
    <row r="205" ht="15.75" customHeight="1">
      <c r="A205" s="335"/>
      <c r="B205" s="335"/>
      <c r="C205" s="335"/>
      <c r="D205" s="336"/>
      <c r="E205" s="335"/>
      <c r="F205" s="337"/>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row>
    <row r="206" ht="15.75" customHeight="1">
      <c r="A206" s="335"/>
      <c r="B206" s="335"/>
      <c r="C206" s="335"/>
      <c r="D206" s="336"/>
      <c r="E206" s="335"/>
      <c r="F206" s="337"/>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row>
    <row r="207" ht="15.75" customHeight="1">
      <c r="A207" s="335"/>
      <c r="B207" s="335"/>
      <c r="C207" s="335"/>
      <c r="D207" s="336"/>
      <c r="E207" s="335"/>
      <c r="F207" s="337"/>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row>
    <row r="208" ht="15.75" customHeight="1">
      <c r="A208" s="335"/>
      <c r="B208" s="335"/>
      <c r="C208" s="335"/>
      <c r="D208" s="336"/>
      <c r="E208" s="335"/>
      <c r="F208" s="337"/>
      <c r="G208" s="335"/>
      <c r="H208" s="335"/>
      <c r="I208" s="335"/>
      <c r="J208" s="335"/>
      <c r="K208" s="335"/>
      <c r="L208" s="335"/>
      <c r="M208" s="335"/>
      <c r="N208" s="335"/>
      <c r="O208" s="335"/>
      <c r="P208" s="335"/>
      <c r="Q208" s="335"/>
      <c r="R208" s="335"/>
      <c r="S208" s="335"/>
      <c r="T208" s="335"/>
      <c r="U208" s="335"/>
      <c r="V208" s="335"/>
      <c r="W208" s="335"/>
      <c r="X208" s="335"/>
      <c r="Y208" s="335"/>
      <c r="Z208" s="335"/>
      <c r="AA208" s="335"/>
      <c r="AB208" s="335"/>
      <c r="AC208" s="335"/>
      <c r="AD208" s="335"/>
      <c r="AE208" s="335"/>
      <c r="AF208" s="335"/>
    </row>
    <row r="209" ht="15.75" customHeight="1">
      <c r="A209" s="335"/>
      <c r="B209" s="335"/>
      <c r="C209" s="335"/>
      <c r="D209" s="336"/>
      <c r="E209" s="335"/>
      <c r="F209" s="337"/>
      <c r="G209" s="335"/>
      <c r="H209" s="335"/>
      <c r="I209" s="335"/>
      <c r="J209" s="335"/>
      <c r="K209" s="335"/>
      <c r="L209" s="335"/>
      <c r="M209" s="335"/>
      <c r="N209" s="335"/>
      <c r="O209" s="335"/>
      <c r="P209" s="335"/>
      <c r="Q209" s="335"/>
      <c r="R209" s="335"/>
      <c r="S209" s="335"/>
      <c r="T209" s="335"/>
      <c r="U209" s="335"/>
      <c r="V209" s="335"/>
      <c r="W209" s="335"/>
      <c r="X209" s="335"/>
      <c r="Y209" s="335"/>
      <c r="Z209" s="335"/>
      <c r="AA209" s="335"/>
      <c r="AB209" s="335"/>
      <c r="AC209" s="335"/>
      <c r="AD209" s="335"/>
      <c r="AE209" s="335"/>
      <c r="AF209" s="335"/>
    </row>
    <row r="210" ht="15.75" customHeight="1">
      <c r="A210" s="335"/>
      <c r="B210" s="335"/>
      <c r="C210" s="335"/>
      <c r="D210" s="336"/>
      <c r="E210" s="335"/>
      <c r="F210" s="337"/>
      <c r="G210" s="335"/>
      <c r="H210" s="335"/>
      <c r="I210" s="335"/>
      <c r="J210" s="335"/>
      <c r="K210" s="335"/>
      <c r="L210" s="335"/>
      <c r="M210" s="335"/>
      <c r="N210" s="335"/>
      <c r="O210" s="335"/>
      <c r="P210" s="335"/>
      <c r="Q210" s="335"/>
      <c r="R210" s="335"/>
      <c r="S210" s="335"/>
      <c r="T210" s="335"/>
      <c r="U210" s="335"/>
      <c r="V210" s="335"/>
      <c r="W210" s="335"/>
      <c r="X210" s="335"/>
      <c r="Y210" s="335"/>
      <c r="Z210" s="335"/>
      <c r="AA210" s="335"/>
      <c r="AB210" s="335"/>
      <c r="AC210" s="335"/>
      <c r="AD210" s="335"/>
      <c r="AE210" s="335"/>
      <c r="AF210" s="335"/>
    </row>
    <row r="211" ht="15.75" customHeight="1">
      <c r="A211" s="335"/>
      <c r="B211" s="335"/>
      <c r="C211" s="335"/>
      <c r="D211" s="336"/>
      <c r="E211" s="335"/>
      <c r="F211" s="337"/>
      <c r="G211" s="335"/>
      <c r="H211" s="335"/>
      <c r="I211" s="335"/>
      <c r="J211" s="335"/>
      <c r="K211" s="335"/>
      <c r="L211" s="335"/>
      <c r="M211" s="335"/>
      <c r="N211" s="335"/>
      <c r="O211" s="335"/>
      <c r="P211" s="335"/>
      <c r="Q211" s="335"/>
      <c r="R211" s="335"/>
      <c r="S211" s="335"/>
      <c r="T211" s="335"/>
      <c r="U211" s="335"/>
      <c r="V211" s="335"/>
      <c r="W211" s="335"/>
      <c r="X211" s="335"/>
      <c r="Y211" s="335"/>
      <c r="Z211" s="335"/>
      <c r="AA211" s="335"/>
      <c r="AB211" s="335"/>
      <c r="AC211" s="335"/>
      <c r="AD211" s="335"/>
      <c r="AE211" s="335"/>
      <c r="AF211" s="335"/>
    </row>
    <row r="212" ht="15.75" customHeight="1">
      <c r="A212" s="335"/>
      <c r="B212" s="335"/>
      <c r="C212" s="335"/>
      <c r="D212" s="336"/>
      <c r="E212" s="335"/>
      <c r="F212" s="337"/>
      <c r="G212" s="335"/>
      <c r="H212" s="335"/>
      <c r="I212" s="335"/>
      <c r="J212" s="335"/>
      <c r="K212" s="335"/>
      <c r="L212" s="335"/>
      <c r="M212" s="335"/>
      <c r="N212" s="335"/>
      <c r="O212" s="335"/>
      <c r="P212" s="335"/>
      <c r="Q212" s="335"/>
      <c r="R212" s="335"/>
      <c r="S212" s="335"/>
      <c r="T212" s="335"/>
      <c r="U212" s="335"/>
      <c r="V212" s="335"/>
      <c r="W212" s="335"/>
      <c r="X212" s="335"/>
      <c r="Y212" s="335"/>
      <c r="Z212" s="335"/>
      <c r="AA212" s="335"/>
      <c r="AB212" s="335"/>
      <c r="AC212" s="335"/>
      <c r="AD212" s="335"/>
      <c r="AE212" s="335"/>
      <c r="AF212" s="335"/>
    </row>
    <row r="213" ht="15.75" customHeight="1">
      <c r="A213" s="335"/>
      <c r="B213" s="335"/>
      <c r="C213" s="335"/>
      <c r="D213" s="336"/>
      <c r="E213" s="335"/>
      <c r="F213" s="337"/>
      <c r="G213" s="335"/>
      <c r="H213" s="335"/>
      <c r="I213" s="335"/>
      <c r="J213" s="335"/>
      <c r="K213" s="335"/>
      <c r="L213" s="335"/>
      <c r="M213" s="335"/>
      <c r="N213" s="335"/>
      <c r="O213" s="335"/>
      <c r="P213" s="335"/>
      <c r="Q213" s="335"/>
      <c r="R213" s="335"/>
      <c r="S213" s="335"/>
      <c r="T213" s="335"/>
      <c r="U213" s="335"/>
      <c r="V213" s="335"/>
      <c r="W213" s="335"/>
      <c r="X213" s="335"/>
      <c r="Y213" s="335"/>
      <c r="Z213" s="335"/>
      <c r="AA213" s="335"/>
      <c r="AB213" s="335"/>
      <c r="AC213" s="335"/>
      <c r="AD213" s="335"/>
      <c r="AE213" s="335"/>
      <c r="AF213" s="335"/>
    </row>
    <row r="214" ht="15.75" customHeight="1">
      <c r="A214" s="335"/>
      <c r="B214" s="335"/>
      <c r="C214" s="335"/>
      <c r="D214" s="336"/>
      <c r="E214" s="335"/>
      <c r="F214" s="337"/>
      <c r="G214" s="335"/>
      <c r="H214" s="335"/>
      <c r="I214" s="335"/>
      <c r="J214" s="335"/>
      <c r="K214" s="335"/>
      <c r="L214" s="335"/>
      <c r="M214" s="335"/>
      <c r="N214" s="335"/>
      <c r="O214" s="335"/>
      <c r="P214" s="335"/>
      <c r="Q214" s="335"/>
      <c r="R214" s="335"/>
      <c r="S214" s="335"/>
      <c r="T214" s="335"/>
      <c r="U214" s="335"/>
      <c r="V214" s="335"/>
      <c r="W214" s="335"/>
      <c r="X214" s="335"/>
      <c r="Y214" s="335"/>
      <c r="Z214" s="335"/>
      <c r="AA214" s="335"/>
      <c r="AB214" s="335"/>
      <c r="AC214" s="335"/>
      <c r="AD214" s="335"/>
      <c r="AE214" s="335"/>
      <c r="AF214" s="335"/>
    </row>
    <row r="215" ht="15.75" customHeight="1">
      <c r="A215" s="335"/>
      <c r="B215" s="335"/>
      <c r="C215" s="335"/>
      <c r="D215" s="336"/>
      <c r="E215" s="335"/>
      <c r="F215" s="337"/>
      <c r="G215" s="335"/>
      <c r="H215" s="335"/>
      <c r="I215" s="335"/>
      <c r="J215" s="335"/>
      <c r="K215" s="335"/>
      <c r="L215" s="335"/>
      <c r="M215" s="335"/>
      <c r="N215" s="335"/>
      <c r="O215" s="335"/>
      <c r="P215" s="335"/>
      <c r="Q215" s="335"/>
      <c r="R215" s="335"/>
      <c r="S215" s="335"/>
      <c r="T215" s="335"/>
      <c r="U215" s="335"/>
      <c r="V215" s="335"/>
      <c r="W215" s="335"/>
      <c r="X215" s="335"/>
      <c r="Y215" s="335"/>
      <c r="Z215" s="335"/>
      <c r="AA215" s="335"/>
      <c r="AB215" s="335"/>
      <c r="AC215" s="335"/>
      <c r="AD215" s="335"/>
      <c r="AE215" s="335"/>
      <c r="AF215" s="335"/>
    </row>
    <row r="216" ht="15.75" customHeight="1">
      <c r="A216" s="335"/>
      <c r="B216" s="335"/>
      <c r="C216" s="335"/>
      <c r="D216" s="336"/>
      <c r="E216" s="335"/>
      <c r="F216" s="337"/>
      <c r="G216" s="335"/>
      <c r="H216" s="335"/>
      <c r="I216" s="335"/>
      <c r="J216" s="335"/>
      <c r="K216" s="335"/>
      <c r="L216" s="335"/>
      <c r="M216" s="335"/>
      <c r="N216" s="335"/>
      <c r="O216" s="335"/>
      <c r="P216" s="335"/>
      <c r="Q216" s="335"/>
      <c r="R216" s="335"/>
      <c r="S216" s="335"/>
      <c r="T216" s="335"/>
      <c r="U216" s="335"/>
      <c r="V216" s="335"/>
      <c r="W216" s="335"/>
      <c r="X216" s="335"/>
      <c r="Y216" s="335"/>
      <c r="Z216" s="335"/>
      <c r="AA216" s="335"/>
      <c r="AB216" s="335"/>
      <c r="AC216" s="335"/>
      <c r="AD216" s="335"/>
      <c r="AE216" s="335"/>
      <c r="AF216" s="335"/>
    </row>
    <row r="217" ht="15.75" customHeight="1">
      <c r="A217" s="335"/>
      <c r="B217" s="335"/>
      <c r="C217" s="335"/>
      <c r="D217" s="336"/>
      <c r="E217" s="335"/>
      <c r="F217" s="337"/>
      <c r="G217" s="335"/>
      <c r="H217" s="335"/>
      <c r="I217" s="335"/>
      <c r="J217" s="335"/>
      <c r="K217" s="335"/>
      <c r="L217" s="335"/>
      <c r="M217" s="335"/>
      <c r="N217" s="335"/>
      <c r="O217" s="335"/>
      <c r="P217" s="335"/>
      <c r="Q217" s="335"/>
      <c r="R217" s="335"/>
      <c r="S217" s="335"/>
      <c r="T217" s="335"/>
      <c r="U217" s="335"/>
      <c r="V217" s="335"/>
      <c r="W217" s="335"/>
      <c r="X217" s="335"/>
      <c r="Y217" s="335"/>
      <c r="Z217" s="335"/>
      <c r="AA217" s="335"/>
      <c r="AB217" s="335"/>
      <c r="AC217" s="335"/>
      <c r="AD217" s="335"/>
      <c r="AE217" s="335"/>
      <c r="AF217" s="335"/>
    </row>
    <row r="218" ht="15.75" customHeight="1">
      <c r="A218" s="335"/>
      <c r="B218" s="335"/>
      <c r="C218" s="335"/>
      <c r="D218" s="336"/>
      <c r="E218" s="335"/>
      <c r="F218" s="337"/>
      <c r="G218" s="335"/>
      <c r="H218" s="335"/>
      <c r="I218" s="335"/>
      <c r="J218" s="335"/>
      <c r="K218" s="335"/>
      <c r="L218" s="335"/>
      <c r="M218" s="335"/>
      <c r="N218" s="335"/>
      <c r="O218" s="335"/>
      <c r="P218" s="335"/>
      <c r="Q218" s="335"/>
      <c r="R218" s="335"/>
      <c r="S218" s="335"/>
      <c r="T218" s="335"/>
      <c r="U218" s="335"/>
      <c r="V218" s="335"/>
      <c r="W218" s="335"/>
      <c r="X218" s="335"/>
      <c r="Y218" s="335"/>
      <c r="Z218" s="335"/>
      <c r="AA218" s="335"/>
      <c r="AB218" s="335"/>
      <c r="AC218" s="335"/>
      <c r="AD218" s="335"/>
      <c r="AE218" s="335"/>
      <c r="AF218" s="335"/>
    </row>
    <row r="219" ht="15.75" customHeight="1">
      <c r="A219" s="335"/>
      <c r="B219" s="335"/>
      <c r="C219" s="335"/>
      <c r="D219" s="336"/>
      <c r="E219" s="335"/>
      <c r="F219" s="337"/>
      <c r="G219" s="335"/>
      <c r="H219" s="335"/>
      <c r="I219" s="335"/>
      <c r="J219" s="335"/>
      <c r="K219" s="335"/>
      <c r="L219" s="335"/>
      <c r="M219" s="335"/>
      <c r="N219" s="335"/>
      <c r="O219" s="335"/>
      <c r="P219" s="335"/>
      <c r="Q219" s="335"/>
      <c r="R219" s="335"/>
      <c r="S219" s="335"/>
      <c r="T219" s="335"/>
      <c r="U219" s="335"/>
      <c r="V219" s="335"/>
      <c r="W219" s="335"/>
      <c r="X219" s="335"/>
      <c r="Y219" s="335"/>
      <c r="Z219" s="335"/>
      <c r="AA219" s="335"/>
      <c r="AB219" s="335"/>
      <c r="AC219" s="335"/>
      <c r="AD219" s="335"/>
      <c r="AE219" s="335"/>
      <c r="AF219" s="335"/>
    </row>
    <row r="220" ht="15.75" customHeight="1">
      <c r="A220" s="335"/>
      <c r="B220" s="335"/>
      <c r="C220" s="335"/>
      <c r="D220" s="336"/>
      <c r="E220" s="335"/>
      <c r="F220" s="337"/>
      <c r="G220" s="335"/>
      <c r="H220" s="335"/>
      <c r="I220" s="335"/>
      <c r="J220" s="335"/>
      <c r="K220" s="335"/>
      <c r="L220" s="335"/>
      <c r="M220" s="335"/>
      <c r="N220" s="335"/>
      <c r="O220" s="335"/>
      <c r="P220" s="335"/>
      <c r="Q220" s="335"/>
      <c r="R220" s="335"/>
      <c r="S220" s="335"/>
      <c r="T220" s="335"/>
      <c r="U220" s="335"/>
      <c r="V220" s="335"/>
      <c r="W220" s="335"/>
      <c r="X220" s="335"/>
      <c r="Y220" s="335"/>
      <c r="Z220" s="335"/>
      <c r="AA220" s="335"/>
      <c r="AB220" s="335"/>
      <c r="AC220" s="335"/>
      <c r="AD220" s="335"/>
      <c r="AE220" s="335"/>
      <c r="AF220" s="335"/>
    </row>
    <row r="221" ht="15.75" customHeight="1">
      <c r="A221" s="335"/>
      <c r="B221" s="335"/>
      <c r="C221" s="335"/>
      <c r="D221" s="336"/>
      <c r="E221" s="335"/>
      <c r="F221" s="337"/>
      <c r="G221" s="335"/>
      <c r="H221" s="335"/>
      <c r="I221" s="335"/>
      <c r="J221" s="335"/>
      <c r="K221" s="335"/>
      <c r="L221" s="335"/>
      <c r="M221" s="335"/>
      <c r="N221" s="335"/>
      <c r="O221" s="335"/>
      <c r="P221" s="335"/>
      <c r="Q221" s="335"/>
      <c r="R221" s="335"/>
      <c r="S221" s="335"/>
      <c r="T221" s="335"/>
      <c r="U221" s="335"/>
      <c r="V221" s="335"/>
      <c r="W221" s="335"/>
      <c r="X221" s="335"/>
      <c r="Y221" s="335"/>
      <c r="Z221" s="335"/>
      <c r="AA221" s="335"/>
      <c r="AB221" s="335"/>
      <c r="AC221" s="335"/>
      <c r="AD221" s="335"/>
      <c r="AE221" s="335"/>
      <c r="AF221" s="335"/>
    </row>
    <row r="222" ht="15.75" customHeight="1">
      <c r="A222" s="335"/>
      <c r="B222" s="335"/>
      <c r="C222" s="335"/>
      <c r="D222" s="336"/>
      <c r="E222" s="335"/>
      <c r="F222" s="337"/>
      <c r="G222" s="335"/>
      <c r="H222" s="335"/>
      <c r="I222" s="335"/>
      <c r="J222" s="335"/>
      <c r="K222" s="335"/>
      <c r="L222" s="335"/>
      <c r="M222" s="335"/>
      <c r="N222" s="335"/>
      <c r="O222" s="335"/>
      <c r="P222" s="335"/>
      <c r="Q222" s="335"/>
      <c r="R222" s="335"/>
      <c r="S222" s="335"/>
      <c r="T222" s="335"/>
      <c r="U222" s="335"/>
      <c r="V222" s="335"/>
      <c r="W222" s="335"/>
      <c r="X222" s="335"/>
      <c r="Y222" s="335"/>
      <c r="Z222" s="335"/>
      <c r="AA222" s="335"/>
      <c r="AB222" s="335"/>
      <c r="AC222" s="335"/>
      <c r="AD222" s="335"/>
      <c r="AE222" s="335"/>
      <c r="AF222" s="335"/>
    </row>
    <row r="223" ht="15.75" customHeight="1">
      <c r="A223" s="335"/>
      <c r="B223" s="335"/>
      <c r="C223" s="335"/>
      <c r="D223" s="336"/>
      <c r="E223" s="335"/>
      <c r="F223" s="337"/>
      <c r="G223" s="335"/>
      <c r="H223" s="335"/>
      <c r="I223" s="335"/>
      <c r="J223" s="335"/>
      <c r="K223" s="335"/>
      <c r="L223" s="335"/>
      <c r="M223" s="335"/>
      <c r="N223" s="335"/>
      <c r="O223" s="335"/>
      <c r="P223" s="335"/>
      <c r="Q223" s="335"/>
      <c r="R223" s="335"/>
      <c r="S223" s="335"/>
      <c r="T223" s="335"/>
      <c r="U223" s="335"/>
      <c r="V223" s="335"/>
      <c r="W223" s="335"/>
      <c r="X223" s="335"/>
      <c r="Y223" s="335"/>
      <c r="Z223" s="335"/>
      <c r="AA223" s="335"/>
      <c r="AB223" s="335"/>
      <c r="AC223" s="335"/>
      <c r="AD223" s="335"/>
      <c r="AE223" s="335"/>
      <c r="AF223" s="335"/>
    </row>
    <row r="224" ht="15.75" customHeight="1">
      <c r="A224" s="335"/>
      <c r="B224" s="335"/>
      <c r="C224" s="335"/>
      <c r="D224" s="336"/>
      <c r="E224" s="335"/>
      <c r="F224" s="337"/>
      <c r="G224" s="335"/>
      <c r="H224" s="335"/>
      <c r="I224" s="335"/>
      <c r="J224" s="335"/>
      <c r="K224" s="335"/>
      <c r="L224" s="335"/>
      <c r="M224" s="335"/>
      <c r="N224" s="335"/>
      <c r="O224" s="335"/>
      <c r="P224" s="335"/>
      <c r="Q224" s="335"/>
      <c r="R224" s="335"/>
      <c r="S224" s="335"/>
      <c r="T224" s="335"/>
      <c r="U224" s="335"/>
      <c r="V224" s="335"/>
      <c r="W224" s="335"/>
      <c r="X224" s="335"/>
      <c r="Y224" s="335"/>
      <c r="Z224" s="335"/>
      <c r="AA224" s="335"/>
      <c r="AB224" s="335"/>
      <c r="AC224" s="335"/>
      <c r="AD224" s="335"/>
      <c r="AE224" s="335"/>
      <c r="AF224" s="335"/>
    </row>
    <row r="225" ht="15.75" customHeight="1">
      <c r="A225" s="335"/>
      <c r="B225" s="335"/>
      <c r="C225" s="335"/>
      <c r="D225" s="336"/>
      <c r="E225" s="335"/>
      <c r="F225" s="337"/>
      <c r="G225" s="335"/>
      <c r="H225" s="335"/>
      <c r="I225" s="335"/>
      <c r="J225" s="335"/>
      <c r="K225" s="335"/>
      <c r="L225" s="335"/>
      <c r="M225" s="335"/>
      <c r="N225" s="335"/>
      <c r="O225" s="335"/>
      <c r="P225" s="335"/>
      <c r="Q225" s="335"/>
      <c r="R225" s="335"/>
      <c r="S225" s="335"/>
      <c r="T225" s="335"/>
      <c r="U225" s="335"/>
      <c r="V225" s="335"/>
      <c r="W225" s="335"/>
      <c r="X225" s="335"/>
      <c r="Y225" s="335"/>
      <c r="Z225" s="335"/>
      <c r="AA225" s="335"/>
      <c r="AB225" s="335"/>
      <c r="AC225" s="335"/>
      <c r="AD225" s="335"/>
      <c r="AE225" s="335"/>
      <c r="AF225" s="335"/>
    </row>
    <row r="226" ht="15.75" customHeight="1">
      <c r="A226" s="335"/>
      <c r="B226" s="335"/>
      <c r="C226" s="335"/>
      <c r="D226" s="336"/>
      <c r="E226" s="335"/>
      <c r="F226" s="337"/>
      <c r="G226" s="335"/>
      <c r="H226" s="335"/>
      <c r="I226" s="335"/>
      <c r="J226" s="335"/>
      <c r="K226" s="335"/>
      <c r="L226" s="335"/>
      <c r="M226" s="335"/>
      <c r="N226" s="335"/>
      <c r="O226" s="335"/>
      <c r="P226" s="335"/>
      <c r="Q226" s="335"/>
      <c r="R226" s="335"/>
      <c r="S226" s="335"/>
      <c r="T226" s="335"/>
      <c r="U226" s="335"/>
      <c r="V226" s="335"/>
      <c r="W226" s="335"/>
      <c r="X226" s="335"/>
      <c r="Y226" s="335"/>
      <c r="Z226" s="335"/>
      <c r="AA226" s="335"/>
      <c r="AB226" s="335"/>
      <c r="AC226" s="335"/>
      <c r="AD226" s="335"/>
      <c r="AE226" s="335"/>
      <c r="AF226" s="335"/>
    </row>
    <row r="227" ht="15.75" customHeight="1">
      <c r="A227" s="335"/>
      <c r="B227" s="335"/>
      <c r="C227" s="335"/>
      <c r="D227" s="336"/>
      <c r="E227" s="335"/>
      <c r="F227" s="337"/>
      <c r="G227" s="335"/>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c r="AE227" s="335"/>
      <c r="AF227" s="335"/>
    </row>
    <row r="228" ht="15.75" customHeight="1">
      <c r="A228" s="335"/>
      <c r="B228" s="335"/>
      <c r="C228" s="335"/>
      <c r="D228" s="336"/>
      <c r="E228" s="335"/>
      <c r="F228" s="337"/>
      <c r="G228" s="335"/>
      <c r="H228" s="335"/>
      <c r="I228" s="335"/>
      <c r="J228" s="335"/>
      <c r="K228" s="335"/>
      <c r="L228" s="335"/>
      <c r="M228" s="335"/>
      <c r="N228" s="335"/>
      <c r="O228" s="335"/>
      <c r="P228" s="335"/>
      <c r="Q228" s="335"/>
      <c r="R228" s="335"/>
      <c r="S228" s="335"/>
      <c r="T228" s="335"/>
      <c r="U228" s="335"/>
      <c r="V228" s="335"/>
      <c r="W228" s="335"/>
      <c r="X228" s="335"/>
      <c r="Y228" s="335"/>
      <c r="Z228" s="335"/>
      <c r="AA228" s="335"/>
      <c r="AB228" s="335"/>
      <c r="AC228" s="335"/>
      <c r="AD228" s="335"/>
      <c r="AE228" s="335"/>
      <c r="AF228" s="335"/>
    </row>
    <row r="229" ht="15.75" customHeight="1">
      <c r="A229" s="335"/>
      <c r="B229" s="335"/>
      <c r="C229" s="335"/>
      <c r="D229" s="336"/>
      <c r="E229" s="335"/>
      <c r="F229" s="337"/>
      <c r="G229" s="335"/>
      <c r="H229" s="335"/>
      <c r="I229" s="335"/>
      <c r="J229" s="335"/>
      <c r="K229" s="335"/>
      <c r="L229" s="335"/>
      <c r="M229" s="335"/>
      <c r="N229" s="335"/>
      <c r="O229" s="335"/>
      <c r="P229" s="335"/>
      <c r="Q229" s="335"/>
      <c r="R229" s="335"/>
      <c r="S229" s="335"/>
      <c r="T229" s="335"/>
      <c r="U229" s="335"/>
      <c r="V229" s="335"/>
      <c r="W229" s="335"/>
      <c r="X229" s="335"/>
      <c r="Y229" s="335"/>
      <c r="Z229" s="335"/>
      <c r="AA229" s="335"/>
      <c r="AB229" s="335"/>
      <c r="AC229" s="335"/>
      <c r="AD229" s="335"/>
      <c r="AE229" s="335"/>
      <c r="AF229" s="335"/>
    </row>
    <row r="230" ht="15.75" customHeight="1">
      <c r="A230" s="335"/>
      <c r="B230" s="335"/>
      <c r="C230" s="335"/>
      <c r="D230" s="336"/>
      <c r="E230" s="335"/>
      <c r="F230" s="337"/>
      <c r="G230" s="335"/>
      <c r="H230" s="335"/>
      <c r="I230" s="335"/>
      <c r="J230" s="335"/>
      <c r="K230" s="335"/>
      <c r="L230" s="335"/>
      <c r="M230" s="335"/>
      <c r="N230" s="335"/>
      <c r="O230" s="335"/>
      <c r="P230" s="335"/>
      <c r="Q230" s="335"/>
      <c r="R230" s="335"/>
      <c r="S230" s="335"/>
      <c r="T230" s="335"/>
      <c r="U230" s="335"/>
      <c r="V230" s="335"/>
      <c r="W230" s="335"/>
      <c r="X230" s="335"/>
      <c r="Y230" s="335"/>
      <c r="Z230" s="335"/>
      <c r="AA230" s="335"/>
      <c r="AB230" s="335"/>
      <c r="AC230" s="335"/>
      <c r="AD230" s="335"/>
      <c r="AE230" s="335"/>
      <c r="AF230" s="335"/>
    </row>
    <row r="231" ht="15.75" customHeight="1">
      <c r="A231" s="335"/>
      <c r="B231" s="335"/>
      <c r="C231" s="335"/>
      <c r="D231" s="336"/>
      <c r="E231" s="335"/>
      <c r="F231" s="337"/>
      <c r="G231" s="335"/>
      <c r="H231" s="335"/>
      <c r="I231" s="335"/>
      <c r="J231" s="335"/>
      <c r="K231" s="335"/>
      <c r="L231" s="335"/>
      <c r="M231" s="335"/>
      <c r="N231" s="335"/>
      <c r="O231" s="335"/>
      <c r="P231" s="335"/>
      <c r="Q231" s="335"/>
      <c r="R231" s="335"/>
      <c r="S231" s="335"/>
      <c r="T231" s="335"/>
      <c r="U231" s="335"/>
      <c r="V231" s="335"/>
      <c r="W231" s="335"/>
      <c r="X231" s="335"/>
      <c r="Y231" s="335"/>
      <c r="Z231" s="335"/>
      <c r="AA231" s="335"/>
      <c r="AB231" s="335"/>
      <c r="AC231" s="335"/>
      <c r="AD231" s="335"/>
      <c r="AE231" s="335"/>
      <c r="AF231" s="335"/>
    </row>
    <row r="232" ht="15.75" customHeight="1">
      <c r="A232" s="335"/>
      <c r="B232" s="335"/>
      <c r="C232" s="335"/>
      <c r="D232" s="336"/>
      <c r="E232" s="335"/>
      <c r="F232" s="337"/>
      <c r="G232" s="335"/>
      <c r="H232" s="335"/>
      <c r="I232" s="335"/>
      <c r="J232" s="335"/>
      <c r="K232" s="335"/>
      <c r="L232" s="335"/>
      <c r="M232" s="335"/>
      <c r="N232" s="335"/>
      <c r="O232" s="335"/>
      <c r="P232" s="335"/>
      <c r="Q232" s="335"/>
      <c r="R232" s="335"/>
      <c r="S232" s="335"/>
      <c r="T232" s="335"/>
      <c r="U232" s="335"/>
      <c r="V232" s="335"/>
      <c r="W232" s="335"/>
      <c r="X232" s="335"/>
      <c r="Y232" s="335"/>
      <c r="Z232" s="335"/>
      <c r="AA232" s="335"/>
      <c r="AB232" s="335"/>
      <c r="AC232" s="335"/>
      <c r="AD232" s="335"/>
      <c r="AE232" s="335"/>
      <c r="AF232" s="335"/>
    </row>
    <row r="233" ht="15.75" customHeight="1">
      <c r="A233" s="335"/>
      <c r="B233" s="335"/>
      <c r="C233" s="335"/>
      <c r="D233" s="336"/>
      <c r="E233" s="335"/>
      <c r="F233" s="337"/>
      <c r="G233" s="335"/>
      <c r="H233" s="335"/>
      <c r="I233" s="335"/>
      <c r="J233" s="335"/>
      <c r="K233" s="335"/>
      <c r="L233" s="335"/>
      <c r="M233" s="335"/>
      <c r="N233" s="335"/>
      <c r="O233" s="335"/>
      <c r="P233" s="335"/>
      <c r="Q233" s="335"/>
      <c r="R233" s="335"/>
      <c r="S233" s="335"/>
      <c r="T233" s="335"/>
      <c r="U233" s="335"/>
      <c r="V233" s="335"/>
      <c r="W233" s="335"/>
      <c r="X233" s="335"/>
      <c r="Y233" s="335"/>
      <c r="Z233" s="335"/>
      <c r="AA233" s="335"/>
      <c r="AB233" s="335"/>
      <c r="AC233" s="335"/>
      <c r="AD233" s="335"/>
      <c r="AE233" s="335"/>
      <c r="AF233" s="335"/>
    </row>
    <row r="234" ht="15.75" customHeight="1">
      <c r="A234" s="335"/>
      <c r="B234" s="335"/>
      <c r="C234" s="335"/>
      <c r="D234" s="336"/>
      <c r="E234" s="335"/>
      <c r="F234" s="337"/>
      <c r="G234" s="335"/>
      <c r="H234" s="335"/>
      <c r="I234" s="335"/>
      <c r="J234" s="335"/>
      <c r="K234" s="335"/>
      <c r="L234" s="335"/>
      <c r="M234" s="335"/>
      <c r="N234" s="335"/>
      <c r="O234" s="335"/>
      <c r="P234" s="335"/>
      <c r="Q234" s="335"/>
      <c r="R234" s="335"/>
      <c r="S234" s="335"/>
      <c r="T234" s="335"/>
      <c r="U234" s="335"/>
      <c r="V234" s="335"/>
      <c r="W234" s="335"/>
      <c r="X234" s="335"/>
      <c r="Y234" s="335"/>
      <c r="Z234" s="335"/>
      <c r="AA234" s="335"/>
      <c r="AB234" s="335"/>
      <c r="AC234" s="335"/>
      <c r="AD234" s="335"/>
      <c r="AE234" s="335"/>
      <c r="AF234" s="335"/>
    </row>
    <row r="235" ht="15.75" customHeight="1">
      <c r="A235" s="335"/>
      <c r="B235" s="335"/>
      <c r="C235" s="335"/>
      <c r="D235" s="336"/>
      <c r="E235" s="335"/>
      <c r="F235" s="337"/>
      <c r="G235" s="335"/>
      <c r="H235" s="335"/>
      <c r="I235" s="335"/>
      <c r="J235" s="335"/>
      <c r="K235" s="335"/>
      <c r="L235" s="335"/>
      <c r="M235" s="335"/>
      <c r="N235" s="335"/>
      <c r="O235" s="335"/>
      <c r="P235" s="335"/>
      <c r="Q235" s="335"/>
      <c r="R235" s="335"/>
      <c r="S235" s="335"/>
      <c r="T235" s="335"/>
      <c r="U235" s="335"/>
      <c r="V235" s="335"/>
      <c r="W235" s="335"/>
      <c r="X235" s="335"/>
      <c r="Y235" s="335"/>
      <c r="Z235" s="335"/>
      <c r="AA235" s="335"/>
      <c r="AB235" s="335"/>
      <c r="AC235" s="335"/>
      <c r="AD235" s="335"/>
      <c r="AE235" s="335"/>
      <c r="AF235" s="335"/>
    </row>
    <row r="236" ht="15.75" customHeight="1">
      <c r="A236" s="335"/>
      <c r="B236" s="335"/>
      <c r="C236" s="335"/>
      <c r="D236" s="336"/>
      <c r="E236" s="335"/>
      <c r="F236" s="337"/>
      <c r="G236" s="335"/>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c r="AE236" s="335"/>
      <c r="AF236" s="335"/>
    </row>
    <row r="237" ht="15.75" customHeight="1">
      <c r="A237" s="335"/>
      <c r="B237" s="335"/>
      <c r="C237" s="335"/>
      <c r="D237" s="336"/>
      <c r="E237" s="335"/>
      <c r="F237" s="337"/>
      <c r="G237" s="335"/>
      <c r="H237" s="335"/>
      <c r="I237" s="335"/>
      <c r="J237" s="335"/>
      <c r="K237" s="335"/>
      <c r="L237" s="335"/>
      <c r="M237" s="335"/>
      <c r="N237" s="335"/>
      <c r="O237" s="335"/>
      <c r="P237" s="335"/>
      <c r="Q237" s="335"/>
      <c r="R237" s="335"/>
      <c r="S237" s="335"/>
      <c r="T237" s="335"/>
      <c r="U237" s="335"/>
      <c r="V237" s="335"/>
      <c r="W237" s="335"/>
      <c r="X237" s="335"/>
      <c r="Y237" s="335"/>
      <c r="Z237" s="335"/>
      <c r="AA237" s="335"/>
      <c r="AB237" s="335"/>
      <c r="AC237" s="335"/>
      <c r="AD237" s="335"/>
      <c r="AE237" s="335"/>
      <c r="AF237" s="335"/>
    </row>
    <row r="238" ht="15.75" customHeight="1">
      <c r="A238" s="335"/>
      <c r="B238" s="335"/>
      <c r="C238" s="335"/>
      <c r="D238" s="336"/>
      <c r="E238" s="335"/>
      <c r="F238" s="337"/>
      <c r="G238" s="335"/>
      <c r="H238" s="335"/>
      <c r="I238" s="335"/>
      <c r="J238" s="335"/>
      <c r="K238" s="335"/>
      <c r="L238" s="335"/>
      <c r="M238" s="335"/>
      <c r="N238" s="335"/>
      <c r="O238" s="335"/>
      <c r="P238" s="335"/>
      <c r="Q238" s="335"/>
      <c r="R238" s="335"/>
      <c r="S238" s="335"/>
      <c r="T238" s="335"/>
      <c r="U238" s="335"/>
      <c r="V238" s="335"/>
      <c r="W238" s="335"/>
      <c r="X238" s="335"/>
      <c r="Y238" s="335"/>
      <c r="Z238" s="335"/>
      <c r="AA238" s="335"/>
      <c r="AB238" s="335"/>
      <c r="AC238" s="335"/>
      <c r="AD238" s="335"/>
      <c r="AE238" s="335"/>
      <c r="AF238" s="335"/>
    </row>
    <row r="239" ht="15.75" customHeight="1">
      <c r="A239" s="335"/>
      <c r="B239" s="335"/>
      <c r="C239" s="335"/>
      <c r="D239" s="336"/>
      <c r="E239" s="335"/>
      <c r="F239" s="337"/>
      <c r="G239" s="335"/>
      <c r="H239" s="335"/>
      <c r="I239" s="335"/>
      <c r="J239" s="335"/>
      <c r="K239" s="335"/>
      <c r="L239" s="335"/>
      <c r="M239" s="335"/>
      <c r="N239" s="335"/>
      <c r="O239" s="335"/>
      <c r="P239" s="335"/>
      <c r="Q239" s="335"/>
      <c r="R239" s="335"/>
      <c r="S239" s="335"/>
      <c r="T239" s="335"/>
      <c r="U239" s="335"/>
      <c r="V239" s="335"/>
      <c r="W239" s="335"/>
      <c r="X239" s="335"/>
      <c r="Y239" s="335"/>
      <c r="Z239" s="335"/>
      <c r="AA239" s="335"/>
      <c r="AB239" s="335"/>
      <c r="AC239" s="335"/>
      <c r="AD239" s="335"/>
      <c r="AE239" s="335"/>
      <c r="AF239" s="335"/>
    </row>
    <row r="240" ht="15.75" customHeight="1">
      <c r="A240" s="335"/>
      <c r="B240" s="335"/>
      <c r="C240" s="335"/>
      <c r="D240" s="336"/>
      <c r="E240" s="335"/>
      <c r="F240" s="337"/>
      <c r="G240" s="335"/>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5"/>
      <c r="AE240" s="335"/>
      <c r="AF240" s="335"/>
    </row>
    <row r="241" ht="15.75" customHeight="1">
      <c r="A241" s="335"/>
      <c r="B241" s="335"/>
      <c r="C241" s="335"/>
      <c r="D241" s="336"/>
      <c r="E241" s="335"/>
      <c r="F241" s="337"/>
      <c r="G241" s="335"/>
      <c r="H241" s="335"/>
      <c r="I241" s="335"/>
      <c r="J241" s="335"/>
      <c r="K241" s="335"/>
      <c r="L241" s="335"/>
      <c r="M241" s="335"/>
      <c r="N241" s="335"/>
      <c r="O241" s="335"/>
      <c r="P241" s="335"/>
      <c r="Q241" s="335"/>
      <c r="R241" s="335"/>
      <c r="S241" s="335"/>
      <c r="T241" s="335"/>
      <c r="U241" s="335"/>
      <c r="V241" s="335"/>
      <c r="W241" s="335"/>
      <c r="X241" s="335"/>
      <c r="Y241" s="335"/>
      <c r="Z241" s="335"/>
      <c r="AA241" s="335"/>
      <c r="AB241" s="335"/>
      <c r="AC241" s="335"/>
      <c r="AD241" s="335"/>
      <c r="AE241" s="335"/>
      <c r="AF241" s="335"/>
    </row>
    <row r="242" ht="15.75" customHeight="1">
      <c r="A242" s="335"/>
      <c r="B242" s="335"/>
      <c r="C242" s="335"/>
      <c r="D242" s="336"/>
      <c r="E242" s="335"/>
      <c r="F242" s="337"/>
      <c r="G242" s="335"/>
      <c r="H242" s="335"/>
      <c r="I242" s="335"/>
      <c r="J242" s="335"/>
      <c r="K242" s="335"/>
      <c r="L242" s="335"/>
      <c r="M242" s="335"/>
      <c r="N242" s="335"/>
      <c r="O242" s="335"/>
      <c r="P242" s="335"/>
      <c r="Q242" s="335"/>
      <c r="R242" s="335"/>
      <c r="S242" s="335"/>
      <c r="T242" s="335"/>
      <c r="U242" s="335"/>
      <c r="V242" s="335"/>
      <c r="W242" s="335"/>
      <c r="X242" s="335"/>
      <c r="Y242" s="335"/>
      <c r="Z242" s="335"/>
      <c r="AA242" s="335"/>
      <c r="AB242" s="335"/>
      <c r="AC242" s="335"/>
      <c r="AD242" s="335"/>
      <c r="AE242" s="335"/>
      <c r="AF242" s="335"/>
    </row>
    <row r="243" ht="15.75" customHeight="1">
      <c r="A243" s="335"/>
      <c r="B243" s="335"/>
      <c r="C243" s="335"/>
      <c r="D243" s="336"/>
      <c r="E243" s="335"/>
      <c r="F243" s="337"/>
      <c r="G243" s="335"/>
      <c r="H243" s="335"/>
      <c r="I243" s="335"/>
      <c r="J243" s="335"/>
      <c r="K243" s="335"/>
      <c r="L243" s="335"/>
      <c r="M243" s="335"/>
      <c r="N243" s="335"/>
      <c r="O243" s="335"/>
      <c r="P243" s="335"/>
      <c r="Q243" s="335"/>
      <c r="R243" s="335"/>
      <c r="S243" s="335"/>
      <c r="T243" s="335"/>
      <c r="U243" s="335"/>
      <c r="V243" s="335"/>
      <c r="W243" s="335"/>
      <c r="X243" s="335"/>
      <c r="Y243" s="335"/>
      <c r="Z243" s="335"/>
      <c r="AA243" s="335"/>
      <c r="AB243" s="335"/>
      <c r="AC243" s="335"/>
      <c r="AD243" s="335"/>
      <c r="AE243" s="335"/>
      <c r="AF243" s="335"/>
    </row>
    <row r="244" ht="15.75" customHeight="1">
      <c r="A244" s="335"/>
      <c r="B244" s="335"/>
      <c r="C244" s="335"/>
      <c r="D244" s="336"/>
      <c r="E244" s="335"/>
      <c r="F244" s="337"/>
      <c r="G244" s="335"/>
      <c r="H244" s="335"/>
      <c r="I244" s="335"/>
      <c r="J244" s="335"/>
      <c r="K244" s="335"/>
      <c r="L244" s="335"/>
      <c r="M244" s="335"/>
      <c r="N244" s="335"/>
      <c r="O244" s="335"/>
      <c r="P244" s="335"/>
      <c r="Q244" s="335"/>
      <c r="R244" s="335"/>
      <c r="S244" s="335"/>
      <c r="T244" s="335"/>
      <c r="U244" s="335"/>
      <c r="V244" s="335"/>
      <c r="W244" s="335"/>
      <c r="X244" s="335"/>
      <c r="Y244" s="335"/>
      <c r="Z244" s="335"/>
      <c r="AA244" s="335"/>
      <c r="AB244" s="335"/>
      <c r="AC244" s="335"/>
      <c r="AD244" s="335"/>
      <c r="AE244" s="335"/>
      <c r="AF244" s="335"/>
    </row>
    <row r="245" ht="15.75" customHeight="1">
      <c r="A245" s="335"/>
      <c r="B245" s="335"/>
      <c r="C245" s="335"/>
      <c r="D245" s="336"/>
      <c r="E245" s="335"/>
      <c r="F245" s="337"/>
      <c r="G245" s="335"/>
      <c r="H245" s="335"/>
      <c r="I245" s="335"/>
      <c r="J245" s="335"/>
      <c r="K245" s="335"/>
      <c r="L245" s="335"/>
      <c r="M245" s="335"/>
      <c r="N245" s="335"/>
      <c r="O245" s="335"/>
      <c r="P245" s="335"/>
      <c r="Q245" s="335"/>
      <c r="R245" s="335"/>
      <c r="S245" s="335"/>
      <c r="T245" s="335"/>
      <c r="U245" s="335"/>
      <c r="V245" s="335"/>
      <c r="W245" s="335"/>
      <c r="X245" s="335"/>
      <c r="Y245" s="335"/>
      <c r="Z245" s="335"/>
      <c r="AA245" s="335"/>
      <c r="AB245" s="335"/>
      <c r="AC245" s="335"/>
      <c r="AD245" s="335"/>
      <c r="AE245" s="335"/>
      <c r="AF245" s="335"/>
    </row>
    <row r="246" ht="15.75" customHeight="1">
      <c r="A246" s="335"/>
      <c r="B246" s="335"/>
      <c r="C246" s="335"/>
      <c r="D246" s="336"/>
      <c r="E246" s="335"/>
      <c r="F246" s="337"/>
      <c r="G246" s="335"/>
      <c r="H246" s="335"/>
      <c r="I246" s="335"/>
      <c r="J246" s="335"/>
      <c r="K246" s="335"/>
      <c r="L246" s="335"/>
      <c r="M246" s="335"/>
      <c r="N246" s="335"/>
      <c r="O246" s="335"/>
      <c r="P246" s="335"/>
      <c r="Q246" s="335"/>
      <c r="R246" s="335"/>
      <c r="S246" s="335"/>
      <c r="T246" s="335"/>
      <c r="U246" s="335"/>
      <c r="V246" s="335"/>
      <c r="W246" s="335"/>
      <c r="X246" s="335"/>
      <c r="Y246" s="335"/>
      <c r="Z246" s="335"/>
      <c r="AA246" s="335"/>
      <c r="AB246" s="335"/>
      <c r="AC246" s="335"/>
      <c r="AD246" s="335"/>
      <c r="AE246" s="335"/>
      <c r="AF246" s="335"/>
    </row>
    <row r="247" ht="15.75" customHeight="1">
      <c r="A247" s="335"/>
      <c r="B247" s="335"/>
      <c r="C247" s="335"/>
      <c r="D247" s="336"/>
      <c r="E247" s="335"/>
      <c r="F247" s="337"/>
      <c r="G247" s="335"/>
      <c r="H247" s="335"/>
      <c r="I247" s="335"/>
      <c r="J247" s="335"/>
      <c r="K247" s="335"/>
      <c r="L247" s="335"/>
      <c r="M247" s="335"/>
      <c r="N247" s="335"/>
      <c r="O247" s="335"/>
      <c r="P247" s="335"/>
      <c r="Q247" s="335"/>
      <c r="R247" s="335"/>
      <c r="S247" s="335"/>
      <c r="T247" s="335"/>
      <c r="U247" s="335"/>
      <c r="V247" s="335"/>
      <c r="W247" s="335"/>
      <c r="X247" s="335"/>
      <c r="Y247" s="335"/>
      <c r="Z247" s="335"/>
      <c r="AA247" s="335"/>
      <c r="AB247" s="335"/>
      <c r="AC247" s="335"/>
      <c r="AD247" s="335"/>
      <c r="AE247" s="335"/>
      <c r="AF247" s="335"/>
    </row>
    <row r="248" ht="15.75" customHeight="1">
      <c r="A248" s="335"/>
      <c r="B248" s="335"/>
      <c r="C248" s="335"/>
      <c r="D248" s="336"/>
      <c r="E248" s="335"/>
      <c r="F248" s="337"/>
      <c r="G248" s="335"/>
      <c r="H248" s="335"/>
      <c r="I248" s="335"/>
      <c r="J248" s="335"/>
      <c r="K248" s="335"/>
      <c r="L248" s="335"/>
      <c r="M248" s="335"/>
      <c r="N248" s="335"/>
      <c r="O248" s="335"/>
      <c r="P248" s="335"/>
      <c r="Q248" s="335"/>
      <c r="R248" s="335"/>
      <c r="S248" s="335"/>
      <c r="T248" s="335"/>
      <c r="U248" s="335"/>
      <c r="V248" s="335"/>
      <c r="W248" s="335"/>
      <c r="X248" s="335"/>
      <c r="Y248" s="335"/>
      <c r="Z248" s="335"/>
      <c r="AA248" s="335"/>
      <c r="AB248" s="335"/>
      <c r="AC248" s="335"/>
      <c r="AD248" s="335"/>
      <c r="AE248" s="335"/>
      <c r="AF248" s="335"/>
    </row>
    <row r="249" ht="15.75" customHeight="1">
      <c r="A249" s="335"/>
      <c r="B249" s="335"/>
      <c r="C249" s="335"/>
      <c r="D249" s="336"/>
      <c r="E249" s="335"/>
      <c r="F249" s="337"/>
      <c r="G249" s="335"/>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c r="AF249" s="335"/>
    </row>
    <row r="250" ht="15.75" customHeight="1">
      <c r="A250" s="335"/>
      <c r="B250" s="335"/>
      <c r="C250" s="335"/>
      <c r="D250" s="336"/>
      <c r="E250" s="335"/>
      <c r="F250" s="337"/>
      <c r="G250" s="335"/>
      <c r="H250" s="335"/>
      <c r="I250" s="335"/>
      <c r="J250" s="335"/>
      <c r="K250" s="335"/>
      <c r="L250" s="335"/>
      <c r="M250" s="335"/>
      <c r="N250" s="335"/>
      <c r="O250" s="335"/>
      <c r="P250" s="335"/>
      <c r="Q250" s="335"/>
      <c r="R250" s="335"/>
      <c r="S250" s="335"/>
      <c r="T250" s="335"/>
      <c r="U250" s="335"/>
      <c r="V250" s="335"/>
      <c r="W250" s="335"/>
      <c r="X250" s="335"/>
      <c r="Y250" s="335"/>
      <c r="Z250" s="335"/>
      <c r="AA250" s="335"/>
      <c r="AB250" s="335"/>
      <c r="AC250" s="335"/>
      <c r="AD250" s="335"/>
      <c r="AE250" s="335"/>
      <c r="AF250" s="335"/>
    </row>
    <row r="251" ht="15.75" customHeight="1">
      <c r="A251" s="335"/>
      <c r="B251" s="335"/>
      <c r="C251" s="335"/>
      <c r="D251" s="336"/>
      <c r="E251" s="335"/>
      <c r="F251" s="337"/>
      <c r="G251" s="335"/>
      <c r="H251" s="335"/>
      <c r="I251" s="335"/>
      <c r="J251" s="335"/>
      <c r="K251" s="335"/>
      <c r="L251" s="335"/>
      <c r="M251" s="335"/>
      <c r="N251" s="335"/>
      <c r="O251" s="335"/>
      <c r="P251" s="335"/>
      <c r="Q251" s="335"/>
      <c r="R251" s="335"/>
      <c r="S251" s="335"/>
      <c r="T251" s="335"/>
      <c r="U251" s="335"/>
      <c r="V251" s="335"/>
      <c r="W251" s="335"/>
      <c r="X251" s="335"/>
      <c r="Y251" s="335"/>
      <c r="Z251" s="335"/>
      <c r="AA251" s="335"/>
      <c r="AB251" s="335"/>
      <c r="AC251" s="335"/>
      <c r="AD251" s="335"/>
      <c r="AE251" s="335"/>
      <c r="AF251" s="335"/>
    </row>
    <row r="252" ht="15.75" customHeight="1">
      <c r="A252" s="335"/>
      <c r="B252" s="335"/>
      <c r="C252" s="335"/>
      <c r="D252" s="336"/>
      <c r="E252" s="335"/>
      <c r="F252" s="337"/>
      <c r="G252" s="335"/>
      <c r="H252" s="335"/>
      <c r="I252" s="335"/>
      <c r="J252" s="335"/>
      <c r="K252" s="335"/>
      <c r="L252" s="335"/>
      <c r="M252" s="335"/>
      <c r="N252" s="335"/>
      <c r="O252" s="335"/>
      <c r="P252" s="335"/>
      <c r="Q252" s="335"/>
      <c r="R252" s="335"/>
      <c r="S252" s="335"/>
      <c r="T252" s="335"/>
      <c r="U252" s="335"/>
      <c r="V252" s="335"/>
      <c r="W252" s="335"/>
      <c r="X252" s="335"/>
      <c r="Y252" s="335"/>
      <c r="Z252" s="335"/>
      <c r="AA252" s="335"/>
      <c r="AB252" s="335"/>
      <c r="AC252" s="335"/>
      <c r="AD252" s="335"/>
      <c r="AE252" s="335"/>
      <c r="AF252" s="335"/>
    </row>
    <row r="253" ht="15.75" customHeight="1">
      <c r="A253" s="335"/>
      <c r="B253" s="335"/>
      <c r="C253" s="335"/>
      <c r="D253" s="336"/>
      <c r="E253" s="335"/>
      <c r="F253" s="337"/>
      <c r="G253" s="335"/>
      <c r="H253" s="335"/>
      <c r="I253" s="335"/>
      <c r="J253" s="335"/>
      <c r="K253" s="335"/>
      <c r="L253" s="335"/>
      <c r="M253" s="335"/>
      <c r="N253" s="335"/>
      <c r="O253" s="335"/>
      <c r="P253" s="335"/>
      <c r="Q253" s="335"/>
      <c r="R253" s="335"/>
      <c r="S253" s="335"/>
      <c r="T253" s="335"/>
      <c r="U253" s="335"/>
      <c r="V253" s="335"/>
      <c r="W253" s="335"/>
      <c r="X253" s="335"/>
      <c r="Y253" s="335"/>
      <c r="Z253" s="335"/>
      <c r="AA253" s="335"/>
      <c r="AB253" s="335"/>
      <c r="AC253" s="335"/>
      <c r="AD253" s="335"/>
      <c r="AE253" s="335"/>
      <c r="AF253" s="335"/>
    </row>
    <row r="254" ht="15.75" customHeight="1">
      <c r="A254" s="335"/>
      <c r="B254" s="335"/>
      <c r="C254" s="335"/>
      <c r="D254" s="336"/>
      <c r="E254" s="335"/>
      <c r="F254" s="337"/>
      <c r="G254" s="335"/>
      <c r="H254" s="335"/>
      <c r="I254" s="335"/>
      <c r="J254" s="335"/>
      <c r="K254" s="335"/>
      <c r="L254" s="335"/>
      <c r="M254" s="335"/>
      <c r="N254" s="335"/>
      <c r="O254" s="335"/>
      <c r="P254" s="335"/>
      <c r="Q254" s="335"/>
      <c r="R254" s="335"/>
      <c r="S254" s="335"/>
      <c r="T254" s="335"/>
      <c r="U254" s="335"/>
      <c r="V254" s="335"/>
      <c r="W254" s="335"/>
      <c r="X254" s="335"/>
      <c r="Y254" s="335"/>
      <c r="Z254" s="335"/>
      <c r="AA254" s="335"/>
      <c r="AB254" s="335"/>
      <c r="AC254" s="335"/>
      <c r="AD254" s="335"/>
      <c r="AE254" s="335"/>
      <c r="AF254" s="335"/>
    </row>
    <row r="255" ht="15.75" customHeight="1">
      <c r="A255" s="335"/>
      <c r="B255" s="335"/>
      <c r="C255" s="335"/>
      <c r="D255" s="336"/>
      <c r="E255" s="335"/>
      <c r="F255" s="337"/>
      <c r="G255" s="335"/>
      <c r="H255" s="335"/>
      <c r="I255" s="335"/>
      <c r="J255" s="335"/>
      <c r="K255" s="335"/>
      <c r="L255" s="335"/>
      <c r="M255" s="335"/>
      <c r="N255" s="335"/>
      <c r="O255" s="335"/>
      <c r="P255" s="335"/>
      <c r="Q255" s="335"/>
      <c r="R255" s="335"/>
      <c r="S255" s="335"/>
      <c r="T255" s="335"/>
      <c r="U255" s="335"/>
      <c r="V255" s="335"/>
      <c r="W255" s="335"/>
      <c r="X255" s="335"/>
      <c r="Y255" s="335"/>
      <c r="Z255" s="335"/>
      <c r="AA255" s="335"/>
      <c r="AB255" s="335"/>
      <c r="AC255" s="335"/>
      <c r="AD255" s="335"/>
      <c r="AE255" s="335"/>
      <c r="AF255" s="335"/>
    </row>
    <row r="256" ht="15.75" customHeight="1">
      <c r="A256" s="335"/>
      <c r="B256" s="335"/>
      <c r="C256" s="335"/>
      <c r="D256" s="336"/>
      <c r="E256" s="335"/>
      <c r="F256" s="337"/>
      <c r="G256" s="335"/>
      <c r="H256" s="335"/>
      <c r="I256" s="335"/>
      <c r="J256" s="335"/>
      <c r="K256" s="335"/>
      <c r="L256" s="335"/>
      <c r="M256" s="335"/>
      <c r="N256" s="335"/>
      <c r="O256" s="335"/>
      <c r="P256" s="335"/>
      <c r="Q256" s="335"/>
      <c r="R256" s="335"/>
      <c r="S256" s="335"/>
      <c r="T256" s="335"/>
      <c r="U256" s="335"/>
      <c r="V256" s="335"/>
      <c r="W256" s="335"/>
      <c r="X256" s="335"/>
      <c r="Y256" s="335"/>
      <c r="Z256" s="335"/>
      <c r="AA256" s="335"/>
      <c r="AB256" s="335"/>
      <c r="AC256" s="335"/>
      <c r="AD256" s="335"/>
      <c r="AE256" s="335"/>
      <c r="AF256" s="335"/>
    </row>
    <row r="257" ht="15.75" customHeight="1">
      <c r="A257" s="335"/>
      <c r="B257" s="335"/>
      <c r="C257" s="335"/>
      <c r="D257" s="336"/>
      <c r="E257" s="335"/>
      <c r="F257" s="337"/>
      <c r="G257" s="335"/>
      <c r="H257" s="335"/>
      <c r="I257" s="335"/>
      <c r="J257" s="335"/>
      <c r="K257" s="335"/>
      <c r="L257" s="335"/>
      <c r="M257" s="335"/>
      <c r="N257" s="335"/>
      <c r="O257" s="335"/>
      <c r="P257" s="335"/>
      <c r="Q257" s="335"/>
      <c r="R257" s="335"/>
      <c r="S257" s="335"/>
      <c r="T257" s="335"/>
      <c r="U257" s="335"/>
      <c r="V257" s="335"/>
      <c r="W257" s="335"/>
      <c r="X257" s="335"/>
      <c r="Y257" s="335"/>
      <c r="Z257" s="335"/>
      <c r="AA257" s="335"/>
      <c r="AB257" s="335"/>
      <c r="AC257" s="335"/>
      <c r="AD257" s="335"/>
      <c r="AE257" s="335"/>
      <c r="AF257" s="335"/>
    </row>
    <row r="258" ht="15.75" customHeight="1">
      <c r="A258" s="335"/>
      <c r="B258" s="335"/>
      <c r="C258" s="335"/>
      <c r="D258" s="336"/>
      <c r="E258" s="335"/>
      <c r="F258" s="337"/>
      <c r="G258" s="335"/>
      <c r="H258" s="335"/>
      <c r="I258" s="335"/>
      <c r="J258" s="335"/>
      <c r="K258" s="335"/>
      <c r="L258" s="335"/>
      <c r="M258" s="335"/>
      <c r="N258" s="335"/>
      <c r="O258" s="335"/>
      <c r="P258" s="335"/>
      <c r="Q258" s="335"/>
      <c r="R258" s="335"/>
      <c r="S258" s="335"/>
      <c r="T258" s="335"/>
      <c r="U258" s="335"/>
      <c r="V258" s="335"/>
      <c r="W258" s="335"/>
      <c r="X258" s="335"/>
      <c r="Y258" s="335"/>
      <c r="Z258" s="335"/>
      <c r="AA258" s="335"/>
      <c r="AB258" s="335"/>
      <c r="AC258" s="335"/>
      <c r="AD258" s="335"/>
      <c r="AE258" s="335"/>
      <c r="AF258" s="335"/>
    </row>
    <row r="259" ht="15.75" customHeight="1">
      <c r="A259" s="335"/>
      <c r="B259" s="335"/>
      <c r="C259" s="335"/>
      <c r="D259" s="336"/>
      <c r="E259" s="335"/>
      <c r="F259" s="337"/>
      <c r="G259" s="335"/>
      <c r="H259" s="335"/>
      <c r="I259" s="335"/>
      <c r="J259" s="335"/>
      <c r="K259" s="335"/>
      <c r="L259" s="335"/>
      <c r="M259" s="335"/>
      <c r="N259" s="335"/>
      <c r="O259" s="335"/>
      <c r="P259" s="335"/>
      <c r="Q259" s="335"/>
      <c r="R259" s="335"/>
      <c r="S259" s="335"/>
      <c r="T259" s="335"/>
      <c r="U259" s="335"/>
      <c r="V259" s="335"/>
      <c r="W259" s="335"/>
      <c r="X259" s="335"/>
      <c r="Y259" s="335"/>
      <c r="Z259" s="335"/>
      <c r="AA259" s="335"/>
      <c r="AB259" s="335"/>
      <c r="AC259" s="335"/>
      <c r="AD259" s="335"/>
      <c r="AE259" s="335"/>
      <c r="AF259" s="335"/>
    </row>
    <row r="260" ht="15.75" customHeight="1">
      <c r="A260" s="335"/>
      <c r="B260" s="335"/>
      <c r="C260" s="335"/>
      <c r="D260" s="336"/>
      <c r="E260" s="335"/>
      <c r="F260" s="337"/>
      <c r="G260" s="335"/>
      <c r="H260" s="335"/>
      <c r="I260" s="335"/>
      <c r="J260" s="335"/>
      <c r="K260" s="335"/>
      <c r="L260" s="335"/>
      <c r="M260" s="335"/>
      <c r="N260" s="335"/>
      <c r="O260" s="335"/>
      <c r="P260" s="335"/>
      <c r="Q260" s="335"/>
      <c r="R260" s="335"/>
      <c r="S260" s="335"/>
      <c r="T260" s="335"/>
      <c r="U260" s="335"/>
      <c r="V260" s="335"/>
      <c r="W260" s="335"/>
      <c r="X260" s="335"/>
      <c r="Y260" s="335"/>
      <c r="Z260" s="335"/>
      <c r="AA260" s="335"/>
      <c r="AB260" s="335"/>
      <c r="AC260" s="335"/>
      <c r="AD260" s="335"/>
      <c r="AE260" s="335"/>
      <c r="AF260" s="335"/>
    </row>
    <row r="261" ht="15.75" customHeight="1">
      <c r="A261" s="335"/>
      <c r="B261" s="335"/>
      <c r="C261" s="335"/>
      <c r="D261" s="336"/>
      <c r="E261" s="335"/>
      <c r="F261" s="337"/>
      <c r="G261" s="335"/>
      <c r="H261" s="335"/>
      <c r="I261" s="335"/>
      <c r="J261" s="335"/>
      <c r="K261" s="335"/>
      <c r="L261" s="335"/>
      <c r="M261" s="335"/>
      <c r="N261" s="335"/>
      <c r="O261" s="335"/>
      <c r="P261" s="335"/>
      <c r="Q261" s="335"/>
      <c r="R261" s="335"/>
      <c r="S261" s="335"/>
      <c r="T261" s="335"/>
      <c r="U261" s="335"/>
      <c r="V261" s="335"/>
      <c r="W261" s="335"/>
      <c r="X261" s="335"/>
      <c r="Y261" s="335"/>
      <c r="Z261" s="335"/>
      <c r="AA261" s="335"/>
      <c r="AB261" s="335"/>
      <c r="AC261" s="335"/>
      <c r="AD261" s="335"/>
      <c r="AE261" s="335"/>
      <c r="AF261" s="335"/>
    </row>
    <row r="262" ht="15.75" customHeight="1">
      <c r="A262" s="335"/>
      <c r="B262" s="335"/>
      <c r="C262" s="335"/>
      <c r="D262" s="336"/>
      <c r="E262" s="335"/>
      <c r="F262" s="337"/>
      <c r="G262" s="335"/>
      <c r="H262" s="335"/>
      <c r="I262" s="335"/>
      <c r="J262" s="335"/>
      <c r="K262" s="335"/>
      <c r="L262" s="335"/>
      <c r="M262" s="335"/>
      <c r="N262" s="335"/>
      <c r="O262" s="335"/>
      <c r="P262" s="335"/>
      <c r="Q262" s="335"/>
      <c r="R262" s="335"/>
      <c r="S262" s="335"/>
      <c r="T262" s="335"/>
      <c r="U262" s="335"/>
      <c r="V262" s="335"/>
      <c r="W262" s="335"/>
      <c r="X262" s="335"/>
      <c r="Y262" s="335"/>
      <c r="Z262" s="335"/>
      <c r="AA262" s="335"/>
      <c r="AB262" s="335"/>
      <c r="AC262" s="335"/>
      <c r="AD262" s="335"/>
      <c r="AE262" s="335"/>
      <c r="AF262" s="335"/>
    </row>
    <row r="263" ht="15.75" customHeight="1">
      <c r="A263" s="335"/>
      <c r="B263" s="335"/>
      <c r="C263" s="335"/>
      <c r="D263" s="336"/>
      <c r="E263" s="335"/>
      <c r="F263" s="337"/>
      <c r="G263" s="335"/>
      <c r="H263" s="335"/>
      <c r="I263" s="335"/>
      <c r="J263" s="335"/>
      <c r="K263" s="335"/>
      <c r="L263" s="335"/>
      <c r="M263" s="335"/>
      <c r="N263" s="335"/>
      <c r="O263" s="335"/>
      <c r="P263" s="335"/>
      <c r="Q263" s="335"/>
      <c r="R263" s="335"/>
      <c r="S263" s="335"/>
      <c r="T263" s="335"/>
      <c r="U263" s="335"/>
      <c r="V263" s="335"/>
      <c r="W263" s="335"/>
      <c r="X263" s="335"/>
      <c r="Y263" s="335"/>
      <c r="Z263" s="335"/>
      <c r="AA263" s="335"/>
      <c r="AB263" s="335"/>
      <c r="AC263" s="335"/>
      <c r="AD263" s="335"/>
      <c r="AE263" s="335"/>
      <c r="AF263" s="335"/>
    </row>
    <row r="264" ht="15.75" customHeight="1">
      <c r="A264" s="335"/>
      <c r="B264" s="335"/>
      <c r="C264" s="335"/>
      <c r="D264" s="336"/>
      <c r="E264" s="335"/>
      <c r="F264" s="337"/>
      <c r="G264" s="335"/>
      <c r="H264" s="335"/>
      <c r="I264" s="335"/>
      <c r="J264" s="335"/>
      <c r="K264" s="335"/>
      <c r="L264" s="335"/>
      <c r="M264" s="335"/>
      <c r="N264" s="335"/>
      <c r="O264" s="335"/>
      <c r="P264" s="335"/>
      <c r="Q264" s="335"/>
      <c r="R264" s="335"/>
      <c r="S264" s="335"/>
      <c r="T264" s="335"/>
      <c r="U264" s="335"/>
      <c r="V264" s="335"/>
      <c r="W264" s="335"/>
      <c r="X264" s="335"/>
      <c r="Y264" s="335"/>
      <c r="Z264" s="335"/>
      <c r="AA264" s="335"/>
      <c r="AB264" s="335"/>
      <c r="AC264" s="335"/>
      <c r="AD264" s="335"/>
      <c r="AE264" s="335"/>
      <c r="AF264" s="335"/>
    </row>
    <row r="265" ht="15.75" customHeight="1">
      <c r="A265" s="335"/>
      <c r="B265" s="335"/>
      <c r="C265" s="335"/>
      <c r="D265" s="336"/>
      <c r="E265" s="335"/>
      <c r="F265" s="337"/>
      <c r="G265" s="335"/>
      <c r="H265" s="335"/>
      <c r="I265" s="335"/>
      <c r="J265" s="335"/>
      <c r="K265" s="335"/>
      <c r="L265" s="335"/>
      <c r="M265" s="335"/>
      <c r="N265" s="335"/>
      <c r="O265" s="335"/>
      <c r="P265" s="335"/>
      <c r="Q265" s="335"/>
      <c r="R265" s="335"/>
      <c r="S265" s="335"/>
      <c r="T265" s="335"/>
      <c r="U265" s="335"/>
      <c r="V265" s="335"/>
      <c r="W265" s="335"/>
      <c r="X265" s="335"/>
      <c r="Y265" s="335"/>
      <c r="Z265" s="335"/>
      <c r="AA265" s="335"/>
      <c r="AB265" s="335"/>
      <c r="AC265" s="335"/>
      <c r="AD265" s="335"/>
      <c r="AE265" s="335"/>
      <c r="AF265" s="335"/>
    </row>
    <row r="266" ht="15.75" customHeight="1">
      <c r="A266" s="335"/>
      <c r="B266" s="335"/>
      <c r="C266" s="335"/>
      <c r="D266" s="336"/>
      <c r="E266" s="335"/>
      <c r="F266" s="337"/>
      <c r="G266" s="335"/>
      <c r="H266" s="335"/>
      <c r="I266" s="335"/>
      <c r="J266" s="335"/>
      <c r="K266" s="335"/>
      <c r="L266" s="335"/>
      <c r="M266" s="335"/>
      <c r="N266" s="335"/>
      <c r="O266" s="335"/>
      <c r="P266" s="335"/>
      <c r="Q266" s="335"/>
      <c r="R266" s="335"/>
      <c r="S266" s="335"/>
      <c r="T266" s="335"/>
      <c r="U266" s="335"/>
      <c r="V266" s="335"/>
      <c r="W266" s="335"/>
      <c r="X266" s="335"/>
      <c r="Y266" s="335"/>
      <c r="Z266" s="335"/>
      <c r="AA266" s="335"/>
      <c r="AB266" s="335"/>
      <c r="AC266" s="335"/>
      <c r="AD266" s="335"/>
      <c r="AE266" s="335"/>
      <c r="AF266" s="335"/>
    </row>
    <row r="267" ht="15.75" customHeight="1">
      <c r="A267" s="335"/>
      <c r="B267" s="335"/>
      <c r="C267" s="335"/>
      <c r="D267" s="336"/>
      <c r="E267" s="335"/>
      <c r="F267" s="337"/>
      <c r="G267" s="335"/>
      <c r="H267" s="335"/>
      <c r="I267" s="335"/>
      <c r="J267" s="335"/>
      <c r="K267" s="335"/>
      <c r="L267" s="335"/>
      <c r="M267" s="335"/>
      <c r="N267" s="335"/>
      <c r="O267" s="335"/>
      <c r="P267" s="335"/>
      <c r="Q267" s="335"/>
      <c r="R267" s="335"/>
      <c r="S267" s="335"/>
      <c r="T267" s="335"/>
      <c r="U267" s="335"/>
      <c r="V267" s="335"/>
      <c r="W267" s="335"/>
      <c r="X267" s="335"/>
      <c r="Y267" s="335"/>
      <c r="Z267" s="335"/>
      <c r="AA267" s="335"/>
      <c r="AB267" s="335"/>
      <c r="AC267" s="335"/>
      <c r="AD267" s="335"/>
      <c r="AE267" s="335"/>
      <c r="AF267" s="335"/>
    </row>
    <row r="268" ht="15.75" customHeight="1">
      <c r="A268" s="335"/>
      <c r="B268" s="335"/>
      <c r="C268" s="335"/>
      <c r="D268" s="336"/>
      <c r="E268" s="335"/>
      <c r="F268" s="337"/>
      <c r="G268" s="335"/>
      <c r="H268" s="335"/>
      <c r="I268" s="335"/>
      <c r="J268" s="335"/>
      <c r="K268" s="335"/>
      <c r="L268" s="335"/>
      <c r="M268" s="335"/>
      <c r="N268" s="335"/>
      <c r="O268" s="335"/>
      <c r="P268" s="335"/>
      <c r="Q268" s="335"/>
      <c r="R268" s="335"/>
      <c r="S268" s="335"/>
      <c r="T268" s="335"/>
      <c r="U268" s="335"/>
      <c r="V268" s="335"/>
      <c r="W268" s="335"/>
      <c r="X268" s="335"/>
      <c r="Y268" s="335"/>
      <c r="Z268" s="335"/>
      <c r="AA268" s="335"/>
      <c r="AB268" s="335"/>
      <c r="AC268" s="335"/>
      <c r="AD268" s="335"/>
      <c r="AE268" s="335"/>
      <c r="AF268" s="335"/>
    </row>
    <row r="269" ht="15.75" customHeight="1">
      <c r="A269" s="335"/>
      <c r="B269" s="335"/>
      <c r="C269" s="335"/>
      <c r="D269" s="336"/>
      <c r="E269" s="335"/>
      <c r="F269" s="337"/>
      <c r="G269" s="335"/>
      <c r="H269" s="335"/>
      <c r="I269" s="335"/>
      <c r="J269" s="335"/>
      <c r="K269" s="335"/>
      <c r="L269" s="335"/>
      <c r="M269" s="335"/>
      <c r="N269" s="335"/>
      <c r="O269" s="335"/>
      <c r="P269" s="335"/>
      <c r="Q269" s="335"/>
      <c r="R269" s="335"/>
      <c r="S269" s="335"/>
      <c r="T269" s="335"/>
      <c r="U269" s="335"/>
      <c r="V269" s="335"/>
      <c r="W269" s="335"/>
      <c r="X269" s="335"/>
      <c r="Y269" s="335"/>
      <c r="Z269" s="335"/>
      <c r="AA269" s="335"/>
      <c r="AB269" s="335"/>
      <c r="AC269" s="335"/>
      <c r="AD269" s="335"/>
      <c r="AE269" s="335"/>
      <c r="AF269" s="335"/>
    </row>
    <row r="270" ht="15.75" customHeight="1">
      <c r="A270" s="335"/>
      <c r="B270" s="335"/>
      <c r="C270" s="335"/>
      <c r="D270" s="336"/>
      <c r="E270" s="335"/>
      <c r="F270" s="337"/>
      <c r="G270" s="335"/>
      <c r="H270" s="335"/>
      <c r="I270" s="335"/>
      <c r="J270" s="335"/>
      <c r="K270" s="335"/>
      <c r="L270" s="335"/>
      <c r="M270" s="335"/>
      <c r="N270" s="335"/>
      <c r="O270" s="335"/>
      <c r="P270" s="335"/>
      <c r="Q270" s="335"/>
      <c r="R270" s="335"/>
      <c r="S270" s="335"/>
      <c r="T270" s="335"/>
      <c r="U270" s="335"/>
      <c r="V270" s="335"/>
      <c r="W270" s="335"/>
      <c r="X270" s="335"/>
      <c r="Y270" s="335"/>
      <c r="Z270" s="335"/>
      <c r="AA270" s="335"/>
      <c r="AB270" s="335"/>
      <c r="AC270" s="335"/>
      <c r="AD270" s="335"/>
      <c r="AE270" s="335"/>
      <c r="AF270" s="335"/>
    </row>
    <row r="271" ht="15.75" customHeight="1">
      <c r="A271" s="335"/>
      <c r="B271" s="335"/>
      <c r="C271" s="335"/>
      <c r="D271" s="336"/>
      <c r="E271" s="335"/>
      <c r="F271" s="337"/>
      <c r="G271" s="335"/>
      <c r="H271" s="335"/>
      <c r="I271" s="335"/>
      <c r="J271" s="335"/>
      <c r="K271" s="335"/>
      <c r="L271" s="335"/>
      <c r="M271" s="335"/>
      <c r="N271" s="335"/>
      <c r="O271" s="335"/>
      <c r="P271" s="335"/>
      <c r="Q271" s="335"/>
      <c r="R271" s="335"/>
      <c r="S271" s="335"/>
      <c r="T271" s="335"/>
      <c r="U271" s="335"/>
      <c r="V271" s="335"/>
      <c r="W271" s="335"/>
      <c r="X271" s="335"/>
      <c r="Y271" s="335"/>
      <c r="Z271" s="335"/>
      <c r="AA271" s="335"/>
      <c r="AB271" s="335"/>
      <c r="AC271" s="335"/>
      <c r="AD271" s="335"/>
      <c r="AE271" s="335"/>
      <c r="AF271" s="335"/>
    </row>
    <row r="272" ht="15.75" customHeight="1">
      <c r="A272" s="335"/>
      <c r="B272" s="335"/>
      <c r="C272" s="335"/>
      <c r="D272" s="336"/>
      <c r="E272" s="335"/>
      <c r="F272" s="337"/>
      <c r="G272" s="335"/>
      <c r="H272" s="335"/>
      <c r="I272" s="335"/>
      <c r="J272" s="335"/>
      <c r="K272" s="335"/>
      <c r="L272" s="335"/>
      <c r="M272" s="335"/>
      <c r="N272" s="335"/>
      <c r="O272" s="335"/>
      <c r="P272" s="335"/>
      <c r="Q272" s="335"/>
      <c r="R272" s="335"/>
      <c r="S272" s="335"/>
      <c r="T272" s="335"/>
      <c r="U272" s="335"/>
      <c r="V272" s="335"/>
      <c r="W272" s="335"/>
      <c r="X272" s="335"/>
      <c r="Y272" s="335"/>
      <c r="Z272" s="335"/>
      <c r="AA272" s="335"/>
      <c r="AB272" s="335"/>
      <c r="AC272" s="335"/>
      <c r="AD272" s="335"/>
      <c r="AE272" s="335"/>
      <c r="AF272" s="335"/>
    </row>
    <row r="273" ht="15.75" customHeight="1">
      <c r="A273" s="335"/>
      <c r="B273" s="335"/>
      <c r="C273" s="335"/>
      <c r="D273" s="336"/>
      <c r="E273" s="335"/>
      <c r="F273" s="337"/>
      <c r="G273" s="335"/>
      <c r="H273" s="335"/>
      <c r="I273" s="335"/>
      <c r="J273" s="335"/>
      <c r="K273" s="335"/>
      <c r="L273" s="335"/>
      <c r="M273" s="335"/>
      <c r="N273" s="335"/>
      <c r="O273" s="335"/>
      <c r="P273" s="335"/>
      <c r="Q273" s="335"/>
      <c r="R273" s="335"/>
      <c r="S273" s="335"/>
      <c r="T273" s="335"/>
      <c r="U273" s="335"/>
      <c r="V273" s="335"/>
      <c r="W273" s="335"/>
      <c r="X273" s="335"/>
      <c r="Y273" s="335"/>
      <c r="Z273" s="335"/>
      <c r="AA273" s="335"/>
      <c r="AB273" s="335"/>
      <c r="AC273" s="335"/>
      <c r="AD273" s="335"/>
      <c r="AE273" s="335"/>
      <c r="AF273" s="335"/>
    </row>
    <row r="274" ht="15.75" customHeight="1">
      <c r="A274" s="335"/>
      <c r="B274" s="335"/>
      <c r="C274" s="335"/>
      <c r="D274" s="336"/>
      <c r="E274" s="335"/>
      <c r="F274" s="337"/>
      <c r="G274" s="335"/>
      <c r="H274" s="335"/>
      <c r="I274" s="335"/>
      <c r="J274" s="335"/>
      <c r="K274" s="335"/>
      <c r="L274" s="335"/>
      <c r="M274" s="335"/>
      <c r="N274" s="335"/>
      <c r="O274" s="335"/>
      <c r="P274" s="335"/>
      <c r="Q274" s="335"/>
      <c r="R274" s="335"/>
      <c r="S274" s="335"/>
      <c r="T274" s="335"/>
      <c r="U274" s="335"/>
      <c r="V274" s="335"/>
      <c r="W274" s="335"/>
      <c r="X274" s="335"/>
      <c r="Y274" s="335"/>
      <c r="Z274" s="335"/>
      <c r="AA274" s="335"/>
      <c r="AB274" s="335"/>
      <c r="AC274" s="335"/>
      <c r="AD274" s="335"/>
      <c r="AE274" s="335"/>
      <c r="AF274" s="335"/>
    </row>
    <row r="275" ht="15.75" customHeight="1">
      <c r="A275" s="335"/>
      <c r="B275" s="335"/>
      <c r="C275" s="335"/>
      <c r="D275" s="336"/>
      <c r="E275" s="335"/>
      <c r="F275" s="337"/>
      <c r="G275" s="335"/>
      <c r="H275" s="335"/>
      <c r="I275" s="335"/>
      <c r="J275" s="335"/>
      <c r="K275" s="335"/>
      <c r="L275" s="335"/>
      <c r="M275" s="335"/>
      <c r="N275" s="335"/>
      <c r="O275" s="335"/>
      <c r="P275" s="335"/>
      <c r="Q275" s="335"/>
      <c r="R275" s="335"/>
      <c r="S275" s="335"/>
      <c r="T275" s="335"/>
      <c r="U275" s="335"/>
      <c r="V275" s="335"/>
      <c r="W275" s="335"/>
      <c r="X275" s="335"/>
      <c r="Y275" s="335"/>
      <c r="Z275" s="335"/>
      <c r="AA275" s="335"/>
      <c r="AB275" s="335"/>
      <c r="AC275" s="335"/>
      <c r="AD275" s="335"/>
      <c r="AE275" s="335"/>
      <c r="AF275" s="335"/>
    </row>
    <row r="276" ht="15.75" customHeight="1">
      <c r="A276" s="335"/>
      <c r="B276" s="335"/>
      <c r="C276" s="335"/>
      <c r="D276" s="336"/>
      <c r="E276" s="335"/>
      <c r="F276" s="337"/>
      <c r="G276" s="335"/>
      <c r="H276" s="335"/>
      <c r="I276" s="335"/>
      <c r="J276" s="335"/>
      <c r="K276" s="335"/>
      <c r="L276" s="335"/>
      <c r="M276" s="335"/>
      <c r="N276" s="335"/>
      <c r="O276" s="335"/>
      <c r="P276" s="335"/>
      <c r="Q276" s="335"/>
      <c r="R276" s="335"/>
      <c r="S276" s="335"/>
      <c r="T276" s="335"/>
      <c r="U276" s="335"/>
      <c r="V276" s="335"/>
      <c r="W276" s="335"/>
      <c r="X276" s="335"/>
      <c r="Y276" s="335"/>
      <c r="Z276" s="335"/>
      <c r="AA276" s="335"/>
      <c r="AB276" s="335"/>
      <c r="AC276" s="335"/>
      <c r="AD276" s="335"/>
      <c r="AE276" s="335"/>
      <c r="AF276" s="335"/>
    </row>
    <row r="277" ht="15.75" customHeight="1">
      <c r="A277" s="335"/>
      <c r="B277" s="335"/>
      <c r="C277" s="335"/>
      <c r="D277" s="336"/>
      <c r="E277" s="335"/>
      <c r="F277" s="337"/>
      <c r="G277" s="335"/>
      <c r="H277" s="335"/>
      <c r="I277" s="335"/>
      <c r="J277" s="335"/>
      <c r="K277" s="335"/>
      <c r="L277" s="335"/>
      <c r="M277" s="335"/>
      <c r="N277" s="335"/>
      <c r="O277" s="335"/>
      <c r="P277" s="335"/>
      <c r="Q277" s="335"/>
      <c r="R277" s="335"/>
      <c r="S277" s="335"/>
      <c r="T277" s="335"/>
      <c r="U277" s="335"/>
      <c r="V277" s="335"/>
      <c r="W277" s="335"/>
      <c r="X277" s="335"/>
      <c r="Y277" s="335"/>
      <c r="Z277" s="335"/>
      <c r="AA277" s="335"/>
      <c r="AB277" s="335"/>
      <c r="AC277" s="335"/>
      <c r="AD277" s="335"/>
      <c r="AE277" s="335"/>
      <c r="AF277" s="335"/>
    </row>
    <row r="278" ht="15.75" customHeight="1">
      <c r="A278" s="335"/>
      <c r="B278" s="335"/>
      <c r="C278" s="335"/>
      <c r="D278" s="336"/>
      <c r="E278" s="335"/>
      <c r="F278" s="337"/>
      <c r="G278" s="335"/>
      <c r="H278" s="335"/>
      <c r="I278" s="335"/>
      <c r="J278" s="335"/>
      <c r="K278" s="335"/>
      <c r="L278" s="335"/>
      <c r="M278" s="335"/>
      <c r="N278" s="335"/>
      <c r="O278" s="335"/>
      <c r="P278" s="335"/>
      <c r="Q278" s="335"/>
      <c r="R278" s="335"/>
      <c r="S278" s="335"/>
      <c r="T278" s="335"/>
      <c r="U278" s="335"/>
      <c r="V278" s="335"/>
      <c r="W278" s="335"/>
      <c r="X278" s="335"/>
      <c r="Y278" s="335"/>
      <c r="Z278" s="335"/>
      <c r="AA278" s="335"/>
      <c r="AB278" s="335"/>
      <c r="AC278" s="335"/>
      <c r="AD278" s="335"/>
      <c r="AE278" s="335"/>
      <c r="AF278" s="335"/>
    </row>
    <row r="279" ht="15.75" customHeight="1">
      <c r="A279" s="335"/>
      <c r="B279" s="335"/>
      <c r="C279" s="335"/>
      <c r="D279" s="336"/>
      <c r="E279" s="335"/>
      <c r="F279" s="337"/>
      <c r="G279" s="335"/>
      <c r="H279" s="335"/>
      <c r="I279" s="335"/>
      <c r="J279" s="335"/>
      <c r="K279" s="335"/>
      <c r="L279" s="335"/>
      <c r="M279" s="335"/>
      <c r="N279" s="335"/>
      <c r="O279" s="335"/>
      <c r="P279" s="335"/>
      <c r="Q279" s="335"/>
      <c r="R279" s="335"/>
      <c r="S279" s="335"/>
      <c r="T279" s="335"/>
      <c r="U279" s="335"/>
      <c r="V279" s="335"/>
      <c r="W279" s="335"/>
      <c r="X279" s="335"/>
      <c r="Y279" s="335"/>
      <c r="Z279" s="335"/>
      <c r="AA279" s="335"/>
      <c r="AB279" s="335"/>
      <c r="AC279" s="335"/>
      <c r="AD279" s="335"/>
      <c r="AE279" s="335"/>
      <c r="AF279" s="335"/>
    </row>
    <row r="280" ht="15.75" customHeight="1">
      <c r="A280" s="335"/>
      <c r="B280" s="335"/>
      <c r="C280" s="335"/>
      <c r="D280" s="336"/>
      <c r="E280" s="335"/>
      <c r="F280" s="337"/>
      <c r="G280" s="335"/>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c r="AF280" s="335"/>
    </row>
    <row r="281" ht="15.75" customHeight="1">
      <c r="A281" s="335"/>
      <c r="B281" s="335"/>
      <c r="C281" s="335"/>
      <c r="D281" s="336"/>
      <c r="E281" s="335"/>
      <c r="F281" s="337"/>
      <c r="G281" s="335"/>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c r="AF281" s="335"/>
    </row>
    <row r="282" ht="15.75" customHeight="1">
      <c r="A282" s="335"/>
      <c r="B282" s="335"/>
      <c r="C282" s="335"/>
      <c r="D282" s="336"/>
      <c r="E282" s="335"/>
      <c r="F282" s="337"/>
      <c r="G282" s="335"/>
      <c r="H282" s="335"/>
      <c r="I282" s="335"/>
      <c r="J282" s="335"/>
      <c r="K282" s="335"/>
      <c r="L282" s="335"/>
      <c r="M282" s="335"/>
      <c r="N282" s="335"/>
      <c r="O282" s="335"/>
      <c r="P282" s="335"/>
      <c r="Q282" s="335"/>
      <c r="R282" s="335"/>
      <c r="S282" s="335"/>
      <c r="T282" s="335"/>
      <c r="U282" s="335"/>
      <c r="V282" s="335"/>
      <c r="W282" s="335"/>
      <c r="X282" s="335"/>
      <c r="Y282" s="335"/>
      <c r="Z282" s="335"/>
      <c r="AA282" s="335"/>
      <c r="AB282" s="335"/>
      <c r="AC282" s="335"/>
      <c r="AD282" s="335"/>
      <c r="AE282" s="335"/>
      <c r="AF282" s="335"/>
    </row>
    <row r="283" ht="15.75" customHeight="1">
      <c r="A283" s="335"/>
      <c r="B283" s="335"/>
      <c r="C283" s="335"/>
      <c r="D283" s="336"/>
      <c r="E283" s="335"/>
      <c r="F283" s="337"/>
      <c r="G283" s="335"/>
      <c r="H283" s="335"/>
      <c r="I283" s="335"/>
      <c r="J283" s="335"/>
      <c r="K283" s="335"/>
      <c r="L283" s="335"/>
      <c r="M283" s="335"/>
      <c r="N283" s="335"/>
      <c r="O283" s="335"/>
      <c r="P283" s="335"/>
      <c r="Q283" s="335"/>
      <c r="R283" s="335"/>
      <c r="S283" s="335"/>
      <c r="T283" s="335"/>
      <c r="U283" s="335"/>
      <c r="V283" s="335"/>
      <c r="W283" s="335"/>
      <c r="X283" s="335"/>
      <c r="Y283" s="335"/>
      <c r="Z283" s="335"/>
      <c r="AA283" s="335"/>
      <c r="AB283" s="335"/>
      <c r="AC283" s="335"/>
      <c r="AD283" s="335"/>
      <c r="AE283" s="335"/>
      <c r="AF283" s="335"/>
    </row>
    <row r="284" ht="15.75" customHeight="1">
      <c r="A284" s="335"/>
      <c r="B284" s="335"/>
      <c r="C284" s="335"/>
      <c r="D284" s="336"/>
      <c r="E284" s="335"/>
      <c r="F284" s="337"/>
      <c r="G284" s="335"/>
      <c r="H284" s="335"/>
      <c r="I284" s="335"/>
      <c r="J284" s="335"/>
      <c r="K284" s="335"/>
      <c r="L284" s="335"/>
      <c r="M284" s="335"/>
      <c r="N284" s="335"/>
      <c r="O284" s="335"/>
      <c r="P284" s="335"/>
      <c r="Q284" s="335"/>
      <c r="R284" s="335"/>
      <c r="S284" s="335"/>
      <c r="T284" s="335"/>
      <c r="U284" s="335"/>
      <c r="V284" s="335"/>
      <c r="W284" s="335"/>
      <c r="X284" s="335"/>
      <c r="Y284" s="335"/>
      <c r="Z284" s="335"/>
      <c r="AA284" s="335"/>
      <c r="AB284" s="335"/>
      <c r="AC284" s="335"/>
      <c r="AD284" s="335"/>
      <c r="AE284" s="335"/>
      <c r="AF284" s="335"/>
    </row>
    <row r="285" ht="15.75" customHeight="1">
      <c r="A285" s="335"/>
      <c r="B285" s="335"/>
      <c r="C285" s="335"/>
      <c r="D285" s="336"/>
      <c r="E285" s="335"/>
      <c r="F285" s="337"/>
      <c r="G285" s="335"/>
      <c r="H285" s="335"/>
      <c r="I285" s="335"/>
      <c r="J285" s="335"/>
      <c r="K285" s="335"/>
      <c r="L285" s="335"/>
      <c r="M285" s="335"/>
      <c r="N285" s="335"/>
      <c r="O285" s="335"/>
      <c r="P285" s="335"/>
      <c r="Q285" s="335"/>
      <c r="R285" s="335"/>
      <c r="S285" s="335"/>
      <c r="T285" s="335"/>
      <c r="U285" s="335"/>
      <c r="V285" s="335"/>
      <c r="W285" s="335"/>
      <c r="X285" s="335"/>
      <c r="Y285" s="335"/>
      <c r="Z285" s="335"/>
      <c r="AA285" s="335"/>
      <c r="AB285" s="335"/>
      <c r="AC285" s="335"/>
      <c r="AD285" s="335"/>
      <c r="AE285" s="335"/>
      <c r="AF285" s="335"/>
    </row>
    <row r="286" ht="15.75" customHeight="1">
      <c r="A286" s="335"/>
      <c r="B286" s="335"/>
      <c r="C286" s="335"/>
      <c r="D286" s="336"/>
      <c r="E286" s="335"/>
      <c r="F286" s="337"/>
      <c r="G286" s="335"/>
      <c r="H286" s="335"/>
      <c r="I286" s="335"/>
      <c r="J286" s="335"/>
      <c r="K286" s="335"/>
      <c r="L286" s="335"/>
      <c r="M286" s="335"/>
      <c r="N286" s="335"/>
      <c r="O286" s="335"/>
      <c r="P286" s="335"/>
      <c r="Q286" s="335"/>
      <c r="R286" s="335"/>
      <c r="S286" s="335"/>
      <c r="T286" s="335"/>
      <c r="U286" s="335"/>
      <c r="V286" s="335"/>
      <c r="W286" s="335"/>
      <c r="X286" s="335"/>
      <c r="Y286" s="335"/>
      <c r="Z286" s="335"/>
      <c r="AA286" s="335"/>
      <c r="AB286" s="335"/>
      <c r="AC286" s="335"/>
      <c r="AD286" s="335"/>
      <c r="AE286" s="335"/>
      <c r="AF286" s="335"/>
    </row>
    <row r="287" ht="15.75" customHeight="1">
      <c r="A287" s="335"/>
      <c r="B287" s="335"/>
      <c r="C287" s="335"/>
      <c r="D287" s="336"/>
      <c r="E287" s="335"/>
      <c r="F287" s="337"/>
      <c r="G287" s="335"/>
      <c r="H287" s="335"/>
      <c r="I287" s="335"/>
      <c r="J287" s="335"/>
      <c r="K287" s="335"/>
      <c r="L287" s="335"/>
      <c r="M287" s="335"/>
      <c r="N287" s="335"/>
      <c r="O287" s="335"/>
      <c r="P287" s="335"/>
      <c r="Q287" s="335"/>
      <c r="R287" s="335"/>
      <c r="S287" s="335"/>
      <c r="T287" s="335"/>
      <c r="U287" s="335"/>
      <c r="V287" s="335"/>
      <c r="W287" s="335"/>
      <c r="X287" s="335"/>
      <c r="Y287" s="335"/>
      <c r="Z287" s="335"/>
      <c r="AA287" s="335"/>
      <c r="AB287" s="335"/>
      <c r="AC287" s="335"/>
      <c r="AD287" s="335"/>
      <c r="AE287" s="335"/>
      <c r="AF287" s="335"/>
    </row>
    <row r="288" ht="15.75" customHeight="1">
      <c r="A288" s="335"/>
      <c r="B288" s="335"/>
      <c r="C288" s="335"/>
      <c r="D288" s="336"/>
      <c r="E288" s="335"/>
      <c r="F288" s="337"/>
      <c r="G288" s="335"/>
      <c r="H288" s="335"/>
      <c r="I288" s="335"/>
      <c r="J288" s="335"/>
      <c r="K288" s="335"/>
      <c r="L288" s="335"/>
      <c r="M288" s="335"/>
      <c r="N288" s="335"/>
      <c r="O288" s="335"/>
      <c r="P288" s="335"/>
      <c r="Q288" s="335"/>
      <c r="R288" s="335"/>
      <c r="S288" s="335"/>
      <c r="T288" s="335"/>
      <c r="U288" s="335"/>
      <c r="V288" s="335"/>
      <c r="W288" s="335"/>
      <c r="X288" s="335"/>
      <c r="Y288" s="335"/>
      <c r="Z288" s="335"/>
      <c r="AA288" s="335"/>
      <c r="AB288" s="335"/>
      <c r="AC288" s="335"/>
      <c r="AD288" s="335"/>
      <c r="AE288" s="335"/>
      <c r="AF288" s="335"/>
    </row>
    <row r="289" ht="15.75" customHeight="1">
      <c r="A289" s="335"/>
      <c r="B289" s="335"/>
      <c r="C289" s="335"/>
      <c r="D289" s="336"/>
      <c r="E289" s="335"/>
      <c r="F289" s="337"/>
      <c r="G289" s="335"/>
      <c r="H289" s="335"/>
      <c r="I289" s="335"/>
      <c r="J289" s="335"/>
      <c r="K289" s="335"/>
      <c r="L289" s="335"/>
      <c r="M289" s="335"/>
      <c r="N289" s="335"/>
      <c r="O289" s="335"/>
      <c r="P289" s="335"/>
      <c r="Q289" s="335"/>
      <c r="R289" s="335"/>
      <c r="S289" s="335"/>
      <c r="T289" s="335"/>
      <c r="U289" s="335"/>
      <c r="V289" s="335"/>
      <c r="W289" s="335"/>
      <c r="X289" s="335"/>
      <c r="Y289" s="335"/>
      <c r="Z289" s="335"/>
      <c r="AA289" s="335"/>
      <c r="AB289" s="335"/>
      <c r="AC289" s="335"/>
      <c r="AD289" s="335"/>
      <c r="AE289" s="335"/>
      <c r="AF289" s="335"/>
    </row>
    <row r="290" ht="15.75" customHeight="1">
      <c r="A290" s="335"/>
      <c r="B290" s="335"/>
      <c r="C290" s="335"/>
      <c r="D290" s="336"/>
      <c r="E290" s="335"/>
      <c r="F290" s="337"/>
      <c r="G290" s="335"/>
      <c r="H290" s="335"/>
      <c r="I290" s="335"/>
      <c r="J290" s="335"/>
      <c r="K290" s="335"/>
      <c r="L290" s="335"/>
      <c r="M290" s="335"/>
      <c r="N290" s="335"/>
      <c r="O290" s="335"/>
      <c r="P290" s="335"/>
      <c r="Q290" s="335"/>
      <c r="R290" s="335"/>
      <c r="S290" s="335"/>
      <c r="T290" s="335"/>
      <c r="U290" s="335"/>
      <c r="V290" s="335"/>
      <c r="W290" s="335"/>
      <c r="X290" s="335"/>
      <c r="Y290" s="335"/>
      <c r="Z290" s="335"/>
      <c r="AA290" s="335"/>
      <c r="AB290" s="335"/>
      <c r="AC290" s="335"/>
      <c r="AD290" s="335"/>
      <c r="AE290" s="335"/>
      <c r="AF290" s="335"/>
    </row>
    <row r="291" ht="15.75" customHeight="1">
      <c r="A291" s="335"/>
      <c r="B291" s="335"/>
      <c r="C291" s="335"/>
      <c r="D291" s="336"/>
      <c r="E291" s="335"/>
      <c r="F291" s="337"/>
      <c r="G291" s="335"/>
      <c r="H291" s="335"/>
      <c r="I291" s="335"/>
      <c r="J291" s="335"/>
      <c r="K291" s="335"/>
      <c r="L291" s="335"/>
      <c r="M291" s="335"/>
      <c r="N291" s="335"/>
      <c r="O291" s="335"/>
      <c r="P291" s="335"/>
      <c r="Q291" s="335"/>
      <c r="R291" s="335"/>
      <c r="S291" s="335"/>
      <c r="T291" s="335"/>
      <c r="U291" s="335"/>
      <c r="V291" s="335"/>
      <c r="W291" s="335"/>
      <c r="X291" s="335"/>
      <c r="Y291" s="335"/>
      <c r="Z291" s="335"/>
      <c r="AA291" s="335"/>
      <c r="AB291" s="335"/>
      <c r="AC291" s="335"/>
      <c r="AD291" s="335"/>
      <c r="AE291" s="335"/>
      <c r="AF291" s="335"/>
    </row>
    <row r="292" ht="15.75" customHeight="1">
      <c r="A292" s="335"/>
      <c r="B292" s="335"/>
      <c r="C292" s="335"/>
      <c r="D292" s="336"/>
      <c r="E292" s="335"/>
      <c r="F292" s="337"/>
      <c r="G292" s="335"/>
      <c r="H292" s="335"/>
      <c r="I292" s="335"/>
      <c r="J292" s="335"/>
      <c r="K292" s="335"/>
      <c r="L292" s="335"/>
      <c r="M292" s="335"/>
      <c r="N292" s="335"/>
      <c r="O292" s="335"/>
      <c r="P292" s="335"/>
      <c r="Q292" s="335"/>
      <c r="R292" s="335"/>
      <c r="S292" s="335"/>
      <c r="T292" s="335"/>
      <c r="U292" s="335"/>
      <c r="V292" s="335"/>
      <c r="W292" s="335"/>
      <c r="X292" s="335"/>
      <c r="Y292" s="335"/>
      <c r="Z292" s="335"/>
      <c r="AA292" s="335"/>
      <c r="AB292" s="335"/>
      <c r="AC292" s="335"/>
      <c r="AD292" s="335"/>
      <c r="AE292" s="335"/>
      <c r="AF292" s="335"/>
    </row>
    <row r="293" ht="15.75" customHeight="1">
      <c r="A293" s="335"/>
      <c r="B293" s="335"/>
      <c r="C293" s="335"/>
      <c r="D293" s="336"/>
      <c r="E293" s="335"/>
      <c r="F293" s="337"/>
      <c r="G293" s="335"/>
      <c r="H293" s="335"/>
      <c r="I293" s="335"/>
      <c r="J293" s="335"/>
      <c r="K293" s="335"/>
      <c r="L293" s="335"/>
      <c r="M293" s="335"/>
      <c r="N293" s="335"/>
      <c r="O293" s="335"/>
      <c r="P293" s="335"/>
      <c r="Q293" s="335"/>
      <c r="R293" s="335"/>
      <c r="S293" s="335"/>
      <c r="T293" s="335"/>
      <c r="U293" s="335"/>
      <c r="V293" s="335"/>
      <c r="W293" s="335"/>
      <c r="X293" s="335"/>
      <c r="Y293" s="335"/>
      <c r="Z293" s="335"/>
      <c r="AA293" s="335"/>
      <c r="AB293" s="335"/>
      <c r="AC293" s="335"/>
      <c r="AD293" s="335"/>
      <c r="AE293" s="335"/>
      <c r="AF293" s="335"/>
    </row>
    <row r="294" ht="15.75" customHeight="1">
      <c r="A294" s="335"/>
      <c r="B294" s="335"/>
      <c r="C294" s="335"/>
      <c r="D294" s="336"/>
      <c r="E294" s="335"/>
      <c r="F294" s="337"/>
      <c r="G294" s="335"/>
      <c r="H294" s="335"/>
      <c r="I294" s="335"/>
      <c r="J294" s="335"/>
      <c r="K294" s="335"/>
      <c r="L294" s="335"/>
      <c r="M294" s="335"/>
      <c r="N294" s="335"/>
      <c r="O294" s="335"/>
      <c r="P294" s="335"/>
      <c r="Q294" s="335"/>
      <c r="R294" s="335"/>
      <c r="S294" s="335"/>
      <c r="T294" s="335"/>
      <c r="U294" s="335"/>
      <c r="V294" s="335"/>
      <c r="W294" s="335"/>
      <c r="X294" s="335"/>
      <c r="Y294" s="335"/>
      <c r="Z294" s="335"/>
      <c r="AA294" s="335"/>
      <c r="AB294" s="335"/>
      <c r="AC294" s="335"/>
      <c r="AD294" s="335"/>
      <c r="AE294" s="335"/>
      <c r="AF294" s="335"/>
    </row>
    <row r="295" ht="15.75" customHeight="1">
      <c r="A295" s="335"/>
      <c r="B295" s="335"/>
      <c r="C295" s="335"/>
      <c r="D295" s="336"/>
      <c r="E295" s="335"/>
      <c r="F295" s="337"/>
      <c r="G295" s="335"/>
      <c r="H295" s="335"/>
      <c r="I295" s="335"/>
      <c r="J295" s="335"/>
      <c r="K295" s="335"/>
      <c r="L295" s="335"/>
      <c r="M295" s="335"/>
      <c r="N295" s="335"/>
      <c r="O295" s="335"/>
      <c r="P295" s="335"/>
      <c r="Q295" s="335"/>
      <c r="R295" s="335"/>
      <c r="S295" s="335"/>
      <c r="T295" s="335"/>
      <c r="U295" s="335"/>
      <c r="V295" s="335"/>
      <c r="W295" s="335"/>
      <c r="X295" s="335"/>
      <c r="Y295" s="335"/>
      <c r="Z295" s="335"/>
      <c r="AA295" s="335"/>
      <c r="AB295" s="335"/>
      <c r="AC295" s="335"/>
      <c r="AD295" s="335"/>
      <c r="AE295" s="335"/>
      <c r="AF295" s="335"/>
    </row>
    <row r="296" ht="15.75" customHeight="1">
      <c r="A296" s="335"/>
      <c r="B296" s="335"/>
      <c r="C296" s="335"/>
      <c r="D296" s="336"/>
      <c r="E296" s="335"/>
      <c r="F296" s="337"/>
      <c r="G296" s="335"/>
      <c r="H296" s="335"/>
      <c r="I296" s="335"/>
      <c r="J296" s="335"/>
      <c r="K296" s="335"/>
      <c r="L296" s="335"/>
      <c r="M296" s="335"/>
      <c r="N296" s="335"/>
      <c r="O296" s="335"/>
      <c r="P296" s="335"/>
      <c r="Q296" s="335"/>
      <c r="R296" s="335"/>
      <c r="S296" s="335"/>
      <c r="T296" s="335"/>
      <c r="U296" s="335"/>
      <c r="V296" s="335"/>
      <c r="W296" s="335"/>
      <c r="X296" s="335"/>
      <c r="Y296" s="335"/>
      <c r="Z296" s="335"/>
      <c r="AA296" s="335"/>
      <c r="AB296" s="335"/>
      <c r="AC296" s="335"/>
      <c r="AD296" s="335"/>
      <c r="AE296" s="335"/>
      <c r="AF296" s="335"/>
    </row>
    <row r="297" ht="15.75" customHeight="1">
      <c r="A297" s="335"/>
      <c r="B297" s="335"/>
      <c r="C297" s="335"/>
      <c r="D297" s="336"/>
      <c r="E297" s="335"/>
      <c r="F297" s="337"/>
      <c r="G297" s="335"/>
      <c r="H297" s="335"/>
      <c r="I297" s="335"/>
      <c r="J297" s="335"/>
      <c r="K297" s="335"/>
      <c r="L297" s="335"/>
      <c r="M297" s="335"/>
      <c r="N297" s="335"/>
      <c r="O297" s="335"/>
      <c r="P297" s="335"/>
      <c r="Q297" s="335"/>
      <c r="R297" s="335"/>
      <c r="S297" s="335"/>
      <c r="T297" s="335"/>
      <c r="U297" s="335"/>
      <c r="V297" s="335"/>
      <c r="W297" s="335"/>
      <c r="X297" s="335"/>
      <c r="Y297" s="335"/>
      <c r="Z297" s="335"/>
      <c r="AA297" s="335"/>
      <c r="AB297" s="335"/>
      <c r="AC297" s="335"/>
      <c r="AD297" s="335"/>
      <c r="AE297" s="335"/>
      <c r="AF297" s="335"/>
    </row>
    <row r="298" ht="15.75" customHeight="1">
      <c r="A298" s="335"/>
      <c r="B298" s="335"/>
      <c r="C298" s="335"/>
      <c r="D298" s="336"/>
      <c r="E298" s="335"/>
      <c r="F298" s="337"/>
      <c r="G298" s="335"/>
      <c r="H298" s="335"/>
      <c r="I298" s="335"/>
      <c r="J298" s="335"/>
      <c r="K298" s="335"/>
      <c r="L298" s="335"/>
      <c r="M298" s="335"/>
      <c r="N298" s="335"/>
      <c r="O298" s="335"/>
      <c r="P298" s="335"/>
      <c r="Q298" s="335"/>
      <c r="R298" s="335"/>
      <c r="S298" s="335"/>
      <c r="T298" s="335"/>
      <c r="U298" s="335"/>
      <c r="V298" s="335"/>
      <c r="W298" s="335"/>
      <c r="X298" s="335"/>
      <c r="Y298" s="335"/>
      <c r="Z298" s="335"/>
      <c r="AA298" s="335"/>
      <c r="AB298" s="335"/>
      <c r="AC298" s="335"/>
      <c r="AD298" s="335"/>
      <c r="AE298" s="335"/>
      <c r="AF298" s="335"/>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7"/>
    <hyperlink r:id="rId3" ref="I7"/>
    <hyperlink r:id="rId4" ref="E8"/>
    <hyperlink r:id="rId5" ref="E9"/>
    <hyperlink r:id="rId6" ref="E10"/>
    <hyperlink r:id="rId7" ref="E11"/>
    <hyperlink r:id="rId8" ref="E13"/>
    <hyperlink r:id="rId9" ref="E14"/>
    <hyperlink r:id="rId10" ref="E15"/>
    <hyperlink r:id="rId11" ref="E19"/>
    <hyperlink r:id="rId12" ref="E21"/>
    <hyperlink r:id="rId13" ref="E22"/>
    <hyperlink r:id="rId14" ref="E23"/>
    <hyperlink r:id="rId15" ref="E25"/>
    <hyperlink r:id="rId16" ref="E26"/>
    <hyperlink r:id="rId17" ref="E27"/>
    <hyperlink r:id="rId18" ref="E29"/>
    <hyperlink r:id="rId19" ref="E30"/>
    <hyperlink r:id="rId20" ref="E31"/>
    <hyperlink r:id="rId21" ref="E32"/>
    <hyperlink r:id="rId22" ref="E33"/>
    <hyperlink r:id="rId23" ref="E35"/>
    <hyperlink r:id="rId24" ref="E36"/>
    <hyperlink r:id="rId25" ref="E37"/>
    <hyperlink r:id="rId26" ref="E39"/>
    <hyperlink r:id="rId27" ref="E40"/>
    <hyperlink r:id="rId28" ref="I40"/>
    <hyperlink r:id="rId29" ref="E41"/>
    <hyperlink r:id="rId30" ref="E42"/>
    <hyperlink r:id="rId31" ref="E43"/>
    <hyperlink r:id="rId32" ref="E44"/>
    <hyperlink r:id="rId33" ref="E46"/>
    <hyperlink r:id="rId34" ref="E47"/>
    <hyperlink r:id="rId35" ref="B49"/>
    <hyperlink r:id="rId36" ref="E49"/>
    <hyperlink r:id="rId37" ref="E50"/>
    <hyperlink r:id="rId38" ref="E52"/>
    <hyperlink r:id="rId39" ref="E53"/>
    <hyperlink r:id="rId40" ref="E54"/>
    <hyperlink r:id="rId41" ref="B55"/>
    <hyperlink r:id="rId42" ref="E55"/>
    <hyperlink r:id="rId43" ref="E56"/>
    <hyperlink r:id="rId44" ref="E58"/>
    <hyperlink r:id="rId45" ref="E59"/>
    <hyperlink r:id="rId46" ref="E60"/>
    <hyperlink r:id="rId47" ref="E61"/>
    <hyperlink r:id="rId48" ref="E62"/>
    <hyperlink r:id="rId49" ref="E63"/>
    <hyperlink r:id="rId50" ref="E64"/>
    <hyperlink r:id="rId51" ref="E65"/>
    <hyperlink r:id="rId52" ref="I65"/>
    <hyperlink r:id="rId53" ref="E66"/>
    <hyperlink r:id="rId54" ref="I66"/>
    <hyperlink r:id="rId55" ref="E67"/>
    <hyperlink r:id="rId56" ref="I67"/>
    <hyperlink r:id="rId57" ref="E69"/>
    <hyperlink r:id="rId58" ref="E70"/>
    <hyperlink r:id="rId59" ref="E71"/>
    <hyperlink r:id="rId60" ref="E72"/>
    <hyperlink r:id="rId61" ref="E73"/>
    <hyperlink r:id="rId62" ref="E75"/>
    <hyperlink r:id="rId63" ref="E76"/>
    <hyperlink r:id="rId64" ref="E77"/>
    <hyperlink r:id="rId65" ref="E78"/>
    <hyperlink r:id="rId66" ref="E79"/>
    <hyperlink r:id="rId67" ref="I79"/>
    <hyperlink r:id="rId68" ref="E80"/>
    <hyperlink r:id="rId69" ref="E81"/>
    <hyperlink r:id="rId70" ref="E82"/>
    <hyperlink r:id="rId71" ref="E84"/>
    <hyperlink r:id="rId72" ref="E85"/>
    <hyperlink r:id="rId73" ref="E86"/>
    <hyperlink r:id="rId74" ref="I86"/>
    <hyperlink r:id="rId75" ref="E87"/>
    <hyperlink r:id="rId76" ref="E88"/>
    <hyperlink r:id="rId77" ref="E90"/>
    <hyperlink r:id="rId78" ref="E91"/>
    <hyperlink r:id="rId79" ref="E92"/>
    <hyperlink r:id="rId80" ref="E93"/>
    <hyperlink r:id="rId81" ref="I93"/>
    <hyperlink r:id="rId82" ref="E95"/>
    <hyperlink r:id="rId83" ref="E97"/>
    <hyperlink r:id="rId84" ref="E98"/>
  </hyperlinks>
  <drawing r:id="rId8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4.38"/>
    <col customWidth="1" min="5" max="5" width="32.13"/>
    <col customWidth="1" min="6" max="31" width="14.38"/>
  </cols>
  <sheetData>
    <row r="1" ht="15.75" customHeight="1">
      <c r="A1" s="364" t="s">
        <v>1345</v>
      </c>
      <c r="B1" s="365" t="s">
        <v>3</v>
      </c>
      <c r="C1" s="365" t="s">
        <v>2101</v>
      </c>
      <c r="D1" s="365" t="s">
        <v>171</v>
      </c>
      <c r="E1" s="365" t="s">
        <v>4</v>
      </c>
      <c r="F1" s="365" t="s">
        <v>172</v>
      </c>
      <c r="G1" s="365"/>
      <c r="H1" s="365" t="s">
        <v>174</v>
      </c>
      <c r="I1" s="366" t="s">
        <v>175</v>
      </c>
      <c r="J1" s="365" t="s">
        <v>9</v>
      </c>
      <c r="K1" s="367"/>
      <c r="L1" s="124"/>
      <c r="M1" s="124"/>
      <c r="N1" s="124"/>
      <c r="O1" s="124"/>
      <c r="P1" s="124"/>
      <c r="Q1" s="124"/>
      <c r="R1" s="124"/>
      <c r="S1" s="124"/>
      <c r="T1" s="124"/>
      <c r="U1" s="124"/>
      <c r="V1" s="124"/>
      <c r="W1" s="124"/>
      <c r="X1" s="124"/>
      <c r="Y1" s="124"/>
      <c r="Z1" s="124"/>
      <c r="AA1" s="124"/>
      <c r="AB1" s="124"/>
      <c r="AC1" s="124"/>
      <c r="AD1" s="124"/>
      <c r="AE1" s="124"/>
    </row>
    <row r="2" ht="15.75" customHeight="1">
      <c r="A2" s="222">
        <v>43282.0</v>
      </c>
      <c r="B2" s="362"/>
      <c r="D2" s="1"/>
      <c r="E2" s="362"/>
      <c r="F2" s="236"/>
      <c r="I2" s="19"/>
    </row>
    <row r="3" ht="15.75" customHeight="1">
      <c r="B3" s="362" t="s">
        <v>3041</v>
      </c>
      <c r="D3" s="165" t="s">
        <v>3042</v>
      </c>
      <c r="E3" s="363" t="s">
        <v>3043</v>
      </c>
      <c r="F3" s="236" t="s">
        <v>2494</v>
      </c>
      <c r="I3" s="19" t="s">
        <v>2915</v>
      </c>
    </row>
    <row r="4" ht="15.75" customHeight="1">
      <c r="A4" s="222">
        <v>43283.0</v>
      </c>
      <c r="F4" s="236"/>
      <c r="I4" s="19"/>
    </row>
    <row r="5" ht="15.75" customHeight="1">
      <c r="B5" s="99" t="s">
        <v>3044</v>
      </c>
      <c r="D5" s="165" t="s">
        <v>3045</v>
      </c>
      <c r="E5" s="368" t="s">
        <v>3046</v>
      </c>
      <c r="F5" s="369" t="s">
        <v>2649</v>
      </c>
      <c r="G5" s="321"/>
      <c r="H5" s="321" t="s">
        <v>2495</v>
      </c>
      <c r="I5" s="19" t="s">
        <v>3047</v>
      </c>
      <c r="J5" s="1" t="s">
        <v>16</v>
      </c>
    </row>
    <row r="6" ht="15.75" customHeight="1">
      <c r="B6" s="362" t="s">
        <v>3048</v>
      </c>
      <c r="D6" s="165" t="s">
        <v>3049</v>
      </c>
      <c r="E6" s="363" t="s">
        <v>3050</v>
      </c>
      <c r="F6" s="236" t="s">
        <v>2494</v>
      </c>
      <c r="I6" s="370" t="s">
        <v>2907</v>
      </c>
      <c r="J6" s="1" t="s">
        <v>16</v>
      </c>
    </row>
    <row r="7" ht="15.75" customHeight="1">
      <c r="B7" s="362" t="s">
        <v>3051</v>
      </c>
      <c r="D7" s="235">
        <v>5.05055682E8</v>
      </c>
      <c r="E7" s="363" t="s">
        <v>3052</v>
      </c>
      <c r="F7" s="236" t="s">
        <v>2494</v>
      </c>
      <c r="I7" s="19" t="s">
        <v>3053</v>
      </c>
      <c r="J7" s="1" t="s">
        <v>16</v>
      </c>
    </row>
    <row r="8" ht="15.75" customHeight="1">
      <c r="A8" s="222">
        <v>43284.0</v>
      </c>
      <c r="F8" s="236"/>
      <c r="I8" s="19"/>
    </row>
    <row r="9" ht="15.75" customHeight="1">
      <c r="B9" s="362" t="s">
        <v>3054</v>
      </c>
      <c r="D9" s="165" t="s">
        <v>3055</v>
      </c>
      <c r="E9" s="363" t="s">
        <v>3056</v>
      </c>
      <c r="F9" s="236" t="s">
        <v>2494</v>
      </c>
      <c r="H9" s="1" t="s">
        <v>2495</v>
      </c>
      <c r="I9" s="19" t="s">
        <v>3057</v>
      </c>
      <c r="K9" s="326" t="s">
        <v>3058</v>
      </c>
    </row>
    <row r="10" ht="15.75" customHeight="1">
      <c r="A10" s="222">
        <v>43286.0</v>
      </c>
      <c r="F10" s="236"/>
      <c r="I10" s="19"/>
    </row>
    <row r="11" ht="15.75" customHeight="1">
      <c r="B11" s="362" t="s">
        <v>3059</v>
      </c>
      <c r="D11" s="164" t="s">
        <v>3060</v>
      </c>
      <c r="E11" s="1" t="s">
        <v>3061</v>
      </c>
      <c r="F11" s="236" t="s">
        <v>2494</v>
      </c>
      <c r="H11" s="1" t="s">
        <v>3062</v>
      </c>
      <c r="I11" s="19" t="s">
        <v>3063</v>
      </c>
    </row>
    <row r="12" ht="15.75" customHeight="1">
      <c r="D12" s="164" t="s">
        <v>3064</v>
      </c>
      <c r="F12" s="236" t="s">
        <v>2534</v>
      </c>
      <c r="H12" s="1" t="s">
        <v>2495</v>
      </c>
      <c r="I12" s="371" t="s">
        <v>3065</v>
      </c>
      <c r="J12" s="1" t="s">
        <v>16</v>
      </c>
    </row>
    <row r="13" ht="15.75" customHeight="1">
      <c r="B13" s="238" t="s">
        <v>3066</v>
      </c>
      <c r="D13" s="164" t="s">
        <v>3067</v>
      </c>
      <c r="E13" s="1" t="s">
        <v>3068</v>
      </c>
      <c r="F13" s="236" t="s">
        <v>2534</v>
      </c>
      <c r="H13" s="1" t="s">
        <v>2495</v>
      </c>
      <c r="I13" s="371" t="s">
        <v>3065</v>
      </c>
      <c r="J13" s="1" t="s">
        <v>16</v>
      </c>
    </row>
    <row r="14" ht="15.75" customHeight="1">
      <c r="A14" s="222">
        <v>43288.0</v>
      </c>
      <c r="F14" s="236"/>
      <c r="I14" s="19"/>
    </row>
    <row r="15" ht="15.75" customHeight="1">
      <c r="B15" s="238" t="s">
        <v>3069</v>
      </c>
      <c r="D15" s="164" t="s">
        <v>3070</v>
      </c>
      <c r="E15" s="220" t="s">
        <v>3071</v>
      </c>
      <c r="F15" s="236" t="s">
        <v>2534</v>
      </c>
      <c r="H15" s="1" t="s">
        <v>2495</v>
      </c>
      <c r="I15" s="371" t="s">
        <v>3065</v>
      </c>
      <c r="J15" s="1" t="s">
        <v>16</v>
      </c>
    </row>
    <row r="16" ht="15.75" customHeight="1">
      <c r="B16" s="362" t="s">
        <v>3072</v>
      </c>
      <c r="D16" s="164" t="s">
        <v>3073</v>
      </c>
      <c r="E16" s="363" t="s">
        <v>3074</v>
      </c>
      <c r="F16" s="236" t="s">
        <v>2494</v>
      </c>
      <c r="H16" s="1" t="s">
        <v>2552</v>
      </c>
      <c r="I16" s="214" t="s">
        <v>1663</v>
      </c>
      <c r="J16" s="1" t="s">
        <v>201</v>
      </c>
    </row>
    <row r="17" ht="15.75" customHeight="1">
      <c r="B17" s="238" t="s">
        <v>3075</v>
      </c>
      <c r="D17" s="164" t="s">
        <v>3076</v>
      </c>
      <c r="E17" s="220" t="s">
        <v>3077</v>
      </c>
      <c r="F17" s="236" t="s">
        <v>2534</v>
      </c>
      <c r="H17" s="1" t="s">
        <v>2495</v>
      </c>
      <c r="I17" s="19" t="s">
        <v>3035</v>
      </c>
      <c r="K17" s="326" t="s">
        <v>3078</v>
      </c>
    </row>
    <row r="18" ht="15.75" customHeight="1">
      <c r="B18" s="372" t="s">
        <v>3079</v>
      </c>
      <c r="E18" s="89" t="s">
        <v>3080</v>
      </c>
      <c r="F18" s="236"/>
      <c r="I18" s="373" t="s">
        <v>3081</v>
      </c>
      <c r="J18" s="1" t="s">
        <v>3082</v>
      </c>
    </row>
    <row r="19" ht="15.75" customHeight="1">
      <c r="A19" s="222">
        <v>43289.0</v>
      </c>
      <c r="F19" s="236"/>
      <c r="I19" s="19"/>
    </row>
    <row r="20" ht="15.75" customHeight="1">
      <c r="B20" s="374" t="s">
        <v>2948</v>
      </c>
      <c r="D20" s="89">
        <v>3.3665206584E10</v>
      </c>
      <c r="E20" s="213" t="s">
        <v>2950</v>
      </c>
      <c r="F20" s="236" t="s">
        <v>2504</v>
      </c>
      <c r="H20" s="1" t="s">
        <v>2495</v>
      </c>
      <c r="I20" s="375" t="s">
        <v>2951</v>
      </c>
      <c r="J20" s="1" t="s">
        <v>401</v>
      </c>
    </row>
    <row r="21" ht="15.75" customHeight="1">
      <c r="B21" s="89" t="s">
        <v>3083</v>
      </c>
      <c r="D21" s="165" t="s">
        <v>3084</v>
      </c>
      <c r="E21" s="213" t="s">
        <v>3085</v>
      </c>
      <c r="F21" s="236" t="s">
        <v>2504</v>
      </c>
      <c r="H21" s="1" t="s">
        <v>2495</v>
      </c>
      <c r="I21" s="19" t="s">
        <v>3086</v>
      </c>
      <c r="K21" s="326" t="s">
        <v>3087</v>
      </c>
    </row>
    <row r="22" ht="15.75" customHeight="1">
      <c r="B22" s="362" t="s">
        <v>3088</v>
      </c>
      <c r="D22" s="164" t="s">
        <v>3089</v>
      </c>
      <c r="E22" s="363" t="s">
        <v>3090</v>
      </c>
      <c r="F22" s="236" t="s">
        <v>2494</v>
      </c>
      <c r="H22" s="1" t="s">
        <v>2495</v>
      </c>
      <c r="I22" s="370" t="s">
        <v>2907</v>
      </c>
      <c r="J22" s="1" t="s">
        <v>16</v>
      </c>
    </row>
    <row r="23" ht="15.75" customHeight="1">
      <c r="B23" s="362" t="s">
        <v>3091</v>
      </c>
      <c r="D23" s="165" t="s">
        <v>3092</v>
      </c>
      <c r="E23" s="363" t="s">
        <v>3093</v>
      </c>
      <c r="F23" s="60"/>
      <c r="G23" s="60"/>
      <c r="H23" s="60" t="s">
        <v>2495</v>
      </c>
      <c r="I23" s="19" t="s">
        <v>2513</v>
      </c>
      <c r="J23" s="1" t="s">
        <v>201</v>
      </c>
    </row>
    <row r="24" ht="15.75" customHeight="1">
      <c r="B24" s="349" t="s">
        <v>3094</v>
      </c>
      <c r="D24" s="165" t="s">
        <v>3095</v>
      </c>
      <c r="E24" s="368" t="s">
        <v>3096</v>
      </c>
      <c r="F24" s="369" t="s">
        <v>2649</v>
      </c>
      <c r="G24" s="321"/>
      <c r="H24" s="321" t="s">
        <v>2495</v>
      </c>
      <c r="I24" s="376" t="s">
        <v>3097</v>
      </c>
      <c r="J24" s="1" t="s">
        <v>16</v>
      </c>
      <c r="K24" s="60"/>
    </row>
    <row r="25" ht="15.75" customHeight="1">
      <c r="B25" s="362" t="s">
        <v>3098</v>
      </c>
      <c r="D25" s="165" t="s">
        <v>3099</v>
      </c>
      <c r="E25" s="363" t="s">
        <v>3100</v>
      </c>
      <c r="F25" s="236" t="s">
        <v>2494</v>
      </c>
      <c r="H25" s="1" t="s">
        <v>2737</v>
      </c>
      <c r="I25" s="19" t="s">
        <v>3101</v>
      </c>
      <c r="J25" s="1" t="s">
        <v>16</v>
      </c>
    </row>
    <row r="26" ht="15.75" customHeight="1">
      <c r="B26" s="362" t="s">
        <v>3102</v>
      </c>
      <c r="D26" s="165" t="s">
        <v>3103</v>
      </c>
      <c r="E26" s="363" t="s">
        <v>3104</v>
      </c>
      <c r="F26" s="236" t="s">
        <v>2494</v>
      </c>
      <c r="H26" s="1" t="s">
        <v>2495</v>
      </c>
      <c r="I26" s="370" t="s">
        <v>3105</v>
      </c>
      <c r="J26" s="1" t="s">
        <v>16</v>
      </c>
    </row>
    <row r="27" ht="15.75" customHeight="1">
      <c r="B27" s="362" t="s">
        <v>3106</v>
      </c>
      <c r="D27" s="164" t="s">
        <v>3107</v>
      </c>
      <c r="E27" s="363" t="s">
        <v>3108</v>
      </c>
      <c r="F27" s="236" t="s">
        <v>2494</v>
      </c>
      <c r="H27" s="1" t="s">
        <v>2495</v>
      </c>
      <c r="I27" s="19" t="s">
        <v>3109</v>
      </c>
      <c r="J27" s="1" t="s">
        <v>16</v>
      </c>
    </row>
    <row r="28" ht="15.75" customHeight="1">
      <c r="B28" s="362" t="s">
        <v>132</v>
      </c>
      <c r="D28" s="235">
        <v>5.7614005E7</v>
      </c>
      <c r="E28" s="363" t="s">
        <v>3110</v>
      </c>
      <c r="F28" s="236" t="s">
        <v>2494</v>
      </c>
      <c r="H28" s="1" t="s">
        <v>2495</v>
      </c>
      <c r="I28" s="214" t="s">
        <v>2939</v>
      </c>
      <c r="J28" s="1" t="s">
        <v>201</v>
      </c>
    </row>
    <row r="29" ht="15.75" customHeight="1">
      <c r="A29" s="222">
        <v>43290.0</v>
      </c>
      <c r="F29" s="236"/>
      <c r="I29" s="19"/>
    </row>
    <row r="30" ht="15.75" customHeight="1">
      <c r="B30" s="377" t="s">
        <v>2625</v>
      </c>
      <c r="D30" s="164" t="s">
        <v>3111</v>
      </c>
      <c r="E30" s="378" t="s">
        <v>3112</v>
      </c>
      <c r="F30" s="236" t="s">
        <v>2894</v>
      </c>
      <c r="G30" s="1" t="s">
        <v>1188</v>
      </c>
      <c r="I30" s="19"/>
    </row>
    <row r="31" ht="15.75" customHeight="1">
      <c r="B31" s="99" t="s">
        <v>3113</v>
      </c>
      <c r="E31" s="89" t="s">
        <v>3114</v>
      </c>
      <c r="F31" s="369" t="s">
        <v>2649</v>
      </c>
      <c r="G31" s="321"/>
      <c r="H31" s="321" t="s">
        <v>2552</v>
      </c>
      <c r="I31" s="19" t="s">
        <v>2915</v>
      </c>
    </row>
    <row r="32" ht="15.75" customHeight="1">
      <c r="B32" s="238" t="s">
        <v>3115</v>
      </c>
      <c r="D32" s="165" t="s">
        <v>3116</v>
      </c>
      <c r="E32" s="220" t="s">
        <v>3117</v>
      </c>
      <c r="F32" s="236" t="s">
        <v>2534</v>
      </c>
      <c r="H32" s="1" t="s">
        <v>2495</v>
      </c>
      <c r="I32" s="19" t="s">
        <v>1532</v>
      </c>
    </row>
    <row r="33" ht="15.75" customHeight="1">
      <c r="B33" s="362" t="s">
        <v>3072</v>
      </c>
      <c r="D33" s="164" t="s">
        <v>3073</v>
      </c>
      <c r="E33" s="363" t="s">
        <v>3074</v>
      </c>
      <c r="F33" s="236" t="s">
        <v>2494</v>
      </c>
      <c r="H33" s="1" t="s">
        <v>2495</v>
      </c>
      <c r="I33" s="19" t="s">
        <v>1663</v>
      </c>
      <c r="J33" s="1" t="s">
        <v>201</v>
      </c>
    </row>
    <row r="34" ht="15.75" customHeight="1">
      <c r="B34" s="89" t="s">
        <v>3118</v>
      </c>
      <c r="D34" s="165" t="s">
        <v>3119</v>
      </c>
      <c r="E34" s="213" t="s">
        <v>3120</v>
      </c>
      <c r="F34" s="236" t="s">
        <v>2504</v>
      </c>
      <c r="H34" s="1" t="s">
        <v>2495</v>
      </c>
      <c r="I34" s="375" t="s">
        <v>3120</v>
      </c>
    </row>
    <row r="35" ht="15.75" customHeight="1">
      <c r="A35" s="222">
        <v>43291.0</v>
      </c>
      <c r="F35" s="236"/>
      <c r="I35" s="19"/>
    </row>
    <row r="36" ht="15.75" customHeight="1">
      <c r="B36" s="362" t="s">
        <v>3121</v>
      </c>
      <c r="D36" s="164" t="s">
        <v>3122</v>
      </c>
      <c r="E36" s="363" t="s">
        <v>3123</v>
      </c>
      <c r="F36" s="236" t="s">
        <v>2494</v>
      </c>
      <c r="H36" s="1" t="s">
        <v>2495</v>
      </c>
      <c r="I36" s="19" t="s">
        <v>3124</v>
      </c>
    </row>
    <row r="37" ht="15.75" customHeight="1">
      <c r="D37" s="165" t="s">
        <v>3125</v>
      </c>
      <c r="F37" s="369" t="s">
        <v>2649</v>
      </c>
      <c r="G37" s="321"/>
      <c r="H37" s="321" t="s">
        <v>2495</v>
      </c>
      <c r="I37" s="19" t="s">
        <v>3057</v>
      </c>
      <c r="J37" s="1" t="s">
        <v>1350</v>
      </c>
    </row>
    <row r="38" ht="15.75" customHeight="1">
      <c r="B38" s="1" t="s">
        <v>3126</v>
      </c>
      <c r="D38" s="1">
        <v>4.5175062E7</v>
      </c>
      <c r="F38" s="236" t="s">
        <v>2504</v>
      </c>
      <c r="H38" s="1" t="s">
        <v>2495</v>
      </c>
      <c r="I38" s="19" t="s">
        <v>2771</v>
      </c>
      <c r="K38" s="326" t="s">
        <v>3127</v>
      </c>
    </row>
    <row r="39" ht="15.75" customHeight="1">
      <c r="B39" s="1" t="s">
        <v>3128</v>
      </c>
      <c r="D39" s="165" t="s">
        <v>3129</v>
      </c>
      <c r="F39" s="236" t="s">
        <v>2494</v>
      </c>
      <c r="H39" s="1" t="s">
        <v>2495</v>
      </c>
      <c r="I39" s="19" t="s">
        <v>3130</v>
      </c>
      <c r="K39" s="1" t="s">
        <v>3131</v>
      </c>
    </row>
    <row r="40" ht="15.75" customHeight="1">
      <c r="A40" s="222">
        <v>43292.0</v>
      </c>
      <c r="F40" s="236"/>
      <c r="I40" s="19"/>
    </row>
    <row r="41" ht="15.75" customHeight="1">
      <c r="B41" s="99" t="s">
        <v>1570</v>
      </c>
      <c r="E41" s="368" t="s">
        <v>3132</v>
      </c>
      <c r="F41" s="369" t="s">
        <v>2649</v>
      </c>
      <c r="G41" s="321"/>
      <c r="H41" s="321" t="s">
        <v>2495</v>
      </c>
      <c r="I41" s="19" t="s">
        <v>3133</v>
      </c>
      <c r="J41" s="1" t="s">
        <v>16</v>
      </c>
    </row>
    <row r="42" ht="15.75" customHeight="1">
      <c r="B42" s="99" t="s">
        <v>3134</v>
      </c>
      <c r="E42" s="368" t="s">
        <v>3135</v>
      </c>
      <c r="F42" s="369" t="s">
        <v>2649</v>
      </c>
      <c r="G42" s="321"/>
      <c r="H42" s="321" t="s">
        <v>2495</v>
      </c>
      <c r="I42" s="379" t="s">
        <v>3136</v>
      </c>
      <c r="J42" s="1" t="s">
        <v>16</v>
      </c>
    </row>
    <row r="43" ht="15.75" customHeight="1">
      <c r="A43" s="222">
        <v>43293.0</v>
      </c>
      <c r="F43" s="236"/>
      <c r="I43" s="19"/>
    </row>
    <row r="44" ht="15.75" customHeight="1">
      <c r="B44" s="362" t="s">
        <v>3137</v>
      </c>
      <c r="D44" s="227">
        <v>5.2102127E8</v>
      </c>
      <c r="E44" s="1" t="s">
        <v>3138</v>
      </c>
      <c r="F44" s="236" t="s">
        <v>2494</v>
      </c>
      <c r="H44" s="1" t="s">
        <v>2552</v>
      </c>
      <c r="I44" s="19" t="s">
        <v>3139</v>
      </c>
      <c r="J44" s="1" t="s">
        <v>201</v>
      </c>
    </row>
    <row r="45" ht="15.75" customHeight="1">
      <c r="B45" s="362" t="s">
        <v>3140</v>
      </c>
      <c r="D45" s="164" t="s">
        <v>3141</v>
      </c>
      <c r="E45" s="363" t="s">
        <v>3142</v>
      </c>
      <c r="F45" s="236" t="s">
        <v>2494</v>
      </c>
      <c r="H45" s="1" t="s">
        <v>2495</v>
      </c>
      <c r="I45" s="19" t="s">
        <v>3143</v>
      </c>
      <c r="J45" s="1" t="s">
        <v>16</v>
      </c>
    </row>
    <row r="46" ht="15.75" customHeight="1">
      <c r="B46" s="238" t="s">
        <v>3144</v>
      </c>
      <c r="D46" s="165" t="s">
        <v>3145</v>
      </c>
      <c r="F46" s="236" t="s">
        <v>2534</v>
      </c>
      <c r="H46" s="1" t="s">
        <v>2495</v>
      </c>
      <c r="I46" s="19" t="s">
        <v>3143</v>
      </c>
      <c r="J46" s="1" t="s">
        <v>16</v>
      </c>
    </row>
    <row r="47" ht="15.75" customHeight="1">
      <c r="B47" s="89" t="s">
        <v>3146</v>
      </c>
      <c r="D47" s="164" t="s">
        <v>3147</v>
      </c>
      <c r="E47" s="213" t="s">
        <v>3148</v>
      </c>
      <c r="F47" s="236" t="s">
        <v>2504</v>
      </c>
      <c r="H47" s="1" t="s">
        <v>2552</v>
      </c>
      <c r="I47" s="19" t="s">
        <v>3139</v>
      </c>
      <c r="J47" s="1" t="s">
        <v>201</v>
      </c>
    </row>
    <row r="48" ht="15.75" customHeight="1">
      <c r="B48" s="89" t="s">
        <v>3146</v>
      </c>
      <c r="D48" s="164" t="s">
        <v>3147</v>
      </c>
      <c r="E48" s="213" t="s">
        <v>3148</v>
      </c>
      <c r="F48" s="236" t="s">
        <v>2504</v>
      </c>
      <c r="H48" s="1" t="s">
        <v>2552</v>
      </c>
      <c r="I48" s="19" t="s">
        <v>3149</v>
      </c>
      <c r="J48" s="1" t="s">
        <v>1679</v>
      </c>
    </row>
    <row r="49" ht="15.75" customHeight="1">
      <c r="B49" s="362" t="s">
        <v>3150</v>
      </c>
      <c r="D49" s="164" t="s">
        <v>3151</v>
      </c>
      <c r="E49" s="363" t="s">
        <v>3152</v>
      </c>
      <c r="F49" s="236" t="s">
        <v>2494</v>
      </c>
      <c r="H49" s="1" t="s">
        <v>2552</v>
      </c>
      <c r="I49" s="19" t="s">
        <v>3139</v>
      </c>
      <c r="J49" s="1" t="s">
        <v>201</v>
      </c>
    </row>
    <row r="50" ht="15.75" customHeight="1">
      <c r="A50" s="222"/>
      <c r="D50" s="165" t="s">
        <v>3153</v>
      </c>
      <c r="F50" s="369" t="s">
        <v>2649</v>
      </c>
      <c r="G50" s="321" t="s">
        <v>3154</v>
      </c>
      <c r="I50" s="19"/>
      <c r="J50" s="1" t="s">
        <v>3155</v>
      </c>
    </row>
    <row r="51" ht="15.75" customHeight="1">
      <c r="A51" s="222">
        <v>43295.0</v>
      </c>
      <c r="F51" s="236"/>
      <c r="I51" s="19"/>
    </row>
    <row r="52" ht="15.75" customHeight="1">
      <c r="B52" s="1" t="s">
        <v>3156</v>
      </c>
      <c r="D52" s="165" t="s">
        <v>3157</v>
      </c>
      <c r="F52" s="369" t="s">
        <v>2649</v>
      </c>
      <c r="G52" s="321" t="s">
        <v>3154</v>
      </c>
      <c r="H52" s="321" t="s">
        <v>2552</v>
      </c>
      <c r="I52" s="19" t="s">
        <v>3158</v>
      </c>
      <c r="K52" s="326" t="s">
        <v>3159</v>
      </c>
    </row>
    <row r="53" ht="15.75" customHeight="1">
      <c r="B53" s="362" t="s">
        <v>3160</v>
      </c>
      <c r="D53" s="165" t="s">
        <v>3161</v>
      </c>
      <c r="E53" s="363" t="s">
        <v>3162</v>
      </c>
      <c r="F53" s="236" t="s">
        <v>2494</v>
      </c>
      <c r="H53" s="1" t="s">
        <v>2543</v>
      </c>
      <c r="I53" s="19" t="s">
        <v>3163</v>
      </c>
      <c r="J53" s="1" t="s">
        <v>563</v>
      </c>
    </row>
    <row r="54" ht="15.75" customHeight="1">
      <c r="B54" s="89" t="s">
        <v>3164</v>
      </c>
      <c r="D54" s="165" t="s">
        <v>3165</v>
      </c>
      <c r="E54" s="213" t="s">
        <v>3166</v>
      </c>
      <c r="F54" s="236" t="s">
        <v>2504</v>
      </c>
      <c r="H54" s="1" t="s">
        <v>2495</v>
      </c>
      <c r="I54" s="19" t="s">
        <v>3167</v>
      </c>
      <c r="K54" s="326" t="s">
        <v>3168</v>
      </c>
    </row>
    <row r="55" ht="15.75" customHeight="1">
      <c r="D55" s="165" t="s">
        <v>3169</v>
      </c>
      <c r="E55" s="213" t="s">
        <v>3170</v>
      </c>
      <c r="F55" s="236" t="s">
        <v>2504</v>
      </c>
      <c r="H55" s="1" t="s">
        <v>2737</v>
      </c>
      <c r="I55" s="19" t="s">
        <v>3171</v>
      </c>
      <c r="J55" s="1" t="s">
        <v>1679</v>
      </c>
    </row>
    <row r="56" ht="15.75" customHeight="1">
      <c r="B56" s="1" t="s">
        <v>3172</v>
      </c>
      <c r="D56" s="165" t="s">
        <v>3173</v>
      </c>
      <c r="F56" s="236"/>
      <c r="H56" s="1" t="s">
        <v>2552</v>
      </c>
      <c r="I56" s="19" t="s">
        <v>3139</v>
      </c>
      <c r="J56" s="1" t="s">
        <v>201</v>
      </c>
    </row>
    <row r="57" ht="15.75" customHeight="1">
      <c r="B57" s="1" t="s">
        <v>2814</v>
      </c>
      <c r="D57" s="164" t="s">
        <v>3174</v>
      </c>
      <c r="F57" s="236"/>
      <c r="H57" s="1" t="s">
        <v>2495</v>
      </c>
      <c r="I57" s="19" t="s">
        <v>3175</v>
      </c>
      <c r="J57" s="1" t="s">
        <v>1350</v>
      </c>
    </row>
    <row r="58" ht="15.75" customHeight="1">
      <c r="A58" s="124"/>
      <c r="B58" s="124" t="s">
        <v>3176</v>
      </c>
      <c r="C58" s="124"/>
      <c r="D58" s="168" t="s">
        <v>3177</v>
      </c>
      <c r="E58" s="380" t="s">
        <v>3178</v>
      </c>
      <c r="F58" s="124" t="s">
        <v>2494</v>
      </c>
      <c r="G58" s="124"/>
      <c r="H58" s="124" t="s">
        <v>2495</v>
      </c>
      <c r="I58" s="381" t="s">
        <v>3179</v>
      </c>
      <c r="J58" s="124" t="s">
        <v>16</v>
      </c>
      <c r="K58" s="124"/>
      <c r="L58" s="124"/>
      <c r="M58" s="124"/>
      <c r="N58" s="124"/>
      <c r="O58" s="124"/>
      <c r="P58" s="124"/>
      <c r="Q58" s="124"/>
      <c r="R58" s="124"/>
      <c r="S58" s="124"/>
      <c r="T58" s="124"/>
      <c r="U58" s="124"/>
      <c r="V58" s="124"/>
      <c r="W58" s="124"/>
      <c r="X58" s="124"/>
      <c r="Y58" s="124"/>
      <c r="Z58" s="124"/>
      <c r="AA58" s="124"/>
      <c r="AB58" s="124"/>
      <c r="AC58" s="124"/>
      <c r="AD58" s="124"/>
      <c r="AE58" s="124"/>
    </row>
    <row r="59" ht="15.75" customHeight="1">
      <c r="B59" s="362" t="s">
        <v>3150</v>
      </c>
      <c r="D59" s="164" t="s">
        <v>3151</v>
      </c>
      <c r="E59" s="363" t="s">
        <v>3152</v>
      </c>
      <c r="F59" s="236" t="s">
        <v>2494</v>
      </c>
      <c r="H59" s="1" t="s">
        <v>2552</v>
      </c>
      <c r="I59" s="19" t="s">
        <v>3139</v>
      </c>
      <c r="J59" s="1" t="s">
        <v>201</v>
      </c>
    </row>
    <row r="60" ht="15.75" customHeight="1">
      <c r="B60" s="362" t="s">
        <v>437</v>
      </c>
      <c r="D60" s="165" t="s">
        <v>3180</v>
      </c>
      <c r="E60" s="363" t="s">
        <v>3181</v>
      </c>
      <c r="F60" s="382" t="s">
        <v>2649</v>
      </c>
      <c r="G60" s="243"/>
      <c r="H60" s="243" t="s">
        <v>2495</v>
      </c>
      <c r="I60" s="383" t="s">
        <v>3182</v>
      </c>
      <c r="J60" s="1" t="s">
        <v>201</v>
      </c>
    </row>
    <row r="61" ht="15.75" customHeight="1">
      <c r="A61" s="222">
        <v>43236.0</v>
      </c>
      <c r="F61" s="236"/>
      <c r="I61" s="383"/>
    </row>
    <row r="62" ht="15.75" customHeight="1">
      <c r="B62" s="362" t="s">
        <v>3183</v>
      </c>
      <c r="D62" s="165" t="s">
        <v>3184</v>
      </c>
      <c r="E62" s="363" t="s">
        <v>3185</v>
      </c>
      <c r="F62" s="236" t="s">
        <v>2494</v>
      </c>
      <c r="H62" s="1" t="s">
        <v>2495</v>
      </c>
      <c r="I62" s="214" t="s">
        <v>3186</v>
      </c>
      <c r="J62" s="1" t="s">
        <v>16</v>
      </c>
    </row>
    <row r="63" ht="15.75" customHeight="1">
      <c r="B63" s="89" t="s">
        <v>3187</v>
      </c>
      <c r="D63" s="165" t="s">
        <v>3188</v>
      </c>
      <c r="E63" s="213" t="s">
        <v>3189</v>
      </c>
      <c r="F63" s="236" t="s">
        <v>2504</v>
      </c>
      <c r="H63" s="1" t="s">
        <v>2495</v>
      </c>
      <c r="I63" s="19" t="s">
        <v>2771</v>
      </c>
      <c r="K63" s="326" t="s">
        <v>3190</v>
      </c>
    </row>
    <row r="64" ht="15.75" customHeight="1">
      <c r="A64" s="222">
        <v>43298.0</v>
      </c>
      <c r="F64" s="236"/>
      <c r="I64" s="19"/>
    </row>
    <row r="65" ht="15.75" customHeight="1">
      <c r="B65" s="362" t="s">
        <v>606</v>
      </c>
      <c r="D65" s="164" t="s">
        <v>722</v>
      </c>
      <c r="E65" s="363" t="s">
        <v>608</v>
      </c>
      <c r="F65" s="236" t="s">
        <v>2494</v>
      </c>
      <c r="H65" s="1" t="s">
        <v>2495</v>
      </c>
      <c r="I65" s="384" t="s">
        <v>1585</v>
      </c>
      <c r="J65" s="1" t="s">
        <v>16</v>
      </c>
    </row>
    <row r="66" ht="15.75" customHeight="1">
      <c r="A66" s="222"/>
      <c r="B66" s="1" t="s">
        <v>3191</v>
      </c>
      <c r="D66" s="164" t="s">
        <v>3192</v>
      </c>
      <c r="F66" s="236"/>
      <c r="I66" s="19" t="s">
        <v>3193</v>
      </c>
      <c r="K66" s="326" t="s">
        <v>3194</v>
      </c>
    </row>
    <row r="67" ht="15.75" customHeight="1">
      <c r="A67" s="222">
        <v>43299.0</v>
      </c>
      <c r="F67" s="236"/>
      <c r="I67" s="19"/>
    </row>
    <row r="68" ht="15.75" customHeight="1">
      <c r="B68" s="362" t="s">
        <v>2880</v>
      </c>
      <c r="D68" s="165" t="s">
        <v>3195</v>
      </c>
      <c r="E68" s="363" t="s">
        <v>2882</v>
      </c>
      <c r="F68" s="236" t="s">
        <v>2494</v>
      </c>
      <c r="H68" s="1" t="s">
        <v>2495</v>
      </c>
      <c r="I68" s="19" t="s">
        <v>3196</v>
      </c>
    </row>
    <row r="69" ht="15.75" customHeight="1">
      <c r="B69" s="1" t="s">
        <v>822</v>
      </c>
      <c r="D69" s="165" t="s">
        <v>3197</v>
      </c>
      <c r="F69" s="236"/>
      <c r="H69" s="1" t="s">
        <v>2495</v>
      </c>
      <c r="I69" s="19" t="s">
        <v>3198</v>
      </c>
      <c r="K69" s="326" t="s">
        <v>3199</v>
      </c>
    </row>
    <row r="70" ht="15.75" customHeight="1">
      <c r="B70" s="1" t="s">
        <v>3200</v>
      </c>
      <c r="D70" s="165" t="s">
        <v>3201</v>
      </c>
      <c r="F70" s="236"/>
      <c r="H70" s="1" t="s">
        <v>2495</v>
      </c>
      <c r="I70" s="19" t="s">
        <v>3202</v>
      </c>
      <c r="K70" s="1" t="s">
        <v>3203</v>
      </c>
    </row>
    <row r="71" ht="15.75" customHeight="1">
      <c r="B71" s="238" t="s">
        <v>3204</v>
      </c>
      <c r="D71" s="164" t="s">
        <v>3205</v>
      </c>
      <c r="E71" s="220" t="s">
        <v>3206</v>
      </c>
      <c r="F71" s="236" t="s">
        <v>2534</v>
      </c>
      <c r="H71" s="1" t="s">
        <v>2495</v>
      </c>
      <c r="I71" s="19" t="s">
        <v>3202</v>
      </c>
      <c r="K71" s="1" t="s">
        <v>3207</v>
      </c>
    </row>
    <row r="72" ht="15.75" customHeight="1">
      <c r="B72" s="273" t="s">
        <v>3208</v>
      </c>
      <c r="D72" s="165" t="s">
        <v>3209</v>
      </c>
      <c r="E72" s="378" t="s">
        <v>3210</v>
      </c>
      <c r="F72" s="236" t="s">
        <v>1188</v>
      </c>
      <c r="G72" s="236" t="s">
        <v>3211</v>
      </c>
      <c r="H72" s="1" t="s">
        <v>2552</v>
      </c>
      <c r="I72" s="19" t="s">
        <v>3212</v>
      </c>
    </row>
    <row r="73" ht="15.75" customHeight="1">
      <c r="A73" s="222">
        <v>43300.0</v>
      </c>
      <c r="F73" s="236"/>
      <c r="I73" s="19"/>
    </row>
    <row r="74" ht="17.25" customHeight="1">
      <c r="B74" s="362" t="s">
        <v>3213</v>
      </c>
      <c r="D74" s="164" t="s">
        <v>3214</v>
      </c>
      <c r="E74" s="363" t="s">
        <v>3215</v>
      </c>
      <c r="F74" s="236" t="s">
        <v>2494</v>
      </c>
      <c r="H74" s="1" t="s">
        <v>2737</v>
      </c>
      <c r="I74" s="19" t="s">
        <v>3216</v>
      </c>
    </row>
    <row r="75" ht="15.75" customHeight="1">
      <c r="B75" s="362" t="s">
        <v>3217</v>
      </c>
      <c r="D75" s="165" t="s">
        <v>3218</v>
      </c>
      <c r="E75" s="363" t="s">
        <v>3219</v>
      </c>
      <c r="F75" s="236" t="s">
        <v>2494</v>
      </c>
      <c r="I75" s="383" t="s">
        <v>3220</v>
      </c>
      <c r="J75" s="1" t="s">
        <v>201</v>
      </c>
    </row>
    <row r="76" ht="15.75" customHeight="1">
      <c r="A76" s="222">
        <v>43302.0</v>
      </c>
      <c r="F76" s="236"/>
      <c r="I76" s="19"/>
    </row>
    <row r="77" ht="15.75" customHeight="1">
      <c r="B77" s="362" t="s">
        <v>3221</v>
      </c>
      <c r="D77" s="165" t="s">
        <v>3222</v>
      </c>
      <c r="E77" s="363" t="s">
        <v>3223</v>
      </c>
      <c r="F77" s="236" t="s">
        <v>2494</v>
      </c>
      <c r="H77" s="1" t="s">
        <v>2737</v>
      </c>
      <c r="I77" s="19" t="s">
        <v>3216</v>
      </c>
    </row>
    <row r="78" ht="15.75" customHeight="1">
      <c r="B78" s="362" t="s">
        <v>3224</v>
      </c>
      <c r="D78" s="164" t="s">
        <v>3225</v>
      </c>
      <c r="E78" s="363" t="s">
        <v>3226</v>
      </c>
      <c r="F78" s="236" t="s">
        <v>2494</v>
      </c>
      <c r="H78" s="1" t="s">
        <v>3227</v>
      </c>
      <c r="I78" s="19" t="s">
        <v>3228</v>
      </c>
      <c r="J78" s="1" t="s">
        <v>16</v>
      </c>
    </row>
    <row r="79" ht="15.75" customHeight="1">
      <c r="B79" s="377" t="s">
        <v>3229</v>
      </c>
      <c r="D79" s="165" t="s">
        <v>3230</v>
      </c>
      <c r="E79" s="378" t="s">
        <v>3231</v>
      </c>
      <c r="F79" s="236" t="s">
        <v>1188</v>
      </c>
      <c r="G79" s="236" t="s">
        <v>3211</v>
      </c>
      <c r="I79" s="19"/>
    </row>
    <row r="80" ht="15.75" customHeight="1">
      <c r="B80" s="362" t="s">
        <v>3232</v>
      </c>
      <c r="D80" s="164" t="s">
        <v>3233</v>
      </c>
      <c r="E80" s="363" t="s">
        <v>3234</v>
      </c>
      <c r="F80" s="236" t="s">
        <v>2494</v>
      </c>
      <c r="H80" s="1" t="s">
        <v>2495</v>
      </c>
      <c r="I80" s="19" t="s">
        <v>2798</v>
      </c>
      <c r="J80" s="1" t="s">
        <v>201</v>
      </c>
    </row>
    <row r="81" ht="15.75" customHeight="1">
      <c r="B81" s="1" t="s">
        <v>3235</v>
      </c>
      <c r="D81" s="165" t="s">
        <v>3236</v>
      </c>
      <c r="F81" s="369" t="s">
        <v>2649</v>
      </c>
      <c r="G81" s="321"/>
      <c r="H81" s="321" t="s">
        <v>2495</v>
      </c>
      <c r="I81" s="19" t="s">
        <v>2836</v>
      </c>
      <c r="K81" s="326" t="s">
        <v>3237</v>
      </c>
    </row>
    <row r="82" ht="15.75" customHeight="1">
      <c r="B82" s="1" t="s">
        <v>3238</v>
      </c>
      <c r="D82" s="164" t="s">
        <v>3239</v>
      </c>
      <c r="F82" s="236"/>
      <c r="H82" s="1" t="s">
        <v>2495</v>
      </c>
      <c r="I82" s="19" t="s">
        <v>3240</v>
      </c>
      <c r="K82" s="326" t="s">
        <v>3241</v>
      </c>
    </row>
    <row r="83" ht="15.75" customHeight="1">
      <c r="A83" s="222">
        <v>43303.0</v>
      </c>
      <c r="F83" s="236"/>
      <c r="I83" s="19"/>
    </row>
    <row r="84" ht="15.75" customHeight="1">
      <c r="B84" s="362" t="s">
        <v>3242</v>
      </c>
      <c r="D84" s="165" t="s">
        <v>3243</v>
      </c>
      <c r="E84" s="363" t="s">
        <v>3244</v>
      </c>
      <c r="F84" s="236" t="s">
        <v>2494</v>
      </c>
      <c r="H84" s="1" t="s">
        <v>2495</v>
      </c>
      <c r="I84" s="19" t="s">
        <v>3035</v>
      </c>
      <c r="K84" s="326" t="s">
        <v>3245</v>
      </c>
    </row>
    <row r="85" ht="15.75" customHeight="1">
      <c r="B85" s="89" t="s">
        <v>3246</v>
      </c>
      <c r="D85" s="164" t="s">
        <v>3247</v>
      </c>
      <c r="E85" s="213" t="s">
        <v>3248</v>
      </c>
      <c r="F85" s="236" t="s">
        <v>2504</v>
      </c>
      <c r="H85" s="1" t="s">
        <v>3227</v>
      </c>
      <c r="I85" s="19" t="s">
        <v>2817</v>
      </c>
      <c r="J85" s="1" t="s">
        <v>563</v>
      </c>
    </row>
    <row r="86" ht="15.75" customHeight="1">
      <c r="B86" s="99" t="s">
        <v>3249</v>
      </c>
      <c r="D86" s="165" t="s">
        <v>3250</v>
      </c>
      <c r="E86" s="368" t="s">
        <v>3251</v>
      </c>
      <c r="F86" s="236" t="s">
        <v>2504</v>
      </c>
      <c r="H86" s="1" t="s">
        <v>2495</v>
      </c>
      <c r="I86" s="379" t="s">
        <v>3252</v>
      </c>
    </row>
    <row r="87" ht="15.75" customHeight="1">
      <c r="B87" s="362" t="s">
        <v>3253</v>
      </c>
      <c r="D87" s="165" t="s">
        <v>3254</v>
      </c>
      <c r="E87" s="363" t="s">
        <v>3255</v>
      </c>
      <c r="F87" s="236" t="s">
        <v>2494</v>
      </c>
      <c r="H87" s="1" t="s">
        <v>2495</v>
      </c>
      <c r="I87" s="214" t="s">
        <v>3256</v>
      </c>
      <c r="J87" s="1" t="s">
        <v>201</v>
      </c>
    </row>
    <row r="88" ht="15.75" customHeight="1">
      <c r="A88" s="222">
        <v>43304.0</v>
      </c>
      <c r="F88" s="236"/>
      <c r="I88" s="19"/>
    </row>
    <row r="89" ht="15.75" customHeight="1">
      <c r="B89" s="89" t="s">
        <v>3257</v>
      </c>
      <c r="D89" s="164" t="s">
        <v>3258</v>
      </c>
      <c r="E89" s="213" t="s">
        <v>3259</v>
      </c>
      <c r="F89" s="236" t="s">
        <v>3260</v>
      </c>
      <c r="G89" s="236" t="s">
        <v>3211</v>
      </c>
      <c r="H89" s="1" t="s">
        <v>38</v>
      </c>
      <c r="I89" s="19" t="s">
        <v>3261</v>
      </c>
      <c r="J89" s="1" t="s">
        <v>16</v>
      </c>
    </row>
    <row r="90" ht="15.75" customHeight="1">
      <c r="B90" s="362" t="s">
        <v>3262</v>
      </c>
      <c r="D90" s="164" t="s">
        <v>3263</v>
      </c>
      <c r="E90" s="363" t="s">
        <v>3264</v>
      </c>
      <c r="F90" s="236" t="s">
        <v>2494</v>
      </c>
      <c r="H90" s="1" t="s">
        <v>2552</v>
      </c>
      <c r="I90" s="370" t="s">
        <v>3265</v>
      </c>
      <c r="J90" s="1" t="s">
        <v>2888</v>
      </c>
    </row>
    <row r="91" ht="15.75" customHeight="1">
      <c r="B91" s="362" t="s">
        <v>3266</v>
      </c>
      <c r="D91" s="165" t="s">
        <v>3267</v>
      </c>
      <c r="E91" s="363" t="s">
        <v>3268</v>
      </c>
      <c r="F91" s="236" t="s">
        <v>2494</v>
      </c>
      <c r="I91" s="19"/>
    </row>
    <row r="92" ht="15.75" customHeight="1">
      <c r="B92" s="238" t="s">
        <v>3269</v>
      </c>
      <c r="D92" s="235">
        <f>971527120863</f>
        <v>971527120863</v>
      </c>
      <c r="E92" s="220" t="s">
        <v>3270</v>
      </c>
      <c r="F92" s="236" t="s">
        <v>2534</v>
      </c>
      <c r="H92" s="1" t="s">
        <v>2495</v>
      </c>
      <c r="I92" s="19" t="s">
        <v>3271</v>
      </c>
      <c r="K92" s="326" t="s">
        <v>3272</v>
      </c>
    </row>
    <row r="93" ht="15.75" customHeight="1">
      <c r="A93" s="222">
        <v>43305.0</v>
      </c>
      <c r="F93" s="236"/>
      <c r="I93" s="19"/>
    </row>
    <row r="94" ht="15.75" customHeight="1">
      <c r="B94" s="238" t="s">
        <v>3273</v>
      </c>
      <c r="D94" s="165" t="s">
        <v>3274</v>
      </c>
      <c r="E94" s="220" t="s">
        <v>3275</v>
      </c>
      <c r="F94" s="236" t="s">
        <v>2534</v>
      </c>
      <c r="H94" s="1" t="s">
        <v>2495</v>
      </c>
      <c r="I94" s="19" t="s">
        <v>3271</v>
      </c>
      <c r="K94" s="326" t="s">
        <v>3272</v>
      </c>
    </row>
    <row r="95" ht="15.75" customHeight="1">
      <c r="B95" s="362" t="s">
        <v>3276</v>
      </c>
      <c r="D95" s="165" t="s">
        <v>3277</v>
      </c>
      <c r="E95" s="363" t="s">
        <v>3278</v>
      </c>
      <c r="F95" s="236" t="s">
        <v>2494</v>
      </c>
      <c r="H95" s="1" t="s">
        <v>2495</v>
      </c>
      <c r="I95" s="19" t="s">
        <v>1663</v>
      </c>
      <c r="J95" s="1" t="s">
        <v>201</v>
      </c>
    </row>
    <row r="96" ht="15.75" customHeight="1">
      <c r="B96" s="1" t="s">
        <v>3279</v>
      </c>
      <c r="D96" s="165" t="s">
        <v>3280</v>
      </c>
      <c r="F96" s="369" t="s">
        <v>2649</v>
      </c>
      <c r="G96" s="321" t="s">
        <v>3154</v>
      </c>
      <c r="H96" s="321" t="s">
        <v>2495</v>
      </c>
      <c r="I96" s="19" t="s">
        <v>3198</v>
      </c>
      <c r="K96" s="326" t="s">
        <v>3281</v>
      </c>
    </row>
    <row r="97" ht="15.75" customHeight="1">
      <c r="B97" s="1" t="s">
        <v>3282</v>
      </c>
      <c r="D97" s="165" t="s">
        <v>3283</v>
      </c>
      <c r="F97" s="369" t="s">
        <v>2649</v>
      </c>
      <c r="G97" s="321" t="s">
        <v>3154</v>
      </c>
      <c r="H97" s="321" t="s">
        <v>2495</v>
      </c>
      <c r="I97" s="19" t="s">
        <v>3198</v>
      </c>
      <c r="K97" s="326" t="s">
        <v>3284</v>
      </c>
    </row>
    <row r="98" ht="15.75" customHeight="1">
      <c r="B98" s="238" t="s">
        <v>1902</v>
      </c>
      <c r="D98" s="165" t="s">
        <v>3285</v>
      </c>
      <c r="E98" s="220" t="s">
        <v>3286</v>
      </c>
      <c r="F98" s="236" t="s">
        <v>2534</v>
      </c>
      <c r="H98" s="1" t="s">
        <v>3287</v>
      </c>
      <c r="I98" s="19" t="s">
        <v>2817</v>
      </c>
      <c r="J98" s="1" t="s">
        <v>563</v>
      </c>
    </row>
    <row r="99" ht="15.75" customHeight="1">
      <c r="A99" s="222"/>
      <c r="B99" s="1" t="s">
        <v>3288</v>
      </c>
      <c r="D99" s="164" t="s">
        <v>3289</v>
      </c>
      <c r="F99" s="236"/>
      <c r="H99" s="1" t="s">
        <v>2495</v>
      </c>
      <c r="I99" s="19" t="s">
        <v>3198</v>
      </c>
    </row>
    <row r="100" ht="15.75" customHeight="1">
      <c r="A100" s="222">
        <v>43306.0</v>
      </c>
      <c r="F100" s="236"/>
      <c r="I100" s="19"/>
    </row>
    <row r="101" ht="15.75" customHeight="1">
      <c r="B101" s="99" t="s">
        <v>3290</v>
      </c>
      <c r="D101" s="165" t="s">
        <v>3291</v>
      </c>
      <c r="E101" s="368" t="s">
        <v>3292</v>
      </c>
      <c r="F101" s="369" t="s">
        <v>2649</v>
      </c>
      <c r="G101" s="321"/>
      <c r="H101" s="321" t="s">
        <v>2495</v>
      </c>
      <c r="I101" s="19" t="s">
        <v>3293</v>
      </c>
      <c r="J101" s="1" t="s">
        <v>201</v>
      </c>
    </row>
    <row r="102" ht="15.75" customHeight="1">
      <c r="B102" s="362" t="s">
        <v>3294</v>
      </c>
      <c r="D102" s="165" t="s">
        <v>3295</v>
      </c>
      <c r="E102" s="363" t="s">
        <v>3296</v>
      </c>
      <c r="F102" s="236" t="s">
        <v>2494</v>
      </c>
      <c r="I102" s="19" t="s">
        <v>2513</v>
      </c>
      <c r="J102" s="1" t="s">
        <v>201</v>
      </c>
    </row>
    <row r="103" ht="15.75" customHeight="1">
      <c r="A103" s="222">
        <v>43309.0</v>
      </c>
      <c r="F103" s="236"/>
      <c r="I103" s="19"/>
    </row>
    <row r="104" ht="15.75" customHeight="1">
      <c r="B104" s="1" t="s">
        <v>3297</v>
      </c>
      <c r="D104" s="165" t="s">
        <v>3298</v>
      </c>
      <c r="E104" s="213" t="s">
        <v>3299</v>
      </c>
      <c r="F104" s="236" t="s">
        <v>2504</v>
      </c>
      <c r="H104" s="1" t="s">
        <v>3227</v>
      </c>
      <c r="I104" s="19" t="s">
        <v>2943</v>
      </c>
    </row>
    <row r="105" ht="15.75" customHeight="1">
      <c r="B105" s="238" t="s">
        <v>3300</v>
      </c>
      <c r="D105" s="165" t="s">
        <v>3301</v>
      </c>
      <c r="E105" s="220" t="s">
        <v>3302</v>
      </c>
      <c r="F105" s="236" t="s">
        <v>2534</v>
      </c>
      <c r="H105" s="1" t="s">
        <v>2495</v>
      </c>
      <c r="I105" s="19"/>
    </row>
    <row r="106" ht="15.75" customHeight="1">
      <c r="B106" s="99" t="s">
        <v>3303</v>
      </c>
      <c r="D106" s="164" t="s">
        <v>3304</v>
      </c>
      <c r="E106" s="368" t="s">
        <v>3305</v>
      </c>
      <c r="F106" s="369" t="s">
        <v>2649</v>
      </c>
      <c r="G106" s="321"/>
      <c r="H106" s="321" t="s">
        <v>2495</v>
      </c>
      <c r="I106" s="379" t="s">
        <v>3306</v>
      </c>
      <c r="J106" s="1" t="s">
        <v>16</v>
      </c>
    </row>
    <row r="107" ht="15.75" customHeight="1">
      <c r="B107" s="362" t="s">
        <v>3307</v>
      </c>
      <c r="D107" s="165" t="s">
        <v>3308</v>
      </c>
      <c r="E107" s="363" t="s">
        <v>3309</v>
      </c>
      <c r="F107" s="236" t="s">
        <v>2494</v>
      </c>
      <c r="H107" s="1" t="s">
        <v>2552</v>
      </c>
      <c r="I107" s="383" t="s">
        <v>3310</v>
      </c>
    </row>
    <row r="108" ht="15.75" customHeight="1">
      <c r="B108" s="377" t="s">
        <v>3311</v>
      </c>
      <c r="D108" s="164" t="s">
        <v>3312</v>
      </c>
      <c r="E108" s="378" t="s">
        <v>3313</v>
      </c>
      <c r="F108" s="236" t="s">
        <v>1188</v>
      </c>
      <c r="G108" s="236" t="s">
        <v>3211</v>
      </c>
      <c r="H108" s="1" t="s">
        <v>38</v>
      </c>
      <c r="I108" s="19"/>
    </row>
    <row r="109" ht="15.75" customHeight="1">
      <c r="B109" s="362" t="s">
        <v>3314</v>
      </c>
      <c r="D109" s="164" t="s">
        <v>3315</v>
      </c>
      <c r="E109" s="363" t="s">
        <v>3316</v>
      </c>
      <c r="F109" s="236" t="s">
        <v>2494</v>
      </c>
      <c r="H109" s="1" t="s">
        <v>2552</v>
      </c>
      <c r="I109" s="214" t="s">
        <v>3317</v>
      </c>
      <c r="J109" s="1" t="s">
        <v>16</v>
      </c>
    </row>
    <row r="110" ht="15.75" customHeight="1">
      <c r="B110" s="89" t="s">
        <v>3318</v>
      </c>
      <c r="D110" s="164" t="s">
        <v>3319</v>
      </c>
      <c r="E110" s="213" t="s">
        <v>3320</v>
      </c>
      <c r="F110" s="236" t="s">
        <v>2504</v>
      </c>
      <c r="H110" s="1" t="s">
        <v>3227</v>
      </c>
      <c r="I110" s="19" t="s">
        <v>3321</v>
      </c>
    </row>
    <row r="111" ht="15.75" customHeight="1">
      <c r="A111" s="222">
        <v>43310.0</v>
      </c>
      <c r="F111" s="236"/>
      <c r="I111" s="19"/>
    </row>
    <row r="112" ht="15.75" customHeight="1">
      <c r="B112" s="89" t="s">
        <v>3322</v>
      </c>
      <c r="D112" s="165" t="s">
        <v>3323</v>
      </c>
      <c r="E112" s="213" t="s">
        <v>3324</v>
      </c>
      <c r="F112" s="236" t="s">
        <v>2504</v>
      </c>
      <c r="H112" s="1" t="s">
        <v>2495</v>
      </c>
      <c r="I112" s="385" t="s">
        <v>3325</v>
      </c>
      <c r="J112" s="1" t="s">
        <v>201</v>
      </c>
    </row>
    <row r="113" ht="15.75" customHeight="1">
      <c r="B113" s="362" t="s">
        <v>3326</v>
      </c>
      <c r="D113" s="165" t="s">
        <v>3327</v>
      </c>
      <c r="E113" s="363" t="s">
        <v>3328</v>
      </c>
      <c r="F113" s="236" t="s">
        <v>2494</v>
      </c>
      <c r="H113" s="1" t="s">
        <v>2495</v>
      </c>
      <c r="I113" s="370" t="s">
        <v>2907</v>
      </c>
      <c r="J113" s="1" t="s">
        <v>16</v>
      </c>
    </row>
    <row r="114" ht="15.75" customHeight="1">
      <c r="B114" s="1" t="s">
        <v>3329</v>
      </c>
      <c r="D114" s="165" t="s">
        <v>3330</v>
      </c>
      <c r="E114" s="213" t="s">
        <v>3331</v>
      </c>
      <c r="F114" s="236" t="s">
        <v>2504</v>
      </c>
      <c r="H114" s="1" t="s">
        <v>2495</v>
      </c>
      <c r="I114" s="385" t="s">
        <v>3325</v>
      </c>
      <c r="J114" s="1" t="s">
        <v>201</v>
      </c>
    </row>
    <row r="115" ht="15.75" customHeight="1">
      <c r="B115" s="1" t="s">
        <v>3332</v>
      </c>
      <c r="D115" s="165" t="s">
        <v>3333</v>
      </c>
      <c r="F115" s="236"/>
      <c r="H115" s="1" t="s">
        <v>2495</v>
      </c>
      <c r="I115" s="19" t="s">
        <v>3334</v>
      </c>
      <c r="K115" s="326" t="s">
        <v>3335</v>
      </c>
    </row>
    <row r="116" ht="15.75" customHeight="1">
      <c r="B116" s="89" t="s">
        <v>3336</v>
      </c>
      <c r="D116" s="164" t="s">
        <v>3337</v>
      </c>
      <c r="F116" s="236" t="s">
        <v>2504</v>
      </c>
      <c r="I116" s="375" t="s">
        <v>3031</v>
      </c>
      <c r="J116" s="1" t="s">
        <v>401</v>
      </c>
    </row>
    <row r="117" ht="15.75" customHeight="1">
      <c r="A117" s="222">
        <v>43311.0</v>
      </c>
      <c r="F117" s="236"/>
      <c r="I117" s="19"/>
    </row>
    <row r="118" ht="15.75" customHeight="1">
      <c r="B118" s="362" t="s">
        <v>3338</v>
      </c>
      <c r="D118" s="164" t="s">
        <v>3339</v>
      </c>
      <c r="E118" s="363" t="s">
        <v>3340</v>
      </c>
      <c r="F118" s="236" t="s">
        <v>2494</v>
      </c>
      <c r="H118" s="1" t="s">
        <v>2552</v>
      </c>
      <c r="I118" s="383" t="s">
        <v>3341</v>
      </c>
    </row>
    <row r="119" ht="15.75" customHeight="1">
      <c r="B119" s="238" t="s">
        <v>3342</v>
      </c>
      <c r="D119" s="165" t="s">
        <v>3343</v>
      </c>
      <c r="E119" s="220" t="s">
        <v>3344</v>
      </c>
      <c r="F119" s="236" t="s">
        <v>2534</v>
      </c>
      <c r="H119" s="1" t="s">
        <v>2495</v>
      </c>
      <c r="I119" s="19" t="s">
        <v>3345</v>
      </c>
      <c r="J119" s="1" t="s">
        <v>16</v>
      </c>
    </row>
    <row r="120" ht="15.75" customHeight="1">
      <c r="B120" s="362" t="s">
        <v>3346</v>
      </c>
      <c r="D120" s="165" t="s">
        <v>3347</v>
      </c>
      <c r="E120" s="363" t="s">
        <v>3348</v>
      </c>
      <c r="F120" s="236" t="s">
        <v>2494</v>
      </c>
      <c r="I120" s="373" t="s">
        <v>3306</v>
      </c>
    </row>
    <row r="121" ht="15.75" customHeight="1">
      <c r="A121" s="222"/>
      <c r="B121" s="99" t="s">
        <v>2646</v>
      </c>
      <c r="D121" s="165" t="s">
        <v>3349</v>
      </c>
      <c r="E121" s="99"/>
      <c r="F121" s="236"/>
      <c r="H121" s="1" t="s">
        <v>2495</v>
      </c>
      <c r="I121" s="19" t="s">
        <v>2771</v>
      </c>
      <c r="K121" s="326" t="s">
        <v>3350</v>
      </c>
    </row>
    <row r="122" ht="15.75" customHeight="1">
      <c r="A122" s="222">
        <v>43312.0</v>
      </c>
      <c r="B122" s="99"/>
      <c r="E122" s="99"/>
      <c r="F122" s="236"/>
      <c r="I122" s="19"/>
    </row>
    <row r="123" ht="15.75" customHeight="1">
      <c r="B123" s="96" t="s">
        <v>3351</v>
      </c>
      <c r="E123" s="386" t="s">
        <v>3352</v>
      </c>
      <c r="F123" s="236" t="s">
        <v>3353</v>
      </c>
      <c r="G123" s="236" t="s">
        <v>3211</v>
      </c>
      <c r="I123" s="387" t="s">
        <v>3354</v>
      </c>
    </row>
    <row r="124" ht="15.75" customHeight="1">
      <c r="F124" s="236"/>
      <c r="I124" s="19"/>
    </row>
    <row r="125" ht="15.75" customHeight="1">
      <c r="F125" s="236"/>
      <c r="I125" s="19"/>
    </row>
    <row r="126" ht="15.75" customHeight="1">
      <c r="F126" s="236"/>
      <c r="I126" s="19"/>
    </row>
    <row r="127" ht="15.75" customHeight="1">
      <c r="I127" s="19"/>
    </row>
    <row r="128" ht="15.75" customHeight="1">
      <c r="I128" s="19"/>
    </row>
    <row r="129" ht="15.75" customHeight="1">
      <c r="I129" s="19"/>
    </row>
    <row r="130" ht="15.75" customHeight="1">
      <c r="I130" s="19"/>
    </row>
    <row r="131" ht="15.75" customHeight="1">
      <c r="I131" s="19"/>
    </row>
    <row r="132" ht="15.75" customHeight="1">
      <c r="I132" s="19"/>
    </row>
    <row r="133" ht="15.75" customHeight="1">
      <c r="F133" s="236"/>
      <c r="I133" s="19"/>
    </row>
    <row r="134" ht="15.75" customHeight="1">
      <c r="F134" s="236"/>
      <c r="I134" s="19"/>
    </row>
    <row r="135" ht="15.75" customHeight="1">
      <c r="F135" s="236"/>
      <c r="I135" s="19"/>
    </row>
    <row r="136" ht="15.75" customHeight="1">
      <c r="F136" s="236"/>
      <c r="I136" s="19"/>
    </row>
    <row r="137" ht="15.75" customHeight="1">
      <c r="F137" s="236"/>
      <c r="I137" s="19"/>
    </row>
    <row r="138" ht="15.75" customHeight="1">
      <c r="F138" s="236"/>
      <c r="I138" s="19"/>
    </row>
    <row r="139" ht="15.75" customHeight="1">
      <c r="F139" s="236"/>
      <c r="I139" s="19"/>
    </row>
    <row r="140" ht="15.75" customHeight="1">
      <c r="F140" s="236"/>
      <c r="I140" s="19"/>
    </row>
    <row r="141" ht="15.75" customHeight="1">
      <c r="F141" s="236"/>
      <c r="I141" s="19"/>
    </row>
    <row r="142" ht="15.75" customHeight="1">
      <c r="F142" s="236"/>
      <c r="I142" s="19"/>
    </row>
    <row r="143" ht="15.75" customHeight="1">
      <c r="F143" s="236"/>
      <c r="I143" s="19"/>
    </row>
    <row r="144" ht="15.75" customHeight="1">
      <c r="F144" s="236"/>
      <c r="I144" s="19"/>
    </row>
    <row r="145" ht="15.75" customHeight="1">
      <c r="F145" s="236"/>
      <c r="I145" s="19"/>
    </row>
    <row r="146" ht="15.75" customHeight="1">
      <c r="F146" s="236"/>
      <c r="I146" s="19"/>
    </row>
    <row r="147" ht="15.75" customHeight="1">
      <c r="F147" s="236"/>
      <c r="I147" s="19"/>
    </row>
    <row r="148" ht="15.75" customHeight="1">
      <c r="F148" s="236"/>
      <c r="I148" s="19"/>
    </row>
    <row r="149" ht="15.75" customHeight="1">
      <c r="F149" s="236"/>
      <c r="I149" s="19"/>
    </row>
    <row r="150" ht="15.75" customHeight="1">
      <c r="F150" s="236"/>
      <c r="I150" s="19"/>
    </row>
    <row r="151" ht="15.75" customHeight="1">
      <c r="F151" s="236"/>
      <c r="I151" s="19"/>
    </row>
    <row r="152" ht="15.75" customHeight="1">
      <c r="F152" s="236"/>
      <c r="I152" s="19"/>
    </row>
    <row r="153" ht="15.75" customHeight="1">
      <c r="F153" s="236"/>
      <c r="I153" s="19"/>
    </row>
    <row r="154" ht="15.75" customHeight="1">
      <c r="F154" s="236"/>
      <c r="I154" s="19"/>
    </row>
    <row r="155" ht="15.75" customHeight="1">
      <c r="F155" s="236"/>
      <c r="I155" s="19"/>
    </row>
    <row r="156" ht="15.75" customHeight="1">
      <c r="F156" s="236"/>
      <c r="I156" s="19"/>
    </row>
    <row r="157" ht="15.75" customHeight="1">
      <c r="F157" s="236"/>
      <c r="I157" s="19"/>
    </row>
    <row r="158" ht="15.75" customHeight="1">
      <c r="F158" s="236"/>
      <c r="I158" s="19"/>
    </row>
    <row r="159" ht="15.75" customHeight="1">
      <c r="F159" s="236"/>
      <c r="I159" s="19"/>
    </row>
    <row r="160" ht="15.75" customHeight="1">
      <c r="F160" s="236"/>
      <c r="I160" s="19"/>
    </row>
    <row r="161" ht="15.75" customHeight="1">
      <c r="F161" s="236"/>
      <c r="I161" s="19"/>
    </row>
    <row r="162" ht="15.75" customHeight="1">
      <c r="F162" s="236"/>
      <c r="I162" s="19"/>
    </row>
    <row r="163" ht="15.75" customHeight="1">
      <c r="F163" s="236"/>
      <c r="I163" s="19"/>
    </row>
    <row r="164" ht="15.75" customHeight="1">
      <c r="F164" s="236"/>
      <c r="I164" s="19"/>
    </row>
    <row r="165" ht="15.75" customHeight="1">
      <c r="F165" s="236"/>
      <c r="I165" s="19"/>
    </row>
    <row r="166" ht="15.75" customHeight="1">
      <c r="F166" s="236"/>
      <c r="I166" s="19"/>
    </row>
    <row r="167" ht="15.75" customHeight="1">
      <c r="F167" s="236"/>
      <c r="I167" s="19"/>
    </row>
    <row r="168" ht="15.75" customHeight="1">
      <c r="F168" s="236"/>
      <c r="I168" s="19"/>
    </row>
    <row r="169" ht="15.75" customHeight="1">
      <c r="F169" s="236"/>
      <c r="I169" s="19"/>
    </row>
    <row r="170" ht="15.75" customHeight="1">
      <c r="F170" s="236"/>
      <c r="I170" s="19"/>
    </row>
    <row r="171" ht="15.75" customHeight="1">
      <c r="F171" s="236"/>
      <c r="I171" s="19"/>
    </row>
    <row r="172" ht="15.75" customHeight="1">
      <c r="F172" s="236"/>
      <c r="I172" s="19"/>
    </row>
    <row r="173" ht="15.75" customHeight="1">
      <c r="F173" s="236"/>
      <c r="I173" s="19"/>
    </row>
    <row r="174" ht="15.75" customHeight="1">
      <c r="F174" s="236"/>
      <c r="I174" s="19"/>
    </row>
    <row r="175" ht="15.75" customHeight="1">
      <c r="F175" s="236"/>
      <c r="I175" s="19"/>
    </row>
    <row r="176" ht="15.75" customHeight="1">
      <c r="F176" s="236"/>
      <c r="I176" s="19"/>
    </row>
    <row r="177" ht="15.75" customHeight="1">
      <c r="F177" s="236"/>
      <c r="I177" s="19"/>
    </row>
    <row r="178" ht="15.75" customHeight="1">
      <c r="F178" s="236"/>
      <c r="I178" s="19"/>
    </row>
    <row r="179" ht="15.75" customHeight="1">
      <c r="F179" s="236"/>
      <c r="I179" s="19"/>
    </row>
    <row r="180" ht="15.75" customHeight="1">
      <c r="F180" s="236"/>
      <c r="I180" s="19"/>
    </row>
    <row r="181" ht="15.75" customHeight="1">
      <c r="F181" s="236"/>
      <c r="I181" s="19"/>
    </row>
    <row r="182" ht="15.75" customHeight="1">
      <c r="F182" s="236"/>
      <c r="I182" s="19"/>
    </row>
    <row r="183" ht="15.75" customHeight="1">
      <c r="F183" s="236"/>
      <c r="I183" s="19"/>
    </row>
    <row r="184" ht="15.75" customHeight="1">
      <c r="F184" s="236"/>
      <c r="I184" s="19"/>
    </row>
    <row r="185" ht="15.75" customHeight="1">
      <c r="F185" s="236"/>
      <c r="I185" s="19"/>
    </row>
    <row r="186" ht="15.75" customHeight="1">
      <c r="F186" s="236"/>
      <c r="I186" s="19"/>
    </row>
    <row r="187" ht="15.75" customHeight="1">
      <c r="F187" s="236"/>
      <c r="I187" s="19"/>
    </row>
    <row r="188" ht="15.75" customHeight="1">
      <c r="F188" s="236"/>
      <c r="I188" s="19"/>
    </row>
    <row r="189" ht="15.75" customHeight="1">
      <c r="F189" s="236"/>
      <c r="I189" s="19"/>
    </row>
    <row r="190" ht="15.75" customHeight="1">
      <c r="F190" s="236"/>
      <c r="I190" s="19"/>
    </row>
    <row r="191" ht="15.75" customHeight="1">
      <c r="F191" s="236"/>
      <c r="I191" s="19"/>
    </row>
    <row r="192" ht="15.75" customHeight="1">
      <c r="F192" s="236"/>
      <c r="I192" s="19"/>
    </row>
    <row r="193" ht="15.75" customHeight="1">
      <c r="F193" s="236"/>
      <c r="I193" s="19"/>
    </row>
    <row r="194" ht="15.75" customHeight="1">
      <c r="F194" s="236"/>
      <c r="I194" s="19"/>
    </row>
    <row r="195" ht="15.75" customHeight="1">
      <c r="F195" s="236"/>
      <c r="I195" s="19"/>
    </row>
    <row r="196" ht="15.75" customHeight="1">
      <c r="F196" s="236"/>
      <c r="I196" s="19"/>
    </row>
    <row r="197" ht="15.75" customHeight="1">
      <c r="F197" s="236"/>
      <c r="I197" s="19"/>
    </row>
    <row r="198" ht="15.75" customHeight="1">
      <c r="F198" s="236"/>
      <c r="I198" s="19"/>
    </row>
    <row r="199" ht="15.75" customHeight="1">
      <c r="F199" s="236"/>
      <c r="I199" s="19"/>
    </row>
    <row r="200" ht="15.75" customHeight="1">
      <c r="F200" s="236"/>
      <c r="I200" s="19"/>
    </row>
    <row r="201" ht="15.75" customHeight="1">
      <c r="F201" s="236"/>
      <c r="I201" s="19"/>
    </row>
    <row r="202" ht="15.75" customHeight="1">
      <c r="F202" s="236"/>
      <c r="I202" s="19"/>
    </row>
    <row r="203" ht="15.75" customHeight="1">
      <c r="F203" s="236"/>
      <c r="I203" s="19"/>
    </row>
    <row r="204" ht="15.75" customHeight="1">
      <c r="F204" s="236"/>
      <c r="I204" s="19"/>
    </row>
    <row r="205" ht="15.75" customHeight="1">
      <c r="F205" s="236"/>
      <c r="I205" s="19"/>
    </row>
    <row r="206" ht="15.75" customHeight="1">
      <c r="F206" s="236"/>
      <c r="I206" s="19"/>
    </row>
    <row r="207" ht="15.75" customHeight="1">
      <c r="F207" s="236"/>
      <c r="I207" s="19"/>
    </row>
    <row r="208" ht="15.75" customHeight="1">
      <c r="F208" s="236"/>
      <c r="I208" s="19"/>
    </row>
    <row r="209" ht="15.75" customHeight="1">
      <c r="F209" s="236"/>
      <c r="I209" s="19"/>
    </row>
    <row r="210" ht="15.75" customHeight="1">
      <c r="F210" s="236"/>
      <c r="I210" s="19"/>
    </row>
    <row r="211" ht="15.75" customHeight="1">
      <c r="F211" s="236"/>
      <c r="I211" s="19"/>
    </row>
    <row r="212" ht="15.75" customHeight="1">
      <c r="F212" s="236"/>
      <c r="I212" s="19"/>
    </row>
    <row r="213" ht="15.75" customHeight="1">
      <c r="F213" s="236"/>
      <c r="I213" s="19"/>
    </row>
    <row r="214" ht="15.75" customHeight="1">
      <c r="F214" s="236"/>
      <c r="I214" s="19"/>
    </row>
    <row r="215" ht="15.75" customHeight="1">
      <c r="F215" s="236"/>
      <c r="I215" s="19"/>
    </row>
    <row r="216" ht="15.75" customHeight="1">
      <c r="F216" s="236"/>
      <c r="I216" s="19"/>
    </row>
    <row r="217" ht="15.75" customHeight="1">
      <c r="F217" s="236"/>
      <c r="I217" s="19"/>
    </row>
    <row r="218" ht="15.75" customHeight="1">
      <c r="F218" s="236"/>
      <c r="I218" s="19"/>
    </row>
    <row r="219" ht="15.75" customHeight="1">
      <c r="F219" s="236"/>
      <c r="I219" s="19"/>
    </row>
    <row r="220" ht="15.75" customHeight="1">
      <c r="F220" s="236"/>
      <c r="I220" s="19"/>
    </row>
    <row r="221" ht="15.75" customHeight="1">
      <c r="F221" s="236"/>
      <c r="I221" s="19"/>
    </row>
    <row r="222" ht="15.75" customHeight="1">
      <c r="F222" s="236"/>
      <c r="I222" s="19"/>
    </row>
    <row r="223" ht="15.75" customHeight="1">
      <c r="F223" s="236"/>
      <c r="I223" s="19"/>
    </row>
    <row r="224" ht="15.75" customHeight="1">
      <c r="F224" s="236"/>
      <c r="I224" s="19"/>
    </row>
    <row r="225" ht="15.75" customHeight="1">
      <c r="F225" s="236"/>
      <c r="I225" s="19"/>
    </row>
    <row r="226" ht="15.75" customHeight="1">
      <c r="F226" s="236"/>
      <c r="I226" s="19"/>
    </row>
    <row r="227" ht="15.75" customHeight="1">
      <c r="F227" s="236"/>
      <c r="I227" s="19"/>
    </row>
    <row r="228" ht="15.75" customHeight="1">
      <c r="F228" s="236"/>
      <c r="I228" s="19"/>
    </row>
    <row r="229" ht="15.75" customHeight="1">
      <c r="F229" s="236"/>
      <c r="I229" s="19"/>
    </row>
    <row r="230" ht="15.75" customHeight="1">
      <c r="F230" s="236"/>
      <c r="I230" s="19"/>
    </row>
    <row r="231" ht="15.75" customHeight="1">
      <c r="F231" s="236"/>
      <c r="I231" s="19"/>
    </row>
    <row r="232" ht="15.75" customHeight="1">
      <c r="F232" s="236"/>
      <c r="I232" s="19"/>
    </row>
    <row r="233" ht="15.75" customHeight="1">
      <c r="F233" s="236"/>
      <c r="I233" s="19"/>
    </row>
    <row r="234" ht="15.75" customHeight="1">
      <c r="F234" s="236"/>
      <c r="I234" s="19"/>
    </row>
    <row r="235" ht="15.75" customHeight="1">
      <c r="F235" s="236"/>
      <c r="I235" s="19"/>
    </row>
    <row r="236" ht="15.75" customHeight="1">
      <c r="F236" s="236"/>
      <c r="I236" s="19"/>
    </row>
    <row r="237" ht="15.75" customHeight="1">
      <c r="F237" s="236"/>
      <c r="I237" s="19"/>
    </row>
    <row r="238" ht="15.75" customHeight="1">
      <c r="F238" s="236"/>
      <c r="I238" s="19"/>
    </row>
    <row r="239" ht="15.75" customHeight="1">
      <c r="F239" s="236"/>
      <c r="I239" s="19"/>
    </row>
    <row r="240" ht="15.75" customHeight="1">
      <c r="F240" s="236"/>
      <c r="I240" s="19"/>
    </row>
    <row r="241" ht="15.75" customHeight="1">
      <c r="F241" s="236"/>
      <c r="I241" s="19"/>
    </row>
    <row r="242" ht="15.75" customHeight="1">
      <c r="F242" s="236"/>
      <c r="I242" s="19"/>
    </row>
    <row r="243" ht="15.75" customHeight="1">
      <c r="F243" s="236"/>
      <c r="I243" s="19"/>
    </row>
    <row r="244" ht="15.75" customHeight="1">
      <c r="F244" s="236"/>
      <c r="I244" s="19"/>
    </row>
    <row r="245" ht="15.75" customHeight="1">
      <c r="F245" s="236"/>
      <c r="I245" s="19"/>
    </row>
    <row r="246" ht="15.75" customHeight="1">
      <c r="F246" s="236"/>
      <c r="I246" s="19"/>
    </row>
    <row r="247" ht="15.75" customHeight="1">
      <c r="F247" s="236"/>
      <c r="I247" s="19"/>
    </row>
    <row r="248" ht="15.75" customHeight="1">
      <c r="F248" s="236"/>
      <c r="I248" s="19"/>
    </row>
    <row r="249" ht="15.75" customHeight="1">
      <c r="F249" s="236"/>
      <c r="I249" s="19"/>
    </row>
    <row r="250" ht="15.75" customHeight="1">
      <c r="F250" s="236"/>
      <c r="I250" s="19"/>
    </row>
    <row r="251" ht="15.75" customHeight="1">
      <c r="F251" s="236"/>
      <c r="I251" s="19"/>
    </row>
    <row r="252" ht="15.75" customHeight="1">
      <c r="F252" s="236"/>
      <c r="I252" s="19"/>
    </row>
    <row r="253" ht="15.75" customHeight="1">
      <c r="F253" s="236"/>
      <c r="I253" s="19"/>
    </row>
    <row r="254" ht="15.75" customHeight="1">
      <c r="F254" s="236"/>
      <c r="I254" s="19"/>
    </row>
    <row r="255" ht="15.75" customHeight="1">
      <c r="F255" s="236"/>
      <c r="I255" s="19"/>
    </row>
    <row r="256" ht="15.75" customHeight="1">
      <c r="F256" s="236"/>
      <c r="I256" s="19"/>
    </row>
    <row r="257" ht="15.75" customHeight="1">
      <c r="F257" s="236"/>
      <c r="I257" s="19"/>
    </row>
    <row r="258" ht="15.75" customHeight="1">
      <c r="F258" s="236"/>
      <c r="I258" s="19"/>
    </row>
    <row r="259" ht="15.75" customHeight="1">
      <c r="F259" s="236"/>
      <c r="I259" s="19"/>
    </row>
    <row r="260" ht="15.75" customHeight="1">
      <c r="F260" s="236"/>
      <c r="I260" s="19"/>
    </row>
    <row r="261" ht="15.75" customHeight="1">
      <c r="F261" s="236"/>
      <c r="I261" s="19"/>
    </row>
    <row r="262" ht="15.75" customHeight="1">
      <c r="F262" s="236"/>
      <c r="I262" s="19"/>
    </row>
    <row r="263" ht="15.75" customHeight="1">
      <c r="F263" s="236"/>
      <c r="I263" s="19"/>
    </row>
    <row r="264" ht="15.75" customHeight="1">
      <c r="F264" s="236"/>
      <c r="I264" s="19"/>
    </row>
    <row r="265" ht="15.75" customHeight="1">
      <c r="F265" s="236"/>
      <c r="I265" s="19"/>
    </row>
    <row r="266" ht="15.75" customHeight="1">
      <c r="F266" s="236"/>
      <c r="I266" s="19"/>
    </row>
    <row r="267" ht="15.75" customHeight="1">
      <c r="F267" s="236"/>
      <c r="I267" s="19"/>
    </row>
    <row r="268" ht="15.75" customHeight="1">
      <c r="F268" s="236"/>
      <c r="I268" s="19"/>
    </row>
    <row r="269" ht="15.75" customHeight="1">
      <c r="F269" s="236"/>
      <c r="I269" s="19"/>
    </row>
    <row r="270" ht="15.75" customHeight="1">
      <c r="F270" s="236"/>
      <c r="I270" s="19"/>
    </row>
    <row r="271" ht="15.75" customHeight="1">
      <c r="F271" s="236"/>
      <c r="I271" s="19"/>
    </row>
    <row r="272" ht="15.75" customHeight="1">
      <c r="F272" s="236"/>
      <c r="I272" s="19"/>
    </row>
    <row r="273" ht="15.75" customHeight="1">
      <c r="F273" s="236"/>
      <c r="I273" s="19"/>
    </row>
    <row r="274" ht="15.75" customHeight="1">
      <c r="F274" s="236"/>
      <c r="I274" s="19"/>
    </row>
    <row r="275" ht="15.75" customHeight="1">
      <c r="F275" s="236"/>
      <c r="I275" s="19"/>
    </row>
    <row r="276" ht="15.75" customHeight="1">
      <c r="F276" s="236"/>
      <c r="I276" s="19"/>
    </row>
    <row r="277" ht="15.75" customHeight="1">
      <c r="F277" s="236"/>
      <c r="I277" s="19"/>
    </row>
    <row r="278" ht="15.75" customHeight="1">
      <c r="F278" s="236"/>
      <c r="I278" s="19"/>
    </row>
    <row r="279" ht="15.75" customHeight="1">
      <c r="F279" s="236"/>
      <c r="I279" s="19"/>
    </row>
    <row r="280" ht="15.75" customHeight="1">
      <c r="F280" s="236"/>
      <c r="I280" s="19"/>
    </row>
    <row r="281" ht="15.75" customHeight="1">
      <c r="F281" s="236"/>
      <c r="I281" s="19"/>
    </row>
    <row r="282" ht="15.75" customHeight="1">
      <c r="F282" s="236"/>
      <c r="I282" s="19"/>
    </row>
    <row r="283" ht="15.75" customHeight="1">
      <c r="F283" s="236"/>
      <c r="I283" s="19"/>
    </row>
    <row r="284" ht="15.75" customHeight="1">
      <c r="F284" s="236"/>
      <c r="I284" s="19"/>
    </row>
    <row r="285" ht="15.75" customHeight="1">
      <c r="F285" s="236"/>
      <c r="I285" s="19"/>
    </row>
    <row r="286" ht="15.75" customHeight="1">
      <c r="F286" s="236"/>
      <c r="I286" s="19"/>
    </row>
    <row r="287" ht="15.75" customHeight="1">
      <c r="F287" s="236"/>
      <c r="I287" s="19"/>
    </row>
    <row r="288" ht="15.75" customHeight="1">
      <c r="F288" s="236"/>
      <c r="I288" s="19"/>
    </row>
    <row r="289" ht="15.75" customHeight="1">
      <c r="F289" s="236"/>
      <c r="I289" s="19"/>
    </row>
    <row r="290" ht="15.75" customHeight="1">
      <c r="F290" s="236"/>
      <c r="I290" s="19"/>
    </row>
    <row r="291" ht="15.75" customHeight="1">
      <c r="F291" s="236"/>
      <c r="I291" s="19"/>
    </row>
    <row r="292" ht="15.75" customHeight="1">
      <c r="F292" s="236"/>
      <c r="I292" s="19"/>
    </row>
    <row r="293" ht="15.75" customHeight="1">
      <c r="F293" s="236"/>
      <c r="I293" s="19"/>
    </row>
    <row r="294" ht="15.75" customHeight="1">
      <c r="F294" s="236"/>
      <c r="I294" s="19"/>
    </row>
    <row r="295" ht="15.75" customHeight="1">
      <c r="F295" s="236"/>
      <c r="I295" s="19"/>
    </row>
    <row r="296" ht="15.75" customHeight="1">
      <c r="F296" s="236"/>
      <c r="I296" s="19"/>
    </row>
    <row r="297" ht="15.75" customHeight="1">
      <c r="F297" s="236"/>
      <c r="I297" s="19"/>
    </row>
    <row r="298" ht="15.75" customHeight="1">
      <c r="F298" s="236"/>
      <c r="I298" s="19"/>
    </row>
    <row r="299" ht="15.75" customHeight="1">
      <c r="F299" s="236"/>
      <c r="I299" s="19"/>
    </row>
    <row r="300" ht="15.75" customHeight="1">
      <c r="F300" s="236"/>
      <c r="I300" s="19"/>
    </row>
    <row r="301" ht="15.75" customHeight="1">
      <c r="F301" s="236"/>
      <c r="I301" s="19"/>
    </row>
    <row r="302" ht="15.75" customHeight="1">
      <c r="F302" s="236"/>
      <c r="I302" s="19"/>
    </row>
    <row r="303" ht="15.75" customHeight="1">
      <c r="F303" s="236"/>
      <c r="I303" s="19"/>
    </row>
    <row r="304" ht="15.75" customHeight="1">
      <c r="F304" s="236"/>
      <c r="I304" s="19"/>
    </row>
    <row r="305" ht="15.75" customHeight="1">
      <c r="F305" s="236"/>
      <c r="I305" s="19"/>
    </row>
    <row r="306" ht="15.75" customHeight="1">
      <c r="F306" s="236"/>
      <c r="I306" s="19"/>
    </row>
    <row r="307" ht="15.75" customHeight="1">
      <c r="F307" s="236"/>
      <c r="I307" s="19"/>
    </row>
    <row r="308" ht="15.75" customHeight="1">
      <c r="F308" s="236"/>
      <c r="I308" s="19"/>
    </row>
    <row r="309" ht="15.75" customHeight="1">
      <c r="F309" s="236"/>
      <c r="I309" s="19"/>
    </row>
    <row r="310" ht="15.75" customHeight="1">
      <c r="F310" s="236"/>
      <c r="I310" s="19"/>
    </row>
    <row r="311" ht="15.75" customHeight="1">
      <c r="F311" s="236"/>
      <c r="I311" s="19"/>
    </row>
    <row r="312" ht="15.75" customHeight="1">
      <c r="F312" s="236"/>
      <c r="I312" s="19"/>
    </row>
    <row r="313" ht="15.75" customHeight="1">
      <c r="F313" s="236"/>
      <c r="I313" s="19"/>
    </row>
    <row r="314" ht="15.75" customHeight="1">
      <c r="F314" s="236"/>
      <c r="I314" s="19"/>
    </row>
    <row r="315" ht="15.75" customHeight="1">
      <c r="F315" s="236"/>
      <c r="I315" s="19"/>
    </row>
    <row r="316" ht="15.75" customHeight="1">
      <c r="F316" s="236"/>
      <c r="I316" s="19"/>
    </row>
    <row r="317" ht="15.75" customHeight="1">
      <c r="F317" s="236"/>
      <c r="I317" s="19"/>
    </row>
    <row r="318" ht="15.75" customHeight="1">
      <c r="F318" s="236"/>
      <c r="I318" s="19"/>
    </row>
    <row r="319" ht="15.75" customHeight="1">
      <c r="F319" s="236"/>
      <c r="I319" s="19"/>
    </row>
    <row r="320" ht="15.75" customHeight="1">
      <c r="F320" s="236"/>
      <c r="I320" s="19"/>
    </row>
    <row r="321" ht="15.75" customHeight="1">
      <c r="F321" s="236"/>
      <c r="I321" s="19"/>
    </row>
    <row r="322" ht="15.75" customHeight="1">
      <c r="F322" s="236"/>
      <c r="I322" s="19"/>
    </row>
    <row r="323" ht="15.75" customHeight="1">
      <c r="F323" s="236"/>
      <c r="I323" s="19"/>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B769E08-A4CF-4C36-8B65-253A5FCB4C3D}" filter="1" showAutoFilter="1">
      <autoFilter ref="$D$1:$D$323">
        <filterColumn colId="0">
          <filters>
            <filter val="0555382936"/>
            <filter val="0556008681"/>
            <filter val="+14122250396"/>
            <filter val="+971506203577"/>
            <filter val="0551700205"/>
            <filter val="0529657044"/>
            <filter val="971582370077"/>
            <filter val="+971502040426"/>
            <filter val="+971526929853"/>
            <filter val="‭+971 502450665"/>
          </filters>
        </filterColumn>
      </autoFilter>
      <extLst>
        <ext uri="GoogleSheetsCustomDataVersion1">
          <go:sheetsCustomData xmlns:go="http://customooxmlschemas.google.com/" filterViewId="201825677"/>
        </ext>
      </extLst>
    </customSheetView>
    <customSheetView guid="{DABA0E9E-9FB3-4FB8-A09F-7C7FE5B5274A}" filter="1" showAutoFilter="1">
      <autoFilter ref="$D$1:$D$323">
        <filterColumn colId="0">
          <filters>
            <filter val="0506613222"/>
            <filter val="0501738024"/>
            <filter val="+14122250396"/>
            <filter val="0509129085"/>
            <filter val="0503430024"/>
            <filter val="0508880751"/>
            <filter val="+971506203577"/>
            <filter val="0505598309"/>
            <filter val="0529657044"/>
            <filter val="0502759200"/>
            <filter val="971582370077"/>
            <filter val="+971502040426"/>
            <filter val="+971526929853"/>
            <filter val="0506407028"/>
            <filter val="0508426041"/>
            <filter val="‭+971 502450665"/>
            <filter val="0506091103"/>
            <filter val="0502241317"/>
            <filter val="0502739070"/>
          </filters>
        </filterColumn>
      </autoFilter>
      <extLst>
        <ext uri="GoogleSheetsCustomDataVersion1">
          <go:sheetsCustomData xmlns:go="http://customooxmlschemas.google.com/" filterViewId="61183533"/>
        </ext>
      </extLst>
    </customSheetView>
  </customSheetViews>
  <hyperlinks>
    <hyperlink r:id="rId1" ref="E3"/>
    <hyperlink r:id="rId2" ref="E5"/>
    <hyperlink r:id="rId3" ref="E6"/>
    <hyperlink r:id="rId4" ref="E7"/>
    <hyperlink r:id="rId5" ref="E9"/>
    <hyperlink r:id="rId6" ref="E15"/>
    <hyperlink r:id="rId7" ref="E16"/>
    <hyperlink r:id="rId8" ref="E17"/>
    <hyperlink r:id="rId9" ref="E20"/>
    <hyperlink r:id="rId10" ref="I20"/>
    <hyperlink r:id="rId11" ref="E21"/>
    <hyperlink r:id="rId12" ref="E22"/>
    <hyperlink r:id="rId13" ref="E23"/>
    <hyperlink r:id="rId14" ref="E24"/>
    <hyperlink r:id="rId15" ref="E25"/>
    <hyperlink r:id="rId16" ref="E26"/>
    <hyperlink r:id="rId17" ref="E27"/>
    <hyperlink r:id="rId18" ref="E28"/>
    <hyperlink r:id="rId19" ref="E30"/>
    <hyperlink r:id="rId20" ref="E32"/>
    <hyperlink r:id="rId21" ref="E33"/>
    <hyperlink r:id="rId22" ref="E34"/>
    <hyperlink r:id="rId23" ref="I34"/>
    <hyperlink r:id="rId24" ref="E36"/>
    <hyperlink r:id="rId25" ref="E41"/>
    <hyperlink r:id="rId26" ref="E42"/>
    <hyperlink r:id="rId27" ref="E45"/>
    <hyperlink r:id="rId28" ref="E47"/>
    <hyperlink r:id="rId29" ref="E48"/>
    <hyperlink r:id="rId30" ref="E49"/>
    <hyperlink r:id="rId31" ref="E53"/>
    <hyperlink r:id="rId32" ref="E54"/>
    <hyperlink r:id="rId33" ref="E55"/>
    <hyperlink r:id="rId34" ref="E58"/>
    <hyperlink r:id="rId35" ref="I58"/>
    <hyperlink r:id="rId36" ref="E59"/>
    <hyperlink r:id="rId37" ref="E60"/>
    <hyperlink r:id="rId38" ref="E62"/>
    <hyperlink r:id="rId39" ref="E63"/>
    <hyperlink r:id="rId40" ref="E65"/>
    <hyperlink r:id="rId41" ref="I65"/>
    <hyperlink r:id="rId42" ref="E68"/>
    <hyperlink r:id="rId43" ref="E71"/>
    <hyperlink r:id="rId44" ref="E72"/>
    <hyperlink r:id="rId45" ref="E74"/>
    <hyperlink r:id="rId46" ref="E75"/>
    <hyperlink r:id="rId47" ref="E77"/>
    <hyperlink r:id="rId48" ref="E78"/>
    <hyperlink r:id="rId49" ref="E79"/>
    <hyperlink r:id="rId50" ref="E80"/>
    <hyperlink r:id="rId51" ref="E84"/>
    <hyperlink r:id="rId52" ref="E85"/>
    <hyperlink r:id="rId53" ref="E86"/>
    <hyperlink r:id="rId54" ref="E87"/>
    <hyperlink r:id="rId55" ref="E89"/>
    <hyperlink r:id="rId56" ref="E90"/>
    <hyperlink r:id="rId57" ref="E91"/>
    <hyperlink r:id="rId58" ref="E92"/>
    <hyperlink r:id="rId59" ref="E94"/>
    <hyperlink r:id="rId60" ref="E95"/>
    <hyperlink r:id="rId61" ref="E98"/>
    <hyperlink r:id="rId62" ref="E101"/>
    <hyperlink r:id="rId63" ref="E102"/>
    <hyperlink r:id="rId64" ref="E104"/>
    <hyperlink r:id="rId65" ref="E105"/>
    <hyperlink r:id="rId66" ref="E106"/>
    <hyperlink r:id="rId67" ref="E107"/>
    <hyperlink r:id="rId68" ref="E108"/>
    <hyperlink r:id="rId69" ref="E109"/>
    <hyperlink r:id="rId70" ref="E110"/>
    <hyperlink r:id="rId71" ref="E112"/>
    <hyperlink r:id="rId72" ref="E113"/>
    <hyperlink r:id="rId73" ref="E114"/>
    <hyperlink r:id="rId74" ref="I116"/>
    <hyperlink r:id="rId75" ref="E118"/>
    <hyperlink r:id="rId76" ref="E119"/>
    <hyperlink r:id="rId77" ref="E120"/>
    <hyperlink r:id="rId78" ref="E123"/>
  </hyperlinks>
  <drawing r:id="rId7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26.63"/>
    <col customWidth="1" min="3" max="3" width="14.38"/>
    <col customWidth="1" min="4" max="4" width="23.38"/>
    <col customWidth="1" min="5" max="5" width="30.63"/>
    <col customWidth="1" min="6" max="6" width="10.25"/>
    <col customWidth="1" min="7" max="7" width="8.63"/>
    <col customWidth="1" min="8" max="8" width="11.38"/>
    <col customWidth="1" min="9" max="31" width="14.38"/>
  </cols>
  <sheetData>
    <row r="1" ht="15.75" customHeight="1">
      <c r="A1" s="364" t="s">
        <v>1345</v>
      </c>
      <c r="B1" s="365" t="s">
        <v>3</v>
      </c>
      <c r="C1" s="365" t="s">
        <v>2101</v>
      </c>
      <c r="D1" s="388" t="s">
        <v>171</v>
      </c>
      <c r="E1" s="365" t="s">
        <v>4</v>
      </c>
      <c r="F1" s="365" t="s">
        <v>172</v>
      </c>
      <c r="G1" s="365"/>
      <c r="H1" s="365" t="s">
        <v>174</v>
      </c>
      <c r="I1" s="366" t="s">
        <v>175</v>
      </c>
      <c r="J1" s="365" t="s">
        <v>9</v>
      </c>
      <c r="K1" s="367"/>
      <c r="L1" s="124"/>
      <c r="M1" s="124"/>
      <c r="N1" s="124"/>
      <c r="O1" s="124"/>
      <c r="P1" s="124"/>
      <c r="Q1" s="124"/>
      <c r="R1" s="124"/>
      <c r="S1" s="124"/>
      <c r="T1" s="124"/>
      <c r="U1" s="124"/>
      <c r="V1" s="124"/>
      <c r="W1" s="124"/>
      <c r="X1" s="124"/>
      <c r="Y1" s="124"/>
      <c r="Z1" s="124"/>
      <c r="AA1" s="124"/>
      <c r="AB1" s="124"/>
      <c r="AC1" s="124"/>
      <c r="AD1" s="124"/>
      <c r="AE1" s="124"/>
    </row>
    <row r="2" ht="15.75" customHeight="1">
      <c r="A2" s="389">
        <v>43254.0</v>
      </c>
      <c r="D2" s="138"/>
    </row>
    <row r="3" ht="15.75" customHeight="1">
      <c r="A3" s="389"/>
      <c r="B3" s="374" t="s">
        <v>2948</v>
      </c>
      <c r="D3" s="146" t="s">
        <v>2949</v>
      </c>
      <c r="E3" s="213" t="s">
        <v>2950</v>
      </c>
      <c r="F3" s="1" t="s">
        <v>2504</v>
      </c>
      <c r="I3" s="213" t="s">
        <v>2876</v>
      </c>
      <c r="J3" s="1" t="s">
        <v>401</v>
      </c>
    </row>
    <row r="4" ht="15.75" customHeight="1">
      <c r="A4" s="389">
        <v>43255.0</v>
      </c>
      <c r="D4" s="138"/>
    </row>
    <row r="5" ht="15.75" customHeight="1">
      <c r="A5" s="389"/>
      <c r="B5" s="362" t="s">
        <v>3355</v>
      </c>
      <c r="D5" s="146" t="s">
        <v>3356</v>
      </c>
      <c r="E5" s="363" t="s">
        <v>3357</v>
      </c>
      <c r="I5" s="362" t="s">
        <v>3358</v>
      </c>
    </row>
    <row r="6" ht="15.75" customHeight="1">
      <c r="A6" s="389"/>
      <c r="B6" s="362" t="s">
        <v>3359</v>
      </c>
      <c r="D6" s="140" t="s">
        <v>3360</v>
      </c>
      <c r="E6" s="363" t="s">
        <v>3361</v>
      </c>
      <c r="I6" s="390" t="s">
        <v>3362</v>
      </c>
    </row>
    <row r="7" ht="15.75" customHeight="1">
      <c r="A7" s="389"/>
      <c r="B7" s="362" t="s">
        <v>3363</v>
      </c>
      <c r="D7" s="140" t="s">
        <v>3364</v>
      </c>
      <c r="E7" s="363" t="s">
        <v>3365</v>
      </c>
      <c r="I7" s="391" t="s">
        <v>3366</v>
      </c>
    </row>
    <row r="8" ht="15.75" customHeight="1">
      <c r="A8" s="389">
        <v>43256.0</v>
      </c>
      <c r="D8" s="138"/>
    </row>
    <row r="9" ht="15.75" customHeight="1">
      <c r="A9" s="389"/>
      <c r="B9" s="377" t="s">
        <v>3367</v>
      </c>
      <c r="D9" s="146" t="s">
        <v>3368</v>
      </c>
      <c r="E9" s="378" t="s">
        <v>3369</v>
      </c>
      <c r="F9" s="1" t="s">
        <v>3370</v>
      </c>
    </row>
    <row r="10" ht="15.75" customHeight="1">
      <c r="A10" s="389"/>
      <c r="B10" s="362" t="s">
        <v>3371</v>
      </c>
      <c r="D10" s="140" t="s">
        <v>3372</v>
      </c>
      <c r="E10" s="363" t="s">
        <v>3373</v>
      </c>
      <c r="F10" s="1" t="s">
        <v>2494</v>
      </c>
      <c r="G10" s="1"/>
      <c r="H10" s="1" t="s">
        <v>2543</v>
      </c>
      <c r="I10" s="1" t="s">
        <v>2864</v>
      </c>
    </row>
    <row r="11" ht="15.75" customHeight="1">
      <c r="A11" s="389">
        <v>43257.0</v>
      </c>
      <c r="D11" s="138"/>
    </row>
    <row r="12" ht="15.75" customHeight="1">
      <c r="A12" s="389"/>
      <c r="B12" s="89" t="s">
        <v>3374</v>
      </c>
      <c r="D12" s="140" t="s">
        <v>3375</v>
      </c>
      <c r="E12" s="213" t="s">
        <v>3376</v>
      </c>
      <c r="I12" s="386" t="s">
        <v>3377</v>
      </c>
    </row>
    <row r="13" ht="15.75" customHeight="1">
      <c r="A13" s="389">
        <v>43258.0</v>
      </c>
      <c r="D13" s="138"/>
    </row>
    <row r="14" ht="15.75" customHeight="1">
      <c r="A14" s="389"/>
      <c r="B14" s="89" t="s">
        <v>2814</v>
      </c>
      <c r="D14" s="146" t="s">
        <v>3378</v>
      </c>
      <c r="E14" s="213" t="s">
        <v>3379</v>
      </c>
      <c r="I14" s="392" t="s">
        <v>3380</v>
      </c>
    </row>
    <row r="15" ht="15.75" customHeight="1">
      <c r="A15" s="389"/>
      <c r="B15" s="362" t="s">
        <v>3381</v>
      </c>
      <c r="D15" s="140" t="s">
        <v>3382</v>
      </c>
      <c r="E15" s="363" t="s">
        <v>3383</v>
      </c>
      <c r="F15" s="1" t="s">
        <v>2494</v>
      </c>
      <c r="I15" s="391" t="s">
        <v>3384</v>
      </c>
      <c r="J15" s="1" t="s">
        <v>3385</v>
      </c>
    </row>
    <row r="16" ht="15.75" customHeight="1">
      <c r="A16" s="389"/>
      <c r="B16" s="362" t="s">
        <v>3386</v>
      </c>
      <c r="D16" s="146" t="s">
        <v>3387</v>
      </c>
      <c r="E16" s="363" t="s">
        <v>3388</v>
      </c>
      <c r="F16" s="1" t="s">
        <v>2494</v>
      </c>
      <c r="I16" s="319" t="s">
        <v>259</v>
      </c>
    </row>
    <row r="17" ht="15.75" customHeight="1">
      <c r="A17" s="389"/>
      <c r="B17" s="362" t="s">
        <v>3389</v>
      </c>
      <c r="D17" s="146" t="s">
        <v>3390</v>
      </c>
      <c r="E17" s="363" t="s">
        <v>3391</v>
      </c>
      <c r="F17" s="1" t="s">
        <v>2494</v>
      </c>
      <c r="G17" s="1"/>
      <c r="H17" s="1" t="s">
        <v>2495</v>
      </c>
      <c r="J17" s="1" t="s">
        <v>201</v>
      </c>
    </row>
    <row r="18" ht="15.75" customHeight="1">
      <c r="A18" s="389"/>
      <c r="B18" s="362" t="s">
        <v>3392</v>
      </c>
      <c r="D18" s="140" t="s">
        <v>3393</v>
      </c>
      <c r="E18" s="363" t="s">
        <v>3394</v>
      </c>
      <c r="F18" s="1" t="s">
        <v>2494</v>
      </c>
      <c r="G18" s="1"/>
      <c r="H18" s="1" t="s">
        <v>2495</v>
      </c>
      <c r="I18" s="319" t="s">
        <v>3395</v>
      </c>
      <c r="J18" s="1" t="s">
        <v>201</v>
      </c>
    </row>
    <row r="19" ht="15.75" customHeight="1">
      <c r="A19" s="389"/>
      <c r="B19" s="362" t="s">
        <v>3396</v>
      </c>
      <c r="D19" s="153">
        <v>5.06647084E8</v>
      </c>
      <c r="E19" s="363" t="s">
        <v>3397</v>
      </c>
      <c r="F19" s="1" t="s">
        <v>2494</v>
      </c>
      <c r="G19" s="1"/>
      <c r="H19" s="1" t="s">
        <v>2495</v>
      </c>
      <c r="I19" s="1" t="s">
        <v>2975</v>
      </c>
      <c r="J19" s="1" t="s">
        <v>16</v>
      </c>
    </row>
    <row r="20" ht="15.75" customHeight="1">
      <c r="A20" s="389"/>
      <c r="B20" s="89" t="s">
        <v>3398</v>
      </c>
      <c r="D20" s="153">
        <f>971528110521</f>
        <v>971528110521</v>
      </c>
      <c r="E20" s="213" t="s">
        <v>3399</v>
      </c>
      <c r="F20" s="1" t="s">
        <v>2504</v>
      </c>
      <c r="G20" s="1"/>
      <c r="H20" s="1" t="s">
        <v>2495</v>
      </c>
      <c r="I20" s="269" t="s">
        <v>2907</v>
      </c>
      <c r="J20" s="1" t="s">
        <v>16</v>
      </c>
    </row>
    <row r="21" ht="15.75" customHeight="1">
      <c r="A21" s="389"/>
      <c r="B21" s="362" t="s">
        <v>3400</v>
      </c>
      <c r="D21" s="146" t="s">
        <v>3401</v>
      </c>
      <c r="E21" s="363" t="s">
        <v>3402</v>
      </c>
      <c r="F21" s="1" t="s">
        <v>2494</v>
      </c>
      <c r="G21" s="1"/>
      <c r="H21" s="1" t="s">
        <v>2495</v>
      </c>
      <c r="I21" s="391" t="s">
        <v>2907</v>
      </c>
      <c r="J21" s="1" t="s">
        <v>16</v>
      </c>
    </row>
    <row r="22" ht="15.75" customHeight="1">
      <c r="A22" s="389">
        <v>43259.0</v>
      </c>
      <c r="D22" s="138"/>
    </row>
    <row r="23" ht="15.75" customHeight="1">
      <c r="A23" s="389"/>
      <c r="B23" s="99" t="s">
        <v>3403</v>
      </c>
      <c r="D23" s="140" t="s">
        <v>3404</v>
      </c>
      <c r="E23" s="368" t="s">
        <v>3405</v>
      </c>
      <c r="F23" s="321" t="s">
        <v>2649</v>
      </c>
      <c r="G23" s="321"/>
      <c r="H23" s="321" t="s">
        <v>2495</v>
      </c>
      <c r="I23" s="305" t="s">
        <v>3406</v>
      </c>
    </row>
    <row r="24" ht="15.75" customHeight="1">
      <c r="A24" s="389"/>
      <c r="B24" s="362" t="s">
        <v>3217</v>
      </c>
      <c r="D24" s="140" t="s">
        <v>3407</v>
      </c>
      <c r="E24" s="363" t="s">
        <v>3219</v>
      </c>
      <c r="F24" s="1" t="s">
        <v>2494</v>
      </c>
      <c r="G24" s="1"/>
      <c r="H24" s="1" t="s">
        <v>2495</v>
      </c>
      <c r="I24" s="362" t="s">
        <v>3408</v>
      </c>
    </row>
    <row r="25" ht="15.75" customHeight="1">
      <c r="A25" s="389"/>
      <c r="B25" s="362" t="s">
        <v>3409</v>
      </c>
      <c r="D25" s="140" t="s">
        <v>3410</v>
      </c>
      <c r="E25" s="363" t="s">
        <v>3411</v>
      </c>
      <c r="F25" s="1" t="s">
        <v>2494</v>
      </c>
      <c r="G25" s="1"/>
      <c r="H25" s="1" t="s">
        <v>2495</v>
      </c>
      <c r="I25" s="214" t="s">
        <v>3412</v>
      </c>
    </row>
    <row r="26" ht="15.75" customHeight="1">
      <c r="A26" s="389">
        <v>43261.0</v>
      </c>
      <c r="D26" s="138"/>
    </row>
    <row r="27" ht="15.75" customHeight="1">
      <c r="A27" s="389"/>
      <c r="B27" s="1" t="s">
        <v>2814</v>
      </c>
      <c r="D27" s="140" t="s">
        <v>3413</v>
      </c>
      <c r="E27" s="213" t="s">
        <v>3414</v>
      </c>
      <c r="F27" s="1" t="s">
        <v>2504</v>
      </c>
      <c r="G27" s="1"/>
      <c r="H27" s="1" t="s">
        <v>2495</v>
      </c>
      <c r="I27" s="1" t="s">
        <v>3035</v>
      </c>
      <c r="K27" s="1" t="s">
        <v>3415</v>
      </c>
    </row>
    <row r="28" ht="15.75" customHeight="1">
      <c r="A28" s="389"/>
      <c r="B28" s="362" t="s">
        <v>3217</v>
      </c>
      <c r="D28" s="140" t="s">
        <v>3407</v>
      </c>
      <c r="E28" s="89" t="s">
        <v>3416</v>
      </c>
      <c r="F28" s="1" t="s">
        <v>2494</v>
      </c>
      <c r="G28" s="1"/>
      <c r="H28" s="1" t="s">
        <v>2495</v>
      </c>
      <c r="I28" s="1" t="s">
        <v>3417</v>
      </c>
    </row>
    <row r="29" ht="15.75" customHeight="1">
      <c r="A29" s="389"/>
      <c r="B29" s="362" t="s">
        <v>3418</v>
      </c>
      <c r="D29" s="140" t="s">
        <v>3419</v>
      </c>
      <c r="E29" s="363" t="s">
        <v>3420</v>
      </c>
      <c r="F29" s="1" t="s">
        <v>2494</v>
      </c>
      <c r="G29" s="1"/>
      <c r="H29" s="1" t="s">
        <v>2495</v>
      </c>
      <c r="I29" s="214" t="s">
        <v>3412</v>
      </c>
      <c r="J29" s="1" t="s">
        <v>16</v>
      </c>
    </row>
    <row r="30" ht="15.75" customHeight="1">
      <c r="A30" s="389"/>
      <c r="B30" s="362" t="s">
        <v>3421</v>
      </c>
      <c r="D30" s="153">
        <v>5.03424421E8</v>
      </c>
      <c r="E30" s="363" t="s">
        <v>3422</v>
      </c>
      <c r="F30" s="1" t="s">
        <v>2494</v>
      </c>
      <c r="G30" s="1"/>
      <c r="H30" s="1" t="s">
        <v>2543</v>
      </c>
      <c r="I30" s="1" t="s">
        <v>3423</v>
      </c>
    </row>
    <row r="31" ht="15.75" customHeight="1">
      <c r="A31" s="389">
        <v>43262.0</v>
      </c>
      <c r="D31" s="138"/>
    </row>
    <row r="32" ht="15.75" customHeight="1">
      <c r="A32" s="389"/>
      <c r="B32" s="99" t="s">
        <v>3424</v>
      </c>
      <c r="D32" s="138"/>
      <c r="E32" s="368" t="s">
        <v>3425</v>
      </c>
      <c r="F32" s="321" t="s">
        <v>2649</v>
      </c>
      <c r="G32" s="321"/>
      <c r="H32" s="321" t="s">
        <v>2495</v>
      </c>
      <c r="I32" s="1" t="s">
        <v>3426</v>
      </c>
      <c r="J32" s="1" t="s">
        <v>201</v>
      </c>
    </row>
    <row r="33" ht="15.75" customHeight="1">
      <c r="A33" s="389">
        <v>43264.0</v>
      </c>
      <c r="D33" s="138"/>
    </row>
    <row r="34" ht="15.75" customHeight="1">
      <c r="A34" s="389"/>
      <c r="B34" s="362" t="s">
        <v>3427</v>
      </c>
      <c r="D34" s="140" t="s">
        <v>3428</v>
      </c>
      <c r="E34" s="363" t="s">
        <v>3429</v>
      </c>
      <c r="F34" s="1" t="s">
        <v>2494</v>
      </c>
      <c r="G34" s="1"/>
      <c r="H34" s="1" t="s">
        <v>2737</v>
      </c>
      <c r="I34" s="1" t="s">
        <v>3430</v>
      </c>
      <c r="J34" s="1" t="s">
        <v>16</v>
      </c>
    </row>
    <row r="35" ht="15.75" customHeight="1">
      <c r="A35" s="389"/>
      <c r="B35" s="362" t="s">
        <v>3431</v>
      </c>
      <c r="D35" s="140" t="s">
        <v>3432</v>
      </c>
      <c r="E35" s="363" t="s">
        <v>3433</v>
      </c>
      <c r="F35" s="1" t="s">
        <v>2494</v>
      </c>
      <c r="G35" s="1"/>
      <c r="H35" s="1" t="s">
        <v>2495</v>
      </c>
      <c r="I35" s="214" t="s">
        <v>3434</v>
      </c>
      <c r="J35" s="1" t="s">
        <v>201</v>
      </c>
    </row>
    <row r="36" ht="15.75" customHeight="1">
      <c r="A36" s="389"/>
      <c r="B36" s="1" t="s">
        <v>201</v>
      </c>
      <c r="D36" s="140" t="s">
        <v>3435</v>
      </c>
      <c r="E36" s="363" t="s">
        <v>3436</v>
      </c>
      <c r="F36" s="1" t="s">
        <v>2494</v>
      </c>
      <c r="G36" s="1"/>
      <c r="H36" s="1" t="s">
        <v>2495</v>
      </c>
      <c r="I36" s="214" t="s">
        <v>2539</v>
      </c>
      <c r="J36" s="1" t="s">
        <v>16</v>
      </c>
    </row>
    <row r="37" ht="15.75" customHeight="1">
      <c r="A37" s="389"/>
      <c r="B37" s="362" t="s">
        <v>3427</v>
      </c>
      <c r="D37" s="140" t="s">
        <v>3428</v>
      </c>
      <c r="E37" s="363" t="s">
        <v>3429</v>
      </c>
      <c r="F37" s="1" t="s">
        <v>2494</v>
      </c>
      <c r="G37" s="1"/>
      <c r="H37" s="1" t="s">
        <v>2737</v>
      </c>
      <c r="I37" s="1" t="s">
        <v>3437</v>
      </c>
    </row>
    <row r="38" ht="15.75" customHeight="1">
      <c r="A38" s="389">
        <v>43269.0</v>
      </c>
      <c r="D38" s="138"/>
    </row>
    <row r="39" ht="15.75" customHeight="1">
      <c r="A39" s="389"/>
      <c r="B39" s="362" t="s">
        <v>3438</v>
      </c>
      <c r="D39" s="140" t="s">
        <v>3439</v>
      </c>
      <c r="E39" s="363" t="s">
        <v>3440</v>
      </c>
      <c r="F39" s="1" t="s">
        <v>2494</v>
      </c>
      <c r="G39" s="1"/>
      <c r="H39" s="1" t="s">
        <v>2495</v>
      </c>
      <c r="I39" s="391" t="s">
        <v>3441</v>
      </c>
      <c r="J39" s="1" t="s">
        <v>16</v>
      </c>
    </row>
    <row r="40" ht="15.75" customHeight="1">
      <c r="A40" s="389"/>
      <c r="B40" s="362" t="s">
        <v>3442</v>
      </c>
      <c r="D40" s="146" t="s">
        <v>3443</v>
      </c>
      <c r="E40" s="363" t="s">
        <v>3444</v>
      </c>
      <c r="F40" s="1" t="s">
        <v>2494</v>
      </c>
      <c r="G40" s="1"/>
      <c r="H40" s="1" t="s">
        <v>2543</v>
      </c>
      <c r="I40" s="1" t="s">
        <v>3445</v>
      </c>
    </row>
    <row r="41" ht="15.75" customHeight="1">
      <c r="A41" s="389">
        <v>43270.0</v>
      </c>
      <c r="D41" s="138"/>
      <c r="F41" s="60"/>
      <c r="G41" s="60"/>
      <c r="H41" s="60"/>
    </row>
    <row r="42" ht="15.75" customHeight="1">
      <c r="A42" s="389"/>
      <c r="B42" s="362" t="s">
        <v>3446</v>
      </c>
      <c r="D42" s="146" t="s">
        <v>3447</v>
      </c>
      <c r="E42" s="363" t="s">
        <v>3448</v>
      </c>
      <c r="F42" s="60" t="s">
        <v>2494</v>
      </c>
      <c r="G42" s="60"/>
      <c r="H42" s="60" t="s">
        <v>2495</v>
      </c>
      <c r="I42" s="89" t="s">
        <v>2809</v>
      </c>
    </row>
    <row r="43" ht="15.75" customHeight="1">
      <c r="A43" s="389"/>
      <c r="B43" s="99" t="s">
        <v>3449</v>
      </c>
      <c r="D43" s="138"/>
      <c r="E43" s="368" t="s">
        <v>3450</v>
      </c>
      <c r="F43" s="321" t="s">
        <v>2649</v>
      </c>
      <c r="G43" s="321"/>
      <c r="H43" s="321" t="s">
        <v>2495</v>
      </c>
      <c r="I43" s="1" t="s">
        <v>1532</v>
      </c>
      <c r="J43" s="1" t="s">
        <v>16</v>
      </c>
    </row>
    <row r="44" ht="15.75" customHeight="1">
      <c r="A44" s="389"/>
      <c r="B44" s="99" t="s">
        <v>3451</v>
      </c>
      <c r="D44" s="140" t="s">
        <v>3452</v>
      </c>
      <c r="E44" s="368" t="s">
        <v>3453</v>
      </c>
      <c r="F44" s="321" t="s">
        <v>2649</v>
      </c>
      <c r="G44" s="321"/>
      <c r="H44" s="321" t="s">
        <v>2543</v>
      </c>
      <c r="I44" s="99" t="s">
        <v>3454</v>
      </c>
      <c r="J44" s="1" t="s">
        <v>16</v>
      </c>
    </row>
    <row r="45" ht="15.75" customHeight="1">
      <c r="A45" s="389">
        <v>43271.0</v>
      </c>
      <c r="D45" s="138"/>
      <c r="I45" s="99"/>
    </row>
    <row r="46" ht="15.75" customHeight="1">
      <c r="A46" s="389"/>
      <c r="B46" s="1" t="s">
        <v>3455</v>
      </c>
      <c r="D46" s="146" t="s">
        <v>3456</v>
      </c>
      <c r="E46" s="213" t="s">
        <v>3457</v>
      </c>
      <c r="F46" s="1" t="s">
        <v>2504</v>
      </c>
      <c r="G46" s="1"/>
      <c r="H46" s="1" t="s">
        <v>2543</v>
      </c>
      <c r="I46" s="1" t="s">
        <v>2943</v>
      </c>
    </row>
    <row r="47" ht="15.75" customHeight="1">
      <c r="A47" s="389"/>
      <c r="B47" s="362" t="s">
        <v>3458</v>
      </c>
      <c r="C47" s="1" t="s">
        <v>9</v>
      </c>
      <c r="D47" s="140" t="s">
        <v>3459</v>
      </c>
      <c r="E47" s="363" t="s">
        <v>3460</v>
      </c>
      <c r="F47" s="1" t="s">
        <v>2494</v>
      </c>
      <c r="G47" s="1"/>
      <c r="H47" s="1" t="s">
        <v>2543</v>
      </c>
      <c r="I47" s="1" t="s">
        <v>2544</v>
      </c>
    </row>
    <row r="48" ht="15.75" customHeight="1">
      <c r="A48" s="389">
        <v>43272.0</v>
      </c>
      <c r="B48" s="362"/>
      <c r="D48" s="138"/>
    </row>
    <row r="49" ht="15.75" customHeight="1">
      <c r="A49" s="389"/>
      <c r="B49" s="362" t="s">
        <v>2721</v>
      </c>
      <c r="D49" s="140" t="s">
        <v>2722</v>
      </c>
      <c r="E49" s="363" t="s">
        <v>3461</v>
      </c>
      <c r="F49" s="1" t="s">
        <v>2494</v>
      </c>
      <c r="I49" s="319" t="s">
        <v>3462</v>
      </c>
    </row>
    <row r="50" ht="15.75" customHeight="1">
      <c r="A50" s="389"/>
      <c r="B50" s="273" t="s">
        <v>3463</v>
      </c>
      <c r="D50" s="146" t="s">
        <v>3464</v>
      </c>
      <c r="E50" s="378" t="s">
        <v>3465</v>
      </c>
      <c r="F50" s="239" t="s">
        <v>3211</v>
      </c>
      <c r="G50" s="239" t="s">
        <v>1150</v>
      </c>
    </row>
    <row r="51" ht="15.75" customHeight="1">
      <c r="A51" s="389">
        <v>43274.0</v>
      </c>
      <c r="D51" s="138"/>
    </row>
    <row r="52" ht="15.75" customHeight="1">
      <c r="A52" s="389"/>
      <c r="B52" s="362" t="s">
        <v>3466</v>
      </c>
      <c r="D52" s="138">
        <v>6.1825635566E10</v>
      </c>
      <c r="E52" s="363" t="s">
        <v>3467</v>
      </c>
      <c r="F52" s="1" t="s">
        <v>2494</v>
      </c>
      <c r="G52" s="1"/>
      <c r="H52" s="1" t="s">
        <v>2543</v>
      </c>
      <c r="I52" s="19" t="s">
        <v>3423</v>
      </c>
      <c r="J52" s="1" t="s">
        <v>2521</v>
      </c>
    </row>
    <row r="53" ht="15.75" customHeight="1">
      <c r="A53" s="389"/>
      <c r="B53" s="238" t="s">
        <v>3468</v>
      </c>
      <c r="D53" s="153">
        <f>971547840228</f>
        <v>971547840228</v>
      </c>
      <c r="E53" s="164" t="s">
        <v>3469</v>
      </c>
      <c r="F53" s="326" t="s">
        <v>2534</v>
      </c>
      <c r="G53" s="326"/>
      <c r="H53" s="326" t="s">
        <v>2495</v>
      </c>
      <c r="I53" s="19" t="s">
        <v>3470</v>
      </c>
      <c r="K53" s="1" t="s">
        <v>3471</v>
      </c>
    </row>
    <row r="54" ht="15.75" customHeight="1">
      <c r="A54" s="389"/>
      <c r="B54" s="362" t="s">
        <v>3427</v>
      </c>
      <c r="D54" s="140" t="s">
        <v>3428</v>
      </c>
      <c r="E54" s="363" t="s">
        <v>3429</v>
      </c>
      <c r="F54" s="1" t="s">
        <v>2494</v>
      </c>
      <c r="G54" s="1"/>
      <c r="H54" s="1" t="s">
        <v>2737</v>
      </c>
      <c r="I54" s="19" t="s">
        <v>3027</v>
      </c>
      <c r="J54" s="1" t="s">
        <v>1679</v>
      </c>
    </row>
    <row r="55" ht="15.75" customHeight="1">
      <c r="A55" s="389"/>
      <c r="B55" s="1" t="s">
        <v>3472</v>
      </c>
      <c r="D55" s="393">
        <v>9.71507017016E11</v>
      </c>
      <c r="E55" s="368" t="s">
        <v>3473</v>
      </c>
      <c r="F55" s="321" t="s">
        <v>2649</v>
      </c>
      <c r="G55" s="321"/>
      <c r="H55" s="321" t="s">
        <v>2495</v>
      </c>
      <c r="I55" s="379" t="s">
        <v>2742</v>
      </c>
      <c r="J55" s="1" t="s">
        <v>401</v>
      </c>
    </row>
    <row r="56" ht="15.75" customHeight="1">
      <c r="A56" s="389"/>
      <c r="B56" s="362" t="s">
        <v>3474</v>
      </c>
      <c r="D56" s="140" t="s">
        <v>3475</v>
      </c>
      <c r="E56" s="363" t="s">
        <v>3476</v>
      </c>
      <c r="F56" s="1" t="s">
        <v>2494</v>
      </c>
      <c r="G56" s="1"/>
      <c r="H56" s="1" t="s">
        <v>2495</v>
      </c>
      <c r="I56" s="379" t="s">
        <v>2742</v>
      </c>
      <c r="J56" s="1" t="s">
        <v>401</v>
      </c>
    </row>
    <row r="57" ht="15.75" customHeight="1">
      <c r="A57" s="389"/>
      <c r="B57" s="273" t="s">
        <v>3477</v>
      </c>
      <c r="D57" s="146" t="s">
        <v>3478</v>
      </c>
      <c r="E57" s="378" t="s">
        <v>3479</v>
      </c>
      <c r="F57" s="239" t="s">
        <v>3211</v>
      </c>
      <c r="G57" s="239" t="s">
        <v>1188</v>
      </c>
      <c r="I57" s="19"/>
    </row>
    <row r="58" ht="15.75" customHeight="1">
      <c r="A58" s="389"/>
      <c r="B58" s="362" t="s">
        <v>3480</v>
      </c>
      <c r="D58" s="140" t="s">
        <v>3481</v>
      </c>
      <c r="E58" s="363" t="s">
        <v>3482</v>
      </c>
      <c r="F58" s="1" t="s">
        <v>2494</v>
      </c>
      <c r="G58" s="1"/>
      <c r="H58" s="1" t="s">
        <v>2737</v>
      </c>
      <c r="I58" s="383" t="s">
        <v>3139</v>
      </c>
      <c r="J58" s="1" t="s">
        <v>201</v>
      </c>
    </row>
    <row r="59" ht="15.75" customHeight="1">
      <c r="A59" s="389"/>
      <c r="B59" s="362" t="s">
        <v>3059</v>
      </c>
      <c r="D59" s="146" t="s">
        <v>3060</v>
      </c>
      <c r="E59" s="363" t="s">
        <v>2567</v>
      </c>
      <c r="F59" s="1" t="s">
        <v>2494</v>
      </c>
      <c r="I59" s="383" t="s">
        <v>3483</v>
      </c>
      <c r="J59" s="1" t="s">
        <v>3484</v>
      </c>
    </row>
    <row r="60" ht="15.75" customHeight="1">
      <c r="A60" s="389"/>
      <c r="B60" s="89" t="s">
        <v>3485</v>
      </c>
      <c r="D60" s="138"/>
      <c r="F60" s="239" t="s">
        <v>3211</v>
      </c>
      <c r="G60" s="394" t="s">
        <v>3486</v>
      </c>
      <c r="I60" s="373" t="s">
        <v>3487</v>
      </c>
      <c r="J60" s="235"/>
      <c r="K60" s="235" t="s">
        <v>3488</v>
      </c>
    </row>
    <row r="61" ht="15.75" customHeight="1">
      <c r="A61" s="389"/>
      <c r="B61" s="89" t="s">
        <v>3489</v>
      </c>
      <c r="D61" s="146" t="s">
        <v>3490</v>
      </c>
      <c r="E61" s="213" t="s">
        <v>3491</v>
      </c>
      <c r="F61" s="1" t="s">
        <v>2504</v>
      </c>
      <c r="I61" s="213" t="s">
        <v>3492</v>
      </c>
    </row>
    <row r="62" ht="15.75" customHeight="1">
      <c r="A62" s="389">
        <v>43275.0</v>
      </c>
      <c r="D62" s="138"/>
    </row>
    <row r="63" ht="15.75" customHeight="1">
      <c r="A63" s="389"/>
      <c r="B63" s="238" t="s">
        <v>3493</v>
      </c>
      <c r="D63" s="140" t="s">
        <v>3494</v>
      </c>
      <c r="E63" s="220" t="s">
        <v>3495</v>
      </c>
      <c r="F63" s="326" t="s">
        <v>2534</v>
      </c>
      <c r="G63" s="326"/>
      <c r="H63" s="326" t="s">
        <v>2495</v>
      </c>
      <c r="I63" s="1" t="s">
        <v>3496</v>
      </c>
      <c r="J63" s="1" t="s">
        <v>201</v>
      </c>
    </row>
    <row r="64" ht="15.75" customHeight="1">
      <c r="A64" s="389"/>
      <c r="B64" s="89" t="s">
        <v>3497</v>
      </c>
      <c r="D64" s="140" t="s">
        <v>3498</v>
      </c>
      <c r="E64" s="213" t="s">
        <v>3499</v>
      </c>
      <c r="F64" s="1" t="s">
        <v>2504</v>
      </c>
      <c r="I64" s="386" t="s">
        <v>3500</v>
      </c>
      <c r="J64" s="1" t="s">
        <v>401</v>
      </c>
    </row>
    <row r="65" ht="15.75" customHeight="1">
      <c r="A65" s="389">
        <v>43276.0</v>
      </c>
      <c r="D65" s="138"/>
    </row>
    <row r="66" ht="15.75" customHeight="1">
      <c r="A66" s="389"/>
      <c r="B66" s="238" t="s">
        <v>3501</v>
      </c>
      <c r="D66" s="146" t="s">
        <v>3502</v>
      </c>
      <c r="E66" s="220" t="s">
        <v>3503</v>
      </c>
      <c r="F66" s="326" t="s">
        <v>2534</v>
      </c>
      <c r="G66" s="326"/>
      <c r="H66" s="326" t="s">
        <v>2495</v>
      </c>
      <c r="I66" s="1" t="s">
        <v>3504</v>
      </c>
      <c r="J66" s="1" t="s">
        <v>401</v>
      </c>
    </row>
    <row r="67" ht="15.75" customHeight="1">
      <c r="A67" s="389"/>
      <c r="B67" s="362" t="s">
        <v>3505</v>
      </c>
      <c r="D67" s="140" t="s">
        <v>3506</v>
      </c>
      <c r="E67" s="363" t="s">
        <v>3507</v>
      </c>
      <c r="F67" s="1" t="s">
        <v>2494</v>
      </c>
    </row>
    <row r="68" ht="15.75" customHeight="1">
      <c r="A68" s="389"/>
      <c r="B68" s="99" t="s">
        <v>3508</v>
      </c>
      <c r="D68" s="140" t="s">
        <v>3509</v>
      </c>
      <c r="E68" s="1" t="s">
        <v>3510</v>
      </c>
      <c r="F68" s="321" t="s">
        <v>2649</v>
      </c>
      <c r="G68" s="321"/>
      <c r="H68" s="321" t="s">
        <v>2495</v>
      </c>
      <c r="I68" s="305" t="s">
        <v>3511</v>
      </c>
      <c r="J68" s="1" t="s">
        <v>16</v>
      </c>
    </row>
    <row r="69" ht="15.75" customHeight="1">
      <c r="A69" s="389"/>
      <c r="B69" s="362" t="s">
        <v>3512</v>
      </c>
      <c r="D69" s="140" t="s">
        <v>3513</v>
      </c>
      <c r="E69" s="363" t="s">
        <v>3514</v>
      </c>
      <c r="F69" s="1" t="s">
        <v>2494</v>
      </c>
      <c r="H69" s="1" t="s">
        <v>2552</v>
      </c>
      <c r="I69" s="1" t="s">
        <v>3515</v>
      </c>
      <c r="J69" s="1" t="s">
        <v>201</v>
      </c>
    </row>
    <row r="70" ht="15.75" customHeight="1">
      <c r="A70" s="389"/>
      <c r="B70" s="362" t="s">
        <v>3516</v>
      </c>
      <c r="D70" s="140" t="s">
        <v>3517</v>
      </c>
      <c r="E70" s="363" t="s">
        <v>3518</v>
      </c>
      <c r="F70" s="1" t="s">
        <v>2494</v>
      </c>
      <c r="H70" s="1" t="s">
        <v>2543</v>
      </c>
      <c r="I70" s="1" t="s">
        <v>3519</v>
      </c>
      <c r="J70" s="1" t="s">
        <v>2521</v>
      </c>
    </row>
    <row r="71" ht="15.75" customHeight="1">
      <c r="A71" s="389">
        <v>43157.0</v>
      </c>
      <c r="D71" s="138"/>
    </row>
    <row r="72" ht="15.75" customHeight="1">
      <c r="A72" s="389"/>
      <c r="B72" s="362" t="s">
        <v>3520</v>
      </c>
      <c r="D72" s="146" t="s">
        <v>3521</v>
      </c>
      <c r="E72" s="363" t="s">
        <v>3522</v>
      </c>
      <c r="F72" s="1" t="s">
        <v>2494</v>
      </c>
      <c r="H72" s="1" t="s">
        <v>2737</v>
      </c>
      <c r="I72" s="391" t="s">
        <v>3523</v>
      </c>
      <c r="J72" s="1" t="s">
        <v>16</v>
      </c>
    </row>
    <row r="73" ht="15.75" customHeight="1">
      <c r="A73" s="389"/>
      <c r="B73" s="395" t="s">
        <v>3524</v>
      </c>
      <c r="D73" s="140" t="s">
        <v>3525</v>
      </c>
      <c r="E73" s="213" t="s">
        <v>3526</v>
      </c>
      <c r="F73" s="1" t="s">
        <v>2504</v>
      </c>
      <c r="I73" s="386" t="s">
        <v>3527</v>
      </c>
      <c r="J73" s="1" t="s">
        <v>401</v>
      </c>
    </row>
    <row r="74" ht="15.75" customHeight="1">
      <c r="A74" s="389">
        <v>43158.0</v>
      </c>
      <c r="D74" s="138"/>
    </row>
    <row r="75" ht="15.75" customHeight="1">
      <c r="A75" s="389"/>
      <c r="B75" s="362" t="s">
        <v>1230</v>
      </c>
      <c r="D75" s="140" t="s">
        <v>3528</v>
      </c>
      <c r="E75" s="363" t="s">
        <v>3529</v>
      </c>
      <c r="F75" s="1" t="s">
        <v>2494</v>
      </c>
      <c r="H75" s="1" t="s">
        <v>2552</v>
      </c>
      <c r="I75" s="1" t="s">
        <v>3515</v>
      </c>
      <c r="J75" s="1" t="s">
        <v>201</v>
      </c>
    </row>
    <row r="76" ht="15.75" customHeight="1">
      <c r="A76" s="389"/>
      <c r="B76" s="89" t="s">
        <v>3530</v>
      </c>
      <c r="D76" s="146" t="s">
        <v>3531</v>
      </c>
      <c r="E76" s="213" t="s">
        <v>3532</v>
      </c>
      <c r="F76" s="1" t="s">
        <v>2504</v>
      </c>
      <c r="I76" s="213" t="s">
        <v>3179</v>
      </c>
      <c r="J76" s="1" t="s">
        <v>16</v>
      </c>
    </row>
    <row r="77" ht="15.75" customHeight="1">
      <c r="A77" s="389"/>
      <c r="B77" s="362" t="s">
        <v>3533</v>
      </c>
      <c r="D77" s="140" t="s">
        <v>3534</v>
      </c>
      <c r="E77" s="363" t="s">
        <v>3535</v>
      </c>
      <c r="F77" s="1" t="s">
        <v>2494</v>
      </c>
      <c r="H77" s="1" t="s">
        <v>2495</v>
      </c>
      <c r="I77" s="1" t="s">
        <v>3536</v>
      </c>
      <c r="J77" s="1" t="s">
        <v>16</v>
      </c>
    </row>
    <row r="78" ht="15.75" customHeight="1">
      <c r="A78" s="389"/>
      <c r="B78" s="89" t="s">
        <v>3537</v>
      </c>
      <c r="D78" s="146" t="s">
        <v>3538</v>
      </c>
      <c r="E78" s="213" t="s">
        <v>3539</v>
      </c>
      <c r="F78" s="1" t="s">
        <v>2504</v>
      </c>
      <c r="I78" s="213" t="s">
        <v>3540</v>
      </c>
    </row>
    <row r="79" ht="15.75" customHeight="1">
      <c r="A79" s="389">
        <v>43159.0</v>
      </c>
      <c r="D79" s="138"/>
    </row>
    <row r="80" ht="15.75" customHeight="1">
      <c r="A80" s="389"/>
      <c r="B80" s="362" t="s">
        <v>3541</v>
      </c>
      <c r="D80" s="140" t="s">
        <v>3542</v>
      </c>
      <c r="E80" s="363" t="s">
        <v>3543</v>
      </c>
      <c r="I80" s="1" t="s">
        <v>3544</v>
      </c>
    </row>
    <row r="81" ht="15.75" customHeight="1">
      <c r="A81" s="389"/>
      <c r="B81" s="362" t="s">
        <v>3512</v>
      </c>
      <c r="D81" s="140" t="s">
        <v>3513</v>
      </c>
      <c r="E81" s="363" t="s">
        <v>3514</v>
      </c>
      <c r="I81" s="1" t="s">
        <v>3515</v>
      </c>
      <c r="J81" s="1" t="s">
        <v>201</v>
      </c>
    </row>
    <row r="82" ht="15.75" customHeight="1">
      <c r="A82" s="389">
        <v>43281.0</v>
      </c>
      <c r="D82" s="138"/>
      <c r="F82" s="60"/>
      <c r="G82" s="60"/>
    </row>
    <row r="83" ht="15.75" customHeight="1">
      <c r="A83" s="389"/>
      <c r="B83" s="372" t="s">
        <v>3545</v>
      </c>
      <c r="D83" s="146" t="s">
        <v>3546</v>
      </c>
      <c r="E83" s="372" t="s">
        <v>3547</v>
      </c>
      <c r="F83" s="60" t="s">
        <v>3548</v>
      </c>
      <c r="G83" s="60"/>
    </row>
    <row r="84" ht="15.75" customHeight="1">
      <c r="A84" s="389"/>
      <c r="B84" s="99" t="s">
        <v>3549</v>
      </c>
      <c r="D84" s="140" t="s">
        <v>3550</v>
      </c>
      <c r="E84" s="368" t="s">
        <v>3551</v>
      </c>
      <c r="F84" s="321" t="s">
        <v>2649</v>
      </c>
      <c r="H84" s="321" t="s">
        <v>2552</v>
      </c>
      <c r="I84" s="1" t="s">
        <v>3515</v>
      </c>
      <c r="J84" s="1" t="s">
        <v>201</v>
      </c>
    </row>
    <row r="85" ht="15.75" customHeight="1">
      <c r="A85" s="389"/>
      <c r="B85" s="362" t="s">
        <v>3552</v>
      </c>
      <c r="D85" s="140" t="s">
        <v>3553</v>
      </c>
      <c r="E85" s="363" t="s">
        <v>3554</v>
      </c>
      <c r="I85" s="1" t="s">
        <v>3555</v>
      </c>
    </row>
    <row r="86" ht="15.75" customHeight="1">
      <c r="A86" s="389"/>
      <c r="B86" s="89" t="s">
        <v>3556</v>
      </c>
      <c r="D86" s="140" t="s">
        <v>3557</v>
      </c>
      <c r="E86" s="213" t="s">
        <v>3558</v>
      </c>
      <c r="F86" s="1" t="s">
        <v>2504</v>
      </c>
      <c r="H86" s="1" t="s">
        <v>2495</v>
      </c>
      <c r="I86" s="1" t="s">
        <v>3559</v>
      </c>
      <c r="J86" s="1" t="s">
        <v>201</v>
      </c>
    </row>
    <row r="87" ht="15.75" customHeight="1">
      <c r="A87" s="389"/>
      <c r="B87" s="89" t="s">
        <v>3560</v>
      </c>
      <c r="D87" s="140" t="s">
        <v>3561</v>
      </c>
      <c r="E87" s="213" t="s">
        <v>3562</v>
      </c>
      <c r="F87" s="1" t="s">
        <v>2504</v>
      </c>
      <c r="H87" s="1" t="s">
        <v>2495</v>
      </c>
      <c r="I87" s="1" t="s">
        <v>3544</v>
      </c>
    </row>
    <row r="88" ht="15.75" customHeight="1">
      <c r="A88" s="389"/>
      <c r="B88" s="362" t="s">
        <v>3563</v>
      </c>
      <c r="D88" s="140" t="s">
        <v>3564</v>
      </c>
      <c r="E88" s="363" t="s">
        <v>3565</v>
      </c>
      <c r="F88" s="1" t="s">
        <v>2494</v>
      </c>
      <c r="H88" s="1" t="s">
        <v>2495</v>
      </c>
      <c r="I88" s="1" t="s">
        <v>3566</v>
      </c>
      <c r="J88" s="1" t="s">
        <v>201</v>
      </c>
    </row>
    <row r="89" ht="15.75" customHeight="1">
      <c r="A89" s="389"/>
      <c r="D89" s="138"/>
    </row>
    <row r="90" ht="15.75" customHeight="1">
      <c r="A90" s="389"/>
      <c r="D90" s="138"/>
    </row>
    <row r="91" ht="15.75" customHeight="1">
      <c r="A91" s="389"/>
      <c r="D91" s="138"/>
    </row>
    <row r="92" ht="15.75" customHeight="1">
      <c r="A92" s="389"/>
      <c r="D92" s="138"/>
    </row>
    <row r="93" ht="15.75" customHeight="1">
      <c r="A93" s="389"/>
      <c r="D93" s="138"/>
    </row>
    <row r="94" ht="15.75" customHeight="1">
      <c r="A94" s="389"/>
      <c r="D94" s="138"/>
    </row>
    <row r="95" ht="15.75" customHeight="1">
      <c r="A95" s="389"/>
      <c r="D95" s="138"/>
    </row>
    <row r="96" ht="15.75" customHeight="1">
      <c r="A96" s="389"/>
      <c r="D96" s="138"/>
    </row>
    <row r="97" ht="15.75" customHeight="1">
      <c r="A97" s="389"/>
      <c r="D97" s="138"/>
    </row>
    <row r="98" ht="15.75" customHeight="1">
      <c r="A98" s="389"/>
      <c r="D98" s="138"/>
    </row>
    <row r="99" ht="15.75" customHeight="1">
      <c r="A99" s="389"/>
      <c r="D99" s="138"/>
    </row>
    <row r="100" ht="15.75" customHeight="1">
      <c r="A100" s="389"/>
      <c r="D100" s="138"/>
    </row>
    <row r="101" ht="15.75" customHeight="1">
      <c r="A101" s="389"/>
      <c r="D101" s="138"/>
    </row>
    <row r="102" ht="15.75" customHeight="1">
      <c r="A102" s="389"/>
      <c r="D102" s="138"/>
    </row>
    <row r="103" ht="15.75" customHeight="1">
      <c r="A103" s="389"/>
      <c r="D103" s="138"/>
    </row>
    <row r="104" ht="15.75" customHeight="1">
      <c r="A104" s="389"/>
      <c r="D104" s="138"/>
    </row>
    <row r="105" ht="15.75" customHeight="1">
      <c r="A105" s="389"/>
      <c r="D105" s="138"/>
    </row>
    <row r="106" ht="15.75" customHeight="1">
      <c r="A106" s="389"/>
      <c r="D106" s="138"/>
    </row>
    <row r="107" ht="15.75" customHeight="1">
      <c r="A107" s="389"/>
      <c r="D107" s="138"/>
    </row>
    <row r="108" ht="15.75" customHeight="1">
      <c r="A108" s="389"/>
      <c r="D108" s="138"/>
    </row>
    <row r="109" ht="15.75" customHeight="1">
      <c r="A109" s="389"/>
      <c r="D109" s="138"/>
    </row>
    <row r="110" ht="15.75" customHeight="1">
      <c r="A110" s="389"/>
      <c r="D110" s="138"/>
    </row>
    <row r="111" ht="15.75" customHeight="1">
      <c r="A111" s="389"/>
      <c r="D111" s="138"/>
    </row>
    <row r="112" ht="15.75" customHeight="1">
      <c r="A112" s="389"/>
      <c r="D112" s="138"/>
    </row>
    <row r="113" ht="15.75" customHeight="1">
      <c r="A113" s="389"/>
      <c r="D113" s="138"/>
    </row>
    <row r="114" ht="15.75" customHeight="1">
      <c r="A114" s="389"/>
      <c r="D114" s="138"/>
    </row>
    <row r="115" ht="15.75" customHeight="1">
      <c r="A115" s="389"/>
      <c r="D115" s="138"/>
    </row>
    <row r="116" ht="15.75" customHeight="1">
      <c r="A116" s="389"/>
      <c r="D116" s="138"/>
    </row>
    <row r="117" ht="15.75" customHeight="1">
      <c r="A117" s="389"/>
      <c r="D117" s="138"/>
    </row>
    <row r="118" ht="15.75" customHeight="1">
      <c r="A118" s="389"/>
      <c r="D118" s="138"/>
    </row>
    <row r="119" ht="15.75" customHeight="1">
      <c r="A119" s="389"/>
      <c r="D119" s="138"/>
    </row>
    <row r="120" ht="15.75" customHeight="1">
      <c r="A120" s="389"/>
      <c r="D120" s="138"/>
    </row>
    <row r="121" ht="15.75" customHeight="1">
      <c r="A121" s="389"/>
      <c r="D121" s="138"/>
    </row>
    <row r="122" ht="15.75" customHeight="1">
      <c r="A122" s="389"/>
      <c r="D122" s="138"/>
    </row>
    <row r="123" ht="15.75" customHeight="1">
      <c r="A123" s="389"/>
      <c r="D123" s="138"/>
    </row>
    <row r="124" ht="15.75" customHeight="1">
      <c r="A124" s="389"/>
      <c r="D124" s="138"/>
    </row>
    <row r="125" ht="15.75" customHeight="1">
      <c r="A125" s="389"/>
      <c r="D125" s="138"/>
    </row>
    <row r="126" ht="15.75" customHeight="1">
      <c r="A126" s="389"/>
      <c r="D126" s="138"/>
    </row>
    <row r="127" ht="15.75" customHeight="1">
      <c r="A127" s="389"/>
      <c r="D127" s="138"/>
    </row>
    <row r="128" ht="15.75" customHeight="1">
      <c r="A128" s="389"/>
      <c r="D128" s="138"/>
    </row>
    <row r="129" ht="15.75" customHeight="1">
      <c r="A129" s="389"/>
      <c r="D129" s="138"/>
    </row>
    <row r="130" ht="15.75" customHeight="1">
      <c r="A130" s="389"/>
      <c r="D130" s="138"/>
    </row>
    <row r="131" ht="15.75" customHeight="1">
      <c r="A131" s="389"/>
      <c r="D131" s="138"/>
    </row>
    <row r="132" ht="15.75" customHeight="1">
      <c r="A132" s="389"/>
      <c r="D132" s="138"/>
    </row>
    <row r="133" ht="15.75" customHeight="1">
      <c r="A133" s="389"/>
      <c r="D133" s="138"/>
    </row>
    <row r="134" ht="15.75" customHeight="1">
      <c r="A134" s="389"/>
      <c r="D134" s="138"/>
    </row>
    <row r="135" ht="15.75" customHeight="1">
      <c r="A135" s="389"/>
      <c r="D135" s="138"/>
    </row>
    <row r="136" ht="15.75" customHeight="1">
      <c r="A136" s="389"/>
      <c r="D136" s="138"/>
    </row>
    <row r="137" ht="15.75" customHeight="1">
      <c r="A137" s="389"/>
      <c r="D137" s="138"/>
    </row>
    <row r="138" ht="15.75" customHeight="1">
      <c r="A138" s="389"/>
      <c r="D138" s="138"/>
    </row>
    <row r="139" ht="15.75" customHeight="1">
      <c r="A139" s="389"/>
      <c r="D139" s="138"/>
    </row>
    <row r="140" ht="15.75" customHeight="1">
      <c r="A140" s="389"/>
      <c r="D140" s="138"/>
    </row>
    <row r="141" ht="15.75" customHeight="1">
      <c r="A141" s="389"/>
      <c r="D141" s="138"/>
    </row>
    <row r="142" ht="15.75" customHeight="1">
      <c r="A142" s="389"/>
      <c r="D142" s="138"/>
    </row>
    <row r="143" ht="15.75" customHeight="1">
      <c r="A143" s="389"/>
      <c r="D143" s="138"/>
    </row>
    <row r="144" ht="15.75" customHeight="1">
      <c r="A144" s="389"/>
      <c r="D144" s="138"/>
    </row>
    <row r="145" ht="15.75" customHeight="1">
      <c r="A145" s="389"/>
      <c r="D145" s="138"/>
    </row>
    <row r="146" ht="15.75" customHeight="1">
      <c r="A146" s="389"/>
      <c r="D146" s="138"/>
    </row>
    <row r="147" ht="15.75" customHeight="1">
      <c r="A147" s="389"/>
      <c r="D147" s="138"/>
    </row>
    <row r="148" ht="15.75" customHeight="1">
      <c r="A148" s="389"/>
      <c r="D148" s="138"/>
    </row>
    <row r="149" ht="15.75" customHeight="1">
      <c r="A149" s="389"/>
      <c r="D149" s="138"/>
    </row>
    <row r="150" ht="15.75" customHeight="1">
      <c r="A150" s="389"/>
      <c r="D150" s="138"/>
    </row>
    <row r="151" ht="15.75" customHeight="1">
      <c r="A151" s="389"/>
      <c r="D151" s="138"/>
    </row>
    <row r="152" ht="15.75" customHeight="1">
      <c r="A152" s="389"/>
      <c r="D152" s="138"/>
    </row>
    <row r="153" ht="15.75" customHeight="1">
      <c r="A153" s="389"/>
      <c r="D153" s="138"/>
    </row>
    <row r="154" ht="15.75" customHeight="1">
      <c r="A154" s="389"/>
      <c r="D154" s="138"/>
    </row>
    <row r="155" ht="15.75" customHeight="1">
      <c r="A155" s="389"/>
      <c r="D155" s="138"/>
    </row>
    <row r="156" ht="15.75" customHeight="1">
      <c r="A156" s="389"/>
      <c r="D156" s="138"/>
    </row>
    <row r="157" ht="15.75" customHeight="1">
      <c r="A157" s="389"/>
      <c r="D157" s="138"/>
    </row>
    <row r="158" ht="15.75" customHeight="1">
      <c r="A158" s="389"/>
      <c r="D158" s="138"/>
    </row>
    <row r="159" ht="15.75" customHeight="1">
      <c r="A159" s="389"/>
      <c r="D159" s="138"/>
    </row>
    <row r="160" ht="15.75" customHeight="1">
      <c r="A160" s="389"/>
      <c r="D160" s="138"/>
    </row>
    <row r="161" ht="15.75" customHeight="1">
      <c r="A161" s="389"/>
      <c r="D161" s="138"/>
    </row>
    <row r="162" ht="15.75" customHeight="1">
      <c r="A162" s="389"/>
      <c r="D162" s="138"/>
    </row>
    <row r="163" ht="15.75" customHeight="1">
      <c r="A163" s="389"/>
      <c r="D163" s="138"/>
    </row>
    <row r="164" ht="15.75" customHeight="1">
      <c r="A164" s="389"/>
      <c r="D164" s="138"/>
    </row>
    <row r="165" ht="15.75" customHeight="1">
      <c r="A165" s="389"/>
      <c r="D165" s="138"/>
    </row>
    <row r="166" ht="15.75" customHeight="1">
      <c r="A166" s="389"/>
      <c r="D166" s="138"/>
    </row>
    <row r="167" ht="15.75" customHeight="1">
      <c r="A167" s="389"/>
      <c r="D167" s="138"/>
    </row>
    <row r="168" ht="15.75" customHeight="1">
      <c r="A168" s="389"/>
      <c r="D168" s="138"/>
    </row>
    <row r="169" ht="15.75" customHeight="1">
      <c r="A169" s="389"/>
      <c r="D169" s="138"/>
    </row>
    <row r="170" ht="15.75" customHeight="1">
      <c r="A170" s="389"/>
      <c r="D170" s="138"/>
    </row>
    <row r="171" ht="15.75" customHeight="1">
      <c r="A171" s="389"/>
      <c r="D171" s="138"/>
    </row>
    <row r="172" ht="15.75" customHeight="1">
      <c r="A172" s="389"/>
      <c r="D172" s="138"/>
    </row>
    <row r="173" ht="15.75" customHeight="1">
      <c r="A173" s="389"/>
      <c r="D173" s="138"/>
    </row>
    <row r="174" ht="15.75" customHeight="1">
      <c r="A174" s="389"/>
      <c r="D174" s="138"/>
    </row>
    <row r="175" ht="15.75" customHeight="1">
      <c r="A175" s="389"/>
      <c r="D175" s="138"/>
    </row>
    <row r="176" ht="15.75" customHeight="1">
      <c r="A176" s="389"/>
      <c r="D176" s="138"/>
    </row>
    <row r="177" ht="15.75" customHeight="1">
      <c r="A177" s="389"/>
      <c r="D177" s="138"/>
    </row>
    <row r="178" ht="15.75" customHeight="1">
      <c r="A178" s="389"/>
      <c r="D178" s="138"/>
    </row>
    <row r="179" ht="15.75" customHeight="1">
      <c r="A179" s="389"/>
      <c r="D179" s="138"/>
    </row>
    <row r="180" ht="15.75" customHeight="1">
      <c r="A180" s="389"/>
      <c r="D180" s="138"/>
    </row>
    <row r="181" ht="15.75" customHeight="1">
      <c r="A181" s="389"/>
      <c r="D181" s="138"/>
    </row>
    <row r="182" ht="15.75" customHeight="1">
      <c r="A182" s="389"/>
      <c r="D182" s="138"/>
    </row>
    <row r="183" ht="15.75" customHeight="1">
      <c r="A183" s="389"/>
      <c r="D183" s="138"/>
    </row>
    <row r="184" ht="15.75" customHeight="1">
      <c r="A184" s="389"/>
      <c r="D184" s="138"/>
    </row>
    <row r="185" ht="15.75" customHeight="1">
      <c r="A185" s="389"/>
      <c r="D185" s="138"/>
    </row>
    <row r="186" ht="15.75" customHeight="1">
      <c r="A186" s="389"/>
      <c r="D186" s="138"/>
    </row>
    <row r="187" ht="15.75" customHeight="1">
      <c r="A187" s="389"/>
      <c r="D187" s="138"/>
    </row>
    <row r="188" ht="15.75" customHeight="1">
      <c r="A188" s="389"/>
      <c r="D188" s="138"/>
    </row>
    <row r="189" ht="15.75" customHeight="1">
      <c r="A189" s="389"/>
      <c r="D189" s="138"/>
    </row>
    <row r="190" ht="15.75" customHeight="1">
      <c r="A190" s="389"/>
      <c r="D190" s="138"/>
    </row>
    <row r="191" ht="15.75" customHeight="1">
      <c r="A191" s="389"/>
      <c r="D191" s="138"/>
    </row>
    <row r="192" ht="15.75" customHeight="1">
      <c r="A192" s="389"/>
      <c r="D192" s="138"/>
    </row>
    <row r="193" ht="15.75" customHeight="1">
      <c r="A193" s="389"/>
      <c r="D193" s="138"/>
    </row>
    <row r="194" ht="15.75" customHeight="1">
      <c r="A194" s="389"/>
      <c r="D194" s="138"/>
    </row>
    <row r="195" ht="15.75" customHeight="1">
      <c r="A195" s="389"/>
      <c r="D195" s="138"/>
    </row>
    <row r="196" ht="15.75" customHeight="1">
      <c r="A196" s="389"/>
      <c r="D196" s="138"/>
    </row>
    <row r="197" ht="15.75" customHeight="1">
      <c r="A197" s="389"/>
      <c r="D197" s="138"/>
    </row>
    <row r="198" ht="15.75" customHeight="1">
      <c r="A198" s="389"/>
      <c r="D198" s="138"/>
    </row>
    <row r="199" ht="15.75" customHeight="1">
      <c r="A199" s="389"/>
      <c r="D199" s="138"/>
    </row>
    <row r="200" ht="15.75" customHeight="1">
      <c r="A200" s="389"/>
      <c r="D200" s="138"/>
    </row>
    <row r="201" ht="15.75" customHeight="1">
      <c r="A201" s="389"/>
      <c r="D201" s="138"/>
    </row>
    <row r="202" ht="15.75" customHeight="1">
      <c r="A202" s="389"/>
      <c r="D202" s="138"/>
    </row>
    <row r="203" ht="15.75" customHeight="1">
      <c r="A203" s="389"/>
      <c r="D203" s="138"/>
    </row>
    <row r="204" ht="15.75" customHeight="1">
      <c r="A204" s="389"/>
      <c r="D204" s="138"/>
    </row>
    <row r="205" ht="15.75" customHeight="1">
      <c r="A205" s="389"/>
      <c r="D205" s="138"/>
    </row>
    <row r="206" ht="15.75" customHeight="1">
      <c r="A206" s="389"/>
      <c r="D206" s="138"/>
    </row>
    <row r="207" ht="15.75" customHeight="1">
      <c r="A207" s="389"/>
      <c r="D207" s="138"/>
    </row>
    <row r="208" ht="15.75" customHeight="1">
      <c r="A208" s="389"/>
      <c r="D208" s="138"/>
    </row>
    <row r="209" ht="15.75" customHeight="1">
      <c r="A209" s="389"/>
      <c r="D209" s="138"/>
    </row>
    <row r="210" ht="15.75" customHeight="1">
      <c r="A210" s="389"/>
      <c r="D210" s="138"/>
    </row>
    <row r="211" ht="15.75" customHeight="1">
      <c r="A211" s="389"/>
      <c r="D211" s="138"/>
    </row>
    <row r="212" ht="15.75" customHeight="1">
      <c r="A212" s="389"/>
      <c r="D212" s="138"/>
    </row>
    <row r="213" ht="15.75" customHeight="1">
      <c r="A213" s="389"/>
      <c r="D213" s="138"/>
    </row>
    <row r="214" ht="15.75" customHeight="1">
      <c r="A214" s="389"/>
      <c r="D214" s="138"/>
    </row>
    <row r="215" ht="15.75" customHeight="1">
      <c r="A215" s="389"/>
      <c r="D215" s="138"/>
    </row>
    <row r="216" ht="15.75" customHeight="1">
      <c r="A216" s="389"/>
      <c r="D216" s="138"/>
    </row>
    <row r="217" ht="15.75" customHeight="1">
      <c r="A217" s="389"/>
      <c r="D217" s="138"/>
    </row>
    <row r="218" ht="15.75" customHeight="1">
      <c r="A218" s="389"/>
      <c r="D218" s="138"/>
    </row>
    <row r="219" ht="15.75" customHeight="1">
      <c r="A219" s="389"/>
      <c r="D219" s="138"/>
    </row>
    <row r="220" ht="15.75" customHeight="1">
      <c r="A220" s="389"/>
      <c r="D220" s="138"/>
    </row>
    <row r="221" ht="15.75" customHeight="1">
      <c r="A221" s="389"/>
      <c r="D221" s="138"/>
    </row>
    <row r="222" ht="15.75" customHeight="1">
      <c r="A222" s="389"/>
      <c r="D222" s="138"/>
    </row>
    <row r="223" ht="15.75" customHeight="1">
      <c r="A223" s="389"/>
      <c r="D223" s="138"/>
    </row>
    <row r="224" ht="15.75" customHeight="1">
      <c r="A224" s="389"/>
      <c r="D224" s="138"/>
    </row>
    <row r="225" ht="15.75" customHeight="1">
      <c r="A225" s="389"/>
      <c r="D225" s="138"/>
    </row>
    <row r="226" ht="15.75" customHeight="1">
      <c r="A226" s="389"/>
      <c r="D226" s="138"/>
    </row>
    <row r="227" ht="15.75" customHeight="1">
      <c r="A227" s="389"/>
      <c r="D227" s="138"/>
    </row>
    <row r="228" ht="15.75" customHeight="1">
      <c r="A228" s="389"/>
      <c r="D228" s="138"/>
    </row>
    <row r="229" ht="15.75" customHeight="1">
      <c r="A229" s="389"/>
      <c r="D229" s="138"/>
    </row>
    <row r="230" ht="15.75" customHeight="1">
      <c r="A230" s="389"/>
      <c r="D230" s="138"/>
    </row>
    <row r="231" ht="15.75" customHeight="1">
      <c r="A231" s="389"/>
      <c r="D231" s="138"/>
    </row>
    <row r="232" ht="15.75" customHeight="1">
      <c r="A232" s="389"/>
      <c r="D232" s="138"/>
    </row>
    <row r="233" ht="15.75" customHeight="1">
      <c r="A233" s="389"/>
      <c r="D233" s="138"/>
    </row>
    <row r="234" ht="15.75" customHeight="1">
      <c r="A234" s="389"/>
      <c r="D234" s="138"/>
    </row>
    <row r="235" ht="15.75" customHeight="1">
      <c r="A235" s="389"/>
      <c r="D235" s="138"/>
    </row>
    <row r="236" ht="15.75" customHeight="1">
      <c r="A236" s="389"/>
      <c r="D236" s="138"/>
    </row>
    <row r="237" ht="15.75" customHeight="1">
      <c r="A237" s="389"/>
      <c r="D237" s="138"/>
    </row>
    <row r="238" ht="15.75" customHeight="1">
      <c r="A238" s="389"/>
      <c r="D238" s="138"/>
    </row>
    <row r="239" ht="15.75" customHeight="1">
      <c r="A239" s="389"/>
      <c r="D239" s="138"/>
    </row>
    <row r="240" ht="15.75" customHeight="1">
      <c r="A240" s="389"/>
      <c r="D240" s="138"/>
    </row>
    <row r="241" ht="15.75" customHeight="1">
      <c r="A241" s="389"/>
      <c r="D241" s="138"/>
    </row>
    <row r="242" ht="15.75" customHeight="1">
      <c r="A242" s="389"/>
      <c r="D242" s="138"/>
    </row>
    <row r="243" ht="15.75" customHeight="1">
      <c r="A243" s="389"/>
      <c r="D243" s="138"/>
    </row>
    <row r="244" ht="15.75" customHeight="1">
      <c r="A244" s="389"/>
      <c r="D244" s="138"/>
    </row>
    <row r="245" ht="15.75" customHeight="1">
      <c r="A245" s="389"/>
      <c r="D245" s="138"/>
    </row>
    <row r="246" ht="15.75" customHeight="1">
      <c r="A246" s="389"/>
      <c r="D246" s="138"/>
    </row>
    <row r="247" ht="15.75" customHeight="1">
      <c r="A247" s="389"/>
      <c r="D247" s="138"/>
    </row>
    <row r="248" ht="15.75" customHeight="1">
      <c r="A248" s="389"/>
      <c r="D248" s="138"/>
    </row>
    <row r="249" ht="15.75" customHeight="1">
      <c r="A249" s="389"/>
      <c r="D249" s="138"/>
    </row>
    <row r="250" ht="15.75" customHeight="1">
      <c r="A250" s="389"/>
      <c r="D250" s="138"/>
    </row>
    <row r="251" ht="15.75" customHeight="1">
      <c r="A251" s="389"/>
      <c r="D251" s="138"/>
    </row>
    <row r="252" ht="15.75" customHeight="1">
      <c r="A252" s="389"/>
      <c r="D252" s="138"/>
    </row>
    <row r="253" ht="15.75" customHeight="1">
      <c r="A253" s="389"/>
      <c r="D253" s="138"/>
    </row>
    <row r="254" ht="15.75" customHeight="1">
      <c r="A254" s="389"/>
      <c r="D254" s="138"/>
    </row>
    <row r="255" ht="15.75" customHeight="1">
      <c r="A255" s="389"/>
      <c r="D255" s="138"/>
    </row>
    <row r="256" ht="15.75" customHeight="1">
      <c r="A256" s="389"/>
      <c r="D256" s="138"/>
    </row>
    <row r="257" ht="15.75" customHeight="1">
      <c r="A257" s="389"/>
      <c r="D257" s="138"/>
    </row>
    <row r="258" ht="15.75" customHeight="1">
      <c r="A258" s="389"/>
      <c r="D258" s="138"/>
    </row>
    <row r="259" ht="15.75" customHeight="1">
      <c r="A259" s="389"/>
      <c r="D259" s="138"/>
    </row>
    <row r="260" ht="15.75" customHeight="1">
      <c r="A260" s="389"/>
      <c r="D260" s="138"/>
    </row>
    <row r="261" ht="15.75" customHeight="1">
      <c r="A261" s="389"/>
      <c r="D261" s="138"/>
    </row>
    <row r="262" ht="15.75" customHeight="1">
      <c r="A262" s="389"/>
      <c r="D262" s="138"/>
    </row>
    <row r="263" ht="15.75" customHeight="1">
      <c r="A263" s="389"/>
      <c r="D263" s="138"/>
    </row>
    <row r="264" ht="15.75" customHeight="1">
      <c r="A264" s="389"/>
      <c r="D264" s="138"/>
    </row>
    <row r="265" ht="15.75" customHeight="1">
      <c r="A265" s="389"/>
      <c r="D265" s="138"/>
    </row>
    <row r="266" ht="15.75" customHeight="1">
      <c r="A266" s="389"/>
      <c r="D266" s="138"/>
    </row>
    <row r="267" ht="15.75" customHeight="1">
      <c r="A267" s="389"/>
      <c r="D267" s="138"/>
    </row>
    <row r="268" ht="15.75" customHeight="1">
      <c r="A268" s="389"/>
      <c r="D268" s="138"/>
    </row>
    <row r="269" ht="15.75" customHeight="1">
      <c r="A269" s="389"/>
      <c r="D269" s="138"/>
    </row>
    <row r="270" ht="15.75" customHeight="1">
      <c r="A270" s="389"/>
      <c r="D270" s="138"/>
    </row>
    <row r="271" ht="15.75" customHeight="1">
      <c r="A271" s="389"/>
      <c r="D271" s="138"/>
    </row>
    <row r="272" ht="15.75" customHeight="1">
      <c r="A272" s="389"/>
      <c r="D272" s="138"/>
    </row>
    <row r="273" ht="15.75" customHeight="1">
      <c r="A273" s="389"/>
      <c r="D273" s="138"/>
    </row>
    <row r="274" ht="15.75" customHeight="1">
      <c r="A274" s="389"/>
      <c r="D274" s="138"/>
    </row>
    <row r="275" ht="15.75" customHeight="1">
      <c r="A275" s="389"/>
      <c r="D275" s="138"/>
    </row>
    <row r="276" ht="15.75" customHeight="1">
      <c r="A276" s="389"/>
      <c r="D276" s="138"/>
    </row>
    <row r="277" ht="15.75" customHeight="1">
      <c r="A277" s="389"/>
      <c r="D277" s="138"/>
    </row>
    <row r="278" ht="15.75" customHeight="1">
      <c r="A278" s="389"/>
      <c r="D278" s="138"/>
    </row>
    <row r="279" ht="15.75" customHeight="1">
      <c r="A279" s="389"/>
      <c r="D279" s="138"/>
    </row>
    <row r="280" ht="15.75" customHeight="1">
      <c r="A280" s="389"/>
      <c r="D280" s="138"/>
    </row>
    <row r="281" ht="15.75" customHeight="1">
      <c r="A281" s="389"/>
      <c r="D281" s="138"/>
    </row>
    <row r="282" ht="15.75" customHeight="1">
      <c r="A282" s="389"/>
      <c r="D282" s="138"/>
    </row>
    <row r="283" ht="15.75" customHeight="1">
      <c r="A283" s="389"/>
      <c r="D283" s="138"/>
    </row>
    <row r="284" ht="15.75" customHeight="1">
      <c r="A284" s="389"/>
      <c r="D284" s="138"/>
    </row>
    <row r="285" ht="15.75" customHeight="1">
      <c r="A285" s="389"/>
      <c r="D285" s="138"/>
    </row>
    <row r="286" ht="15.75" customHeight="1">
      <c r="A286" s="389"/>
      <c r="D286" s="138"/>
    </row>
    <row r="287" ht="15.75" customHeight="1">
      <c r="A287" s="389"/>
      <c r="D287" s="138"/>
    </row>
    <row r="288" ht="15.75" customHeight="1">
      <c r="A288" s="389"/>
      <c r="D288" s="138"/>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D$1:$D$288"/>
      <extLst>
        <ext uri="GoogleSheetsCustomDataVersion1">
          <go:sheetsCustomData xmlns:go="http://customooxmlschemas.google.com/" filterViewId="1597629174"/>
        </ext>
      </extLst>
    </customSheetView>
  </customSheetViews>
  <hyperlinks>
    <hyperlink r:id="rId1" ref="E3"/>
    <hyperlink r:id="rId2" ref="I3"/>
    <hyperlink r:id="rId3" ref="E5"/>
    <hyperlink r:id="rId4" ref="E6"/>
    <hyperlink r:id="rId5" ref="E7"/>
    <hyperlink r:id="rId6" ref="E9"/>
    <hyperlink r:id="rId7" ref="E10"/>
    <hyperlink r:id="rId8" ref="E12"/>
    <hyperlink r:id="rId9" ref="I12"/>
    <hyperlink r:id="rId10" ref="E14"/>
    <hyperlink r:id="rId11" ref="E15"/>
    <hyperlink r:id="rId12" ref="E16"/>
    <hyperlink r:id="rId13" ref="I16"/>
    <hyperlink r:id="rId14" ref="E17"/>
    <hyperlink r:id="rId15" ref="E18"/>
    <hyperlink r:id="rId16" ref="I18"/>
    <hyperlink r:id="rId17" ref="E19"/>
    <hyperlink r:id="rId18" ref="E20"/>
    <hyperlink r:id="rId19" ref="E21"/>
    <hyperlink r:id="rId20" ref="E23"/>
    <hyperlink r:id="rId21" ref="E24"/>
    <hyperlink r:id="rId22" ref="E25"/>
    <hyperlink r:id="rId23" ref="E27"/>
    <hyperlink r:id="rId24" ref="E29"/>
    <hyperlink r:id="rId25" ref="E30"/>
    <hyperlink r:id="rId26" ref="E32"/>
    <hyperlink r:id="rId27" ref="E34"/>
    <hyperlink r:id="rId28" ref="E35"/>
    <hyperlink r:id="rId29" ref="E36"/>
    <hyperlink r:id="rId30" ref="E37"/>
    <hyperlink r:id="rId31" ref="E39"/>
    <hyperlink r:id="rId32" ref="E40"/>
    <hyperlink r:id="rId33" ref="E42"/>
    <hyperlink r:id="rId34" ref="E43"/>
    <hyperlink r:id="rId35" ref="E44"/>
    <hyperlink r:id="rId36" ref="E46"/>
    <hyperlink r:id="rId37" ref="E47"/>
    <hyperlink r:id="rId38" ref="E49"/>
    <hyperlink r:id="rId39" ref="I49"/>
    <hyperlink r:id="rId40" ref="E50"/>
    <hyperlink r:id="rId41" ref="E52"/>
    <hyperlink r:id="rId42" ref="E54"/>
    <hyperlink r:id="rId43" ref="E55"/>
    <hyperlink r:id="rId44" ref="E56"/>
    <hyperlink r:id="rId45" ref="E57"/>
    <hyperlink r:id="rId46" ref="E58"/>
    <hyperlink r:id="rId47" ref="E59"/>
    <hyperlink r:id="rId48" ref="G60"/>
    <hyperlink r:id="rId49" ref="E61"/>
    <hyperlink r:id="rId50" ref="I61"/>
    <hyperlink r:id="rId51" ref="E63"/>
    <hyperlink r:id="rId52" ref="E64"/>
    <hyperlink r:id="rId53" ref="I64"/>
    <hyperlink r:id="rId54" ref="E66"/>
    <hyperlink r:id="rId55" ref="E67"/>
    <hyperlink r:id="rId56" ref="E69"/>
    <hyperlink r:id="rId57" ref="E70"/>
    <hyperlink r:id="rId58" ref="E72"/>
    <hyperlink r:id="rId59" ref="E73"/>
    <hyperlink r:id="rId60" ref="I73"/>
    <hyperlink r:id="rId61" ref="E75"/>
    <hyperlink r:id="rId62" ref="E76"/>
    <hyperlink r:id="rId63" ref="I76"/>
    <hyperlink r:id="rId64" ref="E77"/>
    <hyperlink r:id="rId65" ref="E78"/>
    <hyperlink r:id="rId66" ref="I78"/>
    <hyperlink r:id="rId67" ref="E80"/>
    <hyperlink r:id="rId68" ref="E81"/>
    <hyperlink r:id="rId69" ref="E84"/>
    <hyperlink r:id="rId70" ref="E85"/>
    <hyperlink r:id="rId71" ref="E86"/>
    <hyperlink r:id="rId72" ref="E87"/>
    <hyperlink r:id="rId73" ref="E88"/>
  </hyperlinks>
  <drawing r:id="rId7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4.38"/>
    <col customWidth="1" min="5" max="5" width="29.63"/>
    <col customWidth="1" min="6" max="7" width="14.38"/>
    <col customWidth="1" min="8" max="8" width="23.75"/>
    <col customWidth="1" min="9" max="29" width="14.38"/>
  </cols>
  <sheetData>
    <row r="1" ht="15.75" customHeight="1">
      <c r="A1" s="364" t="s">
        <v>1345</v>
      </c>
      <c r="B1" s="365" t="s">
        <v>3</v>
      </c>
      <c r="C1" s="365" t="s">
        <v>2101</v>
      </c>
      <c r="D1" s="388" t="s">
        <v>171</v>
      </c>
      <c r="E1" s="365" t="s">
        <v>4</v>
      </c>
      <c r="F1" s="365" t="s">
        <v>172</v>
      </c>
      <c r="G1" s="365" t="s">
        <v>174</v>
      </c>
      <c r="H1" s="366" t="s">
        <v>175</v>
      </c>
      <c r="I1" s="365" t="s">
        <v>9</v>
      </c>
      <c r="J1" s="367"/>
      <c r="K1" s="124"/>
      <c r="L1" s="124"/>
      <c r="M1" s="124"/>
      <c r="N1" s="124"/>
      <c r="O1" s="124"/>
      <c r="P1" s="124"/>
      <c r="Q1" s="124"/>
      <c r="R1" s="124"/>
      <c r="S1" s="124"/>
      <c r="T1" s="124"/>
      <c r="U1" s="124"/>
      <c r="V1" s="124"/>
      <c r="W1" s="124"/>
      <c r="X1" s="124"/>
      <c r="Y1" s="124"/>
      <c r="Z1" s="124"/>
      <c r="AA1" s="124"/>
      <c r="AB1" s="124"/>
      <c r="AC1" s="124"/>
    </row>
    <row r="2" ht="15.75" customHeight="1">
      <c r="A2" s="389">
        <v>43221.0</v>
      </c>
      <c r="B2" s="1"/>
      <c r="D2" s="138"/>
      <c r="E2" s="1"/>
      <c r="F2" s="236"/>
      <c r="G2" s="236"/>
      <c r="H2" s="370"/>
    </row>
    <row r="3" ht="15.75" customHeight="1">
      <c r="A3" s="389"/>
      <c r="B3" s="1" t="s">
        <v>606</v>
      </c>
      <c r="D3" s="146" t="s">
        <v>722</v>
      </c>
      <c r="E3" s="1" t="s">
        <v>3567</v>
      </c>
      <c r="F3" s="236" t="s">
        <v>2494</v>
      </c>
      <c r="G3" s="236" t="s">
        <v>2495</v>
      </c>
      <c r="H3" s="384" t="s">
        <v>3568</v>
      </c>
    </row>
    <row r="4" ht="15.75" customHeight="1">
      <c r="A4" s="389"/>
      <c r="B4" s="89" t="s">
        <v>3569</v>
      </c>
      <c r="D4" s="153">
        <v>5.22036617E8</v>
      </c>
      <c r="E4" s="213" t="s">
        <v>3570</v>
      </c>
      <c r="F4" s="236" t="s">
        <v>2504</v>
      </c>
      <c r="G4" s="236" t="s">
        <v>2543</v>
      </c>
      <c r="H4" s="19" t="s">
        <v>2943</v>
      </c>
    </row>
    <row r="5" ht="15.75" customHeight="1">
      <c r="A5" s="389">
        <v>43222.0</v>
      </c>
      <c r="C5" s="362"/>
      <c r="D5" s="138"/>
      <c r="F5" s="236"/>
      <c r="G5" s="236"/>
      <c r="H5" s="19"/>
    </row>
    <row r="6" ht="15.75" customHeight="1">
      <c r="A6" s="389"/>
      <c r="B6" s="362" t="s">
        <v>3571</v>
      </c>
      <c r="D6" s="146" t="s">
        <v>3572</v>
      </c>
      <c r="E6" s="363" t="s">
        <v>3573</v>
      </c>
      <c r="F6" s="236" t="s">
        <v>2494</v>
      </c>
      <c r="G6" s="236" t="s">
        <v>2737</v>
      </c>
      <c r="H6" s="19" t="s">
        <v>549</v>
      </c>
    </row>
    <row r="7" ht="15.75" customHeight="1">
      <c r="A7" s="389"/>
      <c r="B7" s="209" t="s">
        <v>3574</v>
      </c>
      <c r="D7" s="138"/>
      <c r="E7" s="1" t="s">
        <v>3575</v>
      </c>
      <c r="F7" s="236"/>
      <c r="G7" s="236"/>
      <c r="H7" s="19" t="s">
        <v>3576</v>
      </c>
    </row>
    <row r="8" ht="15.75" customHeight="1">
      <c r="A8" s="389"/>
      <c r="B8" s="372" t="s">
        <v>3577</v>
      </c>
      <c r="D8" s="138"/>
      <c r="E8" s="90" t="s">
        <v>3578</v>
      </c>
      <c r="F8" s="236"/>
      <c r="G8" s="236"/>
      <c r="H8" s="19" t="s">
        <v>3579</v>
      </c>
    </row>
    <row r="9" ht="15.75" customHeight="1">
      <c r="A9" s="389">
        <v>43223.0</v>
      </c>
      <c r="D9" s="138"/>
      <c r="F9" s="236"/>
      <c r="G9" s="236"/>
      <c r="H9" s="19"/>
    </row>
    <row r="10" ht="15.75" customHeight="1">
      <c r="A10" s="389"/>
      <c r="B10" s="362" t="s">
        <v>3580</v>
      </c>
      <c r="D10" s="140" t="s">
        <v>3581</v>
      </c>
      <c r="E10" s="363" t="s">
        <v>3582</v>
      </c>
      <c r="F10" s="236" t="s">
        <v>2494</v>
      </c>
      <c r="G10" s="236" t="s">
        <v>3583</v>
      </c>
      <c r="H10" s="19" t="s">
        <v>3519</v>
      </c>
    </row>
    <row r="11" ht="15.75" customHeight="1">
      <c r="A11" s="389"/>
      <c r="B11" s="1" t="s">
        <v>3577</v>
      </c>
      <c r="D11" s="146" t="s">
        <v>3584</v>
      </c>
      <c r="E11" s="1" t="s">
        <v>3585</v>
      </c>
      <c r="F11" s="236" t="s">
        <v>3548</v>
      </c>
      <c r="G11" s="236"/>
      <c r="H11" s="19" t="s">
        <v>3586</v>
      </c>
      <c r="I11" s="1" t="s">
        <v>1679</v>
      </c>
    </row>
    <row r="12" ht="15.75" customHeight="1">
      <c r="A12" s="389"/>
      <c r="B12" s="362" t="s">
        <v>3587</v>
      </c>
      <c r="D12" s="140" t="s">
        <v>3588</v>
      </c>
      <c r="E12" s="363" t="s">
        <v>3589</v>
      </c>
      <c r="F12" s="236"/>
      <c r="G12" s="236" t="s">
        <v>3583</v>
      </c>
      <c r="H12" s="19" t="s">
        <v>3321</v>
      </c>
    </row>
    <row r="13" ht="15.75" customHeight="1">
      <c r="A13" s="389"/>
      <c r="B13" s="362" t="s">
        <v>3590</v>
      </c>
      <c r="D13" s="140" t="s">
        <v>3591</v>
      </c>
      <c r="E13" s="363" t="s">
        <v>3592</v>
      </c>
      <c r="F13" s="236"/>
      <c r="G13" s="236"/>
      <c r="H13" s="384" t="s">
        <v>3136</v>
      </c>
    </row>
    <row r="14" ht="15.75" customHeight="1">
      <c r="A14" s="389">
        <v>43225.0</v>
      </c>
      <c r="D14" s="138"/>
      <c r="F14" s="236"/>
      <c r="G14" s="236"/>
      <c r="H14" s="19"/>
    </row>
    <row r="15" ht="15.75" customHeight="1">
      <c r="A15" s="389"/>
      <c r="B15" s="372" t="s">
        <v>3593</v>
      </c>
      <c r="D15" s="140" t="s">
        <v>3594</v>
      </c>
      <c r="E15" s="90" t="s">
        <v>3595</v>
      </c>
      <c r="F15" s="236" t="s">
        <v>3548</v>
      </c>
      <c r="G15" s="236"/>
      <c r="H15" s="19" t="s">
        <v>3596</v>
      </c>
      <c r="I15" s="1" t="s">
        <v>16</v>
      </c>
    </row>
    <row r="16" ht="15.75" customHeight="1">
      <c r="A16" s="389">
        <v>43226.0</v>
      </c>
      <c r="D16" s="138"/>
      <c r="F16" s="236"/>
      <c r="G16" s="236"/>
      <c r="H16" s="19"/>
    </row>
    <row r="17" ht="15.75" customHeight="1">
      <c r="A17" s="389"/>
      <c r="B17" s="1" t="s">
        <v>3597</v>
      </c>
      <c r="D17" s="146" t="s">
        <v>3598</v>
      </c>
      <c r="E17" s="213" t="s">
        <v>3599</v>
      </c>
      <c r="F17" s="236" t="s">
        <v>2504</v>
      </c>
      <c r="G17" s="236" t="s">
        <v>3583</v>
      </c>
      <c r="H17" s="19" t="s">
        <v>2544</v>
      </c>
    </row>
    <row r="18" ht="15.75" customHeight="1">
      <c r="A18" s="389"/>
      <c r="B18" s="362" t="s">
        <v>3600</v>
      </c>
      <c r="D18" s="140" t="s">
        <v>3601</v>
      </c>
      <c r="E18" s="1" t="s">
        <v>3602</v>
      </c>
      <c r="F18" s="236" t="s">
        <v>2494</v>
      </c>
      <c r="G18" s="236"/>
      <c r="H18" s="370" t="s">
        <v>3603</v>
      </c>
      <c r="I18" s="1" t="s">
        <v>16</v>
      </c>
    </row>
    <row r="19" ht="15.75" customHeight="1">
      <c r="A19" s="389"/>
      <c r="B19" s="362" t="s">
        <v>3604</v>
      </c>
      <c r="D19" s="140" t="s">
        <v>3605</v>
      </c>
      <c r="E19" s="363" t="s">
        <v>3606</v>
      </c>
      <c r="F19" s="236" t="s">
        <v>2494</v>
      </c>
      <c r="G19" s="236"/>
      <c r="H19" s="370" t="s">
        <v>3216</v>
      </c>
    </row>
    <row r="20" ht="15.75" customHeight="1">
      <c r="A20" s="389">
        <v>43227.0</v>
      </c>
      <c r="D20" s="138"/>
      <c r="F20" s="236"/>
      <c r="G20" s="236"/>
      <c r="H20" s="19"/>
    </row>
    <row r="21" ht="15.75" customHeight="1">
      <c r="A21" s="389"/>
      <c r="B21" s="362" t="s">
        <v>3607</v>
      </c>
      <c r="D21" s="146" t="s">
        <v>3608</v>
      </c>
      <c r="E21" s="363" t="s">
        <v>3609</v>
      </c>
      <c r="F21" s="236" t="s">
        <v>2494</v>
      </c>
      <c r="G21" s="236"/>
      <c r="H21" s="383" t="s">
        <v>3610</v>
      </c>
    </row>
    <row r="22" ht="15.75" customHeight="1">
      <c r="A22" s="389">
        <v>43229.0</v>
      </c>
      <c r="D22" s="138"/>
      <c r="F22" s="236"/>
      <c r="G22" s="236"/>
      <c r="H22" s="19"/>
    </row>
    <row r="23" ht="15.75" customHeight="1">
      <c r="A23" s="389"/>
      <c r="B23" s="89" t="s">
        <v>3611</v>
      </c>
      <c r="D23" s="140" t="s">
        <v>3612</v>
      </c>
      <c r="E23" s="213" t="s">
        <v>3613</v>
      </c>
      <c r="F23" s="236" t="s">
        <v>2504</v>
      </c>
      <c r="G23" s="236"/>
      <c r="H23" s="19" t="s">
        <v>3614</v>
      </c>
    </row>
    <row r="24" ht="15.75" customHeight="1">
      <c r="A24" s="389"/>
      <c r="B24" s="362" t="s">
        <v>3615</v>
      </c>
      <c r="D24" s="140" t="s">
        <v>3616</v>
      </c>
      <c r="E24" s="363" t="s">
        <v>3617</v>
      </c>
      <c r="F24" s="236" t="s">
        <v>2494</v>
      </c>
      <c r="G24" s="236"/>
      <c r="H24" s="19" t="s">
        <v>3618</v>
      </c>
    </row>
    <row r="25" ht="15.75" customHeight="1">
      <c r="A25" s="389">
        <v>43230.0</v>
      </c>
      <c r="D25" s="138"/>
      <c r="F25" s="236"/>
      <c r="G25" s="236"/>
      <c r="H25" s="19"/>
    </row>
    <row r="26" ht="15.75" customHeight="1">
      <c r="A26" s="389"/>
      <c r="B26" s="362" t="s">
        <v>3619</v>
      </c>
      <c r="D26" s="140" t="s">
        <v>3620</v>
      </c>
      <c r="E26" s="363" t="s">
        <v>3621</v>
      </c>
      <c r="F26" s="236"/>
      <c r="G26" s="236"/>
      <c r="H26" s="19"/>
    </row>
    <row r="27" ht="15.75" customHeight="1">
      <c r="A27" s="389">
        <v>43233.0</v>
      </c>
      <c r="D27" s="138"/>
      <c r="F27" s="236"/>
      <c r="G27" s="236"/>
      <c r="H27" s="19"/>
    </row>
    <row r="28" ht="15.75" customHeight="1">
      <c r="A28" s="389"/>
      <c r="D28" s="138"/>
      <c r="F28" s="236"/>
      <c r="G28" s="236"/>
      <c r="H28" s="19"/>
    </row>
    <row r="29" ht="15.75" customHeight="1">
      <c r="A29" s="389"/>
      <c r="B29" s="362" t="s">
        <v>3622</v>
      </c>
      <c r="D29" s="146" t="s">
        <v>3623</v>
      </c>
      <c r="E29" s="363" t="s">
        <v>3624</v>
      </c>
      <c r="F29" s="236" t="s">
        <v>2494</v>
      </c>
      <c r="G29" s="236" t="s">
        <v>2495</v>
      </c>
      <c r="H29" s="19" t="s">
        <v>3566</v>
      </c>
      <c r="I29" s="1" t="s">
        <v>201</v>
      </c>
    </row>
    <row r="30" ht="15.75" customHeight="1">
      <c r="A30" s="389"/>
      <c r="B30" s="362" t="s">
        <v>3625</v>
      </c>
      <c r="D30" s="146" t="s">
        <v>3626</v>
      </c>
      <c r="E30" s="363" t="s">
        <v>3627</v>
      </c>
      <c r="F30" s="236" t="s">
        <v>2494</v>
      </c>
      <c r="G30" s="236" t="s">
        <v>2737</v>
      </c>
      <c r="H30" s="19" t="s">
        <v>3628</v>
      </c>
      <c r="I30" s="1" t="s">
        <v>16</v>
      </c>
    </row>
    <row r="31" ht="15.75" customHeight="1">
      <c r="A31" s="389"/>
      <c r="B31" s="89" t="s">
        <v>3629</v>
      </c>
      <c r="D31" s="140" t="s">
        <v>3630</v>
      </c>
      <c r="E31" s="213" t="s">
        <v>3631</v>
      </c>
      <c r="F31" s="236" t="s">
        <v>2504</v>
      </c>
      <c r="G31" s="236" t="s">
        <v>2543</v>
      </c>
      <c r="H31" s="19" t="s">
        <v>3632</v>
      </c>
    </row>
    <row r="32" ht="15.75" customHeight="1">
      <c r="A32" s="389"/>
      <c r="B32" s="362" t="s">
        <v>3633</v>
      </c>
      <c r="D32" s="140" t="s">
        <v>3634</v>
      </c>
      <c r="E32" s="363" t="s">
        <v>3635</v>
      </c>
      <c r="F32" s="236" t="s">
        <v>2504</v>
      </c>
      <c r="G32" s="236"/>
      <c r="H32" s="383" t="s">
        <v>3636</v>
      </c>
      <c r="I32" s="1" t="s">
        <v>16</v>
      </c>
    </row>
    <row r="33" ht="15.75" customHeight="1">
      <c r="A33" s="389">
        <v>43234.0</v>
      </c>
      <c r="D33" s="138"/>
      <c r="F33" s="236"/>
      <c r="G33" s="236"/>
      <c r="H33" s="19"/>
    </row>
    <row r="34" ht="15.75" customHeight="1">
      <c r="A34" s="389"/>
      <c r="B34" s="362" t="s">
        <v>3622</v>
      </c>
      <c r="D34" s="146" t="s">
        <v>3623</v>
      </c>
      <c r="E34" s="363" t="s">
        <v>3624</v>
      </c>
      <c r="F34" s="236" t="s">
        <v>2494</v>
      </c>
      <c r="G34" s="236" t="s">
        <v>2495</v>
      </c>
      <c r="H34" s="19" t="s">
        <v>3566</v>
      </c>
      <c r="I34" s="1" t="s">
        <v>201</v>
      </c>
    </row>
    <row r="35" ht="15.75" customHeight="1">
      <c r="A35" s="389"/>
      <c r="B35" s="1" t="s">
        <v>3637</v>
      </c>
      <c r="D35" s="146" t="s">
        <v>3638</v>
      </c>
      <c r="E35" s="213" t="s">
        <v>3639</v>
      </c>
      <c r="F35" s="236" t="s">
        <v>2504</v>
      </c>
      <c r="G35" s="236"/>
      <c r="H35" s="375" t="s">
        <v>3640</v>
      </c>
      <c r="I35" s="1" t="s">
        <v>16</v>
      </c>
    </row>
    <row r="36" ht="15.75" customHeight="1">
      <c r="A36" s="389">
        <v>43235.0</v>
      </c>
      <c r="D36" s="138"/>
      <c r="F36" s="236"/>
      <c r="G36" s="236"/>
      <c r="H36" s="19"/>
    </row>
    <row r="37" ht="15.75" customHeight="1">
      <c r="A37" s="389"/>
      <c r="B37" s="1" t="s">
        <v>1377</v>
      </c>
      <c r="D37" s="140" t="s">
        <v>3641</v>
      </c>
      <c r="E37" s="1" t="s">
        <v>3642</v>
      </c>
      <c r="F37" s="236" t="s">
        <v>3211</v>
      </c>
      <c r="G37" s="236" t="s">
        <v>2495</v>
      </c>
      <c r="H37" s="19" t="s">
        <v>3643</v>
      </c>
    </row>
    <row r="38" ht="15.75" customHeight="1">
      <c r="A38" s="389">
        <v>43236.0</v>
      </c>
      <c r="D38" s="138"/>
      <c r="F38" s="236"/>
      <c r="G38" s="236"/>
      <c r="H38" s="19"/>
    </row>
    <row r="39" ht="15.75" customHeight="1">
      <c r="A39" s="389"/>
      <c r="B39" s="362" t="s">
        <v>3644</v>
      </c>
      <c r="D39" s="146" t="s">
        <v>3645</v>
      </c>
      <c r="E39" s="363" t="s">
        <v>3646</v>
      </c>
      <c r="F39" s="236" t="s">
        <v>2494</v>
      </c>
      <c r="G39" s="236" t="s">
        <v>2543</v>
      </c>
      <c r="H39" s="19" t="s">
        <v>3647</v>
      </c>
    </row>
    <row r="40" ht="15.75" customHeight="1">
      <c r="A40" s="389"/>
      <c r="B40" s="362" t="s">
        <v>3648</v>
      </c>
      <c r="D40" s="140" t="s">
        <v>3649</v>
      </c>
      <c r="E40" s="363" t="s">
        <v>3650</v>
      </c>
      <c r="F40" s="236" t="s">
        <v>2494</v>
      </c>
      <c r="G40" s="396" t="s">
        <v>3651</v>
      </c>
      <c r="H40" s="214" t="s">
        <v>3651</v>
      </c>
    </row>
    <row r="41" ht="15.75" customHeight="1">
      <c r="A41" s="389">
        <v>43237.0</v>
      </c>
      <c r="D41" s="138"/>
      <c r="F41" s="236"/>
      <c r="G41" s="236"/>
      <c r="H41" s="19"/>
    </row>
    <row r="42" ht="15.75" customHeight="1">
      <c r="A42" s="389"/>
      <c r="B42" s="362" t="s">
        <v>3652</v>
      </c>
      <c r="D42" s="140" t="s">
        <v>3653</v>
      </c>
      <c r="E42" s="363" t="s">
        <v>3654</v>
      </c>
      <c r="F42" s="236" t="s">
        <v>2494</v>
      </c>
      <c r="G42" s="236"/>
      <c r="H42" s="384" t="s">
        <v>3655</v>
      </c>
    </row>
    <row r="43" ht="15.75" customHeight="1">
      <c r="A43" s="389"/>
      <c r="D43" s="146" t="s">
        <v>3656</v>
      </c>
      <c r="E43" s="213" t="s">
        <v>3657</v>
      </c>
      <c r="F43" s="236"/>
      <c r="G43" s="236"/>
      <c r="H43" s="397" t="s">
        <v>3527</v>
      </c>
    </row>
    <row r="44" ht="15.75" customHeight="1">
      <c r="A44" s="389">
        <v>43239.0</v>
      </c>
      <c r="D44" s="138"/>
      <c r="F44" s="236"/>
      <c r="G44" s="236"/>
      <c r="H44" s="19"/>
    </row>
    <row r="45" ht="15.75" customHeight="1">
      <c r="A45" s="389"/>
      <c r="B45" s="89" t="s">
        <v>3658</v>
      </c>
      <c r="D45" s="140" t="s">
        <v>3659</v>
      </c>
      <c r="E45" s="213" t="s">
        <v>3660</v>
      </c>
      <c r="F45" s="236"/>
      <c r="G45" s="236"/>
      <c r="H45" s="397" t="s">
        <v>3661</v>
      </c>
    </row>
    <row r="46" ht="15.75" customHeight="1">
      <c r="A46" s="389"/>
      <c r="D46" s="146" t="s">
        <v>3662</v>
      </c>
      <c r="E46" s="213" t="s">
        <v>3663</v>
      </c>
      <c r="F46" s="236"/>
      <c r="G46" s="236"/>
      <c r="H46" s="397" t="s">
        <v>3664</v>
      </c>
    </row>
    <row r="47" ht="15.75" customHeight="1">
      <c r="A47" s="389"/>
      <c r="B47" s="362" t="s">
        <v>3217</v>
      </c>
      <c r="D47" s="140" t="s">
        <v>3407</v>
      </c>
      <c r="E47" s="363" t="s">
        <v>3219</v>
      </c>
      <c r="F47" s="236"/>
      <c r="G47" s="236"/>
      <c r="H47" s="383" t="s">
        <v>3665</v>
      </c>
    </row>
    <row r="48" ht="15.75" customHeight="1">
      <c r="A48" s="389"/>
      <c r="B48" s="362" t="s">
        <v>3666</v>
      </c>
      <c r="D48" s="140" t="s">
        <v>3667</v>
      </c>
      <c r="E48" s="363" t="s">
        <v>3668</v>
      </c>
      <c r="F48" s="236"/>
      <c r="G48" s="236"/>
      <c r="H48" s="370" t="s">
        <v>2907</v>
      </c>
      <c r="I48" s="1" t="s">
        <v>16</v>
      </c>
    </row>
    <row r="49" ht="15.75" customHeight="1">
      <c r="A49" s="389">
        <v>43240.0</v>
      </c>
      <c r="D49" s="138"/>
      <c r="F49" s="236"/>
      <c r="G49" s="236"/>
      <c r="H49" s="19"/>
    </row>
    <row r="50" ht="15.75" customHeight="1">
      <c r="A50" s="389"/>
      <c r="B50" s="362" t="s">
        <v>3669</v>
      </c>
      <c r="D50" s="138">
        <f>919891188197</f>
        <v>919891188197</v>
      </c>
      <c r="E50" s="363" t="s">
        <v>3670</v>
      </c>
      <c r="F50" s="236"/>
      <c r="G50" s="236"/>
      <c r="H50" s="19" t="s">
        <v>3016</v>
      </c>
    </row>
    <row r="51" ht="15.75" customHeight="1">
      <c r="A51" s="389"/>
      <c r="B51" s="362" t="s">
        <v>3671</v>
      </c>
      <c r="D51" s="140" t="s">
        <v>3672</v>
      </c>
      <c r="E51" s="363" t="s">
        <v>3673</v>
      </c>
      <c r="F51" s="236"/>
      <c r="G51" s="236"/>
      <c r="H51" s="19" t="s">
        <v>3016</v>
      </c>
    </row>
    <row r="52" ht="15.75" customHeight="1">
      <c r="A52" s="389">
        <v>43241.0</v>
      </c>
      <c r="D52" s="138"/>
      <c r="F52" s="236"/>
      <c r="G52" s="236"/>
      <c r="H52" s="19"/>
    </row>
    <row r="53" ht="15.75" customHeight="1">
      <c r="A53" s="389"/>
      <c r="B53" s="273" t="s">
        <v>3674</v>
      </c>
      <c r="D53" s="140" t="s">
        <v>3675</v>
      </c>
      <c r="E53" s="378" t="s">
        <v>3676</v>
      </c>
      <c r="F53" s="236" t="s">
        <v>3211</v>
      </c>
      <c r="G53" s="236" t="s">
        <v>1188</v>
      </c>
      <c r="H53" s="19" t="s">
        <v>3677</v>
      </c>
    </row>
    <row r="54" ht="15.75" customHeight="1">
      <c r="A54" s="389"/>
      <c r="B54" s="1" t="s">
        <v>2814</v>
      </c>
      <c r="D54" s="146" t="s">
        <v>3678</v>
      </c>
      <c r="E54" s="213" t="s">
        <v>3679</v>
      </c>
      <c r="F54" s="236" t="s">
        <v>2504</v>
      </c>
      <c r="G54" s="236"/>
      <c r="H54" s="386" t="s">
        <v>3664</v>
      </c>
    </row>
    <row r="55" ht="15.75" customHeight="1">
      <c r="A55" s="389"/>
      <c r="B55" s="362" t="s">
        <v>3680</v>
      </c>
      <c r="D55" s="146" t="s">
        <v>3681</v>
      </c>
      <c r="E55" s="1" t="s">
        <v>3682</v>
      </c>
      <c r="F55" s="236" t="s">
        <v>2494</v>
      </c>
      <c r="G55" s="236"/>
      <c r="H55" s="19" t="s">
        <v>3683</v>
      </c>
    </row>
    <row r="56" ht="15.75" customHeight="1">
      <c r="A56" s="389">
        <v>43242.0</v>
      </c>
      <c r="D56" s="138"/>
      <c r="F56" s="236"/>
      <c r="G56" s="236"/>
      <c r="H56" s="19"/>
    </row>
    <row r="57" ht="15.75" customHeight="1">
      <c r="A57" s="389"/>
      <c r="B57" s="362" t="s">
        <v>1501</v>
      </c>
      <c r="D57" s="146" t="s">
        <v>3684</v>
      </c>
      <c r="E57" s="363" t="s">
        <v>3685</v>
      </c>
      <c r="F57" s="236" t="s">
        <v>2494</v>
      </c>
      <c r="G57" s="236"/>
      <c r="H57" s="19" t="s">
        <v>3686</v>
      </c>
      <c r="I57" s="1" t="s">
        <v>3687</v>
      </c>
    </row>
    <row r="58" ht="15.75" customHeight="1">
      <c r="A58" s="389"/>
      <c r="B58" s="362" t="s">
        <v>3688</v>
      </c>
      <c r="D58" s="146" t="s">
        <v>3689</v>
      </c>
      <c r="E58" s="363" t="s">
        <v>3690</v>
      </c>
      <c r="F58" s="236" t="s">
        <v>2494</v>
      </c>
      <c r="G58" s="236"/>
      <c r="H58" s="19" t="s">
        <v>3691</v>
      </c>
      <c r="I58" s="1" t="s">
        <v>306</v>
      </c>
    </row>
    <row r="59" ht="15.75" customHeight="1">
      <c r="A59" s="389"/>
      <c r="B59" s="99" t="s">
        <v>3692</v>
      </c>
      <c r="D59" s="140" t="s">
        <v>3693</v>
      </c>
      <c r="E59" s="368" t="s">
        <v>3694</v>
      </c>
      <c r="F59" s="369" t="s">
        <v>2649</v>
      </c>
      <c r="G59" s="369" t="s">
        <v>2495</v>
      </c>
      <c r="H59" s="19" t="s">
        <v>3695</v>
      </c>
      <c r="I59" s="1" t="s">
        <v>16</v>
      </c>
    </row>
    <row r="60" ht="15.75" customHeight="1">
      <c r="A60" s="389">
        <v>43243.0</v>
      </c>
      <c r="D60" s="138"/>
      <c r="F60" s="236"/>
      <c r="G60" s="236"/>
      <c r="H60" s="19"/>
    </row>
    <row r="61" ht="15.75" customHeight="1">
      <c r="A61" s="389"/>
      <c r="B61" s="1" t="s">
        <v>3696</v>
      </c>
      <c r="D61" s="146" t="s">
        <v>3697</v>
      </c>
      <c r="E61" s="363" t="s">
        <v>3698</v>
      </c>
      <c r="F61" s="236" t="s">
        <v>2494</v>
      </c>
      <c r="G61" s="236"/>
      <c r="H61" s="319" t="s">
        <v>3179</v>
      </c>
      <c r="I61" s="1" t="s">
        <v>16</v>
      </c>
    </row>
    <row r="62" ht="15.75" customHeight="1">
      <c r="A62" s="389"/>
      <c r="B62" s="89" t="s">
        <v>3699</v>
      </c>
      <c r="D62" s="146" t="s">
        <v>3700</v>
      </c>
      <c r="E62" s="213" t="s">
        <v>3701</v>
      </c>
      <c r="F62" s="236" t="s">
        <v>2504</v>
      </c>
      <c r="G62" s="236" t="s">
        <v>2495</v>
      </c>
      <c r="H62" s="19" t="s">
        <v>3702</v>
      </c>
      <c r="I62" s="1" t="s">
        <v>201</v>
      </c>
    </row>
    <row r="63" ht="15.75" customHeight="1">
      <c r="A63" s="389"/>
      <c r="B63" s="99" t="s">
        <v>3703</v>
      </c>
      <c r="D63" s="140" t="s">
        <v>3704</v>
      </c>
      <c r="E63" s="368" t="s">
        <v>3705</v>
      </c>
      <c r="F63" s="369" t="s">
        <v>2649</v>
      </c>
      <c r="G63" s="369" t="s">
        <v>2495</v>
      </c>
      <c r="H63" s="99" t="s">
        <v>3706</v>
      </c>
      <c r="I63" s="1" t="s">
        <v>16</v>
      </c>
    </row>
    <row r="64" ht="15.75" customHeight="1">
      <c r="A64" s="389"/>
      <c r="B64" s="362" t="s">
        <v>3707</v>
      </c>
      <c r="D64" s="146" t="s">
        <v>3708</v>
      </c>
      <c r="E64" s="363" t="s">
        <v>3709</v>
      </c>
      <c r="F64" s="236" t="s">
        <v>2494</v>
      </c>
      <c r="G64" s="236" t="s">
        <v>2737</v>
      </c>
      <c r="H64" s="391" t="s">
        <v>3710</v>
      </c>
      <c r="I64" s="1" t="s">
        <v>16</v>
      </c>
    </row>
    <row r="65" ht="15.75" customHeight="1">
      <c r="A65" s="389">
        <v>43244.0</v>
      </c>
      <c r="D65" s="138"/>
      <c r="F65" s="236"/>
      <c r="G65" s="236"/>
      <c r="H65" s="19"/>
    </row>
    <row r="66" ht="15.75" customHeight="1">
      <c r="A66" s="389"/>
      <c r="B66" s="362" t="s">
        <v>3711</v>
      </c>
      <c r="D66" s="140" t="s">
        <v>3712</v>
      </c>
      <c r="E66" s="363" t="s">
        <v>3713</v>
      </c>
      <c r="F66" s="236" t="s">
        <v>2494</v>
      </c>
      <c r="G66" s="236" t="s">
        <v>2495</v>
      </c>
      <c r="H66" s="19" t="s">
        <v>3566</v>
      </c>
      <c r="I66" s="1" t="s">
        <v>201</v>
      </c>
    </row>
    <row r="67" ht="15.75" customHeight="1">
      <c r="A67" s="389"/>
      <c r="B67" s="99" t="s">
        <v>3714</v>
      </c>
      <c r="D67" s="140" t="s">
        <v>3715</v>
      </c>
      <c r="E67" s="368" t="s">
        <v>3716</v>
      </c>
      <c r="F67" s="369" t="s">
        <v>2649</v>
      </c>
      <c r="G67" s="369" t="s">
        <v>2495</v>
      </c>
      <c r="H67" s="19" t="s">
        <v>3695</v>
      </c>
      <c r="I67" s="1" t="s">
        <v>16</v>
      </c>
    </row>
    <row r="68" ht="15.75" customHeight="1">
      <c r="A68" s="389">
        <v>43246.0</v>
      </c>
      <c r="D68" s="138"/>
      <c r="F68" s="236"/>
      <c r="G68" s="236"/>
      <c r="H68" s="19"/>
    </row>
    <row r="69" ht="15.75" customHeight="1">
      <c r="A69" s="389"/>
      <c r="B69" s="362" t="s">
        <v>3717</v>
      </c>
      <c r="D69" s="146" t="s">
        <v>3718</v>
      </c>
      <c r="E69" s="363" t="s">
        <v>3719</v>
      </c>
      <c r="F69" s="236" t="s">
        <v>2494</v>
      </c>
      <c r="G69" s="236" t="s">
        <v>2552</v>
      </c>
      <c r="H69" s="19" t="s">
        <v>3720</v>
      </c>
      <c r="I69" s="1" t="s">
        <v>201</v>
      </c>
    </row>
    <row r="70" ht="15.75" customHeight="1">
      <c r="A70" s="389"/>
      <c r="B70" s="362" t="s">
        <v>3721</v>
      </c>
      <c r="D70" s="140" t="s">
        <v>3722</v>
      </c>
      <c r="E70" s="363" t="s">
        <v>3723</v>
      </c>
      <c r="F70" s="236" t="s">
        <v>2494</v>
      </c>
      <c r="G70" s="236" t="s">
        <v>2495</v>
      </c>
      <c r="H70" s="390" t="s">
        <v>3724</v>
      </c>
      <c r="I70" s="1" t="s">
        <v>201</v>
      </c>
    </row>
    <row r="71" ht="15.75" customHeight="1">
      <c r="A71" s="389"/>
      <c r="B71" s="1" t="s">
        <v>3725</v>
      </c>
      <c r="D71" s="146" t="s">
        <v>3726</v>
      </c>
      <c r="E71" s="213" t="s">
        <v>3727</v>
      </c>
      <c r="F71" s="236" t="s">
        <v>2504</v>
      </c>
      <c r="G71" s="236" t="s">
        <v>2543</v>
      </c>
      <c r="H71" s="19" t="s">
        <v>2544</v>
      </c>
    </row>
    <row r="72" ht="15.75" customHeight="1">
      <c r="A72" s="389"/>
      <c r="B72" s="362" t="s">
        <v>3728</v>
      </c>
      <c r="D72" s="140" t="s">
        <v>3729</v>
      </c>
      <c r="E72" s="363" t="s">
        <v>3730</v>
      </c>
      <c r="F72" s="236" t="s">
        <v>2494</v>
      </c>
      <c r="G72" s="236" t="s">
        <v>2495</v>
      </c>
      <c r="H72" s="391" t="s">
        <v>2907</v>
      </c>
      <c r="I72" s="1" t="s">
        <v>16</v>
      </c>
    </row>
    <row r="73" ht="15.75" customHeight="1">
      <c r="A73" s="389"/>
      <c r="B73" s="99" t="s">
        <v>3714</v>
      </c>
      <c r="D73" s="140" t="s">
        <v>3715</v>
      </c>
      <c r="E73" s="368" t="s">
        <v>3716</v>
      </c>
      <c r="F73" s="369" t="s">
        <v>2649</v>
      </c>
      <c r="G73" s="369" t="s">
        <v>2495</v>
      </c>
      <c r="H73" s="398" t="s">
        <v>3731</v>
      </c>
      <c r="I73" s="1" t="s">
        <v>201</v>
      </c>
    </row>
    <row r="74" ht="15.75" customHeight="1">
      <c r="A74" s="389"/>
      <c r="B74" s="362" t="s">
        <v>3732</v>
      </c>
      <c r="D74" s="140" t="s">
        <v>3733</v>
      </c>
      <c r="E74" s="363" t="s">
        <v>3734</v>
      </c>
      <c r="F74" s="236" t="s">
        <v>2494</v>
      </c>
      <c r="G74" s="236" t="s">
        <v>2737</v>
      </c>
      <c r="H74" s="19" t="s">
        <v>3216</v>
      </c>
    </row>
    <row r="75" ht="15.75" customHeight="1">
      <c r="A75" s="389"/>
      <c r="B75" s="89" t="s">
        <v>3735</v>
      </c>
      <c r="D75" s="140" t="s">
        <v>3736</v>
      </c>
      <c r="E75" s="213" t="s">
        <v>3737</v>
      </c>
      <c r="F75" s="236" t="s">
        <v>2504</v>
      </c>
      <c r="G75" s="236" t="s">
        <v>2495</v>
      </c>
      <c r="H75" s="19" t="s">
        <v>3738</v>
      </c>
      <c r="I75" s="1" t="s">
        <v>201</v>
      </c>
    </row>
    <row r="76" ht="15.75" customHeight="1">
      <c r="A76" s="389"/>
      <c r="B76" s="399" t="s">
        <v>3739</v>
      </c>
      <c r="D76" s="146" t="s">
        <v>2949</v>
      </c>
      <c r="E76" s="213" t="s">
        <v>2950</v>
      </c>
      <c r="F76" s="236" t="s">
        <v>2504</v>
      </c>
      <c r="G76" s="236" t="s">
        <v>2495</v>
      </c>
      <c r="H76" s="386" t="s">
        <v>2876</v>
      </c>
      <c r="I76" s="1" t="s">
        <v>401</v>
      </c>
    </row>
    <row r="77" ht="15.75" customHeight="1">
      <c r="A77" s="389"/>
      <c r="B77" s="1" t="s">
        <v>2814</v>
      </c>
      <c r="D77" s="140" t="s">
        <v>3740</v>
      </c>
      <c r="E77" s="213" t="s">
        <v>3741</v>
      </c>
      <c r="F77" s="236" t="s">
        <v>2504</v>
      </c>
      <c r="G77" s="236" t="s">
        <v>2543</v>
      </c>
      <c r="H77" s="400" t="s">
        <v>3742</v>
      </c>
    </row>
    <row r="78" ht="15.75" customHeight="1">
      <c r="A78" s="389">
        <v>43247.0</v>
      </c>
      <c r="D78" s="138"/>
      <c r="F78" s="236"/>
      <c r="G78" s="236"/>
      <c r="H78" s="96"/>
    </row>
    <row r="79" ht="15.75" customHeight="1">
      <c r="A79" s="389"/>
      <c r="B79" s="372" t="s">
        <v>3743</v>
      </c>
      <c r="D79" s="140" t="s">
        <v>3744</v>
      </c>
      <c r="E79" s="90" t="s">
        <v>3745</v>
      </c>
      <c r="F79" s="236" t="s">
        <v>3548</v>
      </c>
      <c r="G79" s="236"/>
      <c r="H79" s="19" t="s">
        <v>3618</v>
      </c>
    </row>
    <row r="80" ht="15.75" customHeight="1">
      <c r="A80" s="389"/>
      <c r="B80" s="362" t="s">
        <v>3392</v>
      </c>
      <c r="D80" s="140" t="s">
        <v>3393</v>
      </c>
      <c r="E80" s="363" t="s">
        <v>3394</v>
      </c>
      <c r="F80" s="236" t="s">
        <v>2494</v>
      </c>
      <c r="G80" s="236" t="s">
        <v>2495</v>
      </c>
      <c r="H80" s="19" t="s">
        <v>3746</v>
      </c>
      <c r="I80" s="1" t="s">
        <v>201</v>
      </c>
    </row>
    <row r="81" ht="15.75" customHeight="1">
      <c r="A81" s="389">
        <v>43248.0</v>
      </c>
      <c r="D81" s="138"/>
      <c r="F81" s="236"/>
      <c r="G81" s="236"/>
      <c r="H81" s="401"/>
    </row>
    <row r="82" ht="15.75" customHeight="1">
      <c r="A82" s="389"/>
      <c r="B82" s="362" t="s">
        <v>3747</v>
      </c>
      <c r="D82" s="140" t="s">
        <v>3748</v>
      </c>
      <c r="E82" s="363" t="s">
        <v>3749</v>
      </c>
      <c r="F82" s="236" t="s">
        <v>2494</v>
      </c>
      <c r="G82" s="236" t="s">
        <v>2495</v>
      </c>
      <c r="H82" s="19" t="s">
        <v>2809</v>
      </c>
    </row>
    <row r="83" ht="15.75" customHeight="1">
      <c r="A83" s="389"/>
      <c r="B83" s="362" t="s">
        <v>3750</v>
      </c>
      <c r="D83" s="140" t="s">
        <v>3751</v>
      </c>
      <c r="E83" s="363" t="s">
        <v>3752</v>
      </c>
      <c r="F83" s="236" t="s">
        <v>2494</v>
      </c>
      <c r="G83" s="236" t="s">
        <v>2495</v>
      </c>
      <c r="H83" s="19" t="s">
        <v>3035</v>
      </c>
    </row>
    <row r="84" ht="15.75" customHeight="1">
      <c r="A84" s="389">
        <v>43249.0</v>
      </c>
      <c r="D84" s="138"/>
      <c r="F84" s="236"/>
      <c r="G84" s="236"/>
      <c r="H84" s="19"/>
    </row>
    <row r="85" ht="15.75" customHeight="1">
      <c r="A85" s="389"/>
      <c r="B85" s="89" t="s">
        <v>3753</v>
      </c>
      <c r="D85" s="140" t="s">
        <v>3754</v>
      </c>
      <c r="E85" s="164" t="s">
        <v>3755</v>
      </c>
      <c r="F85" s="236" t="s">
        <v>2504</v>
      </c>
      <c r="G85" s="236" t="s">
        <v>2495</v>
      </c>
      <c r="H85" s="402" t="s">
        <v>3756</v>
      </c>
      <c r="I85" s="1" t="s">
        <v>16</v>
      </c>
    </row>
    <row r="86" ht="15.75" customHeight="1">
      <c r="A86" s="389"/>
      <c r="B86" s="238" t="s">
        <v>3757</v>
      </c>
      <c r="D86" s="140" t="s">
        <v>3758</v>
      </c>
      <c r="E86" s="220" t="s">
        <v>3759</v>
      </c>
      <c r="F86" s="403" t="s">
        <v>2534</v>
      </c>
      <c r="G86" s="403" t="s">
        <v>2495</v>
      </c>
      <c r="H86" s="19" t="s">
        <v>3035</v>
      </c>
    </row>
    <row r="87" ht="15.75" customHeight="1">
      <c r="A87" s="389">
        <v>43250.0</v>
      </c>
      <c r="D87" s="138"/>
      <c r="F87" s="236"/>
      <c r="G87" s="236"/>
      <c r="H87" s="19"/>
    </row>
    <row r="88" ht="15.75" customHeight="1">
      <c r="A88" s="389"/>
      <c r="B88" s="238" t="s">
        <v>3760</v>
      </c>
      <c r="D88" s="140" t="s">
        <v>3761</v>
      </c>
      <c r="E88" s="220" t="s">
        <v>3762</v>
      </c>
      <c r="F88" s="403" t="s">
        <v>2534</v>
      </c>
      <c r="G88" s="403" t="s">
        <v>2495</v>
      </c>
      <c r="H88" s="238" t="s">
        <v>3763</v>
      </c>
    </row>
    <row r="89" ht="15.75" customHeight="1">
      <c r="A89" s="389"/>
      <c r="B89" s="362" t="s">
        <v>3764</v>
      </c>
      <c r="D89" s="146" t="s">
        <v>3765</v>
      </c>
      <c r="E89" s="363" t="s">
        <v>3766</v>
      </c>
      <c r="F89" s="236" t="s">
        <v>2494</v>
      </c>
      <c r="G89" s="236" t="s">
        <v>2737</v>
      </c>
      <c r="H89" s="391" t="s">
        <v>3603</v>
      </c>
    </row>
    <row r="90" ht="15.75" customHeight="1">
      <c r="A90" s="389">
        <v>43251.0</v>
      </c>
      <c r="D90" s="138"/>
      <c r="F90" s="236"/>
      <c r="G90" s="236"/>
      <c r="H90" s="19"/>
    </row>
    <row r="91" ht="15.75" customHeight="1">
      <c r="A91" s="389"/>
      <c r="B91" s="362" t="s">
        <v>3442</v>
      </c>
      <c r="D91" s="146" t="s">
        <v>3767</v>
      </c>
      <c r="E91" s="363" t="s">
        <v>3768</v>
      </c>
      <c r="F91" s="236" t="s">
        <v>2494</v>
      </c>
      <c r="G91" s="236" t="s">
        <v>2495</v>
      </c>
      <c r="H91" s="391" t="s">
        <v>2907</v>
      </c>
      <c r="I91" s="99" t="s">
        <v>3769</v>
      </c>
    </row>
    <row r="92" ht="15.75" customHeight="1">
      <c r="A92" s="389"/>
      <c r="B92" s="1" t="s">
        <v>2814</v>
      </c>
      <c r="D92" s="146" t="s">
        <v>3770</v>
      </c>
      <c r="E92" s="213" t="s">
        <v>3771</v>
      </c>
      <c r="F92" s="236" t="s">
        <v>2504</v>
      </c>
      <c r="G92" s="236" t="s">
        <v>2495</v>
      </c>
      <c r="H92" s="386" t="s">
        <v>2876</v>
      </c>
      <c r="I92" s="1" t="s">
        <v>401</v>
      </c>
    </row>
    <row r="93" ht="15.75" customHeight="1">
      <c r="A93" s="389"/>
      <c r="B93" s="362" t="s">
        <v>3772</v>
      </c>
      <c r="D93" s="140" t="s">
        <v>3773</v>
      </c>
      <c r="E93" s="363" t="s">
        <v>3774</v>
      </c>
      <c r="F93" s="236" t="s">
        <v>2494</v>
      </c>
      <c r="G93" s="236" t="s">
        <v>2543</v>
      </c>
      <c r="H93" s="19" t="s">
        <v>3683</v>
      </c>
    </row>
    <row r="94" ht="15.75" customHeight="1">
      <c r="A94" s="389"/>
      <c r="B94" s="362" t="s">
        <v>3775</v>
      </c>
      <c r="D94" s="146" t="s">
        <v>3776</v>
      </c>
      <c r="E94" s="363" t="s">
        <v>3777</v>
      </c>
      <c r="F94" s="236" t="s">
        <v>2494</v>
      </c>
      <c r="G94" s="236" t="s">
        <v>2495</v>
      </c>
      <c r="H94" s="390" t="s">
        <v>1663</v>
      </c>
      <c r="I94" s="1" t="s">
        <v>201</v>
      </c>
    </row>
    <row r="95" ht="15.75" customHeight="1">
      <c r="A95" s="389"/>
      <c r="B95" s="99" t="s">
        <v>3778</v>
      </c>
      <c r="D95" s="140" t="s">
        <v>3779</v>
      </c>
      <c r="E95" s="368" t="s">
        <v>3780</v>
      </c>
      <c r="F95" s="369" t="s">
        <v>2649</v>
      </c>
      <c r="G95" s="369" t="s">
        <v>2552</v>
      </c>
      <c r="H95" s="99" t="s">
        <v>3769</v>
      </c>
      <c r="I95" s="99" t="s">
        <v>3769</v>
      </c>
    </row>
    <row r="96" ht="15.75" customHeight="1">
      <c r="A96" s="389"/>
      <c r="D96" s="138"/>
      <c r="F96" s="236"/>
      <c r="G96" s="236"/>
      <c r="H96" s="19"/>
    </row>
    <row r="97" ht="15.75" customHeight="1">
      <c r="A97" s="389"/>
      <c r="D97" s="138"/>
      <c r="F97" s="236"/>
      <c r="G97" s="236"/>
      <c r="H97" s="19"/>
    </row>
    <row r="98" ht="15.75" customHeight="1">
      <c r="A98" s="389"/>
      <c r="D98" s="138"/>
      <c r="F98" s="236"/>
      <c r="G98" s="236"/>
      <c r="H98" s="19"/>
    </row>
    <row r="99" ht="15.75" customHeight="1">
      <c r="A99" s="389"/>
      <c r="D99" s="138"/>
      <c r="F99" s="236"/>
      <c r="G99" s="236"/>
      <c r="H99" s="19"/>
    </row>
    <row r="100" ht="15.75" customHeight="1">
      <c r="A100" s="389"/>
      <c r="D100" s="138"/>
      <c r="F100" s="236"/>
      <c r="G100" s="236"/>
      <c r="H100" s="19"/>
    </row>
    <row r="101" ht="15.75" customHeight="1">
      <c r="A101" s="389"/>
      <c r="D101" s="138"/>
      <c r="F101" s="236"/>
      <c r="G101" s="236"/>
      <c r="H101" s="19"/>
    </row>
    <row r="102" ht="15.75" customHeight="1">
      <c r="A102" s="389"/>
      <c r="D102" s="138"/>
      <c r="F102" s="236"/>
      <c r="G102" s="236"/>
      <c r="H102" s="19"/>
    </row>
    <row r="103" ht="15.75" customHeight="1">
      <c r="A103" s="389"/>
      <c r="D103" s="138"/>
      <c r="F103" s="236"/>
      <c r="G103" s="236"/>
      <c r="H103" s="19"/>
    </row>
    <row r="104" ht="15.75" customHeight="1">
      <c r="A104" s="389"/>
      <c r="D104" s="138"/>
      <c r="F104" s="236"/>
      <c r="G104" s="236"/>
      <c r="H104" s="19"/>
    </row>
    <row r="105" ht="15.75" customHeight="1">
      <c r="A105" s="389"/>
      <c r="D105" s="138"/>
      <c r="F105" s="236"/>
      <c r="G105" s="236"/>
      <c r="H105" s="19"/>
    </row>
    <row r="106" ht="15.75" customHeight="1">
      <c r="A106" s="389"/>
      <c r="D106" s="138"/>
      <c r="F106" s="236"/>
      <c r="G106" s="236"/>
      <c r="H106" s="19"/>
    </row>
    <row r="107" ht="15.75" customHeight="1">
      <c r="A107" s="389"/>
      <c r="D107" s="138"/>
      <c r="F107" s="236"/>
      <c r="G107" s="236"/>
      <c r="H107" s="19"/>
    </row>
    <row r="108" ht="15.75" customHeight="1">
      <c r="A108" s="389"/>
      <c r="D108" s="138"/>
      <c r="F108" s="236"/>
      <c r="G108" s="236"/>
      <c r="H108" s="19"/>
    </row>
    <row r="109" ht="15.75" customHeight="1">
      <c r="A109" s="389"/>
      <c r="D109" s="138"/>
      <c r="F109" s="236"/>
      <c r="G109" s="236"/>
      <c r="H109" s="19"/>
    </row>
    <row r="110" ht="15.75" customHeight="1">
      <c r="A110" s="389"/>
      <c r="D110" s="138"/>
      <c r="F110" s="236"/>
      <c r="G110" s="236"/>
      <c r="H110" s="19"/>
    </row>
    <row r="111" ht="15.75" customHeight="1">
      <c r="A111" s="389"/>
      <c r="D111" s="138"/>
      <c r="F111" s="236"/>
      <c r="G111" s="236"/>
      <c r="H111" s="19"/>
    </row>
    <row r="112" ht="15.75" customHeight="1">
      <c r="A112" s="389"/>
      <c r="D112" s="138"/>
      <c r="F112" s="236"/>
      <c r="G112" s="236"/>
      <c r="H112" s="19"/>
    </row>
    <row r="113" ht="15.75" customHeight="1">
      <c r="A113" s="389"/>
      <c r="D113" s="138"/>
      <c r="F113" s="236"/>
      <c r="G113" s="236"/>
      <c r="H113" s="19"/>
    </row>
    <row r="114" ht="15.75" customHeight="1">
      <c r="A114" s="389"/>
      <c r="D114" s="138"/>
      <c r="F114" s="236"/>
      <c r="G114" s="236"/>
      <c r="H114" s="19"/>
    </row>
    <row r="115" ht="15.75" customHeight="1">
      <c r="A115" s="389"/>
      <c r="D115" s="138"/>
      <c r="F115" s="236"/>
      <c r="G115" s="236"/>
      <c r="H115" s="19"/>
    </row>
    <row r="116" ht="15.75" customHeight="1">
      <c r="A116" s="389"/>
      <c r="D116" s="138"/>
      <c r="F116" s="236"/>
      <c r="G116" s="236"/>
      <c r="H116" s="19"/>
    </row>
    <row r="117" ht="15.75" customHeight="1">
      <c r="A117" s="389"/>
      <c r="D117" s="138"/>
      <c r="F117" s="236"/>
      <c r="G117" s="236"/>
      <c r="H117" s="19"/>
    </row>
    <row r="118" ht="15.75" customHeight="1">
      <c r="A118" s="389"/>
      <c r="D118" s="138"/>
      <c r="F118" s="236"/>
      <c r="G118" s="236"/>
      <c r="H118" s="19"/>
    </row>
    <row r="119" ht="15.75" customHeight="1">
      <c r="A119" s="389"/>
      <c r="D119" s="138"/>
      <c r="F119" s="236"/>
      <c r="G119" s="236"/>
      <c r="H119" s="19"/>
    </row>
    <row r="120" ht="15.75" customHeight="1">
      <c r="A120" s="389"/>
      <c r="D120" s="138"/>
      <c r="F120" s="236"/>
      <c r="G120" s="236"/>
      <c r="H120" s="19"/>
    </row>
    <row r="121" ht="15.75" customHeight="1">
      <c r="A121" s="389"/>
      <c r="D121" s="138"/>
      <c r="F121" s="236"/>
      <c r="G121" s="236"/>
      <c r="H121" s="19"/>
    </row>
    <row r="122" ht="15.75" customHeight="1">
      <c r="A122" s="389"/>
      <c r="D122" s="138"/>
      <c r="F122" s="236"/>
      <c r="G122" s="236"/>
      <c r="H122" s="19"/>
    </row>
    <row r="123" ht="15.75" customHeight="1">
      <c r="A123" s="389"/>
      <c r="D123" s="138"/>
      <c r="F123" s="236"/>
      <c r="G123" s="236"/>
      <c r="H123" s="19"/>
    </row>
    <row r="124" ht="15.75" customHeight="1">
      <c r="A124" s="389"/>
      <c r="D124" s="138"/>
      <c r="F124" s="236"/>
      <c r="G124" s="236"/>
      <c r="H124" s="19"/>
    </row>
    <row r="125" ht="15.75" customHeight="1">
      <c r="A125" s="389"/>
      <c r="D125" s="138"/>
      <c r="F125" s="236"/>
      <c r="G125" s="236"/>
      <c r="H125" s="19"/>
    </row>
    <row r="126" ht="15.75" customHeight="1">
      <c r="A126" s="389"/>
      <c r="D126" s="138"/>
      <c r="F126" s="236"/>
      <c r="G126" s="236"/>
      <c r="H126" s="19"/>
    </row>
    <row r="127" ht="15.75" customHeight="1">
      <c r="A127" s="389"/>
      <c r="D127" s="138"/>
      <c r="F127" s="236"/>
      <c r="G127" s="236"/>
      <c r="H127" s="19"/>
    </row>
    <row r="128" ht="15.75" customHeight="1">
      <c r="A128" s="389"/>
      <c r="D128" s="138"/>
      <c r="F128" s="236"/>
      <c r="G128" s="236"/>
      <c r="H128" s="19"/>
    </row>
    <row r="129" ht="15.75" customHeight="1">
      <c r="A129" s="389"/>
      <c r="D129" s="138"/>
      <c r="F129" s="236"/>
      <c r="G129" s="236"/>
      <c r="H129" s="19"/>
    </row>
    <row r="130" ht="15.75" customHeight="1">
      <c r="A130" s="389"/>
      <c r="D130" s="138"/>
      <c r="F130" s="236"/>
      <c r="G130" s="236"/>
      <c r="H130" s="19"/>
    </row>
    <row r="131" ht="15.75" customHeight="1">
      <c r="A131" s="389"/>
      <c r="D131" s="138"/>
      <c r="F131" s="236"/>
      <c r="G131" s="236"/>
      <c r="H131" s="19"/>
    </row>
    <row r="132" ht="15.75" customHeight="1">
      <c r="A132" s="389"/>
      <c r="D132" s="138"/>
      <c r="F132" s="236"/>
      <c r="G132" s="236"/>
      <c r="H132" s="19"/>
    </row>
    <row r="133" ht="15.75" customHeight="1">
      <c r="A133" s="389"/>
      <c r="D133" s="138"/>
      <c r="F133" s="236"/>
      <c r="G133" s="236"/>
      <c r="H133" s="19"/>
    </row>
    <row r="134" ht="15.75" customHeight="1">
      <c r="A134" s="389"/>
      <c r="D134" s="138"/>
      <c r="F134" s="236"/>
      <c r="G134" s="236"/>
      <c r="H134" s="19"/>
    </row>
    <row r="135" ht="15.75" customHeight="1">
      <c r="A135" s="389"/>
      <c r="D135" s="138"/>
      <c r="F135" s="236"/>
      <c r="G135" s="236"/>
      <c r="H135" s="19"/>
    </row>
    <row r="136" ht="15.75" customHeight="1">
      <c r="A136" s="389"/>
      <c r="D136" s="138"/>
      <c r="F136" s="236"/>
      <c r="G136" s="236"/>
      <c r="H136" s="19"/>
    </row>
    <row r="137" ht="15.75" customHeight="1">
      <c r="A137" s="389"/>
      <c r="D137" s="138"/>
      <c r="F137" s="236"/>
      <c r="G137" s="236"/>
      <c r="H137" s="19"/>
    </row>
    <row r="138" ht="15.75" customHeight="1">
      <c r="A138" s="389"/>
      <c r="D138" s="138"/>
      <c r="F138" s="236"/>
      <c r="G138" s="236"/>
      <c r="H138" s="19"/>
    </row>
    <row r="139" ht="15.75" customHeight="1">
      <c r="A139" s="389"/>
      <c r="D139" s="138"/>
      <c r="F139" s="236"/>
      <c r="G139" s="236"/>
      <c r="H139" s="19"/>
    </row>
    <row r="140" ht="15.75" customHeight="1">
      <c r="A140" s="389"/>
      <c r="D140" s="138"/>
      <c r="F140" s="236"/>
      <c r="G140" s="236"/>
      <c r="H140" s="19"/>
    </row>
    <row r="141" ht="15.75" customHeight="1">
      <c r="A141" s="389"/>
      <c r="D141" s="138"/>
      <c r="F141" s="236"/>
      <c r="G141" s="236"/>
      <c r="H141" s="19"/>
    </row>
    <row r="142" ht="15.75" customHeight="1">
      <c r="A142" s="389"/>
      <c r="D142" s="138"/>
      <c r="F142" s="236"/>
      <c r="G142" s="236"/>
      <c r="H142" s="19"/>
    </row>
    <row r="143" ht="15.75" customHeight="1">
      <c r="A143" s="389"/>
      <c r="D143" s="138"/>
      <c r="F143" s="236"/>
      <c r="G143" s="236"/>
      <c r="H143" s="19"/>
    </row>
    <row r="144" ht="15.75" customHeight="1">
      <c r="A144" s="389"/>
      <c r="D144" s="138"/>
      <c r="F144" s="236"/>
      <c r="G144" s="236"/>
      <c r="H144" s="19"/>
    </row>
    <row r="145" ht="15.75" customHeight="1">
      <c r="A145" s="389"/>
      <c r="D145" s="138"/>
      <c r="F145" s="236"/>
      <c r="G145" s="236"/>
      <c r="H145" s="19"/>
    </row>
    <row r="146" ht="15.75" customHeight="1">
      <c r="A146" s="389"/>
      <c r="D146" s="138"/>
      <c r="F146" s="236"/>
      <c r="G146" s="236"/>
      <c r="H146" s="19"/>
    </row>
    <row r="147" ht="15.75" customHeight="1">
      <c r="A147" s="389"/>
      <c r="D147" s="138"/>
      <c r="F147" s="236"/>
      <c r="G147" s="236"/>
      <c r="H147" s="19"/>
    </row>
    <row r="148" ht="15.75" customHeight="1">
      <c r="A148" s="389"/>
      <c r="D148" s="138"/>
      <c r="F148" s="236"/>
      <c r="G148" s="236"/>
      <c r="H148" s="19"/>
    </row>
    <row r="149" ht="15.75" customHeight="1">
      <c r="A149" s="389"/>
      <c r="D149" s="138"/>
      <c r="F149" s="236"/>
      <c r="G149" s="236"/>
      <c r="H149" s="19"/>
    </row>
    <row r="150" ht="15.75" customHeight="1">
      <c r="A150" s="389"/>
      <c r="D150" s="138"/>
      <c r="F150" s="236"/>
      <c r="G150" s="236"/>
      <c r="H150" s="19"/>
    </row>
    <row r="151" ht="15.75" customHeight="1">
      <c r="A151" s="389"/>
      <c r="D151" s="138"/>
      <c r="F151" s="236"/>
      <c r="G151" s="236"/>
      <c r="H151" s="19"/>
    </row>
    <row r="152" ht="15.75" customHeight="1">
      <c r="A152" s="389"/>
      <c r="D152" s="138"/>
      <c r="F152" s="236"/>
      <c r="G152" s="236"/>
      <c r="H152" s="19"/>
    </row>
    <row r="153" ht="15.75" customHeight="1">
      <c r="A153" s="389"/>
      <c r="D153" s="138"/>
      <c r="F153" s="236"/>
      <c r="G153" s="236"/>
      <c r="H153" s="19"/>
    </row>
    <row r="154" ht="15.75" customHeight="1">
      <c r="A154" s="389"/>
      <c r="D154" s="138"/>
      <c r="F154" s="236"/>
      <c r="G154" s="236"/>
      <c r="H154" s="19"/>
    </row>
    <row r="155" ht="15.75" customHeight="1">
      <c r="A155" s="389"/>
      <c r="D155" s="138"/>
      <c r="F155" s="236"/>
      <c r="G155" s="236"/>
      <c r="H155" s="19"/>
    </row>
    <row r="156" ht="15.75" customHeight="1">
      <c r="A156" s="389"/>
      <c r="D156" s="138"/>
      <c r="F156" s="236"/>
      <c r="G156" s="236"/>
      <c r="H156" s="19"/>
    </row>
    <row r="157" ht="15.75" customHeight="1">
      <c r="A157" s="389"/>
      <c r="D157" s="138"/>
      <c r="F157" s="236"/>
      <c r="G157" s="236"/>
      <c r="H157" s="19"/>
    </row>
    <row r="158" ht="15.75" customHeight="1">
      <c r="A158" s="389"/>
      <c r="D158" s="138"/>
      <c r="F158" s="236"/>
      <c r="G158" s="236"/>
      <c r="H158" s="19"/>
    </row>
    <row r="159" ht="15.75" customHeight="1">
      <c r="A159" s="389"/>
      <c r="D159" s="138"/>
      <c r="F159" s="236"/>
      <c r="G159" s="236"/>
      <c r="H159" s="19"/>
    </row>
    <row r="160" ht="15.75" customHeight="1">
      <c r="A160" s="389"/>
      <c r="D160" s="138"/>
      <c r="F160" s="236"/>
      <c r="G160" s="236"/>
      <c r="H160" s="19"/>
    </row>
    <row r="161" ht="15.75" customHeight="1">
      <c r="A161" s="389"/>
      <c r="D161" s="138"/>
      <c r="F161" s="236"/>
      <c r="G161" s="236"/>
      <c r="H161" s="19"/>
    </row>
    <row r="162" ht="15.75" customHeight="1">
      <c r="A162" s="389"/>
      <c r="D162" s="138"/>
      <c r="F162" s="236"/>
      <c r="G162" s="236"/>
      <c r="H162" s="19"/>
    </row>
    <row r="163" ht="15.75" customHeight="1">
      <c r="A163" s="389"/>
      <c r="D163" s="138"/>
      <c r="F163" s="236"/>
      <c r="G163" s="236"/>
      <c r="H163" s="19"/>
    </row>
    <row r="164" ht="15.75" customHeight="1">
      <c r="A164" s="389"/>
      <c r="D164" s="138"/>
      <c r="F164" s="236"/>
      <c r="G164" s="236"/>
      <c r="H164" s="19"/>
    </row>
    <row r="165" ht="15.75" customHeight="1">
      <c r="A165" s="389"/>
      <c r="D165" s="138"/>
      <c r="F165" s="236"/>
      <c r="G165" s="236"/>
      <c r="H165" s="19"/>
    </row>
    <row r="166" ht="15.75" customHeight="1">
      <c r="A166" s="389"/>
      <c r="D166" s="138"/>
      <c r="F166" s="236"/>
      <c r="G166" s="236"/>
      <c r="H166" s="19"/>
    </row>
    <row r="167" ht="15.75" customHeight="1">
      <c r="A167" s="389"/>
      <c r="D167" s="138"/>
      <c r="F167" s="236"/>
      <c r="G167" s="236"/>
      <c r="H167" s="19"/>
    </row>
    <row r="168" ht="15.75" customHeight="1">
      <c r="A168" s="389"/>
      <c r="D168" s="138"/>
      <c r="F168" s="236"/>
      <c r="G168" s="236"/>
      <c r="H168" s="19"/>
    </row>
    <row r="169" ht="15.75" customHeight="1">
      <c r="A169" s="389"/>
      <c r="D169" s="138"/>
      <c r="F169" s="236"/>
      <c r="G169" s="236"/>
      <c r="H169" s="19"/>
    </row>
    <row r="170" ht="15.75" customHeight="1">
      <c r="A170" s="389"/>
      <c r="D170" s="138"/>
      <c r="F170" s="236"/>
      <c r="G170" s="236"/>
      <c r="H170" s="19"/>
    </row>
    <row r="171" ht="15.75" customHeight="1">
      <c r="A171" s="389"/>
      <c r="D171" s="138"/>
      <c r="F171" s="236"/>
      <c r="G171" s="236"/>
      <c r="H171" s="19"/>
    </row>
    <row r="172" ht="15.75" customHeight="1">
      <c r="A172" s="389"/>
      <c r="D172" s="138"/>
      <c r="F172" s="236"/>
      <c r="G172" s="236"/>
      <c r="H172" s="19"/>
    </row>
    <row r="173" ht="15.75" customHeight="1">
      <c r="A173" s="389"/>
      <c r="D173" s="138"/>
      <c r="F173" s="236"/>
      <c r="G173" s="236"/>
      <c r="H173" s="19"/>
    </row>
    <row r="174" ht="15.75" customHeight="1">
      <c r="A174" s="389"/>
      <c r="D174" s="138"/>
      <c r="F174" s="236"/>
      <c r="G174" s="236"/>
      <c r="H174" s="19"/>
    </row>
    <row r="175" ht="15.75" customHeight="1">
      <c r="A175" s="389"/>
      <c r="D175" s="138"/>
      <c r="F175" s="236"/>
      <c r="G175" s="236"/>
      <c r="H175" s="19"/>
    </row>
    <row r="176" ht="15.75" customHeight="1">
      <c r="A176" s="389"/>
      <c r="D176" s="138"/>
      <c r="F176" s="236"/>
      <c r="G176" s="236"/>
      <c r="H176" s="19"/>
    </row>
    <row r="177" ht="15.75" customHeight="1">
      <c r="A177" s="389"/>
      <c r="D177" s="138"/>
      <c r="F177" s="236"/>
      <c r="G177" s="236"/>
      <c r="H177" s="19"/>
    </row>
    <row r="178" ht="15.75" customHeight="1">
      <c r="A178" s="389"/>
      <c r="D178" s="138"/>
      <c r="F178" s="236"/>
      <c r="G178" s="236"/>
      <c r="H178" s="19"/>
    </row>
    <row r="179" ht="15.75" customHeight="1">
      <c r="A179" s="389"/>
      <c r="D179" s="138"/>
      <c r="F179" s="236"/>
      <c r="G179" s="236"/>
      <c r="H179" s="19"/>
    </row>
    <row r="180" ht="15.75" customHeight="1">
      <c r="A180" s="389"/>
      <c r="D180" s="138"/>
      <c r="F180" s="236"/>
      <c r="G180" s="236"/>
      <c r="H180" s="19"/>
    </row>
    <row r="181" ht="15.75" customHeight="1">
      <c r="A181" s="389"/>
      <c r="D181" s="138"/>
      <c r="F181" s="236"/>
      <c r="G181" s="236"/>
      <c r="H181" s="19"/>
    </row>
    <row r="182" ht="15.75" customHeight="1">
      <c r="A182" s="389"/>
      <c r="D182" s="138"/>
      <c r="F182" s="236"/>
      <c r="G182" s="236"/>
      <c r="H182" s="19"/>
    </row>
    <row r="183" ht="15.75" customHeight="1">
      <c r="A183" s="389"/>
      <c r="D183" s="138"/>
      <c r="F183" s="236"/>
      <c r="G183" s="236"/>
      <c r="H183" s="19"/>
    </row>
    <row r="184" ht="15.75" customHeight="1">
      <c r="A184" s="389"/>
      <c r="D184" s="138"/>
      <c r="F184" s="236"/>
      <c r="G184" s="236"/>
      <c r="H184" s="19"/>
    </row>
    <row r="185" ht="15.75" customHeight="1">
      <c r="A185" s="389"/>
      <c r="D185" s="138"/>
      <c r="F185" s="236"/>
      <c r="G185" s="236"/>
      <c r="H185" s="19"/>
    </row>
    <row r="186" ht="15.75" customHeight="1">
      <c r="A186" s="389"/>
      <c r="D186" s="138"/>
      <c r="F186" s="236"/>
      <c r="G186" s="236"/>
      <c r="H186" s="19"/>
    </row>
    <row r="187" ht="15.75" customHeight="1">
      <c r="A187" s="389"/>
      <c r="D187" s="138"/>
      <c r="F187" s="236"/>
      <c r="G187" s="236"/>
      <c r="H187" s="19"/>
    </row>
    <row r="188" ht="15.75" customHeight="1">
      <c r="A188" s="389"/>
      <c r="D188" s="138"/>
      <c r="F188" s="236"/>
      <c r="G188" s="236"/>
      <c r="H188" s="19"/>
    </row>
    <row r="189" ht="15.75" customHeight="1">
      <c r="A189" s="389"/>
      <c r="D189" s="138"/>
      <c r="F189" s="236"/>
      <c r="G189" s="236"/>
      <c r="H189" s="19"/>
    </row>
    <row r="190" ht="15.75" customHeight="1">
      <c r="A190" s="389"/>
      <c r="D190" s="138"/>
      <c r="F190" s="236"/>
      <c r="G190" s="236"/>
      <c r="H190" s="19"/>
    </row>
    <row r="191" ht="15.75" customHeight="1">
      <c r="A191" s="389"/>
      <c r="D191" s="138"/>
      <c r="F191" s="236"/>
      <c r="G191" s="236"/>
      <c r="H191" s="19"/>
    </row>
    <row r="192" ht="15.75" customHeight="1">
      <c r="A192" s="389"/>
      <c r="D192" s="138"/>
      <c r="F192" s="236"/>
      <c r="G192" s="236"/>
      <c r="H192" s="19"/>
    </row>
    <row r="193" ht="15.75" customHeight="1">
      <c r="A193" s="389"/>
      <c r="D193" s="138"/>
      <c r="F193" s="236"/>
      <c r="G193" s="236"/>
      <c r="H193" s="19"/>
    </row>
    <row r="194" ht="15.75" customHeight="1">
      <c r="A194" s="389"/>
      <c r="D194" s="138"/>
      <c r="F194" s="236"/>
      <c r="G194" s="236"/>
      <c r="H194" s="19"/>
    </row>
    <row r="195" ht="15.75" customHeight="1">
      <c r="A195" s="389"/>
      <c r="D195" s="138"/>
      <c r="F195" s="236"/>
      <c r="G195" s="236"/>
      <c r="H195" s="19"/>
    </row>
    <row r="196" ht="15.75" customHeight="1">
      <c r="A196" s="389"/>
      <c r="D196" s="138"/>
      <c r="F196" s="236"/>
      <c r="G196" s="236"/>
      <c r="H196" s="19"/>
    </row>
    <row r="197" ht="15.75" customHeight="1">
      <c r="A197" s="389"/>
      <c r="D197" s="138"/>
      <c r="F197" s="236"/>
      <c r="G197" s="236"/>
      <c r="H197" s="19"/>
    </row>
    <row r="198" ht="15.75" customHeight="1">
      <c r="A198" s="389"/>
      <c r="D198" s="138"/>
      <c r="F198" s="236"/>
      <c r="G198" s="236"/>
      <c r="H198" s="19"/>
    </row>
    <row r="199" ht="15.75" customHeight="1">
      <c r="A199" s="389"/>
      <c r="D199" s="138"/>
      <c r="F199" s="236"/>
      <c r="G199" s="236"/>
      <c r="H199" s="19"/>
    </row>
    <row r="200" ht="15.75" customHeight="1">
      <c r="A200" s="389"/>
      <c r="D200" s="138"/>
      <c r="F200" s="236"/>
      <c r="G200" s="236"/>
      <c r="H200" s="19"/>
    </row>
    <row r="201" ht="15.75" customHeight="1">
      <c r="A201" s="389"/>
      <c r="D201" s="138"/>
      <c r="F201" s="236"/>
      <c r="G201" s="236"/>
      <c r="H201" s="19"/>
    </row>
    <row r="202" ht="15.75" customHeight="1">
      <c r="A202" s="389"/>
      <c r="D202" s="138"/>
      <c r="F202" s="236"/>
      <c r="G202" s="236"/>
      <c r="H202" s="19"/>
    </row>
    <row r="203" ht="15.75" customHeight="1">
      <c r="A203" s="389"/>
      <c r="D203" s="138"/>
      <c r="F203" s="236"/>
      <c r="G203" s="236"/>
      <c r="H203" s="19"/>
    </row>
    <row r="204" ht="15.75" customHeight="1">
      <c r="A204" s="389"/>
      <c r="D204" s="138"/>
      <c r="F204" s="236"/>
      <c r="G204" s="236"/>
      <c r="H204" s="19"/>
    </row>
    <row r="205" ht="15.75" customHeight="1">
      <c r="A205" s="389"/>
      <c r="D205" s="138"/>
      <c r="F205" s="236"/>
      <c r="G205" s="236"/>
      <c r="H205" s="19"/>
    </row>
    <row r="206" ht="15.75" customHeight="1">
      <c r="A206" s="389"/>
      <c r="D206" s="138"/>
      <c r="F206" s="236"/>
      <c r="G206" s="236"/>
      <c r="H206" s="19"/>
    </row>
    <row r="207" ht="15.75" customHeight="1">
      <c r="A207" s="389"/>
      <c r="D207" s="138"/>
      <c r="F207" s="236"/>
      <c r="G207" s="236"/>
      <c r="H207" s="19"/>
    </row>
    <row r="208" ht="15.75" customHeight="1">
      <c r="A208" s="389"/>
      <c r="D208" s="138"/>
      <c r="F208" s="236"/>
      <c r="G208" s="236"/>
      <c r="H208" s="19"/>
    </row>
    <row r="209" ht="15.75" customHeight="1">
      <c r="A209" s="389"/>
      <c r="D209" s="138"/>
      <c r="F209" s="236"/>
      <c r="G209" s="236"/>
      <c r="H209" s="19"/>
    </row>
    <row r="210" ht="15.75" customHeight="1">
      <c r="A210" s="389"/>
      <c r="D210" s="138"/>
      <c r="F210" s="236"/>
      <c r="G210" s="236"/>
      <c r="H210" s="19"/>
    </row>
    <row r="211" ht="15.75" customHeight="1">
      <c r="A211" s="389"/>
      <c r="D211" s="138"/>
      <c r="F211" s="236"/>
      <c r="G211" s="236"/>
      <c r="H211" s="19"/>
    </row>
    <row r="212" ht="15.75" customHeight="1">
      <c r="A212" s="389"/>
      <c r="D212" s="138"/>
      <c r="F212" s="236"/>
      <c r="G212" s="236"/>
      <c r="H212" s="19"/>
    </row>
    <row r="213" ht="15.75" customHeight="1">
      <c r="A213" s="389"/>
      <c r="D213" s="138"/>
      <c r="F213" s="236"/>
      <c r="G213" s="236"/>
      <c r="H213" s="19"/>
    </row>
    <row r="214" ht="15.75" customHeight="1">
      <c r="A214" s="389"/>
      <c r="D214" s="138"/>
      <c r="F214" s="236"/>
      <c r="G214" s="236"/>
      <c r="H214" s="19"/>
    </row>
    <row r="215" ht="15.75" customHeight="1">
      <c r="A215" s="389"/>
      <c r="D215" s="138"/>
      <c r="F215" s="236"/>
      <c r="G215" s="236"/>
      <c r="H215" s="19"/>
    </row>
    <row r="216" ht="15.75" customHeight="1">
      <c r="A216" s="389"/>
      <c r="D216" s="138"/>
      <c r="F216" s="236"/>
      <c r="G216" s="236"/>
      <c r="H216" s="19"/>
    </row>
    <row r="217" ht="15.75" customHeight="1">
      <c r="A217" s="389"/>
      <c r="D217" s="138"/>
      <c r="F217" s="236"/>
      <c r="G217" s="236"/>
      <c r="H217" s="19"/>
    </row>
    <row r="218" ht="15.75" customHeight="1">
      <c r="A218" s="389"/>
      <c r="D218" s="138"/>
      <c r="F218" s="236"/>
      <c r="G218" s="236"/>
      <c r="H218" s="19"/>
    </row>
    <row r="219" ht="15.75" customHeight="1">
      <c r="A219" s="389"/>
      <c r="D219" s="138"/>
      <c r="F219" s="236"/>
      <c r="G219" s="236"/>
      <c r="H219" s="19"/>
    </row>
    <row r="220" ht="15.75" customHeight="1">
      <c r="A220" s="389"/>
      <c r="D220" s="138"/>
      <c r="F220" s="236"/>
      <c r="G220" s="236"/>
      <c r="H220" s="19"/>
    </row>
    <row r="221" ht="15.75" customHeight="1">
      <c r="A221" s="389"/>
      <c r="D221" s="138"/>
      <c r="F221" s="236"/>
      <c r="G221" s="236"/>
      <c r="H221" s="19"/>
    </row>
    <row r="222" ht="15.75" customHeight="1">
      <c r="A222" s="389"/>
      <c r="D222" s="138"/>
      <c r="F222" s="236"/>
      <c r="G222" s="236"/>
      <c r="H222" s="19"/>
    </row>
    <row r="223" ht="15.75" customHeight="1">
      <c r="A223" s="389"/>
      <c r="D223" s="138"/>
      <c r="F223" s="236"/>
      <c r="G223" s="236"/>
      <c r="H223" s="19"/>
    </row>
    <row r="224" ht="15.75" customHeight="1">
      <c r="A224" s="389"/>
      <c r="D224" s="138"/>
      <c r="F224" s="236"/>
      <c r="G224" s="236"/>
      <c r="H224" s="19"/>
    </row>
    <row r="225" ht="15.75" customHeight="1">
      <c r="A225" s="389"/>
      <c r="D225" s="138"/>
      <c r="F225" s="236"/>
      <c r="G225" s="236"/>
      <c r="H225" s="19"/>
    </row>
    <row r="226" ht="15.75" customHeight="1">
      <c r="A226" s="389"/>
      <c r="D226" s="138"/>
      <c r="F226" s="236"/>
      <c r="G226" s="236"/>
      <c r="H226" s="19"/>
    </row>
    <row r="227" ht="15.75" customHeight="1">
      <c r="A227" s="389"/>
      <c r="D227" s="138"/>
      <c r="F227" s="236"/>
      <c r="G227" s="236"/>
      <c r="H227" s="19"/>
    </row>
    <row r="228" ht="15.75" customHeight="1">
      <c r="A228" s="389"/>
      <c r="D228" s="138"/>
      <c r="F228" s="236"/>
      <c r="G228" s="236"/>
      <c r="H228" s="19"/>
    </row>
    <row r="229" ht="15.75" customHeight="1">
      <c r="A229" s="389"/>
      <c r="D229" s="138"/>
      <c r="F229" s="236"/>
      <c r="G229" s="236"/>
      <c r="H229" s="19"/>
    </row>
    <row r="230" ht="15.75" customHeight="1">
      <c r="A230" s="389"/>
      <c r="D230" s="138"/>
      <c r="F230" s="236"/>
      <c r="G230" s="236"/>
      <c r="H230" s="19"/>
    </row>
    <row r="231" ht="15.75" customHeight="1">
      <c r="A231" s="389"/>
      <c r="D231" s="138"/>
      <c r="F231" s="236"/>
      <c r="G231" s="236"/>
      <c r="H231" s="19"/>
    </row>
    <row r="232" ht="15.75" customHeight="1">
      <c r="A232" s="389"/>
      <c r="D232" s="138"/>
      <c r="F232" s="236"/>
      <c r="G232" s="236"/>
      <c r="H232" s="19"/>
    </row>
    <row r="233" ht="15.75" customHeight="1">
      <c r="A233" s="389"/>
      <c r="D233" s="138"/>
      <c r="F233" s="236"/>
      <c r="G233" s="236"/>
      <c r="H233" s="19"/>
    </row>
    <row r="234" ht="15.75" customHeight="1">
      <c r="A234" s="389"/>
      <c r="D234" s="138"/>
      <c r="F234" s="236"/>
      <c r="G234" s="236"/>
      <c r="H234" s="19"/>
    </row>
    <row r="235" ht="15.75" customHeight="1">
      <c r="A235" s="389"/>
      <c r="D235" s="138"/>
      <c r="F235" s="236"/>
      <c r="G235" s="236"/>
      <c r="H235" s="19"/>
    </row>
    <row r="236" ht="15.75" customHeight="1">
      <c r="A236" s="389"/>
      <c r="D236" s="138"/>
      <c r="F236" s="236"/>
      <c r="G236" s="236"/>
      <c r="H236" s="19"/>
    </row>
    <row r="237" ht="15.75" customHeight="1">
      <c r="A237" s="389"/>
      <c r="D237" s="138"/>
      <c r="F237" s="236"/>
      <c r="G237" s="236"/>
      <c r="H237" s="19"/>
    </row>
    <row r="238" ht="15.75" customHeight="1">
      <c r="A238" s="389"/>
      <c r="D238" s="138"/>
      <c r="F238" s="236"/>
      <c r="G238" s="236"/>
      <c r="H238" s="19"/>
    </row>
    <row r="239" ht="15.75" customHeight="1">
      <c r="A239" s="389"/>
      <c r="D239" s="138"/>
      <c r="F239" s="236"/>
      <c r="G239" s="236"/>
      <c r="H239" s="19"/>
    </row>
    <row r="240" ht="15.75" customHeight="1">
      <c r="A240" s="389"/>
      <c r="D240" s="138"/>
      <c r="F240" s="236"/>
      <c r="G240" s="236"/>
      <c r="H240" s="19"/>
    </row>
    <row r="241" ht="15.75" customHeight="1">
      <c r="A241" s="389"/>
      <c r="D241" s="138"/>
      <c r="F241" s="236"/>
      <c r="G241" s="236"/>
      <c r="H241" s="19"/>
    </row>
    <row r="242" ht="15.75" customHeight="1">
      <c r="A242" s="389"/>
      <c r="D242" s="138"/>
      <c r="F242" s="236"/>
      <c r="G242" s="236"/>
      <c r="H242" s="19"/>
    </row>
    <row r="243" ht="15.75" customHeight="1">
      <c r="A243" s="389"/>
      <c r="D243" s="138"/>
      <c r="F243" s="236"/>
      <c r="G243" s="236"/>
      <c r="H243" s="19"/>
    </row>
    <row r="244" ht="15.75" customHeight="1">
      <c r="A244" s="389"/>
      <c r="D244" s="138"/>
      <c r="F244" s="236"/>
      <c r="G244" s="236"/>
      <c r="H244" s="19"/>
    </row>
    <row r="245" ht="15.75" customHeight="1">
      <c r="A245" s="389"/>
      <c r="D245" s="138"/>
      <c r="F245" s="236"/>
      <c r="G245" s="236"/>
      <c r="H245" s="19"/>
    </row>
    <row r="246" ht="15.75" customHeight="1">
      <c r="A246" s="389"/>
      <c r="D246" s="138"/>
      <c r="F246" s="236"/>
      <c r="G246" s="236"/>
      <c r="H246" s="19"/>
    </row>
    <row r="247" ht="15.75" customHeight="1">
      <c r="A247" s="389"/>
      <c r="D247" s="138"/>
      <c r="F247" s="236"/>
      <c r="G247" s="236"/>
      <c r="H247" s="19"/>
    </row>
    <row r="248" ht="15.75" customHeight="1">
      <c r="A248" s="389"/>
      <c r="D248" s="138"/>
      <c r="F248" s="236"/>
      <c r="G248" s="236"/>
      <c r="H248" s="19"/>
    </row>
    <row r="249" ht="15.75" customHeight="1">
      <c r="A249" s="389"/>
      <c r="D249" s="138"/>
      <c r="F249" s="236"/>
      <c r="G249" s="236"/>
      <c r="H249" s="19"/>
    </row>
    <row r="250" ht="15.75" customHeight="1">
      <c r="A250" s="389"/>
      <c r="D250" s="138"/>
      <c r="F250" s="236"/>
      <c r="G250" s="236"/>
      <c r="H250" s="19"/>
    </row>
    <row r="251" ht="15.75" customHeight="1">
      <c r="A251" s="389"/>
      <c r="D251" s="138"/>
      <c r="F251" s="236"/>
      <c r="G251" s="236"/>
      <c r="H251" s="19"/>
    </row>
    <row r="252" ht="15.75" customHeight="1">
      <c r="A252" s="389"/>
      <c r="D252" s="138"/>
      <c r="F252" s="236"/>
      <c r="G252" s="236"/>
      <c r="H252" s="19"/>
    </row>
    <row r="253" ht="15.75" customHeight="1">
      <c r="A253" s="389"/>
      <c r="D253" s="138"/>
      <c r="F253" s="236"/>
      <c r="G253" s="236"/>
      <c r="H253" s="19"/>
    </row>
    <row r="254" ht="15.75" customHeight="1">
      <c r="A254" s="389"/>
      <c r="D254" s="138"/>
      <c r="F254" s="236"/>
      <c r="G254" s="236"/>
      <c r="H254" s="19"/>
    </row>
    <row r="255" ht="15.75" customHeight="1">
      <c r="A255" s="389"/>
      <c r="D255" s="138"/>
      <c r="F255" s="236"/>
      <c r="G255" s="236"/>
      <c r="H255" s="19"/>
    </row>
    <row r="256" ht="15.75" customHeight="1">
      <c r="A256" s="389"/>
      <c r="D256" s="138"/>
      <c r="F256" s="236"/>
      <c r="G256" s="236"/>
      <c r="H256" s="19"/>
    </row>
    <row r="257" ht="15.75" customHeight="1">
      <c r="A257" s="389"/>
      <c r="D257" s="138"/>
      <c r="F257" s="236"/>
      <c r="G257" s="236"/>
      <c r="H257" s="19"/>
    </row>
    <row r="258" ht="15.75" customHeight="1">
      <c r="A258" s="389"/>
      <c r="D258" s="138"/>
      <c r="F258" s="236"/>
      <c r="G258" s="236"/>
      <c r="H258" s="19"/>
    </row>
    <row r="259" ht="15.75" customHeight="1">
      <c r="A259" s="389"/>
      <c r="D259" s="138"/>
      <c r="F259" s="236"/>
      <c r="G259" s="236"/>
      <c r="H259" s="19"/>
    </row>
    <row r="260" ht="15.75" customHeight="1">
      <c r="A260" s="389"/>
      <c r="D260" s="138"/>
      <c r="F260" s="236"/>
      <c r="G260" s="236"/>
      <c r="H260" s="19"/>
    </row>
    <row r="261" ht="15.75" customHeight="1">
      <c r="A261" s="389"/>
      <c r="D261" s="138"/>
      <c r="F261" s="236"/>
      <c r="G261" s="236"/>
      <c r="H261" s="19"/>
    </row>
    <row r="262" ht="15.75" customHeight="1">
      <c r="A262" s="389"/>
      <c r="D262" s="138"/>
      <c r="F262" s="236"/>
      <c r="G262" s="236"/>
      <c r="H262" s="19"/>
    </row>
    <row r="263" ht="15.75" customHeight="1">
      <c r="A263" s="389"/>
      <c r="D263" s="138"/>
      <c r="F263" s="236"/>
      <c r="G263" s="236"/>
      <c r="H263" s="19"/>
    </row>
    <row r="264" ht="15.75" customHeight="1">
      <c r="A264" s="389"/>
      <c r="D264" s="138"/>
      <c r="F264" s="236"/>
      <c r="G264" s="236"/>
      <c r="H264" s="19"/>
    </row>
    <row r="265" ht="15.75" customHeight="1">
      <c r="A265" s="389"/>
      <c r="D265" s="138"/>
      <c r="F265" s="236"/>
      <c r="G265" s="236"/>
      <c r="H265" s="19"/>
    </row>
    <row r="266" ht="15.75" customHeight="1">
      <c r="A266" s="389"/>
      <c r="D266" s="138"/>
      <c r="F266" s="236"/>
      <c r="G266" s="236"/>
      <c r="H266" s="19"/>
    </row>
    <row r="267" ht="15.75" customHeight="1">
      <c r="A267" s="389"/>
      <c r="D267" s="138"/>
      <c r="F267" s="236"/>
      <c r="G267" s="236"/>
      <c r="H267" s="19"/>
    </row>
    <row r="268" ht="15.75" customHeight="1">
      <c r="A268" s="389"/>
      <c r="D268" s="138"/>
      <c r="F268" s="236"/>
      <c r="G268" s="236"/>
      <c r="H268" s="19"/>
    </row>
    <row r="269" ht="15.75" customHeight="1">
      <c r="A269" s="389"/>
      <c r="D269" s="138"/>
      <c r="F269" s="236"/>
      <c r="G269" s="236"/>
      <c r="H269" s="19"/>
    </row>
    <row r="270" ht="15.75" customHeight="1">
      <c r="A270" s="389"/>
      <c r="D270" s="138"/>
      <c r="F270" s="236"/>
      <c r="G270" s="236"/>
      <c r="H270" s="19"/>
    </row>
    <row r="271" ht="15.75" customHeight="1">
      <c r="A271" s="389"/>
      <c r="D271" s="138"/>
      <c r="F271" s="236"/>
      <c r="G271" s="236"/>
      <c r="H271" s="19"/>
    </row>
    <row r="272" ht="15.75" customHeight="1">
      <c r="A272" s="389"/>
      <c r="D272" s="138"/>
      <c r="F272" s="236"/>
      <c r="G272" s="236"/>
      <c r="H272" s="19"/>
    </row>
    <row r="273" ht="15.75" customHeight="1">
      <c r="A273" s="389"/>
      <c r="D273" s="138"/>
      <c r="F273" s="236"/>
      <c r="G273" s="236"/>
      <c r="H273" s="19"/>
    </row>
    <row r="274" ht="15.75" customHeight="1">
      <c r="A274" s="389"/>
      <c r="D274" s="138"/>
      <c r="F274" s="236"/>
      <c r="G274" s="236"/>
      <c r="H274" s="19"/>
    </row>
    <row r="275" ht="15.75" customHeight="1">
      <c r="A275" s="389"/>
      <c r="D275" s="138"/>
      <c r="F275" s="236"/>
      <c r="G275" s="236"/>
      <c r="H275" s="19"/>
    </row>
    <row r="276" ht="15.75" customHeight="1">
      <c r="A276" s="389"/>
      <c r="D276" s="138"/>
      <c r="F276" s="236"/>
      <c r="G276" s="236"/>
      <c r="H276" s="19"/>
    </row>
    <row r="277" ht="15.75" customHeight="1">
      <c r="A277" s="389"/>
      <c r="D277" s="138"/>
      <c r="F277" s="236"/>
      <c r="G277" s="236"/>
      <c r="H277" s="19"/>
    </row>
    <row r="278" ht="15.75" customHeight="1">
      <c r="A278" s="389"/>
      <c r="D278" s="138"/>
      <c r="F278" s="236"/>
      <c r="G278" s="236"/>
      <c r="H278" s="19"/>
    </row>
    <row r="279" ht="15.75" customHeight="1">
      <c r="A279" s="389"/>
      <c r="D279" s="138"/>
      <c r="F279" s="236"/>
      <c r="G279" s="236"/>
      <c r="H279" s="19"/>
    </row>
    <row r="280" ht="15.75" customHeight="1">
      <c r="A280" s="389"/>
      <c r="D280" s="138"/>
      <c r="F280" s="236"/>
      <c r="G280" s="236"/>
      <c r="H280" s="19"/>
    </row>
    <row r="281" ht="15.75" customHeight="1">
      <c r="A281" s="389"/>
      <c r="D281" s="138"/>
      <c r="F281" s="236"/>
      <c r="G281" s="236"/>
      <c r="H281" s="19"/>
    </row>
    <row r="282" ht="15.75" customHeight="1">
      <c r="A282" s="389"/>
      <c r="D282" s="138"/>
      <c r="F282" s="236"/>
      <c r="G282" s="236"/>
      <c r="H282" s="19"/>
    </row>
    <row r="283" ht="15.75" customHeight="1">
      <c r="A283" s="389"/>
      <c r="D283" s="138"/>
      <c r="F283" s="236"/>
      <c r="G283" s="236"/>
      <c r="H283" s="19"/>
    </row>
    <row r="284" ht="15.75" customHeight="1">
      <c r="A284" s="389"/>
      <c r="D284" s="138"/>
      <c r="F284" s="236"/>
      <c r="G284" s="236"/>
      <c r="H284" s="19"/>
    </row>
    <row r="285" ht="15.75" customHeight="1">
      <c r="A285" s="389"/>
      <c r="D285" s="138"/>
      <c r="F285" s="236"/>
      <c r="G285" s="236"/>
      <c r="H285" s="19"/>
    </row>
    <row r="286" ht="15.75" customHeight="1">
      <c r="A286" s="389"/>
      <c r="D286" s="138"/>
      <c r="F286" s="236"/>
      <c r="G286" s="236"/>
      <c r="H286" s="19"/>
    </row>
    <row r="287" ht="15.75" customHeight="1">
      <c r="A287" s="389"/>
      <c r="D287" s="138"/>
      <c r="F287" s="236"/>
      <c r="G287" s="236"/>
      <c r="H287" s="19"/>
    </row>
    <row r="288" ht="15.75" customHeight="1">
      <c r="A288" s="389"/>
      <c r="D288" s="138"/>
      <c r="F288" s="236"/>
      <c r="G288" s="236"/>
      <c r="H288" s="19"/>
    </row>
    <row r="289" ht="15.75" customHeight="1">
      <c r="A289" s="389"/>
      <c r="D289" s="138"/>
      <c r="F289" s="236"/>
      <c r="G289" s="236"/>
      <c r="H289" s="19"/>
    </row>
    <row r="290" ht="15.75" customHeight="1">
      <c r="A290" s="389"/>
      <c r="D290" s="138"/>
      <c r="F290" s="236"/>
      <c r="G290" s="236"/>
      <c r="H290" s="19"/>
    </row>
    <row r="291" ht="15.75" customHeight="1">
      <c r="A291" s="389"/>
      <c r="D291" s="138"/>
      <c r="F291" s="236"/>
      <c r="G291" s="236"/>
      <c r="H291" s="19"/>
    </row>
    <row r="292" ht="15.75" customHeight="1">
      <c r="A292" s="389"/>
      <c r="D292" s="138"/>
      <c r="F292" s="236"/>
      <c r="G292" s="236"/>
      <c r="H292" s="19"/>
    </row>
    <row r="293" ht="15.75" customHeight="1">
      <c r="A293" s="389"/>
      <c r="D293" s="138"/>
      <c r="F293" s="236"/>
      <c r="G293" s="236"/>
      <c r="H293" s="19"/>
    </row>
    <row r="294" ht="15.75" customHeight="1">
      <c r="A294" s="389"/>
      <c r="D294" s="138"/>
      <c r="F294" s="236"/>
      <c r="G294" s="236"/>
      <c r="H294" s="19"/>
    </row>
    <row r="295" ht="15.75" customHeight="1">
      <c r="A295" s="389"/>
      <c r="D295" s="138"/>
      <c r="F295" s="236"/>
      <c r="G295" s="236"/>
      <c r="H295" s="19"/>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95"/>
  <hyperlinks>
    <hyperlink r:id="rId1" ref="H3"/>
    <hyperlink r:id="rId2" ref="E4"/>
    <hyperlink r:id="rId3" ref="E6"/>
    <hyperlink r:id="rId4" ref="E8"/>
    <hyperlink r:id="rId5" ref="E10"/>
    <hyperlink r:id="rId6" ref="E12"/>
    <hyperlink r:id="rId7" ref="E13"/>
    <hyperlink r:id="rId8" ref="H13"/>
    <hyperlink r:id="rId9" ref="E15"/>
    <hyperlink r:id="rId10" ref="E17"/>
    <hyperlink r:id="rId11" ref="E19"/>
    <hyperlink r:id="rId12" ref="E21"/>
    <hyperlink r:id="rId13" ref="E23"/>
    <hyperlink r:id="rId14" ref="E24"/>
    <hyperlink r:id="rId15" ref="E26"/>
    <hyperlink r:id="rId16" ref="E29"/>
    <hyperlink r:id="rId17" ref="E30"/>
    <hyperlink r:id="rId18" ref="E31"/>
    <hyperlink r:id="rId19" ref="E32"/>
    <hyperlink r:id="rId20" ref="E34"/>
    <hyperlink r:id="rId21" ref="E35"/>
    <hyperlink r:id="rId22" ref="H35"/>
    <hyperlink r:id="rId23" ref="E39"/>
    <hyperlink r:id="rId24" ref="E40"/>
    <hyperlink r:id="rId25" ref="E42"/>
    <hyperlink r:id="rId26" ref="H42"/>
    <hyperlink r:id="rId27" ref="E43"/>
    <hyperlink r:id="rId28" ref="H43"/>
    <hyperlink r:id="rId29" ref="E45"/>
    <hyperlink r:id="rId30" ref="H45"/>
    <hyperlink r:id="rId31" ref="E46"/>
    <hyperlink r:id="rId32" ref="H46"/>
    <hyperlink r:id="rId33" ref="E47"/>
    <hyperlink r:id="rId34" ref="E48"/>
    <hyperlink r:id="rId35" ref="E50"/>
    <hyperlink r:id="rId36" ref="E51"/>
    <hyperlink r:id="rId37" ref="E53"/>
    <hyperlink r:id="rId38" ref="E54"/>
    <hyperlink r:id="rId39" ref="H54"/>
    <hyperlink r:id="rId40" ref="E57"/>
    <hyperlink r:id="rId41" ref="E58"/>
    <hyperlink r:id="rId42" ref="E59"/>
    <hyperlink r:id="rId43" ref="E61"/>
    <hyperlink r:id="rId44" ref="H61"/>
    <hyperlink r:id="rId45" ref="E62"/>
    <hyperlink r:id="rId46" ref="E63"/>
    <hyperlink r:id="rId47" ref="E64"/>
    <hyperlink r:id="rId48" ref="E66"/>
    <hyperlink r:id="rId49" ref="E67"/>
    <hyperlink r:id="rId50" ref="E69"/>
    <hyperlink r:id="rId51" ref="E70"/>
    <hyperlink r:id="rId52" ref="E71"/>
    <hyperlink r:id="rId53" ref="E72"/>
    <hyperlink r:id="rId54" ref="E73"/>
    <hyperlink r:id="rId55" ref="E74"/>
    <hyperlink r:id="rId56" ref="E75"/>
    <hyperlink r:id="rId57" ref="E76"/>
    <hyperlink r:id="rId58" ref="H76"/>
    <hyperlink r:id="rId59" ref="E77"/>
    <hyperlink r:id="rId60" ref="E79"/>
    <hyperlink r:id="rId61" ref="E80"/>
    <hyperlink r:id="rId62" ref="E82"/>
    <hyperlink r:id="rId63" ref="E83"/>
    <hyperlink r:id="rId64" ref="E86"/>
    <hyperlink r:id="rId65" ref="E88"/>
    <hyperlink r:id="rId66" ref="E89"/>
    <hyperlink r:id="rId67" ref="E91"/>
    <hyperlink r:id="rId68" ref="E92"/>
    <hyperlink r:id="rId69" ref="H92"/>
    <hyperlink r:id="rId70" ref="E93"/>
    <hyperlink r:id="rId71" ref="E94"/>
    <hyperlink r:id="rId72" ref="E95"/>
  </hyperlinks>
  <drawing r:id="rId7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23.75"/>
    <col customWidth="1" min="3" max="3" width="14.38"/>
    <col customWidth="1" min="4" max="4" width="21.0"/>
    <col customWidth="1" min="5" max="5" width="27.0"/>
    <col customWidth="1" min="6" max="7" width="14.38"/>
    <col customWidth="1" min="8" max="8" width="36.25"/>
    <col customWidth="1" min="9" max="30" width="14.38"/>
  </cols>
  <sheetData>
    <row r="1" ht="15.75" customHeight="1">
      <c r="A1" s="364" t="s">
        <v>1345</v>
      </c>
      <c r="B1" s="365" t="s">
        <v>3</v>
      </c>
      <c r="C1" s="365" t="s">
        <v>2101</v>
      </c>
      <c r="D1" s="388" t="s">
        <v>171</v>
      </c>
      <c r="E1" s="365" t="s">
        <v>4</v>
      </c>
      <c r="F1" s="365" t="s">
        <v>172</v>
      </c>
      <c r="G1" s="365" t="s">
        <v>174</v>
      </c>
      <c r="H1" s="366" t="s">
        <v>175</v>
      </c>
      <c r="I1" s="365" t="s">
        <v>9</v>
      </c>
      <c r="J1" s="367"/>
      <c r="K1" s="124"/>
      <c r="L1" s="124"/>
      <c r="M1" s="124"/>
      <c r="N1" s="124"/>
      <c r="O1" s="124"/>
      <c r="P1" s="124"/>
      <c r="Q1" s="124"/>
      <c r="R1" s="124"/>
      <c r="S1" s="124"/>
      <c r="T1" s="124"/>
      <c r="U1" s="124"/>
      <c r="V1" s="124"/>
      <c r="W1" s="124"/>
      <c r="X1" s="124"/>
      <c r="Y1" s="124"/>
      <c r="Z1" s="124"/>
      <c r="AA1" s="124"/>
      <c r="AB1" s="124"/>
      <c r="AC1" s="124"/>
      <c r="AD1" s="124"/>
    </row>
    <row r="2" ht="15.75" customHeight="1">
      <c r="A2" s="389">
        <v>43191.0</v>
      </c>
      <c r="B2" s="362"/>
      <c r="D2" s="138"/>
      <c r="E2" s="362"/>
      <c r="F2" s="236"/>
      <c r="G2" s="1"/>
      <c r="H2" s="391"/>
      <c r="I2" s="1"/>
    </row>
    <row r="3" ht="15.75" customHeight="1">
      <c r="A3" s="389"/>
      <c r="B3" s="362" t="s">
        <v>3781</v>
      </c>
      <c r="D3" s="146" t="s">
        <v>3782</v>
      </c>
      <c r="E3" s="363" t="s">
        <v>3783</v>
      </c>
      <c r="F3" s="236" t="s">
        <v>2494</v>
      </c>
      <c r="G3" s="1" t="s">
        <v>2495</v>
      </c>
      <c r="H3" s="391" t="s">
        <v>3784</v>
      </c>
      <c r="I3" s="1" t="s">
        <v>16</v>
      </c>
    </row>
    <row r="4" ht="15.75" customHeight="1">
      <c r="A4" s="389"/>
      <c r="D4" s="140" t="s">
        <v>3785</v>
      </c>
      <c r="F4" s="369" t="s">
        <v>2649</v>
      </c>
      <c r="G4" s="1" t="s">
        <v>2495</v>
      </c>
      <c r="H4" s="1" t="s">
        <v>3786</v>
      </c>
      <c r="I4" s="1" t="s">
        <v>673</v>
      </c>
    </row>
    <row r="5" ht="15.75" customHeight="1">
      <c r="A5" s="389"/>
      <c r="D5" s="140" t="s">
        <v>3787</v>
      </c>
      <c r="F5" s="236"/>
      <c r="G5" s="1" t="s">
        <v>2543</v>
      </c>
      <c r="H5" s="1" t="s">
        <v>2943</v>
      </c>
      <c r="I5" s="1" t="s">
        <v>2521</v>
      </c>
    </row>
    <row r="6" ht="15.75" customHeight="1">
      <c r="A6" s="389"/>
      <c r="D6" s="140" t="s">
        <v>3788</v>
      </c>
      <c r="F6" s="236" t="s">
        <v>2504</v>
      </c>
      <c r="G6" s="1" t="s">
        <v>2495</v>
      </c>
      <c r="H6" s="1" t="s">
        <v>3789</v>
      </c>
      <c r="J6" s="1" t="s">
        <v>3790</v>
      </c>
    </row>
    <row r="7" ht="15.75" customHeight="1">
      <c r="A7" s="389"/>
      <c r="B7" s="404" t="s">
        <v>3791</v>
      </c>
      <c r="D7" s="140" t="s">
        <v>3792</v>
      </c>
      <c r="E7" s="405" t="s">
        <v>3793</v>
      </c>
      <c r="F7" s="403" t="s">
        <v>2534</v>
      </c>
      <c r="G7" s="326" t="s">
        <v>2495</v>
      </c>
      <c r="H7" s="1" t="s">
        <v>3786</v>
      </c>
      <c r="I7" s="1" t="s">
        <v>401</v>
      </c>
    </row>
    <row r="8" ht="15.75" customHeight="1">
      <c r="A8" s="389">
        <v>43192.0</v>
      </c>
      <c r="D8" s="138"/>
      <c r="F8" s="236"/>
    </row>
    <row r="9" ht="15.75" customHeight="1">
      <c r="A9" s="389"/>
      <c r="B9" s="362" t="s">
        <v>3794</v>
      </c>
      <c r="D9" s="146" t="s">
        <v>3795</v>
      </c>
      <c r="E9" s="363" t="s">
        <v>3796</v>
      </c>
      <c r="F9" s="236" t="s">
        <v>2494</v>
      </c>
      <c r="G9" s="1" t="s">
        <v>2543</v>
      </c>
      <c r="H9" s="89" t="s">
        <v>3797</v>
      </c>
    </row>
    <row r="10" ht="15.75" customHeight="1">
      <c r="A10" s="389"/>
      <c r="B10" s="362" t="s">
        <v>3798</v>
      </c>
      <c r="D10" s="140" t="s">
        <v>3799</v>
      </c>
      <c r="E10" s="363" t="s">
        <v>3800</v>
      </c>
      <c r="F10" s="236" t="s">
        <v>2494</v>
      </c>
      <c r="G10" s="1" t="s">
        <v>2495</v>
      </c>
      <c r="H10" s="391" t="s">
        <v>3105</v>
      </c>
      <c r="I10" s="1" t="s">
        <v>16</v>
      </c>
    </row>
    <row r="11" ht="15.75" customHeight="1">
      <c r="A11" s="389"/>
      <c r="B11" s="362" t="s">
        <v>3801</v>
      </c>
      <c r="D11" s="146" t="s">
        <v>3802</v>
      </c>
      <c r="E11" s="363" t="s">
        <v>3803</v>
      </c>
      <c r="F11" s="236" t="s">
        <v>2494</v>
      </c>
      <c r="G11" s="1" t="s">
        <v>2543</v>
      </c>
      <c r="H11" s="391" t="s">
        <v>3804</v>
      </c>
    </row>
    <row r="12" ht="15.75" customHeight="1">
      <c r="A12" s="389">
        <v>43193.0</v>
      </c>
      <c r="D12" s="138"/>
      <c r="F12" s="236"/>
    </row>
    <row r="13" ht="15.75" customHeight="1">
      <c r="A13" s="389"/>
      <c r="B13" s="99" t="s">
        <v>3805</v>
      </c>
      <c r="D13" s="140" t="s">
        <v>3806</v>
      </c>
      <c r="E13" s="368" t="s">
        <v>3807</v>
      </c>
      <c r="F13" s="369" t="s">
        <v>2649</v>
      </c>
      <c r="G13" s="1" t="s">
        <v>2543</v>
      </c>
      <c r="H13" s="1" t="s">
        <v>2544</v>
      </c>
      <c r="J13" s="1" t="s">
        <v>3808</v>
      </c>
    </row>
    <row r="14" ht="15.75" customHeight="1">
      <c r="B14" s="362" t="s">
        <v>3809</v>
      </c>
      <c r="D14" s="146" t="s">
        <v>3810</v>
      </c>
      <c r="E14" s="363" t="s">
        <v>3811</v>
      </c>
      <c r="F14" s="1" t="s">
        <v>2494</v>
      </c>
      <c r="G14" s="1" t="s">
        <v>2495</v>
      </c>
      <c r="H14" s="319" t="s">
        <v>2951</v>
      </c>
      <c r="I14" s="1" t="s">
        <v>401</v>
      </c>
    </row>
    <row r="15" ht="15.75" customHeight="1">
      <c r="A15" s="389"/>
      <c r="B15" s="1" t="s">
        <v>3812</v>
      </c>
      <c r="D15" s="140" t="s">
        <v>3813</v>
      </c>
      <c r="F15" s="236" t="s">
        <v>2504</v>
      </c>
      <c r="G15" s="1" t="s">
        <v>2495</v>
      </c>
      <c r="H15" s="1" t="s">
        <v>3814</v>
      </c>
      <c r="J15" s="1" t="s">
        <v>3815</v>
      </c>
    </row>
    <row r="16" ht="15.75" customHeight="1">
      <c r="A16" s="389">
        <v>43194.0</v>
      </c>
      <c r="D16" s="138"/>
      <c r="F16" s="236"/>
    </row>
    <row r="17" ht="15.75" customHeight="1">
      <c r="A17" s="389"/>
      <c r="B17" s="238" t="s">
        <v>3816</v>
      </c>
      <c r="D17" s="406" t="s">
        <v>3817</v>
      </c>
      <c r="E17" s="220" t="s">
        <v>3818</v>
      </c>
      <c r="F17" s="403" t="s">
        <v>2534</v>
      </c>
      <c r="G17" s="326" t="s">
        <v>2495</v>
      </c>
      <c r="H17" s="1" t="s">
        <v>3819</v>
      </c>
      <c r="I17" s="1" t="s">
        <v>16</v>
      </c>
    </row>
    <row r="18" ht="15.75" customHeight="1">
      <c r="A18" s="389"/>
      <c r="B18" s="1" t="s">
        <v>3820</v>
      </c>
      <c r="D18" s="140" t="s">
        <v>3821</v>
      </c>
      <c r="E18" s="213" t="s">
        <v>3822</v>
      </c>
      <c r="F18" s="236" t="s">
        <v>2504</v>
      </c>
      <c r="G18" s="1" t="s">
        <v>2552</v>
      </c>
      <c r="H18" s="274" t="s">
        <v>3823</v>
      </c>
      <c r="I18" s="1" t="s">
        <v>3824</v>
      </c>
      <c r="J18" s="1" t="s">
        <v>3825</v>
      </c>
    </row>
    <row r="19" ht="15.75" customHeight="1">
      <c r="A19" s="389"/>
      <c r="B19" s="362" t="s">
        <v>3826</v>
      </c>
      <c r="D19" s="140" t="s">
        <v>3827</v>
      </c>
      <c r="E19" s="363" t="s">
        <v>3828</v>
      </c>
      <c r="F19" s="236" t="s">
        <v>2494</v>
      </c>
      <c r="G19" s="1" t="s">
        <v>2495</v>
      </c>
      <c r="H19" s="1" t="s">
        <v>3829</v>
      </c>
      <c r="I19" s="1" t="s">
        <v>16</v>
      </c>
    </row>
    <row r="20" ht="15.75" customHeight="1">
      <c r="A20" s="222">
        <v>43197.0</v>
      </c>
      <c r="D20" s="138"/>
      <c r="E20" s="1"/>
      <c r="F20" s="236"/>
    </row>
    <row r="21" ht="15.75" customHeight="1">
      <c r="A21" s="389"/>
      <c r="D21" s="140" t="s">
        <v>3830</v>
      </c>
      <c r="E21" s="368" t="s">
        <v>3831</v>
      </c>
      <c r="F21" s="236"/>
      <c r="H21" s="1" t="s">
        <v>3786</v>
      </c>
    </row>
    <row r="22" ht="15.75" customHeight="1">
      <c r="A22" s="389"/>
      <c r="D22" s="140" t="s">
        <v>3832</v>
      </c>
      <c r="F22" s="236"/>
    </row>
    <row r="23" ht="15.75" customHeight="1">
      <c r="A23" s="389"/>
      <c r="B23" s="362" t="s">
        <v>3833</v>
      </c>
      <c r="D23" s="140" t="s">
        <v>3834</v>
      </c>
      <c r="E23" s="363" t="s">
        <v>3835</v>
      </c>
      <c r="F23" s="236"/>
      <c r="H23" s="1" t="s">
        <v>772</v>
      </c>
    </row>
    <row r="24" ht="15.75" customHeight="1">
      <c r="A24" s="389">
        <v>43198.0</v>
      </c>
      <c r="D24" s="138"/>
      <c r="F24" s="236"/>
    </row>
    <row r="25" ht="15.75" customHeight="1">
      <c r="A25" s="389"/>
      <c r="B25" s="362" t="s">
        <v>3836</v>
      </c>
      <c r="D25" s="140" t="s">
        <v>3837</v>
      </c>
      <c r="E25" s="363" t="s">
        <v>3838</v>
      </c>
      <c r="F25" s="236" t="s">
        <v>2494</v>
      </c>
      <c r="G25" s="1" t="s">
        <v>2495</v>
      </c>
      <c r="H25" s="89" t="s">
        <v>3839</v>
      </c>
      <c r="I25" s="1" t="s">
        <v>16</v>
      </c>
    </row>
    <row r="26" ht="15.75" customHeight="1">
      <c r="A26" s="389"/>
      <c r="B26" s="1" t="s">
        <v>3840</v>
      </c>
      <c r="D26" s="140" t="s">
        <v>3841</v>
      </c>
      <c r="F26" s="236" t="s">
        <v>2494</v>
      </c>
      <c r="G26" s="1" t="s">
        <v>2737</v>
      </c>
      <c r="H26" s="1" t="s">
        <v>3842</v>
      </c>
      <c r="I26" s="1" t="s">
        <v>16</v>
      </c>
    </row>
    <row r="27" ht="15.75" customHeight="1">
      <c r="A27" s="389"/>
      <c r="B27" s="362" t="s">
        <v>3843</v>
      </c>
      <c r="D27" s="140" t="s">
        <v>3844</v>
      </c>
      <c r="E27" s="363" t="s">
        <v>3845</v>
      </c>
      <c r="F27" s="236" t="s">
        <v>2494</v>
      </c>
      <c r="G27" s="1" t="s">
        <v>2495</v>
      </c>
      <c r="I27" s="1" t="s">
        <v>201</v>
      </c>
    </row>
    <row r="28" ht="15.75" customHeight="1">
      <c r="A28" s="389">
        <v>43199.0</v>
      </c>
      <c r="D28" s="138"/>
      <c r="F28" s="236"/>
    </row>
    <row r="29" ht="15.75" customHeight="1">
      <c r="A29" s="389"/>
      <c r="B29" s="362" t="s">
        <v>3846</v>
      </c>
      <c r="D29" s="140" t="s">
        <v>3847</v>
      </c>
      <c r="E29" s="363" t="s">
        <v>3848</v>
      </c>
      <c r="F29" s="236" t="s">
        <v>2494</v>
      </c>
      <c r="G29" s="1" t="s">
        <v>2495</v>
      </c>
      <c r="H29" s="1" t="s">
        <v>2975</v>
      </c>
      <c r="I29" s="1" t="s">
        <v>16</v>
      </c>
    </row>
    <row r="30" ht="15.75" customHeight="1">
      <c r="A30" s="389"/>
      <c r="B30" s="362" t="s">
        <v>606</v>
      </c>
      <c r="D30" s="146" t="s">
        <v>722</v>
      </c>
      <c r="E30" s="363" t="s">
        <v>608</v>
      </c>
      <c r="F30" s="236" t="s">
        <v>2494</v>
      </c>
      <c r="G30" s="1" t="s">
        <v>2495</v>
      </c>
      <c r="H30" s="89" t="s">
        <v>3839</v>
      </c>
      <c r="I30" s="1" t="s">
        <v>16</v>
      </c>
    </row>
    <row r="31" ht="15.75" customHeight="1">
      <c r="A31" s="389"/>
      <c r="B31" s="362" t="s">
        <v>3849</v>
      </c>
      <c r="D31" s="146" t="s">
        <v>3850</v>
      </c>
      <c r="E31" s="363" t="s">
        <v>3851</v>
      </c>
      <c r="F31" s="236" t="s">
        <v>2494</v>
      </c>
      <c r="G31" s="1" t="s">
        <v>2552</v>
      </c>
      <c r="H31" s="89" t="s">
        <v>3852</v>
      </c>
      <c r="I31" s="1" t="s">
        <v>3385</v>
      </c>
    </row>
    <row r="32" ht="15.75" customHeight="1">
      <c r="A32" s="389"/>
      <c r="B32" s="362" t="s">
        <v>3587</v>
      </c>
      <c r="D32" s="140" t="s">
        <v>3588</v>
      </c>
      <c r="E32" s="363" t="s">
        <v>3589</v>
      </c>
      <c r="F32" s="236" t="s">
        <v>2494</v>
      </c>
      <c r="H32" s="1" t="s">
        <v>3853</v>
      </c>
      <c r="I32" s="1" t="s">
        <v>2888</v>
      </c>
    </row>
    <row r="33" ht="15.75" customHeight="1">
      <c r="A33" s="389"/>
      <c r="B33" s="362" t="s">
        <v>3854</v>
      </c>
      <c r="D33" s="138">
        <v>5.64421528E8</v>
      </c>
      <c r="E33" s="363" t="s">
        <v>3855</v>
      </c>
      <c r="F33" s="236" t="s">
        <v>2494</v>
      </c>
      <c r="G33" s="1" t="s">
        <v>2543</v>
      </c>
      <c r="H33" s="1" t="s">
        <v>2544</v>
      </c>
      <c r="J33" s="1" t="s">
        <v>3808</v>
      </c>
    </row>
    <row r="34" ht="15.75" customHeight="1">
      <c r="A34" s="389">
        <v>43200.0</v>
      </c>
      <c r="D34" s="138"/>
      <c r="F34" s="236"/>
    </row>
    <row r="35" ht="15.75" customHeight="1">
      <c r="A35" s="389"/>
      <c r="B35" s="362" t="s">
        <v>3856</v>
      </c>
      <c r="D35" s="407">
        <f>+971558675323</f>
        <v>971558675323</v>
      </c>
      <c r="E35" s="363" t="s">
        <v>3857</v>
      </c>
      <c r="F35" s="236" t="s">
        <v>2494</v>
      </c>
      <c r="G35" s="1" t="s">
        <v>2495</v>
      </c>
      <c r="H35" s="391" t="s">
        <v>2907</v>
      </c>
      <c r="I35" s="1" t="s">
        <v>16</v>
      </c>
    </row>
    <row r="36" ht="15.75" customHeight="1">
      <c r="A36" s="389"/>
      <c r="B36" s="362" t="s">
        <v>3858</v>
      </c>
      <c r="D36" s="140" t="s">
        <v>3859</v>
      </c>
      <c r="E36" s="363" t="s">
        <v>3860</v>
      </c>
      <c r="F36" s="236" t="s">
        <v>2494</v>
      </c>
      <c r="G36" s="1" t="s">
        <v>2495</v>
      </c>
      <c r="H36" s="214" t="s">
        <v>3861</v>
      </c>
      <c r="I36" s="1" t="s">
        <v>16</v>
      </c>
    </row>
    <row r="37" ht="15.75" customHeight="1">
      <c r="A37" s="389"/>
      <c r="B37" s="362" t="s">
        <v>3862</v>
      </c>
      <c r="D37" s="140" t="s">
        <v>3863</v>
      </c>
      <c r="E37" s="363" t="s">
        <v>3864</v>
      </c>
      <c r="F37" s="236" t="s">
        <v>2494</v>
      </c>
      <c r="G37" s="1" t="s">
        <v>2495</v>
      </c>
      <c r="H37" s="1" t="s">
        <v>3655</v>
      </c>
      <c r="I37" s="1" t="s">
        <v>16</v>
      </c>
    </row>
    <row r="38" ht="15.75" customHeight="1">
      <c r="A38" s="389">
        <v>43201.0</v>
      </c>
      <c r="D38" s="138"/>
      <c r="F38" s="236"/>
    </row>
    <row r="39" ht="15.75" customHeight="1">
      <c r="A39" s="389"/>
      <c r="B39" s="99" t="s">
        <v>3865</v>
      </c>
      <c r="D39" s="146" t="s">
        <v>3866</v>
      </c>
      <c r="E39" s="368" t="s">
        <v>3866</v>
      </c>
      <c r="F39" s="369" t="s">
        <v>2649</v>
      </c>
      <c r="G39" s="321" t="s">
        <v>2552</v>
      </c>
      <c r="H39" s="1" t="s">
        <v>3867</v>
      </c>
    </row>
    <row r="40" ht="15.75" customHeight="1">
      <c r="A40" s="389"/>
      <c r="B40" s="1" t="s">
        <v>3868</v>
      </c>
      <c r="D40" s="408" t="s">
        <v>3869</v>
      </c>
      <c r="E40" s="363" t="s">
        <v>3869</v>
      </c>
      <c r="F40" s="409" t="s">
        <v>2494</v>
      </c>
      <c r="G40" s="60" t="s">
        <v>2495</v>
      </c>
      <c r="H40" s="1" t="s">
        <v>3870</v>
      </c>
      <c r="I40" s="1" t="s">
        <v>16</v>
      </c>
    </row>
    <row r="41" ht="15.75" customHeight="1">
      <c r="A41" s="389"/>
      <c r="B41" s="363" t="s">
        <v>3869</v>
      </c>
      <c r="D41" s="146" t="s">
        <v>3871</v>
      </c>
      <c r="E41" s="363" t="s">
        <v>3869</v>
      </c>
      <c r="F41" s="409" t="s">
        <v>2494</v>
      </c>
      <c r="G41" s="60" t="s">
        <v>2495</v>
      </c>
      <c r="H41" s="1" t="s">
        <v>3870</v>
      </c>
      <c r="I41" s="1" t="s">
        <v>16</v>
      </c>
    </row>
    <row r="42" ht="15.75" customHeight="1">
      <c r="A42" s="389">
        <v>43202.0</v>
      </c>
      <c r="D42" s="138"/>
      <c r="F42" s="236"/>
      <c r="I42" s="1"/>
    </row>
    <row r="43" ht="15.75" customHeight="1">
      <c r="A43" s="389"/>
      <c r="B43" s="362" t="s">
        <v>606</v>
      </c>
      <c r="D43" s="146" t="s">
        <v>722</v>
      </c>
      <c r="E43" s="363" t="s">
        <v>608</v>
      </c>
      <c r="F43" s="409" t="s">
        <v>2494</v>
      </c>
      <c r="G43" s="60" t="s">
        <v>2495</v>
      </c>
      <c r="H43" s="319" t="s">
        <v>3568</v>
      </c>
      <c r="I43" s="1" t="s">
        <v>16</v>
      </c>
    </row>
    <row r="44" ht="15.75" customHeight="1">
      <c r="A44" s="389"/>
      <c r="B44" s="362" t="s">
        <v>3872</v>
      </c>
      <c r="D44" s="140" t="s">
        <v>3873</v>
      </c>
      <c r="E44" s="363" t="s">
        <v>3874</v>
      </c>
      <c r="F44" s="236" t="s">
        <v>2494</v>
      </c>
      <c r="G44" s="1" t="s">
        <v>3227</v>
      </c>
      <c r="H44" s="1" t="s">
        <v>2544</v>
      </c>
      <c r="J44" s="1" t="s">
        <v>3808</v>
      </c>
    </row>
    <row r="45" ht="15.75" customHeight="1">
      <c r="A45" s="389"/>
      <c r="B45" s="1" t="s">
        <v>3875</v>
      </c>
      <c r="D45" s="140" t="s">
        <v>3876</v>
      </c>
      <c r="F45" s="236"/>
      <c r="G45" s="1" t="s">
        <v>2552</v>
      </c>
      <c r="H45" s="1" t="s">
        <v>3877</v>
      </c>
    </row>
    <row r="46" ht="15.75" customHeight="1">
      <c r="A46" s="389"/>
      <c r="B46" s="1" t="s">
        <v>3878</v>
      </c>
      <c r="D46" s="140" t="s">
        <v>3879</v>
      </c>
      <c r="F46" s="236"/>
      <c r="H46" s="1" t="s">
        <v>3880</v>
      </c>
    </row>
    <row r="47" ht="15.75" customHeight="1">
      <c r="A47" s="389">
        <v>43205.0</v>
      </c>
      <c r="D47" s="138"/>
      <c r="F47" s="236"/>
    </row>
    <row r="48" ht="15.75" customHeight="1">
      <c r="A48" s="389"/>
      <c r="B48" s="372" t="s">
        <v>3881</v>
      </c>
      <c r="D48" s="140" t="s">
        <v>3882</v>
      </c>
      <c r="E48" s="90" t="s">
        <v>3883</v>
      </c>
      <c r="F48" s="236"/>
      <c r="H48" s="372" t="s">
        <v>3884</v>
      </c>
      <c r="J48" s="1" t="s">
        <v>3808</v>
      </c>
    </row>
    <row r="49" ht="15.75" customHeight="1">
      <c r="A49" s="389"/>
      <c r="B49" s="89" t="s">
        <v>3885</v>
      </c>
      <c r="D49" s="140" t="s">
        <v>3886</v>
      </c>
      <c r="E49" s="213" t="s">
        <v>3887</v>
      </c>
      <c r="F49" s="236"/>
      <c r="H49" s="386" t="s">
        <v>3888</v>
      </c>
    </row>
    <row r="50" ht="15.75" customHeight="1">
      <c r="A50" s="389"/>
      <c r="B50" s="362" t="s">
        <v>3889</v>
      </c>
      <c r="D50" s="140" t="s">
        <v>3890</v>
      </c>
      <c r="E50" s="363" t="s">
        <v>3891</v>
      </c>
      <c r="F50" s="236"/>
      <c r="G50" s="60" t="s">
        <v>2495</v>
      </c>
      <c r="H50" s="214" t="s">
        <v>3784</v>
      </c>
      <c r="I50" s="1" t="s">
        <v>1368</v>
      </c>
    </row>
    <row r="51" ht="15.75" customHeight="1">
      <c r="A51" s="389"/>
      <c r="B51" s="362" t="s">
        <v>3892</v>
      </c>
      <c r="D51" s="140" t="s">
        <v>3893</v>
      </c>
      <c r="E51" s="363" t="s">
        <v>3894</v>
      </c>
      <c r="F51" s="236"/>
      <c r="H51" s="1" t="s">
        <v>2544</v>
      </c>
      <c r="J51" s="1" t="s">
        <v>3808</v>
      </c>
    </row>
    <row r="52" ht="15.75" customHeight="1">
      <c r="A52" s="389"/>
      <c r="B52" s="89" t="s">
        <v>3895</v>
      </c>
      <c r="D52" s="140" t="s">
        <v>3896</v>
      </c>
      <c r="E52" s="213" t="s">
        <v>3897</v>
      </c>
      <c r="F52" s="236"/>
      <c r="H52" s="1" t="s">
        <v>3898</v>
      </c>
    </row>
    <row r="53" ht="15.75" customHeight="1">
      <c r="A53" s="389"/>
      <c r="B53" s="372" t="s">
        <v>3899</v>
      </c>
      <c r="D53" s="140" t="s">
        <v>3900</v>
      </c>
      <c r="F53" s="369" t="s">
        <v>2649</v>
      </c>
      <c r="G53" s="321" t="s">
        <v>2495</v>
      </c>
      <c r="H53" s="1" t="s">
        <v>3901</v>
      </c>
      <c r="I53" s="1" t="s">
        <v>401</v>
      </c>
    </row>
    <row r="54" ht="15.75" customHeight="1">
      <c r="A54" s="389"/>
      <c r="B54" s="1" t="s">
        <v>3902</v>
      </c>
      <c r="D54" s="140" t="s">
        <v>3903</v>
      </c>
      <c r="F54" s="236"/>
      <c r="G54" s="60" t="s">
        <v>2495</v>
      </c>
      <c r="H54" s="1" t="s">
        <v>3904</v>
      </c>
      <c r="I54" s="1" t="s">
        <v>673</v>
      </c>
    </row>
    <row r="55" ht="15.75" customHeight="1">
      <c r="A55" s="389"/>
      <c r="B55" s="1" t="s">
        <v>3905</v>
      </c>
      <c r="D55" s="140" t="s">
        <v>3906</v>
      </c>
      <c r="F55" s="236"/>
      <c r="G55" s="60" t="s">
        <v>2495</v>
      </c>
      <c r="H55" s="1" t="s">
        <v>3907</v>
      </c>
      <c r="I55" s="1" t="s">
        <v>1368</v>
      </c>
    </row>
    <row r="56" ht="15.75" customHeight="1">
      <c r="A56" s="389"/>
      <c r="B56" s="1" t="s">
        <v>3908</v>
      </c>
      <c r="D56" s="140" t="s">
        <v>3909</v>
      </c>
      <c r="F56" s="236"/>
      <c r="G56" s="60" t="s">
        <v>2495</v>
      </c>
      <c r="H56" s="1" t="s">
        <v>3910</v>
      </c>
      <c r="I56" s="1" t="s">
        <v>1679</v>
      </c>
    </row>
    <row r="57" ht="15.75" customHeight="1">
      <c r="A57" s="389">
        <v>43206.0</v>
      </c>
      <c r="D57" s="138"/>
      <c r="F57" s="236"/>
    </row>
    <row r="58" ht="15.75" customHeight="1">
      <c r="A58" s="389"/>
      <c r="B58" s="362" t="s">
        <v>3674</v>
      </c>
      <c r="D58" s="140" t="s">
        <v>3911</v>
      </c>
      <c r="E58" s="363" t="s">
        <v>3912</v>
      </c>
      <c r="F58" s="236" t="s">
        <v>2494</v>
      </c>
      <c r="G58" s="1" t="s">
        <v>2543</v>
      </c>
      <c r="H58" s="1" t="s">
        <v>3445</v>
      </c>
      <c r="I58" s="1" t="s">
        <v>3913</v>
      </c>
      <c r="J58" s="1" t="s">
        <v>3808</v>
      </c>
    </row>
    <row r="59" ht="15.75" customHeight="1">
      <c r="A59" s="389"/>
      <c r="B59" s="362" t="s">
        <v>3914</v>
      </c>
      <c r="D59" s="146" t="s">
        <v>3915</v>
      </c>
      <c r="E59" s="363" t="s">
        <v>3916</v>
      </c>
      <c r="F59" s="236" t="s">
        <v>2494</v>
      </c>
      <c r="G59" s="1" t="s">
        <v>2495</v>
      </c>
      <c r="H59" s="1" t="s">
        <v>1820</v>
      </c>
      <c r="J59" s="1" t="s">
        <v>3917</v>
      </c>
    </row>
    <row r="60" ht="15.75" customHeight="1">
      <c r="A60" s="389">
        <v>43207.0</v>
      </c>
      <c r="D60" s="138"/>
      <c r="F60" s="236"/>
    </row>
    <row r="61" ht="15.75" customHeight="1">
      <c r="A61" s="389"/>
      <c r="B61" s="362" t="s">
        <v>3918</v>
      </c>
      <c r="D61" s="140" t="s">
        <v>3919</v>
      </c>
      <c r="E61" s="363" t="s">
        <v>3920</v>
      </c>
      <c r="F61" s="236" t="s">
        <v>2494</v>
      </c>
      <c r="G61" s="1" t="s">
        <v>2543</v>
      </c>
      <c r="H61" s="1" t="s">
        <v>2544</v>
      </c>
      <c r="J61" s="1" t="s">
        <v>3808</v>
      </c>
    </row>
    <row r="62" ht="15.75" customHeight="1">
      <c r="A62" s="389"/>
      <c r="B62" s="89" t="s">
        <v>3921</v>
      </c>
      <c r="D62" s="140" t="s">
        <v>3922</v>
      </c>
      <c r="E62" s="213" t="s">
        <v>3923</v>
      </c>
      <c r="F62" s="236" t="s">
        <v>2494</v>
      </c>
      <c r="G62" s="1" t="s">
        <v>2495</v>
      </c>
      <c r="H62" s="89" t="s">
        <v>3924</v>
      </c>
    </row>
    <row r="63" ht="15.75" customHeight="1">
      <c r="A63" s="389"/>
      <c r="B63" s="362" t="s">
        <v>799</v>
      </c>
      <c r="D63" s="146" t="s">
        <v>3925</v>
      </c>
      <c r="E63" s="363" t="s">
        <v>3926</v>
      </c>
      <c r="F63" s="236" t="s">
        <v>2494</v>
      </c>
      <c r="G63" s="1" t="s">
        <v>2495</v>
      </c>
      <c r="H63" s="391" t="s">
        <v>3927</v>
      </c>
      <c r="I63" s="1" t="s">
        <v>16</v>
      </c>
    </row>
    <row r="64" ht="15.75" customHeight="1">
      <c r="A64" s="389"/>
      <c r="B64" s="362" t="s">
        <v>3386</v>
      </c>
      <c r="D64" s="146" t="s">
        <v>3928</v>
      </c>
      <c r="E64" s="363" t="s">
        <v>3929</v>
      </c>
      <c r="F64" s="236" t="s">
        <v>2494</v>
      </c>
      <c r="H64" s="1" t="s">
        <v>206</v>
      </c>
      <c r="I64" s="1" t="s">
        <v>1377</v>
      </c>
    </row>
    <row r="65" ht="15.75" customHeight="1">
      <c r="A65" s="389"/>
      <c r="B65" s="362" t="s">
        <v>3930</v>
      </c>
      <c r="D65" s="140" t="s">
        <v>3605</v>
      </c>
      <c r="E65" s="363" t="s">
        <v>3606</v>
      </c>
      <c r="F65" s="236" t="s">
        <v>2494</v>
      </c>
      <c r="G65" s="1" t="s">
        <v>2552</v>
      </c>
      <c r="H65" s="1" t="s">
        <v>3216</v>
      </c>
      <c r="J65" s="1" t="s">
        <v>3808</v>
      </c>
    </row>
    <row r="66" ht="15.75" customHeight="1">
      <c r="A66" s="389"/>
      <c r="B66" s="1" t="s">
        <v>3931</v>
      </c>
      <c r="D66" s="140" t="s">
        <v>3932</v>
      </c>
      <c r="F66" s="236" t="s">
        <v>2494</v>
      </c>
      <c r="G66" s="1" t="s">
        <v>2495</v>
      </c>
      <c r="H66" s="1" t="s">
        <v>3933</v>
      </c>
      <c r="I66" s="1" t="s">
        <v>3934</v>
      </c>
    </row>
    <row r="67" ht="15.75" customHeight="1">
      <c r="A67" s="389"/>
      <c r="B67" s="1" t="s">
        <v>3935</v>
      </c>
      <c r="D67" s="140" t="s">
        <v>3936</v>
      </c>
      <c r="E67" s="213" t="s">
        <v>3937</v>
      </c>
      <c r="F67" s="236" t="s">
        <v>2504</v>
      </c>
      <c r="H67" s="410" t="s">
        <v>3938</v>
      </c>
      <c r="J67" s="1" t="s">
        <v>3808</v>
      </c>
    </row>
    <row r="68" ht="15.75" customHeight="1">
      <c r="A68" s="389">
        <v>43208.0</v>
      </c>
      <c r="B68" s="89"/>
      <c r="D68" s="138"/>
      <c r="E68" s="89"/>
      <c r="F68" s="236"/>
      <c r="H68" s="1"/>
    </row>
    <row r="69" ht="15.75" customHeight="1">
      <c r="A69" s="389"/>
      <c r="B69" s="89" t="s">
        <v>3939</v>
      </c>
      <c r="D69" s="138"/>
      <c r="E69" s="213" t="s">
        <v>3940</v>
      </c>
      <c r="F69" s="236" t="s">
        <v>2504</v>
      </c>
      <c r="H69" s="1" t="s">
        <v>3941</v>
      </c>
      <c r="I69" s="1" t="s">
        <v>3942</v>
      </c>
      <c r="J69" s="1" t="s">
        <v>3808</v>
      </c>
    </row>
    <row r="70" ht="15.75" customHeight="1">
      <c r="A70" s="389"/>
      <c r="B70" s="1" t="s">
        <v>2806</v>
      </c>
      <c r="D70" s="140" t="s">
        <v>3943</v>
      </c>
      <c r="F70" s="236" t="s">
        <v>2494</v>
      </c>
      <c r="G70" s="1" t="s">
        <v>2495</v>
      </c>
      <c r="H70" s="1" t="s">
        <v>3870</v>
      </c>
      <c r="I70" s="1" t="s">
        <v>3934</v>
      </c>
    </row>
    <row r="71" ht="15.75" customHeight="1">
      <c r="A71" s="389"/>
      <c r="B71" s="1" t="s">
        <v>3944</v>
      </c>
      <c r="D71" s="146" t="s">
        <v>3945</v>
      </c>
      <c r="F71" s="236"/>
      <c r="H71" s="1" t="s">
        <v>1652</v>
      </c>
      <c r="I71" s="1" t="s">
        <v>3942</v>
      </c>
    </row>
    <row r="72" ht="15.75" customHeight="1">
      <c r="A72" s="389">
        <v>43209.0</v>
      </c>
      <c r="D72" s="138"/>
      <c r="F72" s="236"/>
    </row>
    <row r="73" ht="15.75" customHeight="1">
      <c r="A73" s="389"/>
      <c r="B73" s="362" t="s">
        <v>3946</v>
      </c>
      <c r="D73" s="146" t="s">
        <v>3947</v>
      </c>
      <c r="E73" s="363" t="s">
        <v>3948</v>
      </c>
      <c r="F73" s="236" t="s">
        <v>2494</v>
      </c>
      <c r="G73" s="1" t="s">
        <v>2543</v>
      </c>
      <c r="H73" s="1" t="s">
        <v>3949</v>
      </c>
      <c r="J73" s="1" t="s">
        <v>3808</v>
      </c>
    </row>
    <row r="74" ht="15.75" customHeight="1">
      <c r="A74" s="389">
        <v>43211.0</v>
      </c>
      <c r="D74" s="138"/>
      <c r="F74" s="236"/>
    </row>
    <row r="75" ht="15.75" customHeight="1">
      <c r="A75" s="389"/>
      <c r="B75" s="362" t="s">
        <v>3950</v>
      </c>
      <c r="D75" s="146" t="s">
        <v>3951</v>
      </c>
      <c r="E75" s="363" t="s">
        <v>3952</v>
      </c>
      <c r="F75" s="236" t="s">
        <v>2494</v>
      </c>
      <c r="G75" s="1" t="s">
        <v>2543</v>
      </c>
      <c r="H75" s="1" t="s">
        <v>772</v>
      </c>
    </row>
    <row r="76" ht="15.75" customHeight="1">
      <c r="A76" s="389"/>
      <c r="B76" s="362" t="s">
        <v>3953</v>
      </c>
      <c r="D76" s="140" t="s">
        <v>3954</v>
      </c>
      <c r="E76" s="363" t="s">
        <v>3955</v>
      </c>
      <c r="F76" s="236" t="s">
        <v>2494</v>
      </c>
      <c r="G76" s="1" t="s">
        <v>2495</v>
      </c>
      <c r="H76" s="1" t="s">
        <v>3870</v>
      </c>
      <c r="I76" s="1" t="s">
        <v>3934</v>
      </c>
    </row>
    <row r="77" ht="15.75" customHeight="1">
      <c r="A77" s="389"/>
      <c r="B77" s="362" t="s">
        <v>3956</v>
      </c>
      <c r="D77" s="140" t="s">
        <v>3957</v>
      </c>
      <c r="E77" s="363" t="s">
        <v>3958</v>
      </c>
      <c r="F77" s="236" t="s">
        <v>2494</v>
      </c>
      <c r="G77" s="1" t="s">
        <v>2495</v>
      </c>
      <c r="H77" s="1" t="s">
        <v>3870</v>
      </c>
      <c r="I77" s="1" t="s">
        <v>3934</v>
      </c>
    </row>
    <row r="78" ht="15.75" customHeight="1">
      <c r="A78" s="389"/>
      <c r="B78" s="89" t="s">
        <v>3959</v>
      </c>
      <c r="D78" s="138">
        <v>5.27891987E8</v>
      </c>
      <c r="E78" s="213" t="s">
        <v>3960</v>
      </c>
      <c r="F78" s="236" t="s">
        <v>2504</v>
      </c>
      <c r="G78" s="1" t="s">
        <v>2737</v>
      </c>
      <c r="H78" s="1" t="s">
        <v>3171</v>
      </c>
      <c r="I78" s="1" t="s">
        <v>1679</v>
      </c>
    </row>
    <row r="79" ht="15.75" customHeight="1">
      <c r="A79" s="389"/>
      <c r="B79" s="362" t="s">
        <v>3961</v>
      </c>
      <c r="D79" s="140" t="s">
        <v>3962</v>
      </c>
      <c r="E79" s="363" t="s">
        <v>3963</v>
      </c>
      <c r="F79" s="236" t="s">
        <v>2494</v>
      </c>
      <c r="G79" s="1" t="s">
        <v>2495</v>
      </c>
      <c r="H79" s="1" t="s">
        <v>3964</v>
      </c>
    </row>
    <row r="80" ht="15.75" customHeight="1">
      <c r="A80" s="389">
        <v>43212.0</v>
      </c>
      <c r="D80" s="138"/>
      <c r="F80" s="236"/>
    </row>
    <row r="81" ht="15.75" customHeight="1">
      <c r="A81" s="389"/>
      <c r="B81" s="89" t="s">
        <v>3965</v>
      </c>
      <c r="D81" s="146" t="s">
        <v>3966</v>
      </c>
      <c r="E81" s="213" t="s">
        <v>3967</v>
      </c>
      <c r="F81" s="236" t="s">
        <v>2494</v>
      </c>
      <c r="G81" s="1" t="s">
        <v>2495</v>
      </c>
      <c r="H81" s="1" t="s">
        <v>3968</v>
      </c>
    </row>
    <row r="82" ht="15.75" customHeight="1">
      <c r="A82" s="389"/>
      <c r="B82" s="238" t="s">
        <v>3409</v>
      </c>
      <c r="D82" s="146" t="s">
        <v>3969</v>
      </c>
      <c r="E82" s="220" t="s">
        <v>3970</v>
      </c>
      <c r="F82" s="403" t="s">
        <v>2534</v>
      </c>
      <c r="G82" s="326" t="s">
        <v>2495</v>
      </c>
      <c r="H82" s="1" t="s">
        <v>3971</v>
      </c>
      <c r="I82" s="1" t="s">
        <v>3934</v>
      </c>
    </row>
    <row r="83" ht="15.75" customHeight="1">
      <c r="A83" s="389">
        <v>43213.0</v>
      </c>
      <c r="D83" s="138"/>
      <c r="F83" s="236"/>
    </row>
    <row r="84" ht="15.75" customHeight="1">
      <c r="A84" s="389"/>
      <c r="B84" s="362" t="s">
        <v>3972</v>
      </c>
      <c r="D84" s="138">
        <v>5.07118549E8</v>
      </c>
      <c r="E84" s="363" t="s">
        <v>3973</v>
      </c>
      <c r="F84" s="236" t="s">
        <v>2494</v>
      </c>
      <c r="G84" s="1" t="s">
        <v>14</v>
      </c>
      <c r="H84" s="1" t="s">
        <v>3974</v>
      </c>
      <c r="I84" s="1" t="s">
        <v>2888</v>
      </c>
    </row>
    <row r="85" ht="15.75" customHeight="1">
      <c r="A85" s="389"/>
      <c r="B85" s="89" t="s">
        <v>3975</v>
      </c>
      <c r="D85" s="140" t="s">
        <v>3976</v>
      </c>
      <c r="E85" s="213" t="s">
        <v>3977</v>
      </c>
      <c r="F85" s="236" t="s">
        <v>2504</v>
      </c>
      <c r="G85" s="1" t="s">
        <v>2543</v>
      </c>
      <c r="H85" s="1" t="s">
        <v>3978</v>
      </c>
    </row>
    <row r="86" ht="15.75" customHeight="1">
      <c r="A86" s="389"/>
      <c r="B86" s="238" t="s">
        <v>3979</v>
      </c>
      <c r="D86" s="140" t="s">
        <v>3980</v>
      </c>
      <c r="E86" s="220" t="s">
        <v>3981</v>
      </c>
      <c r="F86" s="403" t="s">
        <v>2534</v>
      </c>
      <c r="G86" s="326" t="s">
        <v>2495</v>
      </c>
      <c r="H86" s="1" t="s">
        <v>3971</v>
      </c>
      <c r="I86" s="1" t="s">
        <v>3934</v>
      </c>
    </row>
    <row r="87" ht="15.75" customHeight="1">
      <c r="A87" s="389">
        <v>43214.0</v>
      </c>
      <c r="D87" s="138"/>
      <c r="F87" s="236"/>
    </row>
    <row r="88" ht="15.75" customHeight="1">
      <c r="A88" s="389"/>
      <c r="B88" s="89" t="s">
        <v>3982</v>
      </c>
      <c r="D88" s="140" t="s">
        <v>3983</v>
      </c>
      <c r="E88" s="213" t="s">
        <v>3984</v>
      </c>
      <c r="F88" s="236" t="s">
        <v>2504</v>
      </c>
      <c r="G88" s="1" t="s">
        <v>2495</v>
      </c>
      <c r="H88" s="1" t="s">
        <v>2975</v>
      </c>
    </row>
    <row r="89" ht="15.75" customHeight="1">
      <c r="A89" s="389"/>
      <c r="B89" s="362" t="s">
        <v>2213</v>
      </c>
      <c r="D89" s="140" t="s">
        <v>3985</v>
      </c>
      <c r="E89" s="363" t="s">
        <v>3986</v>
      </c>
      <c r="F89" s="236" t="s">
        <v>2494</v>
      </c>
      <c r="G89" s="1" t="s">
        <v>2495</v>
      </c>
      <c r="H89" s="1" t="s">
        <v>3566</v>
      </c>
      <c r="I89" s="1" t="s">
        <v>201</v>
      </c>
    </row>
    <row r="90" ht="15.75" customHeight="1">
      <c r="A90" s="389"/>
      <c r="B90" s="1" t="s">
        <v>3987</v>
      </c>
      <c r="D90" s="140" t="s">
        <v>3988</v>
      </c>
      <c r="F90" s="236" t="s">
        <v>2504</v>
      </c>
      <c r="G90" s="1" t="s">
        <v>2495</v>
      </c>
      <c r="H90" s="1" t="s">
        <v>3989</v>
      </c>
      <c r="I90" s="1" t="s">
        <v>201</v>
      </c>
    </row>
    <row r="91" ht="15.75" customHeight="1">
      <c r="A91" s="389">
        <v>43216.0</v>
      </c>
      <c r="D91" s="138"/>
      <c r="F91" s="236"/>
    </row>
    <row r="92" ht="15.75" customHeight="1">
      <c r="A92" s="389"/>
      <c r="B92" s="362" t="s">
        <v>3990</v>
      </c>
      <c r="D92" s="140" t="s">
        <v>3991</v>
      </c>
      <c r="E92" s="1" t="s">
        <v>3992</v>
      </c>
      <c r="F92" s="236" t="s">
        <v>2494</v>
      </c>
      <c r="G92" s="1" t="s">
        <v>2495</v>
      </c>
      <c r="H92" s="1" t="s">
        <v>3870</v>
      </c>
    </row>
    <row r="93" ht="15.75" customHeight="1">
      <c r="A93" s="389"/>
      <c r="B93" s="362" t="s">
        <v>1933</v>
      </c>
      <c r="D93" s="140" t="s">
        <v>3993</v>
      </c>
      <c r="E93" s="363" t="s">
        <v>3994</v>
      </c>
      <c r="F93" s="236" t="s">
        <v>2494</v>
      </c>
      <c r="G93" s="1" t="s">
        <v>2495</v>
      </c>
      <c r="H93" s="1" t="s">
        <v>2975</v>
      </c>
    </row>
    <row r="94" ht="15.75" customHeight="1">
      <c r="A94" s="389"/>
      <c r="B94" s="99" t="s">
        <v>3995</v>
      </c>
      <c r="C94" s="1"/>
      <c r="D94" s="140" t="s">
        <v>3996</v>
      </c>
      <c r="E94" s="368" t="s">
        <v>3981</v>
      </c>
      <c r="F94" s="369" t="s">
        <v>2649</v>
      </c>
      <c r="G94" s="321" t="s">
        <v>2495</v>
      </c>
      <c r="H94" s="1" t="s">
        <v>3997</v>
      </c>
    </row>
    <row r="95" ht="15.75" customHeight="1">
      <c r="A95" s="389"/>
      <c r="B95" s="89" t="s">
        <v>3998</v>
      </c>
      <c r="D95" s="138">
        <v>5.59186124E8</v>
      </c>
      <c r="E95" s="213" t="s">
        <v>3999</v>
      </c>
      <c r="F95" s="236" t="s">
        <v>2504</v>
      </c>
      <c r="G95" s="1" t="s">
        <v>2495</v>
      </c>
      <c r="H95" s="1" t="s">
        <v>4000</v>
      </c>
      <c r="I95" s="1" t="s">
        <v>1679</v>
      </c>
    </row>
    <row r="96" ht="15.75" customHeight="1">
      <c r="A96" s="389"/>
      <c r="B96" s="362" t="s">
        <v>4001</v>
      </c>
      <c r="D96" s="140" t="s">
        <v>4002</v>
      </c>
      <c r="E96" s="1" t="s">
        <v>4003</v>
      </c>
      <c r="F96" s="236" t="s">
        <v>2494</v>
      </c>
      <c r="G96" s="1" t="s">
        <v>2737</v>
      </c>
      <c r="H96" s="1" t="s">
        <v>3101</v>
      </c>
    </row>
    <row r="97" ht="15.75" customHeight="1">
      <c r="A97" s="389"/>
      <c r="B97" s="362" t="s">
        <v>4004</v>
      </c>
      <c r="D97" s="146" t="s">
        <v>4005</v>
      </c>
      <c r="E97" s="363" t="s">
        <v>4006</v>
      </c>
      <c r="F97" s="236" t="s">
        <v>2494</v>
      </c>
      <c r="G97" s="1" t="s">
        <v>2495</v>
      </c>
      <c r="H97" s="1" t="s">
        <v>3870</v>
      </c>
    </row>
    <row r="98" ht="15.75" customHeight="1">
      <c r="A98" s="389">
        <v>43218.0</v>
      </c>
      <c r="D98" s="138"/>
      <c r="F98" s="236"/>
    </row>
    <row r="99" ht="15.75" customHeight="1">
      <c r="A99" s="389"/>
      <c r="B99" s="362" t="s">
        <v>564</v>
      </c>
      <c r="D99" s="140" t="s">
        <v>4007</v>
      </c>
      <c r="E99" s="363" t="s">
        <v>4008</v>
      </c>
      <c r="F99" s="236" t="s">
        <v>2494</v>
      </c>
      <c r="G99" s="1" t="s">
        <v>2495</v>
      </c>
      <c r="H99" s="1" t="s">
        <v>3870</v>
      </c>
    </row>
    <row r="100" ht="15.75" customHeight="1">
      <c r="A100" s="389"/>
      <c r="B100" s="362" t="s">
        <v>4009</v>
      </c>
      <c r="C100" s="1"/>
      <c r="D100" s="140" t="s">
        <v>4010</v>
      </c>
      <c r="E100" s="363" t="s">
        <v>4011</v>
      </c>
      <c r="F100" s="236" t="s">
        <v>2494</v>
      </c>
      <c r="G100" s="1" t="s">
        <v>2495</v>
      </c>
      <c r="H100" s="1" t="s">
        <v>3870</v>
      </c>
    </row>
    <row r="101" ht="15.75" customHeight="1">
      <c r="A101" s="389"/>
      <c r="B101" s="362" t="s">
        <v>4012</v>
      </c>
      <c r="D101" s="140" t="s">
        <v>3827</v>
      </c>
      <c r="E101" s="363" t="s">
        <v>4013</v>
      </c>
      <c r="F101" s="236" t="s">
        <v>2494</v>
      </c>
      <c r="G101" s="1" t="s">
        <v>2495</v>
      </c>
      <c r="H101" s="1" t="s">
        <v>4014</v>
      </c>
      <c r="J101" s="1" t="s">
        <v>4015</v>
      </c>
    </row>
    <row r="102" ht="15.75" customHeight="1">
      <c r="A102" s="389"/>
      <c r="B102" s="1" t="s">
        <v>4016</v>
      </c>
      <c r="D102" s="146" t="s">
        <v>4017</v>
      </c>
      <c r="E102" s="363" t="s">
        <v>4018</v>
      </c>
      <c r="F102" s="236" t="s">
        <v>2494</v>
      </c>
      <c r="G102" s="1" t="s">
        <v>2552</v>
      </c>
      <c r="H102" s="89" t="s">
        <v>4019</v>
      </c>
    </row>
    <row r="103" ht="15.75" customHeight="1">
      <c r="A103" s="389"/>
      <c r="B103" s="362" t="s">
        <v>4020</v>
      </c>
      <c r="D103" s="140" t="s">
        <v>4021</v>
      </c>
      <c r="E103" s="363" t="s">
        <v>4022</v>
      </c>
      <c r="F103" s="236" t="s">
        <v>2494</v>
      </c>
      <c r="G103" s="1" t="s">
        <v>2543</v>
      </c>
      <c r="H103" s="1" t="s">
        <v>2943</v>
      </c>
    </row>
    <row r="104" ht="15.75" customHeight="1">
      <c r="A104" s="389"/>
      <c r="B104" s="362" t="s">
        <v>4023</v>
      </c>
      <c r="D104" s="140" t="s">
        <v>4024</v>
      </c>
      <c r="E104" s="363" t="s">
        <v>4025</v>
      </c>
      <c r="F104" s="236" t="s">
        <v>2494</v>
      </c>
      <c r="G104" s="1" t="s">
        <v>2543</v>
      </c>
      <c r="H104" s="1" t="s">
        <v>4026</v>
      </c>
    </row>
    <row r="105" ht="15.75" customHeight="1">
      <c r="A105" s="389"/>
      <c r="B105" s="362" t="s">
        <v>4027</v>
      </c>
      <c r="D105" s="146" t="s">
        <v>3060</v>
      </c>
      <c r="E105" s="363" t="s">
        <v>4028</v>
      </c>
      <c r="F105" s="236" t="s">
        <v>2494</v>
      </c>
      <c r="G105" s="1" t="s">
        <v>2552</v>
      </c>
      <c r="H105" s="1" t="s">
        <v>4029</v>
      </c>
    </row>
    <row r="106" ht="15.75" customHeight="1">
      <c r="A106" s="389">
        <v>43219.0</v>
      </c>
      <c r="D106" s="138"/>
      <c r="F106" s="236"/>
    </row>
    <row r="107" ht="15.75" customHeight="1">
      <c r="A107" s="389"/>
      <c r="B107" s="362" t="s">
        <v>4030</v>
      </c>
      <c r="D107" s="140" t="s">
        <v>4031</v>
      </c>
      <c r="E107" s="363" t="s">
        <v>4018</v>
      </c>
      <c r="F107" s="236" t="s">
        <v>2494</v>
      </c>
      <c r="G107" s="1" t="s">
        <v>2543</v>
      </c>
      <c r="H107" s="1" t="s">
        <v>3519</v>
      </c>
    </row>
    <row r="108" ht="15.75" customHeight="1">
      <c r="A108" s="389">
        <v>43220.0</v>
      </c>
      <c r="D108" s="138"/>
      <c r="F108" s="236"/>
    </row>
    <row r="109" ht="15.75" customHeight="1">
      <c r="A109" s="389"/>
      <c r="B109" s="391" t="s">
        <v>4032</v>
      </c>
      <c r="D109" s="146" t="s">
        <v>4033</v>
      </c>
      <c r="E109" s="363" t="s">
        <v>4034</v>
      </c>
      <c r="F109" s="236" t="s">
        <v>2494</v>
      </c>
      <c r="G109" s="1" t="s">
        <v>2552</v>
      </c>
      <c r="H109" s="319" t="s">
        <v>3012</v>
      </c>
      <c r="I109" s="1" t="s">
        <v>16</v>
      </c>
    </row>
    <row r="110" ht="15.75" customHeight="1">
      <c r="A110" s="389"/>
      <c r="B110" s="362" t="s">
        <v>4035</v>
      </c>
      <c r="D110" s="140" t="s">
        <v>4036</v>
      </c>
      <c r="E110" s="363" t="s">
        <v>4037</v>
      </c>
      <c r="F110" s="236" t="s">
        <v>2494</v>
      </c>
      <c r="G110" s="1" t="s">
        <v>2737</v>
      </c>
      <c r="H110" s="1" t="s">
        <v>3321</v>
      </c>
      <c r="I110" s="1" t="s">
        <v>1679</v>
      </c>
    </row>
    <row r="111" ht="15.75" customHeight="1">
      <c r="A111" s="389"/>
      <c r="B111" s="362" t="s">
        <v>4038</v>
      </c>
      <c r="D111" s="140" t="s">
        <v>4039</v>
      </c>
      <c r="E111" s="363" t="s">
        <v>4040</v>
      </c>
      <c r="F111" s="236" t="s">
        <v>2494</v>
      </c>
      <c r="G111" s="1" t="s">
        <v>2495</v>
      </c>
      <c r="H111" s="1" t="s">
        <v>3870</v>
      </c>
      <c r="I111" s="1" t="s">
        <v>16</v>
      </c>
    </row>
    <row r="112" ht="15.75" customHeight="1">
      <c r="D112" s="138"/>
    </row>
    <row r="113" ht="15.75" customHeight="1">
      <c r="D113" s="138"/>
    </row>
    <row r="114" ht="15.75" customHeight="1">
      <c r="D114" s="138"/>
    </row>
    <row r="115" ht="15.75" customHeight="1">
      <c r="D115" s="138"/>
    </row>
    <row r="116" ht="15.75" customHeight="1">
      <c r="D116" s="138"/>
    </row>
    <row r="117" ht="15.75" customHeight="1">
      <c r="D117" s="138"/>
    </row>
    <row r="118" ht="15.75" customHeight="1">
      <c r="D118" s="138"/>
    </row>
    <row r="119" ht="15.75" customHeight="1">
      <c r="A119" s="389"/>
      <c r="D119" s="138"/>
      <c r="F119" s="236"/>
    </row>
    <row r="120" ht="15.75" customHeight="1">
      <c r="A120" s="389"/>
      <c r="D120" s="138"/>
      <c r="F120" s="236"/>
    </row>
    <row r="121" ht="15.75" customHeight="1">
      <c r="A121" s="389"/>
      <c r="D121" s="138"/>
      <c r="F121" s="236"/>
    </row>
    <row r="122" ht="15.75" customHeight="1">
      <c r="A122" s="389"/>
      <c r="D122" s="138"/>
      <c r="F122" s="236"/>
    </row>
    <row r="123" ht="15.75" customHeight="1">
      <c r="A123" s="389"/>
      <c r="D123" s="138"/>
      <c r="F123" s="236"/>
    </row>
    <row r="124" ht="15.75" customHeight="1">
      <c r="A124" s="389"/>
      <c r="D124" s="138"/>
      <c r="F124" s="236"/>
    </row>
    <row r="125" ht="15.75" customHeight="1">
      <c r="A125" s="389"/>
      <c r="D125" s="138"/>
      <c r="F125" s="236"/>
    </row>
    <row r="126" ht="15.75" customHeight="1">
      <c r="A126" s="389"/>
      <c r="D126" s="138"/>
      <c r="F126" s="236"/>
    </row>
    <row r="127" ht="15.75" customHeight="1">
      <c r="A127" s="389"/>
      <c r="D127" s="138"/>
      <c r="F127" s="236"/>
    </row>
    <row r="128" ht="15.75" customHeight="1">
      <c r="A128" s="389"/>
      <c r="D128" s="138"/>
      <c r="F128" s="236"/>
    </row>
    <row r="129" ht="15.75" customHeight="1">
      <c r="A129" s="389"/>
      <c r="D129" s="138"/>
      <c r="F129" s="236"/>
    </row>
    <row r="130" ht="15.75" customHeight="1">
      <c r="A130" s="389"/>
      <c r="D130" s="138"/>
      <c r="F130" s="236"/>
    </row>
    <row r="131" ht="15.75" customHeight="1">
      <c r="A131" s="389"/>
      <c r="D131" s="138"/>
      <c r="F131" s="236"/>
    </row>
    <row r="132" ht="15.75" customHeight="1">
      <c r="A132" s="389"/>
      <c r="D132" s="138"/>
      <c r="F132" s="236"/>
    </row>
    <row r="133" ht="15.75" customHeight="1">
      <c r="A133" s="389"/>
      <c r="D133" s="138"/>
      <c r="F133" s="236"/>
    </row>
    <row r="134" ht="15.75" customHeight="1">
      <c r="A134" s="389"/>
      <c r="D134" s="138"/>
      <c r="F134" s="236"/>
    </row>
    <row r="135" ht="15.75" customHeight="1">
      <c r="A135" s="389"/>
      <c r="D135" s="138"/>
      <c r="F135" s="236"/>
    </row>
    <row r="136" ht="15.75" customHeight="1">
      <c r="A136" s="389"/>
      <c r="D136" s="138"/>
      <c r="F136" s="236"/>
    </row>
    <row r="137" ht="15.75" customHeight="1">
      <c r="A137" s="389"/>
      <c r="D137" s="138"/>
      <c r="F137" s="236"/>
    </row>
    <row r="138" ht="15.75" customHeight="1">
      <c r="A138" s="389"/>
      <c r="D138" s="138"/>
      <c r="F138" s="236"/>
    </row>
    <row r="139" ht="15.75" customHeight="1">
      <c r="A139" s="389"/>
      <c r="D139" s="138"/>
      <c r="F139" s="236"/>
    </row>
    <row r="140" ht="15.75" customHeight="1">
      <c r="A140" s="389"/>
      <c r="D140" s="138"/>
      <c r="F140" s="236"/>
    </row>
    <row r="141" ht="15.75" customHeight="1">
      <c r="A141" s="389"/>
      <c r="D141" s="138"/>
      <c r="F141" s="236"/>
    </row>
    <row r="142" ht="15.75" customHeight="1">
      <c r="A142" s="389"/>
      <c r="D142" s="138"/>
      <c r="F142" s="236"/>
    </row>
    <row r="143" ht="15.75" customHeight="1">
      <c r="A143" s="389"/>
      <c r="D143" s="138"/>
      <c r="F143" s="236"/>
    </row>
    <row r="144" ht="15.75" customHeight="1">
      <c r="A144" s="389"/>
      <c r="D144" s="138"/>
      <c r="F144" s="236"/>
    </row>
    <row r="145" ht="15.75" customHeight="1">
      <c r="A145" s="389"/>
      <c r="D145" s="138"/>
      <c r="F145" s="236"/>
    </row>
    <row r="146" ht="15.75" customHeight="1">
      <c r="A146" s="389"/>
      <c r="D146" s="138"/>
      <c r="F146" s="236"/>
    </row>
    <row r="147" ht="15.75" customHeight="1">
      <c r="A147" s="389"/>
      <c r="D147" s="138"/>
      <c r="F147" s="236"/>
    </row>
    <row r="148" ht="15.75" customHeight="1">
      <c r="A148" s="389"/>
      <c r="D148" s="138"/>
      <c r="F148" s="236"/>
    </row>
    <row r="149" ht="15.75" customHeight="1">
      <c r="A149" s="389"/>
      <c r="D149" s="138"/>
      <c r="F149" s="236"/>
    </row>
    <row r="150" ht="15.75" customHeight="1">
      <c r="A150" s="389"/>
      <c r="D150" s="138"/>
      <c r="F150" s="236"/>
    </row>
    <row r="151" ht="15.75" customHeight="1">
      <c r="A151" s="389"/>
      <c r="D151" s="138"/>
      <c r="F151" s="236"/>
    </row>
    <row r="152" ht="15.75" customHeight="1">
      <c r="A152" s="389"/>
      <c r="D152" s="138"/>
      <c r="F152" s="236"/>
    </row>
    <row r="153" ht="15.75" customHeight="1">
      <c r="A153" s="389"/>
      <c r="D153" s="138"/>
      <c r="F153" s="236"/>
    </row>
    <row r="154" ht="15.75" customHeight="1">
      <c r="A154" s="389"/>
      <c r="D154" s="138"/>
      <c r="F154" s="236"/>
    </row>
    <row r="155" ht="15.75" customHeight="1">
      <c r="A155" s="389"/>
      <c r="D155" s="138"/>
      <c r="F155" s="236"/>
    </row>
    <row r="156" ht="15.75" customHeight="1">
      <c r="A156" s="389"/>
      <c r="D156" s="138"/>
      <c r="F156" s="236"/>
    </row>
    <row r="157" ht="15.75" customHeight="1">
      <c r="A157" s="389"/>
      <c r="D157" s="138"/>
      <c r="F157" s="236"/>
    </row>
    <row r="158" ht="15.75" customHeight="1">
      <c r="A158" s="389"/>
      <c r="D158" s="138"/>
      <c r="F158" s="236"/>
    </row>
    <row r="159" ht="15.75" customHeight="1">
      <c r="A159" s="389"/>
      <c r="D159" s="138"/>
      <c r="F159" s="236"/>
    </row>
    <row r="160" ht="15.75" customHeight="1">
      <c r="A160" s="389"/>
      <c r="D160" s="138"/>
      <c r="F160" s="236"/>
    </row>
    <row r="161" ht="15.75" customHeight="1">
      <c r="A161" s="389"/>
      <c r="D161" s="138"/>
      <c r="F161" s="236"/>
    </row>
    <row r="162" ht="15.75" customHeight="1">
      <c r="A162" s="389"/>
      <c r="D162" s="138"/>
      <c r="F162" s="236"/>
    </row>
    <row r="163" ht="15.75" customHeight="1">
      <c r="A163" s="389"/>
      <c r="D163" s="138"/>
      <c r="F163" s="236"/>
    </row>
    <row r="164" ht="15.75" customHeight="1">
      <c r="A164" s="389"/>
      <c r="D164" s="138"/>
      <c r="F164" s="236"/>
    </row>
    <row r="165" ht="15.75" customHeight="1">
      <c r="A165" s="389"/>
      <c r="D165" s="138"/>
      <c r="F165" s="236"/>
    </row>
    <row r="166" ht="15.75" customHeight="1">
      <c r="A166" s="389"/>
      <c r="D166" s="138"/>
      <c r="F166" s="236"/>
    </row>
    <row r="167" ht="15.75" customHeight="1">
      <c r="A167" s="389"/>
      <c r="D167" s="138"/>
      <c r="F167" s="236"/>
    </row>
    <row r="168" ht="15.75" customHeight="1">
      <c r="A168" s="389"/>
      <c r="D168" s="138"/>
      <c r="F168" s="236"/>
    </row>
    <row r="169" ht="15.75" customHeight="1">
      <c r="A169" s="389"/>
      <c r="D169" s="138"/>
      <c r="F169" s="236"/>
    </row>
    <row r="170" ht="15.75" customHeight="1">
      <c r="A170" s="389"/>
      <c r="D170" s="138"/>
      <c r="F170" s="236"/>
    </row>
    <row r="171" ht="15.75" customHeight="1">
      <c r="A171" s="389"/>
      <c r="D171" s="138"/>
      <c r="F171" s="236"/>
    </row>
    <row r="172" ht="15.75" customHeight="1">
      <c r="A172" s="389"/>
      <c r="D172" s="138"/>
      <c r="F172" s="236"/>
    </row>
    <row r="173" ht="15.75" customHeight="1">
      <c r="A173" s="389"/>
      <c r="D173" s="138"/>
      <c r="F173" s="236"/>
    </row>
    <row r="174" ht="15.75" customHeight="1">
      <c r="A174" s="389"/>
      <c r="D174" s="138"/>
      <c r="F174" s="236"/>
    </row>
    <row r="175" ht="15.75" customHeight="1">
      <c r="A175" s="389"/>
      <c r="D175" s="138"/>
      <c r="F175" s="236"/>
    </row>
    <row r="176" ht="15.75" customHeight="1">
      <c r="A176" s="389"/>
      <c r="D176" s="138"/>
      <c r="F176" s="236"/>
    </row>
    <row r="177" ht="15.75" customHeight="1">
      <c r="A177" s="389"/>
      <c r="D177" s="138"/>
      <c r="F177" s="236"/>
    </row>
    <row r="178" ht="15.75" customHeight="1">
      <c r="A178" s="389"/>
      <c r="D178" s="138"/>
      <c r="F178" s="236"/>
    </row>
    <row r="179" ht="15.75" customHeight="1">
      <c r="A179" s="389"/>
      <c r="D179" s="138"/>
      <c r="F179" s="236"/>
    </row>
    <row r="180" ht="15.75" customHeight="1">
      <c r="A180" s="389"/>
      <c r="D180" s="138"/>
      <c r="F180" s="236"/>
    </row>
    <row r="181" ht="15.75" customHeight="1">
      <c r="A181" s="389"/>
      <c r="D181" s="138"/>
      <c r="F181" s="236"/>
    </row>
    <row r="182" ht="15.75" customHeight="1">
      <c r="A182" s="389"/>
      <c r="D182" s="138"/>
      <c r="F182" s="236"/>
    </row>
    <row r="183" ht="15.75" customHeight="1">
      <c r="A183" s="389"/>
      <c r="D183" s="138"/>
      <c r="F183" s="236"/>
    </row>
    <row r="184" ht="15.75" customHeight="1">
      <c r="A184" s="389"/>
      <c r="D184" s="138"/>
      <c r="F184" s="236"/>
    </row>
    <row r="185" ht="15.75" customHeight="1">
      <c r="A185" s="389"/>
      <c r="D185" s="138"/>
      <c r="F185" s="236"/>
    </row>
    <row r="186" ht="15.75" customHeight="1">
      <c r="A186" s="389"/>
      <c r="D186" s="138"/>
      <c r="F186" s="236"/>
    </row>
    <row r="187" ht="15.75" customHeight="1">
      <c r="A187" s="389"/>
      <c r="D187" s="138"/>
      <c r="F187" s="236"/>
    </row>
    <row r="188" ht="15.75" customHeight="1">
      <c r="A188" s="389"/>
      <c r="D188" s="138"/>
      <c r="F188" s="236"/>
    </row>
    <row r="189" ht="15.75" customHeight="1">
      <c r="A189" s="389"/>
      <c r="D189" s="138"/>
      <c r="F189" s="236"/>
    </row>
    <row r="190" ht="15.75" customHeight="1">
      <c r="A190" s="389"/>
      <c r="D190" s="138"/>
      <c r="F190" s="236"/>
    </row>
    <row r="191" ht="15.75" customHeight="1">
      <c r="A191" s="389"/>
      <c r="D191" s="138"/>
      <c r="F191" s="236"/>
    </row>
    <row r="192" ht="15.75" customHeight="1">
      <c r="A192" s="389"/>
      <c r="D192" s="138"/>
      <c r="F192" s="236"/>
    </row>
    <row r="193" ht="15.75" customHeight="1">
      <c r="A193" s="389"/>
      <c r="D193" s="138"/>
      <c r="F193" s="236"/>
    </row>
    <row r="194" ht="15.75" customHeight="1">
      <c r="A194" s="389"/>
      <c r="D194" s="138"/>
      <c r="F194" s="236"/>
    </row>
    <row r="195" ht="15.75" customHeight="1">
      <c r="A195" s="389"/>
      <c r="D195" s="138"/>
      <c r="F195" s="236"/>
    </row>
    <row r="196" ht="15.75" customHeight="1">
      <c r="A196" s="389"/>
      <c r="D196" s="138"/>
      <c r="F196" s="236"/>
    </row>
    <row r="197" ht="15.75" customHeight="1">
      <c r="A197" s="389"/>
      <c r="D197" s="138"/>
      <c r="F197" s="236"/>
    </row>
    <row r="198" ht="15.75" customHeight="1">
      <c r="A198" s="389"/>
      <c r="D198" s="138"/>
      <c r="F198" s="236"/>
    </row>
    <row r="199" ht="15.75" customHeight="1">
      <c r="A199" s="389"/>
      <c r="D199" s="138"/>
      <c r="F199" s="236"/>
    </row>
    <row r="200" ht="15.75" customHeight="1">
      <c r="A200" s="389"/>
      <c r="D200" s="138"/>
      <c r="F200" s="236"/>
    </row>
    <row r="201" ht="15.75" customHeight="1">
      <c r="A201" s="389"/>
      <c r="D201" s="138"/>
      <c r="F201" s="236"/>
    </row>
    <row r="202" ht="15.75" customHeight="1">
      <c r="A202" s="389"/>
      <c r="D202" s="138"/>
      <c r="F202" s="236"/>
    </row>
    <row r="203" ht="15.75" customHeight="1">
      <c r="A203" s="389"/>
      <c r="D203" s="138"/>
      <c r="F203" s="236"/>
    </row>
    <row r="204" ht="15.75" customHeight="1">
      <c r="A204" s="389"/>
      <c r="D204" s="138"/>
      <c r="F204" s="236"/>
    </row>
    <row r="205" ht="15.75" customHeight="1">
      <c r="A205" s="389"/>
      <c r="D205" s="138"/>
      <c r="F205" s="236"/>
    </row>
    <row r="206" ht="15.75" customHeight="1">
      <c r="A206" s="389"/>
      <c r="D206" s="138"/>
      <c r="F206" s="236"/>
    </row>
    <row r="207" ht="15.75" customHeight="1">
      <c r="A207" s="389"/>
      <c r="D207" s="138"/>
      <c r="F207" s="236"/>
    </row>
    <row r="208" ht="15.75" customHeight="1">
      <c r="A208" s="389"/>
      <c r="D208" s="138"/>
      <c r="F208" s="236"/>
    </row>
    <row r="209" ht="15.75" customHeight="1">
      <c r="A209" s="389"/>
      <c r="D209" s="138"/>
      <c r="F209" s="236"/>
    </row>
    <row r="210" ht="15.75" customHeight="1">
      <c r="A210" s="389"/>
      <c r="D210" s="138"/>
      <c r="F210" s="236"/>
    </row>
    <row r="211" ht="15.75" customHeight="1">
      <c r="A211" s="389"/>
      <c r="D211" s="138"/>
      <c r="F211" s="236"/>
    </row>
    <row r="212" ht="15.75" customHeight="1">
      <c r="A212" s="389"/>
      <c r="D212" s="138"/>
      <c r="F212" s="236"/>
    </row>
    <row r="213" ht="15.75" customHeight="1">
      <c r="A213" s="389"/>
      <c r="D213" s="138"/>
      <c r="F213" s="236"/>
    </row>
    <row r="214" ht="15.75" customHeight="1">
      <c r="A214" s="389"/>
      <c r="D214" s="138"/>
      <c r="F214" s="236"/>
    </row>
    <row r="215" ht="15.75" customHeight="1">
      <c r="A215" s="389"/>
      <c r="D215" s="138"/>
      <c r="F215" s="236"/>
    </row>
    <row r="216" ht="15.75" customHeight="1">
      <c r="A216" s="389"/>
      <c r="D216" s="138"/>
      <c r="F216" s="236"/>
    </row>
    <row r="217" ht="15.75" customHeight="1">
      <c r="A217" s="389"/>
      <c r="D217" s="138"/>
      <c r="F217" s="236"/>
    </row>
    <row r="218" ht="15.75" customHeight="1">
      <c r="A218" s="389"/>
      <c r="D218" s="138"/>
      <c r="F218" s="236"/>
    </row>
    <row r="219" ht="15.75" customHeight="1">
      <c r="A219" s="389"/>
      <c r="D219" s="138"/>
      <c r="F219" s="236"/>
    </row>
    <row r="220" ht="15.75" customHeight="1">
      <c r="A220" s="389"/>
      <c r="D220" s="138"/>
      <c r="F220" s="236"/>
    </row>
    <row r="221" ht="15.75" customHeight="1">
      <c r="A221" s="389"/>
      <c r="D221" s="138"/>
      <c r="F221" s="236"/>
    </row>
    <row r="222" ht="15.75" customHeight="1">
      <c r="A222" s="389"/>
      <c r="D222" s="138"/>
      <c r="F222" s="236"/>
    </row>
    <row r="223" ht="15.75" customHeight="1">
      <c r="A223" s="389"/>
      <c r="D223" s="138"/>
      <c r="F223" s="236"/>
    </row>
    <row r="224" ht="15.75" customHeight="1">
      <c r="A224" s="389"/>
      <c r="D224" s="138"/>
      <c r="F224" s="236"/>
    </row>
    <row r="225" ht="15.75" customHeight="1">
      <c r="A225" s="389"/>
      <c r="D225" s="138"/>
      <c r="F225" s="236"/>
    </row>
    <row r="226" ht="15.75" customHeight="1">
      <c r="A226" s="389"/>
      <c r="D226" s="138"/>
      <c r="F226" s="236"/>
    </row>
    <row r="227" ht="15.75" customHeight="1">
      <c r="A227" s="389"/>
      <c r="D227" s="138"/>
      <c r="F227" s="236"/>
    </row>
    <row r="228" ht="15.75" customHeight="1">
      <c r="A228" s="389"/>
      <c r="D228" s="138"/>
      <c r="F228" s="236"/>
    </row>
    <row r="229" ht="15.75" customHeight="1">
      <c r="A229" s="389"/>
      <c r="D229" s="138"/>
      <c r="F229" s="236"/>
    </row>
    <row r="230" ht="15.75" customHeight="1">
      <c r="A230" s="389"/>
      <c r="D230" s="138"/>
      <c r="F230" s="236"/>
    </row>
    <row r="231" ht="15.75" customHeight="1">
      <c r="A231" s="389"/>
      <c r="D231" s="138"/>
      <c r="F231" s="236"/>
    </row>
    <row r="232" ht="15.75" customHeight="1">
      <c r="A232" s="389"/>
      <c r="D232" s="138"/>
      <c r="F232" s="236"/>
    </row>
    <row r="233" ht="15.75" customHeight="1">
      <c r="A233" s="389"/>
      <c r="D233" s="138"/>
      <c r="F233" s="236"/>
    </row>
    <row r="234" ht="15.75" customHeight="1">
      <c r="A234" s="389"/>
      <c r="D234" s="138"/>
      <c r="F234" s="236"/>
    </row>
    <row r="235" ht="15.75" customHeight="1">
      <c r="A235" s="389"/>
      <c r="D235" s="138"/>
      <c r="F235" s="236"/>
    </row>
    <row r="236" ht="15.75" customHeight="1">
      <c r="A236" s="389"/>
      <c r="D236" s="138"/>
      <c r="F236" s="236"/>
    </row>
    <row r="237" ht="15.75" customHeight="1">
      <c r="A237" s="389"/>
      <c r="D237" s="138"/>
      <c r="F237" s="236"/>
    </row>
    <row r="238" ht="15.75" customHeight="1">
      <c r="A238" s="389"/>
      <c r="D238" s="138"/>
      <c r="F238" s="236"/>
    </row>
    <row r="239" ht="15.75" customHeight="1">
      <c r="A239" s="389"/>
      <c r="D239" s="138"/>
      <c r="F239" s="236"/>
    </row>
    <row r="240" ht="15.75" customHeight="1">
      <c r="A240" s="389"/>
      <c r="D240" s="138"/>
      <c r="F240" s="236"/>
    </row>
    <row r="241" ht="15.75" customHeight="1">
      <c r="A241" s="389"/>
      <c r="D241" s="138"/>
      <c r="F241" s="236"/>
    </row>
    <row r="242" ht="15.75" customHeight="1">
      <c r="A242" s="389"/>
      <c r="D242" s="138"/>
      <c r="F242" s="236"/>
    </row>
    <row r="243" ht="15.75" customHeight="1">
      <c r="A243" s="389"/>
      <c r="D243" s="138"/>
      <c r="F243" s="236"/>
    </row>
    <row r="244" ht="15.75" customHeight="1">
      <c r="A244" s="389"/>
      <c r="D244" s="138"/>
      <c r="F244" s="236"/>
    </row>
    <row r="245" ht="15.75" customHeight="1">
      <c r="A245" s="389"/>
      <c r="D245" s="138"/>
      <c r="F245" s="236"/>
    </row>
    <row r="246" ht="15.75" customHeight="1">
      <c r="A246" s="389"/>
      <c r="D246" s="138"/>
      <c r="F246" s="236"/>
    </row>
    <row r="247" ht="15.75" customHeight="1">
      <c r="A247" s="389"/>
      <c r="D247" s="138"/>
      <c r="F247" s="236"/>
    </row>
    <row r="248" ht="15.75" customHeight="1">
      <c r="A248" s="389"/>
      <c r="D248" s="138"/>
      <c r="F248" s="236"/>
    </row>
    <row r="249" ht="15.75" customHeight="1">
      <c r="A249" s="389"/>
      <c r="D249" s="138"/>
      <c r="F249" s="236"/>
    </row>
    <row r="250" ht="15.75" customHeight="1">
      <c r="A250" s="389"/>
      <c r="D250" s="138"/>
      <c r="F250" s="236"/>
    </row>
    <row r="251" ht="15.75" customHeight="1">
      <c r="A251" s="389"/>
      <c r="D251" s="138"/>
      <c r="F251" s="236"/>
    </row>
    <row r="252" ht="15.75" customHeight="1">
      <c r="A252" s="389"/>
      <c r="D252" s="138"/>
      <c r="F252" s="236"/>
    </row>
    <row r="253" ht="15.75" customHeight="1">
      <c r="A253" s="389"/>
      <c r="D253" s="138"/>
      <c r="F253" s="236"/>
    </row>
    <row r="254" ht="15.75" customHeight="1">
      <c r="A254" s="389"/>
      <c r="D254" s="138"/>
      <c r="F254" s="236"/>
    </row>
    <row r="255" ht="15.75" customHeight="1">
      <c r="A255" s="389"/>
      <c r="D255" s="138"/>
      <c r="F255" s="236"/>
    </row>
    <row r="256" ht="15.75" customHeight="1">
      <c r="A256" s="389"/>
      <c r="D256" s="138"/>
      <c r="F256" s="236"/>
    </row>
    <row r="257" ht="15.75" customHeight="1">
      <c r="A257" s="389"/>
      <c r="D257" s="138"/>
      <c r="F257" s="236"/>
    </row>
    <row r="258" ht="15.75" customHeight="1">
      <c r="A258" s="389"/>
      <c r="D258" s="138"/>
      <c r="F258" s="236"/>
    </row>
    <row r="259" ht="15.75" customHeight="1">
      <c r="A259" s="389"/>
      <c r="D259" s="138"/>
      <c r="F259" s="236"/>
    </row>
    <row r="260" ht="15.75" customHeight="1">
      <c r="A260" s="389"/>
      <c r="D260" s="138"/>
      <c r="F260" s="236"/>
    </row>
    <row r="261" ht="15.75" customHeight="1">
      <c r="A261" s="389"/>
      <c r="D261" s="138"/>
      <c r="F261" s="236"/>
    </row>
    <row r="262" ht="15.75" customHeight="1">
      <c r="A262" s="389"/>
      <c r="D262" s="138"/>
      <c r="F262" s="236"/>
    </row>
    <row r="263" ht="15.75" customHeight="1">
      <c r="A263" s="389"/>
      <c r="D263" s="138"/>
      <c r="F263" s="236"/>
    </row>
    <row r="264" ht="15.75" customHeight="1">
      <c r="A264" s="389"/>
      <c r="D264" s="138"/>
      <c r="F264" s="236"/>
    </row>
    <row r="265" ht="15.75" customHeight="1">
      <c r="A265" s="389"/>
      <c r="D265" s="138"/>
      <c r="F265" s="236"/>
    </row>
    <row r="266" ht="15.75" customHeight="1">
      <c r="A266" s="389"/>
      <c r="D266" s="138"/>
      <c r="F266" s="236"/>
    </row>
    <row r="267" ht="15.75" customHeight="1">
      <c r="A267" s="389"/>
      <c r="D267" s="138"/>
      <c r="F267" s="236"/>
    </row>
    <row r="268" ht="15.75" customHeight="1">
      <c r="A268" s="389"/>
      <c r="D268" s="138"/>
      <c r="F268" s="236"/>
    </row>
    <row r="269" ht="15.75" customHeight="1">
      <c r="A269" s="389"/>
      <c r="D269" s="138"/>
      <c r="F269" s="236"/>
    </row>
    <row r="270" ht="15.75" customHeight="1">
      <c r="A270" s="389"/>
      <c r="D270" s="138"/>
      <c r="F270" s="236"/>
    </row>
    <row r="271" ht="15.75" customHeight="1">
      <c r="A271" s="389"/>
      <c r="D271" s="138"/>
      <c r="F271" s="236"/>
    </row>
    <row r="272" ht="15.75" customHeight="1">
      <c r="A272" s="389"/>
      <c r="D272" s="138"/>
      <c r="F272" s="236"/>
    </row>
    <row r="273" ht="15.75" customHeight="1">
      <c r="A273" s="389"/>
      <c r="D273" s="138"/>
      <c r="F273" s="236"/>
    </row>
    <row r="274" ht="15.75" customHeight="1">
      <c r="A274" s="389"/>
      <c r="D274" s="138"/>
      <c r="F274" s="236"/>
    </row>
    <row r="275" ht="15.75" customHeight="1">
      <c r="A275" s="389"/>
      <c r="D275" s="138"/>
      <c r="F275" s="236"/>
    </row>
    <row r="276" ht="15.75" customHeight="1">
      <c r="A276" s="389"/>
      <c r="D276" s="138"/>
      <c r="F276" s="236"/>
    </row>
    <row r="277" ht="15.75" customHeight="1">
      <c r="A277" s="389"/>
      <c r="D277" s="138"/>
      <c r="F277" s="236"/>
    </row>
    <row r="278" ht="15.75" customHeight="1">
      <c r="A278" s="389"/>
      <c r="D278" s="138"/>
      <c r="F278" s="236"/>
    </row>
    <row r="279" ht="15.75" customHeight="1">
      <c r="A279" s="389"/>
      <c r="D279" s="138"/>
      <c r="F279" s="236"/>
    </row>
    <row r="280" ht="15.75" customHeight="1">
      <c r="A280" s="389"/>
      <c r="D280" s="138"/>
      <c r="F280" s="236"/>
    </row>
    <row r="281" ht="15.75" customHeight="1">
      <c r="A281" s="389"/>
      <c r="D281" s="138"/>
      <c r="F281" s="236"/>
    </row>
    <row r="282" ht="15.75" customHeight="1">
      <c r="A282" s="389"/>
      <c r="D282" s="138"/>
      <c r="F282" s="236"/>
    </row>
    <row r="283" ht="15.75" customHeight="1">
      <c r="A283" s="389"/>
      <c r="D283" s="138"/>
      <c r="F283" s="236"/>
    </row>
    <row r="284" ht="15.75" customHeight="1">
      <c r="A284" s="389"/>
      <c r="D284" s="138"/>
      <c r="F284" s="236"/>
    </row>
    <row r="285" ht="15.75" customHeight="1">
      <c r="A285" s="389"/>
      <c r="D285" s="138"/>
      <c r="F285" s="236"/>
    </row>
    <row r="286" ht="15.75" customHeight="1">
      <c r="A286" s="389"/>
      <c r="D286" s="138"/>
      <c r="F286" s="236"/>
    </row>
    <row r="287" ht="15.75" customHeight="1">
      <c r="A287" s="389"/>
      <c r="D287" s="138"/>
      <c r="F287" s="236"/>
    </row>
    <row r="288" ht="15.75" customHeight="1">
      <c r="A288" s="389"/>
      <c r="D288" s="138"/>
      <c r="F288" s="236"/>
    </row>
    <row r="289" ht="15.75" customHeight="1">
      <c r="A289" s="389"/>
      <c r="D289" s="138"/>
      <c r="F289" s="236"/>
    </row>
    <row r="290" ht="15.75" customHeight="1">
      <c r="A290" s="389"/>
      <c r="D290" s="138"/>
      <c r="F290" s="236"/>
    </row>
    <row r="291" ht="15.75" customHeight="1">
      <c r="A291" s="389"/>
      <c r="D291" s="138"/>
      <c r="F291" s="236"/>
    </row>
    <row r="292" ht="15.75" customHeight="1">
      <c r="A292" s="389"/>
      <c r="D292" s="138"/>
      <c r="F292" s="236"/>
    </row>
    <row r="293" ht="15.75" customHeight="1">
      <c r="A293" s="389"/>
      <c r="D293" s="138"/>
      <c r="F293" s="236"/>
    </row>
    <row r="294" ht="15.75" customHeight="1">
      <c r="A294" s="389"/>
      <c r="D294" s="138"/>
      <c r="F294" s="236"/>
    </row>
    <row r="295" ht="15.75" customHeight="1">
      <c r="A295" s="389"/>
      <c r="D295" s="138"/>
      <c r="F295" s="236"/>
    </row>
    <row r="296" ht="15.75" customHeight="1">
      <c r="A296" s="389"/>
      <c r="D296" s="138"/>
      <c r="F296" s="236"/>
    </row>
    <row r="297" ht="15.75" customHeight="1">
      <c r="A297" s="389"/>
      <c r="D297" s="138"/>
      <c r="F297" s="236"/>
    </row>
    <row r="298" ht="15.75" customHeight="1">
      <c r="A298" s="389"/>
      <c r="D298" s="138"/>
      <c r="F298" s="236"/>
    </row>
    <row r="299" ht="15.75" customHeight="1">
      <c r="A299" s="389"/>
      <c r="D299" s="138"/>
      <c r="F299" s="236"/>
    </row>
    <row r="300" ht="15.75" customHeight="1">
      <c r="A300" s="389"/>
      <c r="D300" s="138"/>
      <c r="F300" s="236"/>
    </row>
    <row r="301" ht="15.75" customHeight="1">
      <c r="A301" s="389"/>
      <c r="D301" s="138"/>
      <c r="F301" s="236"/>
    </row>
    <row r="302" ht="15.75" customHeight="1">
      <c r="A302" s="389"/>
      <c r="D302" s="138"/>
      <c r="F302" s="236"/>
    </row>
    <row r="303" ht="15.75" customHeight="1">
      <c r="A303" s="389"/>
      <c r="D303" s="138"/>
      <c r="F303" s="236"/>
    </row>
    <row r="304" ht="15.75" customHeight="1">
      <c r="A304" s="389"/>
      <c r="D304" s="138"/>
      <c r="F304" s="236"/>
    </row>
    <row r="305" ht="15.75" customHeight="1">
      <c r="A305" s="389"/>
      <c r="D305" s="138"/>
      <c r="F305" s="236"/>
    </row>
    <row r="306" ht="15.75" customHeight="1">
      <c r="A306" s="389"/>
      <c r="D306" s="138"/>
      <c r="F306" s="236"/>
    </row>
    <row r="307" ht="15.75" customHeight="1">
      <c r="A307" s="389"/>
      <c r="D307" s="138"/>
      <c r="F307" s="236"/>
    </row>
    <row r="308" ht="15.75" customHeight="1">
      <c r="A308" s="389"/>
      <c r="D308" s="138"/>
      <c r="F308" s="236"/>
    </row>
    <row r="309" ht="15.75" customHeight="1">
      <c r="A309" s="389"/>
      <c r="D309" s="138"/>
      <c r="F309" s="236"/>
    </row>
    <row r="310" ht="15.75" customHeight="1">
      <c r="A310" s="389"/>
      <c r="D310" s="138"/>
      <c r="F310" s="236"/>
    </row>
    <row r="311" ht="15.75" customHeight="1">
      <c r="A311" s="389"/>
      <c r="D311" s="138"/>
      <c r="F311" s="236"/>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311"/>
  <hyperlinks>
    <hyperlink r:id="rId1" ref="E3"/>
    <hyperlink r:id="rId2" ref="E7"/>
    <hyperlink r:id="rId3" ref="E9"/>
    <hyperlink r:id="rId4" ref="E10"/>
    <hyperlink r:id="rId5" ref="E11"/>
    <hyperlink r:id="rId6" ref="E13"/>
    <hyperlink r:id="rId7" ref="E14"/>
    <hyperlink r:id="rId8" ref="H14"/>
    <hyperlink r:id="rId9" ref="E17"/>
    <hyperlink r:id="rId10" ref="E18"/>
    <hyperlink r:id="rId11" ref="E19"/>
    <hyperlink r:id="rId12" ref="E21"/>
    <hyperlink r:id="rId13" ref="E23"/>
    <hyperlink r:id="rId14" ref="E25"/>
    <hyperlink r:id="rId15" ref="E27"/>
    <hyperlink r:id="rId16" ref="E29"/>
    <hyperlink r:id="rId17" ref="E30"/>
    <hyperlink r:id="rId18" ref="E31"/>
    <hyperlink r:id="rId19" ref="E32"/>
    <hyperlink r:id="rId20" ref="E33"/>
    <hyperlink r:id="rId21" ref="E35"/>
    <hyperlink r:id="rId22" ref="E36"/>
    <hyperlink r:id="rId23" ref="E37"/>
    <hyperlink r:id="rId24" ref="E39"/>
    <hyperlink r:id="rId25" ref="D40"/>
    <hyperlink r:id="rId26" ref="E40"/>
    <hyperlink r:id="rId27" ref="B41"/>
    <hyperlink r:id="rId28" ref="E41"/>
    <hyperlink r:id="rId29" ref="E43"/>
    <hyperlink r:id="rId30" ref="H43"/>
    <hyperlink r:id="rId31" ref="E44"/>
    <hyperlink r:id="rId32" ref="E48"/>
    <hyperlink r:id="rId33" ref="E49"/>
    <hyperlink r:id="rId34" ref="H49"/>
    <hyperlink r:id="rId35" ref="E50"/>
    <hyperlink r:id="rId36" ref="E51"/>
    <hyperlink r:id="rId37" ref="E52"/>
    <hyperlink r:id="rId38" ref="E58"/>
    <hyperlink r:id="rId39" ref="E59"/>
    <hyperlink r:id="rId40" ref="E61"/>
    <hyperlink r:id="rId41" ref="E62"/>
    <hyperlink r:id="rId42" ref="E63"/>
    <hyperlink r:id="rId43" ref="E64"/>
    <hyperlink r:id="rId44" ref="E65"/>
    <hyperlink r:id="rId45" ref="E67"/>
    <hyperlink r:id="rId46" ref="E69"/>
    <hyperlink r:id="rId47" ref="E73"/>
    <hyperlink r:id="rId48" ref="E75"/>
    <hyperlink r:id="rId49" ref="E76"/>
    <hyperlink r:id="rId50" ref="E77"/>
    <hyperlink r:id="rId51" ref="E78"/>
    <hyperlink r:id="rId52" ref="E79"/>
    <hyperlink r:id="rId53" ref="E81"/>
    <hyperlink r:id="rId54" ref="E82"/>
    <hyperlink r:id="rId55" ref="E84"/>
    <hyperlink r:id="rId56" ref="E85"/>
    <hyperlink r:id="rId57" ref="E86"/>
    <hyperlink r:id="rId58" ref="E88"/>
    <hyperlink r:id="rId59" ref="E89"/>
    <hyperlink r:id="rId60" ref="E93"/>
    <hyperlink r:id="rId61" ref="E94"/>
    <hyperlink r:id="rId62" ref="E95"/>
    <hyperlink r:id="rId63" ref="E97"/>
    <hyperlink r:id="rId64" ref="E99"/>
    <hyperlink r:id="rId65" ref="E100"/>
    <hyperlink r:id="rId66" ref="E101"/>
    <hyperlink r:id="rId67" ref="E102"/>
    <hyperlink r:id="rId68" ref="E103"/>
    <hyperlink r:id="rId69" ref="E104"/>
    <hyperlink r:id="rId70" ref="E105"/>
    <hyperlink r:id="rId71" ref="E107"/>
    <hyperlink r:id="rId72" ref="E109"/>
    <hyperlink r:id="rId73" ref="H109"/>
    <hyperlink r:id="rId74" ref="E110"/>
    <hyperlink r:id="rId75" ref="E111"/>
  </hyperlinks>
  <drawing r:id="rId7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2" width="20.13"/>
    <col customWidth="1" min="3" max="3" width="14.38"/>
    <col customWidth="1" min="4" max="4" width="20.38"/>
    <col customWidth="1" min="5" max="5" width="32.38"/>
    <col customWidth="1" min="6" max="7" width="14.38"/>
    <col customWidth="1" min="8" max="8" width="28.25"/>
    <col customWidth="1" min="9" max="31" width="14.38"/>
  </cols>
  <sheetData>
    <row r="1" ht="15.75" customHeight="1">
      <c r="A1" s="364" t="s">
        <v>1345</v>
      </c>
      <c r="B1" s="365" t="s">
        <v>3</v>
      </c>
      <c r="C1" s="365" t="s">
        <v>2101</v>
      </c>
      <c r="D1" s="388" t="s">
        <v>171</v>
      </c>
      <c r="E1" s="365" t="s">
        <v>4</v>
      </c>
      <c r="F1" s="365" t="s">
        <v>172</v>
      </c>
      <c r="G1" s="365" t="s">
        <v>174</v>
      </c>
      <c r="H1" s="366" t="s">
        <v>175</v>
      </c>
      <c r="I1" s="365" t="s">
        <v>9</v>
      </c>
      <c r="J1" s="367"/>
      <c r="K1" s="124"/>
      <c r="L1" s="124"/>
      <c r="M1" s="124"/>
      <c r="N1" s="124"/>
      <c r="O1" s="124"/>
      <c r="P1" s="124"/>
      <c r="Q1" s="124"/>
      <c r="R1" s="124"/>
      <c r="S1" s="124"/>
      <c r="T1" s="124"/>
      <c r="U1" s="124"/>
      <c r="V1" s="124"/>
      <c r="W1" s="124"/>
      <c r="X1" s="124"/>
      <c r="Y1" s="124"/>
      <c r="Z1" s="124"/>
      <c r="AA1" s="124"/>
      <c r="AB1" s="124"/>
      <c r="AC1" s="124"/>
      <c r="AD1" s="124"/>
      <c r="AE1" s="124"/>
    </row>
    <row r="2" ht="15.75" customHeight="1">
      <c r="A2" s="389">
        <v>43160.0</v>
      </c>
      <c r="D2" s="138"/>
    </row>
    <row r="3" ht="15.75" customHeight="1">
      <c r="A3" s="389"/>
      <c r="B3" s="362" t="s">
        <v>4041</v>
      </c>
      <c r="D3" s="146" t="s">
        <v>4042</v>
      </c>
      <c r="E3" s="363" t="s">
        <v>3891</v>
      </c>
      <c r="F3" s="1" t="s">
        <v>2494</v>
      </c>
      <c r="G3" s="1" t="s">
        <v>2495</v>
      </c>
      <c r="H3" s="1" t="s">
        <v>4043</v>
      </c>
      <c r="I3" s="1" t="s">
        <v>16</v>
      </c>
    </row>
    <row r="4" ht="15.75" customHeight="1">
      <c r="A4" s="389"/>
      <c r="B4" s="362" t="s">
        <v>1729</v>
      </c>
      <c r="D4" s="140" t="s">
        <v>4044</v>
      </c>
      <c r="E4" s="363" t="s">
        <v>4045</v>
      </c>
      <c r="F4" s="1" t="s">
        <v>2494</v>
      </c>
      <c r="G4" s="1" t="s">
        <v>2495</v>
      </c>
      <c r="H4" s="1" t="s">
        <v>4046</v>
      </c>
      <c r="I4" s="1" t="s">
        <v>16</v>
      </c>
    </row>
    <row r="5" ht="15.75" customHeight="1">
      <c r="A5" s="389"/>
      <c r="D5" s="140" t="s">
        <v>4047</v>
      </c>
      <c r="G5" s="1" t="s">
        <v>2495</v>
      </c>
      <c r="H5" s="1" t="s">
        <v>2872</v>
      </c>
      <c r="J5" s="1" t="s">
        <v>4048</v>
      </c>
    </row>
    <row r="6" ht="15.75" customHeight="1">
      <c r="A6" s="389">
        <v>43162.0</v>
      </c>
      <c r="D6" s="138"/>
    </row>
    <row r="7" ht="15.75" customHeight="1">
      <c r="A7" s="389"/>
      <c r="D7" s="138"/>
    </row>
    <row r="8" ht="15.75" customHeight="1">
      <c r="A8" s="389"/>
      <c r="B8" s="362" t="s">
        <v>4049</v>
      </c>
      <c r="D8" s="140" t="s">
        <v>4050</v>
      </c>
      <c r="E8" s="363" t="s">
        <v>4051</v>
      </c>
      <c r="F8" s="1" t="s">
        <v>2494</v>
      </c>
      <c r="G8" s="1" t="s">
        <v>2495</v>
      </c>
      <c r="H8" s="391" t="s">
        <v>3784</v>
      </c>
      <c r="I8" s="1" t="s">
        <v>16</v>
      </c>
    </row>
    <row r="9" ht="15.75" customHeight="1">
      <c r="A9" s="389"/>
      <c r="B9" s="362" t="s">
        <v>4052</v>
      </c>
      <c r="D9" s="140" t="s">
        <v>4053</v>
      </c>
      <c r="E9" s="363" t="s">
        <v>4054</v>
      </c>
      <c r="F9" s="1" t="s">
        <v>2494</v>
      </c>
      <c r="G9" s="1" t="s">
        <v>2495</v>
      </c>
      <c r="H9" s="391" t="s">
        <v>3784</v>
      </c>
      <c r="I9" s="1" t="s">
        <v>16</v>
      </c>
    </row>
    <row r="10" ht="15.75" customHeight="1">
      <c r="A10" s="389"/>
      <c r="B10" s="362" t="s">
        <v>4055</v>
      </c>
      <c r="D10" s="140" t="s">
        <v>4056</v>
      </c>
      <c r="E10" s="363" t="s">
        <v>4057</v>
      </c>
      <c r="F10" s="1" t="s">
        <v>2494</v>
      </c>
      <c r="G10" s="1" t="s">
        <v>2543</v>
      </c>
      <c r="H10" s="1" t="s">
        <v>3445</v>
      </c>
    </row>
    <row r="11" ht="15.75" customHeight="1">
      <c r="A11" s="389"/>
      <c r="B11" s="93" t="s">
        <v>4058</v>
      </c>
      <c r="D11" s="138"/>
      <c r="E11" s="1" t="s">
        <v>4059</v>
      </c>
      <c r="H11" s="1" t="s">
        <v>4060</v>
      </c>
    </row>
    <row r="12" ht="15.75" customHeight="1">
      <c r="A12" s="389"/>
      <c r="B12" s="362" t="s">
        <v>4061</v>
      </c>
      <c r="D12" s="140" t="s">
        <v>4062</v>
      </c>
      <c r="E12" s="363" t="s">
        <v>4063</v>
      </c>
      <c r="F12" s="1" t="s">
        <v>2494</v>
      </c>
      <c r="G12" s="1" t="s">
        <v>2495</v>
      </c>
      <c r="H12" s="391" t="s">
        <v>4064</v>
      </c>
    </row>
    <row r="13" ht="15.75" customHeight="1">
      <c r="A13" s="389">
        <v>43163.0</v>
      </c>
      <c r="D13" s="138"/>
    </row>
    <row r="14" ht="15.75" customHeight="1">
      <c r="A14" s="389"/>
      <c r="B14" s="1" t="s">
        <v>3987</v>
      </c>
      <c r="D14" s="140" t="s">
        <v>4065</v>
      </c>
      <c r="F14" s="1" t="s">
        <v>2504</v>
      </c>
      <c r="G14" s="1" t="s">
        <v>2495</v>
      </c>
      <c r="H14" s="1" t="s">
        <v>4066</v>
      </c>
      <c r="I14" s="1" t="s">
        <v>401</v>
      </c>
    </row>
    <row r="15" ht="15.75" customHeight="1">
      <c r="A15" s="389"/>
      <c r="B15" s="1" t="s">
        <v>4067</v>
      </c>
      <c r="D15" s="140" t="s">
        <v>4068</v>
      </c>
      <c r="G15" s="1" t="s">
        <v>2495</v>
      </c>
      <c r="H15" s="1" t="s">
        <v>4069</v>
      </c>
      <c r="J15" s="1" t="s">
        <v>4070</v>
      </c>
      <c r="K15" s="1" t="s">
        <v>4071</v>
      </c>
    </row>
    <row r="16" ht="15.75" customHeight="1">
      <c r="A16" s="389"/>
      <c r="B16" s="1" t="s">
        <v>4072</v>
      </c>
      <c r="D16" s="140" t="s">
        <v>4073</v>
      </c>
      <c r="H16" s="1" t="s">
        <v>4074</v>
      </c>
      <c r="I16" s="1" t="s">
        <v>4075</v>
      </c>
    </row>
    <row r="17" ht="15.75" customHeight="1">
      <c r="A17" s="389">
        <v>43164.0</v>
      </c>
      <c r="D17" s="138"/>
    </row>
    <row r="18" ht="15.75" customHeight="1">
      <c r="A18" s="389"/>
      <c r="B18" s="1" t="s">
        <v>4076</v>
      </c>
      <c r="D18" s="140" t="s">
        <v>4077</v>
      </c>
      <c r="G18" s="1" t="s">
        <v>2495</v>
      </c>
      <c r="H18" s="1" t="s">
        <v>4078</v>
      </c>
      <c r="I18" s="1" t="s">
        <v>16</v>
      </c>
    </row>
    <row r="19" ht="15.75" customHeight="1">
      <c r="A19" s="389">
        <v>43165.0</v>
      </c>
      <c r="D19" s="138"/>
    </row>
    <row r="20" ht="15.75" customHeight="1">
      <c r="A20" s="389"/>
      <c r="B20" s="362" t="s">
        <v>4061</v>
      </c>
      <c r="D20" s="140" t="s">
        <v>4079</v>
      </c>
      <c r="E20" s="363" t="s">
        <v>4063</v>
      </c>
      <c r="F20" s="1" t="s">
        <v>2494</v>
      </c>
      <c r="G20" s="1" t="s">
        <v>2552</v>
      </c>
      <c r="H20" s="391" t="s">
        <v>4064</v>
      </c>
    </row>
    <row r="21" ht="15.75" customHeight="1">
      <c r="A21" s="389"/>
      <c r="B21" s="362" t="s">
        <v>4080</v>
      </c>
      <c r="D21" s="140" t="s">
        <v>4081</v>
      </c>
      <c r="E21" s="363" t="s">
        <v>4082</v>
      </c>
      <c r="F21" s="1" t="s">
        <v>2494</v>
      </c>
      <c r="G21" s="1" t="s">
        <v>2543</v>
      </c>
      <c r="H21" s="1" t="s">
        <v>4083</v>
      </c>
    </row>
    <row r="22" ht="15.75" customHeight="1">
      <c r="A22" s="389">
        <v>43166.0</v>
      </c>
      <c r="D22" s="138"/>
    </row>
    <row r="23" ht="15.75" customHeight="1">
      <c r="A23" s="389"/>
      <c r="B23" s="362" t="s">
        <v>4084</v>
      </c>
      <c r="D23" s="140" t="s">
        <v>4085</v>
      </c>
      <c r="E23" s="363" t="s">
        <v>4086</v>
      </c>
      <c r="F23" s="1" t="s">
        <v>2494</v>
      </c>
      <c r="G23" s="1" t="s">
        <v>2495</v>
      </c>
      <c r="H23" s="391" t="s">
        <v>2907</v>
      </c>
      <c r="I23" s="1" t="s">
        <v>16</v>
      </c>
    </row>
    <row r="24" ht="15.75" customHeight="1">
      <c r="A24" s="389"/>
      <c r="B24" s="362" t="s">
        <v>606</v>
      </c>
      <c r="D24" s="146" t="s">
        <v>4087</v>
      </c>
      <c r="E24" s="363" t="s">
        <v>608</v>
      </c>
      <c r="G24" s="1" t="s">
        <v>2495</v>
      </c>
      <c r="H24" s="391" t="s">
        <v>4088</v>
      </c>
      <c r="I24" s="1" t="s">
        <v>16</v>
      </c>
    </row>
    <row r="25" ht="15.75" customHeight="1">
      <c r="A25" s="389"/>
      <c r="B25" s="1" t="s">
        <v>4089</v>
      </c>
      <c r="D25" s="140" t="s">
        <v>4090</v>
      </c>
      <c r="G25" s="1" t="s">
        <v>2495</v>
      </c>
      <c r="H25" s="1" t="s">
        <v>4091</v>
      </c>
    </row>
    <row r="26" ht="15.75" customHeight="1">
      <c r="A26" s="389">
        <v>43169.0</v>
      </c>
      <c r="D26" s="138"/>
    </row>
    <row r="27" ht="15.75" customHeight="1">
      <c r="A27" s="389"/>
      <c r="B27" s="362" t="s">
        <v>4092</v>
      </c>
      <c r="D27" s="140" t="s">
        <v>4093</v>
      </c>
      <c r="E27" s="363" t="s">
        <v>4094</v>
      </c>
      <c r="F27" s="1" t="s">
        <v>2494</v>
      </c>
      <c r="G27" s="1" t="s">
        <v>2552</v>
      </c>
      <c r="H27" s="1" t="s">
        <v>4095</v>
      </c>
    </row>
    <row r="28" ht="15.75" customHeight="1">
      <c r="A28" s="389"/>
      <c r="B28" s="362" t="s">
        <v>4096</v>
      </c>
      <c r="D28" s="140" t="s">
        <v>4097</v>
      </c>
      <c r="E28" s="363" t="s">
        <v>4098</v>
      </c>
      <c r="F28" s="1" t="s">
        <v>2494</v>
      </c>
      <c r="G28" s="1" t="s">
        <v>2495</v>
      </c>
      <c r="H28" s="1" t="s">
        <v>3870</v>
      </c>
      <c r="I28" s="1" t="s">
        <v>16</v>
      </c>
    </row>
    <row r="29" ht="15.75" customHeight="1">
      <c r="A29" s="389"/>
      <c r="B29" s="362" t="s">
        <v>4099</v>
      </c>
      <c r="D29" s="146" t="s">
        <v>4100</v>
      </c>
      <c r="E29" s="363" t="s">
        <v>4101</v>
      </c>
      <c r="F29" s="1" t="s">
        <v>2494</v>
      </c>
      <c r="G29" s="1" t="s">
        <v>2543</v>
      </c>
      <c r="H29" s="1" t="s">
        <v>772</v>
      </c>
      <c r="I29" s="1" t="s">
        <v>16</v>
      </c>
    </row>
    <row r="30" ht="15.75" customHeight="1">
      <c r="A30" s="389"/>
      <c r="B30" s="362" t="s">
        <v>4102</v>
      </c>
      <c r="D30" s="140" t="s">
        <v>4103</v>
      </c>
      <c r="E30" s="363" t="s">
        <v>4104</v>
      </c>
      <c r="F30" s="1" t="s">
        <v>2494</v>
      </c>
      <c r="G30" s="1" t="s">
        <v>2543</v>
      </c>
      <c r="H30" s="1" t="s">
        <v>4105</v>
      </c>
    </row>
    <row r="31" ht="15.75" customHeight="1">
      <c r="A31" s="389"/>
      <c r="B31" s="362" t="s">
        <v>4106</v>
      </c>
      <c r="D31" s="138">
        <v>9.292209489E9</v>
      </c>
      <c r="E31" s="363" t="s">
        <v>4107</v>
      </c>
      <c r="F31" s="1" t="s">
        <v>2494</v>
      </c>
      <c r="G31" s="1" t="s">
        <v>2543</v>
      </c>
      <c r="H31" s="1" t="s">
        <v>4108</v>
      </c>
    </row>
    <row r="32" ht="15.75" customHeight="1">
      <c r="A32" s="389"/>
      <c r="B32" s="362" t="s">
        <v>4106</v>
      </c>
      <c r="D32" s="146" t="s">
        <v>4109</v>
      </c>
      <c r="E32" s="363" t="s">
        <v>4107</v>
      </c>
      <c r="F32" s="1" t="s">
        <v>2494</v>
      </c>
      <c r="G32" s="1" t="s">
        <v>2543</v>
      </c>
      <c r="H32" s="1" t="s">
        <v>4110</v>
      </c>
      <c r="I32" s="1" t="s">
        <v>16</v>
      </c>
    </row>
    <row r="33" ht="15.75" customHeight="1">
      <c r="A33" s="389">
        <v>43170.0</v>
      </c>
      <c r="D33" s="138"/>
    </row>
    <row r="34" ht="15.75" customHeight="1">
      <c r="A34" s="389"/>
      <c r="B34" s="362" t="s">
        <v>606</v>
      </c>
      <c r="D34" s="146" t="s">
        <v>4087</v>
      </c>
      <c r="E34" s="1" t="s">
        <v>4111</v>
      </c>
      <c r="F34" s="1" t="s">
        <v>2494</v>
      </c>
      <c r="G34" s="1" t="s">
        <v>2495</v>
      </c>
      <c r="H34" s="319" t="s">
        <v>4112</v>
      </c>
      <c r="I34" s="1" t="s">
        <v>16</v>
      </c>
    </row>
    <row r="35" ht="15.75" customHeight="1">
      <c r="A35" s="389"/>
      <c r="B35" s="99" t="s">
        <v>4113</v>
      </c>
      <c r="D35" s="140" t="s">
        <v>4114</v>
      </c>
      <c r="E35" s="1" t="s">
        <v>4115</v>
      </c>
      <c r="F35" s="321" t="s">
        <v>2649</v>
      </c>
      <c r="G35" s="321" t="s">
        <v>2495</v>
      </c>
      <c r="H35" s="99" t="s">
        <v>4116</v>
      </c>
    </row>
    <row r="36" ht="15.75" customHeight="1">
      <c r="A36" s="389"/>
      <c r="D36" s="140" t="s">
        <v>4117</v>
      </c>
      <c r="G36" s="1" t="s">
        <v>2495</v>
      </c>
      <c r="H36" s="1" t="s">
        <v>4118</v>
      </c>
    </row>
    <row r="37" ht="15.75" customHeight="1">
      <c r="A37" s="389">
        <v>43171.0</v>
      </c>
      <c r="B37" s="362"/>
      <c r="D37" s="138"/>
      <c r="E37" s="362"/>
      <c r="F37" s="1"/>
      <c r="G37" s="1"/>
      <c r="H37" s="1"/>
    </row>
    <row r="38" ht="15.75" customHeight="1">
      <c r="A38" s="389"/>
      <c r="B38" s="362" t="s">
        <v>4119</v>
      </c>
      <c r="D38" s="140" t="s">
        <v>4120</v>
      </c>
      <c r="E38" s="363" t="s">
        <v>4121</v>
      </c>
      <c r="F38" s="1" t="s">
        <v>2494</v>
      </c>
      <c r="G38" s="1" t="s">
        <v>2543</v>
      </c>
      <c r="H38" s="1" t="s">
        <v>4105</v>
      </c>
    </row>
    <row r="39" ht="15.75" customHeight="1">
      <c r="A39" s="389"/>
      <c r="B39" s="362" t="s">
        <v>4122</v>
      </c>
      <c r="D39" s="140" t="s">
        <v>4123</v>
      </c>
      <c r="E39" s="363" t="s">
        <v>4124</v>
      </c>
      <c r="F39" s="1" t="s">
        <v>2494</v>
      </c>
      <c r="G39" s="1" t="s">
        <v>2495</v>
      </c>
      <c r="H39" s="411" t="s">
        <v>4125</v>
      </c>
      <c r="I39" s="1" t="s">
        <v>16</v>
      </c>
    </row>
    <row r="40" ht="15.75" customHeight="1">
      <c r="A40" s="389">
        <v>43173.0</v>
      </c>
      <c r="D40" s="138"/>
    </row>
    <row r="41" ht="15.75" customHeight="1">
      <c r="A41" s="389"/>
      <c r="B41" s="362" t="s">
        <v>4126</v>
      </c>
      <c r="D41" s="140" t="s">
        <v>4127</v>
      </c>
      <c r="E41" s="363" t="s">
        <v>4128</v>
      </c>
      <c r="F41" s="1" t="s">
        <v>2494</v>
      </c>
      <c r="G41" s="1" t="s">
        <v>2495</v>
      </c>
      <c r="H41" s="1" t="s">
        <v>4129</v>
      </c>
      <c r="I41" s="1" t="s">
        <v>1368</v>
      </c>
    </row>
    <row r="42" ht="15.75" customHeight="1">
      <c r="A42" s="389"/>
      <c r="B42" s="362" t="s">
        <v>4130</v>
      </c>
      <c r="D42" s="140" t="s">
        <v>4131</v>
      </c>
      <c r="E42" s="363" t="s">
        <v>4132</v>
      </c>
      <c r="F42" s="1" t="s">
        <v>2494</v>
      </c>
      <c r="G42" s="1" t="s">
        <v>2495</v>
      </c>
      <c r="H42" s="1" t="s">
        <v>4129</v>
      </c>
    </row>
    <row r="43" ht="15.75" customHeight="1">
      <c r="A43" s="389">
        <v>43176.0</v>
      </c>
      <c r="D43" s="138"/>
    </row>
    <row r="44" ht="15.75" customHeight="1">
      <c r="A44" s="389"/>
      <c r="B44" s="362" t="s">
        <v>4133</v>
      </c>
      <c r="D44" s="140" t="s">
        <v>4134</v>
      </c>
      <c r="E44" s="363" t="s">
        <v>4135</v>
      </c>
      <c r="F44" s="1" t="s">
        <v>2494</v>
      </c>
      <c r="G44" s="1" t="s">
        <v>2495</v>
      </c>
      <c r="H44" s="1" t="s">
        <v>4136</v>
      </c>
    </row>
    <row r="45" ht="15.75" customHeight="1">
      <c r="A45" s="389">
        <v>43178.0</v>
      </c>
      <c r="D45" s="138"/>
    </row>
    <row r="46" ht="15.75" customHeight="1">
      <c r="A46" s="389"/>
      <c r="B46" s="362" t="s">
        <v>4137</v>
      </c>
      <c r="D46" s="146" t="s">
        <v>4138</v>
      </c>
      <c r="E46" s="363" t="s">
        <v>4139</v>
      </c>
      <c r="F46" s="1" t="s">
        <v>2494</v>
      </c>
      <c r="G46" s="1" t="s">
        <v>3227</v>
      </c>
      <c r="H46" s="1" t="s">
        <v>4140</v>
      </c>
    </row>
    <row r="47" ht="15.75" customHeight="1">
      <c r="A47" s="389"/>
      <c r="B47" s="89" t="s">
        <v>4141</v>
      </c>
      <c r="D47" s="146" t="s">
        <v>4142</v>
      </c>
      <c r="E47" s="213" t="s">
        <v>4143</v>
      </c>
      <c r="F47" s="1" t="s">
        <v>2504</v>
      </c>
      <c r="G47" s="1" t="s">
        <v>3227</v>
      </c>
      <c r="H47" s="1" t="s">
        <v>4083</v>
      </c>
      <c r="I47" s="1" t="s">
        <v>1202</v>
      </c>
    </row>
    <row r="48" ht="15.75" customHeight="1">
      <c r="A48" s="389">
        <v>43151.0</v>
      </c>
      <c r="D48" s="138"/>
    </row>
    <row r="49" ht="15.75" customHeight="1">
      <c r="A49" s="389"/>
      <c r="B49" s="362" t="s">
        <v>4144</v>
      </c>
      <c r="D49" s="140" t="s">
        <v>4145</v>
      </c>
      <c r="E49" s="363" t="s">
        <v>4146</v>
      </c>
      <c r="F49" s="1" t="s">
        <v>2494</v>
      </c>
      <c r="G49" s="1" t="s">
        <v>3227</v>
      </c>
      <c r="H49" s="1" t="s">
        <v>2943</v>
      </c>
    </row>
    <row r="50" ht="15.75" customHeight="1">
      <c r="A50" s="389">
        <v>43180.0</v>
      </c>
      <c r="B50" s="362"/>
      <c r="D50" s="138"/>
    </row>
    <row r="51" ht="15.75" customHeight="1">
      <c r="A51" s="389"/>
      <c r="B51" s="362" t="s">
        <v>4147</v>
      </c>
      <c r="D51" s="146" t="s">
        <v>4148</v>
      </c>
      <c r="E51" s="363" t="s">
        <v>4149</v>
      </c>
      <c r="F51" s="1" t="s">
        <v>2494</v>
      </c>
      <c r="H51" s="362" t="s">
        <v>3310</v>
      </c>
      <c r="I51" s="1" t="s">
        <v>2888</v>
      </c>
    </row>
    <row r="52" ht="15.75" customHeight="1">
      <c r="A52" s="389"/>
      <c r="B52" s="362" t="s">
        <v>4055</v>
      </c>
      <c r="D52" s="140" t="s">
        <v>4150</v>
      </c>
      <c r="E52" s="363" t="s">
        <v>4057</v>
      </c>
      <c r="F52" s="1" t="s">
        <v>2494</v>
      </c>
      <c r="G52" s="1" t="s">
        <v>3227</v>
      </c>
      <c r="H52" s="1" t="s">
        <v>4151</v>
      </c>
      <c r="I52" s="1" t="s">
        <v>16</v>
      </c>
    </row>
    <row r="53" ht="15.75" customHeight="1">
      <c r="A53" s="389">
        <v>43181.0</v>
      </c>
      <c r="D53" s="138"/>
    </row>
    <row r="54" ht="15.75" customHeight="1">
      <c r="A54" s="389"/>
      <c r="B54" s="362" t="s">
        <v>4152</v>
      </c>
      <c r="D54" s="407">
        <f>+971554264264</f>
        <v>971554264264</v>
      </c>
      <c r="E54" s="363" t="s">
        <v>4153</v>
      </c>
      <c r="F54" s="1" t="s">
        <v>2494</v>
      </c>
      <c r="H54" s="89" t="s">
        <v>4154</v>
      </c>
      <c r="I54" s="1" t="s">
        <v>16</v>
      </c>
    </row>
    <row r="55" ht="15.75" customHeight="1">
      <c r="A55" s="389"/>
      <c r="B55" s="362" t="s">
        <v>3468</v>
      </c>
      <c r="D55" s="140" t="s">
        <v>4155</v>
      </c>
      <c r="E55" s="363" t="s">
        <v>4156</v>
      </c>
      <c r="F55" s="1" t="s">
        <v>2494</v>
      </c>
      <c r="H55" s="89" t="s">
        <v>4154</v>
      </c>
      <c r="I55" s="1" t="s">
        <v>16</v>
      </c>
    </row>
    <row r="56" ht="15.75" customHeight="1">
      <c r="A56" s="389"/>
      <c r="B56" s="89" t="s">
        <v>4157</v>
      </c>
      <c r="D56" s="146" t="s">
        <v>4158</v>
      </c>
      <c r="E56" s="213" t="s">
        <v>4159</v>
      </c>
      <c r="F56" s="326" t="s">
        <v>2534</v>
      </c>
      <c r="G56" s="326" t="s">
        <v>3227</v>
      </c>
      <c r="H56" s="1" t="s">
        <v>4160</v>
      </c>
      <c r="I56" s="1" t="s">
        <v>4161</v>
      </c>
    </row>
    <row r="57" ht="15.75" customHeight="1">
      <c r="A57" s="389"/>
      <c r="B57" s="362" t="s">
        <v>4162</v>
      </c>
      <c r="D57" s="140" t="s">
        <v>4163</v>
      </c>
      <c r="E57" s="363" t="s">
        <v>4164</v>
      </c>
      <c r="F57" s="1" t="s">
        <v>2494</v>
      </c>
      <c r="H57" s="319" t="s">
        <v>2951</v>
      </c>
      <c r="I57" s="1" t="s">
        <v>4165</v>
      </c>
    </row>
    <row r="58" ht="15.75" customHeight="1">
      <c r="A58" s="389">
        <v>43183.0</v>
      </c>
      <c r="D58" s="138"/>
    </row>
    <row r="59" ht="15.75" customHeight="1">
      <c r="A59" s="389"/>
      <c r="B59" s="362" t="s">
        <v>4166</v>
      </c>
      <c r="D59" s="146" t="s">
        <v>4167</v>
      </c>
      <c r="E59" s="363" t="s">
        <v>4168</v>
      </c>
      <c r="F59" s="1" t="s">
        <v>2494</v>
      </c>
      <c r="H59" s="319" t="s">
        <v>4112</v>
      </c>
      <c r="I59" s="1" t="s">
        <v>16</v>
      </c>
    </row>
    <row r="60" ht="15.75" customHeight="1">
      <c r="A60" s="389">
        <v>43184.0</v>
      </c>
      <c r="D60" s="138"/>
      <c r="E60" s="89"/>
      <c r="F60" s="1"/>
      <c r="G60" s="1"/>
      <c r="H60" s="1"/>
      <c r="I60" s="1"/>
    </row>
    <row r="61" ht="15.75" customHeight="1">
      <c r="A61" s="389"/>
      <c r="D61" s="146" t="s">
        <v>4169</v>
      </c>
      <c r="E61" s="213" t="s">
        <v>4170</v>
      </c>
      <c r="F61" s="1" t="s">
        <v>2504</v>
      </c>
      <c r="G61" s="1" t="s">
        <v>2495</v>
      </c>
      <c r="H61" s="1" t="s">
        <v>4171</v>
      </c>
      <c r="I61" s="1" t="s">
        <v>16</v>
      </c>
    </row>
    <row r="62" ht="15.75" customHeight="1">
      <c r="A62" s="389">
        <v>43185.0</v>
      </c>
      <c r="D62" s="138"/>
    </row>
    <row r="63" ht="15.75" customHeight="1">
      <c r="A63" s="389"/>
      <c r="B63" s="362" t="s">
        <v>4172</v>
      </c>
      <c r="D63" s="146" t="s">
        <v>4173</v>
      </c>
      <c r="E63" s="363" t="s">
        <v>4174</v>
      </c>
      <c r="F63" s="1" t="s">
        <v>2494</v>
      </c>
      <c r="H63" s="362" t="s">
        <v>4175</v>
      </c>
    </row>
    <row r="64" ht="15.75" customHeight="1">
      <c r="A64" s="389">
        <v>43186.0</v>
      </c>
      <c r="D64" s="138"/>
    </row>
    <row r="65" ht="15.75" customHeight="1">
      <c r="A65" s="389"/>
      <c r="B65" s="238" t="s">
        <v>4176</v>
      </c>
      <c r="D65" s="140" t="s">
        <v>4177</v>
      </c>
      <c r="E65" s="220" t="s">
        <v>4178</v>
      </c>
      <c r="F65" s="326" t="s">
        <v>2534</v>
      </c>
      <c r="G65" s="326" t="s">
        <v>2495</v>
      </c>
      <c r="H65" s="1" t="s">
        <v>4179</v>
      </c>
    </row>
    <row r="66" ht="15.75" customHeight="1">
      <c r="A66" s="389"/>
      <c r="B66" s="362" t="s">
        <v>4180</v>
      </c>
      <c r="D66" s="146" t="s">
        <v>4181</v>
      </c>
      <c r="E66" s="363" t="s">
        <v>4182</v>
      </c>
      <c r="F66" s="1" t="s">
        <v>2494</v>
      </c>
      <c r="G66" s="1" t="s">
        <v>2495</v>
      </c>
      <c r="H66" s="319" t="s">
        <v>3568</v>
      </c>
      <c r="I66" s="1" t="s">
        <v>16</v>
      </c>
    </row>
    <row r="67" ht="15.75" customHeight="1">
      <c r="A67" s="389"/>
      <c r="D67" s="138"/>
      <c r="H67" s="319" t="s">
        <v>4112</v>
      </c>
    </row>
    <row r="68" ht="15.75" customHeight="1">
      <c r="A68" s="389">
        <v>43187.0</v>
      </c>
      <c r="D68" s="138"/>
    </row>
    <row r="69" ht="15.75" customHeight="1">
      <c r="A69" s="389"/>
      <c r="B69" s="362" t="s">
        <v>4183</v>
      </c>
      <c r="D69" s="146" t="s">
        <v>4184</v>
      </c>
      <c r="E69" s="363" t="s">
        <v>4185</v>
      </c>
      <c r="F69" s="1" t="s">
        <v>2494</v>
      </c>
      <c r="G69" s="1" t="s">
        <v>2495</v>
      </c>
      <c r="H69" s="319" t="s">
        <v>4186</v>
      </c>
      <c r="I69" s="1" t="s">
        <v>16</v>
      </c>
    </row>
    <row r="70" ht="15.75" customHeight="1">
      <c r="A70" s="389"/>
      <c r="B70" s="412" t="s">
        <v>4187</v>
      </c>
      <c r="D70" s="413" t="s">
        <v>4188</v>
      </c>
      <c r="E70" s="380" t="s">
        <v>4189</v>
      </c>
      <c r="F70" s="1" t="s">
        <v>2494</v>
      </c>
      <c r="G70" s="1" t="s">
        <v>2543</v>
      </c>
      <c r="H70" s="1" t="s">
        <v>3445</v>
      </c>
    </row>
    <row r="71" ht="15.75" customHeight="1">
      <c r="A71" s="389">
        <v>43188.0</v>
      </c>
      <c r="D71" s="138"/>
    </row>
    <row r="72" ht="15.75" customHeight="1">
      <c r="A72" s="389"/>
      <c r="B72" s="362" t="s">
        <v>4190</v>
      </c>
      <c r="D72" s="146" t="s">
        <v>4191</v>
      </c>
      <c r="E72" s="363" t="s">
        <v>4192</v>
      </c>
      <c r="F72" s="1" t="s">
        <v>2494</v>
      </c>
      <c r="G72" s="1" t="s">
        <v>2543</v>
      </c>
      <c r="H72" s="391" t="s">
        <v>3804</v>
      </c>
    </row>
    <row r="73" ht="15.75" customHeight="1">
      <c r="A73" s="389"/>
      <c r="B73" s="362" t="s">
        <v>4193</v>
      </c>
      <c r="D73" s="140" t="s">
        <v>4194</v>
      </c>
      <c r="E73" s="1" t="s">
        <v>4195</v>
      </c>
      <c r="F73" s="1" t="s">
        <v>2494</v>
      </c>
      <c r="G73" s="1" t="s">
        <v>2737</v>
      </c>
      <c r="H73" s="391" t="s">
        <v>4196</v>
      </c>
      <c r="I73" s="1" t="s">
        <v>2888</v>
      </c>
    </row>
    <row r="74" ht="15.75" customHeight="1">
      <c r="A74" s="389"/>
      <c r="B74" s="1" t="s">
        <v>4197</v>
      </c>
      <c r="D74" s="140" t="s">
        <v>4198</v>
      </c>
      <c r="E74" s="368" t="s">
        <v>4199</v>
      </c>
      <c r="F74" s="414" t="s">
        <v>2649</v>
      </c>
      <c r="G74" s="1" t="s">
        <v>2552</v>
      </c>
      <c r="H74" s="1" t="s">
        <v>4200</v>
      </c>
      <c r="I74" s="1" t="s">
        <v>16</v>
      </c>
    </row>
    <row r="75" ht="15.75" customHeight="1">
      <c r="A75" s="389">
        <v>43190.0</v>
      </c>
      <c r="D75" s="138"/>
    </row>
    <row r="76" ht="15.75" customHeight="1">
      <c r="A76" s="389"/>
      <c r="B76" s="99" t="s">
        <v>4201</v>
      </c>
      <c r="D76" s="140" t="s">
        <v>4202</v>
      </c>
      <c r="E76" s="368" t="s">
        <v>4203</v>
      </c>
      <c r="F76" s="414" t="s">
        <v>2649</v>
      </c>
      <c r="G76" s="1" t="s">
        <v>2543</v>
      </c>
      <c r="H76" s="1" t="s">
        <v>3445</v>
      </c>
    </row>
    <row r="77" ht="15.75" customHeight="1">
      <c r="A77" s="389"/>
      <c r="B77" s="362" t="s">
        <v>4204</v>
      </c>
      <c r="D77" s="140" t="s">
        <v>4205</v>
      </c>
      <c r="E77" s="363" t="s">
        <v>4206</v>
      </c>
      <c r="F77" s="1" t="s">
        <v>2494</v>
      </c>
      <c r="G77" s="1" t="s">
        <v>2495</v>
      </c>
      <c r="H77" s="1" t="s">
        <v>2907</v>
      </c>
      <c r="I77" s="1" t="s">
        <v>16</v>
      </c>
    </row>
    <row r="78" ht="15.75" customHeight="1">
      <c r="A78" s="389"/>
      <c r="B78" s="362" t="s">
        <v>4180</v>
      </c>
      <c r="D78" s="146" t="s">
        <v>4207</v>
      </c>
      <c r="E78" s="363" t="s">
        <v>4208</v>
      </c>
      <c r="F78" s="1" t="s">
        <v>2494</v>
      </c>
      <c r="G78" s="1" t="s">
        <v>2495</v>
      </c>
      <c r="H78" s="319" t="s">
        <v>4112</v>
      </c>
      <c r="I78" s="1" t="s">
        <v>16</v>
      </c>
    </row>
    <row r="79" ht="15.75" customHeight="1">
      <c r="A79" s="389"/>
      <c r="D79" s="140" t="s">
        <v>4209</v>
      </c>
      <c r="E79" s="368" t="s">
        <v>4210</v>
      </c>
      <c r="F79" s="414" t="s">
        <v>2649</v>
      </c>
      <c r="G79" s="1" t="s">
        <v>2495</v>
      </c>
      <c r="H79" s="99" t="s">
        <v>4211</v>
      </c>
      <c r="I79" s="1" t="s">
        <v>16</v>
      </c>
    </row>
    <row r="80" ht="15.75" customHeight="1">
      <c r="A80" s="389"/>
      <c r="B80" s="362" t="s">
        <v>4212</v>
      </c>
      <c r="D80" s="146" t="s">
        <v>4213</v>
      </c>
      <c r="E80" s="363" t="s">
        <v>4214</v>
      </c>
      <c r="G80" s="1" t="s">
        <v>2495</v>
      </c>
      <c r="H80" s="319" t="s">
        <v>4112</v>
      </c>
    </row>
    <row r="81" ht="15.75" customHeight="1">
      <c r="A81" s="389"/>
      <c r="B81" s="1" t="s">
        <v>4215</v>
      </c>
      <c r="D81" s="140" t="s">
        <v>4216</v>
      </c>
      <c r="F81" s="1" t="s">
        <v>2494</v>
      </c>
      <c r="G81" s="1" t="s">
        <v>2495</v>
      </c>
      <c r="H81" s="1" t="s">
        <v>4014</v>
      </c>
      <c r="J81" s="1" t="s">
        <v>4217</v>
      </c>
    </row>
    <row r="82" ht="15.75" customHeight="1">
      <c r="A82" s="389"/>
      <c r="B82" s="1" t="s">
        <v>4218</v>
      </c>
      <c r="D82" s="146" t="s">
        <v>4219</v>
      </c>
      <c r="F82" s="1" t="s">
        <v>2494</v>
      </c>
      <c r="G82" s="1" t="s">
        <v>2495</v>
      </c>
      <c r="H82" s="1" t="s">
        <v>4014</v>
      </c>
      <c r="J82" s="1" t="s">
        <v>4220</v>
      </c>
    </row>
    <row r="83" ht="15.75" customHeight="1">
      <c r="A83" s="389"/>
      <c r="D83" s="138"/>
    </row>
    <row r="84" ht="15.75" customHeight="1">
      <c r="A84" s="389"/>
      <c r="D84" s="138"/>
    </row>
    <row r="85" ht="15.75" customHeight="1">
      <c r="A85" s="389"/>
      <c r="D85" s="138"/>
    </row>
    <row r="86" ht="15.75" customHeight="1">
      <c r="A86" s="389"/>
      <c r="D86" s="138"/>
    </row>
    <row r="87" ht="15.75" customHeight="1">
      <c r="A87" s="389"/>
      <c r="D87" s="138"/>
    </row>
    <row r="88" ht="15.75" customHeight="1">
      <c r="A88" s="389"/>
      <c r="D88" s="138"/>
    </row>
    <row r="89" ht="15.75" customHeight="1">
      <c r="A89" s="389"/>
      <c r="D89" s="138"/>
    </row>
    <row r="90" ht="15.75" customHeight="1">
      <c r="A90" s="389"/>
      <c r="D90" s="138"/>
    </row>
    <row r="91" ht="15.75" customHeight="1">
      <c r="A91" s="389"/>
      <c r="D91" s="138"/>
    </row>
    <row r="92" ht="15.75" customHeight="1">
      <c r="A92" s="389"/>
      <c r="D92" s="138"/>
    </row>
    <row r="93" ht="15.75" customHeight="1">
      <c r="A93" s="389"/>
      <c r="D93" s="138"/>
    </row>
    <row r="94" ht="15.75" customHeight="1">
      <c r="A94" s="389"/>
      <c r="D94" s="138"/>
    </row>
    <row r="95" ht="15.75" customHeight="1">
      <c r="A95" s="389"/>
      <c r="D95" s="138"/>
    </row>
    <row r="96" ht="15.75" customHeight="1">
      <c r="A96" s="389"/>
      <c r="D96" s="138"/>
    </row>
    <row r="97" ht="15.75" customHeight="1">
      <c r="A97" s="389"/>
      <c r="D97" s="138"/>
    </row>
    <row r="98" ht="15.75" customHeight="1">
      <c r="A98" s="389"/>
      <c r="D98" s="138"/>
    </row>
    <row r="99" ht="15.75" customHeight="1">
      <c r="A99" s="389"/>
      <c r="D99" s="138"/>
    </row>
    <row r="100" ht="15.75" customHeight="1">
      <c r="A100" s="389"/>
      <c r="D100" s="138"/>
    </row>
    <row r="101" ht="15.75" customHeight="1">
      <c r="A101" s="389"/>
      <c r="D101" s="138"/>
    </row>
    <row r="102" ht="15.75" customHeight="1">
      <c r="A102" s="389"/>
      <c r="D102" s="138"/>
    </row>
    <row r="103" ht="15.75" customHeight="1">
      <c r="A103" s="389"/>
      <c r="D103" s="138"/>
    </row>
    <row r="104" ht="15.75" customHeight="1">
      <c r="A104" s="389"/>
      <c r="D104" s="138"/>
    </row>
    <row r="105" ht="15.75" customHeight="1">
      <c r="A105" s="389"/>
      <c r="D105" s="138"/>
    </row>
    <row r="106" ht="15.75" customHeight="1">
      <c r="A106" s="389"/>
      <c r="D106" s="138"/>
    </row>
    <row r="107" ht="15.75" customHeight="1">
      <c r="A107" s="389"/>
      <c r="D107" s="138"/>
    </row>
    <row r="108" ht="15.75" customHeight="1">
      <c r="A108" s="389"/>
      <c r="D108" s="138"/>
    </row>
    <row r="109" ht="15.75" customHeight="1">
      <c r="A109" s="389"/>
      <c r="D109" s="138"/>
    </row>
    <row r="110" ht="15.75" customHeight="1">
      <c r="A110" s="389"/>
      <c r="D110" s="138"/>
    </row>
    <row r="111" ht="15.75" customHeight="1">
      <c r="A111" s="389"/>
      <c r="D111" s="138"/>
    </row>
    <row r="112" ht="15.75" customHeight="1">
      <c r="A112" s="389"/>
      <c r="D112" s="138"/>
    </row>
    <row r="113" ht="15.75" customHeight="1">
      <c r="A113" s="389"/>
      <c r="D113" s="138"/>
    </row>
    <row r="114" ht="15.75" customHeight="1">
      <c r="A114" s="389"/>
      <c r="D114" s="138"/>
    </row>
    <row r="115" ht="15.75" customHeight="1">
      <c r="A115" s="389"/>
      <c r="D115" s="138"/>
    </row>
    <row r="116" ht="15.75" customHeight="1">
      <c r="A116" s="389"/>
      <c r="D116" s="138"/>
    </row>
    <row r="117" ht="15.75" customHeight="1">
      <c r="A117" s="389"/>
      <c r="D117" s="138"/>
    </row>
    <row r="118" ht="15.75" customHeight="1">
      <c r="A118" s="389"/>
      <c r="D118" s="138"/>
    </row>
    <row r="119" ht="15.75" customHeight="1">
      <c r="A119" s="389"/>
      <c r="D119" s="138"/>
    </row>
    <row r="120" ht="15.75" customHeight="1">
      <c r="A120" s="389"/>
      <c r="D120" s="138"/>
    </row>
    <row r="121" ht="15.75" customHeight="1">
      <c r="A121" s="389"/>
      <c r="D121" s="138"/>
    </row>
    <row r="122" ht="15.75" customHeight="1">
      <c r="A122" s="389"/>
      <c r="D122" s="138"/>
    </row>
    <row r="123" ht="15.75" customHeight="1">
      <c r="A123" s="389"/>
      <c r="D123" s="138"/>
    </row>
    <row r="124" ht="15.75" customHeight="1">
      <c r="A124" s="389"/>
      <c r="D124" s="138"/>
    </row>
    <row r="125" ht="15.75" customHeight="1">
      <c r="A125" s="389"/>
      <c r="D125" s="138"/>
    </row>
    <row r="126" ht="15.75" customHeight="1">
      <c r="A126" s="389"/>
      <c r="D126" s="138"/>
    </row>
    <row r="127" ht="15.75" customHeight="1">
      <c r="A127" s="389"/>
      <c r="D127" s="138"/>
    </row>
    <row r="128" ht="15.75" customHeight="1">
      <c r="A128" s="389"/>
      <c r="D128" s="138"/>
    </row>
    <row r="129" ht="15.75" customHeight="1">
      <c r="A129" s="389"/>
      <c r="D129" s="138"/>
    </row>
    <row r="130" ht="15.75" customHeight="1">
      <c r="A130" s="389"/>
      <c r="D130" s="138"/>
    </row>
    <row r="131" ht="15.75" customHeight="1">
      <c r="A131" s="389"/>
      <c r="D131" s="138"/>
    </row>
    <row r="132" ht="15.75" customHeight="1">
      <c r="A132" s="389"/>
      <c r="D132" s="138"/>
    </row>
    <row r="133" ht="15.75" customHeight="1">
      <c r="A133" s="389"/>
      <c r="D133" s="138"/>
    </row>
    <row r="134" ht="15.75" customHeight="1">
      <c r="A134" s="389"/>
      <c r="D134" s="138"/>
    </row>
    <row r="135" ht="15.75" customHeight="1">
      <c r="A135" s="389"/>
      <c r="D135" s="138"/>
    </row>
    <row r="136" ht="15.75" customHeight="1">
      <c r="A136" s="389"/>
      <c r="D136" s="138"/>
    </row>
    <row r="137" ht="15.75" customHeight="1">
      <c r="A137" s="389"/>
      <c r="D137" s="138"/>
    </row>
    <row r="138" ht="15.75" customHeight="1">
      <c r="A138" s="389"/>
      <c r="D138" s="138"/>
    </row>
    <row r="139" ht="15.75" customHeight="1">
      <c r="A139" s="389"/>
      <c r="D139" s="138"/>
    </row>
    <row r="140" ht="15.75" customHeight="1">
      <c r="A140" s="389"/>
      <c r="D140" s="138"/>
    </row>
    <row r="141" ht="15.75" customHeight="1">
      <c r="A141" s="389"/>
      <c r="D141" s="138"/>
    </row>
    <row r="142" ht="15.75" customHeight="1">
      <c r="A142" s="389"/>
      <c r="D142" s="138"/>
    </row>
    <row r="143" ht="15.75" customHeight="1">
      <c r="A143" s="389"/>
      <c r="D143" s="138"/>
    </row>
    <row r="144" ht="15.75" customHeight="1">
      <c r="A144" s="389"/>
      <c r="D144" s="138"/>
    </row>
    <row r="145" ht="15.75" customHeight="1">
      <c r="A145" s="389"/>
      <c r="D145" s="138"/>
    </row>
    <row r="146" ht="15.75" customHeight="1">
      <c r="A146" s="389"/>
      <c r="D146" s="138"/>
    </row>
    <row r="147" ht="15.75" customHeight="1">
      <c r="A147" s="389"/>
      <c r="D147" s="138"/>
    </row>
    <row r="148" ht="15.75" customHeight="1">
      <c r="A148" s="389"/>
      <c r="D148" s="138"/>
    </row>
    <row r="149" ht="15.75" customHeight="1">
      <c r="A149" s="389"/>
      <c r="D149" s="138"/>
    </row>
    <row r="150" ht="15.75" customHeight="1">
      <c r="A150" s="389"/>
      <c r="D150" s="138"/>
    </row>
    <row r="151" ht="15.75" customHeight="1">
      <c r="A151" s="389"/>
      <c r="D151" s="138"/>
    </row>
    <row r="152" ht="15.75" customHeight="1">
      <c r="A152" s="389"/>
      <c r="D152" s="138"/>
    </row>
    <row r="153" ht="15.75" customHeight="1">
      <c r="A153" s="389"/>
      <c r="D153" s="138"/>
    </row>
    <row r="154" ht="15.75" customHeight="1">
      <c r="A154" s="389"/>
      <c r="D154" s="138"/>
    </row>
    <row r="155" ht="15.75" customHeight="1">
      <c r="A155" s="389"/>
      <c r="D155" s="138"/>
    </row>
    <row r="156" ht="15.75" customHeight="1">
      <c r="A156" s="389"/>
      <c r="D156" s="138"/>
    </row>
    <row r="157" ht="15.75" customHeight="1">
      <c r="A157" s="389"/>
      <c r="D157" s="138"/>
    </row>
    <row r="158" ht="15.75" customHeight="1">
      <c r="A158" s="389"/>
      <c r="D158" s="138"/>
    </row>
    <row r="159" ht="15.75" customHeight="1">
      <c r="A159" s="389"/>
      <c r="D159" s="138"/>
    </row>
    <row r="160" ht="15.75" customHeight="1">
      <c r="A160" s="389"/>
      <c r="D160" s="138"/>
    </row>
    <row r="161" ht="15.75" customHeight="1">
      <c r="A161" s="389"/>
      <c r="D161" s="138"/>
    </row>
    <row r="162" ht="15.75" customHeight="1">
      <c r="A162" s="389"/>
      <c r="D162" s="138"/>
    </row>
    <row r="163" ht="15.75" customHeight="1">
      <c r="A163" s="389"/>
      <c r="D163" s="138"/>
    </row>
    <row r="164" ht="15.75" customHeight="1">
      <c r="A164" s="389"/>
      <c r="D164" s="138"/>
    </row>
    <row r="165" ht="15.75" customHeight="1">
      <c r="A165" s="389"/>
      <c r="D165" s="138"/>
    </row>
    <row r="166" ht="15.75" customHeight="1">
      <c r="A166" s="389"/>
      <c r="D166" s="138"/>
    </row>
    <row r="167" ht="15.75" customHeight="1">
      <c r="A167" s="389"/>
      <c r="D167" s="138"/>
    </row>
    <row r="168" ht="15.75" customHeight="1">
      <c r="A168" s="389"/>
      <c r="D168" s="138"/>
    </row>
    <row r="169" ht="15.75" customHeight="1">
      <c r="A169" s="389"/>
      <c r="D169" s="138"/>
    </row>
    <row r="170" ht="15.75" customHeight="1">
      <c r="A170" s="389"/>
      <c r="D170" s="138"/>
    </row>
    <row r="171" ht="15.75" customHeight="1">
      <c r="A171" s="389"/>
      <c r="D171" s="138"/>
    </row>
    <row r="172" ht="15.75" customHeight="1">
      <c r="A172" s="389"/>
      <c r="D172" s="138"/>
    </row>
    <row r="173" ht="15.75" customHeight="1">
      <c r="A173" s="389"/>
      <c r="D173" s="138"/>
    </row>
    <row r="174" ht="15.75" customHeight="1">
      <c r="A174" s="389"/>
      <c r="D174" s="138"/>
    </row>
    <row r="175" ht="15.75" customHeight="1">
      <c r="A175" s="389"/>
      <c r="D175" s="138"/>
    </row>
    <row r="176" ht="15.75" customHeight="1">
      <c r="A176" s="389"/>
      <c r="D176" s="138"/>
    </row>
    <row r="177" ht="15.75" customHeight="1">
      <c r="A177" s="389"/>
      <c r="D177" s="138"/>
    </row>
    <row r="178" ht="15.75" customHeight="1">
      <c r="A178" s="389"/>
      <c r="D178" s="138"/>
    </row>
    <row r="179" ht="15.75" customHeight="1">
      <c r="A179" s="389"/>
      <c r="D179" s="138"/>
    </row>
    <row r="180" ht="15.75" customHeight="1">
      <c r="A180" s="389"/>
      <c r="D180" s="138"/>
    </row>
    <row r="181" ht="15.75" customHeight="1">
      <c r="A181" s="389"/>
      <c r="D181" s="138"/>
    </row>
    <row r="182" ht="15.75" customHeight="1">
      <c r="A182" s="389"/>
      <c r="D182" s="138"/>
    </row>
    <row r="183" ht="15.75" customHeight="1">
      <c r="A183" s="389"/>
      <c r="D183" s="138"/>
    </row>
    <row r="184" ht="15.75" customHeight="1">
      <c r="A184" s="389"/>
      <c r="D184" s="138"/>
    </row>
    <row r="185" ht="15.75" customHeight="1">
      <c r="A185" s="389"/>
      <c r="D185" s="138"/>
    </row>
    <row r="186" ht="15.75" customHeight="1">
      <c r="A186" s="389"/>
      <c r="D186" s="138"/>
    </row>
    <row r="187" ht="15.75" customHeight="1">
      <c r="A187" s="389"/>
      <c r="D187" s="138"/>
    </row>
    <row r="188" ht="15.75" customHeight="1">
      <c r="A188" s="389"/>
      <c r="D188" s="138"/>
    </row>
    <row r="189" ht="15.75" customHeight="1">
      <c r="A189" s="389"/>
      <c r="D189" s="138"/>
    </row>
    <row r="190" ht="15.75" customHeight="1">
      <c r="A190" s="389"/>
      <c r="D190" s="138"/>
    </row>
    <row r="191" ht="15.75" customHeight="1">
      <c r="A191" s="389"/>
      <c r="D191" s="138"/>
    </row>
    <row r="192" ht="15.75" customHeight="1">
      <c r="A192" s="389"/>
      <c r="D192" s="138"/>
    </row>
    <row r="193" ht="15.75" customHeight="1">
      <c r="A193" s="389"/>
      <c r="D193" s="138"/>
    </row>
    <row r="194" ht="15.75" customHeight="1">
      <c r="A194" s="389"/>
      <c r="D194" s="138"/>
    </row>
    <row r="195" ht="15.75" customHeight="1">
      <c r="A195" s="389"/>
      <c r="D195" s="138"/>
    </row>
    <row r="196" ht="15.75" customHeight="1">
      <c r="A196" s="389"/>
      <c r="D196" s="138"/>
    </row>
    <row r="197" ht="15.75" customHeight="1">
      <c r="A197" s="389"/>
      <c r="D197" s="138"/>
    </row>
    <row r="198" ht="15.75" customHeight="1">
      <c r="A198" s="389"/>
      <c r="D198" s="138"/>
    </row>
    <row r="199" ht="15.75" customHeight="1">
      <c r="A199" s="389"/>
      <c r="D199" s="138"/>
    </row>
    <row r="200" ht="15.75" customHeight="1">
      <c r="A200" s="389"/>
      <c r="D200" s="138"/>
    </row>
    <row r="201" ht="15.75" customHeight="1">
      <c r="A201" s="389"/>
      <c r="D201" s="138"/>
    </row>
    <row r="202" ht="15.75" customHeight="1">
      <c r="A202" s="389"/>
      <c r="D202" s="138"/>
    </row>
    <row r="203" ht="15.75" customHeight="1">
      <c r="A203" s="389"/>
      <c r="D203" s="138"/>
    </row>
    <row r="204" ht="15.75" customHeight="1">
      <c r="A204" s="389"/>
      <c r="D204" s="138"/>
    </row>
    <row r="205" ht="15.75" customHeight="1">
      <c r="A205" s="389"/>
      <c r="D205" s="138"/>
    </row>
    <row r="206" ht="15.75" customHeight="1">
      <c r="A206" s="389"/>
      <c r="D206" s="138"/>
    </row>
    <row r="207" ht="15.75" customHeight="1">
      <c r="A207" s="389"/>
      <c r="D207" s="138"/>
    </row>
    <row r="208" ht="15.75" customHeight="1">
      <c r="A208" s="389"/>
      <c r="D208" s="138"/>
    </row>
    <row r="209" ht="15.75" customHeight="1">
      <c r="A209" s="389"/>
      <c r="D209" s="138"/>
    </row>
    <row r="210" ht="15.75" customHeight="1">
      <c r="A210" s="389"/>
      <c r="D210" s="138"/>
    </row>
    <row r="211" ht="15.75" customHeight="1">
      <c r="A211" s="389"/>
      <c r="D211" s="138"/>
    </row>
    <row r="212" ht="15.75" customHeight="1">
      <c r="A212" s="389"/>
      <c r="D212" s="138"/>
    </row>
    <row r="213" ht="15.75" customHeight="1">
      <c r="A213" s="389"/>
      <c r="D213" s="138"/>
    </row>
    <row r="214" ht="15.75" customHeight="1">
      <c r="A214" s="389"/>
      <c r="D214" s="138"/>
    </row>
    <row r="215" ht="15.75" customHeight="1">
      <c r="A215" s="389"/>
      <c r="D215" s="138"/>
    </row>
    <row r="216" ht="15.75" customHeight="1">
      <c r="A216" s="389"/>
      <c r="D216" s="138"/>
    </row>
    <row r="217" ht="15.75" customHeight="1">
      <c r="A217" s="389"/>
      <c r="D217" s="138"/>
    </row>
    <row r="218" ht="15.75" customHeight="1">
      <c r="A218" s="389"/>
      <c r="D218" s="138"/>
    </row>
    <row r="219" ht="15.75" customHeight="1">
      <c r="A219" s="389"/>
      <c r="D219" s="138"/>
    </row>
    <row r="220" ht="15.75" customHeight="1">
      <c r="A220" s="389"/>
      <c r="D220" s="138"/>
    </row>
    <row r="221" ht="15.75" customHeight="1">
      <c r="A221" s="389"/>
      <c r="D221" s="138"/>
    </row>
    <row r="222" ht="15.75" customHeight="1">
      <c r="A222" s="389"/>
      <c r="D222" s="138"/>
    </row>
    <row r="223" ht="15.75" customHeight="1">
      <c r="A223" s="389"/>
      <c r="D223" s="138"/>
    </row>
    <row r="224" ht="15.75" customHeight="1">
      <c r="A224" s="389"/>
      <c r="D224" s="138"/>
    </row>
    <row r="225" ht="15.75" customHeight="1">
      <c r="A225" s="389"/>
      <c r="D225" s="138"/>
    </row>
    <row r="226" ht="15.75" customHeight="1">
      <c r="A226" s="389"/>
      <c r="D226" s="138"/>
    </row>
    <row r="227" ht="15.75" customHeight="1">
      <c r="A227" s="389"/>
      <c r="D227" s="138"/>
    </row>
    <row r="228" ht="15.75" customHeight="1">
      <c r="A228" s="389"/>
      <c r="D228" s="138"/>
    </row>
    <row r="229" ht="15.75" customHeight="1">
      <c r="A229" s="389"/>
      <c r="D229" s="138"/>
    </row>
    <row r="230" ht="15.75" customHeight="1">
      <c r="A230" s="389"/>
      <c r="D230" s="138"/>
    </row>
    <row r="231" ht="15.75" customHeight="1">
      <c r="A231" s="389"/>
      <c r="D231" s="138"/>
    </row>
    <row r="232" ht="15.75" customHeight="1">
      <c r="A232" s="389"/>
      <c r="D232" s="138"/>
    </row>
    <row r="233" ht="15.75" customHeight="1">
      <c r="A233" s="389"/>
      <c r="D233" s="138"/>
    </row>
    <row r="234" ht="15.75" customHeight="1">
      <c r="A234" s="389"/>
      <c r="D234" s="138"/>
    </row>
    <row r="235" ht="15.75" customHeight="1">
      <c r="A235" s="389"/>
      <c r="D235" s="138"/>
    </row>
    <row r="236" ht="15.75" customHeight="1">
      <c r="A236" s="389"/>
      <c r="D236" s="138"/>
    </row>
    <row r="237" ht="15.75" customHeight="1">
      <c r="A237" s="389"/>
      <c r="D237" s="138"/>
    </row>
    <row r="238" ht="15.75" customHeight="1">
      <c r="A238" s="389"/>
      <c r="D238" s="138"/>
    </row>
    <row r="239" ht="15.75" customHeight="1">
      <c r="A239" s="389"/>
      <c r="D239" s="138"/>
    </row>
    <row r="240" ht="15.75" customHeight="1">
      <c r="A240" s="389"/>
      <c r="D240" s="138"/>
    </row>
    <row r="241" ht="15.75" customHeight="1">
      <c r="A241" s="389"/>
      <c r="D241" s="138"/>
    </row>
    <row r="242" ht="15.75" customHeight="1">
      <c r="A242" s="389"/>
      <c r="D242" s="138"/>
    </row>
    <row r="243" ht="15.75" customHeight="1">
      <c r="A243" s="389"/>
      <c r="D243" s="138"/>
    </row>
    <row r="244" ht="15.75" customHeight="1">
      <c r="A244" s="389"/>
      <c r="D244" s="138"/>
    </row>
    <row r="245" ht="15.75" customHeight="1">
      <c r="A245" s="389"/>
      <c r="D245" s="138"/>
    </row>
    <row r="246" ht="15.75" customHeight="1">
      <c r="A246" s="389"/>
      <c r="D246" s="138"/>
    </row>
    <row r="247" ht="15.75" customHeight="1">
      <c r="A247" s="389"/>
      <c r="D247" s="138"/>
    </row>
    <row r="248" ht="15.75" customHeight="1">
      <c r="A248" s="389"/>
      <c r="D248" s="138"/>
    </row>
    <row r="249" ht="15.75" customHeight="1">
      <c r="A249" s="389"/>
      <c r="D249" s="138"/>
    </row>
    <row r="250" ht="15.75" customHeight="1">
      <c r="A250" s="389"/>
      <c r="D250" s="138"/>
    </row>
    <row r="251" ht="15.75" customHeight="1">
      <c r="A251" s="389"/>
      <c r="D251" s="138"/>
    </row>
    <row r="252" ht="15.75" customHeight="1">
      <c r="A252" s="389"/>
      <c r="D252" s="138"/>
    </row>
    <row r="253" ht="15.75" customHeight="1">
      <c r="A253" s="389"/>
      <c r="D253" s="138"/>
    </row>
    <row r="254" ht="15.75" customHeight="1">
      <c r="A254" s="389"/>
      <c r="D254" s="138"/>
    </row>
    <row r="255" ht="15.75" customHeight="1">
      <c r="A255" s="389"/>
      <c r="D255" s="138"/>
    </row>
    <row r="256" ht="15.75" customHeight="1">
      <c r="A256" s="389"/>
      <c r="D256" s="138"/>
    </row>
    <row r="257" ht="15.75" customHeight="1">
      <c r="A257" s="389"/>
      <c r="D257" s="138"/>
    </row>
    <row r="258" ht="15.75" customHeight="1">
      <c r="A258" s="389"/>
      <c r="D258" s="138"/>
    </row>
    <row r="259" ht="15.75" customHeight="1">
      <c r="A259" s="389"/>
      <c r="D259" s="138"/>
    </row>
    <row r="260" ht="15.75" customHeight="1">
      <c r="A260" s="389"/>
      <c r="D260" s="138"/>
    </row>
    <row r="261" ht="15.75" customHeight="1">
      <c r="A261" s="389"/>
      <c r="D261" s="138"/>
    </row>
    <row r="262" ht="15.75" customHeight="1">
      <c r="A262" s="389"/>
      <c r="D262" s="138"/>
    </row>
    <row r="263" ht="15.75" customHeight="1">
      <c r="A263" s="389"/>
      <c r="D263" s="138"/>
    </row>
    <row r="264" ht="15.75" customHeight="1">
      <c r="A264" s="389"/>
      <c r="D264" s="138"/>
    </row>
    <row r="265" ht="15.75" customHeight="1">
      <c r="A265" s="389"/>
      <c r="D265" s="138"/>
    </row>
    <row r="266" ht="15.75" customHeight="1">
      <c r="A266" s="389"/>
      <c r="D266" s="138"/>
    </row>
    <row r="267" ht="15.75" customHeight="1">
      <c r="A267" s="389"/>
      <c r="D267" s="138"/>
    </row>
    <row r="268" ht="15.75" customHeight="1">
      <c r="A268" s="389"/>
      <c r="D268" s="138"/>
    </row>
    <row r="269" ht="15.75" customHeight="1">
      <c r="A269" s="389"/>
      <c r="D269" s="138"/>
    </row>
    <row r="270" ht="15.75" customHeight="1">
      <c r="A270" s="389"/>
      <c r="D270" s="138"/>
    </row>
    <row r="271" ht="15.75" customHeight="1">
      <c r="A271" s="389"/>
      <c r="D271" s="138"/>
    </row>
    <row r="272" ht="15.75" customHeight="1">
      <c r="A272" s="389"/>
      <c r="D272" s="138"/>
    </row>
    <row r="273" ht="15.75" customHeight="1">
      <c r="A273" s="389"/>
      <c r="D273" s="138"/>
    </row>
    <row r="274" ht="15.75" customHeight="1">
      <c r="A274" s="389"/>
      <c r="D274" s="138"/>
    </row>
    <row r="275" ht="15.75" customHeight="1">
      <c r="A275" s="389"/>
      <c r="D275" s="138"/>
    </row>
    <row r="276" ht="15.75" customHeight="1">
      <c r="A276" s="389"/>
      <c r="D276" s="138"/>
    </row>
    <row r="277" ht="15.75" customHeight="1">
      <c r="A277" s="389"/>
      <c r="D277" s="138"/>
    </row>
    <row r="278" ht="15.75" customHeight="1">
      <c r="A278" s="389"/>
      <c r="D278" s="138"/>
    </row>
    <row r="279" ht="15.75" customHeight="1">
      <c r="A279" s="389"/>
      <c r="D279" s="138"/>
    </row>
    <row r="280" ht="15.75" customHeight="1">
      <c r="A280" s="389"/>
      <c r="D280" s="138"/>
    </row>
    <row r="281" ht="15.75" customHeight="1">
      <c r="A281" s="389"/>
      <c r="D281" s="138"/>
    </row>
    <row r="282" ht="15.75" customHeight="1">
      <c r="A282" s="389"/>
      <c r="D282" s="138"/>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BA0E9E-9FB3-4FB8-A09F-7C7FE5B5274A}" filter="1" showAutoFilter="1">
      <autoFilter ref="$D$1:$D$282"/>
      <extLst>
        <ext uri="GoogleSheetsCustomDataVersion1">
          <go:sheetsCustomData xmlns:go="http://customooxmlschemas.google.com/" filterViewId="553882962"/>
        </ext>
      </extLst>
    </customSheetView>
  </customSheetViews>
  <hyperlinks>
    <hyperlink r:id="rId1" ref="E3"/>
    <hyperlink r:id="rId2" ref="E4"/>
    <hyperlink r:id="rId3" ref="E8"/>
    <hyperlink r:id="rId4" ref="E9"/>
    <hyperlink r:id="rId5" ref="E10"/>
    <hyperlink r:id="rId6" ref="E12"/>
    <hyperlink r:id="rId7" ref="E20"/>
    <hyperlink r:id="rId8" ref="E21"/>
    <hyperlink r:id="rId9" ref="E23"/>
    <hyperlink r:id="rId10" ref="E24"/>
    <hyperlink r:id="rId11" ref="E27"/>
    <hyperlink r:id="rId12" ref="E28"/>
    <hyperlink r:id="rId13" ref="E29"/>
    <hyperlink r:id="rId14" ref="E30"/>
    <hyperlink r:id="rId15" ref="E31"/>
    <hyperlink r:id="rId16" ref="E32"/>
    <hyperlink r:id="rId17" ref="H34"/>
    <hyperlink r:id="rId18" ref="E38"/>
    <hyperlink r:id="rId19" ref="E39"/>
    <hyperlink r:id="rId20" ref="E41"/>
    <hyperlink r:id="rId21" ref="E42"/>
    <hyperlink r:id="rId22" ref="E44"/>
    <hyperlink r:id="rId23" ref="E46"/>
    <hyperlink r:id="rId24" ref="E47"/>
    <hyperlink r:id="rId25" ref="E49"/>
    <hyperlink r:id="rId26" ref="E51"/>
    <hyperlink r:id="rId27" ref="E52"/>
    <hyperlink r:id="rId28" ref="E54"/>
    <hyperlink r:id="rId29" ref="E55"/>
    <hyperlink r:id="rId30" ref="E56"/>
    <hyperlink r:id="rId31" ref="E57"/>
    <hyperlink r:id="rId32" ref="H57"/>
    <hyperlink r:id="rId33" ref="E59"/>
    <hyperlink r:id="rId34" ref="H59"/>
    <hyperlink r:id="rId35" ref="E61"/>
    <hyperlink r:id="rId36" ref="E63"/>
    <hyperlink r:id="rId37" ref="E65"/>
    <hyperlink r:id="rId38" ref="E66"/>
    <hyperlink r:id="rId39" ref="H66"/>
    <hyperlink r:id="rId40" ref="H67"/>
    <hyperlink r:id="rId41" ref="E69"/>
    <hyperlink r:id="rId42" ref="H69"/>
    <hyperlink r:id="rId43" ref="E70"/>
    <hyperlink r:id="rId44" ref="E72"/>
    <hyperlink r:id="rId45" ref="E74"/>
    <hyperlink r:id="rId46" ref="E76"/>
    <hyperlink r:id="rId47" ref="E77"/>
    <hyperlink r:id="rId48" ref="E78"/>
    <hyperlink r:id="rId49" ref="H78"/>
    <hyperlink r:id="rId50" ref="E79"/>
    <hyperlink r:id="rId51" ref="E80"/>
    <hyperlink r:id="rId52" ref="H80"/>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4.38"/>
    <col customWidth="1" min="5" max="5" width="36.63"/>
    <col customWidth="1" min="6" max="6" width="14.38"/>
    <col customWidth="1" min="7" max="7" width="8.0"/>
    <col customWidth="1" min="8" max="8" width="14.38"/>
    <col customWidth="1" min="9" max="9" width="34.75"/>
    <col customWidth="1" min="10" max="31" width="14.38"/>
  </cols>
  <sheetData>
    <row r="1" ht="15.75" customHeight="1">
      <c r="A1" s="415" t="s">
        <v>1345</v>
      </c>
      <c r="B1" s="416" t="s">
        <v>3</v>
      </c>
      <c r="C1" s="416" t="s">
        <v>2101</v>
      </c>
      <c r="D1" s="416" t="s">
        <v>171</v>
      </c>
      <c r="E1" s="416" t="s">
        <v>4</v>
      </c>
      <c r="F1" s="416" t="s">
        <v>172</v>
      </c>
      <c r="G1" s="416" t="s">
        <v>174</v>
      </c>
      <c r="H1" s="417" t="s">
        <v>175</v>
      </c>
      <c r="I1" s="416" t="s">
        <v>9</v>
      </c>
      <c r="J1" s="203"/>
      <c r="K1" s="31"/>
      <c r="L1" s="31"/>
      <c r="M1" s="31"/>
      <c r="N1" s="31"/>
      <c r="O1" s="31"/>
      <c r="P1" s="31"/>
      <c r="Q1" s="31"/>
      <c r="R1" s="31"/>
      <c r="S1" s="31"/>
      <c r="T1" s="31"/>
      <c r="U1" s="31"/>
      <c r="V1" s="31"/>
      <c r="W1" s="31"/>
      <c r="X1" s="31"/>
      <c r="Y1" s="31"/>
      <c r="Z1" s="31"/>
      <c r="AA1" s="31"/>
      <c r="AB1" s="31"/>
      <c r="AC1" s="31"/>
      <c r="AD1" s="31"/>
      <c r="AE1" s="31"/>
    </row>
    <row r="2" ht="15.75" hidden="1" customHeight="1">
      <c r="A2" s="334">
        <v>43132.0</v>
      </c>
      <c r="B2" s="335"/>
      <c r="C2" s="335"/>
      <c r="D2" s="335"/>
      <c r="E2" s="335"/>
      <c r="F2" s="337"/>
      <c r="G2" s="337"/>
      <c r="H2" s="335"/>
      <c r="I2" s="335"/>
      <c r="J2" s="335"/>
      <c r="K2" s="335"/>
      <c r="L2" s="335"/>
      <c r="M2" s="335"/>
      <c r="N2" s="335"/>
      <c r="O2" s="335"/>
      <c r="P2" s="335"/>
      <c r="Q2" s="335"/>
      <c r="R2" s="335"/>
      <c r="S2" s="335"/>
      <c r="T2" s="335"/>
      <c r="U2" s="335"/>
      <c r="V2" s="335"/>
      <c r="W2" s="335"/>
      <c r="X2" s="335"/>
      <c r="Y2" s="335"/>
      <c r="Z2" s="335"/>
      <c r="AA2" s="335"/>
      <c r="AB2" s="335"/>
      <c r="AC2" s="335"/>
      <c r="AD2" s="335"/>
      <c r="AE2" s="335"/>
    </row>
    <row r="3" ht="15.75" customHeight="1">
      <c r="A3" s="335"/>
      <c r="B3" s="343" t="s">
        <v>4221</v>
      </c>
      <c r="C3" s="335"/>
      <c r="D3" s="418" t="s">
        <v>4222</v>
      </c>
      <c r="E3" s="344" t="s">
        <v>4223</v>
      </c>
      <c r="F3" s="337" t="s">
        <v>2494</v>
      </c>
      <c r="G3" s="337" t="s">
        <v>2494</v>
      </c>
      <c r="H3" s="335" t="s">
        <v>4224</v>
      </c>
      <c r="I3" s="335" t="s">
        <v>4225</v>
      </c>
      <c r="J3" s="335"/>
      <c r="K3" s="335"/>
      <c r="L3" s="335"/>
      <c r="M3" s="335"/>
      <c r="N3" s="335"/>
      <c r="O3" s="335"/>
      <c r="P3" s="335"/>
      <c r="Q3" s="335"/>
      <c r="R3" s="335"/>
      <c r="S3" s="335"/>
      <c r="T3" s="335"/>
      <c r="U3" s="335"/>
      <c r="V3" s="335"/>
      <c r="W3" s="335"/>
      <c r="X3" s="335"/>
      <c r="Y3" s="335"/>
      <c r="Z3" s="335"/>
      <c r="AA3" s="335"/>
      <c r="AB3" s="335"/>
      <c r="AC3" s="335"/>
      <c r="AD3" s="335"/>
      <c r="AE3" s="335"/>
    </row>
    <row r="4" ht="15.75" hidden="1" customHeight="1">
      <c r="A4" s="334">
        <v>43154.0</v>
      </c>
      <c r="B4" s="335"/>
      <c r="C4" s="335"/>
      <c r="D4" s="335"/>
      <c r="E4" s="335"/>
      <c r="F4" s="337"/>
      <c r="G4" s="337"/>
      <c r="H4" s="335"/>
      <c r="I4" s="335"/>
      <c r="J4" s="335"/>
      <c r="K4" s="335"/>
      <c r="L4" s="335"/>
      <c r="M4" s="335"/>
      <c r="N4" s="335"/>
      <c r="O4" s="335"/>
      <c r="P4" s="335"/>
      <c r="Q4" s="335"/>
      <c r="R4" s="335"/>
      <c r="S4" s="335"/>
      <c r="T4" s="335"/>
      <c r="U4" s="335"/>
      <c r="V4" s="335"/>
      <c r="W4" s="335"/>
      <c r="X4" s="335"/>
      <c r="Y4" s="335"/>
      <c r="Z4" s="335"/>
      <c r="AA4" s="335"/>
      <c r="AB4" s="335"/>
      <c r="AC4" s="335"/>
      <c r="AD4" s="335"/>
      <c r="AE4" s="335"/>
    </row>
    <row r="5" ht="15.75" customHeight="1">
      <c r="A5" s="335"/>
      <c r="B5" s="335" t="s">
        <v>4226</v>
      </c>
      <c r="C5" s="335"/>
      <c r="D5" s="418" t="s">
        <v>4227</v>
      </c>
      <c r="E5" s="342" t="s">
        <v>4228</v>
      </c>
      <c r="F5" s="337"/>
      <c r="G5" s="337" t="s">
        <v>2504</v>
      </c>
      <c r="H5" s="335"/>
      <c r="I5" s="356" t="s">
        <v>4229</v>
      </c>
      <c r="J5" s="335" t="s">
        <v>16</v>
      </c>
      <c r="K5" s="335"/>
      <c r="L5" s="335"/>
      <c r="M5" s="335"/>
      <c r="N5" s="335"/>
      <c r="O5" s="335"/>
      <c r="P5" s="335"/>
      <c r="Q5" s="335"/>
      <c r="R5" s="335"/>
      <c r="S5" s="335"/>
      <c r="T5" s="335"/>
      <c r="U5" s="335"/>
      <c r="V5" s="335"/>
      <c r="W5" s="335"/>
      <c r="X5" s="335"/>
      <c r="Y5" s="335"/>
      <c r="Z5" s="335"/>
      <c r="AA5" s="335"/>
      <c r="AB5" s="335"/>
      <c r="AC5" s="335"/>
      <c r="AD5" s="335"/>
      <c r="AE5" s="335"/>
    </row>
    <row r="6" ht="15.75" hidden="1" customHeight="1">
      <c r="A6" s="335"/>
      <c r="B6" s="343" t="s">
        <v>4230</v>
      </c>
      <c r="C6" s="335"/>
      <c r="D6" s="419" t="s">
        <v>4231</v>
      </c>
      <c r="E6" s="344" t="s">
        <v>4232</v>
      </c>
      <c r="F6" s="337"/>
      <c r="G6" s="337" t="s">
        <v>2494</v>
      </c>
      <c r="H6" s="335"/>
      <c r="I6" s="360" t="s">
        <v>4233</v>
      </c>
      <c r="J6" s="335" t="s">
        <v>4234</v>
      </c>
      <c r="K6" s="335"/>
      <c r="L6" s="335"/>
      <c r="M6" s="335"/>
      <c r="N6" s="335"/>
      <c r="O6" s="335"/>
      <c r="P6" s="335"/>
      <c r="Q6" s="335"/>
      <c r="R6" s="335"/>
      <c r="S6" s="335"/>
      <c r="T6" s="335"/>
      <c r="U6" s="335"/>
      <c r="V6" s="335"/>
      <c r="W6" s="335"/>
      <c r="X6" s="335"/>
      <c r="Y6" s="335"/>
      <c r="Z6" s="335"/>
      <c r="AA6" s="335"/>
      <c r="AB6" s="335"/>
      <c r="AC6" s="335"/>
      <c r="AD6" s="335"/>
      <c r="AE6" s="335"/>
    </row>
    <row r="7" ht="15.75" customHeight="1">
      <c r="A7" s="335"/>
      <c r="B7" s="343" t="s">
        <v>4235</v>
      </c>
      <c r="C7" s="335"/>
      <c r="D7" s="418" t="s">
        <v>4236</v>
      </c>
      <c r="E7" s="344" t="s">
        <v>4237</v>
      </c>
      <c r="F7" s="337"/>
      <c r="G7" s="337" t="s">
        <v>2494</v>
      </c>
      <c r="H7" s="335"/>
      <c r="I7" s="335" t="s">
        <v>4238</v>
      </c>
      <c r="J7" s="335" t="s">
        <v>16</v>
      </c>
      <c r="K7" s="335"/>
      <c r="L7" s="335"/>
      <c r="M7" s="335"/>
      <c r="N7" s="335"/>
      <c r="O7" s="335"/>
      <c r="P7" s="335"/>
      <c r="Q7" s="335"/>
      <c r="R7" s="335"/>
      <c r="S7" s="335"/>
      <c r="T7" s="335"/>
      <c r="U7" s="335"/>
      <c r="V7" s="335"/>
      <c r="W7" s="335"/>
      <c r="X7" s="335"/>
      <c r="Y7" s="335"/>
      <c r="Z7" s="335"/>
      <c r="AA7" s="335"/>
      <c r="AB7" s="335"/>
      <c r="AC7" s="335"/>
      <c r="AD7" s="335"/>
      <c r="AE7" s="335"/>
    </row>
    <row r="8" ht="15.75" customHeight="1">
      <c r="A8" s="335"/>
      <c r="B8" s="343" t="s">
        <v>4239</v>
      </c>
      <c r="C8" s="335"/>
      <c r="D8" s="418" t="s">
        <v>4240</v>
      </c>
      <c r="E8" s="344" t="s">
        <v>4241</v>
      </c>
      <c r="F8" s="337"/>
      <c r="G8" s="337" t="s">
        <v>2494</v>
      </c>
      <c r="H8" s="335"/>
      <c r="I8" s="335" t="s">
        <v>4238</v>
      </c>
      <c r="J8" s="335" t="s">
        <v>16</v>
      </c>
      <c r="K8" s="335"/>
      <c r="L8" s="335"/>
      <c r="M8" s="335"/>
      <c r="N8" s="335"/>
      <c r="O8" s="335"/>
      <c r="P8" s="335"/>
      <c r="Q8" s="335"/>
      <c r="R8" s="335"/>
      <c r="S8" s="335"/>
      <c r="T8" s="335"/>
      <c r="U8" s="335"/>
      <c r="V8" s="335"/>
      <c r="W8" s="335"/>
      <c r="X8" s="335"/>
      <c r="Y8" s="335"/>
      <c r="Z8" s="335"/>
      <c r="AA8" s="335"/>
      <c r="AB8" s="335"/>
      <c r="AC8" s="335"/>
      <c r="AD8" s="335"/>
      <c r="AE8" s="335"/>
    </row>
    <row r="9" ht="15.75" hidden="1" customHeight="1">
      <c r="A9" s="335"/>
      <c r="B9" s="335" t="s">
        <v>2814</v>
      </c>
      <c r="C9" s="335"/>
      <c r="D9" s="419" t="s">
        <v>4242</v>
      </c>
      <c r="E9" s="342" t="s">
        <v>4243</v>
      </c>
      <c r="F9" s="337"/>
      <c r="G9" s="337" t="s">
        <v>2504</v>
      </c>
      <c r="H9" s="335"/>
      <c r="I9" s="335" t="s">
        <v>4244</v>
      </c>
      <c r="J9" s="335" t="s">
        <v>4234</v>
      </c>
      <c r="K9" s="335"/>
      <c r="L9" s="335"/>
      <c r="M9" s="335"/>
      <c r="N9" s="335"/>
      <c r="O9" s="335"/>
      <c r="P9" s="335"/>
      <c r="Q9" s="335"/>
      <c r="R9" s="335"/>
      <c r="S9" s="335"/>
      <c r="T9" s="335"/>
      <c r="U9" s="335"/>
      <c r="V9" s="335"/>
      <c r="W9" s="335"/>
      <c r="X9" s="335"/>
      <c r="Y9" s="335"/>
      <c r="Z9" s="335"/>
      <c r="AA9" s="335"/>
      <c r="AB9" s="335"/>
      <c r="AC9" s="335"/>
      <c r="AD9" s="335"/>
      <c r="AE9" s="335"/>
    </row>
    <row r="10" ht="15.75" customHeight="1">
      <c r="A10" s="335"/>
      <c r="B10" s="335" t="s">
        <v>4245</v>
      </c>
      <c r="C10" s="335" t="s">
        <v>9</v>
      </c>
      <c r="D10" s="418" t="s">
        <v>4246</v>
      </c>
      <c r="E10" s="335"/>
      <c r="F10" s="337"/>
      <c r="G10" s="337" t="s">
        <v>2494</v>
      </c>
      <c r="H10" s="335"/>
      <c r="I10" s="335" t="s">
        <v>4247</v>
      </c>
      <c r="J10" s="335"/>
      <c r="K10" s="341" t="s">
        <v>4248</v>
      </c>
      <c r="L10" s="335"/>
      <c r="M10" s="335"/>
      <c r="N10" s="335"/>
      <c r="O10" s="335"/>
      <c r="P10" s="335"/>
      <c r="Q10" s="335"/>
      <c r="R10" s="335"/>
      <c r="S10" s="335"/>
      <c r="T10" s="335"/>
      <c r="U10" s="335"/>
      <c r="V10" s="335"/>
      <c r="W10" s="335"/>
      <c r="X10" s="335"/>
      <c r="Y10" s="335"/>
      <c r="Z10" s="335"/>
      <c r="AA10" s="335"/>
      <c r="AB10" s="335"/>
      <c r="AC10" s="335"/>
      <c r="AD10" s="335"/>
      <c r="AE10" s="335"/>
    </row>
    <row r="11" ht="15.75" hidden="1" customHeight="1">
      <c r="A11" s="334">
        <v>43135.0</v>
      </c>
      <c r="B11" s="335"/>
      <c r="C11" s="335"/>
      <c r="D11" s="335"/>
      <c r="E11" s="335"/>
      <c r="F11" s="337"/>
      <c r="G11" s="337"/>
      <c r="H11" s="335"/>
      <c r="I11" s="335"/>
      <c r="J11" s="335"/>
      <c r="K11" s="335"/>
      <c r="L11" s="335"/>
      <c r="M11" s="335"/>
      <c r="N11" s="335"/>
      <c r="O11" s="335"/>
      <c r="P11" s="335"/>
      <c r="Q11" s="335"/>
      <c r="R11" s="335"/>
      <c r="S11" s="335"/>
      <c r="T11" s="335"/>
      <c r="U11" s="335"/>
      <c r="V11" s="335"/>
      <c r="W11" s="335"/>
      <c r="X11" s="335"/>
      <c r="Y11" s="335"/>
      <c r="Z11" s="335"/>
      <c r="AA11" s="335"/>
      <c r="AB11" s="335"/>
      <c r="AC11" s="335"/>
      <c r="AD11" s="335"/>
      <c r="AE11" s="335"/>
    </row>
    <row r="12" ht="15.75" customHeight="1">
      <c r="A12" s="335"/>
      <c r="B12" s="343" t="s">
        <v>4249</v>
      </c>
      <c r="C12" s="335"/>
      <c r="D12" s="418" t="s">
        <v>4250</v>
      </c>
      <c r="E12" s="344" t="s">
        <v>4251</v>
      </c>
      <c r="F12" s="337"/>
      <c r="G12" s="337" t="s">
        <v>2494</v>
      </c>
      <c r="H12" s="335"/>
      <c r="I12" s="335" t="s">
        <v>4252</v>
      </c>
      <c r="J12" s="335" t="s">
        <v>1679</v>
      </c>
      <c r="K12" s="335"/>
      <c r="L12" s="335"/>
      <c r="M12" s="335"/>
      <c r="N12" s="335"/>
      <c r="O12" s="335"/>
      <c r="P12" s="335"/>
      <c r="Q12" s="335"/>
      <c r="R12" s="335"/>
      <c r="S12" s="335"/>
      <c r="T12" s="335"/>
      <c r="U12" s="335"/>
      <c r="V12" s="335"/>
      <c r="W12" s="335"/>
      <c r="X12" s="335"/>
      <c r="Y12" s="335"/>
      <c r="Z12" s="335"/>
      <c r="AA12" s="335"/>
      <c r="AB12" s="335"/>
      <c r="AC12" s="335"/>
      <c r="AD12" s="335"/>
      <c r="AE12" s="335"/>
    </row>
    <row r="13" ht="15.75" hidden="1" customHeight="1">
      <c r="A13" s="335"/>
      <c r="B13" s="420" t="s">
        <v>2814</v>
      </c>
      <c r="C13" s="203"/>
      <c r="D13" s="421" t="s">
        <v>4253</v>
      </c>
      <c r="E13" s="335"/>
      <c r="F13" s="337"/>
      <c r="G13" s="337" t="s">
        <v>2504</v>
      </c>
      <c r="H13" s="335"/>
      <c r="I13" s="335" t="s">
        <v>4254</v>
      </c>
      <c r="J13" s="335" t="s">
        <v>4255</v>
      </c>
      <c r="K13" s="335"/>
      <c r="L13" s="335"/>
      <c r="M13" s="335"/>
      <c r="N13" s="335"/>
      <c r="O13" s="335"/>
      <c r="P13" s="335"/>
      <c r="Q13" s="335"/>
      <c r="R13" s="335"/>
      <c r="S13" s="335"/>
      <c r="T13" s="335"/>
      <c r="U13" s="335"/>
      <c r="V13" s="335"/>
      <c r="W13" s="335"/>
      <c r="X13" s="335"/>
      <c r="Y13" s="335"/>
      <c r="Z13" s="335"/>
      <c r="AA13" s="335"/>
      <c r="AB13" s="335"/>
      <c r="AC13" s="335"/>
      <c r="AD13" s="335"/>
      <c r="AE13" s="335"/>
    </row>
    <row r="14" ht="15.75" hidden="1" customHeight="1">
      <c r="A14" s="334">
        <v>43136.0</v>
      </c>
      <c r="B14" s="335"/>
      <c r="C14" s="335"/>
      <c r="D14" s="335"/>
      <c r="E14" s="335"/>
      <c r="F14" s="337"/>
      <c r="G14" s="337"/>
      <c r="H14" s="335"/>
      <c r="I14" s="335"/>
      <c r="J14" s="335"/>
      <c r="K14" s="335"/>
      <c r="L14" s="335"/>
      <c r="M14" s="335"/>
      <c r="N14" s="335"/>
      <c r="O14" s="335"/>
      <c r="P14" s="335"/>
      <c r="Q14" s="335"/>
      <c r="R14" s="335"/>
      <c r="S14" s="335"/>
      <c r="T14" s="335"/>
      <c r="U14" s="335"/>
      <c r="V14" s="335"/>
      <c r="W14" s="335"/>
      <c r="X14" s="335"/>
      <c r="Y14" s="335"/>
      <c r="Z14" s="335"/>
      <c r="AA14" s="335"/>
      <c r="AB14" s="335"/>
      <c r="AC14" s="335"/>
      <c r="AD14" s="335"/>
      <c r="AE14" s="335"/>
    </row>
    <row r="15" ht="15.75" customHeight="1">
      <c r="A15" s="335"/>
      <c r="B15" s="343" t="s">
        <v>4256</v>
      </c>
      <c r="C15" s="335"/>
      <c r="D15" s="418" t="s">
        <v>4257</v>
      </c>
      <c r="E15" s="344" t="s">
        <v>4258</v>
      </c>
      <c r="F15" s="337"/>
      <c r="G15" s="337" t="s">
        <v>2494</v>
      </c>
      <c r="H15" s="335"/>
      <c r="I15" s="335" t="s">
        <v>4259</v>
      </c>
      <c r="J15" s="335" t="s">
        <v>16</v>
      </c>
      <c r="K15" s="335"/>
      <c r="L15" s="335"/>
      <c r="M15" s="335"/>
      <c r="N15" s="335"/>
      <c r="O15" s="335"/>
      <c r="P15" s="335"/>
      <c r="Q15" s="335"/>
      <c r="R15" s="335"/>
      <c r="S15" s="335"/>
      <c r="T15" s="335"/>
      <c r="U15" s="335"/>
      <c r="V15" s="335"/>
      <c r="W15" s="335"/>
      <c r="X15" s="335"/>
      <c r="Y15" s="335"/>
      <c r="Z15" s="335"/>
      <c r="AA15" s="335"/>
      <c r="AB15" s="335"/>
      <c r="AC15" s="335"/>
      <c r="AD15" s="335"/>
      <c r="AE15" s="335"/>
    </row>
    <row r="16" ht="15.75" customHeight="1">
      <c r="A16" s="335"/>
      <c r="B16" s="335" t="s">
        <v>4260</v>
      </c>
      <c r="C16" s="335"/>
      <c r="D16" s="418" t="s">
        <v>4261</v>
      </c>
      <c r="E16" s="342" t="s">
        <v>4262</v>
      </c>
      <c r="F16" s="337"/>
      <c r="G16" s="337" t="s">
        <v>2504</v>
      </c>
      <c r="H16" s="335"/>
      <c r="I16" s="422" t="s">
        <v>4263</v>
      </c>
      <c r="J16" s="335" t="s">
        <v>16</v>
      </c>
      <c r="K16" s="335"/>
      <c r="L16" s="335"/>
      <c r="M16" s="335"/>
      <c r="N16" s="335"/>
      <c r="O16" s="335"/>
      <c r="P16" s="335"/>
      <c r="Q16" s="335"/>
      <c r="R16" s="335"/>
      <c r="S16" s="335"/>
      <c r="T16" s="335"/>
      <c r="U16" s="335"/>
      <c r="V16" s="335"/>
      <c r="W16" s="335"/>
      <c r="X16" s="335"/>
      <c r="Y16" s="335"/>
      <c r="Z16" s="335"/>
      <c r="AA16" s="335"/>
      <c r="AB16" s="335"/>
      <c r="AC16" s="335"/>
      <c r="AD16" s="335"/>
      <c r="AE16" s="335"/>
    </row>
    <row r="17" ht="15.75" hidden="1" customHeight="1">
      <c r="A17" s="334">
        <v>43137.0</v>
      </c>
      <c r="B17" s="335"/>
      <c r="C17" s="335"/>
      <c r="D17" s="335"/>
      <c r="E17" s="335"/>
      <c r="F17" s="337"/>
      <c r="G17" s="337"/>
      <c r="H17" s="335"/>
      <c r="I17" s="335"/>
      <c r="J17" s="335"/>
      <c r="K17" s="335"/>
      <c r="L17" s="335"/>
      <c r="M17" s="335"/>
      <c r="N17" s="335"/>
      <c r="O17" s="335"/>
      <c r="P17" s="335"/>
      <c r="Q17" s="335"/>
      <c r="R17" s="335"/>
      <c r="S17" s="335"/>
      <c r="T17" s="335"/>
      <c r="U17" s="335"/>
      <c r="V17" s="335"/>
      <c r="W17" s="335"/>
      <c r="X17" s="335"/>
      <c r="Y17" s="335"/>
      <c r="Z17" s="335"/>
      <c r="AA17" s="335"/>
      <c r="AB17" s="335"/>
      <c r="AC17" s="335"/>
      <c r="AD17" s="335"/>
      <c r="AE17" s="335"/>
    </row>
    <row r="18" ht="15.75" customHeight="1">
      <c r="A18" s="335"/>
      <c r="B18" s="343" t="s">
        <v>4264</v>
      </c>
      <c r="C18" s="335"/>
      <c r="D18" s="418" t="s">
        <v>4265</v>
      </c>
      <c r="E18" s="344" t="s">
        <v>4266</v>
      </c>
      <c r="F18" s="337"/>
      <c r="G18" s="337"/>
      <c r="H18" s="335"/>
      <c r="I18" s="355" t="s">
        <v>4267</v>
      </c>
      <c r="J18" s="335" t="s">
        <v>16</v>
      </c>
      <c r="K18" s="335"/>
      <c r="L18" s="335"/>
      <c r="M18" s="335"/>
      <c r="N18" s="335"/>
      <c r="O18" s="335"/>
      <c r="P18" s="335"/>
      <c r="Q18" s="335"/>
      <c r="R18" s="335"/>
      <c r="S18" s="335"/>
      <c r="T18" s="335"/>
      <c r="U18" s="335"/>
      <c r="V18" s="335"/>
      <c r="W18" s="335"/>
      <c r="X18" s="335"/>
      <c r="Y18" s="335"/>
      <c r="Z18" s="335"/>
      <c r="AA18" s="335"/>
      <c r="AB18" s="335"/>
      <c r="AC18" s="335"/>
      <c r="AD18" s="335"/>
      <c r="AE18" s="335"/>
    </row>
    <row r="19" ht="15.75" hidden="1" customHeight="1">
      <c r="A19" s="334">
        <v>43138.0</v>
      </c>
      <c r="B19" s="335"/>
      <c r="C19" s="335"/>
      <c r="D19" s="335"/>
      <c r="E19" s="335"/>
      <c r="F19" s="337"/>
      <c r="G19" s="337"/>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row>
    <row r="20" ht="15.75" customHeight="1">
      <c r="A20" s="335"/>
      <c r="B20" s="343" t="s">
        <v>4268</v>
      </c>
      <c r="C20" s="335"/>
      <c r="D20" s="418" t="s">
        <v>4269</v>
      </c>
      <c r="E20" s="344" t="s">
        <v>4270</v>
      </c>
      <c r="F20" s="337"/>
      <c r="G20" s="337" t="s">
        <v>2494</v>
      </c>
      <c r="H20" s="335"/>
      <c r="I20" s="335" t="s">
        <v>4271</v>
      </c>
      <c r="J20" s="335"/>
      <c r="K20" s="335"/>
      <c r="L20" s="335"/>
      <c r="M20" s="335"/>
      <c r="N20" s="335"/>
      <c r="O20" s="335"/>
      <c r="P20" s="335"/>
      <c r="Q20" s="335"/>
      <c r="R20" s="335"/>
      <c r="S20" s="335"/>
      <c r="T20" s="335"/>
      <c r="U20" s="335"/>
      <c r="V20" s="335"/>
      <c r="W20" s="335"/>
      <c r="X20" s="335"/>
      <c r="Y20" s="335"/>
      <c r="Z20" s="335"/>
      <c r="AA20" s="335"/>
      <c r="AB20" s="335"/>
      <c r="AC20" s="335"/>
      <c r="AD20" s="335"/>
      <c r="AE20" s="335"/>
    </row>
    <row r="21" ht="15.75" hidden="1" customHeight="1">
      <c r="A21" s="334">
        <v>43139.0</v>
      </c>
      <c r="B21" s="335"/>
      <c r="C21" s="335"/>
      <c r="D21" s="335"/>
      <c r="E21" s="335"/>
      <c r="F21" s="337"/>
      <c r="G21" s="337"/>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row>
    <row r="22" ht="15.75" hidden="1" customHeight="1">
      <c r="A22" s="335"/>
      <c r="B22" s="335" t="s">
        <v>4272</v>
      </c>
      <c r="C22" s="335"/>
      <c r="D22" s="419" t="s">
        <v>4273</v>
      </c>
      <c r="E22" s="342" t="s">
        <v>4274</v>
      </c>
      <c r="F22" s="337"/>
      <c r="G22" s="337" t="s">
        <v>2504</v>
      </c>
      <c r="H22" s="335"/>
      <c r="I22" s="335" t="s">
        <v>4275</v>
      </c>
      <c r="J22" s="335"/>
      <c r="K22" s="335"/>
      <c r="L22" s="335"/>
      <c r="M22" s="335"/>
      <c r="N22" s="335"/>
      <c r="O22" s="335"/>
      <c r="P22" s="335"/>
      <c r="Q22" s="335"/>
      <c r="R22" s="335"/>
      <c r="S22" s="335"/>
      <c r="T22" s="335"/>
      <c r="U22" s="335"/>
      <c r="V22" s="335"/>
      <c r="W22" s="335"/>
      <c r="X22" s="335"/>
      <c r="Y22" s="335"/>
      <c r="Z22" s="335"/>
      <c r="AA22" s="335"/>
      <c r="AB22" s="335"/>
      <c r="AC22" s="335"/>
      <c r="AD22" s="335"/>
      <c r="AE22" s="335"/>
    </row>
    <row r="23" ht="15.75" hidden="1" customHeight="1">
      <c r="A23" s="334">
        <v>43141.0</v>
      </c>
      <c r="B23" s="335"/>
      <c r="C23" s="335"/>
      <c r="D23" s="335"/>
      <c r="E23" s="335"/>
      <c r="F23" s="337"/>
      <c r="G23" s="337"/>
      <c r="H23" s="335"/>
      <c r="I23" s="335"/>
      <c r="J23" s="335"/>
      <c r="K23" s="335"/>
      <c r="L23" s="335"/>
      <c r="M23" s="335"/>
      <c r="N23" s="335"/>
      <c r="O23" s="335"/>
      <c r="P23" s="335"/>
      <c r="Q23" s="335"/>
      <c r="R23" s="335"/>
      <c r="S23" s="335"/>
      <c r="T23" s="335"/>
      <c r="U23" s="335"/>
      <c r="V23" s="335"/>
      <c r="W23" s="335"/>
      <c r="X23" s="335"/>
      <c r="Y23" s="335"/>
      <c r="Z23" s="335"/>
      <c r="AA23" s="335"/>
      <c r="AB23" s="335"/>
      <c r="AC23" s="335"/>
      <c r="AD23" s="335"/>
      <c r="AE23" s="335"/>
    </row>
    <row r="24" ht="15.75" hidden="1" customHeight="1">
      <c r="A24" s="335"/>
      <c r="B24" s="343" t="s">
        <v>4276</v>
      </c>
      <c r="C24" s="335"/>
      <c r="D24" s="419" t="s">
        <v>4277</v>
      </c>
      <c r="E24" s="344" t="s">
        <v>4278</v>
      </c>
      <c r="F24" s="337"/>
      <c r="G24" s="337" t="s">
        <v>2494</v>
      </c>
      <c r="H24" s="335"/>
      <c r="I24" s="360" t="s">
        <v>4279</v>
      </c>
      <c r="J24" s="335" t="s">
        <v>16</v>
      </c>
      <c r="K24" s="335"/>
      <c r="L24" s="335"/>
      <c r="M24" s="335"/>
      <c r="N24" s="335"/>
      <c r="O24" s="335"/>
      <c r="P24" s="335"/>
      <c r="Q24" s="335"/>
      <c r="R24" s="335"/>
      <c r="S24" s="335"/>
      <c r="T24" s="335"/>
      <c r="U24" s="335"/>
      <c r="V24" s="335"/>
      <c r="W24" s="335"/>
      <c r="X24" s="335"/>
      <c r="Y24" s="335"/>
      <c r="Z24" s="335"/>
      <c r="AA24" s="335"/>
      <c r="AB24" s="335"/>
      <c r="AC24" s="335"/>
      <c r="AD24" s="335"/>
      <c r="AE24" s="335"/>
    </row>
    <row r="25" ht="15.75" customHeight="1">
      <c r="A25" s="335"/>
      <c r="B25" s="343" t="s">
        <v>4280</v>
      </c>
      <c r="C25" s="335"/>
      <c r="D25" s="418" t="s">
        <v>4281</v>
      </c>
      <c r="E25" s="335" t="s">
        <v>4282</v>
      </c>
      <c r="F25" s="337"/>
      <c r="G25" s="337" t="s">
        <v>2494</v>
      </c>
      <c r="H25" s="335"/>
      <c r="I25" s="423" t="s">
        <v>4283</v>
      </c>
      <c r="J25" s="335"/>
      <c r="K25" s="335"/>
      <c r="L25" s="335"/>
      <c r="M25" s="335"/>
      <c r="N25" s="335"/>
      <c r="O25" s="335"/>
      <c r="P25" s="335"/>
      <c r="Q25" s="335"/>
      <c r="R25" s="335"/>
      <c r="S25" s="335"/>
      <c r="T25" s="335"/>
      <c r="U25" s="335"/>
      <c r="V25" s="335"/>
      <c r="W25" s="335"/>
      <c r="X25" s="335"/>
      <c r="Y25" s="335"/>
      <c r="Z25" s="335"/>
      <c r="AA25" s="335"/>
      <c r="AB25" s="335"/>
      <c r="AC25" s="335"/>
      <c r="AD25" s="335"/>
      <c r="AE25" s="335"/>
    </row>
    <row r="26" ht="15.75" customHeight="1">
      <c r="A26" s="335"/>
      <c r="B26" s="343" t="s">
        <v>4284</v>
      </c>
      <c r="C26" s="335"/>
      <c r="D26" s="418" t="s">
        <v>4285</v>
      </c>
      <c r="E26" s="344" t="s">
        <v>4286</v>
      </c>
      <c r="F26" s="337"/>
      <c r="G26" s="337" t="s">
        <v>2494</v>
      </c>
      <c r="H26" s="335"/>
      <c r="I26" s="360" t="s">
        <v>4287</v>
      </c>
      <c r="J26" s="335"/>
      <c r="K26" s="335"/>
      <c r="L26" s="335"/>
      <c r="M26" s="335"/>
      <c r="N26" s="335"/>
      <c r="O26" s="335"/>
      <c r="P26" s="335"/>
      <c r="Q26" s="335"/>
      <c r="R26" s="335"/>
      <c r="S26" s="335"/>
      <c r="T26" s="335"/>
      <c r="U26" s="335"/>
      <c r="V26" s="335"/>
      <c r="W26" s="335"/>
      <c r="X26" s="335"/>
      <c r="Y26" s="335"/>
      <c r="Z26" s="335"/>
      <c r="AA26" s="335"/>
      <c r="AB26" s="335"/>
      <c r="AC26" s="335"/>
      <c r="AD26" s="335"/>
      <c r="AE26" s="335"/>
    </row>
    <row r="27" ht="15.75" hidden="1" customHeight="1">
      <c r="A27" s="335"/>
      <c r="B27" s="335" t="s">
        <v>4288</v>
      </c>
      <c r="C27" s="335"/>
      <c r="D27" s="335"/>
      <c r="E27" s="335" t="s">
        <v>4289</v>
      </c>
      <c r="F27" s="337"/>
      <c r="G27" s="337"/>
      <c r="H27" s="335"/>
      <c r="I27" s="335" t="s">
        <v>4290</v>
      </c>
      <c r="J27" s="335" t="s">
        <v>3385</v>
      </c>
      <c r="K27" s="335"/>
      <c r="L27" s="335"/>
      <c r="M27" s="335"/>
      <c r="N27" s="335"/>
      <c r="O27" s="335"/>
      <c r="P27" s="335"/>
      <c r="Q27" s="335"/>
      <c r="R27" s="335"/>
      <c r="S27" s="335"/>
      <c r="T27" s="335"/>
      <c r="U27" s="335"/>
      <c r="V27" s="335"/>
      <c r="W27" s="335"/>
      <c r="X27" s="335"/>
      <c r="Y27" s="335"/>
      <c r="Z27" s="335"/>
      <c r="AA27" s="335"/>
      <c r="AB27" s="335"/>
      <c r="AC27" s="335"/>
      <c r="AD27" s="335"/>
      <c r="AE27" s="335"/>
    </row>
    <row r="28" ht="15.75" hidden="1" customHeight="1">
      <c r="A28" s="334">
        <v>43142.0</v>
      </c>
      <c r="B28" s="335"/>
      <c r="C28" s="335"/>
      <c r="D28" s="335"/>
      <c r="E28" s="335"/>
      <c r="F28" s="337"/>
      <c r="G28" s="337"/>
      <c r="H28" s="335"/>
      <c r="I28" s="335"/>
      <c r="J28" s="335"/>
      <c r="K28" s="335"/>
      <c r="L28" s="335"/>
      <c r="M28" s="335"/>
      <c r="N28" s="335"/>
      <c r="O28" s="335"/>
      <c r="P28" s="335"/>
      <c r="Q28" s="335"/>
      <c r="R28" s="335"/>
      <c r="S28" s="335"/>
      <c r="T28" s="335"/>
      <c r="U28" s="335"/>
      <c r="V28" s="335"/>
      <c r="W28" s="335"/>
      <c r="X28" s="335"/>
      <c r="Y28" s="335"/>
      <c r="Z28" s="335"/>
      <c r="AA28" s="335"/>
      <c r="AB28" s="335"/>
      <c r="AC28" s="335"/>
      <c r="AD28" s="335"/>
      <c r="AE28" s="335"/>
    </row>
    <row r="29" ht="15.75" hidden="1" customHeight="1">
      <c r="A29" s="335"/>
      <c r="B29" s="343" t="s">
        <v>4291</v>
      </c>
      <c r="C29" s="335"/>
      <c r="D29" s="419" t="s">
        <v>4292</v>
      </c>
      <c r="E29" s="344" t="s">
        <v>4293</v>
      </c>
      <c r="F29" s="337"/>
      <c r="G29" s="337" t="s">
        <v>2494</v>
      </c>
      <c r="H29" s="335" t="s">
        <v>2495</v>
      </c>
      <c r="I29" s="335" t="s">
        <v>4294</v>
      </c>
      <c r="J29" s="335" t="s">
        <v>1368</v>
      </c>
      <c r="K29" s="335"/>
      <c r="L29" s="335"/>
      <c r="M29" s="335"/>
      <c r="N29" s="335"/>
      <c r="O29" s="335"/>
      <c r="P29" s="335"/>
      <c r="Q29" s="335"/>
      <c r="R29" s="335"/>
      <c r="S29" s="335"/>
      <c r="T29" s="335"/>
      <c r="U29" s="335"/>
      <c r="V29" s="335"/>
      <c r="W29" s="335"/>
      <c r="X29" s="335"/>
      <c r="Y29" s="335"/>
      <c r="Z29" s="335"/>
      <c r="AA29" s="335"/>
      <c r="AB29" s="335"/>
      <c r="AC29" s="335"/>
      <c r="AD29" s="335"/>
      <c r="AE29" s="335"/>
    </row>
    <row r="30" ht="15.75" hidden="1" customHeight="1">
      <c r="A30" s="335"/>
      <c r="B30" s="343" t="s">
        <v>4295</v>
      </c>
      <c r="C30" s="335"/>
      <c r="D30" s="419" t="s">
        <v>4296</v>
      </c>
      <c r="E30" s="344" t="s">
        <v>4297</v>
      </c>
      <c r="F30" s="337" t="s">
        <v>3808</v>
      </c>
      <c r="G30" s="337" t="s">
        <v>2494</v>
      </c>
      <c r="H30" s="335" t="s">
        <v>2543</v>
      </c>
      <c r="I30" s="355" t="s">
        <v>3804</v>
      </c>
      <c r="J30" s="335"/>
      <c r="K30" s="335"/>
      <c r="L30" s="335"/>
      <c r="M30" s="335"/>
      <c r="N30" s="335"/>
      <c r="O30" s="335"/>
      <c r="P30" s="335"/>
      <c r="Q30" s="335"/>
      <c r="R30" s="335"/>
      <c r="S30" s="335"/>
      <c r="T30" s="335"/>
      <c r="U30" s="335"/>
      <c r="V30" s="335"/>
      <c r="W30" s="335"/>
      <c r="X30" s="335"/>
      <c r="Y30" s="335"/>
      <c r="Z30" s="335"/>
      <c r="AA30" s="335"/>
      <c r="AB30" s="335"/>
      <c r="AC30" s="335"/>
      <c r="AD30" s="335"/>
      <c r="AE30" s="335"/>
    </row>
    <row r="31" ht="15.75" hidden="1" customHeight="1">
      <c r="A31" s="334">
        <v>43144.0</v>
      </c>
      <c r="B31" s="335"/>
      <c r="C31" s="335"/>
      <c r="D31" s="335"/>
      <c r="E31" s="335"/>
      <c r="F31" s="337"/>
      <c r="G31" s="337"/>
      <c r="H31" s="335"/>
      <c r="I31" s="335"/>
      <c r="J31" s="335"/>
      <c r="K31" s="335"/>
      <c r="L31" s="335"/>
      <c r="M31" s="335"/>
      <c r="N31" s="335"/>
      <c r="O31" s="335"/>
      <c r="P31" s="335"/>
      <c r="Q31" s="335"/>
      <c r="R31" s="335"/>
      <c r="S31" s="335"/>
      <c r="T31" s="335"/>
      <c r="U31" s="335"/>
      <c r="V31" s="335"/>
      <c r="W31" s="335"/>
      <c r="X31" s="335"/>
      <c r="Y31" s="335"/>
      <c r="Z31" s="335"/>
      <c r="AA31" s="335"/>
      <c r="AB31" s="335"/>
      <c r="AC31" s="335"/>
      <c r="AD31" s="335"/>
      <c r="AE31" s="335"/>
    </row>
    <row r="32" ht="15.75" hidden="1" customHeight="1">
      <c r="A32" s="335"/>
      <c r="B32" s="335" t="s">
        <v>4298</v>
      </c>
      <c r="C32" s="335"/>
      <c r="D32" s="419" t="s">
        <v>4299</v>
      </c>
      <c r="E32" s="334">
        <v>43144.0</v>
      </c>
      <c r="F32" s="337" t="s">
        <v>4300</v>
      </c>
      <c r="G32" s="337" t="s">
        <v>2494</v>
      </c>
      <c r="H32" s="335" t="s">
        <v>2495</v>
      </c>
      <c r="I32" s="335" t="s">
        <v>4301</v>
      </c>
      <c r="J32" s="335"/>
      <c r="K32" s="335"/>
      <c r="L32" s="335"/>
      <c r="M32" s="335"/>
      <c r="N32" s="335"/>
      <c r="O32" s="335"/>
      <c r="P32" s="335"/>
      <c r="Q32" s="335"/>
      <c r="R32" s="335"/>
      <c r="S32" s="335"/>
      <c r="T32" s="335"/>
      <c r="U32" s="335"/>
      <c r="V32" s="335"/>
      <c r="W32" s="335"/>
      <c r="X32" s="335"/>
      <c r="Y32" s="335"/>
      <c r="Z32" s="335"/>
      <c r="AA32" s="335"/>
      <c r="AB32" s="335"/>
      <c r="AC32" s="335"/>
      <c r="AD32" s="335"/>
      <c r="AE32" s="335"/>
    </row>
    <row r="33" ht="15.75" customHeight="1">
      <c r="A33" s="335"/>
      <c r="B33" s="335" t="s">
        <v>4302</v>
      </c>
      <c r="C33" s="335"/>
      <c r="D33" s="418" t="s">
        <v>4303</v>
      </c>
      <c r="E33" s="334">
        <v>43144.0</v>
      </c>
      <c r="F33" s="337" t="s">
        <v>4300</v>
      </c>
      <c r="G33" s="337" t="s">
        <v>2494</v>
      </c>
      <c r="H33" s="335" t="s">
        <v>2552</v>
      </c>
      <c r="I33" s="335" t="s">
        <v>4304</v>
      </c>
      <c r="J33" s="335"/>
      <c r="K33" s="335"/>
      <c r="L33" s="335"/>
      <c r="M33" s="335"/>
      <c r="N33" s="335"/>
      <c r="O33" s="335"/>
      <c r="P33" s="335"/>
      <c r="Q33" s="335"/>
      <c r="R33" s="335"/>
      <c r="S33" s="335"/>
      <c r="T33" s="335"/>
      <c r="U33" s="335"/>
      <c r="V33" s="335"/>
      <c r="W33" s="335"/>
      <c r="X33" s="335"/>
      <c r="Y33" s="335"/>
      <c r="Z33" s="335"/>
      <c r="AA33" s="335"/>
      <c r="AB33" s="335"/>
      <c r="AC33" s="335"/>
      <c r="AD33" s="335"/>
      <c r="AE33" s="335"/>
    </row>
    <row r="34" ht="15.75" hidden="1" customHeight="1">
      <c r="A34" s="335"/>
      <c r="B34" s="335" t="s">
        <v>4305</v>
      </c>
      <c r="C34" s="335"/>
      <c r="D34" s="419" t="s">
        <v>4306</v>
      </c>
      <c r="E34" s="334">
        <v>43143.0</v>
      </c>
      <c r="F34" s="337" t="s">
        <v>4300</v>
      </c>
      <c r="G34" s="337" t="s">
        <v>2494</v>
      </c>
      <c r="H34" s="335" t="s">
        <v>2495</v>
      </c>
      <c r="I34" s="335" t="s">
        <v>4307</v>
      </c>
      <c r="J34" s="335"/>
      <c r="K34" s="335"/>
      <c r="L34" s="335"/>
      <c r="M34" s="335"/>
      <c r="N34" s="335"/>
      <c r="O34" s="335"/>
      <c r="P34" s="335"/>
      <c r="Q34" s="335"/>
      <c r="R34" s="335"/>
      <c r="S34" s="335"/>
      <c r="T34" s="335"/>
      <c r="U34" s="335"/>
      <c r="V34" s="335"/>
      <c r="W34" s="335"/>
      <c r="X34" s="335"/>
      <c r="Y34" s="335"/>
      <c r="Z34" s="335"/>
      <c r="AA34" s="335"/>
      <c r="AB34" s="335"/>
      <c r="AC34" s="335"/>
      <c r="AD34" s="335"/>
      <c r="AE34" s="335"/>
    </row>
    <row r="35" ht="15.75" hidden="1" customHeight="1">
      <c r="A35" s="335"/>
      <c r="B35" s="335" t="s">
        <v>4308</v>
      </c>
      <c r="C35" s="335"/>
      <c r="D35" s="419" t="s">
        <v>4309</v>
      </c>
      <c r="E35" s="334">
        <v>43142.0</v>
      </c>
      <c r="F35" s="337" t="s">
        <v>4300</v>
      </c>
      <c r="G35" s="337" t="s">
        <v>2494</v>
      </c>
      <c r="H35" s="335" t="s">
        <v>2552</v>
      </c>
      <c r="I35" s="335" t="s">
        <v>4310</v>
      </c>
      <c r="J35" s="335" t="s">
        <v>1679</v>
      </c>
      <c r="K35" s="335"/>
      <c r="L35" s="335"/>
      <c r="M35" s="335"/>
      <c r="N35" s="335"/>
      <c r="O35" s="335"/>
      <c r="P35" s="335"/>
      <c r="Q35" s="335"/>
      <c r="R35" s="335"/>
      <c r="S35" s="335"/>
      <c r="T35" s="335"/>
      <c r="U35" s="335"/>
      <c r="V35" s="335"/>
      <c r="W35" s="335"/>
      <c r="X35" s="335"/>
      <c r="Y35" s="335"/>
      <c r="Z35" s="335"/>
      <c r="AA35" s="335"/>
      <c r="AB35" s="335"/>
      <c r="AC35" s="335"/>
      <c r="AD35" s="335"/>
      <c r="AE35" s="335"/>
    </row>
    <row r="36" ht="15.75" hidden="1" customHeight="1">
      <c r="A36" s="335"/>
      <c r="B36" s="335" t="s">
        <v>3238</v>
      </c>
      <c r="C36" s="335"/>
      <c r="D36" s="419" t="s">
        <v>4311</v>
      </c>
      <c r="E36" s="335"/>
      <c r="F36" s="337" t="s">
        <v>4300</v>
      </c>
      <c r="G36" s="337" t="s">
        <v>2494</v>
      </c>
      <c r="H36" s="335" t="s">
        <v>2552</v>
      </c>
      <c r="I36" s="335" t="s">
        <v>4312</v>
      </c>
      <c r="J36" s="335" t="s">
        <v>4313</v>
      </c>
      <c r="K36" s="335"/>
      <c r="L36" s="335"/>
      <c r="M36" s="335"/>
      <c r="N36" s="335"/>
      <c r="O36" s="335"/>
      <c r="P36" s="335"/>
      <c r="Q36" s="335"/>
      <c r="R36" s="335"/>
      <c r="S36" s="335"/>
      <c r="T36" s="335"/>
      <c r="U36" s="335"/>
      <c r="V36" s="335"/>
      <c r="W36" s="335"/>
      <c r="X36" s="335"/>
      <c r="Y36" s="335"/>
      <c r="Z36" s="335"/>
      <c r="AA36" s="335"/>
      <c r="AB36" s="335"/>
      <c r="AC36" s="335"/>
      <c r="AD36" s="335"/>
      <c r="AE36" s="335"/>
    </row>
    <row r="37" ht="15.75" hidden="1" customHeight="1">
      <c r="A37" s="335"/>
      <c r="B37" s="335" t="s">
        <v>4314</v>
      </c>
      <c r="C37" s="335"/>
      <c r="D37" s="419" t="s">
        <v>4315</v>
      </c>
      <c r="E37" s="335"/>
      <c r="F37" s="337"/>
      <c r="G37" s="337"/>
      <c r="H37" s="335" t="s">
        <v>2495</v>
      </c>
      <c r="I37" s="335" t="s">
        <v>3555</v>
      </c>
      <c r="J37" s="335"/>
      <c r="K37" s="335"/>
      <c r="L37" s="335"/>
      <c r="M37" s="335"/>
      <c r="N37" s="335"/>
      <c r="O37" s="335"/>
      <c r="P37" s="335"/>
      <c r="Q37" s="335"/>
      <c r="R37" s="335"/>
      <c r="S37" s="335"/>
      <c r="T37" s="335"/>
      <c r="U37" s="335"/>
      <c r="V37" s="335"/>
      <c r="W37" s="335"/>
      <c r="X37" s="335"/>
      <c r="Y37" s="335"/>
      <c r="Z37" s="335"/>
      <c r="AA37" s="335"/>
      <c r="AB37" s="335"/>
      <c r="AC37" s="335"/>
      <c r="AD37" s="335"/>
      <c r="AE37" s="335"/>
    </row>
    <row r="38" ht="15.75" hidden="1" customHeight="1">
      <c r="A38" s="334">
        <v>43145.0</v>
      </c>
      <c r="B38" s="335"/>
      <c r="C38" s="335"/>
      <c r="D38" s="335"/>
      <c r="E38" s="335"/>
      <c r="F38" s="337"/>
      <c r="G38" s="337"/>
      <c r="H38" s="335"/>
      <c r="I38" s="335"/>
      <c r="J38" s="335"/>
      <c r="K38" s="335"/>
      <c r="L38" s="335"/>
      <c r="M38" s="335"/>
      <c r="N38" s="335"/>
      <c r="O38" s="335"/>
      <c r="P38" s="335"/>
      <c r="Q38" s="335"/>
      <c r="R38" s="335"/>
      <c r="S38" s="335"/>
      <c r="T38" s="335"/>
      <c r="U38" s="335"/>
      <c r="V38" s="335"/>
      <c r="W38" s="335"/>
      <c r="X38" s="335"/>
      <c r="Y38" s="335"/>
      <c r="Z38" s="335"/>
      <c r="AA38" s="335"/>
      <c r="AB38" s="335"/>
      <c r="AC38" s="335"/>
      <c r="AD38" s="335"/>
      <c r="AE38" s="335"/>
    </row>
    <row r="39" ht="15.75" customHeight="1">
      <c r="A39" s="31"/>
      <c r="B39" s="424" t="s">
        <v>4316</v>
      </c>
      <c r="C39" s="425"/>
      <c r="D39" s="426" t="s">
        <v>4317</v>
      </c>
      <c r="E39" s="425" t="s">
        <v>4318</v>
      </c>
      <c r="F39" s="427"/>
      <c r="G39" s="427" t="s">
        <v>2494</v>
      </c>
      <c r="H39" s="31" t="s">
        <v>2552</v>
      </c>
      <c r="I39" s="355" t="s">
        <v>4319</v>
      </c>
      <c r="J39" s="31"/>
      <c r="K39" s="31"/>
      <c r="L39" s="31"/>
      <c r="M39" s="31"/>
      <c r="N39" s="31"/>
      <c r="O39" s="31"/>
      <c r="P39" s="31"/>
      <c r="Q39" s="31"/>
      <c r="R39" s="31"/>
      <c r="S39" s="31"/>
      <c r="T39" s="31"/>
      <c r="U39" s="31"/>
      <c r="V39" s="31"/>
      <c r="W39" s="31"/>
      <c r="X39" s="31"/>
      <c r="Y39" s="31"/>
      <c r="Z39" s="31"/>
      <c r="AA39" s="31"/>
      <c r="AB39" s="335"/>
      <c r="AC39" s="335"/>
      <c r="AD39" s="335"/>
      <c r="AE39" s="335"/>
    </row>
    <row r="40" ht="15.75" hidden="1" customHeight="1">
      <c r="A40" s="335"/>
      <c r="B40" s="428" t="s">
        <v>4320</v>
      </c>
      <c r="C40" s="335"/>
      <c r="D40" s="429" t="s">
        <v>4321</v>
      </c>
      <c r="E40" s="430" t="s">
        <v>4322</v>
      </c>
      <c r="F40" s="337" t="s">
        <v>3808</v>
      </c>
      <c r="G40" s="337" t="s">
        <v>2494</v>
      </c>
      <c r="H40" s="335" t="s">
        <v>2543</v>
      </c>
      <c r="I40" s="335" t="s">
        <v>3445</v>
      </c>
      <c r="J40" s="335"/>
      <c r="K40" s="335"/>
      <c r="L40" s="335"/>
      <c r="M40" s="335"/>
      <c r="N40" s="335"/>
      <c r="O40" s="335"/>
      <c r="P40" s="335"/>
      <c r="Q40" s="335"/>
      <c r="R40" s="335"/>
      <c r="S40" s="335"/>
      <c r="T40" s="335"/>
      <c r="U40" s="335"/>
      <c r="V40" s="335"/>
      <c r="W40" s="335"/>
      <c r="X40" s="335"/>
      <c r="Y40" s="335"/>
      <c r="Z40" s="335"/>
      <c r="AA40" s="335"/>
      <c r="AB40" s="335"/>
      <c r="AC40" s="335"/>
      <c r="AD40" s="335"/>
      <c r="AE40" s="335"/>
    </row>
    <row r="41" ht="15.75" hidden="1" customHeight="1">
      <c r="A41" s="335"/>
      <c r="B41" s="335" t="s">
        <v>4323</v>
      </c>
      <c r="C41" s="335"/>
      <c r="D41" s="419" t="s">
        <v>4324</v>
      </c>
      <c r="E41" s="342" t="s">
        <v>4325</v>
      </c>
      <c r="F41" s="337" t="s">
        <v>3808</v>
      </c>
      <c r="G41" s="337" t="s">
        <v>2504</v>
      </c>
      <c r="H41" s="335" t="s">
        <v>2543</v>
      </c>
      <c r="I41" s="335" t="s">
        <v>4326</v>
      </c>
      <c r="J41" s="335"/>
      <c r="K41" s="335"/>
      <c r="L41" s="335"/>
      <c r="M41" s="335"/>
      <c r="N41" s="335"/>
      <c r="O41" s="335"/>
      <c r="P41" s="335"/>
      <c r="Q41" s="335"/>
      <c r="R41" s="335"/>
      <c r="S41" s="335"/>
      <c r="T41" s="335"/>
      <c r="U41" s="335"/>
      <c r="V41" s="335"/>
      <c r="W41" s="335"/>
      <c r="X41" s="335"/>
      <c r="Y41" s="335"/>
      <c r="Z41" s="335"/>
      <c r="AA41" s="335"/>
      <c r="AB41" s="335"/>
      <c r="AC41" s="335"/>
      <c r="AD41" s="335"/>
      <c r="AE41" s="335"/>
    </row>
    <row r="42" ht="15.75" customHeight="1">
      <c r="A42" s="335"/>
      <c r="B42" s="343" t="s">
        <v>4327</v>
      </c>
      <c r="C42" s="335"/>
      <c r="D42" s="418" t="s">
        <v>4328</v>
      </c>
      <c r="E42" s="344" t="s">
        <v>4329</v>
      </c>
      <c r="F42" s="337"/>
      <c r="G42" s="337" t="s">
        <v>2494</v>
      </c>
      <c r="H42" s="335"/>
      <c r="I42" s="335" t="s">
        <v>4330</v>
      </c>
      <c r="J42" s="335"/>
      <c r="K42" s="335"/>
      <c r="L42" s="335"/>
      <c r="M42" s="335"/>
      <c r="N42" s="335"/>
      <c r="O42" s="335"/>
      <c r="P42" s="335"/>
      <c r="Q42" s="335"/>
      <c r="R42" s="335"/>
      <c r="S42" s="335"/>
      <c r="T42" s="335"/>
      <c r="U42" s="335"/>
      <c r="V42" s="335"/>
      <c r="W42" s="335"/>
      <c r="X42" s="335"/>
      <c r="Y42" s="335"/>
      <c r="Z42" s="335"/>
      <c r="AA42" s="335"/>
      <c r="AB42" s="335"/>
      <c r="AC42" s="335"/>
      <c r="AD42" s="335"/>
      <c r="AE42" s="335"/>
    </row>
    <row r="43" ht="15.75" hidden="1" customHeight="1">
      <c r="A43" s="334">
        <v>43146.0</v>
      </c>
      <c r="B43" s="335"/>
      <c r="C43" s="335"/>
      <c r="D43" s="335"/>
      <c r="E43" s="335"/>
      <c r="F43" s="337"/>
      <c r="G43" s="337"/>
      <c r="H43" s="335"/>
      <c r="I43" s="335"/>
      <c r="J43" s="335"/>
      <c r="K43" s="335"/>
      <c r="L43" s="335"/>
      <c r="M43" s="335"/>
      <c r="N43" s="335"/>
      <c r="O43" s="335"/>
      <c r="P43" s="335"/>
      <c r="Q43" s="335"/>
      <c r="R43" s="335"/>
      <c r="S43" s="335"/>
      <c r="T43" s="335"/>
      <c r="U43" s="335"/>
      <c r="V43" s="335"/>
      <c r="W43" s="335"/>
      <c r="X43" s="335"/>
      <c r="Y43" s="335"/>
      <c r="Z43" s="335"/>
      <c r="AA43" s="335"/>
      <c r="AB43" s="335"/>
      <c r="AC43" s="335"/>
      <c r="AD43" s="335"/>
      <c r="AE43" s="335"/>
    </row>
    <row r="44" ht="15.75" hidden="1" customHeight="1">
      <c r="A44" s="335"/>
      <c r="B44" s="343" t="s">
        <v>4331</v>
      </c>
      <c r="C44" s="335"/>
      <c r="D44" s="419" t="s">
        <v>4332</v>
      </c>
      <c r="E44" s="344" t="s">
        <v>4333</v>
      </c>
      <c r="F44" s="337"/>
      <c r="G44" s="337" t="s">
        <v>2494</v>
      </c>
      <c r="H44" s="335" t="s">
        <v>2495</v>
      </c>
      <c r="I44" s="335" t="s">
        <v>4334</v>
      </c>
      <c r="J44" s="335"/>
      <c r="K44" s="335"/>
      <c r="L44" s="335"/>
      <c r="M44" s="335"/>
      <c r="N44" s="335"/>
      <c r="O44" s="335"/>
      <c r="P44" s="335"/>
      <c r="Q44" s="335"/>
      <c r="R44" s="335"/>
      <c r="S44" s="335"/>
      <c r="T44" s="335"/>
      <c r="U44" s="335"/>
      <c r="V44" s="335"/>
      <c r="W44" s="335"/>
      <c r="X44" s="335"/>
      <c r="Y44" s="335"/>
      <c r="Z44" s="335"/>
      <c r="AA44" s="335"/>
      <c r="AB44" s="335"/>
      <c r="AC44" s="335"/>
      <c r="AD44" s="335"/>
      <c r="AE44" s="335"/>
    </row>
    <row r="45" ht="15.75" hidden="1" customHeight="1">
      <c r="A45" s="334">
        <v>43148.0</v>
      </c>
      <c r="B45" s="335"/>
      <c r="C45" s="335"/>
      <c r="D45" s="335"/>
      <c r="E45" s="335"/>
      <c r="F45" s="337"/>
      <c r="G45" s="337"/>
      <c r="H45" s="335"/>
      <c r="I45" s="355"/>
      <c r="J45" s="335"/>
      <c r="K45" s="335"/>
      <c r="L45" s="335"/>
      <c r="M45" s="335"/>
      <c r="N45" s="335"/>
      <c r="O45" s="335"/>
      <c r="P45" s="335"/>
      <c r="Q45" s="335"/>
      <c r="R45" s="335"/>
      <c r="S45" s="335"/>
      <c r="T45" s="335"/>
      <c r="U45" s="335"/>
      <c r="V45" s="335"/>
      <c r="W45" s="335"/>
      <c r="X45" s="335"/>
      <c r="Y45" s="335"/>
      <c r="Z45" s="335"/>
      <c r="AA45" s="335"/>
      <c r="AB45" s="335"/>
      <c r="AC45" s="335"/>
      <c r="AD45" s="335"/>
      <c r="AE45" s="335"/>
    </row>
    <row r="46" ht="15.75" hidden="1" customHeight="1">
      <c r="A46" s="335"/>
      <c r="B46" s="343" t="s">
        <v>4335</v>
      </c>
      <c r="C46" s="335"/>
      <c r="D46" s="419" t="s">
        <v>4336</v>
      </c>
      <c r="E46" s="344" t="s">
        <v>4337</v>
      </c>
      <c r="F46" s="337"/>
      <c r="G46" s="337" t="s">
        <v>2494</v>
      </c>
      <c r="H46" s="335" t="s">
        <v>2495</v>
      </c>
      <c r="I46" s="355" t="s">
        <v>4338</v>
      </c>
      <c r="J46" s="335" t="s">
        <v>16</v>
      </c>
      <c r="K46" s="335"/>
      <c r="L46" s="335"/>
      <c r="M46" s="335"/>
      <c r="N46" s="335"/>
      <c r="O46" s="335"/>
      <c r="P46" s="335"/>
      <c r="Q46" s="335"/>
      <c r="R46" s="335"/>
      <c r="S46" s="335"/>
      <c r="T46" s="335"/>
      <c r="U46" s="335"/>
      <c r="V46" s="335"/>
      <c r="W46" s="335"/>
      <c r="X46" s="335"/>
      <c r="Y46" s="335"/>
      <c r="Z46" s="335"/>
      <c r="AA46" s="335"/>
      <c r="AB46" s="335"/>
      <c r="AC46" s="335"/>
      <c r="AD46" s="335"/>
      <c r="AE46" s="335"/>
    </row>
    <row r="47" ht="15.75" hidden="1" customHeight="1">
      <c r="A47" s="335"/>
      <c r="B47" s="343" t="s">
        <v>4339</v>
      </c>
      <c r="C47" s="335"/>
      <c r="D47" s="419" t="s">
        <v>4340</v>
      </c>
      <c r="E47" s="344" t="s">
        <v>4341</v>
      </c>
      <c r="F47" s="337"/>
      <c r="G47" s="337" t="s">
        <v>2494</v>
      </c>
      <c r="H47" s="335" t="s">
        <v>2495</v>
      </c>
      <c r="I47" s="335" t="s">
        <v>4342</v>
      </c>
      <c r="J47" s="335"/>
      <c r="K47" s="335" t="s">
        <v>4015</v>
      </c>
      <c r="L47" s="335"/>
      <c r="M47" s="335"/>
      <c r="N47" s="335"/>
      <c r="O47" s="335"/>
      <c r="P47" s="335"/>
      <c r="Q47" s="335"/>
      <c r="R47" s="335"/>
      <c r="S47" s="335"/>
      <c r="T47" s="335"/>
      <c r="U47" s="335"/>
      <c r="V47" s="335"/>
      <c r="W47" s="335"/>
      <c r="X47" s="335"/>
      <c r="Y47" s="335"/>
      <c r="Z47" s="335"/>
      <c r="AA47" s="335"/>
      <c r="AB47" s="335"/>
      <c r="AC47" s="335"/>
      <c r="AD47" s="335"/>
      <c r="AE47" s="335"/>
    </row>
    <row r="48" ht="15.75" hidden="1" customHeight="1">
      <c r="A48" s="335"/>
      <c r="B48" s="343" t="s">
        <v>4343</v>
      </c>
      <c r="C48" s="335"/>
      <c r="D48" s="419" t="s">
        <v>4344</v>
      </c>
      <c r="E48" s="344" t="s">
        <v>4345</v>
      </c>
      <c r="F48" s="337"/>
      <c r="G48" s="337" t="s">
        <v>2494</v>
      </c>
      <c r="H48" s="335" t="s">
        <v>2495</v>
      </c>
      <c r="I48" s="355" t="s">
        <v>4346</v>
      </c>
      <c r="J48" s="335" t="s">
        <v>16</v>
      </c>
      <c r="K48" s="335"/>
      <c r="L48" s="335"/>
      <c r="M48" s="335"/>
      <c r="N48" s="335"/>
      <c r="O48" s="335"/>
      <c r="P48" s="335"/>
      <c r="Q48" s="335"/>
      <c r="R48" s="335"/>
      <c r="S48" s="335"/>
      <c r="T48" s="335"/>
      <c r="U48" s="335"/>
      <c r="V48" s="335"/>
      <c r="W48" s="335"/>
      <c r="X48" s="335"/>
      <c r="Y48" s="335"/>
      <c r="Z48" s="335"/>
      <c r="AA48" s="335"/>
      <c r="AB48" s="335"/>
      <c r="AC48" s="335"/>
      <c r="AD48" s="335"/>
      <c r="AE48" s="335"/>
    </row>
    <row r="49" ht="15.75" customHeight="1">
      <c r="A49" s="335"/>
      <c r="B49" s="343" t="s">
        <v>4347</v>
      </c>
      <c r="C49" s="335"/>
      <c r="D49" s="418" t="s">
        <v>4348</v>
      </c>
      <c r="E49" s="344" t="s">
        <v>4349</v>
      </c>
      <c r="F49" s="337" t="s">
        <v>3808</v>
      </c>
      <c r="G49" s="337" t="s">
        <v>2494</v>
      </c>
      <c r="H49" s="335" t="s">
        <v>2543</v>
      </c>
      <c r="I49" s="335" t="s">
        <v>3423</v>
      </c>
      <c r="J49" s="335"/>
      <c r="K49" s="335"/>
      <c r="L49" s="335"/>
      <c r="M49" s="335"/>
      <c r="N49" s="335"/>
      <c r="O49" s="335"/>
      <c r="P49" s="335"/>
      <c r="Q49" s="335"/>
      <c r="R49" s="335"/>
      <c r="S49" s="335"/>
      <c r="T49" s="335"/>
      <c r="U49" s="335"/>
      <c r="V49" s="335"/>
      <c r="W49" s="335"/>
      <c r="X49" s="335"/>
      <c r="Y49" s="335"/>
      <c r="Z49" s="335"/>
      <c r="AA49" s="335"/>
      <c r="AB49" s="335"/>
      <c r="AC49" s="335"/>
      <c r="AD49" s="335"/>
      <c r="AE49" s="335"/>
    </row>
    <row r="50" ht="15.75" customHeight="1">
      <c r="A50" s="335"/>
      <c r="B50" s="335" t="s">
        <v>4350</v>
      </c>
      <c r="C50" s="335"/>
      <c r="D50" s="418" t="s">
        <v>4351</v>
      </c>
      <c r="E50" s="342" t="s">
        <v>4352</v>
      </c>
      <c r="F50" s="337"/>
      <c r="G50" s="337" t="s">
        <v>2504</v>
      </c>
      <c r="H50" s="335"/>
      <c r="I50" s="356" t="s">
        <v>4353</v>
      </c>
      <c r="J50" s="335" t="s">
        <v>401</v>
      </c>
      <c r="K50" s="335"/>
      <c r="L50" s="335"/>
      <c r="M50" s="335"/>
      <c r="N50" s="335"/>
      <c r="O50" s="335"/>
      <c r="P50" s="335"/>
      <c r="Q50" s="335"/>
      <c r="R50" s="335"/>
      <c r="S50" s="335"/>
      <c r="T50" s="335"/>
      <c r="U50" s="335"/>
      <c r="V50" s="335"/>
      <c r="W50" s="335"/>
      <c r="X50" s="335"/>
      <c r="Y50" s="335"/>
      <c r="Z50" s="335"/>
      <c r="AA50" s="335"/>
      <c r="AB50" s="335"/>
      <c r="AC50" s="335"/>
      <c r="AD50" s="335"/>
      <c r="AE50" s="335"/>
    </row>
    <row r="51" ht="15.75" customHeight="1">
      <c r="A51" s="335"/>
      <c r="B51" s="343" t="s">
        <v>804</v>
      </c>
      <c r="C51" s="335"/>
      <c r="D51" s="418" t="s">
        <v>4354</v>
      </c>
      <c r="E51" s="344" t="s">
        <v>4355</v>
      </c>
      <c r="F51" s="337"/>
      <c r="G51" s="337" t="s">
        <v>2494</v>
      </c>
      <c r="H51" s="335" t="s">
        <v>2495</v>
      </c>
      <c r="I51" s="335" t="s">
        <v>4356</v>
      </c>
      <c r="J51" s="335"/>
      <c r="K51" s="335"/>
      <c r="L51" s="335"/>
      <c r="M51" s="335"/>
      <c r="N51" s="335"/>
      <c r="O51" s="335"/>
      <c r="P51" s="335"/>
      <c r="Q51" s="335"/>
      <c r="R51" s="335"/>
      <c r="S51" s="335"/>
      <c r="T51" s="335"/>
      <c r="U51" s="335"/>
      <c r="V51" s="335"/>
      <c r="W51" s="335"/>
      <c r="X51" s="335"/>
      <c r="Y51" s="335"/>
      <c r="Z51" s="335"/>
      <c r="AA51" s="335"/>
      <c r="AB51" s="335"/>
      <c r="AC51" s="335"/>
      <c r="AD51" s="335"/>
      <c r="AE51" s="335"/>
    </row>
    <row r="52" ht="15.75" hidden="1" customHeight="1">
      <c r="A52" s="334">
        <v>43150.0</v>
      </c>
      <c r="B52" s="335"/>
      <c r="C52" s="335"/>
      <c r="D52" s="335"/>
      <c r="E52" s="335"/>
      <c r="F52" s="337"/>
      <c r="G52" s="337"/>
      <c r="H52" s="335"/>
      <c r="I52" s="335"/>
      <c r="J52" s="335"/>
      <c r="K52" s="335"/>
      <c r="L52" s="335"/>
      <c r="M52" s="335"/>
      <c r="N52" s="335"/>
      <c r="O52" s="335"/>
      <c r="P52" s="335"/>
      <c r="Q52" s="335"/>
      <c r="R52" s="335"/>
      <c r="S52" s="335"/>
      <c r="T52" s="335"/>
      <c r="U52" s="335"/>
      <c r="V52" s="335"/>
      <c r="W52" s="335"/>
      <c r="X52" s="335"/>
      <c r="Y52" s="335"/>
      <c r="Z52" s="335"/>
      <c r="AA52" s="335"/>
      <c r="AB52" s="335"/>
      <c r="AC52" s="335"/>
      <c r="AD52" s="335"/>
      <c r="AE52" s="335"/>
    </row>
    <row r="53" ht="15.75" hidden="1" customHeight="1">
      <c r="A53" s="335"/>
      <c r="B53" s="335"/>
      <c r="C53" s="335"/>
      <c r="D53" s="431" t="s">
        <v>4357</v>
      </c>
      <c r="E53" s="335"/>
      <c r="F53" s="337" t="s">
        <v>3808</v>
      </c>
      <c r="G53" s="337" t="s">
        <v>2494</v>
      </c>
      <c r="H53" s="335" t="s">
        <v>2543</v>
      </c>
      <c r="I53" s="432" t="s">
        <v>2864</v>
      </c>
      <c r="J53" s="335"/>
      <c r="K53" s="335"/>
      <c r="L53" s="335"/>
      <c r="M53" s="335"/>
      <c r="N53" s="335"/>
      <c r="O53" s="335"/>
      <c r="P53" s="335"/>
      <c r="Q53" s="335"/>
      <c r="R53" s="335"/>
      <c r="S53" s="335"/>
      <c r="T53" s="335"/>
      <c r="U53" s="335"/>
      <c r="V53" s="335"/>
      <c r="W53" s="335"/>
      <c r="X53" s="335"/>
      <c r="Y53" s="335"/>
      <c r="Z53" s="335"/>
      <c r="AA53" s="335"/>
      <c r="AB53" s="335"/>
      <c r="AC53" s="335"/>
      <c r="AD53" s="335"/>
      <c r="AE53" s="335"/>
    </row>
    <row r="54" ht="15.75" customHeight="1">
      <c r="A54" s="335"/>
      <c r="B54" s="335" t="s">
        <v>4358</v>
      </c>
      <c r="C54" s="335"/>
      <c r="D54" s="418" t="s">
        <v>4359</v>
      </c>
      <c r="E54" s="335"/>
      <c r="F54" s="337" t="s">
        <v>4300</v>
      </c>
      <c r="G54" s="337" t="s">
        <v>2494</v>
      </c>
      <c r="H54" s="335"/>
      <c r="I54" s="335"/>
      <c r="J54" s="335"/>
      <c r="K54" s="335"/>
      <c r="L54" s="335"/>
      <c r="M54" s="335"/>
      <c r="N54" s="335"/>
      <c r="O54" s="335"/>
      <c r="P54" s="335"/>
      <c r="Q54" s="335"/>
      <c r="R54" s="335"/>
      <c r="S54" s="335"/>
      <c r="T54" s="335"/>
      <c r="U54" s="335"/>
      <c r="V54" s="335"/>
      <c r="W54" s="335"/>
      <c r="X54" s="335"/>
      <c r="Y54" s="335"/>
      <c r="Z54" s="335"/>
      <c r="AA54" s="335"/>
      <c r="AB54" s="335"/>
      <c r="AC54" s="335"/>
      <c r="AD54" s="335"/>
      <c r="AE54" s="335"/>
    </row>
    <row r="55" ht="15.75" hidden="1" customHeight="1">
      <c r="A55" s="334">
        <v>43151.0</v>
      </c>
      <c r="B55" s="335"/>
      <c r="C55" s="335"/>
      <c r="D55" s="335"/>
      <c r="E55" s="335"/>
      <c r="F55" s="337"/>
      <c r="G55" s="337"/>
      <c r="H55" s="335"/>
      <c r="I55" s="335"/>
      <c r="J55" s="335"/>
      <c r="K55" s="335"/>
      <c r="L55" s="335"/>
      <c r="M55" s="335"/>
      <c r="N55" s="335"/>
      <c r="O55" s="335"/>
      <c r="P55" s="335"/>
      <c r="Q55" s="335"/>
      <c r="R55" s="335"/>
      <c r="S55" s="335"/>
      <c r="T55" s="335"/>
      <c r="U55" s="335"/>
      <c r="V55" s="335"/>
      <c r="W55" s="335"/>
      <c r="X55" s="335"/>
      <c r="Y55" s="335"/>
      <c r="Z55" s="335"/>
      <c r="AA55" s="335"/>
      <c r="AB55" s="335"/>
      <c r="AC55" s="335"/>
      <c r="AD55" s="335"/>
      <c r="AE55" s="335"/>
    </row>
    <row r="56" ht="15.75" hidden="1" customHeight="1">
      <c r="A56" s="335"/>
      <c r="B56" s="335" t="s">
        <v>4360</v>
      </c>
      <c r="C56" s="335"/>
      <c r="D56" s="419" t="s">
        <v>4361</v>
      </c>
      <c r="E56" s="342" t="s">
        <v>4362</v>
      </c>
      <c r="F56" s="337"/>
      <c r="G56" s="337" t="s">
        <v>2504</v>
      </c>
      <c r="H56" s="335"/>
      <c r="I56" s="335" t="s">
        <v>4363</v>
      </c>
      <c r="J56" s="335"/>
      <c r="K56" s="335"/>
      <c r="L56" s="335"/>
      <c r="M56" s="335"/>
      <c r="N56" s="335"/>
      <c r="O56" s="335"/>
      <c r="P56" s="335"/>
      <c r="Q56" s="335"/>
      <c r="R56" s="335"/>
      <c r="S56" s="335"/>
      <c r="T56" s="335"/>
      <c r="U56" s="335"/>
      <c r="V56" s="335"/>
      <c r="W56" s="335"/>
      <c r="X56" s="335"/>
      <c r="Y56" s="335"/>
      <c r="Z56" s="335"/>
      <c r="AA56" s="335"/>
      <c r="AB56" s="335"/>
      <c r="AC56" s="335"/>
      <c r="AD56" s="335"/>
      <c r="AE56" s="335"/>
    </row>
    <row r="57" ht="15.75" hidden="1" customHeight="1">
      <c r="A57" s="335"/>
      <c r="B57" s="343" t="s">
        <v>4364</v>
      </c>
      <c r="C57" s="335"/>
      <c r="D57" s="419" t="s">
        <v>4365</v>
      </c>
      <c r="E57" s="344" t="s">
        <v>4366</v>
      </c>
      <c r="F57" s="337"/>
      <c r="G57" s="337" t="s">
        <v>2494</v>
      </c>
      <c r="H57" s="335"/>
      <c r="I57" s="360" t="s">
        <v>4211</v>
      </c>
      <c r="J57" s="335" t="s">
        <v>16</v>
      </c>
      <c r="K57" s="335"/>
      <c r="L57" s="335"/>
      <c r="M57" s="335"/>
      <c r="N57" s="335"/>
      <c r="O57" s="335"/>
      <c r="P57" s="335"/>
      <c r="Q57" s="335"/>
      <c r="R57" s="335"/>
      <c r="S57" s="335"/>
      <c r="T57" s="335"/>
      <c r="U57" s="335"/>
      <c r="V57" s="335"/>
      <c r="W57" s="335"/>
      <c r="X57" s="335"/>
      <c r="Y57" s="335"/>
      <c r="Z57" s="335"/>
      <c r="AA57" s="335"/>
      <c r="AB57" s="335"/>
      <c r="AC57" s="335"/>
      <c r="AD57" s="335"/>
      <c r="AE57" s="335"/>
    </row>
    <row r="58" ht="15.75" hidden="1" customHeight="1">
      <c r="A58" s="335"/>
      <c r="B58" s="335" t="s">
        <v>4367</v>
      </c>
      <c r="C58" s="335"/>
      <c r="D58" s="419" t="s">
        <v>4368</v>
      </c>
      <c r="E58" s="335"/>
      <c r="F58" s="337"/>
      <c r="G58" s="337" t="s">
        <v>2494</v>
      </c>
      <c r="H58" s="335" t="s">
        <v>2495</v>
      </c>
      <c r="I58" s="355" t="s">
        <v>2872</v>
      </c>
      <c r="J58" s="335"/>
      <c r="K58" s="335"/>
      <c r="L58" s="335"/>
      <c r="M58" s="335"/>
      <c r="N58" s="335"/>
      <c r="O58" s="335"/>
      <c r="P58" s="335"/>
      <c r="Q58" s="335"/>
      <c r="R58" s="335"/>
      <c r="S58" s="335"/>
      <c r="T58" s="335"/>
      <c r="U58" s="335"/>
      <c r="V58" s="335"/>
      <c r="W58" s="335"/>
      <c r="X58" s="335"/>
      <c r="Y58" s="335"/>
      <c r="Z58" s="335"/>
      <c r="AA58" s="335"/>
      <c r="AB58" s="335"/>
      <c r="AC58" s="335"/>
      <c r="AD58" s="335"/>
      <c r="AE58" s="335"/>
    </row>
    <row r="59" ht="15.75" hidden="1" customHeight="1">
      <c r="A59" s="334">
        <v>43152.0</v>
      </c>
      <c r="B59" s="335"/>
      <c r="C59" s="335"/>
      <c r="D59" s="335"/>
      <c r="E59" s="335"/>
      <c r="F59" s="337"/>
      <c r="G59" s="337"/>
      <c r="H59" s="335"/>
      <c r="I59" s="335"/>
      <c r="J59" s="335"/>
      <c r="K59" s="335"/>
      <c r="L59" s="335"/>
      <c r="M59" s="335"/>
      <c r="N59" s="335"/>
      <c r="O59" s="335"/>
      <c r="P59" s="335"/>
      <c r="Q59" s="335"/>
      <c r="R59" s="335"/>
      <c r="S59" s="335"/>
      <c r="T59" s="335"/>
      <c r="U59" s="335"/>
      <c r="V59" s="335"/>
      <c r="W59" s="335"/>
      <c r="X59" s="335"/>
      <c r="Y59" s="335"/>
      <c r="Z59" s="335"/>
      <c r="AA59" s="335"/>
      <c r="AB59" s="335"/>
      <c r="AC59" s="335"/>
      <c r="AD59" s="335"/>
      <c r="AE59" s="335"/>
    </row>
    <row r="60" ht="15.75" customHeight="1">
      <c r="A60" s="335"/>
      <c r="B60" s="349" t="s">
        <v>4369</v>
      </c>
      <c r="C60" s="335"/>
      <c r="D60" s="418" t="s">
        <v>4370</v>
      </c>
      <c r="E60" s="350" t="s">
        <v>4371</v>
      </c>
      <c r="F60" s="337"/>
      <c r="G60" s="351" t="s">
        <v>2649</v>
      </c>
      <c r="H60" s="352" t="s">
        <v>4372</v>
      </c>
      <c r="I60" s="433" t="s">
        <v>4373</v>
      </c>
      <c r="J60" s="335" t="s">
        <v>401</v>
      </c>
      <c r="K60" s="335"/>
      <c r="L60" s="335"/>
      <c r="M60" s="335"/>
      <c r="N60" s="335"/>
      <c r="O60" s="335"/>
      <c r="P60" s="335"/>
      <c r="Q60" s="335"/>
      <c r="R60" s="335"/>
      <c r="S60" s="335"/>
      <c r="T60" s="335"/>
      <c r="U60" s="335"/>
      <c r="V60" s="335"/>
      <c r="W60" s="335"/>
      <c r="X60" s="335"/>
      <c r="Y60" s="335"/>
      <c r="Z60" s="335"/>
      <c r="AA60" s="335"/>
      <c r="AB60" s="335"/>
      <c r="AC60" s="335"/>
      <c r="AD60" s="335"/>
      <c r="AE60" s="335"/>
    </row>
    <row r="61" ht="15.75" hidden="1" customHeight="1">
      <c r="A61" s="335"/>
      <c r="B61" s="335" t="s">
        <v>4374</v>
      </c>
      <c r="C61" s="335"/>
      <c r="D61" s="335"/>
      <c r="E61" s="335" t="s">
        <v>4375</v>
      </c>
      <c r="F61" s="337"/>
      <c r="G61" s="337"/>
      <c r="H61" s="335"/>
      <c r="I61" s="335" t="s">
        <v>4376</v>
      </c>
      <c r="J61" s="335"/>
      <c r="K61" s="335"/>
      <c r="L61" s="335"/>
      <c r="M61" s="335"/>
      <c r="N61" s="335"/>
      <c r="O61" s="335"/>
      <c r="P61" s="335"/>
      <c r="Q61" s="335"/>
      <c r="R61" s="335"/>
      <c r="S61" s="335"/>
      <c r="T61" s="335"/>
      <c r="U61" s="335"/>
      <c r="V61" s="335"/>
      <c r="W61" s="335"/>
      <c r="X61" s="335"/>
      <c r="Y61" s="335"/>
      <c r="Z61" s="335"/>
      <c r="AA61" s="335"/>
      <c r="AB61" s="335"/>
      <c r="AC61" s="335"/>
      <c r="AD61" s="335"/>
      <c r="AE61" s="335"/>
    </row>
    <row r="62" ht="15.75" hidden="1" customHeight="1">
      <c r="A62" s="335"/>
      <c r="B62" s="335" t="s">
        <v>4377</v>
      </c>
      <c r="C62" s="335"/>
      <c r="D62" s="419" t="s">
        <v>4378</v>
      </c>
      <c r="E62" s="335"/>
      <c r="F62" s="337"/>
      <c r="G62" s="337" t="s">
        <v>2494</v>
      </c>
      <c r="H62" s="335" t="s">
        <v>2543</v>
      </c>
      <c r="I62" s="335" t="s">
        <v>4379</v>
      </c>
      <c r="J62" s="335"/>
      <c r="K62" s="335"/>
      <c r="L62" s="335"/>
      <c r="M62" s="335"/>
      <c r="N62" s="335"/>
      <c r="O62" s="335"/>
      <c r="P62" s="335"/>
      <c r="Q62" s="335"/>
      <c r="R62" s="335"/>
      <c r="S62" s="335"/>
      <c r="T62" s="335"/>
      <c r="U62" s="335"/>
      <c r="V62" s="335"/>
      <c r="W62" s="335"/>
      <c r="X62" s="335"/>
      <c r="Y62" s="335"/>
      <c r="Z62" s="335"/>
      <c r="AA62" s="335"/>
      <c r="AB62" s="335"/>
      <c r="AC62" s="335"/>
      <c r="AD62" s="335"/>
      <c r="AE62" s="335"/>
    </row>
    <row r="63" ht="15.75" hidden="1" customHeight="1">
      <c r="A63" s="334">
        <v>43153.0</v>
      </c>
      <c r="B63" s="335"/>
      <c r="C63" s="335"/>
      <c r="D63" s="335"/>
      <c r="E63" s="335"/>
      <c r="F63" s="337"/>
      <c r="G63" s="337"/>
      <c r="H63" s="335"/>
      <c r="I63" s="335"/>
      <c r="J63" s="335"/>
      <c r="K63" s="335"/>
      <c r="L63" s="335"/>
      <c r="M63" s="335"/>
      <c r="N63" s="335"/>
      <c r="O63" s="335"/>
      <c r="P63" s="335"/>
      <c r="Q63" s="335"/>
      <c r="R63" s="335"/>
      <c r="S63" s="335"/>
      <c r="T63" s="335"/>
      <c r="U63" s="335"/>
      <c r="V63" s="335"/>
      <c r="W63" s="335"/>
      <c r="X63" s="335"/>
      <c r="Y63" s="335"/>
      <c r="Z63" s="335"/>
      <c r="AA63" s="335"/>
      <c r="AB63" s="335"/>
      <c r="AC63" s="335"/>
      <c r="AD63" s="335"/>
      <c r="AE63" s="335"/>
    </row>
    <row r="64" ht="15.75" hidden="1" customHeight="1">
      <c r="A64" s="334"/>
      <c r="B64" s="343" t="s">
        <v>4380</v>
      </c>
      <c r="C64" s="335"/>
      <c r="D64" s="419" t="s">
        <v>4381</v>
      </c>
      <c r="E64" s="344" t="s">
        <v>4382</v>
      </c>
      <c r="F64" s="337"/>
      <c r="G64" s="337" t="s">
        <v>2494</v>
      </c>
      <c r="H64" s="335" t="s">
        <v>2495</v>
      </c>
      <c r="I64" s="355" t="s">
        <v>2907</v>
      </c>
      <c r="J64" s="335" t="s">
        <v>16</v>
      </c>
      <c r="K64" s="335"/>
      <c r="L64" s="335"/>
      <c r="M64" s="335"/>
      <c r="N64" s="335"/>
      <c r="O64" s="335"/>
      <c r="P64" s="335"/>
      <c r="Q64" s="335"/>
      <c r="R64" s="335"/>
      <c r="S64" s="335"/>
      <c r="T64" s="335"/>
      <c r="U64" s="335"/>
      <c r="V64" s="335"/>
      <c r="W64" s="335"/>
      <c r="X64" s="335"/>
      <c r="Y64" s="335"/>
      <c r="Z64" s="335"/>
      <c r="AA64" s="335"/>
      <c r="AB64" s="335"/>
      <c r="AC64" s="335"/>
      <c r="AD64" s="335"/>
      <c r="AE64" s="335"/>
    </row>
    <row r="65" ht="15.75" hidden="1" customHeight="1">
      <c r="A65" s="334">
        <v>43155.0</v>
      </c>
      <c r="B65" s="335"/>
      <c r="C65" s="335"/>
      <c r="D65" s="335"/>
      <c r="E65" s="335"/>
      <c r="F65" s="337"/>
      <c r="G65" s="337"/>
      <c r="H65" s="335"/>
      <c r="I65" s="335"/>
      <c r="J65" s="335"/>
      <c r="K65" s="335"/>
      <c r="L65" s="335"/>
      <c r="M65" s="335"/>
      <c r="N65" s="335"/>
      <c r="O65" s="335"/>
      <c r="P65" s="335"/>
      <c r="Q65" s="335"/>
      <c r="R65" s="335"/>
      <c r="S65" s="335"/>
      <c r="T65" s="335"/>
      <c r="U65" s="335"/>
      <c r="V65" s="335"/>
      <c r="W65" s="335"/>
      <c r="X65" s="335"/>
      <c r="Y65" s="335"/>
      <c r="Z65" s="335"/>
      <c r="AA65" s="335"/>
      <c r="AB65" s="335"/>
      <c r="AC65" s="335"/>
      <c r="AD65" s="335"/>
      <c r="AE65" s="335"/>
    </row>
    <row r="66" ht="15.75" customHeight="1">
      <c r="A66" s="334"/>
      <c r="B66" s="343" t="s">
        <v>4383</v>
      </c>
      <c r="C66" s="335"/>
      <c r="D66" s="359">
        <v>5.24224969E8</v>
      </c>
      <c r="E66" s="344" t="s">
        <v>4384</v>
      </c>
      <c r="F66" s="337"/>
      <c r="G66" s="337" t="s">
        <v>2494</v>
      </c>
      <c r="H66" s="335" t="s">
        <v>2495</v>
      </c>
      <c r="I66" s="360" t="s">
        <v>4211</v>
      </c>
      <c r="J66" s="335" t="s">
        <v>16</v>
      </c>
      <c r="K66" s="335"/>
      <c r="L66" s="335"/>
      <c r="M66" s="335"/>
      <c r="N66" s="335"/>
      <c r="O66" s="335"/>
      <c r="P66" s="335"/>
      <c r="Q66" s="335"/>
      <c r="R66" s="335"/>
      <c r="S66" s="335"/>
      <c r="T66" s="335"/>
      <c r="U66" s="335"/>
      <c r="V66" s="335"/>
      <c r="W66" s="335"/>
      <c r="X66" s="335"/>
      <c r="Y66" s="335"/>
      <c r="Z66" s="335"/>
      <c r="AA66" s="335"/>
      <c r="AB66" s="335"/>
      <c r="AC66" s="335"/>
      <c r="AD66" s="335"/>
      <c r="AE66" s="335"/>
    </row>
    <row r="67" ht="15.75" hidden="1" customHeight="1">
      <c r="A67" s="334">
        <v>43156.0</v>
      </c>
      <c r="B67" s="335"/>
      <c r="C67" s="335"/>
      <c r="D67" s="335"/>
      <c r="E67" s="335"/>
      <c r="F67" s="337"/>
      <c r="G67" s="337"/>
      <c r="H67" s="335"/>
      <c r="I67" s="335"/>
      <c r="J67" s="335"/>
      <c r="K67" s="335"/>
      <c r="L67" s="335"/>
      <c r="M67" s="335"/>
      <c r="N67" s="335"/>
      <c r="O67" s="335"/>
      <c r="P67" s="335"/>
      <c r="Q67" s="335"/>
      <c r="R67" s="335"/>
      <c r="S67" s="335"/>
      <c r="T67" s="335"/>
      <c r="U67" s="335"/>
      <c r="V67" s="335"/>
      <c r="W67" s="335"/>
      <c r="X67" s="335"/>
      <c r="Y67" s="335"/>
      <c r="Z67" s="335"/>
      <c r="AA67" s="335"/>
      <c r="AB67" s="335"/>
      <c r="AC67" s="335"/>
      <c r="AD67" s="335"/>
      <c r="AE67" s="335"/>
    </row>
    <row r="68" ht="15.75" hidden="1" customHeight="1">
      <c r="A68" s="334"/>
      <c r="B68" s="343" t="s">
        <v>4385</v>
      </c>
      <c r="C68" s="335"/>
      <c r="D68" s="419" t="s">
        <v>4386</v>
      </c>
      <c r="E68" s="344" t="s">
        <v>4387</v>
      </c>
      <c r="F68" s="337"/>
      <c r="G68" s="337" t="s">
        <v>2494</v>
      </c>
      <c r="H68" s="335" t="s">
        <v>2543</v>
      </c>
      <c r="I68" s="335" t="s">
        <v>3445</v>
      </c>
      <c r="J68" s="335"/>
      <c r="K68" s="335"/>
      <c r="L68" s="335"/>
      <c r="M68" s="335"/>
      <c r="N68" s="335"/>
      <c r="O68" s="335"/>
      <c r="P68" s="335"/>
      <c r="Q68" s="335"/>
      <c r="R68" s="335"/>
      <c r="S68" s="335"/>
      <c r="T68" s="335"/>
      <c r="U68" s="335"/>
      <c r="V68" s="335"/>
      <c r="W68" s="335"/>
      <c r="X68" s="335"/>
      <c r="Y68" s="335"/>
      <c r="Z68" s="335"/>
      <c r="AA68" s="335"/>
      <c r="AB68" s="335"/>
      <c r="AC68" s="335"/>
      <c r="AD68" s="335"/>
      <c r="AE68" s="335"/>
    </row>
    <row r="69" ht="15.75" hidden="1" customHeight="1">
      <c r="A69" s="334">
        <v>43158.0</v>
      </c>
      <c r="B69" s="335"/>
      <c r="C69" s="335"/>
      <c r="D69" s="335"/>
      <c r="E69" s="335"/>
      <c r="F69" s="337"/>
      <c r="G69" s="337"/>
      <c r="H69" s="335"/>
      <c r="I69" s="335"/>
      <c r="J69" s="335"/>
      <c r="K69" s="335"/>
      <c r="L69" s="335"/>
      <c r="M69" s="335"/>
      <c r="N69" s="335"/>
      <c r="O69" s="335"/>
      <c r="P69" s="335"/>
      <c r="Q69" s="335"/>
      <c r="R69" s="335"/>
      <c r="S69" s="335"/>
      <c r="T69" s="335"/>
      <c r="U69" s="335"/>
      <c r="V69" s="335"/>
      <c r="W69" s="335"/>
      <c r="X69" s="335"/>
      <c r="Y69" s="335"/>
      <c r="Z69" s="335"/>
      <c r="AA69" s="335"/>
      <c r="AB69" s="335"/>
      <c r="AC69" s="335"/>
      <c r="AD69" s="335"/>
      <c r="AE69" s="335"/>
    </row>
    <row r="70" ht="15.75" customHeight="1">
      <c r="A70" s="335"/>
      <c r="B70" s="343" t="s">
        <v>1501</v>
      </c>
      <c r="C70" s="335"/>
      <c r="D70" s="418" t="s">
        <v>4388</v>
      </c>
      <c r="E70" s="344" t="s">
        <v>4389</v>
      </c>
      <c r="F70" s="337"/>
      <c r="G70" s="337" t="s">
        <v>2494</v>
      </c>
      <c r="H70" s="335" t="s">
        <v>2543</v>
      </c>
      <c r="I70" s="335" t="s">
        <v>2943</v>
      </c>
      <c r="J70" s="335"/>
      <c r="K70" s="335"/>
      <c r="L70" s="335"/>
      <c r="M70" s="335"/>
      <c r="N70" s="335"/>
      <c r="O70" s="335"/>
      <c r="P70" s="335"/>
      <c r="Q70" s="335"/>
      <c r="R70" s="335"/>
      <c r="S70" s="335"/>
      <c r="T70" s="335"/>
      <c r="U70" s="335"/>
      <c r="V70" s="335"/>
      <c r="W70" s="335"/>
      <c r="X70" s="335"/>
      <c r="Y70" s="335"/>
      <c r="Z70" s="335"/>
      <c r="AA70" s="335"/>
      <c r="AB70" s="335"/>
      <c r="AC70" s="335"/>
      <c r="AD70" s="335"/>
      <c r="AE70" s="335"/>
    </row>
    <row r="71" ht="15.75" customHeight="1">
      <c r="A71" s="335"/>
      <c r="B71" s="349" t="s">
        <v>4390</v>
      </c>
      <c r="C71" s="335"/>
      <c r="D71" s="418" t="s">
        <v>4391</v>
      </c>
      <c r="E71" s="350" t="s">
        <v>4392</v>
      </c>
      <c r="F71" s="337"/>
      <c r="G71" s="351" t="s">
        <v>2649</v>
      </c>
      <c r="H71" s="352" t="s">
        <v>2543</v>
      </c>
      <c r="I71" s="352" t="s">
        <v>2544</v>
      </c>
      <c r="J71" s="335"/>
      <c r="K71" s="335"/>
      <c r="L71" s="335"/>
      <c r="M71" s="335"/>
      <c r="N71" s="335"/>
      <c r="O71" s="335"/>
      <c r="P71" s="335"/>
      <c r="Q71" s="335"/>
      <c r="R71" s="335"/>
      <c r="S71" s="335"/>
      <c r="T71" s="335"/>
      <c r="U71" s="335"/>
      <c r="V71" s="335"/>
      <c r="W71" s="335"/>
      <c r="X71" s="335"/>
      <c r="Y71" s="335"/>
      <c r="Z71" s="335"/>
      <c r="AA71" s="335"/>
      <c r="AB71" s="335"/>
      <c r="AC71" s="335"/>
      <c r="AD71" s="335"/>
      <c r="AE71" s="335"/>
    </row>
    <row r="72" ht="15.75" customHeight="1">
      <c r="A72" s="335"/>
      <c r="B72" s="343" t="s">
        <v>4393</v>
      </c>
      <c r="C72" s="335"/>
      <c r="D72" s="418" t="s">
        <v>4394</v>
      </c>
      <c r="E72" s="344" t="s">
        <v>4395</v>
      </c>
      <c r="F72" s="337"/>
      <c r="G72" s="337" t="s">
        <v>2494</v>
      </c>
      <c r="H72" s="335" t="s">
        <v>2543</v>
      </c>
      <c r="I72" s="355" t="s">
        <v>4396</v>
      </c>
      <c r="J72" s="335"/>
      <c r="K72" s="335"/>
      <c r="L72" s="335"/>
      <c r="M72" s="335"/>
      <c r="N72" s="335"/>
      <c r="O72" s="335"/>
      <c r="P72" s="335"/>
      <c r="Q72" s="335"/>
      <c r="R72" s="335"/>
      <c r="S72" s="335"/>
      <c r="T72" s="335"/>
      <c r="U72" s="335"/>
      <c r="V72" s="335"/>
      <c r="W72" s="335"/>
      <c r="X72" s="335"/>
      <c r="Y72" s="335"/>
      <c r="Z72" s="335"/>
      <c r="AA72" s="335"/>
      <c r="AB72" s="335"/>
      <c r="AC72" s="335"/>
      <c r="AD72" s="335"/>
      <c r="AE72" s="335"/>
    </row>
    <row r="73" ht="15.75" hidden="1" customHeight="1">
      <c r="A73" s="335"/>
      <c r="B73" s="343" t="s">
        <v>4397</v>
      </c>
      <c r="C73" s="335"/>
      <c r="D73" s="419" t="s">
        <v>4398</v>
      </c>
      <c r="E73" s="344" t="s">
        <v>4399</v>
      </c>
      <c r="F73" s="337"/>
      <c r="G73" s="337"/>
      <c r="H73" s="335" t="s">
        <v>2495</v>
      </c>
      <c r="I73" s="355" t="s">
        <v>4400</v>
      </c>
      <c r="J73" s="335" t="s">
        <v>16</v>
      </c>
      <c r="K73" s="335"/>
      <c r="L73" s="335"/>
      <c r="M73" s="335"/>
      <c r="N73" s="335"/>
      <c r="O73" s="335"/>
      <c r="P73" s="335"/>
      <c r="Q73" s="335"/>
      <c r="R73" s="335"/>
      <c r="S73" s="335"/>
      <c r="T73" s="335"/>
      <c r="U73" s="335"/>
      <c r="V73" s="335"/>
      <c r="W73" s="335"/>
      <c r="X73" s="335"/>
      <c r="Y73" s="335"/>
      <c r="Z73" s="335"/>
      <c r="AA73" s="335"/>
      <c r="AB73" s="335"/>
      <c r="AC73" s="335"/>
      <c r="AD73" s="335"/>
      <c r="AE73" s="335"/>
    </row>
    <row r="74" ht="15.75" hidden="1" customHeight="1">
      <c r="A74" s="335"/>
      <c r="B74" s="335" t="s">
        <v>4401</v>
      </c>
      <c r="C74" s="335"/>
      <c r="D74" s="419" t="s">
        <v>4402</v>
      </c>
      <c r="E74" s="335"/>
      <c r="F74" s="337"/>
      <c r="G74" s="337"/>
      <c r="H74" s="335" t="s">
        <v>2495</v>
      </c>
      <c r="I74" s="335" t="s">
        <v>4403</v>
      </c>
      <c r="J74" s="335"/>
      <c r="K74" s="335" t="s">
        <v>4404</v>
      </c>
      <c r="L74" s="335"/>
      <c r="M74" s="335"/>
      <c r="N74" s="335"/>
      <c r="O74" s="335"/>
      <c r="P74" s="335"/>
      <c r="Q74" s="335"/>
      <c r="R74" s="335"/>
      <c r="S74" s="335"/>
      <c r="T74" s="335"/>
      <c r="U74" s="335"/>
      <c r="V74" s="335"/>
      <c r="W74" s="335"/>
      <c r="X74" s="335"/>
      <c r="Y74" s="335"/>
      <c r="Z74" s="335"/>
      <c r="AA74" s="335"/>
      <c r="AB74" s="335"/>
      <c r="AC74" s="335"/>
      <c r="AD74" s="335"/>
      <c r="AE74" s="335"/>
    </row>
    <row r="75" ht="15.75" hidden="1" customHeight="1">
      <c r="A75" s="335"/>
      <c r="B75" s="335" t="s">
        <v>4405</v>
      </c>
      <c r="C75" s="335"/>
      <c r="D75" s="419" t="s">
        <v>4406</v>
      </c>
      <c r="E75" s="335"/>
      <c r="F75" s="337"/>
      <c r="G75" s="337" t="s">
        <v>2494</v>
      </c>
      <c r="H75" s="335" t="s">
        <v>2495</v>
      </c>
      <c r="I75" s="335" t="s">
        <v>4403</v>
      </c>
      <c r="J75" s="335"/>
      <c r="K75" s="335"/>
      <c r="L75" s="335"/>
      <c r="M75" s="335"/>
      <c r="N75" s="335"/>
      <c r="O75" s="335"/>
      <c r="P75" s="335"/>
      <c r="Q75" s="335"/>
      <c r="R75" s="335"/>
      <c r="S75" s="335"/>
      <c r="T75" s="335"/>
      <c r="U75" s="335"/>
      <c r="V75" s="335"/>
      <c r="W75" s="335"/>
      <c r="X75" s="335"/>
      <c r="Y75" s="335"/>
      <c r="Z75" s="335"/>
      <c r="AA75" s="335"/>
      <c r="AB75" s="335"/>
      <c r="AC75" s="335"/>
      <c r="AD75" s="335"/>
      <c r="AE75" s="335"/>
    </row>
    <row r="76" ht="15.75" hidden="1" customHeight="1">
      <c r="A76" s="334"/>
      <c r="B76" s="343" t="s">
        <v>4407</v>
      </c>
      <c r="C76" s="335"/>
      <c r="D76" s="419" t="s">
        <v>4408</v>
      </c>
      <c r="E76" s="344" t="s">
        <v>4409</v>
      </c>
      <c r="F76" s="337"/>
      <c r="G76" s="337" t="s">
        <v>2494</v>
      </c>
      <c r="H76" s="335" t="s">
        <v>2495</v>
      </c>
      <c r="I76" s="335" t="s">
        <v>4400</v>
      </c>
      <c r="J76" s="335" t="s">
        <v>16</v>
      </c>
      <c r="K76" s="335"/>
      <c r="L76" s="335"/>
      <c r="M76" s="335"/>
      <c r="N76" s="335"/>
      <c r="O76" s="335"/>
      <c r="P76" s="335"/>
      <c r="Q76" s="335"/>
      <c r="R76" s="335"/>
      <c r="S76" s="335"/>
      <c r="T76" s="335"/>
      <c r="U76" s="335"/>
      <c r="V76" s="335"/>
      <c r="W76" s="335"/>
      <c r="X76" s="335"/>
      <c r="Y76" s="335"/>
      <c r="Z76" s="335"/>
      <c r="AA76" s="335"/>
      <c r="AB76" s="335"/>
      <c r="AC76" s="335"/>
      <c r="AD76" s="335"/>
      <c r="AE76" s="335"/>
    </row>
    <row r="77" ht="15.75" customHeight="1">
      <c r="A77" s="334"/>
      <c r="B77" s="343" t="s">
        <v>4410</v>
      </c>
      <c r="C77" s="335"/>
      <c r="D77" s="418" t="s">
        <v>4411</v>
      </c>
      <c r="E77" s="344" t="s">
        <v>4412</v>
      </c>
      <c r="F77" s="337"/>
      <c r="G77" s="337" t="s">
        <v>2494</v>
      </c>
      <c r="H77" s="335" t="s">
        <v>2495</v>
      </c>
      <c r="I77" s="335" t="s">
        <v>4403</v>
      </c>
      <c r="J77" s="335"/>
      <c r="K77" s="335"/>
      <c r="L77" s="335"/>
      <c r="M77" s="335"/>
      <c r="N77" s="335"/>
      <c r="O77" s="335"/>
      <c r="P77" s="335"/>
      <c r="Q77" s="335"/>
      <c r="R77" s="335"/>
      <c r="S77" s="335"/>
      <c r="T77" s="335"/>
      <c r="U77" s="335"/>
      <c r="V77" s="335"/>
      <c r="W77" s="335"/>
      <c r="X77" s="335"/>
      <c r="Y77" s="335"/>
      <c r="Z77" s="335"/>
      <c r="AA77" s="335"/>
      <c r="AB77" s="335"/>
      <c r="AC77" s="335"/>
      <c r="AD77" s="335"/>
      <c r="AE77" s="335"/>
    </row>
    <row r="78" ht="15.75" hidden="1" customHeight="1">
      <c r="A78" s="334">
        <v>43159.0</v>
      </c>
      <c r="B78" s="335"/>
      <c r="C78" s="335"/>
      <c r="D78" s="335"/>
      <c r="E78" s="335"/>
      <c r="F78" s="337"/>
      <c r="G78" s="337"/>
      <c r="H78" s="335"/>
      <c r="I78" s="335"/>
      <c r="J78" s="335"/>
      <c r="K78" s="335"/>
      <c r="L78" s="335"/>
      <c r="M78" s="335"/>
      <c r="N78" s="335"/>
      <c r="O78" s="335"/>
      <c r="P78" s="335"/>
      <c r="Q78" s="335"/>
      <c r="R78" s="335"/>
      <c r="S78" s="335"/>
      <c r="T78" s="335"/>
      <c r="U78" s="335"/>
      <c r="V78" s="335"/>
      <c r="W78" s="335"/>
      <c r="X78" s="335"/>
      <c r="Y78" s="335"/>
      <c r="Z78" s="335"/>
      <c r="AA78" s="335"/>
      <c r="AB78" s="335"/>
      <c r="AC78" s="335"/>
      <c r="AD78" s="335"/>
      <c r="AE78" s="335"/>
    </row>
    <row r="79" ht="15.75" customHeight="1">
      <c r="A79" s="335"/>
      <c r="B79" s="343" t="s">
        <v>4413</v>
      </c>
      <c r="C79" s="335"/>
      <c r="D79" s="418" t="s">
        <v>4414</v>
      </c>
      <c r="E79" s="344" t="s">
        <v>4415</v>
      </c>
      <c r="F79" s="337"/>
      <c r="G79" s="337" t="s">
        <v>2494</v>
      </c>
      <c r="H79" s="335" t="s">
        <v>2495</v>
      </c>
      <c r="I79" s="360" t="s">
        <v>4211</v>
      </c>
      <c r="J79" s="335" t="s">
        <v>16</v>
      </c>
      <c r="K79" s="335"/>
      <c r="L79" s="335"/>
      <c r="M79" s="335"/>
      <c r="N79" s="335"/>
      <c r="O79" s="335"/>
      <c r="P79" s="335"/>
      <c r="Q79" s="335"/>
      <c r="R79" s="335"/>
      <c r="S79" s="335"/>
      <c r="T79" s="335"/>
      <c r="U79" s="335"/>
      <c r="V79" s="335"/>
      <c r="W79" s="335"/>
      <c r="X79" s="335"/>
      <c r="Y79" s="335"/>
      <c r="Z79" s="335"/>
      <c r="AA79" s="335"/>
      <c r="AB79" s="335"/>
      <c r="AC79" s="335"/>
      <c r="AD79" s="335"/>
      <c r="AE79" s="335"/>
    </row>
    <row r="80" ht="15.75" hidden="1" customHeight="1">
      <c r="A80" s="335"/>
      <c r="B80" s="362" t="s">
        <v>4416</v>
      </c>
      <c r="C80" s="335"/>
      <c r="D80" s="419" t="s">
        <v>4417</v>
      </c>
      <c r="E80" s="363" t="s">
        <v>4418</v>
      </c>
      <c r="F80" s="337"/>
      <c r="G80" s="337" t="s">
        <v>2494</v>
      </c>
      <c r="H80" s="335" t="s">
        <v>2495</v>
      </c>
      <c r="I80" s="391" t="s">
        <v>4419</v>
      </c>
      <c r="J80" s="335" t="s">
        <v>16</v>
      </c>
      <c r="K80" s="335"/>
      <c r="L80" s="335"/>
      <c r="M80" s="335"/>
      <c r="N80" s="335"/>
      <c r="O80" s="335"/>
      <c r="P80" s="335"/>
      <c r="Q80" s="335"/>
      <c r="R80" s="335"/>
      <c r="S80" s="335"/>
      <c r="T80" s="335"/>
      <c r="U80" s="335"/>
      <c r="V80" s="335"/>
      <c r="W80" s="335"/>
      <c r="X80" s="335"/>
      <c r="Y80" s="335"/>
      <c r="Z80" s="335"/>
      <c r="AA80" s="335"/>
      <c r="AB80" s="335"/>
      <c r="AC80" s="335"/>
      <c r="AD80" s="335"/>
      <c r="AE80" s="335"/>
    </row>
    <row r="81" ht="15.75" hidden="1" customHeight="1">
      <c r="A81" s="335"/>
      <c r="B81" s="362" t="s">
        <v>4420</v>
      </c>
      <c r="C81" s="335"/>
      <c r="D81" s="419" t="s">
        <v>4421</v>
      </c>
      <c r="E81" s="363" t="s">
        <v>4422</v>
      </c>
      <c r="F81" s="337"/>
      <c r="G81" s="337" t="s">
        <v>2494</v>
      </c>
      <c r="H81" s="335" t="s">
        <v>2552</v>
      </c>
      <c r="I81" s="335" t="s">
        <v>3898</v>
      </c>
      <c r="J81" s="335" t="s">
        <v>16</v>
      </c>
      <c r="K81" s="335"/>
      <c r="L81" s="335"/>
      <c r="M81" s="335"/>
      <c r="N81" s="335"/>
      <c r="O81" s="335"/>
      <c r="P81" s="335"/>
      <c r="Q81" s="335"/>
      <c r="R81" s="335"/>
      <c r="S81" s="335"/>
      <c r="T81" s="335"/>
      <c r="U81" s="335"/>
      <c r="V81" s="335"/>
      <c r="W81" s="335"/>
      <c r="X81" s="335"/>
      <c r="Y81" s="335"/>
      <c r="Z81" s="335"/>
      <c r="AA81" s="335"/>
      <c r="AB81" s="335"/>
      <c r="AC81" s="335"/>
      <c r="AD81" s="335"/>
      <c r="AE81" s="335"/>
    </row>
    <row r="82" ht="15.75" hidden="1" customHeight="1">
      <c r="A82" s="335"/>
      <c r="B82" s="335"/>
      <c r="C82" s="335"/>
      <c r="D82" s="335"/>
      <c r="E82" s="335"/>
      <c r="F82" s="337"/>
      <c r="G82" s="337"/>
      <c r="H82" s="335"/>
      <c r="I82" s="335"/>
      <c r="J82" s="335"/>
      <c r="K82" s="335"/>
      <c r="L82" s="335"/>
      <c r="M82" s="335"/>
      <c r="N82" s="335"/>
      <c r="O82" s="335"/>
      <c r="P82" s="335"/>
      <c r="Q82" s="335"/>
      <c r="R82" s="335"/>
      <c r="S82" s="335"/>
      <c r="T82" s="335"/>
      <c r="U82" s="335"/>
      <c r="V82" s="335"/>
      <c r="W82" s="335"/>
      <c r="X82" s="335"/>
      <c r="Y82" s="335"/>
      <c r="Z82" s="335"/>
      <c r="AA82" s="335"/>
      <c r="AB82" s="335"/>
      <c r="AC82" s="335"/>
      <c r="AD82" s="335"/>
      <c r="AE82" s="335"/>
    </row>
    <row r="83" ht="15.75" hidden="1" customHeight="1">
      <c r="A83" s="335"/>
      <c r="B83" s="335"/>
      <c r="C83" s="335"/>
      <c r="D83" s="335"/>
      <c r="E83" s="335"/>
      <c r="F83" s="337"/>
      <c r="G83" s="337"/>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row>
    <row r="84" ht="15.75" hidden="1" customHeight="1">
      <c r="A84" s="335"/>
      <c r="B84" s="335"/>
      <c r="C84" s="335"/>
      <c r="D84" s="335"/>
      <c r="E84" s="335"/>
      <c r="F84" s="337"/>
      <c r="G84" s="337"/>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row>
    <row r="85" ht="15.75" hidden="1" customHeight="1">
      <c r="A85" s="335"/>
      <c r="B85" s="335"/>
      <c r="C85" s="335"/>
      <c r="D85" s="335"/>
      <c r="E85" s="335"/>
      <c r="F85" s="337"/>
      <c r="G85" s="337"/>
      <c r="H85" s="335"/>
      <c r="I85" s="335"/>
      <c r="J85" s="335"/>
      <c r="K85" s="335"/>
      <c r="L85" s="335"/>
      <c r="M85" s="335"/>
      <c r="N85" s="335"/>
      <c r="O85" s="335"/>
      <c r="P85" s="335"/>
      <c r="Q85" s="335"/>
      <c r="R85" s="335"/>
      <c r="S85" s="335"/>
      <c r="T85" s="335"/>
      <c r="U85" s="335"/>
      <c r="V85" s="335"/>
      <c r="W85" s="335"/>
      <c r="X85" s="335"/>
      <c r="Y85" s="335"/>
      <c r="Z85" s="335"/>
      <c r="AA85" s="335"/>
      <c r="AB85" s="335"/>
      <c r="AC85" s="335"/>
      <c r="AD85" s="335"/>
      <c r="AE85" s="335"/>
    </row>
    <row r="86" ht="15.75" hidden="1" customHeight="1">
      <c r="A86" s="335"/>
      <c r="B86" s="335"/>
      <c r="C86" s="335"/>
      <c r="D86" s="335"/>
      <c r="E86" s="335"/>
      <c r="F86" s="337"/>
      <c r="G86" s="337"/>
      <c r="H86" s="335"/>
      <c r="I86" s="335"/>
      <c r="J86" s="335"/>
      <c r="K86" s="335"/>
      <c r="L86" s="335"/>
      <c r="M86" s="335"/>
      <c r="N86" s="335"/>
      <c r="O86" s="335"/>
      <c r="P86" s="335"/>
      <c r="Q86" s="335"/>
      <c r="R86" s="335"/>
      <c r="S86" s="335"/>
      <c r="T86" s="335"/>
      <c r="U86" s="335"/>
      <c r="V86" s="335"/>
      <c r="W86" s="335"/>
      <c r="X86" s="335"/>
      <c r="Y86" s="335"/>
      <c r="Z86" s="335"/>
      <c r="AA86" s="335"/>
      <c r="AB86" s="335"/>
      <c r="AC86" s="335"/>
      <c r="AD86" s="335"/>
      <c r="AE86" s="335"/>
    </row>
    <row r="87" ht="15.75" hidden="1" customHeight="1">
      <c r="A87" s="335"/>
      <c r="B87" s="335"/>
      <c r="C87" s="335"/>
      <c r="D87" s="335"/>
      <c r="E87" s="335"/>
      <c r="F87" s="337"/>
      <c r="G87" s="337"/>
      <c r="H87" s="335"/>
      <c r="I87" s="335"/>
      <c r="J87" s="335"/>
      <c r="K87" s="335"/>
      <c r="L87" s="335"/>
      <c r="M87" s="335"/>
      <c r="N87" s="335"/>
      <c r="O87" s="335"/>
      <c r="P87" s="335"/>
      <c r="Q87" s="335"/>
      <c r="R87" s="335"/>
      <c r="S87" s="335"/>
      <c r="T87" s="335"/>
      <c r="U87" s="335"/>
      <c r="V87" s="335"/>
      <c r="W87" s="335"/>
      <c r="X87" s="335"/>
      <c r="Y87" s="335"/>
      <c r="Z87" s="335"/>
      <c r="AA87" s="335"/>
      <c r="AB87" s="335"/>
      <c r="AC87" s="335"/>
      <c r="AD87" s="335"/>
      <c r="AE87" s="335"/>
    </row>
    <row r="88" ht="15.75" hidden="1" customHeight="1">
      <c r="A88" s="335"/>
      <c r="B88" s="335"/>
      <c r="C88" s="335"/>
      <c r="D88" s="335"/>
      <c r="E88" s="335"/>
      <c r="F88" s="337"/>
      <c r="G88" s="337"/>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row>
    <row r="89" ht="15.75" hidden="1" customHeight="1">
      <c r="A89" s="335"/>
      <c r="B89" s="335"/>
      <c r="C89" s="335"/>
      <c r="D89" s="335"/>
      <c r="E89" s="335"/>
      <c r="F89" s="337"/>
      <c r="G89" s="337"/>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row>
    <row r="90" ht="15.75" hidden="1" customHeight="1">
      <c r="A90" s="335"/>
      <c r="B90" s="335"/>
      <c r="C90" s="335"/>
      <c r="D90" s="335"/>
      <c r="E90" s="335"/>
      <c r="F90" s="337"/>
      <c r="G90" s="337"/>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row>
    <row r="91" ht="15.75" hidden="1" customHeight="1">
      <c r="A91" s="335"/>
      <c r="B91" s="335"/>
      <c r="C91" s="335"/>
      <c r="D91" s="335"/>
      <c r="E91" s="335"/>
      <c r="F91" s="337"/>
      <c r="G91" s="337"/>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row>
    <row r="92" ht="15.75" hidden="1" customHeight="1">
      <c r="A92" s="335"/>
      <c r="B92" s="335"/>
      <c r="C92" s="335"/>
      <c r="D92" s="335"/>
      <c r="E92" s="335"/>
      <c r="F92" s="337"/>
      <c r="G92" s="337"/>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row>
    <row r="93" ht="15.75" hidden="1" customHeight="1">
      <c r="A93" s="335"/>
      <c r="B93" s="335"/>
      <c r="C93" s="335"/>
      <c r="D93" s="335"/>
      <c r="E93" s="335"/>
      <c r="F93" s="337"/>
      <c r="G93" s="337"/>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row>
    <row r="94" ht="15.75" hidden="1" customHeight="1">
      <c r="A94" s="335"/>
      <c r="B94" s="335"/>
      <c r="C94" s="335"/>
      <c r="D94" s="335"/>
      <c r="E94" s="335"/>
      <c r="F94" s="337"/>
      <c r="G94" s="337"/>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row>
    <row r="95" ht="15.75" hidden="1" customHeight="1">
      <c r="A95" s="335"/>
      <c r="B95" s="335"/>
      <c r="C95" s="335"/>
      <c r="D95" s="335"/>
      <c r="E95" s="335"/>
      <c r="F95" s="337"/>
      <c r="G95" s="337"/>
      <c r="H95" s="335"/>
      <c r="I95" s="335"/>
      <c r="J95" s="335"/>
      <c r="K95" s="335"/>
      <c r="L95" s="335"/>
      <c r="M95" s="335"/>
      <c r="N95" s="335"/>
      <c r="O95" s="335"/>
      <c r="P95" s="335"/>
      <c r="Q95" s="335"/>
      <c r="R95" s="335"/>
      <c r="S95" s="335"/>
      <c r="T95" s="335"/>
      <c r="U95" s="335"/>
      <c r="V95" s="335"/>
      <c r="W95" s="335"/>
      <c r="X95" s="335"/>
      <c r="Y95" s="335"/>
      <c r="Z95" s="335"/>
      <c r="AA95" s="335"/>
      <c r="AB95" s="335"/>
      <c r="AC95" s="335"/>
      <c r="AD95" s="335"/>
      <c r="AE95" s="335"/>
    </row>
    <row r="96" ht="15.75" hidden="1" customHeight="1">
      <c r="A96" s="335"/>
      <c r="B96" s="335"/>
      <c r="C96" s="335"/>
      <c r="D96" s="335"/>
      <c r="E96" s="335"/>
      <c r="F96" s="337"/>
      <c r="G96" s="337"/>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row>
    <row r="97" ht="15.75" hidden="1" customHeight="1">
      <c r="A97" s="335"/>
      <c r="B97" s="335"/>
      <c r="C97" s="335"/>
      <c r="D97" s="335"/>
      <c r="E97" s="335"/>
      <c r="F97" s="337"/>
      <c r="G97" s="337"/>
      <c r="H97" s="335"/>
      <c r="I97" s="335"/>
      <c r="J97" s="335"/>
      <c r="K97" s="335"/>
      <c r="L97" s="335"/>
      <c r="M97" s="335"/>
      <c r="N97" s="335"/>
      <c r="O97" s="335"/>
      <c r="P97" s="335"/>
      <c r="Q97" s="335"/>
      <c r="R97" s="335"/>
      <c r="S97" s="335"/>
      <c r="T97" s="335"/>
      <c r="U97" s="335"/>
      <c r="V97" s="335"/>
      <c r="W97" s="335"/>
      <c r="X97" s="335"/>
      <c r="Y97" s="335"/>
      <c r="Z97" s="335"/>
      <c r="AA97" s="335"/>
      <c r="AB97" s="335"/>
      <c r="AC97" s="335"/>
      <c r="AD97" s="335"/>
      <c r="AE97" s="335"/>
    </row>
    <row r="98" ht="15.75" hidden="1" customHeight="1">
      <c r="A98" s="335"/>
      <c r="B98" s="335"/>
      <c r="C98" s="335"/>
      <c r="D98" s="335"/>
      <c r="E98" s="335"/>
      <c r="F98" s="337"/>
      <c r="G98" s="337"/>
      <c r="H98" s="335"/>
      <c r="I98" s="335"/>
      <c r="J98" s="335"/>
      <c r="K98" s="335"/>
      <c r="L98" s="335"/>
      <c r="M98" s="335"/>
      <c r="N98" s="335"/>
      <c r="O98" s="335"/>
      <c r="P98" s="335"/>
      <c r="Q98" s="335"/>
      <c r="R98" s="335"/>
      <c r="S98" s="335"/>
      <c r="T98" s="335"/>
      <c r="U98" s="335"/>
      <c r="V98" s="335"/>
      <c r="W98" s="335"/>
      <c r="X98" s="335"/>
      <c r="Y98" s="335"/>
      <c r="Z98" s="335"/>
      <c r="AA98" s="335"/>
      <c r="AB98" s="335"/>
      <c r="AC98" s="335"/>
      <c r="AD98" s="335"/>
      <c r="AE98" s="335"/>
    </row>
    <row r="99" ht="15.75" hidden="1" customHeight="1">
      <c r="A99" s="335"/>
      <c r="B99" s="335"/>
      <c r="C99" s="335"/>
      <c r="D99" s="335"/>
      <c r="E99" s="335"/>
      <c r="F99" s="337"/>
      <c r="G99" s="337"/>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row>
    <row r="100" ht="15.75" hidden="1" customHeight="1">
      <c r="A100" s="335"/>
      <c r="B100" s="335"/>
      <c r="C100" s="335"/>
      <c r="D100" s="335"/>
      <c r="E100" s="335"/>
      <c r="F100" s="337"/>
      <c r="G100" s="337"/>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row>
    <row r="101" ht="15.75" hidden="1" customHeight="1">
      <c r="A101" s="335"/>
      <c r="B101" s="335"/>
      <c r="C101" s="335"/>
      <c r="D101" s="335"/>
      <c r="E101" s="335"/>
      <c r="F101" s="337"/>
      <c r="G101" s="337"/>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row>
    <row r="102" ht="15.75" hidden="1" customHeight="1">
      <c r="A102" s="335"/>
      <c r="B102" s="335"/>
      <c r="C102" s="335"/>
      <c r="D102" s="335"/>
      <c r="E102" s="335"/>
      <c r="F102" s="337"/>
      <c r="G102" s="337"/>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row>
    <row r="103" ht="15.75" hidden="1" customHeight="1">
      <c r="A103" s="335"/>
      <c r="B103" s="335"/>
      <c r="C103" s="335"/>
      <c r="D103" s="335"/>
      <c r="E103" s="335"/>
      <c r="F103" s="337"/>
      <c r="G103" s="337"/>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row>
    <row r="104" ht="15.75" hidden="1" customHeight="1">
      <c r="A104" s="335"/>
      <c r="B104" s="335"/>
      <c r="C104" s="335"/>
      <c r="D104" s="335"/>
      <c r="E104" s="335"/>
      <c r="F104" s="337"/>
      <c r="G104" s="337"/>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row>
    <row r="105" ht="15.75" hidden="1" customHeight="1">
      <c r="A105" s="335"/>
      <c r="B105" s="335"/>
      <c r="C105" s="335"/>
      <c r="D105" s="335"/>
      <c r="E105" s="335"/>
      <c r="F105" s="337"/>
      <c r="G105" s="337"/>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row>
    <row r="106" ht="15.75" hidden="1" customHeight="1">
      <c r="A106" s="335"/>
      <c r="B106" s="335"/>
      <c r="C106" s="335"/>
      <c r="D106" s="335"/>
      <c r="E106" s="335"/>
      <c r="F106" s="337"/>
      <c r="G106" s="337"/>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row>
    <row r="107" ht="15.75" hidden="1" customHeight="1">
      <c r="A107" s="335"/>
      <c r="B107" s="335"/>
      <c r="C107" s="335"/>
      <c r="D107" s="335"/>
      <c r="E107" s="335"/>
      <c r="F107" s="337"/>
      <c r="G107" s="337"/>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row>
    <row r="108" ht="15.75" hidden="1" customHeight="1">
      <c r="A108" s="335"/>
      <c r="B108" s="335"/>
      <c r="C108" s="335"/>
      <c r="D108" s="335"/>
      <c r="E108" s="335"/>
      <c r="F108" s="337"/>
      <c r="G108" s="337"/>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row>
    <row r="109" ht="15.75" hidden="1" customHeight="1">
      <c r="A109" s="335"/>
      <c r="B109" s="335"/>
      <c r="C109" s="335"/>
      <c r="D109" s="335"/>
      <c r="E109" s="335"/>
      <c r="F109" s="337"/>
      <c r="G109" s="337"/>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row>
    <row r="110" ht="15.75" hidden="1" customHeight="1">
      <c r="A110" s="335"/>
      <c r="B110" s="335"/>
      <c r="C110" s="335"/>
      <c r="D110" s="335"/>
      <c r="E110" s="335"/>
      <c r="F110" s="337"/>
      <c r="G110" s="337"/>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row>
    <row r="111" ht="15.75" hidden="1" customHeight="1">
      <c r="A111" s="335"/>
      <c r="B111" s="335"/>
      <c r="C111" s="335"/>
      <c r="D111" s="335"/>
      <c r="E111" s="335"/>
      <c r="F111" s="337"/>
      <c r="G111" s="337"/>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row>
    <row r="112" ht="15.75" hidden="1" customHeight="1">
      <c r="A112" s="335"/>
      <c r="B112" s="335"/>
      <c r="C112" s="335"/>
      <c r="D112" s="335"/>
      <c r="E112" s="335"/>
      <c r="F112" s="337"/>
      <c r="G112" s="337"/>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row>
    <row r="113" ht="15.75" hidden="1" customHeight="1">
      <c r="A113" s="335"/>
      <c r="B113" s="335"/>
      <c r="C113" s="335"/>
      <c r="D113" s="335"/>
      <c r="E113" s="335"/>
      <c r="F113" s="337"/>
      <c r="G113" s="337"/>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row>
    <row r="114" ht="15.75" hidden="1" customHeight="1">
      <c r="A114" s="335"/>
      <c r="B114" s="335"/>
      <c r="C114" s="335"/>
      <c r="D114" s="335"/>
      <c r="E114" s="335"/>
      <c r="F114" s="337"/>
      <c r="G114" s="337"/>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row>
    <row r="115" ht="15.75" hidden="1" customHeight="1">
      <c r="A115" s="335"/>
      <c r="B115" s="335"/>
      <c r="C115" s="335"/>
      <c r="D115" s="335"/>
      <c r="E115" s="335"/>
      <c r="F115" s="337"/>
      <c r="G115" s="337"/>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row>
    <row r="116" ht="15.75" hidden="1" customHeight="1">
      <c r="A116" s="335"/>
      <c r="B116" s="335"/>
      <c r="C116" s="335"/>
      <c r="D116" s="335"/>
      <c r="E116" s="335"/>
      <c r="F116" s="337"/>
      <c r="G116" s="337"/>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row>
    <row r="117" ht="15.75" hidden="1" customHeight="1">
      <c r="A117" s="335"/>
      <c r="B117" s="335"/>
      <c r="C117" s="335"/>
      <c r="D117" s="335"/>
      <c r="E117" s="335"/>
      <c r="F117" s="337"/>
      <c r="G117" s="337"/>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row>
    <row r="118" ht="15.75" hidden="1" customHeight="1">
      <c r="A118" s="335"/>
      <c r="B118" s="335"/>
      <c r="C118" s="335"/>
      <c r="D118" s="335"/>
      <c r="E118" s="335"/>
      <c r="F118" s="337"/>
      <c r="G118" s="337"/>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row>
    <row r="119" ht="15.75" hidden="1" customHeight="1">
      <c r="A119" s="335"/>
      <c r="B119" s="335"/>
      <c r="C119" s="335"/>
      <c r="D119" s="335"/>
      <c r="E119" s="335"/>
      <c r="F119" s="337"/>
      <c r="G119" s="337"/>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row>
    <row r="120" ht="15.75" hidden="1" customHeight="1">
      <c r="A120" s="335"/>
      <c r="B120" s="335"/>
      <c r="C120" s="335"/>
      <c r="D120" s="335"/>
      <c r="E120" s="335"/>
      <c r="F120" s="337"/>
      <c r="G120" s="337"/>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row>
    <row r="121" ht="15.75" hidden="1" customHeight="1">
      <c r="A121" s="335"/>
      <c r="B121" s="335"/>
      <c r="C121" s="335"/>
      <c r="D121" s="335"/>
      <c r="E121" s="335"/>
      <c r="F121" s="337"/>
      <c r="G121" s="337"/>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row>
    <row r="122" ht="15.75" hidden="1" customHeight="1">
      <c r="A122" s="335"/>
      <c r="B122" s="335"/>
      <c r="C122" s="335"/>
      <c r="D122" s="335"/>
      <c r="E122" s="335"/>
      <c r="F122" s="337"/>
      <c r="G122" s="337"/>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row>
    <row r="123" ht="15.75" hidden="1" customHeight="1">
      <c r="A123" s="335"/>
      <c r="B123" s="335"/>
      <c r="C123" s="335"/>
      <c r="D123" s="335"/>
      <c r="E123" s="335"/>
      <c r="F123" s="337"/>
      <c r="G123" s="337"/>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c r="AD123" s="335"/>
      <c r="AE123" s="335"/>
    </row>
    <row r="124" ht="15.75" hidden="1" customHeight="1">
      <c r="A124" s="335"/>
      <c r="B124" s="335"/>
      <c r="C124" s="335"/>
      <c r="D124" s="335"/>
      <c r="E124" s="335"/>
      <c r="F124" s="337"/>
      <c r="G124" s="337"/>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c r="AD124" s="335"/>
      <c r="AE124" s="335"/>
    </row>
    <row r="125" ht="15.75" hidden="1" customHeight="1">
      <c r="A125" s="335"/>
      <c r="B125" s="335"/>
      <c r="C125" s="335"/>
      <c r="D125" s="335"/>
      <c r="E125" s="335"/>
      <c r="F125" s="337"/>
      <c r="G125" s="337"/>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row>
    <row r="126" ht="15.75" hidden="1" customHeight="1">
      <c r="A126" s="335"/>
      <c r="B126" s="335"/>
      <c r="C126" s="335"/>
      <c r="D126" s="335"/>
      <c r="E126" s="335"/>
      <c r="F126" s="337"/>
      <c r="G126" s="337"/>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c r="AD126" s="335"/>
      <c r="AE126" s="335"/>
    </row>
    <row r="127" ht="15.75" hidden="1" customHeight="1">
      <c r="A127" s="335"/>
      <c r="B127" s="335"/>
      <c r="C127" s="335"/>
      <c r="D127" s="335"/>
      <c r="E127" s="335"/>
      <c r="F127" s="337"/>
      <c r="G127" s="337"/>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c r="AD127" s="335"/>
      <c r="AE127" s="335"/>
    </row>
    <row r="128" ht="15.75" hidden="1" customHeight="1">
      <c r="A128" s="335"/>
      <c r="B128" s="335"/>
      <c r="C128" s="335"/>
      <c r="D128" s="335"/>
      <c r="E128" s="335"/>
      <c r="F128" s="337"/>
      <c r="G128" s="337"/>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row>
    <row r="129" ht="15.75" hidden="1" customHeight="1">
      <c r="A129" s="335"/>
      <c r="B129" s="335"/>
      <c r="C129" s="335"/>
      <c r="D129" s="335"/>
      <c r="E129" s="335"/>
      <c r="F129" s="337"/>
      <c r="G129" s="337"/>
      <c r="H129" s="335"/>
      <c r="I129" s="335"/>
      <c r="J129" s="335"/>
      <c r="K129" s="335"/>
      <c r="L129" s="335"/>
      <c r="M129" s="335"/>
      <c r="N129" s="335"/>
      <c r="O129" s="335"/>
      <c r="P129" s="335"/>
      <c r="Q129" s="335"/>
      <c r="R129" s="335"/>
      <c r="S129" s="335"/>
      <c r="T129" s="335"/>
      <c r="U129" s="335"/>
      <c r="V129" s="335"/>
      <c r="W129" s="335"/>
      <c r="X129" s="335"/>
      <c r="Y129" s="335"/>
      <c r="Z129" s="335"/>
      <c r="AA129" s="335"/>
      <c r="AB129" s="335"/>
      <c r="AC129" s="335"/>
      <c r="AD129" s="335"/>
      <c r="AE129" s="335"/>
    </row>
    <row r="130" ht="15.75" hidden="1" customHeight="1">
      <c r="A130" s="335"/>
      <c r="B130" s="335"/>
      <c r="C130" s="335"/>
      <c r="D130" s="335"/>
      <c r="E130" s="335"/>
      <c r="F130" s="337"/>
      <c r="G130" s="337"/>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row>
    <row r="131" ht="15.75" hidden="1" customHeight="1">
      <c r="A131" s="335"/>
      <c r="B131" s="335"/>
      <c r="C131" s="335"/>
      <c r="D131" s="335"/>
      <c r="E131" s="335"/>
      <c r="F131" s="337"/>
      <c r="G131" s="337"/>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row>
    <row r="132" ht="15.75" hidden="1" customHeight="1">
      <c r="A132" s="335"/>
      <c r="B132" s="335"/>
      <c r="C132" s="335"/>
      <c r="D132" s="335"/>
      <c r="E132" s="335"/>
      <c r="F132" s="337"/>
      <c r="G132" s="337"/>
      <c r="H132" s="335"/>
      <c r="I132" s="335"/>
      <c r="J132" s="335"/>
      <c r="K132" s="335"/>
      <c r="L132" s="335"/>
      <c r="M132" s="335"/>
      <c r="N132" s="335"/>
      <c r="O132" s="335"/>
      <c r="P132" s="335"/>
      <c r="Q132" s="335"/>
      <c r="R132" s="335"/>
      <c r="S132" s="335"/>
      <c r="T132" s="335"/>
      <c r="U132" s="335"/>
      <c r="V132" s="335"/>
      <c r="W132" s="335"/>
      <c r="X132" s="335"/>
      <c r="Y132" s="335"/>
      <c r="Z132" s="335"/>
      <c r="AA132" s="335"/>
      <c r="AB132" s="335"/>
      <c r="AC132" s="335"/>
      <c r="AD132" s="335"/>
      <c r="AE132" s="335"/>
    </row>
    <row r="133" ht="15.75" hidden="1" customHeight="1">
      <c r="A133" s="335"/>
      <c r="B133" s="335"/>
      <c r="C133" s="335"/>
      <c r="D133" s="335"/>
      <c r="E133" s="335"/>
      <c r="F133" s="337"/>
      <c r="G133" s="337"/>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row>
    <row r="134" ht="15.75" hidden="1" customHeight="1">
      <c r="A134" s="335"/>
      <c r="B134" s="335"/>
      <c r="C134" s="335"/>
      <c r="D134" s="335"/>
      <c r="E134" s="335"/>
      <c r="F134" s="337"/>
      <c r="G134" s="337"/>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row>
    <row r="135" ht="15.75" hidden="1" customHeight="1">
      <c r="A135" s="335"/>
      <c r="B135" s="335"/>
      <c r="C135" s="335"/>
      <c r="D135" s="335"/>
      <c r="E135" s="335"/>
      <c r="F135" s="337"/>
      <c r="G135" s="337"/>
      <c r="H135" s="335"/>
      <c r="I135" s="335"/>
      <c r="J135" s="335"/>
      <c r="K135" s="335"/>
      <c r="L135" s="335"/>
      <c r="M135" s="335"/>
      <c r="N135" s="335"/>
      <c r="O135" s="335"/>
      <c r="P135" s="335"/>
      <c r="Q135" s="335"/>
      <c r="R135" s="335"/>
      <c r="S135" s="335"/>
      <c r="T135" s="335"/>
      <c r="U135" s="335"/>
      <c r="V135" s="335"/>
      <c r="W135" s="335"/>
      <c r="X135" s="335"/>
      <c r="Y135" s="335"/>
      <c r="Z135" s="335"/>
      <c r="AA135" s="335"/>
      <c r="AB135" s="335"/>
      <c r="AC135" s="335"/>
      <c r="AD135" s="335"/>
      <c r="AE135" s="335"/>
    </row>
    <row r="136" ht="15.75" hidden="1" customHeight="1">
      <c r="A136" s="335"/>
      <c r="B136" s="335"/>
      <c r="C136" s="335"/>
      <c r="D136" s="335"/>
      <c r="E136" s="335"/>
      <c r="F136" s="337"/>
      <c r="G136" s="337"/>
      <c r="H136" s="335"/>
      <c r="I136" s="335"/>
      <c r="J136" s="335"/>
      <c r="K136" s="335"/>
      <c r="L136" s="335"/>
      <c r="M136" s="335"/>
      <c r="N136" s="335"/>
      <c r="O136" s="335"/>
      <c r="P136" s="335"/>
      <c r="Q136" s="335"/>
      <c r="R136" s="335"/>
      <c r="S136" s="335"/>
      <c r="T136" s="335"/>
      <c r="U136" s="335"/>
      <c r="V136" s="335"/>
      <c r="W136" s="335"/>
      <c r="X136" s="335"/>
      <c r="Y136" s="335"/>
      <c r="Z136" s="335"/>
      <c r="AA136" s="335"/>
      <c r="AB136" s="335"/>
      <c r="AC136" s="335"/>
      <c r="AD136" s="335"/>
      <c r="AE136" s="335"/>
    </row>
    <row r="137" ht="15.75" hidden="1" customHeight="1">
      <c r="A137" s="335"/>
      <c r="B137" s="335"/>
      <c r="C137" s="335"/>
      <c r="D137" s="335"/>
      <c r="E137" s="335"/>
      <c r="F137" s="337"/>
      <c r="G137" s="337"/>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row>
    <row r="138" ht="15.75" hidden="1" customHeight="1">
      <c r="A138" s="335"/>
      <c r="B138" s="335"/>
      <c r="C138" s="335"/>
      <c r="D138" s="335"/>
      <c r="E138" s="335"/>
      <c r="F138" s="337"/>
      <c r="G138" s="337"/>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row>
    <row r="139" ht="15.75" hidden="1" customHeight="1">
      <c r="A139" s="335"/>
      <c r="B139" s="335"/>
      <c r="C139" s="335"/>
      <c r="D139" s="335"/>
      <c r="E139" s="335"/>
      <c r="F139" s="337"/>
      <c r="G139" s="337"/>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row>
    <row r="140" ht="15.75" hidden="1" customHeight="1">
      <c r="A140" s="335"/>
      <c r="B140" s="335"/>
      <c r="C140" s="335"/>
      <c r="D140" s="335"/>
      <c r="E140" s="335"/>
      <c r="F140" s="337"/>
      <c r="G140" s="337"/>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row>
    <row r="141" ht="15.75" hidden="1" customHeight="1">
      <c r="A141" s="335"/>
      <c r="B141" s="335"/>
      <c r="C141" s="335"/>
      <c r="D141" s="335"/>
      <c r="E141" s="335"/>
      <c r="F141" s="337"/>
      <c r="G141" s="337"/>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row>
    <row r="142" ht="15.75" hidden="1" customHeight="1">
      <c r="A142" s="335"/>
      <c r="B142" s="335"/>
      <c r="C142" s="335"/>
      <c r="D142" s="335"/>
      <c r="E142" s="335"/>
      <c r="F142" s="337"/>
      <c r="G142" s="337"/>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row>
    <row r="143" ht="15.75" hidden="1" customHeight="1">
      <c r="A143" s="335"/>
      <c r="B143" s="335"/>
      <c r="C143" s="335"/>
      <c r="D143" s="335"/>
      <c r="E143" s="335"/>
      <c r="F143" s="337"/>
      <c r="G143" s="337"/>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row>
    <row r="144" ht="15.75" hidden="1" customHeight="1">
      <c r="A144" s="335"/>
      <c r="B144" s="335"/>
      <c r="C144" s="335"/>
      <c r="D144" s="335"/>
      <c r="E144" s="335"/>
      <c r="F144" s="337"/>
      <c r="G144" s="337"/>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row>
    <row r="145" ht="15.75" hidden="1" customHeight="1">
      <c r="A145" s="335"/>
      <c r="B145" s="335"/>
      <c r="C145" s="335"/>
      <c r="D145" s="335"/>
      <c r="E145" s="335"/>
      <c r="F145" s="337"/>
      <c r="G145" s="337"/>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row>
    <row r="146" ht="15.75" hidden="1" customHeight="1">
      <c r="A146" s="335"/>
      <c r="B146" s="335"/>
      <c r="C146" s="335"/>
      <c r="D146" s="335"/>
      <c r="E146" s="335"/>
      <c r="F146" s="337"/>
      <c r="G146" s="337"/>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row>
    <row r="147" ht="15.75" hidden="1" customHeight="1">
      <c r="A147" s="335"/>
      <c r="B147" s="335"/>
      <c r="C147" s="335"/>
      <c r="D147" s="335"/>
      <c r="E147" s="335"/>
      <c r="F147" s="337"/>
      <c r="G147" s="337"/>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row>
    <row r="148" ht="15.75" hidden="1" customHeight="1">
      <c r="A148" s="335"/>
      <c r="B148" s="335"/>
      <c r="C148" s="335"/>
      <c r="D148" s="335"/>
      <c r="E148" s="335"/>
      <c r="F148" s="337"/>
      <c r="G148" s="337"/>
      <c r="H148" s="335"/>
      <c r="I148" s="335"/>
      <c r="J148" s="335"/>
      <c r="K148" s="335"/>
      <c r="L148" s="335"/>
      <c r="M148" s="335"/>
      <c r="N148" s="335"/>
      <c r="O148" s="335"/>
      <c r="P148" s="335"/>
      <c r="Q148" s="335"/>
      <c r="R148" s="335"/>
      <c r="S148" s="335"/>
      <c r="T148" s="335"/>
      <c r="U148" s="335"/>
      <c r="V148" s="335"/>
      <c r="W148" s="335"/>
      <c r="X148" s="335"/>
      <c r="Y148" s="335"/>
      <c r="Z148" s="335"/>
      <c r="AA148" s="335"/>
      <c r="AB148" s="335"/>
      <c r="AC148" s="335"/>
      <c r="AD148" s="335"/>
      <c r="AE148" s="335"/>
    </row>
    <row r="149" ht="15.75" hidden="1" customHeight="1">
      <c r="A149" s="335"/>
      <c r="B149" s="335"/>
      <c r="C149" s="335"/>
      <c r="D149" s="335"/>
      <c r="E149" s="335"/>
      <c r="F149" s="337"/>
      <c r="G149" s="337"/>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row>
    <row r="150" ht="15.75" hidden="1" customHeight="1">
      <c r="A150" s="335"/>
      <c r="B150" s="335"/>
      <c r="C150" s="335"/>
      <c r="D150" s="335"/>
      <c r="E150" s="335"/>
      <c r="F150" s="337"/>
      <c r="G150" s="337"/>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row>
    <row r="151" ht="15.75" hidden="1" customHeight="1">
      <c r="A151" s="335"/>
      <c r="B151" s="335"/>
      <c r="C151" s="335"/>
      <c r="D151" s="335"/>
      <c r="E151" s="335"/>
      <c r="F151" s="337"/>
      <c r="G151" s="337"/>
      <c r="H151" s="335"/>
      <c r="I151" s="335"/>
      <c r="J151" s="335"/>
      <c r="K151" s="335"/>
      <c r="L151" s="335"/>
      <c r="M151" s="335"/>
      <c r="N151" s="335"/>
      <c r="O151" s="335"/>
      <c r="P151" s="335"/>
      <c r="Q151" s="335"/>
      <c r="R151" s="335"/>
      <c r="S151" s="335"/>
      <c r="T151" s="335"/>
      <c r="U151" s="335"/>
      <c r="V151" s="335"/>
      <c r="W151" s="335"/>
      <c r="X151" s="335"/>
      <c r="Y151" s="335"/>
      <c r="Z151" s="335"/>
      <c r="AA151" s="335"/>
      <c r="AB151" s="335"/>
      <c r="AC151" s="335"/>
      <c r="AD151" s="335"/>
      <c r="AE151" s="335"/>
    </row>
    <row r="152" ht="15.75" hidden="1" customHeight="1">
      <c r="A152" s="335"/>
      <c r="B152" s="335"/>
      <c r="C152" s="335"/>
      <c r="D152" s="335"/>
      <c r="E152" s="335"/>
      <c r="F152" s="337"/>
      <c r="G152" s="337"/>
      <c r="H152" s="335"/>
      <c r="I152" s="335"/>
      <c r="J152" s="335"/>
      <c r="K152" s="335"/>
      <c r="L152" s="335"/>
      <c r="M152" s="335"/>
      <c r="N152" s="335"/>
      <c r="O152" s="335"/>
      <c r="P152" s="335"/>
      <c r="Q152" s="335"/>
      <c r="R152" s="335"/>
      <c r="S152" s="335"/>
      <c r="T152" s="335"/>
      <c r="U152" s="335"/>
      <c r="V152" s="335"/>
      <c r="W152" s="335"/>
      <c r="X152" s="335"/>
      <c r="Y152" s="335"/>
      <c r="Z152" s="335"/>
      <c r="AA152" s="335"/>
      <c r="AB152" s="335"/>
      <c r="AC152" s="335"/>
      <c r="AD152" s="335"/>
      <c r="AE152" s="335"/>
    </row>
    <row r="153" ht="15.75" hidden="1" customHeight="1">
      <c r="A153" s="335"/>
      <c r="B153" s="335"/>
      <c r="C153" s="335"/>
      <c r="D153" s="335"/>
      <c r="E153" s="335"/>
      <c r="F153" s="337"/>
      <c r="G153" s="337"/>
      <c r="H153" s="335"/>
      <c r="I153" s="335"/>
      <c r="J153" s="335"/>
      <c r="K153" s="335"/>
      <c r="L153" s="335"/>
      <c r="M153" s="335"/>
      <c r="N153" s="335"/>
      <c r="O153" s="335"/>
      <c r="P153" s="335"/>
      <c r="Q153" s="335"/>
      <c r="R153" s="335"/>
      <c r="S153" s="335"/>
      <c r="T153" s="335"/>
      <c r="U153" s="335"/>
      <c r="V153" s="335"/>
      <c r="W153" s="335"/>
      <c r="X153" s="335"/>
      <c r="Y153" s="335"/>
      <c r="Z153" s="335"/>
      <c r="AA153" s="335"/>
      <c r="AB153" s="335"/>
      <c r="AC153" s="335"/>
      <c r="AD153" s="335"/>
      <c r="AE153" s="335"/>
    </row>
    <row r="154" ht="15.75" hidden="1" customHeight="1">
      <c r="A154" s="335"/>
      <c r="B154" s="335"/>
      <c r="C154" s="335"/>
      <c r="D154" s="335"/>
      <c r="E154" s="335"/>
      <c r="F154" s="337"/>
      <c r="G154" s="337"/>
      <c r="H154" s="335"/>
      <c r="I154" s="335"/>
      <c r="J154" s="335"/>
      <c r="K154" s="335"/>
      <c r="L154" s="335"/>
      <c r="M154" s="335"/>
      <c r="N154" s="335"/>
      <c r="O154" s="335"/>
      <c r="P154" s="335"/>
      <c r="Q154" s="335"/>
      <c r="R154" s="335"/>
      <c r="S154" s="335"/>
      <c r="T154" s="335"/>
      <c r="U154" s="335"/>
      <c r="V154" s="335"/>
      <c r="W154" s="335"/>
      <c r="X154" s="335"/>
      <c r="Y154" s="335"/>
      <c r="Z154" s="335"/>
      <c r="AA154" s="335"/>
      <c r="AB154" s="335"/>
      <c r="AC154" s="335"/>
      <c r="AD154" s="335"/>
      <c r="AE154" s="335"/>
    </row>
    <row r="155" ht="15.75" hidden="1" customHeight="1">
      <c r="A155" s="335"/>
      <c r="B155" s="335"/>
      <c r="C155" s="335"/>
      <c r="D155" s="335"/>
      <c r="E155" s="335"/>
      <c r="F155" s="337"/>
      <c r="G155" s="337"/>
      <c r="H155" s="335"/>
      <c r="I155" s="335"/>
      <c r="J155" s="335"/>
      <c r="K155" s="335"/>
      <c r="L155" s="335"/>
      <c r="M155" s="335"/>
      <c r="N155" s="335"/>
      <c r="O155" s="335"/>
      <c r="P155" s="335"/>
      <c r="Q155" s="335"/>
      <c r="R155" s="335"/>
      <c r="S155" s="335"/>
      <c r="T155" s="335"/>
      <c r="U155" s="335"/>
      <c r="V155" s="335"/>
      <c r="W155" s="335"/>
      <c r="X155" s="335"/>
      <c r="Y155" s="335"/>
      <c r="Z155" s="335"/>
      <c r="AA155" s="335"/>
      <c r="AB155" s="335"/>
      <c r="AC155" s="335"/>
      <c r="AD155" s="335"/>
      <c r="AE155" s="335"/>
    </row>
    <row r="156" ht="15.75" hidden="1" customHeight="1">
      <c r="A156" s="335"/>
      <c r="B156" s="335"/>
      <c r="C156" s="335"/>
      <c r="D156" s="335"/>
      <c r="E156" s="335"/>
      <c r="F156" s="337"/>
      <c r="G156" s="337"/>
      <c r="H156" s="335"/>
      <c r="I156" s="335"/>
      <c r="J156" s="335"/>
      <c r="K156" s="335"/>
      <c r="L156" s="335"/>
      <c r="M156" s="335"/>
      <c r="N156" s="335"/>
      <c r="O156" s="335"/>
      <c r="P156" s="335"/>
      <c r="Q156" s="335"/>
      <c r="R156" s="335"/>
      <c r="S156" s="335"/>
      <c r="T156" s="335"/>
      <c r="U156" s="335"/>
      <c r="V156" s="335"/>
      <c r="W156" s="335"/>
      <c r="X156" s="335"/>
      <c r="Y156" s="335"/>
      <c r="Z156" s="335"/>
      <c r="AA156" s="335"/>
      <c r="AB156" s="335"/>
      <c r="AC156" s="335"/>
      <c r="AD156" s="335"/>
      <c r="AE156" s="335"/>
    </row>
    <row r="157" ht="15.75" hidden="1" customHeight="1">
      <c r="A157" s="335"/>
      <c r="B157" s="335"/>
      <c r="C157" s="335"/>
      <c r="D157" s="335"/>
      <c r="E157" s="335"/>
      <c r="F157" s="337"/>
      <c r="G157" s="337"/>
      <c r="H157" s="335"/>
      <c r="I157" s="335"/>
      <c r="J157" s="335"/>
      <c r="K157" s="335"/>
      <c r="L157" s="335"/>
      <c r="M157" s="335"/>
      <c r="N157" s="335"/>
      <c r="O157" s="335"/>
      <c r="P157" s="335"/>
      <c r="Q157" s="335"/>
      <c r="R157" s="335"/>
      <c r="S157" s="335"/>
      <c r="T157" s="335"/>
      <c r="U157" s="335"/>
      <c r="V157" s="335"/>
      <c r="W157" s="335"/>
      <c r="X157" s="335"/>
      <c r="Y157" s="335"/>
      <c r="Z157" s="335"/>
      <c r="AA157" s="335"/>
      <c r="AB157" s="335"/>
      <c r="AC157" s="335"/>
      <c r="AD157" s="335"/>
      <c r="AE157" s="335"/>
    </row>
    <row r="158" ht="15.75" hidden="1" customHeight="1">
      <c r="A158" s="335"/>
      <c r="B158" s="335"/>
      <c r="C158" s="335"/>
      <c r="D158" s="335"/>
      <c r="E158" s="335"/>
      <c r="F158" s="337"/>
      <c r="G158" s="337"/>
      <c r="H158" s="335"/>
      <c r="I158" s="335"/>
      <c r="J158" s="335"/>
      <c r="K158" s="335"/>
      <c r="L158" s="335"/>
      <c r="M158" s="335"/>
      <c r="N158" s="335"/>
      <c r="O158" s="335"/>
      <c r="P158" s="335"/>
      <c r="Q158" s="335"/>
      <c r="R158" s="335"/>
      <c r="S158" s="335"/>
      <c r="T158" s="335"/>
      <c r="U158" s="335"/>
      <c r="V158" s="335"/>
      <c r="W158" s="335"/>
      <c r="X158" s="335"/>
      <c r="Y158" s="335"/>
      <c r="Z158" s="335"/>
      <c r="AA158" s="335"/>
      <c r="AB158" s="335"/>
      <c r="AC158" s="335"/>
      <c r="AD158" s="335"/>
      <c r="AE158" s="335"/>
    </row>
    <row r="159" ht="15.75" hidden="1" customHeight="1">
      <c r="A159" s="335"/>
      <c r="B159" s="335"/>
      <c r="C159" s="335"/>
      <c r="D159" s="335"/>
      <c r="E159" s="335"/>
      <c r="F159" s="337"/>
      <c r="G159" s="337"/>
      <c r="H159" s="335"/>
      <c r="I159" s="335"/>
      <c r="J159" s="335"/>
      <c r="K159" s="335"/>
      <c r="L159" s="335"/>
      <c r="M159" s="335"/>
      <c r="N159" s="335"/>
      <c r="O159" s="335"/>
      <c r="P159" s="335"/>
      <c r="Q159" s="335"/>
      <c r="R159" s="335"/>
      <c r="S159" s="335"/>
      <c r="T159" s="335"/>
      <c r="U159" s="335"/>
      <c r="V159" s="335"/>
      <c r="W159" s="335"/>
      <c r="X159" s="335"/>
      <c r="Y159" s="335"/>
      <c r="Z159" s="335"/>
      <c r="AA159" s="335"/>
      <c r="AB159" s="335"/>
      <c r="AC159" s="335"/>
      <c r="AD159" s="335"/>
      <c r="AE159" s="335"/>
    </row>
    <row r="160" ht="15.75" hidden="1" customHeight="1">
      <c r="A160" s="335"/>
      <c r="B160" s="335"/>
      <c r="C160" s="335"/>
      <c r="D160" s="335"/>
      <c r="E160" s="335"/>
      <c r="F160" s="337"/>
      <c r="G160" s="337"/>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row>
    <row r="161" ht="15.75" hidden="1" customHeight="1">
      <c r="A161" s="335"/>
      <c r="B161" s="335"/>
      <c r="C161" s="335"/>
      <c r="D161" s="335"/>
      <c r="E161" s="335"/>
      <c r="F161" s="337"/>
      <c r="G161" s="337"/>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row>
    <row r="162" ht="15.75" hidden="1" customHeight="1">
      <c r="A162" s="335"/>
      <c r="B162" s="335"/>
      <c r="C162" s="335"/>
      <c r="D162" s="335"/>
      <c r="E162" s="335"/>
      <c r="F162" s="337"/>
      <c r="G162" s="337"/>
      <c r="H162" s="335"/>
      <c r="I162" s="335"/>
      <c r="J162" s="335"/>
      <c r="K162" s="335"/>
      <c r="L162" s="335"/>
      <c r="M162" s="335"/>
      <c r="N162" s="335"/>
      <c r="O162" s="335"/>
      <c r="P162" s="335"/>
      <c r="Q162" s="335"/>
      <c r="R162" s="335"/>
      <c r="S162" s="335"/>
      <c r="T162" s="335"/>
      <c r="U162" s="335"/>
      <c r="V162" s="335"/>
      <c r="W162" s="335"/>
      <c r="X162" s="335"/>
      <c r="Y162" s="335"/>
      <c r="Z162" s="335"/>
      <c r="AA162" s="335"/>
      <c r="AB162" s="335"/>
      <c r="AC162" s="335"/>
      <c r="AD162" s="335"/>
      <c r="AE162" s="335"/>
    </row>
    <row r="163" ht="15.75" hidden="1" customHeight="1">
      <c r="A163" s="335"/>
      <c r="B163" s="335"/>
      <c r="C163" s="335"/>
      <c r="D163" s="335"/>
      <c r="E163" s="335"/>
      <c r="F163" s="337"/>
      <c r="G163" s="337"/>
      <c r="H163" s="335"/>
      <c r="I163" s="335"/>
      <c r="J163" s="335"/>
      <c r="K163" s="335"/>
      <c r="L163" s="335"/>
      <c r="M163" s="335"/>
      <c r="N163" s="335"/>
      <c r="O163" s="335"/>
      <c r="P163" s="335"/>
      <c r="Q163" s="335"/>
      <c r="R163" s="335"/>
      <c r="S163" s="335"/>
      <c r="T163" s="335"/>
      <c r="U163" s="335"/>
      <c r="V163" s="335"/>
      <c r="W163" s="335"/>
      <c r="X163" s="335"/>
      <c r="Y163" s="335"/>
      <c r="Z163" s="335"/>
      <c r="AA163" s="335"/>
      <c r="AB163" s="335"/>
      <c r="AC163" s="335"/>
      <c r="AD163" s="335"/>
      <c r="AE163" s="335"/>
    </row>
    <row r="164" ht="15.75" hidden="1" customHeight="1">
      <c r="A164" s="335"/>
      <c r="B164" s="335"/>
      <c r="C164" s="335"/>
      <c r="D164" s="335"/>
      <c r="E164" s="335"/>
      <c r="F164" s="337"/>
      <c r="G164" s="337"/>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row>
    <row r="165" ht="15.75" hidden="1" customHeight="1">
      <c r="A165" s="335"/>
      <c r="B165" s="335"/>
      <c r="C165" s="335"/>
      <c r="D165" s="335"/>
      <c r="E165" s="335"/>
      <c r="F165" s="337"/>
      <c r="G165" s="337"/>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row>
    <row r="166" ht="15.75" hidden="1" customHeight="1">
      <c r="A166" s="335"/>
      <c r="B166" s="335"/>
      <c r="C166" s="335"/>
      <c r="D166" s="335"/>
      <c r="E166" s="335"/>
      <c r="F166" s="337"/>
      <c r="G166" s="337"/>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row>
    <row r="167" ht="15.75" hidden="1" customHeight="1">
      <c r="A167" s="335"/>
      <c r="B167" s="335"/>
      <c r="C167" s="335"/>
      <c r="D167" s="335"/>
      <c r="E167" s="335"/>
      <c r="F167" s="337"/>
      <c r="G167" s="337"/>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row>
    <row r="168" ht="15.75" hidden="1" customHeight="1">
      <c r="A168" s="335"/>
      <c r="B168" s="335"/>
      <c r="C168" s="335"/>
      <c r="D168" s="335"/>
      <c r="E168" s="335"/>
      <c r="F168" s="337"/>
      <c r="G168" s="337"/>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row>
    <row r="169" ht="15.75" hidden="1" customHeight="1">
      <c r="A169" s="335"/>
      <c r="B169" s="335"/>
      <c r="C169" s="335"/>
      <c r="D169" s="335"/>
      <c r="E169" s="335"/>
      <c r="F169" s="337"/>
      <c r="G169" s="337"/>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row>
    <row r="170" ht="15.75" hidden="1" customHeight="1">
      <c r="A170" s="335"/>
      <c r="B170" s="335"/>
      <c r="C170" s="335"/>
      <c r="D170" s="335"/>
      <c r="E170" s="335"/>
      <c r="F170" s="337"/>
      <c r="G170" s="337"/>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row>
    <row r="171" ht="15.75" hidden="1" customHeight="1">
      <c r="A171" s="335"/>
      <c r="B171" s="335"/>
      <c r="C171" s="335"/>
      <c r="D171" s="335"/>
      <c r="E171" s="335"/>
      <c r="F171" s="337"/>
      <c r="G171" s="337"/>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row>
    <row r="172" ht="15.75" hidden="1" customHeight="1">
      <c r="A172" s="335"/>
      <c r="B172" s="335"/>
      <c r="C172" s="335"/>
      <c r="D172" s="335"/>
      <c r="E172" s="335"/>
      <c r="F172" s="337"/>
      <c r="G172" s="337"/>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row>
    <row r="173" ht="15.75" hidden="1" customHeight="1">
      <c r="A173" s="335"/>
      <c r="B173" s="335"/>
      <c r="C173" s="335"/>
      <c r="D173" s="335"/>
      <c r="E173" s="335"/>
      <c r="F173" s="337"/>
      <c r="G173" s="337"/>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row>
    <row r="174" ht="15.75" hidden="1" customHeight="1">
      <c r="A174" s="335"/>
      <c r="B174" s="335"/>
      <c r="C174" s="335"/>
      <c r="D174" s="335"/>
      <c r="E174" s="335"/>
      <c r="F174" s="337"/>
      <c r="G174" s="337"/>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row>
    <row r="175" ht="15.75" hidden="1" customHeight="1">
      <c r="A175" s="335"/>
      <c r="B175" s="335"/>
      <c r="C175" s="335"/>
      <c r="D175" s="335"/>
      <c r="E175" s="335"/>
      <c r="F175" s="337"/>
      <c r="G175" s="337"/>
      <c r="H175" s="335"/>
      <c r="I175" s="335"/>
      <c r="J175" s="335"/>
      <c r="K175" s="335"/>
      <c r="L175" s="335"/>
      <c r="M175" s="335"/>
      <c r="N175" s="335"/>
      <c r="O175" s="335"/>
      <c r="P175" s="335"/>
      <c r="Q175" s="335"/>
      <c r="R175" s="335"/>
      <c r="S175" s="335"/>
      <c r="T175" s="335"/>
      <c r="U175" s="335"/>
      <c r="V175" s="335"/>
      <c r="W175" s="335"/>
      <c r="X175" s="335"/>
      <c r="Y175" s="335"/>
      <c r="Z175" s="335"/>
      <c r="AA175" s="335"/>
      <c r="AB175" s="335"/>
      <c r="AC175" s="335"/>
      <c r="AD175" s="335"/>
      <c r="AE175" s="335"/>
    </row>
    <row r="176" ht="15.75" hidden="1" customHeight="1">
      <c r="A176" s="335"/>
      <c r="B176" s="335"/>
      <c r="C176" s="335"/>
      <c r="D176" s="335"/>
      <c r="E176" s="335"/>
      <c r="F176" s="337"/>
      <c r="G176" s="337"/>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row>
    <row r="177" ht="15.75" hidden="1" customHeight="1">
      <c r="A177" s="335"/>
      <c r="B177" s="335"/>
      <c r="C177" s="335"/>
      <c r="D177" s="335"/>
      <c r="E177" s="335"/>
      <c r="F177" s="337"/>
      <c r="G177" s="337"/>
      <c r="H177" s="335"/>
      <c r="I177" s="335"/>
      <c r="J177" s="335"/>
      <c r="K177" s="335"/>
      <c r="L177" s="335"/>
      <c r="M177" s="335"/>
      <c r="N177" s="335"/>
      <c r="O177" s="335"/>
      <c r="P177" s="335"/>
      <c r="Q177" s="335"/>
      <c r="R177" s="335"/>
      <c r="S177" s="335"/>
      <c r="T177" s="335"/>
      <c r="U177" s="335"/>
      <c r="V177" s="335"/>
      <c r="W177" s="335"/>
      <c r="X177" s="335"/>
      <c r="Y177" s="335"/>
      <c r="Z177" s="335"/>
      <c r="AA177" s="335"/>
      <c r="AB177" s="335"/>
      <c r="AC177" s="335"/>
      <c r="AD177" s="335"/>
      <c r="AE177" s="335"/>
    </row>
    <row r="178" ht="15.75" hidden="1" customHeight="1">
      <c r="A178" s="335"/>
      <c r="B178" s="335"/>
      <c r="C178" s="335"/>
      <c r="D178" s="335"/>
      <c r="E178" s="335"/>
      <c r="F178" s="337"/>
      <c r="G178" s="337"/>
      <c r="H178" s="335"/>
      <c r="I178" s="335"/>
      <c r="J178" s="335"/>
      <c r="K178" s="335"/>
      <c r="L178" s="335"/>
      <c r="M178" s="335"/>
      <c r="N178" s="335"/>
      <c r="O178" s="335"/>
      <c r="P178" s="335"/>
      <c r="Q178" s="335"/>
      <c r="R178" s="335"/>
      <c r="S178" s="335"/>
      <c r="T178" s="335"/>
      <c r="U178" s="335"/>
      <c r="V178" s="335"/>
      <c r="W178" s="335"/>
      <c r="X178" s="335"/>
      <c r="Y178" s="335"/>
      <c r="Z178" s="335"/>
      <c r="AA178" s="335"/>
      <c r="AB178" s="335"/>
      <c r="AC178" s="335"/>
      <c r="AD178" s="335"/>
      <c r="AE178" s="335"/>
    </row>
    <row r="179" ht="15.75" hidden="1" customHeight="1">
      <c r="A179" s="335"/>
      <c r="B179" s="335"/>
      <c r="C179" s="335"/>
      <c r="D179" s="335"/>
      <c r="E179" s="335"/>
      <c r="F179" s="337"/>
      <c r="G179" s="337"/>
      <c r="H179" s="335"/>
      <c r="I179" s="335"/>
      <c r="J179" s="335"/>
      <c r="K179" s="335"/>
      <c r="L179" s="335"/>
      <c r="M179" s="335"/>
      <c r="N179" s="335"/>
      <c r="O179" s="335"/>
      <c r="P179" s="335"/>
      <c r="Q179" s="335"/>
      <c r="R179" s="335"/>
      <c r="S179" s="335"/>
      <c r="T179" s="335"/>
      <c r="U179" s="335"/>
      <c r="V179" s="335"/>
      <c r="W179" s="335"/>
      <c r="X179" s="335"/>
      <c r="Y179" s="335"/>
      <c r="Z179" s="335"/>
      <c r="AA179" s="335"/>
      <c r="AB179" s="335"/>
      <c r="AC179" s="335"/>
      <c r="AD179" s="335"/>
      <c r="AE179" s="335"/>
    </row>
    <row r="180" ht="15.75" hidden="1" customHeight="1">
      <c r="A180" s="335"/>
      <c r="B180" s="335"/>
      <c r="C180" s="335"/>
      <c r="D180" s="335"/>
      <c r="E180" s="335"/>
      <c r="F180" s="337"/>
      <c r="G180" s="337"/>
      <c r="H180" s="335"/>
      <c r="I180" s="335"/>
      <c r="J180" s="335"/>
      <c r="K180" s="335"/>
      <c r="L180" s="335"/>
      <c r="M180" s="335"/>
      <c r="N180" s="335"/>
      <c r="O180" s="335"/>
      <c r="P180" s="335"/>
      <c r="Q180" s="335"/>
      <c r="R180" s="335"/>
      <c r="S180" s="335"/>
      <c r="T180" s="335"/>
      <c r="U180" s="335"/>
      <c r="V180" s="335"/>
      <c r="W180" s="335"/>
      <c r="X180" s="335"/>
      <c r="Y180" s="335"/>
      <c r="Z180" s="335"/>
      <c r="AA180" s="335"/>
      <c r="AB180" s="335"/>
      <c r="AC180" s="335"/>
      <c r="AD180" s="335"/>
      <c r="AE180" s="335"/>
    </row>
    <row r="181" ht="15.75" hidden="1" customHeight="1">
      <c r="A181" s="335"/>
      <c r="B181" s="335"/>
      <c r="C181" s="335"/>
      <c r="D181" s="335"/>
      <c r="E181" s="335"/>
      <c r="F181" s="337"/>
      <c r="G181" s="337"/>
      <c r="H181" s="335"/>
      <c r="I181" s="335"/>
      <c r="J181" s="335"/>
      <c r="K181" s="335"/>
      <c r="L181" s="335"/>
      <c r="M181" s="335"/>
      <c r="N181" s="335"/>
      <c r="O181" s="335"/>
      <c r="P181" s="335"/>
      <c r="Q181" s="335"/>
      <c r="R181" s="335"/>
      <c r="S181" s="335"/>
      <c r="T181" s="335"/>
      <c r="U181" s="335"/>
      <c r="V181" s="335"/>
      <c r="W181" s="335"/>
      <c r="X181" s="335"/>
      <c r="Y181" s="335"/>
      <c r="Z181" s="335"/>
      <c r="AA181" s="335"/>
      <c r="AB181" s="335"/>
      <c r="AC181" s="335"/>
      <c r="AD181" s="335"/>
      <c r="AE181" s="335"/>
    </row>
    <row r="182" ht="15.75" hidden="1" customHeight="1">
      <c r="A182" s="335"/>
      <c r="B182" s="335"/>
      <c r="C182" s="335"/>
      <c r="D182" s="335"/>
      <c r="E182" s="335"/>
      <c r="F182" s="337"/>
      <c r="G182" s="337"/>
      <c r="H182" s="335"/>
      <c r="I182" s="335"/>
      <c r="J182" s="335"/>
      <c r="K182" s="335"/>
      <c r="L182" s="335"/>
      <c r="M182" s="335"/>
      <c r="N182" s="335"/>
      <c r="O182" s="335"/>
      <c r="P182" s="335"/>
      <c r="Q182" s="335"/>
      <c r="R182" s="335"/>
      <c r="S182" s="335"/>
      <c r="T182" s="335"/>
      <c r="U182" s="335"/>
      <c r="V182" s="335"/>
      <c r="W182" s="335"/>
      <c r="X182" s="335"/>
      <c r="Y182" s="335"/>
      <c r="Z182" s="335"/>
      <c r="AA182" s="335"/>
      <c r="AB182" s="335"/>
      <c r="AC182" s="335"/>
      <c r="AD182" s="335"/>
      <c r="AE182" s="335"/>
    </row>
    <row r="183" ht="15.75" hidden="1" customHeight="1">
      <c r="A183" s="335"/>
      <c r="B183" s="335"/>
      <c r="C183" s="335"/>
      <c r="D183" s="335"/>
      <c r="E183" s="335"/>
      <c r="F183" s="337"/>
      <c r="G183" s="337"/>
      <c r="H183" s="335"/>
      <c r="I183" s="335"/>
      <c r="J183" s="335"/>
      <c r="K183" s="335"/>
      <c r="L183" s="335"/>
      <c r="M183" s="335"/>
      <c r="N183" s="335"/>
      <c r="O183" s="335"/>
      <c r="P183" s="335"/>
      <c r="Q183" s="335"/>
      <c r="R183" s="335"/>
      <c r="S183" s="335"/>
      <c r="T183" s="335"/>
      <c r="U183" s="335"/>
      <c r="V183" s="335"/>
      <c r="W183" s="335"/>
      <c r="X183" s="335"/>
      <c r="Y183" s="335"/>
      <c r="Z183" s="335"/>
      <c r="AA183" s="335"/>
      <c r="AB183" s="335"/>
      <c r="AC183" s="335"/>
      <c r="AD183" s="335"/>
      <c r="AE183" s="335"/>
    </row>
    <row r="184" ht="15.75" hidden="1" customHeight="1">
      <c r="A184" s="335"/>
      <c r="B184" s="335"/>
      <c r="C184" s="335"/>
      <c r="D184" s="335"/>
      <c r="E184" s="335"/>
      <c r="F184" s="337"/>
      <c r="G184" s="337"/>
      <c r="H184" s="335"/>
      <c r="I184" s="335"/>
      <c r="J184" s="335"/>
      <c r="K184" s="335"/>
      <c r="L184" s="335"/>
      <c r="M184" s="335"/>
      <c r="N184" s="335"/>
      <c r="O184" s="335"/>
      <c r="P184" s="335"/>
      <c r="Q184" s="335"/>
      <c r="R184" s="335"/>
      <c r="S184" s="335"/>
      <c r="T184" s="335"/>
      <c r="U184" s="335"/>
      <c r="V184" s="335"/>
      <c r="W184" s="335"/>
      <c r="X184" s="335"/>
      <c r="Y184" s="335"/>
      <c r="Z184" s="335"/>
      <c r="AA184" s="335"/>
      <c r="AB184" s="335"/>
      <c r="AC184" s="335"/>
      <c r="AD184" s="335"/>
      <c r="AE184" s="335"/>
    </row>
    <row r="185" ht="15.75" hidden="1" customHeight="1">
      <c r="A185" s="335"/>
      <c r="B185" s="335"/>
      <c r="C185" s="335"/>
      <c r="D185" s="335"/>
      <c r="E185" s="335"/>
      <c r="F185" s="337"/>
      <c r="G185" s="337"/>
      <c r="H185" s="335"/>
      <c r="I185" s="335"/>
      <c r="J185" s="335"/>
      <c r="K185" s="335"/>
      <c r="L185" s="335"/>
      <c r="M185" s="335"/>
      <c r="N185" s="335"/>
      <c r="O185" s="335"/>
      <c r="P185" s="335"/>
      <c r="Q185" s="335"/>
      <c r="R185" s="335"/>
      <c r="S185" s="335"/>
      <c r="T185" s="335"/>
      <c r="U185" s="335"/>
      <c r="V185" s="335"/>
      <c r="W185" s="335"/>
      <c r="X185" s="335"/>
      <c r="Y185" s="335"/>
      <c r="Z185" s="335"/>
      <c r="AA185" s="335"/>
      <c r="AB185" s="335"/>
      <c r="AC185" s="335"/>
      <c r="AD185" s="335"/>
      <c r="AE185" s="335"/>
    </row>
    <row r="186" ht="15.75" hidden="1" customHeight="1">
      <c r="A186" s="335"/>
      <c r="B186" s="335"/>
      <c r="C186" s="335"/>
      <c r="D186" s="335"/>
      <c r="E186" s="335"/>
      <c r="F186" s="337"/>
      <c r="G186" s="337"/>
      <c r="H186" s="335"/>
      <c r="I186" s="335"/>
      <c r="J186" s="335"/>
      <c r="K186" s="335"/>
      <c r="L186" s="335"/>
      <c r="M186" s="335"/>
      <c r="N186" s="335"/>
      <c r="O186" s="335"/>
      <c r="P186" s="335"/>
      <c r="Q186" s="335"/>
      <c r="R186" s="335"/>
      <c r="S186" s="335"/>
      <c r="T186" s="335"/>
      <c r="U186" s="335"/>
      <c r="V186" s="335"/>
      <c r="W186" s="335"/>
      <c r="X186" s="335"/>
      <c r="Y186" s="335"/>
      <c r="Z186" s="335"/>
      <c r="AA186" s="335"/>
      <c r="AB186" s="335"/>
      <c r="AC186" s="335"/>
      <c r="AD186" s="335"/>
      <c r="AE186" s="335"/>
    </row>
    <row r="187" ht="15.75" hidden="1" customHeight="1">
      <c r="A187" s="335"/>
      <c r="B187" s="335"/>
      <c r="C187" s="335"/>
      <c r="D187" s="335"/>
      <c r="E187" s="335"/>
      <c r="F187" s="337"/>
      <c r="G187" s="337"/>
      <c r="H187" s="335"/>
      <c r="I187" s="335"/>
      <c r="J187" s="335"/>
      <c r="K187" s="335"/>
      <c r="L187" s="335"/>
      <c r="M187" s="335"/>
      <c r="N187" s="335"/>
      <c r="O187" s="335"/>
      <c r="P187" s="335"/>
      <c r="Q187" s="335"/>
      <c r="R187" s="335"/>
      <c r="S187" s="335"/>
      <c r="T187" s="335"/>
      <c r="U187" s="335"/>
      <c r="V187" s="335"/>
      <c r="W187" s="335"/>
      <c r="X187" s="335"/>
      <c r="Y187" s="335"/>
      <c r="Z187" s="335"/>
      <c r="AA187" s="335"/>
      <c r="AB187" s="335"/>
      <c r="AC187" s="335"/>
      <c r="AD187" s="335"/>
      <c r="AE187" s="335"/>
    </row>
    <row r="188" ht="15.75" hidden="1" customHeight="1">
      <c r="A188" s="335"/>
      <c r="B188" s="335"/>
      <c r="C188" s="335"/>
      <c r="D188" s="335"/>
      <c r="E188" s="335"/>
      <c r="F188" s="337"/>
      <c r="G188" s="337"/>
      <c r="H188" s="335"/>
      <c r="I188" s="335"/>
      <c r="J188" s="335"/>
      <c r="K188" s="335"/>
      <c r="L188" s="335"/>
      <c r="M188" s="335"/>
      <c r="N188" s="335"/>
      <c r="O188" s="335"/>
      <c r="P188" s="335"/>
      <c r="Q188" s="335"/>
      <c r="R188" s="335"/>
      <c r="S188" s="335"/>
      <c r="T188" s="335"/>
      <c r="U188" s="335"/>
      <c r="V188" s="335"/>
      <c r="W188" s="335"/>
      <c r="X188" s="335"/>
      <c r="Y188" s="335"/>
      <c r="Z188" s="335"/>
      <c r="AA188" s="335"/>
      <c r="AB188" s="335"/>
      <c r="AC188" s="335"/>
      <c r="AD188" s="335"/>
      <c r="AE188" s="335"/>
    </row>
    <row r="189" ht="15.75" hidden="1" customHeight="1">
      <c r="A189" s="335"/>
      <c r="B189" s="335"/>
      <c r="C189" s="335"/>
      <c r="D189" s="335"/>
      <c r="E189" s="335"/>
      <c r="F189" s="337"/>
      <c r="G189" s="337"/>
      <c r="H189" s="335"/>
      <c r="I189" s="335"/>
      <c r="J189" s="335"/>
      <c r="K189" s="335"/>
      <c r="L189" s="335"/>
      <c r="M189" s="335"/>
      <c r="N189" s="335"/>
      <c r="O189" s="335"/>
      <c r="P189" s="335"/>
      <c r="Q189" s="335"/>
      <c r="R189" s="335"/>
      <c r="S189" s="335"/>
      <c r="T189" s="335"/>
      <c r="U189" s="335"/>
      <c r="V189" s="335"/>
      <c r="W189" s="335"/>
      <c r="X189" s="335"/>
      <c r="Y189" s="335"/>
      <c r="Z189" s="335"/>
      <c r="AA189" s="335"/>
      <c r="AB189" s="335"/>
      <c r="AC189" s="335"/>
      <c r="AD189" s="335"/>
      <c r="AE189" s="335"/>
    </row>
    <row r="190" ht="15.75" hidden="1" customHeight="1">
      <c r="A190" s="335"/>
      <c r="B190" s="335"/>
      <c r="C190" s="335"/>
      <c r="D190" s="335"/>
      <c r="E190" s="335"/>
      <c r="F190" s="337"/>
      <c r="G190" s="337"/>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row>
    <row r="191" ht="15.75" hidden="1" customHeight="1">
      <c r="A191" s="335"/>
      <c r="B191" s="335"/>
      <c r="C191" s="335"/>
      <c r="D191" s="335"/>
      <c r="E191" s="335"/>
      <c r="F191" s="337"/>
      <c r="G191" s="337"/>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row>
    <row r="192" ht="15.75" hidden="1" customHeight="1">
      <c r="A192" s="335"/>
      <c r="B192" s="335"/>
      <c r="C192" s="335"/>
      <c r="D192" s="335"/>
      <c r="E192" s="335"/>
      <c r="F192" s="337"/>
      <c r="G192" s="337"/>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row>
    <row r="193" ht="15.75" hidden="1" customHeight="1">
      <c r="A193" s="335"/>
      <c r="B193" s="335"/>
      <c r="C193" s="335"/>
      <c r="D193" s="335"/>
      <c r="E193" s="335"/>
      <c r="F193" s="337"/>
      <c r="G193" s="337"/>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row>
    <row r="194" ht="15.75" hidden="1" customHeight="1">
      <c r="A194" s="335"/>
      <c r="B194" s="335"/>
      <c r="C194" s="335"/>
      <c r="D194" s="335"/>
      <c r="E194" s="335"/>
      <c r="F194" s="337"/>
      <c r="G194" s="337"/>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row>
    <row r="195" ht="15.75" hidden="1" customHeight="1">
      <c r="A195" s="335"/>
      <c r="B195" s="335"/>
      <c r="C195" s="335"/>
      <c r="D195" s="335"/>
      <c r="E195" s="335"/>
      <c r="F195" s="337"/>
      <c r="G195" s="337"/>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row>
    <row r="196" ht="15.75" hidden="1" customHeight="1">
      <c r="A196" s="335"/>
      <c r="B196" s="335"/>
      <c r="C196" s="335"/>
      <c r="D196" s="335"/>
      <c r="E196" s="335"/>
      <c r="F196" s="337"/>
      <c r="G196" s="337"/>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row>
    <row r="197" ht="15.75" hidden="1" customHeight="1">
      <c r="A197" s="335"/>
      <c r="B197" s="335"/>
      <c r="C197" s="335"/>
      <c r="D197" s="335"/>
      <c r="E197" s="335"/>
      <c r="F197" s="337"/>
      <c r="G197" s="337"/>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row>
    <row r="198" ht="15.75" hidden="1" customHeight="1">
      <c r="A198" s="335"/>
      <c r="B198" s="335"/>
      <c r="C198" s="335"/>
      <c r="D198" s="335"/>
      <c r="E198" s="335"/>
      <c r="F198" s="337"/>
      <c r="G198" s="337"/>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row>
    <row r="199" ht="15.75" hidden="1" customHeight="1">
      <c r="A199" s="335"/>
      <c r="B199" s="335"/>
      <c r="C199" s="335"/>
      <c r="D199" s="335"/>
      <c r="E199" s="335"/>
      <c r="F199" s="337"/>
      <c r="G199" s="337"/>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row>
    <row r="200" ht="15.75" hidden="1" customHeight="1">
      <c r="A200" s="335"/>
      <c r="B200" s="335"/>
      <c r="C200" s="335"/>
      <c r="D200" s="335"/>
      <c r="E200" s="335"/>
      <c r="F200" s="337"/>
      <c r="G200" s="337"/>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row>
    <row r="201" ht="15.75" hidden="1" customHeight="1">
      <c r="A201" s="335"/>
      <c r="B201" s="335"/>
      <c r="C201" s="335"/>
      <c r="D201" s="335"/>
      <c r="E201" s="335"/>
      <c r="F201" s="337"/>
      <c r="G201" s="337"/>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row>
    <row r="202" ht="15.75" hidden="1" customHeight="1">
      <c r="A202" s="335"/>
      <c r="B202" s="335"/>
      <c r="C202" s="335"/>
      <c r="D202" s="335"/>
      <c r="E202" s="335"/>
      <c r="F202" s="337"/>
      <c r="G202" s="337"/>
      <c r="H202" s="335"/>
      <c r="I202" s="335"/>
      <c r="J202" s="335"/>
      <c r="K202" s="335"/>
      <c r="L202" s="335"/>
      <c r="M202" s="335"/>
      <c r="N202" s="335"/>
      <c r="O202" s="335"/>
      <c r="P202" s="335"/>
      <c r="Q202" s="335"/>
      <c r="R202" s="335"/>
      <c r="S202" s="335"/>
      <c r="T202" s="335"/>
      <c r="U202" s="335"/>
      <c r="V202" s="335"/>
      <c r="W202" s="335"/>
      <c r="X202" s="335"/>
      <c r="Y202" s="335"/>
      <c r="Z202" s="335"/>
      <c r="AA202" s="335"/>
      <c r="AB202" s="335"/>
      <c r="AC202" s="335"/>
      <c r="AD202" s="335"/>
      <c r="AE202" s="335"/>
    </row>
    <row r="203" ht="15.75" hidden="1" customHeight="1">
      <c r="A203" s="335"/>
      <c r="B203" s="335"/>
      <c r="C203" s="335"/>
      <c r="D203" s="335"/>
      <c r="E203" s="335"/>
      <c r="F203" s="337"/>
      <c r="G203" s="337"/>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row>
    <row r="204" ht="15.75" hidden="1" customHeight="1">
      <c r="A204" s="335"/>
      <c r="B204" s="335"/>
      <c r="C204" s="335"/>
      <c r="D204" s="335"/>
      <c r="E204" s="335"/>
      <c r="F204" s="337"/>
      <c r="G204" s="337"/>
      <c r="H204" s="335"/>
      <c r="I204" s="335"/>
      <c r="J204" s="335"/>
      <c r="K204" s="335"/>
      <c r="L204" s="335"/>
      <c r="M204" s="335"/>
      <c r="N204" s="335"/>
      <c r="O204" s="335"/>
      <c r="P204" s="335"/>
      <c r="Q204" s="335"/>
      <c r="R204" s="335"/>
      <c r="S204" s="335"/>
      <c r="T204" s="335"/>
      <c r="U204" s="335"/>
      <c r="V204" s="335"/>
      <c r="W204" s="335"/>
      <c r="X204" s="335"/>
      <c r="Y204" s="335"/>
      <c r="Z204" s="335"/>
      <c r="AA204" s="335"/>
      <c r="AB204" s="335"/>
      <c r="AC204" s="335"/>
      <c r="AD204" s="335"/>
      <c r="AE204" s="335"/>
    </row>
    <row r="205" ht="15.75" hidden="1" customHeight="1">
      <c r="A205" s="335"/>
      <c r="B205" s="335"/>
      <c r="C205" s="335"/>
      <c r="D205" s="335"/>
      <c r="E205" s="335"/>
      <c r="F205" s="337"/>
      <c r="G205" s="337"/>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row>
    <row r="206" ht="15.75" hidden="1" customHeight="1">
      <c r="A206" s="335"/>
      <c r="B206" s="335"/>
      <c r="C206" s="335"/>
      <c r="D206" s="335"/>
      <c r="E206" s="335"/>
      <c r="F206" s="337"/>
      <c r="G206" s="337"/>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row>
    <row r="207" ht="15.75" hidden="1" customHeight="1">
      <c r="A207" s="335"/>
      <c r="B207" s="335"/>
      <c r="C207" s="335"/>
      <c r="D207" s="335"/>
      <c r="E207" s="335"/>
      <c r="F207" s="337"/>
      <c r="G207" s="337"/>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row>
    <row r="208" ht="15.75" hidden="1" customHeight="1">
      <c r="A208" s="335"/>
      <c r="B208" s="335"/>
      <c r="C208" s="335"/>
      <c r="D208" s="335"/>
      <c r="E208" s="335"/>
      <c r="F208" s="337"/>
      <c r="G208" s="337"/>
      <c r="H208" s="335"/>
      <c r="I208" s="335"/>
      <c r="J208" s="335"/>
      <c r="K208" s="335"/>
      <c r="L208" s="335"/>
      <c r="M208" s="335"/>
      <c r="N208" s="335"/>
      <c r="O208" s="335"/>
      <c r="P208" s="335"/>
      <c r="Q208" s="335"/>
      <c r="R208" s="335"/>
      <c r="S208" s="335"/>
      <c r="T208" s="335"/>
      <c r="U208" s="335"/>
      <c r="V208" s="335"/>
      <c r="W208" s="335"/>
      <c r="X208" s="335"/>
      <c r="Y208" s="335"/>
      <c r="Z208" s="335"/>
      <c r="AA208" s="335"/>
      <c r="AB208" s="335"/>
      <c r="AC208" s="335"/>
      <c r="AD208" s="335"/>
      <c r="AE208" s="335"/>
    </row>
    <row r="209" ht="15.75" hidden="1" customHeight="1">
      <c r="A209" s="335"/>
      <c r="B209" s="335"/>
      <c r="C209" s="335"/>
      <c r="D209" s="335"/>
      <c r="E209" s="335"/>
      <c r="F209" s="337"/>
      <c r="G209" s="337"/>
      <c r="H209" s="335"/>
      <c r="I209" s="335"/>
      <c r="J209" s="335"/>
      <c r="K209" s="335"/>
      <c r="L209" s="335"/>
      <c r="M209" s="335"/>
      <c r="N209" s="335"/>
      <c r="O209" s="335"/>
      <c r="P209" s="335"/>
      <c r="Q209" s="335"/>
      <c r="R209" s="335"/>
      <c r="S209" s="335"/>
      <c r="T209" s="335"/>
      <c r="U209" s="335"/>
      <c r="V209" s="335"/>
      <c r="W209" s="335"/>
      <c r="X209" s="335"/>
      <c r="Y209" s="335"/>
      <c r="Z209" s="335"/>
      <c r="AA209" s="335"/>
      <c r="AB209" s="335"/>
      <c r="AC209" s="335"/>
      <c r="AD209" s="335"/>
      <c r="AE209" s="335"/>
    </row>
    <row r="210" ht="15.75" hidden="1" customHeight="1">
      <c r="A210" s="335"/>
      <c r="B210" s="335"/>
      <c r="C210" s="335"/>
      <c r="D210" s="335"/>
      <c r="E210" s="335"/>
      <c r="F210" s="337"/>
      <c r="G210" s="337"/>
      <c r="H210" s="335"/>
      <c r="I210" s="335"/>
      <c r="J210" s="335"/>
      <c r="K210" s="335"/>
      <c r="L210" s="335"/>
      <c r="M210" s="335"/>
      <c r="N210" s="335"/>
      <c r="O210" s="335"/>
      <c r="P210" s="335"/>
      <c r="Q210" s="335"/>
      <c r="R210" s="335"/>
      <c r="S210" s="335"/>
      <c r="T210" s="335"/>
      <c r="U210" s="335"/>
      <c r="V210" s="335"/>
      <c r="W210" s="335"/>
      <c r="X210" s="335"/>
      <c r="Y210" s="335"/>
      <c r="Z210" s="335"/>
      <c r="AA210" s="335"/>
      <c r="AB210" s="335"/>
      <c r="AC210" s="335"/>
      <c r="AD210" s="335"/>
      <c r="AE210" s="335"/>
    </row>
    <row r="211" ht="15.75" hidden="1" customHeight="1">
      <c r="A211" s="335"/>
      <c r="B211" s="335"/>
      <c r="C211" s="335"/>
      <c r="D211" s="335"/>
      <c r="E211" s="335"/>
      <c r="F211" s="337"/>
      <c r="G211" s="337"/>
      <c r="H211" s="335"/>
      <c r="I211" s="335"/>
      <c r="J211" s="335"/>
      <c r="K211" s="335"/>
      <c r="L211" s="335"/>
      <c r="M211" s="335"/>
      <c r="N211" s="335"/>
      <c r="O211" s="335"/>
      <c r="P211" s="335"/>
      <c r="Q211" s="335"/>
      <c r="R211" s="335"/>
      <c r="S211" s="335"/>
      <c r="T211" s="335"/>
      <c r="U211" s="335"/>
      <c r="V211" s="335"/>
      <c r="W211" s="335"/>
      <c r="X211" s="335"/>
      <c r="Y211" s="335"/>
      <c r="Z211" s="335"/>
      <c r="AA211" s="335"/>
      <c r="AB211" s="335"/>
      <c r="AC211" s="335"/>
      <c r="AD211" s="335"/>
      <c r="AE211" s="335"/>
    </row>
    <row r="212" ht="15.75" hidden="1" customHeight="1">
      <c r="A212" s="335"/>
      <c r="B212" s="335"/>
      <c r="C212" s="335"/>
      <c r="D212" s="335"/>
      <c r="E212" s="335"/>
      <c r="F212" s="337"/>
      <c r="G212" s="337"/>
      <c r="H212" s="335"/>
      <c r="I212" s="335"/>
      <c r="J212" s="335"/>
      <c r="K212" s="335"/>
      <c r="L212" s="335"/>
      <c r="M212" s="335"/>
      <c r="N212" s="335"/>
      <c r="O212" s="335"/>
      <c r="P212" s="335"/>
      <c r="Q212" s="335"/>
      <c r="R212" s="335"/>
      <c r="S212" s="335"/>
      <c r="T212" s="335"/>
      <c r="U212" s="335"/>
      <c r="V212" s="335"/>
      <c r="W212" s="335"/>
      <c r="X212" s="335"/>
      <c r="Y212" s="335"/>
      <c r="Z212" s="335"/>
      <c r="AA212" s="335"/>
      <c r="AB212" s="335"/>
      <c r="AC212" s="335"/>
      <c r="AD212" s="335"/>
      <c r="AE212" s="335"/>
    </row>
    <row r="213" ht="15.75" hidden="1" customHeight="1">
      <c r="A213" s="335"/>
      <c r="B213" s="335"/>
      <c r="C213" s="335"/>
      <c r="D213" s="335"/>
      <c r="E213" s="335"/>
      <c r="F213" s="337"/>
      <c r="G213" s="337"/>
      <c r="H213" s="335"/>
      <c r="I213" s="335"/>
      <c r="J213" s="335"/>
      <c r="K213" s="335"/>
      <c r="L213" s="335"/>
      <c r="M213" s="335"/>
      <c r="N213" s="335"/>
      <c r="O213" s="335"/>
      <c r="P213" s="335"/>
      <c r="Q213" s="335"/>
      <c r="R213" s="335"/>
      <c r="S213" s="335"/>
      <c r="T213" s="335"/>
      <c r="U213" s="335"/>
      <c r="V213" s="335"/>
      <c r="W213" s="335"/>
      <c r="X213" s="335"/>
      <c r="Y213" s="335"/>
      <c r="Z213" s="335"/>
      <c r="AA213" s="335"/>
      <c r="AB213" s="335"/>
      <c r="AC213" s="335"/>
      <c r="AD213" s="335"/>
      <c r="AE213" s="335"/>
    </row>
    <row r="214" ht="15.75" hidden="1" customHeight="1">
      <c r="A214" s="335"/>
      <c r="B214" s="335"/>
      <c r="C214" s="335"/>
      <c r="D214" s="335"/>
      <c r="E214" s="335"/>
      <c r="F214" s="337"/>
      <c r="G214" s="337"/>
      <c r="H214" s="335"/>
      <c r="I214" s="335"/>
      <c r="J214" s="335"/>
      <c r="K214" s="335"/>
      <c r="L214" s="335"/>
      <c r="M214" s="335"/>
      <c r="N214" s="335"/>
      <c r="O214" s="335"/>
      <c r="P214" s="335"/>
      <c r="Q214" s="335"/>
      <c r="R214" s="335"/>
      <c r="S214" s="335"/>
      <c r="T214" s="335"/>
      <c r="U214" s="335"/>
      <c r="V214" s="335"/>
      <c r="W214" s="335"/>
      <c r="X214" s="335"/>
      <c r="Y214" s="335"/>
      <c r="Z214" s="335"/>
      <c r="AA214" s="335"/>
      <c r="AB214" s="335"/>
      <c r="AC214" s="335"/>
      <c r="AD214" s="335"/>
      <c r="AE214" s="335"/>
    </row>
    <row r="215" ht="15.75" hidden="1" customHeight="1">
      <c r="A215" s="335"/>
      <c r="B215" s="335"/>
      <c r="C215" s="335"/>
      <c r="D215" s="335"/>
      <c r="E215" s="335"/>
      <c r="F215" s="337"/>
      <c r="G215" s="337"/>
      <c r="H215" s="335"/>
      <c r="I215" s="335"/>
      <c r="J215" s="335"/>
      <c r="K215" s="335"/>
      <c r="L215" s="335"/>
      <c r="M215" s="335"/>
      <c r="N215" s="335"/>
      <c r="O215" s="335"/>
      <c r="P215" s="335"/>
      <c r="Q215" s="335"/>
      <c r="R215" s="335"/>
      <c r="S215" s="335"/>
      <c r="T215" s="335"/>
      <c r="U215" s="335"/>
      <c r="V215" s="335"/>
      <c r="W215" s="335"/>
      <c r="X215" s="335"/>
      <c r="Y215" s="335"/>
      <c r="Z215" s="335"/>
      <c r="AA215" s="335"/>
      <c r="AB215" s="335"/>
      <c r="AC215" s="335"/>
      <c r="AD215" s="335"/>
      <c r="AE215" s="335"/>
    </row>
    <row r="216" ht="15.75" hidden="1" customHeight="1">
      <c r="A216" s="335"/>
      <c r="B216" s="335"/>
      <c r="C216" s="335"/>
      <c r="D216" s="335"/>
      <c r="E216" s="335"/>
      <c r="F216" s="337"/>
      <c r="G216" s="337"/>
      <c r="H216" s="335"/>
      <c r="I216" s="335"/>
      <c r="J216" s="335"/>
      <c r="K216" s="335"/>
      <c r="L216" s="335"/>
      <c r="M216" s="335"/>
      <c r="N216" s="335"/>
      <c r="O216" s="335"/>
      <c r="P216" s="335"/>
      <c r="Q216" s="335"/>
      <c r="R216" s="335"/>
      <c r="S216" s="335"/>
      <c r="T216" s="335"/>
      <c r="U216" s="335"/>
      <c r="V216" s="335"/>
      <c r="W216" s="335"/>
      <c r="X216" s="335"/>
      <c r="Y216" s="335"/>
      <c r="Z216" s="335"/>
      <c r="AA216" s="335"/>
      <c r="AB216" s="335"/>
      <c r="AC216" s="335"/>
      <c r="AD216" s="335"/>
      <c r="AE216" s="335"/>
    </row>
    <row r="217" ht="15.75" hidden="1" customHeight="1">
      <c r="A217" s="335"/>
      <c r="B217" s="335"/>
      <c r="C217" s="335"/>
      <c r="D217" s="335"/>
      <c r="E217" s="335"/>
      <c r="F217" s="337"/>
      <c r="G217" s="337"/>
      <c r="H217" s="335"/>
      <c r="I217" s="335"/>
      <c r="J217" s="335"/>
      <c r="K217" s="335"/>
      <c r="L217" s="335"/>
      <c r="M217" s="335"/>
      <c r="N217" s="335"/>
      <c r="O217" s="335"/>
      <c r="P217" s="335"/>
      <c r="Q217" s="335"/>
      <c r="R217" s="335"/>
      <c r="S217" s="335"/>
      <c r="T217" s="335"/>
      <c r="U217" s="335"/>
      <c r="V217" s="335"/>
      <c r="W217" s="335"/>
      <c r="X217" s="335"/>
      <c r="Y217" s="335"/>
      <c r="Z217" s="335"/>
      <c r="AA217" s="335"/>
      <c r="AB217" s="335"/>
      <c r="AC217" s="335"/>
      <c r="AD217" s="335"/>
      <c r="AE217" s="335"/>
    </row>
    <row r="218" ht="15.75" hidden="1" customHeight="1">
      <c r="A218" s="335"/>
      <c r="B218" s="335"/>
      <c r="C218" s="335"/>
      <c r="D218" s="335"/>
      <c r="E218" s="335"/>
      <c r="F218" s="337"/>
      <c r="G218" s="337"/>
      <c r="H218" s="335"/>
      <c r="I218" s="335"/>
      <c r="J218" s="335"/>
      <c r="K218" s="335"/>
      <c r="L218" s="335"/>
      <c r="M218" s="335"/>
      <c r="N218" s="335"/>
      <c r="O218" s="335"/>
      <c r="P218" s="335"/>
      <c r="Q218" s="335"/>
      <c r="R218" s="335"/>
      <c r="S218" s="335"/>
      <c r="T218" s="335"/>
      <c r="U218" s="335"/>
      <c r="V218" s="335"/>
      <c r="W218" s="335"/>
      <c r="X218" s="335"/>
      <c r="Y218" s="335"/>
      <c r="Z218" s="335"/>
      <c r="AA218" s="335"/>
      <c r="AB218" s="335"/>
      <c r="AC218" s="335"/>
      <c r="AD218" s="335"/>
      <c r="AE218" s="335"/>
    </row>
    <row r="219" ht="15.75" hidden="1" customHeight="1">
      <c r="A219" s="335"/>
      <c r="B219" s="335"/>
      <c r="C219" s="335"/>
      <c r="D219" s="335"/>
      <c r="E219" s="335"/>
      <c r="F219" s="337"/>
      <c r="G219" s="337"/>
      <c r="H219" s="335"/>
      <c r="I219" s="335"/>
      <c r="J219" s="335"/>
      <c r="K219" s="335"/>
      <c r="L219" s="335"/>
      <c r="M219" s="335"/>
      <c r="N219" s="335"/>
      <c r="O219" s="335"/>
      <c r="P219" s="335"/>
      <c r="Q219" s="335"/>
      <c r="R219" s="335"/>
      <c r="S219" s="335"/>
      <c r="T219" s="335"/>
      <c r="U219" s="335"/>
      <c r="V219" s="335"/>
      <c r="W219" s="335"/>
      <c r="X219" s="335"/>
      <c r="Y219" s="335"/>
      <c r="Z219" s="335"/>
      <c r="AA219" s="335"/>
      <c r="AB219" s="335"/>
      <c r="AC219" s="335"/>
      <c r="AD219" s="335"/>
      <c r="AE219" s="335"/>
    </row>
    <row r="220" ht="15.75" hidden="1" customHeight="1">
      <c r="A220" s="335"/>
      <c r="B220" s="335"/>
      <c r="C220" s="335"/>
      <c r="D220" s="335"/>
      <c r="E220" s="335"/>
      <c r="F220" s="337"/>
      <c r="G220" s="337"/>
      <c r="H220" s="335"/>
      <c r="I220" s="335"/>
      <c r="J220" s="335"/>
      <c r="K220" s="335"/>
      <c r="L220" s="335"/>
      <c r="M220" s="335"/>
      <c r="N220" s="335"/>
      <c r="O220" s="335"/>
      <c r="P220" s="335"/>
      <c r="Q220" s="335"/>
      <c r="R220" s="335"/>
      <c r="S220" s="335"/>
      <c r="T220" s="335"/>
      <c r="U220" s="335"/>
      <c r="V220" s="335"/>
      <c r="W220" s="335"/>
      <c r="X220" s="335"/>
      <c r="Y220" s="335"/>
      <c r="Z220" s="335"/>
      <c r="AA220" s="335"/>
      <c r="AB220" s="335"/>
      <c r="AC220" s="335"/>
      <c r="AD220" s="335"/>
      <c r="AE220" s="335"/>
    </row>
    <row r="221" ht="15.75" hidden="1" customHeight="1">
      <c r="A221" s="335"/>
      <c r="B221" s="335"/>
      <c r="C221" s="335"/>
      <c r="D221" s="335"/>
      <c r="E221" s="335"/>
      <c r="F221" s="337"/>
      <c r="G221" s="337"/>
      <c r="H221" s="335"/>
      <c r="I221" s="335"/>
      <c r="J221" s="335"/>
      <c r="K221" s="335"/>
      <c r="L221" s="335"/>
      <c r="M221" s="335"/>
      <c r="N221" s="335"/>
      <c r="O221" s="335"/>
      <c r="P221" s="335"/>
      <c r="Q221" s="335"/>
      <c r="R221" s="335"/>
      <c r="S221" s="335"/>
      <c r="T221" s="335"/>
      <c r="U221" s="335"/>
      <c r="V221" s="335"/>
      <c r="W221" s="335"/>
      <c r="X221" s="335"/>
      <c r="Y221" s="335"/>
      <c r="Z221" s="335"/>
      <c r="AA221" s="335"/>
      <c r="AB221" s="335"/>
      <c r="AC221" s="335"/>
      <c r="AD221" s="335"/>
      <c r="AE221" s="335"/>
    </row>
    <row r="222" ht="15.75" hidden="1" customHeight="1">
      <c r="A222" s="335"/>
      <c r="B222" s="335"/>
      <c r="C222" s="335"/>
      <c r="D222" s="335"/>
      <c r="E222" s="335"/>
      <c r="F222" s="337"/>
      <c r="G222" s="337"/>
      <c r="H222" s="335"/>
      <c r="I222" s="335"/>
      <c r="J222" s="335"/>
      <c r="K222" s="335"/>
      <c r="L222" s="335"/>
      <c r="M222" s="335"/>
      <c r="N222" s="335"/>
      <c r="O222" s="335"/>
      <c r="P222" s="335"/>
      <c r="Q222" s="335"/>
      <c r="R222" s="335"/>
      <c r="S222" s="335"/>
      <c r="T222" s="335"/>
      <c r="U222" s="335"/>
      <c r="V222" s="335"/>
      <c r="W222" s="335"/>
      <c r="X222" s="335"/>
      <c r="Y222" s="335"/>
      <c r="Z222" s="335"/>
      <c r="AA222" s="335"/>
      <c r="AB222" s="335"/>
      <c r="AC222" s="335"/>
      <c r="AD222" s="335"/>
      <c r="AE222" s="335"/>
    </row>
    <row r="223" ht="15.75" hidden="1" customHeight="1">
      <c r="A223" s="335"/>
      <c r="B223" s="335"/>
      <c r="C223" s="335"/>
      <c r="D223" s="335"/>
      <c r="E223" s="335"/>
      <c r="F223" s="337"/>
      <c r="G223" s="337"/>
      <c r="H223" s="335"/>
      <c r="I223" s="335"/>
      <c r="J223" s="335"/>
      <c r="K223" s="335"/>
      <c r="L223" s="335"/>
      <c r="M223" s="335"/>
      <c r="N223" s="335"/>
      <c r="O223" s="335"/>
      <c r="P223" s="335"/>
      <c r="Q223" s="335"/>
      <c r="R223" s="335"/>
      <c r="S223" s="335"/>
      <c r="T223" s="335"/>
      <c r="U223" s="335"/>
      <c r="V223" s="335"/>
      <c r="W223" s="335"/>
      <c r="X223" s="335"/>
      <c r="Y223" s="335"/>
      <c r="Z223" s="335"/>
      <c r="AA223" s="335"/>
      <c r="AB223" s="335"/>
      <c r="AC223" s="335"/>
      <c r="AD223" s="335"/>
      <c r="AE223" s="335"/>
    </row>
    <row r="224" ht="15.75" hidden="1" customHeight="1">
      <c r="A224" s="335"/>
      <c r="B224" s="335"/>
      <c r="C224" s="335"/>
      <c r="D224" s="335"/>
      <c r="E224" s="335"/>
      <c r="F224" s="337"/>
      <c r="G224" s="337"/>
      <c r="H224" s="335"/>
      <c r="I224" s="335"/>
      <c r="J224" s="335"/>
      <c r="K224" s="335"/>
      <c r="L224" s="335"/>
      <c r="M224" s="335"/>
      <c r="N224" s="335"/>
      <c r="O224" s="335"/>
      <c r="P224" s="335"/>
      <c r="Q224" s="335"/>
      <c r="R224" s="335"/>
      <c r="S224" s="335"/>
      <c r="T224" s="335"/>
      <c r="U224" s="335"/>
      <c r="V224" s="335"/>
      <c r="W224" s="335"/>
      <c r="X224" s="335"/>
      <c r="Y224" s="335"/>
      <c r="Z224" s="335"/>
      <c r="AA224" s="335"/>
      <c r="AB224" s="335"/>
      <c r="AC224" s="335"/>
      <c r="AD224" s="335"/>
      <c r="AE224" s="335"/>
    </row>
    <row r="225" ht="15.75" hidden="1" customHeight="1">
      <c r="A225" s="335"/>
      <c r="B225" s="335"/>
      <c r="C225" s="335"/>
      <c r="D225" s="335"/>
      <c r="E225" s="335"/>
      <c r="F225" s="337"/>
      <c r="G225" s="337"/>
      <c r="H225" s="335"/>
      <c r="I225" s="335"/>
      <c r="J225" s="335"/>
      <c r="K225" s="335"/>
      <c r="L225" s="335"/>
      <c r="M225" s="335"/>
      <c r="N225" s="335"/>
      <c r="O225" s="335"/>
      <c r="P225" s="335"/>
      <c r="Q225" s="335"/>
      <c r="R225" s="335"/>
      <c r="S225" s="335"/>
      <c r="T225" s="335"/>
      <c r="U225" s="335"/>
      <c r="V225" s="335"/>
      <c r="W225" s="335"/>
      <c r="X225" s="335"/>
      <c r="Y225" s="335"/>
      <c r="Z225" s="335"/>
      <c r="AA225" s="335"/>
      <c r="AB225" s="335"/>
      <c r="AC225" s="335"/>
      <c r="AD225" s="335"/>
      <c r="AE225" s="335"/>
    </row>
    <row r="226" ht="15.75" hidden="1" customHeight="1">
      <c r="A226" s="335"/>
      <c r="B226" s="335"/>
      <c r="C226" s="335"/>
      <c r="D226" s="335"/>
      <c r="E226" s="335"/>
      <c r="F226" s="337"/>
      <c r="G226" s="337"/>
      <c r="H226" s="335"/>
      <c r="I226" s="335"/>
      <c r="J226" s="335"/>
      <c r="K226" s="335"/>
      <c r="L226" s="335"/>
      <c r="M226" s="335"/>
      <c r="N226" s="335"/>
      <c r="O226" s="335"/>
      <c r="P226" s="335"/>
      <c r="Q226" s="335"/>
      <c r="R226" s="335"/>
      <c r="S226" s="335"/>
      <c r="T226" s="335"/>
      <c r="U226" s="335"/>
      <c r="V226" s="335"/>
      <c r="W226" s="335"/>
      <c r="X226" s="335"/>
      <c r="Y226" s="335"/>
      <c r="Z226" s="335"/>
      <c r="AA226" s="335"/>
      <c r="AB226" s="335"/>
      <c r="AC226" s="335"/>
      <c r="AD226" s="335"/>
      <c r="AE226" s="335"/>
    </row>
    <row r="227" ht="15.75" hidden="1" customHeight="1">
      <c r="A227" s="335"/>
      <c r="B227" s="335"/>
      <c r="C227" s="335"/>
      <c r="D227" s="335"/>
      <c r="E227" s="335"/>
      <c r="F227" s="337"/>
      <c r="G227" s="337"/>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c r="AE227" s="335"/>
    </row>
    <row r="228" ht="15.75" hidden="1" customHeight="1">
      <c r="A228" s="335"/>
      <c r="B228" s="335"/>
      <c r="C228" s="335"/>
      <c r="D228" s="335"/>
      <c r="E228" s="335"/>
      <c r="F228" s="337"/>
      <c r="G228" s="337"/>
      <c r="H228" s="335"/>
      <c r="I228" s="335"/>
      <c r="J228" s="335"/>
      <c r="K228" s="335"/>
      <c r="L228" s="335"/>
      <c r="M228" s="335"/>
      <c r="N228" s="335"/>
      <c r="O228" s="335"/>
      <c r="P228" s="335"/>
      <c r="Q228" s="335"/>
      <c r="R228" s="335"/>
      <c r="S228" s="335"/>
      <c r="T228" s="335"/>
      <c r="U228" s="335"/>
      <c r="V228" s="335"/>
      <c r="W228" s="335"/>
      <c r="X228" s="335"/>
      <c r="Y228" s="335"/>
      <c r="Z228" s="335"/>
      <c r="AA228" s="335"/>
      <c r="AB228" s="335"/>
      <c r="AC228" s="335"/>
      <c r="AD228" s="335"/>
      <c r="AE228" s="335"/>
    </row>
    <row r="229" ht="15.75" hidden="1" customHeight="1">
      <c r="A229" s="335"/>
      <c r="B229" s="335"/>
      <c r="C229" s="335"/>
      <c r="D229" s="335"/>
      <c r="E229" s="335"/>
      <c r="F229" s="337"/>
      <c r="G229" s="337"/>
      <c r="H229" s="335"/>
      <c r="I229" s="335"/>
      <c r="J229" s="335"/>
      <c r="K229" s="335"/>
      <c r="L229" s="335"/>
      <c r="M229" s="335"/>
      <c r="N229" s="335"/>
      <c r="O229" s="335"/>
      <c r="P229" s="335"/>
      <c r="Q229" s="335"/>
      <c r="R229" s="335"/>
      <c r="S229" s="335"/>
      <c r="T229" s="335"/>
      <c r="U229" s="335"/>
      <c r="V229" s="335"/>
      <c r="W229" s="335"/>
      <c r="X229" s="335"/>
      <c r="Y229" s="335"/>
      <c r="Z229" s="335"/>
      <c r="AA229" s="335"/>
      <c r="AB229" s="335"/>
      <c r="AC229" s="335"/>
      <c r="AD229" s="335"/>
      <c r="AE229" s="335"/>
    </row>
    <row r="230" ht="15.75" hidden="1" customHeight="1">
      <c r="A230" s="335"/>
      <c r="B230" s="335"/>
      <c r="C230" s="335"/>
      <c r="D230" s="335"/>
      <c r="E230" s="335"/>
      <c r="F230" s="337"/>
      <c r="G230" s="337"/>
      <c r="H230" s="335"/>
      <c r="I230" s="335"/>
      <c r="J230" s="335"/>
      <c r="K230" s="335"/>
      <c r="L230" s="335"/>
      <c r="M230" s="335"/>
      <c r="N230" s="335"/>
      <c r="O230" s="335"/>
      <c r="P230" s="335"/>
      <c r="Q230" s="335"/>
      <c r="R230" s="335"/>
      <c r="S230" s="335"/>
      <c r="T230" s="335"/>
      <c r="U230" s="335"/>
      <c r="V230" s="335"/>
      <c r="W230" s="335"/>
      <c r="X230" s="335"/>
      <c r="Y230" s="335"/>
      <c r="Z230" s="335"/>
      <c r="AA230" s="335"/>
      <c r="AB230" s="335"/>
      <c r="AC230" s="335"/>
      <c r="AD230" s="335"/>
      <c r="AE230" s="335"/>
    </row>
    <row r="231" ht="15.75" hidden="1" customHeight="1">
      <c r="A231" s="335"/>
      <c r="B231" s="335"/>
      <c r="C231" s="335"/>
      <c r="D231" s="335"/>
      <c r="E231" s="335"/>
      <c r="F231" s="337"/>
      <c r="G231" s="337"/>
      <c r="H231" s="335"/>
      <c r="I231" s="335"/>
      <c r="J231" s="335"/>
      <c r="K231" s="335"/>
      <c r="L231" s="335"/>
      <c r="M231" s="335"/>
      <c r="N231" s="335"/>
      <c r="O231" s="335"/>
      <c r="P231" s="335"/>
      <c r="Q231" s="335"/>
      <c r="R231" s="335"/>
      <c r="S231" s="335"/>
      <c r="T231" s="335"/>
      <c r="U231" s="335"/>
      <c r="V231" s="335"/>
      <c r="W231" s="335"/>
      <c r="X231" s="335"/>
      <c r="Y231" s="335"/>
      <c r="Z231" s="335"/>
      <c r="AA231" s="335"/>
      <c r="AB231" s="335"/>
      <c r="AC231" s="335"/>
      <c r="AD231" s="335"/>
      <c r="AE231" s="335"/>
    </row>
    <row r="232" ht="15.75" hidden="1" customHeight="1">
      <c r="A232" s="335"/>
      <c r="B232" s="335"/>
      <c r="C232" s="335"/>
      <c r="D232" s="335"/>
      <c r="E232" s="335"/>
      <c r="F232" s="337"/>
      <c r="G232" s="337"/>
      <c r="H232" s="335"/>
      <c r="I232" s="335"/>
      <c r="J232" s="335"/>
      <c r="K232" s="335"/>
      <c r="L232" s="335"/>
      <c r="M232" s="335"/>
      <c r="N232" s="335"/>
      <c r="O232" s="335"/>
      <c r="P232" s="335"/>
      <c r="Q232" s="335"/>
      <c r="R232" s="335"/>
      <c r="S232" s="335"/>
      <c r="T232" s="335"/>
      <c r="U232" s="335"/>
      <c r="V232" s="335"/>
      <c r="W232" s="335"/>
      <c r="X232" s="335"/>
      <c r="Y232" s="335"/>
      <c r="Z232" s="335"/>
      <c r="AA232" s="335"/>
      <c r="AB232" s="335"/>
      <c r="AC232" s="335"/>
      <c r="AD232" s="335"/>
      <c r="AE232" s="335"/>
    </row>
    <row r="233" ht="15.75" hidden="1" customHeight="1">
      <c r="A233" s="335"/>
      <c r="B233" s="335"/>
      <c r="C233" s="335"/>
      <c r="D233" s="335"/>
      <c r="E233" s="335"/>
      <c r="F233" s="337"/>
      <c r="G233" s="337"/>
      <c r="H233" s="335"/>
      <c r="I233" s="335"/>
      <c r="J233" s="335"/>
      <c r="K233" s="335"/>
      <c r="L233" s="335"/>
      <c r="M233" s="335"/>
      <c r="N233" s="335"/>
      <c r="O233" s="335"/>
      <c r="P233" s="335"/>
      <c r="Q233" s="335"/>
      <c r="R233" s="335"/>
      <c r="S233" s="335"/>
      <c r="T233" s="335"/>
      <c r="U233" s="335"/>
      <c r="V233" s="335"/>
      <c r="W233" s="335"/>
      <c r="X233" s="335"/>
      <c r="Y233" s="335"/>
      <c r="Z233" s="335"/>
      <c r="AA233" s="335"/>
      <c r="AB233" s="335"/>
      <c r="AC233" s="335"/>
      <c r="AD233" s="335"/>
      <c r="AE233" s="335"/>
    </row>
    <row r="234" ht="15.75" hidden="1" customHeight="1">
      <c r="A234" s="335"/>
      <c r="B234" s="335"/>
      <c r="C234" s="335"/>
      <c r="D234" s="335"/>
      <c r="E234" s="335"/>
      <c r="F234" s="337"/>
      <c r="G234" s="337"/>
      <c r="H234" s="335"/>
      <c r="I234" s="335"/>
      <c r="J234" s="335"/>
      <c r="K234" s="335"/>
      <c r="L234" s="335"/>
      <c r="M234" s="335"/>
      <c r="N234" s="335"/>
      <c r="O234" s="335"/>
      <c r="P234" s="335"/>
      <c r="Q234" s="335"/>
      <c r="R234" s="335"/>
      <c r="S234" s="335"/>
      <c r="T234" s="335"/>
      <c r="U234" s="335"/>
      <c r="V234" s="335"/>
      <c r="W234" s="335"/>
      <c r="X234" s="335"/>
      <c r="Y234" s="335"/>
      <c r="Z234" s="335"/>
      <c r="AA234" s="335"/>
      <c r="AB234" s="335"/>
      <c r="AC234" s="335"/>
      <c r="AD234" s="335"/>
      <c r="AE234" s="335"/>
    </row>
    <row r="235" ht="15.75" hidden="1" customHeight="1">
      <c r="A235" s="335"/>
      <c r="B235" s="335"/>
      <c r="C235" s="335"/>
      <c r="D235" s="335"/>
      <c r="E235" s="335"/>
      <c r="F235" s="337"/>
      <c r="G235" s="337"/>
      <c r="H235" s="335"/>
      <c r="I235" s="335"/>
      <c r="J235" s="335"/>
      <c r="K235" s="335"/>
      <c r="L235" s="335"/>
      <c r="M235" s="335"/>
      <c r="N235" s="335"/>
      <c r="O235" s="335"/>
      <c r="P235" s="335"/>
      <c r="Q235" s="335"/>
      <c r="R235" s="335"/>
      <c r="S235" s="335"/>
      <c r="T235" s="335"/>
      <c r="U235" s="335"/>
      <c r="V235" s="335"/>
      <c r="W235" s="335"/>
      <c r="X235" s="335"/>
      <c r="Y235" s="335"/>
      <c r="Z235" s="335"/>
      <c r="AA235" s="335"/>
      <c r="AB235" s="335"/>
      <c r="AC235" s="335"/>
      <c r="AD235" s="335"/>
      <c r="AE235" s="335"/>
    </row>
    <row r="236" ht="15.75" hidden="1" customHeight="1">
      <c r="A236" s="335"/>
      <c r="B236" s="335"/>
      <c r="C236" s="335"/>
      <c r="D236" s="335"/>
      <c r="E236" s="335"/>
      <c r="F236" s="337"/>
      <c r="G236" s="337"/>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c r="AE236" s="335"/>
    </row>
    <row r="237" ht="15.75" hidden="1" customHeight="1">
      <c r="A237" s="335"/>
      <c r="B237" s="335"/>
      <c r="C237" s="335"/>
      <c r="D237" s="335"/>
      <c r="E237" s="335"/>
      <c r="F237" s="337"/>
      <c r="G237" s="337"/>
      <c r="H237" s="335"/>
      <c r="I237" s="335"/>
      <c r="J237" s="335"/>
      <c r="K237" s="335"/>
      <c r="L237" s="335"/>
      <c r="M237" s="335"/>
      <c r="N237" s="335"/>
      <c r="O237" s="335"/>
      <c r="P237" s="335"/>
      <c r="Q237" s="335"/>
      <c r="R237" s="335"/>
      <c r="S237" s="335"/>
      <c r="T237" s="335"/>
      <c r="U237" s="335"/>
      <c r="V237" s="335"/>
      <c r="W237" s="335"/>
      <c r="X237" s="335"/>
      <c r="Y237" s="335"/>
      <c r="Z237" s="335"/>
      <c r="AA237" s="335"/>
      <c r="AB237" s="335"/>
      <c r="AC237" s="335"/>
      <c r="AD237" s="335"/>
      <c r="AE237" s="335"/>
    </row>
    <row r="238" ht="15.75" hidden="1" customHeight="1">
      <c r="A238" s="335"/>
      <c r="B238" s="335"/>
      <c r="C238" s="335"/>
      <c r="D238" s="335"/>
      <c r="E238" s="335"/>
      <c r="F238" s="337"/>
      <c r="G238" s="337"/>
      <c r="H238" s="335"/>
      <c r="I238" s="335"/>
      <c r="J238" s="335"/>
      <c r="K238" s="335"/>
      <c r="L238" s="335"/>
      <c r="M238" s="335"/>
      <c r="N238" s="335"/>
      <c r="O238" s="335"/>
      <c r="P238" s="335"/>
      <c r="Q238" s="335"/>
      <c r="R238" s="335"/>
      <c r="S238" s="335"/>
      <c r="T238" s="335"/>
      <c r="U238" s="335"/>
      <c r="V238" s="335"/>
      <c r="W238" s="335"/>
      <c r="X238" s="335"/>
      <c r="Y238" s="335"/>
      <c r="Z238" s="335"/>
      <c r="AA238" s="335"/>
      <c r="AB238" s="335"/>
      <c r="AC238" s="335"/>
      <c r="AD238" s="335"/>
      <c r="AE238" s="335"/>
    </row>
    <row r="239" ht="15.75" hidden="1" customHeight="1">
      <c r="A239" s="335"/>
      <c r="B239" s="335"/>
      <c r="C239" s="335"/>
      <c r="D239" s="335"/>
      <c r="E239" s="335"/>
      <c r="F239" s="337"/>
      <c r="G239" s="337"/>
      <c r="H239" s="335"/>
      <c r="I239" s="335"/>
      <c r="J239" s="335"/>
      <c r="K239" s="335"/>
      <c r="L239" s="335"/>
      <c r="M239" s="335"/>
      <c r="N239" s="335"/>
      <c r="O239" s="335"/>
      <c r="P239" s="335"/>
      <c r="Q239" s="335"/>
      <c r="R239" s="335"/>
      <c r="S239" s="335"/>
      <c r="T239" s="335"/>
      <c r="U239" s="335"/>
      <c r="V239" s="335"/>
      <c r="W239" s="335"/>
      <c r="X239" s="335"/>
      <c r="Y239" s="335"/>
      <c r="Z239" s="335"/>
      <c r="AA239" s="335"/>
      <c r="AB239" s="335"/>
      <c r="AC239" s="335"/>
      <c r="AD239" s="335"/>
      <c r="AE239" s="335"/>
    </row>
    <row r="240" ht="15.75" hidden="1" customHeight="1">
      <c r="A240" s="335"/>
      <c r="B240" s="335"/>
      <c r="C240" s="335"/>
      <c r="D240" s="335"/>
      <c r="E240" s="335"/>
      <c r="F240" s="337"/>
      <c r="G240" s="337"/>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5"/>
      <c r="AE240" s="335"/>
    </row>
    <row r="241" ht="15.75" hidden="1" customHeight="1">
      <c r="A241" s="335"/>
      <c r="B241" s="335"/>
      <c r="C241" s="335"/>
      <c r="D241" s="335"/>
      <c r="E241" s="335"/>
      <c r="F241" s="337"/>
      <c r="G241" s="337"/>
      <c r="H241" s="335"/>
      <c r="I241" s="335"/>
      <c r="J241" s="335"/>
      <c r="K241" s="335"/>
      <c r="L241" s="335"/>
      <c r="M241" s="335"/>
      <c r="N241" s="335"/>
      <c r="O241" s="335"/>
      <c r="P241" s="335"/>
      <c r="Q241" s="335"/>
      <c r="R241" s="335"/>
      <c r="S241" s="335"/>
      <c r="T241" s="335"/>
      <c r="U241" s="335"/>
      <c r="V241" s="335"/>
      <c r="W241" s="335"/>
      <c r="X241" s="335"/>
      <c r="Y241" s="335"/>
      <c r="Z241" s="335"/>
      <c r="AA241" s="335"/>
      <c r="AB241" s="335"/>
      <c r="AC241" s="335"/>
      <c r="AD241" s="335"/>
      <c r="AE241" s="335"/>
    </row>
    <row r="242" ht="15.75" hidden="1" customHeight="1">
      <c r="A242" s="335"/>
      <c r="B242" s="335"/>
      <c r="C242" s="335"/>
      <c r="D242" s="335"/>
      <c r="E242" s="335"/>
      <c r="F242" s="337"/>
      <c r="G242" s="337"/>
      <c r="H242" s="335"/>
      <c r="I242" s="335"/>
      <c r="J242" s="335"/>
      <c r="K242" s="335"/>
      <c r="L242" s="335"/>
      <c r="M242" s="335"/>
      <c r="N242" s="335"/>
      <c r="O242" s="335"/>
      <c r="P242" s="335"/>
      <c r="Q242" s="335"/>
      <c r="R242" s="335"/>
      <c r="S242" s="335"/>
      <c r="T242" s="335"/>
      <c r="U242" s="335"/>
      <c r="V242" s="335"/>
      <c r="W242" s="335"/>
      <c r="X242" s="335"/>
      <c r="Y242" s="335"/>
      <c r="Z242" s="335"/>
      <c r="AA242" s="335"/>
      <c r="AB242" s="335"/>
      <c r="AC242" s="335"/>
      <c r="AD242" s="335"/>
      <c r="AE242" s="335"/>
    </row>
    <row r="243" ht="15.75" hidden="1" customHeight="1">
      <c r="A243" s="335"/>
      <c r="B243" s="335"/>
      <c r="C243" s="335"/>
      <c r="D243" s="335"/>
      <c r="E243" s="335"/>
      <c r="F243" s="337"/>
      <c r="G243" s="337"/>
      <c r="H243" s="335"/>
      <c r="I243" s="335"/>
      <c r="J243" s="335"/>
      <c r="K243" s="335"/>
      <c r="L243" s="335"/>
      <c r="M243" s="335"/>
      <c r="N243" s="335"/>
      <c r="O243" s="335"/>
      <c r="P243" s="335"/>
      <c r="Q243" s="335"/>
      <c r="R243" s="335"/>
      <c r="S243" s="335"/>
      <c r="T243" s="335"/>
      <c r="U243" s="335"/>
      <c r="V243" s="335"/>
      <c r="W243" s="335"/>
      <c r="X243" s="335"/>
      <c r="Y243" s="335"/>
      <c r="Z243" s="335"/>
      <c r="AA243" s="335"/>
      <c r="AB243" s="335"/>
      <c r="AC243" s="335"/>
      <c r="AD243" s="335"/>
      <c r="AE243" s="335"/>
    </row>
    <row r="244" ht="15.75" hidden="1" customHeight="1">
      <c r="A244" s="335"/>
      <c r="B244" s="335"/>
      <c r="C244" s="335"/>
      <c r="D244" s="335"/>
      <c r="E244" s="335"/>
      <c r="F244" s="337"/>
      <c r="G244" s="337"/>
      <c r="H244" s="335"/>
      <c r="I244" s="335"/>
      <c r="J244" s="335"/>
      <c r="K244" s="335"/>
      <c r="L244" s="335"/>
      <c r="M244" s="335"/>
      <c r="N244" s="335"/>
      <c r="O244" s="335"/>
      <c r="P244" s="335"/>
      <c r="Q244" s="335"/>
      <c r="R244" s="335"/>
      <c r="S244" s="335"/>
      <c r="T244" s="335"/>
      <c r="U244" s="335"/>
      <c r="V244" s="335"/>
      <c r="W244" s="335"/>
      <c r="X244" s="335"/>
      <c r="Y244" s="335"/>
      <c r="Z244" s="335"/>
      <c r="AA244" s="335"/>
      <c r="AB244" s="335"/>
      <c r="AC244" s="335"/>
      <c r="AD244" s="335"/>
      <c r="AE244" s="335"/>
    </row>
    <row r="245" ht="15.75" hidden="1" customHeight="1">
      <c r="A245" s="335"/>
      <c r="B245" s="335"/>
      <c r="C245" s="335"/>
      <c r="D245" s="335"/>
      <c r="E245" s="335"/>
      <c r="F245" s="337"/>
      <c r="G245" s="337"/>
      <c r="H245" s="335"/>
      <c r="I245" s="335"/>
      <c r="J245" s="335"/>
      <c r="K245" s="335"/>
      <c r="L245" s="335"/>
      <c r="M245" s="335"/>
      <c r="N245" s="335"/>
      <c r="O245" s="335"/>
      <c r="P245" s="335"/>
      <c r="Q245" s="335"/>
      <c r="R245" s="335"/>
      <c r="S245" s="335"/>
      <c r="T245" s="335"/>
      <c r="U245" s="335"/>
      <c r="V245" s="335"/>
      <c r="W245" s="335"/>
      <c r="X245" s="335"/>
      <c r="Y245" s="335"/>
      <c r="Z245" s="335"/>
      <c r="AA245" s="335"/>
      <c r="AB245" s="335"/>
      <c r="AC245" s="335"/>
      <c r="AD245" s="335"/>
      <c r="AE245" s="335"/>
    </row>
    <row r="246" ht="15.75" hidden="1" customHeight="1">
      <c r="A246" s="335"/>
      <c r="B246" s="335"/>
      <c r="C246" s="335"/>
      <c r="D246" s="335"/>
      <c r="E246" s="335"/>
      <c r="F246" s="337"/>
      <c r="G246" s="337"/>
      <c r="H246" s="335"/>
      <c r="I246" s="335"/>
      <c r="J246" s="335"/>
      <c r="K246" s="335"/>
      <c r="L246" s="335"/>
      <c r="M246" s="335"/>
      <c r="N246" s="335"/>
      <c r="O246" s="335"/>
      <c r="P246" s="335"/>
      <c r="Q246" s="335"/>
      <c r="R246" s="335"/>
      <c r="S246" s="335"/>
      <c r="T246" s="335"/>
      <c r="U246" s="335"/>
      <c r="V246" s="335"/>
      <c r="W246" s="335"/>
      <c r="X246" s="335"/>
      <c r="Y246" s="335"/>
      <c r="Z246" s="335"/>
      <c r="AA246" s="335"/>
      <c r="AB246" s="335"/>
      <c r="AC246" s="335"/>
      <c r="AD246" s="335"/>
      <c r="AE246" s="335"/>
    </row>
    <row r="247" ht="15.75" hidden="1" customHeight="1">
      <c r="A247" s="335"/>
      <c r="B247" s="335"/>
      <c r="C247" s="335"/>
      <c r="D247" s="335"/>
      <c r="E247" s="335"/>
      <c r="F247" s="337"/>
      <c r="G247" s="337"/>
      <c r="H247" s="335"/>
      <c r="I247" s="335"/>
      <c r="J247" s="335"/>
      <c r="K247" s="335"/>
      <c r="L247" s="335"/>
      <c r="M247" s="335"/>
      <c r="N247" s="335"/>
      <c r="O247" s="335"/>
      <c r="P247" s="335"/>
      <c r="Q247" s="335"/>
      <c r="R247" s="335"/>
      <c r="S247" s="335"/>
      <c r="T247" s="335"/>
      <c r="U247" s="335"/>
      <c r="V247" s="335"/>
      <c r="W247" s="335"/>
      <c r="X247" s="335"/>
      <c r="Y247" s="335"/>
      <c r="Z247" s="335"/>
      <c r="AA247" s="335"/>
      <c r="AB247" s="335"/>
      <c r="AC247" s="335"/>
      <c r="AD247" s="335"/>
      <c r="AE247" s="335"/>
    </row>
    <row r="248" ht="15.75" hidden="1" customHeight="1">
      <c r="A248" s="335"/>
      <c r="B248" s="335"/>
      <c r="C248" s="335"/>
      <c r="D248" s="335"/>
      <c r="E248" s="335"/>
      <c r="F248" s="337"/>
      <c r="G248" s="337"/>
      <c r="H248" s="335"/>
      <c r="I248" s="335"/>
      <c r="J248" s="335"/>
      <c r="K248" s="335"/>
      <c r="L248" s="335"/>
      <c r="M248" s="335"/>
      <c r="N248" s="335"/>
      <c r="O248" s="335"/>
      <c r="P248" s="335"/>
      <c r="Q248" s="335"/>
      <c r="R248" s="335"/>
      <c r="S248" s="335"/>
      <c r="T248" s="335"/>
      <c r="U248" s="335"/>
      <c r="V248" s="335"/>
      <c r="W248" s="335"/>
      <c r="X248" s="335"/>
      <c r="Y248" s="335"/>
      <c r="Z248" s="335"/>
      <c r="AA248" s="335"/>
      <c r="AB248" s="335"/>
      <c r="AC248" s="335"/>
      <c r="AD248" s="335"/>
      <c r="AE248" s="335"/>
    </row>
    <row r="249" ht="15.75" hidden="1" customHeight="1">
      <c r="A249" s="335"/>
      <c r="B249" s="335"/>
      <c r="C249" s="335"/>
      <c r="D249" s="335"/>
      <c r="E249" s="335"/>
      <c r="F249" s="337"/>
      <c r="G249" s="337"/>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row>
    <row r="250" ht="15.75" hidden="1" customHeight="1">
      <c r="A250" s="335"/>
      <c r="B250" s="335"/>
      <c r="C250" s="335"/>
      <c r="D250" s="335"/>
      <c r="E250" s="335"/>
      <c r="F250" s="337"/>
      <c r="G250" s="337"/>
      <c r="H250" s="335"/>
      <c r="I250" s="335"/>
      <c r="J250" s="335"/>
      <c r="K250" s="335"/>
      <c r="L250" s="335"/>
      <c r="M250" s="335"/>
      <c r="N250" s="335"/>
      <c r="O250" s="335"/>
      <c r="P250" s="335"/>
      <c r="Q250" s="335"/>
      <c r="R250" s="335"/>
      <c r="S250" s="335"/>
      <c r="T250" s="335"/>
      <c r="U250" s="335"/>
      <c r="V250" s="335"/>
      <c r="W250" s="335"/>
      <c r="X250" s="335"/>
      <c r="Y250" s="335"/>
      <c r="Z250" s="335"/>
      <c r="AA250" s="335"/>
      <c r="AB250" s="335"/>
      <c r="AC250" s="335"/>
      <c r="AD250" s="335"/>
      <c r="AE250" s="335"/>
    </row>
    <row r="251" ht="15.75" hidden="1" customHeight="1">
      <c r="A251" s="335"/>
      <c r="B251" s="335"/>
      <c r="C251" s="335"/>
      <c r="D251" s="335"/>
      <c r="E251" s="335"/>
      <c r="F251" s="337"/>
      <c r="G251" s="337"/>
      <c r="H251" s="335"/>
      <c r="I251" s="335"/>
      <c r="J251" s="335"/>
      <c r="K251" s="335"/>
      <c r="L251" s="335"/>
      <c r="M251" s="335"/>
      <c r="N251" s="335"/>
      <c r="O251" s="335"/>
      <c r="P251" s="335"/>
      <c r="Q251" s="335"/>
      <c r="R251" s="335"/>
      <c r="S251" s="335"/>
      <c r="T251" s="335"/>
      <c r="U251" s="335"/>
      <c r="V251" s="335"/>
      <c r="W251" s="335"/>
      <c r="X251" s="335"/>
      <c r="Y251" s="335"/>
      <c r="Z251" s="335"/>
      <c r="AA251" s="335"/>
      <c r="AB251" s="335"/>
      <c r="AC251" s="335"/>
      <c r="AD251" s="335"/>
      <c r="AE251" s="335"/>
    </row>
    <row r="252" ht="15.75" hidden="1" customHeight="1">
      <c r="A252" s="335"/>
      <c r="B252" s="335"/>
      <c r="C252" s="335"/>
      <c r="D252" s="335"/>
      <c r="E252" s="335"/>
      <c r="F252" s="337"/>
      <c r="G252" s="337"/>
      <c r="H252" s="335"/>
      <c r="I252" s="335"/>
      <c r="J252" s="335"/>
      <c r="K252" s="335"/>
      <c r="L252" s="335"/>
      <c r="M252" s="335"/>
      <c r="N252" s="335"/>
      <c r="O252" s="335"/>
      <c r="P252" s="335"/>
      <c r="Q252" s="335"/>
      <c r="R252" s="335"/>
      <c r="S252" s="335"/>
      <c r="T252" s="335"/>
      <c r="U252" s="335"/>
      <c r="V252" s="335"/>
      <c r="W252" s="335"/>
      <c r="X252" s="335"/>
      <c r="Y252" s="335"/>
      <c r="Z252" s="335"/>
      <c r="AA252" s="335"/>
      <c r="AB252" s="335"/>
      <c r="AC252" s="335"/>
      <c r="AD252" s="335"/>
      <c r="AE252" s="335"/>
    </row>
    <row r="253" ht="15.75" hidden="1" customHeight="1">
      <c r="A253" s="335"/>
      <c r="B253" s="335"/>
      <c r="C253" s="335"/>
      <c r="D253" s="335"/>
      <c r="E253" s="335"/>
      <c r="F253" s="337"/>
      <c r="G253" s="337"/>
      <c r="H253" s="335"/>
      <c r="I253" s="335"/>
      <c r="J253" s="335"/>
      <c r="K253" s="335"/>
      <c r="L253" s="335"/>
      <c r="M253" s="335"/>
      <c r="N253" s="335"/>
      <c r="O253" s="335"/>
      <c r="P253" s="335"/>
      <c r="Q253" s="335"/>
      <c r="R253" s="335"/>
      <c r="S253" s="335"/>
      <c r="T253" s="335"/>
      <c r="U253" s="335"/>
      <c r="V253" s="335"/>
      <c r="W253" s="335"/>
      <c r="X253" s="335"/>
      <c r="Y253" s="335"/>
      <c r="Z253" s="335"/>
      <c r="AA253" s="335"/>
      <c r="AB253" s="335"/>
      <c r="AC253" s="335"/>
      <c r="AD253" s="335"/>
      <c r="AE253" s="335"/>
    </row>
    <row r="254" ht="15.75" hidden="1" customHeight="1">
      <c r="A254" s="335"/>
      <c r="B254" s="335"/>
      <c r="C254" s="335"/>
      <c r="D254" s="335"/>
      <c r="E254" s="335"/>
      <c r="F254" s="337"/>
      <c r="G254" s="337"/>
      <c r="H254" s="335"/>
      <c r="I254" s="335"/>
      <c r="J254" s="335"/>
      <c r="K254" s="335"/>
      <c r="L254" s="335"/>
      <c r="M254" s="335"/>
      <c r="N254" s="335"/>
      <c r="O254" s="335"/>
      <c r="P254" s="335"/>
      <c r="Q254" s="335"/>
      <c r="R254" s="335"/>
      <c r="S254" s="335"/>
      <c r="T254" s="335"/>
      <c r="U254" s="335"/>
      <c r="V254" s="335"/>
      <c r="W254" s="335"/>
      <c r="X254" s="335"/>
      <c r="Y254" s="335"/>
      <c r="Z254" s="335"/>
      <c r="AA254" s="335"/>
      <c r="AB254" s="335"/>
      <c r="AC254" s="335"/>
      <c r="AD254" s="335"/>
      <c r="AE254" s="335"/>
    </row>
    <row r="255" ht="15.75" hidden="1" customHeight="1">
      <c r="A255" s="335"/>
      <c r="B255" s="335"/>
      <c r="C255" s="335"/>
      <c r="D255" s="335"/>
      <c r="E255" s="335"/>
      <c r="F255" s="337"/>
      <c r="G255" s="337"/>
      <c r="H255" s="335"/>
      <c r="I255" s="335"/>
      <c r="J255" s="335"/>
      <c r="K255" s="335"/>
      <c r="L255" s="335"/>
      <c r="M255" s="335"/>
      <c r="N255" s="335"/>
      <c r="O255" s="335"/>
      <c r="P255" s="335"/>
      <c r="Q255" s="335"/>
      <c r="R255" s="335"/>
      <c r="S255" s="335"/>
      <c r="T255" s="335"/>
      <c r="U255" s="335"/>
      <c r="V255" s="335"/>
      <c r="W255" s="335"/>
      <c r="X255" s="335"/>
      <c r="Y255" s="335"/>
      <c r="Z255" s="335"/>
      <c r="AA255" s="335"/>
      <c r="AB255" s="335"/>
      <c r="AC255" s="335"/>
      <c r="AD255" s="335"/>
      <c r="AE255" s="335"/>
    </row>
    <row r="256" ht="15.75" hidden="1" customHeight="1">
      <c r="A256" s="335"/>
      <c r="B256" s="335"/>
      <c r="C256" s="335"/>
      <c r="D256" s="335"/>
      <c r="E256" s="335"/>
      <c r="F256" s="337"/>
      <c r="G256" s="337"/>
      <c r="H256" s="335"/>
      <c r="I256" s="335"/>
      <c r="J256" s="335"/>
      <c r="K256" s="335"/>
      <c r="L256" s="335"/>
      <c r="M256" s="335"/>
      <c r="N256" s="335"/>
      <c r="O256" s="335"/>
      <c r="P256" s="335"/>
      <c r="Q256" s="335"/>
      <c r="R256" s="335"/>
      <c r="S256" s="335"/>
      <c r="T256" s="335"/>
      <c r="U256" s="335"/>
      <c r="V256" s="335"/>
      <c r="W256" s="335"/>
      <c r="X256" s="335"/>
      <c r="Y256" s="335"/>
      <c r="Z256" s="335"/>
      <c r="AA256" s="335"/>
      <c r="AB256" s="335"/>
      <c r="AC256" s="335"/>
      <c r="AD256" s="335"/>
      <c r="AE256" s="335"/>
    </row>
    <row r="257" ht="15.75" hidden="1" customHeight="1">
      <c r="A257" s="335"/>
      <c r="B257" s="335"/>
      <c r="C257" s="335"/>
      <c r="D257" s="335"/>
      <c r="E257" s="335"/>
      <c r="F257" s="337"/>
      <c r="G257" s="337"/>
      <c r="H257" s="335"/>
      <c r="I257" s="335"/>
      <c r="J257" s="335"/>
      <c r="K257" s="335"/>
      <c r="L257" s="335"/>
      <c r="M257" s="335"/>
      <c r="N257" s="335"/>
      <c r="O257" s="335"/>
      <c r="P257" s="335"/>
      <c r="Q257" s="335"/>
      <c r="R257" s="335"/>
      <c r="S257" s="335"/>
      <c r="T257" s="335"/>
      <c r="U257" s="335"/>
      <c r="V257" s="335"/>
      <c r="W257" s="335"/>
      <c r="X257" s="335"/>
      <c r="Y257" s="335"/>
      <c r="Z257" s="335"/>
      <c r="AA257" s="335"/>
      <c r="AB257" s="335"/>
      <c r="AC257" s="335"/>
      <c r="AD257" s="335"/>
      <c r="AE257" s="335"/>
    </row>
    <row r="258" ht="15.75" hidden="1" customHeight="1">
      <c r="A258" s="335"/>
      <c r="B258" s="335"/>
      <c r="C258" s="335"/>
      <c r="D258" s="335"/>
      <c r="E258" s="335"/>
      <c r="F258" s="337"/>
      <c r="G258" s="337"/>
      <c r="H258" s="335"/>
      <c r="I258" s="335"/>
      <c r="J258" s="335"/>
      <c r="K258" s="335"/>
      <c r="L258" s="335"/>
      <c r="M258" s="335"/>
      <c r="N258" s="335"/>
      <c r="O258" s="335"/>
      <c r="P258" s="335"/>
      <c r="Q258" s="335"/>
      <c r="R258" s="335"/>
      <c r="S258" s="335"/>
      <c r="T258" s="335"/>
      <c r="U258" s="335"/>
      <c r="V258" s="335"/>
      <c r="W258" s="335"/>
      <c r="X258" s="335"/>
      <c r="Y258" s="335"/>
      <c r="Z258" s="335"/>
      <c r="AA258" s="335"/>
      <c r="AB258" s="335"/>
      <c r="AC258" s="335"/>
      <c r="AD258" s="335"/>
      <c r="AE258" s="335"/>
    </row>
    <row r="259" ht="15.75" hidden="1" customHeight="1">
      <c r="A259" s="335"/>
      <c r="B259" s="335"/>
      <c r="C259" s="335"/>
      <c r="D259" s="335"/>
      <c r="E259" s="335"/>
      <c r="F259" s="337"/>
      <c r="G259" s="337"/>
      <c r="H259" s="335"/>
      <c r="I259" s="335"/>
      <c r="J259" s="335"/>
      <c r="K259" s="335"/>
      <c r="L259" s="335"/>
      <c r="M259" s="335"/>
      <c r="N259" s="335"/>
      <c r="O259" s="335"/>
      <c r="P259" s="335"/>
      <c r="Q259" s="335"/>
      <c r="R259" s="335"/>
      <c r="S259" s="335"/>
      <c r="T259" s="335"/>
      <c r="U259" s="335"/>
      <c r="V259" s="335"/>
      <c r="W259" s="335"/>
      <c r="X259" s="335"/>
      <c r="Y259" s="335"/>
      <c r="Z259" s="335"/>
      <c r="AA259" s="335"/>
      <c r="AB259" s="335"/>
      <c r="AC259" s="335"/>
      <c r="AD259" s="335"/>
      <c r="AE259" s="335"/>
    </row>
    <row r="260" ht="15.75" hidden="1" customHeight="1">
      <c r="A260" s="335"/>
      <c r="B260" s="335"/>
      <c r="C260" s="335"/>
      <c r="D260" s="335"/>
      <c r="E260" s="335"/>
      <c r="F260" s="337"/>
      <c r="G260" s="337"/>
      <c r="H260" s="335"/>
      <c r="I260" s="335"/>
      <c r="J260" s="335"/>
      <c r="K260" s="335"/>
      <c r="L260" s="335"/>
      <c r="M260" s="335"/>
      <c r="N260" s="335"/>
      <c r="O260" s="335"/>
      <c r="P260" s="335"/>
      <c r="Q260" s="335"/>
      <c r="R260" s="335"/>
      <c r="S260" s="335"/>
      <c r="T260" s="335"/>
      <c r="U260" s="335"/>
      <c r="V260" s="335"/>
      <c r="W260" s="335"/>
      <c r="X260" s="335"/>
      <c r="Y260" s="335"/>
      <c r="Z260" s="335"/>
      <c r="AA260" s="335"/>
      <c r="AB260" s="335"/>
      <c r="AC260" s="335"/>
      <c r="AD260" s="335"/>
      <c r="AE260" s="335"/>
    </row>
    <row r="261" ht="15.75" hidden="1" customHeight="1">
      <c r="A261" s="335"/>
      <c r="B261" s="335"/>
      <c r="C261" s="335"/>
      <c r="D261" s="335"/>
      <c r="E261" s="335"/>
      <c r="F261" s="337"/>
      <c r="G261" s="337"/>
      <c r="H261" s="335"/>
      <c r="I261" s="335"/>
      <c r="J261" s="335"/>
      <c r="K261" s="335"/>
      <c r="L261" s="335"/>
      <c r="M261" s="335"/>
      <c r="N261" s="335"/>
      <c r="O261" s="335"/>
      <c r="P261" s="335"/>
      <c r="Q261" s="335"/>
      <c r="R261" s="335"/>
      <c r="S261" s="335"/>
      <c r="T261" s="335"/>
      <c r="U261" s="335"/>
      <c r="V261" s="335"/>
      <c r="W261" s="335"/>
      <c r="X261" s="335"/>
      <c r="Y261" s="335"/>
      <c r="Z261" s="335"/>
      <c r="AA261" s="335"/>
      <c r="AB261" s="335"/>
      <c r="AC261" s="335"/>
      <c r="AD261" s="335"/>
      <c r="AE261" s="335"/>
    </row>
    <row r="262" ht="15.75" hidden="1" customHeight="1">
      <c r="A262" s="335"/>
      <c r="B262" s="335"/>
      <c r="C262" s="335"/>
      <c r="D262" s="335"/>
      <c r="E262" s="335"/>
      <c r="F262" s="337"/>
      <c r="G262" s="337"/>
      <c r="H262" s="335"/>
      <c r="I262" s="335"/>
      <c r="J262" s="335"/>
      <c r="K262" s="335"/>
      <c r="L262" s="335"/>
      <c r="M262" s="335"/>
      <c r="N262" s="335"/>
      <c r="O262" s="335"/>
      <c r="P262" s="335"/>
      <c r="Q262" s="335"/>
      <c r="R262" s="335"/>
      <c r="S262" s="335"/>
      <c r="T262" s="335"/>
      <c r="U262" s="335"/>
      <c r="V262" s="335"/>
      <c r="W262" s="335"/>
      <c r="X262" s="335"/>
      <c r="Y262" s="335"/>
      <c r="Z262" s="335"/>
      <c r="AA262" s="335"/>
      <c r="AB262" s="335"/>
      <c r="AC262" s="335"/>
      <c r="AD262" s="335"/>
      <c r="AE262" s="335"/>
    </row>
    <row r="263" ht="15.75" hidden="1" customHeight="1">
      <c r="A263" s="335"/>
      <c r="B263" s="335"/>
      <c r="C263" s="335"/>
      <c r="D263" s="335"/>
      <c r="E263" s="335"/>
      <c r="F263" s="337"/>
      <c r="G263" s="337"/>
      <c r="H263" s="335"/>
      <c r="I263" s="335"/>
      <c r="J263" s="335"/>
      <c r="K263" s="335"/>
      <c r="L263" s="335"/>
      <c r="M263" s="335"/>
      <c r="N263" s="335"/>
      <c r="O263" s="335"/>
      <c r="P263" s="335"/>
      <c r="Q263" s="335"/>
      <c r="R263" s="335"/>
      <c r="S263" s="335"/>
      <c r="T263" s="335"/>
      <c r="U263" s="335"/>
      <c r="V263" s="335"/>
      <c r="W263" s="335"/>
      <c r="X263" s="335"/>
      <c r="Y263" s="335"/>
      <c r="Z263" s="335"/>
      <c r="AA263" s="335"/>
      <c r="AB263" s="335"/>
      <c r="AC263" s="335"/>
      <c r="AD263" s="335"/>
      <c r="AE263" s="335"/>
    </row>
    <row r="264" ht="15.75" hidden="1" customHeight="1">
      <c r="A264" s="335"/>
      <c r="B264" s="335"/>
      <c r="C264" s="335"/>
      <c r="D264" s="335"/>
      <c r="E264" s="335"/>
      <c r="F264" s="337"/>
      <c r="G264" s="337"/>
      <c r="H264" s="335"/>
      <c r="I264" s="335"/>
      <c r="J264" s="335"/>
      <c r="K264" s="335"/>
      <c r="L264" s="335"/>
      <c r="M264" s="335"/>
      <c r="N264" s="335"/>
      <c r="O264" s="335"/>
      <c r="P264" s="335"/>
      <c r="Q264" s="335"/>
      <c r="R264" s="335"/>
      <c r="S264" s="335"/>
      <c r="T264" s="335"/>
      <c r="U264" s="335"/>
      <c r="V264" s="335"/>
      <c r="W264" s="335"/>
      <c r="X264" s="335"/>
      <c r="Y264" s="335"/>
      <c r="Z264" s="335"/>
      <c r="AA264" s="335"/>
      <c r="AB264" s="335"/>
      <c r="AC264" s="335"/>
      <c r="AD264" s="335"/>
      <c r="AE264" s="335"/>
    </row>
    <row r="265" ht="15.75" hidden="1" customHeight="1">
      <c r="A265" s="335"/>
      <c r="B265" s="335"/>
      <c r="C265" s="335"/>
      <c r="D265" s="335"/>
      <c r="E265" s="335"/>
      <c r="F265" s="337"/>
      <c r="G265" s="337"/>
      <c r="H265" s="335"/>
      <c r="I265" s="335"/>
      <c r="J265" s="335"/>
      <c r="K265" s="335"/>
      <c r="L265" s="335"/>
      <c r="M265" s="335"/>
      <c r="N265" s="335"/>
      <c r="O265" s="335"/>
      <c r="P265" s="335"/>
      <c r="Q265" s="335"/>
      <c r="R265" s="335"/>
      <c r="S265" s="335"/>
      <c r="T265" s="335"/>
      <c r="U265" s="335"/>
      <c r="V265" s="335"/>
      <c r="W265" s="335"/>
      <c r="X265" s="335"/>
      <c r="Y265" s="335"/>
      <c r="Z265" s="335"/>
      <c r="AA265" s="335"/>
      <c r="AB265" s="335"/>
      <c r="AC265" s="335"/>
      <c r="AD265" s="335"/>
      <c r="AE265" s="335"/>
    </row>
    <row r="266" ht="15.75" hidden="1" customHeight="1">
      <c r="A266" s="335"/>
      <c r="B266" s="335"/>
      <c r="C266" s="335"/>
      <c r="D266" s="335"/>
      <c r="E266" s="335"/>
      <c r="F266" s="337"/>
      <c r="G266" s="337"/>
      <c r="H266" s="335"/>
      <c r="I266" s="335"/>
      <c r="J266" s="335"/>
      <c r="K266" s="335"/>
      <c r="L266" s="335"/>
      <c r="M266" s="335"/>
      <c r="N266" s="335"/>
      <c r="O266" s="335"/>
      <c r="P266" s="335"/>
      <c r="Q266" s="335"/>
      <c r="R266" s="335"/>
      <c r="S266" s="335"/>
      <c r="T266" s="335"/>
      <c r="U266" s="335"/>
      <c r="V266" s="335"/>
      <c r="W266" s="335"/>
      <c r="X266" s="335"/>
      <c r="Y266" s="335"/>
      <c r="Z266" s="335"/>
      <c r="AA266" s="335"/>
      <c r="AB266" s="335"/>
      <c r="AC266" s="335"/>
      <c r="AD266" s="335"/>
      <c r="AE266" s="335"/>
    </row>
    <row r="267" ht="15.75" hidden="1" customHeight="1">
      <c r="A267" s="335"/>
      <c r="B267" s="335"/>
      <c r="C267" s="335"/>
      <c r="D267" s="335"/>
      <c r="E267" s="335"/>
      <c r="F267" s="337"/>
      <c r="G267" s="337"/>
      <c r="H267" s="335"/>
      <c r="I267" s="335"/>
      <c r="J267" s="335"/>
      <c r="K267" s="335"/>
      <c r="L267" s="335"/>
      <c r="M267" s="335"/>
      <c r="N267" s="335"/>
      <c r="O267" s="335"/>
      <c r="P267" s="335"/>
      <c r="Q267" s="335"/>
      <c r="R267" s="335"/>
      <c r="S267" s="335"/>
      <c r="T267" s="335"/>
      <c r="U267" s="335"/>
      <c r="V267" s="335"/>
      <c r="W267" s="335"/>
      <c r="X267" s="335"/>
      <c r="Y267" s="335"/>
      <c r="Z267" s="335"/>
      <c r="AA267" s="335"/>
      <c r="AB267" s="335"/>
      <c r="AC267" s="335"/>
      <c r="AD267" s="335"/>
      <c r="AE267" s="335"/>
    </row>
    <row r="268" ht="15.75" hidden="1" customHeight="1">
      <c r="A268" s="335"/>
      <c r="B268" s="335"/>
      <c r="C268" s="335"/>
      <c r="D268" s="335"/>
      <c r="E268" s="335"/>
      <c r="F268" s="337"/>
      <c r="G268" s="337"/>
      <c r="H268" s="335"/>
      <c r="I268" s="335"/>
      <c r="J268" s="335"/>
      <c r="K268" s="335"/>
      <c r="L268" s="335"/>
      <c r="M268" s="335"/>
      <c r="N268" s="335"/>
      <c r="O268" s="335"/>
      <c r="P268" s="335"/>
      <c r="Q268" s="335"/>
      <c r="R268" s="335"/>
      <c r="S268" s="335"/>
      <c r="T268" s="335"/>
      <c r="U268" s="335"/>
      <c r="V268" s="335"/>
      <c r="W268" s="335"/>
      <c r="X268" s="335"/>
      <c r="Y268" s="335"/>
      <c r="Z268" s="335"/>
      <c r="AA268" s="335"/>
      <c r="AB268" s="335"/>
      <c r="AC268" s="335"/>
      <c r="AD268" s="335"/>
      <c r="AE268" s="335"/>
    </row>
    <row r="269" ht="15.75" hidden="1" customHeight="1">
      <c r="A269" s="335"/>
      <c r="B269" s="335"/>
      <c r="C269" s="335"/>
      <c r="D269" s="335"/>
      <c r="E269" s="335"/>
      <c r="F269" s="337"/>
      <c r="G269" s="337"/>
      <c r="H269" s="335"/>
      <c r="I269" s="335"/>
      <c r="J269" s="335"/>
      <c r="K269" s="335"/>
      <c r="L269" s="335"/>
      <c r="M269" s="335"/>
      <c r="N269" s="335"/>
      <c r="O269" s="335"/>
      <c r="P269" s="335"/>
      <c r="Q269" s="335"/>
      <c r="R269" s="335"/>
      <c r="S269" s="335"/>
      <c r="T269" s="335"/>
      <c r="U269" s="335"/>
      <c r="V269" s="335"/>
      <c r="W269" s="335"/>
      <c r="X269" s="335"/>
      <c r="Y269" s="335"/>
      <c r="Z269" s="335"/>
      <c r="AA269" s="335"/>
      <c r="AB269" s="335"/>
      <c r="AC269" s="335"/>
      <c r="AD269" s="335"/>
      <c r="AE269" s="335"/>
    </row>
    <row r="270" ht="15.75" hidden="1" customHeight="1">
      <c r="A270" s="335"/>
      <c r="B270" s="335"/>
      <c r="C270" s="335"/>
      <c r="D270" s="335"/>
      <c r="E270" s="335"/>
      <c r="F270" s="337"/>
      <c r="G270" s="337"/>
      <c r="H270" s="335"/>
      <c r="I270" s="335"/>
      <c r="J270" s="335"/>
      <c r="K270" s="335"/>
      <c r="L270" s="335"/>
      <c r="M270" s="335"/>
      <c r="N270" s="335"/>
      <c r="O270" s="335"/>
      <c r="P270" s="335"/>
      <c r="Q270" s="335"/>
      <c r="R270" s="335"/>
      <c r="S270" s="335"/>
      <c r="T270" s="335"/>
      <c r="U270" s="335"/>
      <c r="V270" s="335"/>
      <c r="W270" s="335"/>
      <c r="X270" s="335"/>
      <c r="Y270" s="335"/>
      <c r="Z270" s="335"/>
      <c r="AA270" s="335"/>
      <c r="AB270" s="335"/>
      <c r="AC270" s="335"/>
      <c r="AD270" s="335"/>
      <c r="AE270" s="335"/>
    </row>
    <row r="271" ht="15.75" hidden="1" customHeight="1">
      <c r="A271" s="335"/>
      <c r="B271" s="335"/>
      <c r="C271" s="335"/>
      <c r="D271" s="335"/>
      <c r="E271" s="335"/>
      <c r="F271" s="337"/>
      <c r="G271" s="337"/>
      <c r="H271" s="335"/>
      <c r="I271" s="335"/>
      <c r="J271" s="335"/>
      <c r="K271" s="335"/>
      <c r="L271" s="335"/>
      <c r="M271" s="335"/>
      <c r="N271" s="335"/>
      <c r="O271" s="335"/>
      <c r="P271" s="335"/>
      <c r="Q271" s="335"/>
      <c r="R271" s="335"/>
      <c r="S271" s="335"/>
      <c r="T271" s="335"/>
      <c r="U271" s="335"/>
      <c r="V271" s="335"/>
      <c r="W271" s="335"/>
      <c r="X271" s="335"/>
      <c r="Y271" s="335"/>
      <c r="Z271" s="335"/>
      <c r="AA271" s="335"/>
      <c r="AB271" s="335"/>
      <c r="AC271" s="335"/>
      <c r="AD271" s="335"/>
      <c r="AE271" s="335"/>
    </row>
    <row r="272" ht="15.75" hidden="1" customHeight="1">
      <c r="A272" s="335"/>
      <c r="B272" s="335"/>
      <c r="C272" s="335"/>
      <c r="D272" s="335"/>
      <c r="E272" s="335"/>
      <c r="F272" s="337"/>
      <c r="G272" s="337"/>
      <c r="H272" s="335"/>
      <c r="I272" s="335"/>
      <c r="J272" s="335"/>
      <c r="K272" s="335"/>
      <c r="L272" s="335"/>
      <c r="M272" s="335"/>
      <c r="N272" s="335"/>
      <c r="O272" s="335"/>
      <c r="P272" s="335"/>
      <c r="Q272" s="335"/>
      <c r="R272" s="335"/>
      <c r="S272" s="335"/>
      <c r="T272" s="335"/>
      <c r="U272" s="335"/>
      <c r="V272" s="335"/>
      <c r="W272" s="335"/>
      <c r="X272" s="335"/>
      <c r="Y272" s="335"/>
      <c r="Z272" s="335"/>
      <c r="AA272" s="335"/>
      <c r="AB272" s="335"/>
      <c r="AC272" s="335"/>
      <c r="AD272" s="335"/>
      <c r="AE272" s="335"/>
    </row>
    <row r="273" ht="15.75" hidden="1" customHeight="1">
      <c r="A273" s="335"/>
      <c r="B273" s="335"/>
      <c r="C273" s="335"/>
      <c r="D273" s="335"/>
      <c r="E273" s="335"/>
      <c r="F273" s="337"/>
      <c r="G273" s="337"/>
      <c r="H273" s="335"/>
      <c r="I273" s="335"/>
      <c r="J273" s="335"/>
      <c r="K273" s="335"/>
      <c r="L273" s="335"/>
      <c r="M273" s="335"/>
      <c r="N273" s="335"/>
      <c r="O273" s="335"/>
      <c r="P273" s="335"/>
      <c r="Q273" s="335"/>
      <c r="R273" s="335"/>
      <c r="S273" s="335"/>
      <c r="T273" s="335"/>
      <c r="U273" s="335"/>
      <c r="V273" s="335"/>
      <c r="W273" s="335"/>
      <c r="X273" s="335"/>
      <c r="Y273" s="335"/>
      <c r="Z273" s="335"/>
      <c r="AA273" s="335"/>
      <c r="AB273" s="335"/>
      <c r="AC273" s="335"/>
      <c r="AD273" s="335"/>
      <c r="AE273" s="335"/>
    </row>
    <row r="274" ht="15.75" hidden="1" customHeight="1">
      <c r="A274" s="335"/>
      <c r="B274" s="335"/>
      <c r="C274" s="335"/>
      <c r="D274" s="335"/>
      <c r="E274" s="335"/>
      <c r="F274" s="337"/>
      <c r="G274" s="337"/>
      <c r="H274" s="335"/>
      <c r="I274" s="335"/>
      <c r="J274" s="335"/>
      <c r="K274" s="335"/>
      <c r="L274" s="335"/>
      <c r="M274" s="335"/>
      <c r="N274" s="335"/>
      <c r="O274" s="335"/>
      <c r="P274" s="335"/>
      <c r="Q274" s="335"/>
      <c r="R274" s="335"/>
      <c r="S274" s="335"/>
      <c r="T274" s="335"/>
      <c r="U274" s="335"/>
      <c r="V274" s="335"/>
      <c r="W274" s="335"/>
      <c r="X274" s="335"/>
      <c r="Y274" s="335"/>
      <c r="Z274" s="335"/>
      <c r="AA274" s="335"/>
      <c r="AB274" s="335"/>
      <c r="AC274" s="335"/>
      <c r="AD274" s="335"/>
      <c r="AE274" s="335"/>
    </row>
    <row r="275" ht="15.75" hidden="1" customHeight="1">
      <c r="A275" s="335"/>
      <c r="B275" s="335"/>
      <c r="C275" s="335"/>
      <c r="D275" s="335"/>
      <c r="E275" s="335"/>
      <c r="F275" s="337"/>
      <c r="G275" s="337"/>
      <c r="H275" s="335"/>
      <c r="I275" s="335"/>
      <c r="J275" s="335"/>
      <c r="K275" s="335"/>
      <c r="L275" s="335"/>
      <c r="M275" s="335"/>
      <c r="N275" s="335"/>
      <c r="O275" s="335"/>
      <c r="P275" s="335"/>
      <c r="Q275" s="335"/>
      <c r="R275" s="335"/>
      <c r="S275" s="335"/>
      <c r="T275" s="335"/>
      <c r="U275" s="335"/>
      <c r="V275" s="335"/>
      <c r="W275" s="335"/>
      <c r="X275" s="335"/>
      <c r="Y275" s="335"/>
      <c r="Z275" s="335"/>
      <c r="AA275" s="335"/>
      <c r="AB275" s="335"/>
      <c r="AC275" s="335"/>
      <c r="AD275" s="335"/>
      <c r="AE275" s="335"/>
    </row>
    <row r="276" ht="15.75" hidden="1" customHeight="1">
      <c r="A276" s="335"/>
      <c r="B276" s="335"/>
      <c r="C276" s="335"/>
      <c r="D276" s="335"/>
      <c r="E276" s="335"/>
      <c r="F276" s="337"/>
      <c r="G276" s="337"/>
      <c r="H276" s="335"/>
      <c r="I276" s="335"/>
      <c r="J276" s="335"/>
      <c r="K276" s="335"/>
      <c r="L276" s="335"/>
      <c r="M276" s="335"/>
      <c r="N276" s="335"/>
      <c r="O276" s="335"/>
      <c r="P276" s="335"/>
      <c r="Q276" s="335"/>
      <c r="R276" s="335"/>
      <c r="S276" s="335"/>
      <c r="T276" s="335"/>
      <c r="U276" s="335"/>
      <c r="V276" s="335"/>
      <c r="W276" s="335"/>
      <c r="X276" s="335"/>
      <c r="Y276" s="335"/>
      <c r="Z276" s="335"/>
      <c r="AA276" s="335"/>
      <c r="AB276" s="335"/>
      <c r="AC276" s="335"/>
      <c r="AD276" s="335"/>
      <c r="AE276" s="335"/>
    </row>
    <row r="277" ht="15.75" hidden="1" customHeight="1">
      <c r="A277" s="335"/>
      <c r="B277" s="335"/>
      <c r="C277" s="335"/>
      <c r="D277" s="335"/>
      <c r="E277" s="335"/>
      <c r="F277" s="337"/>
      <c r="G277" s="337"/>
      <c r="H277" s="335"/>
      <c r="I277" s="335"/>
      <c r="J277" s="335"/>
      <c r="K277" s="335"/>
      <c r="L277" s="335"/>
      <c r="M277" s="335"/>
      <c r="N277" s="335"/>
      <c r="O277" s="335"/>
      <c r="P277" s="335"/>
      <c r="Q277" s="335"/>
      <c r="R277" s="335"/>
      <c r="S277" s="335"/>
      <c r="T277" s="335"/>
      <c r="U277" s="335"/>
      <c r="V277" s="335"/>
      <c r="W277" s="335"/>
      <c r="X277" s="335"/>
      <c r="Y277" s="335"/>
      <c r="Z277" s="335"/>
      <c r="AA277" s="335"/>
      <c r="AB277" s="335"/>
      <c r="AC277" s="335"/>
      <c r="AD277" s="335"/>
      <c r="AE277" s="335"/>
    </row>
    <row r="278" ht="15.75" hidden="1" customHeight="1">
      <c r="A278" s="335"/>
      <c r="B278" s="335"/>
      <c r="C278" s="335"/>
      <c r="D278" s="335"/>
      <c r="E278" s="335"/>
      <c r="F278" s="337"/>
      <c r="G278" s="337"/>
      <c r="H278" s="335"/>
      <c r="I278" s="335"/>
      <c r="J278" s="335"/>
      <c r="K278" s="335"/>
      <c r="L278" s="335"/>
      <c r="M278" s="335"/>
      <c r="N278" s="335"/>
      <c r="O278" s="335"/>
      <c r="P278" s="335"/>
      <c r="Q278" s="335"/>
      <c r="R278" s="335"/>
      <c r="S278" s="335"/>
      <c r="T278" s="335"/>
      <c r="U278" s="335"/>
      <c r="V278" s="335"/>
      <c r="W278" s="335"/>
      <c r="X278" s="335"/>
      <c r="Y278" s="335"/>
      <c r="Z278" s="335"/>
      <c r="AA278" s="335"/>
      <c r="AB278" s="335"/>
      <c r="AC278" s="335"/>
      <c r="AD278" s="335"/>
      <c r="AE278" s="335"/>
    </row>
    <row r="279" ht="15.75" hidden="1" customHeight="1">
      <c r="A279" s="335"/>
      <c r="B279" s="335"/>
      <c r="C279" s="335"/>
      <c r="D279" s="335"/>
      <c r="E279" s="335"/>
      <c r="F279" s="337"/>
      <c r="G279" s="337"/>
      <c r="H279" s="335"/>
      <c r="I279" s="335"/>
      <c r="J279" s="335"/>
      <c r="K279" s="335"/>
      <c r="L279" s="335"/>
      <c r="M279" s="335"/>
      <c r="N279" s="335"/>
      <c r="O279" s="335"/>
      <c r="P279" s="335"/>
      <c r="Q279" s="335"/>
      <c r="R279" s="335"/>
      <c r="S279" s="335"/>
      <c r="T279" s="335"/>
      <c r="U279" s="335"/>
      <c r="V279" s="335"/>
      <c r="W279" s="335"/>
      <c r="X279" s="335"/>
      <c r="Y279" s="335"/>
      <c r="Z279" s="335"/>
      <c r="AA279" s="335"/>
      <c r="AB279" s="335"/>
      <c r="AC279" s="335"/>
      <c r="AD279" s="335"/>
      <c r="AE279" s="335"/>
    </row>
    <row r="280" ht="15.75" hidden="1" customHeight="1">
      <c r="A280" s="335"/>
      <c r="B280" s="335"/>
      <c r="C280" s="335"/>
      <c r="D280" s="335"/>
      <c r="E280" s="335"/>
      <c r="F280" s="337"/>
      <c r="G280" s="337"/>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row>
    <row r="281" ht="15.75" hidden="1" customHeight="1">
      <c r="A281" s="335"/>
      <c r="B281" s="335"/>
      <c r="C281" s="335"/>
      <c r="D281" s="335"/>
      <c r="E281" s="335"/>
      <c r="F281" s="337"/>
      <c r="G281" s="337"/>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81">
    <filterColumn colId="0">
      <filters>
        <filter val="+971 50 830 7962"/>
        <filter val="0509914647"/>
        <filter val="971-5-241-86676"/>
        <filter val="0506162248"/>
        <filter val="0509279079"/>
        <filter val="+971 58 598 3918"/>
        <filter val="524224969"/>
        <filter val="+971556451786"/>
        <filter val="5125215521"/>
        <filter val="+971 55 375 9261"/>
        <filter val="+971566524698"/>
        <filter val="503551529"/>
        <filter val="+971 55 556 5772"/>
        <filter val="+971 50 504 2562"/>
        <filter val="+971 56 298 6211"/>
        <filter val="1 502 622-8201"/>
        <filter val="+971 58 536 4778"/>
        <filter val="=966 50 290 0015"/>
        <filter val="+971565107682"/>
        <filter val="0506031164"/>
        <filter val="+971565209702"/>
        <filter val="0508791336"/>
        <filter val="0553005159"/>
        <filter val="+971508489949"/>
        <filter val="+971 50 458 7833"/>
        <filter val="+971 55 240 5552"/>
      </filters>
    </filterColumn>
  </autoFilter>
  <hyperlinks>
    <hyperlink r:id="rId1" ref="E3"/>
    <hyperlink r:id="rId2" ref="E5"/>
    <hyperlink r:id="rId3" ref="I5"/>
    <hyperlink r:id="rId4" ref="E6"/>
    <hyperlink r:id="rId5" ref="I6"/>
    <hyperlink r:id="rId6" ref="E7"/>
    <hyperlink r:id="rId7" ref="E8"/>
    <hyperlink r:id="rId8" ref="E9"/>
    <hyperlink r:id="rId9" ref="E12"/>
    <hyperlink r:id="rId10" ref="E15"/>
    <hyperlink r:id="rId11" ref="E16"/>
    <hyperlink r:id="rId12" ref="E18"/>
    <hyperlink r:id="rId13" ref="E20"/>
    <hyperlink r:id="rId14" ref="E22"/>
    <hyperlink r:id="rId15" ref="E24"/>
    <hyperlink r:id="rId16" ref="I24"/>
    <hyperlink r:id="rId17" ref="E26"/>
    <hyperlink r:id="rId18" ref="I26"/>
    <hyperlink r:id="rId19" ref="E29"/>
    <hyperlink r:id="rId20" ref="E30"/>
    <hyperlink r:id="rId21" ref="E39"/>
    <hyperlink r:id="rId22" ref="E40"/>
    <hyperlink r:id="rId23" ref="E41"/>
    <hyperlink r:id="rId24" ref="E42"/>
    <hyperlink r:id="rId25" ref="E44"/>
    <hyperlink r:id="rId26" ref="E46"/>
    <hyperlink r:id="rId27" ref="E47"/>
    <hyperlink r:id="rId28" ref="E48"/>
    <hyperlink r:id="rId29" ref="E49"/>
    <hyperlink r:id="rId30" ref="E50"/>
    <hyperlink r:id="rId31" ref="I50"/>
    <hyperlink r:id="rId32" ref="E51"/>
    <hyperlink r:id="rId33" ref="E56"/>
    <hyperlink r:id="rId34" ref="E57"/>
    <hyperlink r:id="rId35" ref="I57"/>
    <hyperlink r:id="rId36" ref="E60"/>
    <hyperlink r:id="rId37" ref="E64"/>
    <hyperlink r:id="rId38" ref="E66"/>
    <hyperlink r:id="rId39" ref="I66"/>
    <hyperlink r:id="rId40" ref="E68"/>
    <hyperlink r:id="rId41" ref="E70"/>
    <hyperlink r:id="rId42" ref="E71"/>
    <hyperlink r:id="rId43" ref="E72"/>
    <hyperlink r:id="rId44" ref="E73"/>
    <hyperlink r:id="rId45" ref="E76"/>
    <hyperlink r:id="rId46" ref="E77"/>
    <hyperlink r:id="rId47" ref="E79"/>
    <hyperlink r:id="rId48" ref="I79"/>
    <hyperlink r:id="rId49" ref="E80"/>
    <hyperlink r:id="rId50" ref="E81"/>
  </hyperlinks>
  <drawing r:id="rId5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4.38"/>
    <col customWidth="1" min="7" max="7" width="8.13"/>
    <col customWidth="1" min="8" max="8" width="37.88"/>
    <col customWidth="1" min="9" max="9" width="14.38"/>
    <col customWidth="1" min="10" max="10" width="38.13"/>
    <col customWidth="1" min="11" max="30" width="14.38"/>
  </cols>
  <sheetData>
    <row r="1" ht="15.75" customHeight="1">
      <c r="A1" s="434" t="s">
        <v>1345</v>
      </c>
      <c r="B1" s="365" t="s">
        <v>3</v>
      </c>
      <c r="C1" s="365" t="s">
        <v>2101</v>
      </c>
      <c r="D1" s="365" t="s">
        <v>171</v>
      </c>
      <c r="E1" s="365" t="s">
        <v>4</v>
      </c>
      <c r="F1" s="365" t="s">
        <v>172</v>
      </c>
      <c r="G1" s="365" t="s">
        <v>174</v>
      </c>
      <c r="H1" s="366" t="s">
        <v>175</v>
      </c>
      <c r="I1" s="365" t="s">
        <v>9</v>
      </c>
      <c r="J1" s="367"/>
      <c r="K1" s="124"/>
      <c r="L1" s="124"/>
      <c r="M1" s="124"/>
      <c r="N1" s="124"/>
      <c r="O1" s="124"/>
      <c r="P1" s="124"/>
      <c r="Q1" s="124"/>
      <c r="R1" s="124"/>
      <c r="S1" s="124"/>
      <c r="T1" s="124"/>
      <c r="U1" s="124"/>
      <c r="V1" s="124"/>
      <c r="W1" s="124"/>
      <c r="X1" s="124"/>
      <c r="Y1" s="124"/>
      <c r="Z1" s="124"/>
      <c r="AA1" s="124"/>
      <c r="AB1" s="124"/>
      <c r="AC1" s="124"/>
      <c r="AD1" s="124"/>
    </row>
    <row r="2" ht="15.75" customHeight="1">
      <c r="A2" s="222">
        <v>42737.0</v>
      </c>
      <c r="F2" s="236"/>
      <c r="G2" s="236"/>
      <c r="H2" s="19"/>
    </row>
    <row r="3" ht="15.75" customHeight="1">
      <c r="A3" s="321"/>
      <c r="B3" s="435" t="s">
        <v>4423</v>
      </c>
      <c r="C3" s="321"/>
      <c r="D3" s="436" t="s">
        <v>4424</v>
      </c>
      <c r="E3" s="437" t="s">
        <v>4425</v>
      </c>
      <c r="F3" s="369" t="s">
        <v>2649</v>
      </c>
      <c r="G3" s="369"/>
      <c r="H3" s="438" t="s">
        <v>4426</v>
      </c>
      <c r="I3" s="321"/>
      <c r="J3" s="439" t="s">
        <v>4427</v>
      </c>
    </row>
    <row r="4" ht="15.75" customHeight="1">
      <c r="A4" s="222">
        <v>42738.0</v>
      </c>
      <c r="F4" s="236"/>
      <c r="G4" s="236"/>
      <c r="H4" s="19"/>
    </row>
    <row r="5" ht="15.75" customHeight="1">
      <c r="B5" s="362" t="s">
        <v>4428</v>
      </c>
      <c r="D5" s="164" t="s">
        <v>4429</v>
      </c>
      <c r="E5" s="1" t="s">
        <v>4430</v>
      </c>
      <c r="F5" s="236" t="s">
        <v>2494</v>
      </c>
      <c r="G5" s="236"/>
      <c r="H5" s="383" t="s">
        <v>4431</v>
      </c>
    </row>
    <row r="6" ht="15.75" customHeight="1">
      <c r="A6" s="321"/>
      <c r="B6" s="435" t="s">
        <v>4432</v>
      </c>
      <c r="C6" s="321"/>
      <c r="D6" s="440" t="s">
        <v>4433</v>
      </c>
      <c r="E6" s="437" t="s">
        <v>4434</v>
      </c>
      <c r="F6" s="369" t="s">
        <v>2649</v>
      </c>
      <c r="G6" s="369"/>
      <c r="H6" s="441" t="s">
        <v>4435</v>
      </c>
      <c r="I6" s="321" t="s">
        <v>16</v>
      </c>
      <c r="J6" s="321"/>
      <c r="K6" s="321"/>
      <c r="L6" s="321"/>
      <c r="M6" s="321"/>
      <c r="N6" s="321"/>
      <c r="O6" s="321"/>
      <c r="P6" s="321"/>
      <c r="Q6" s="321"/>
      <c r="R6" s="321"/>
      <c r="S6" s="321"/>
      <c r="T6" s="321"/>
      <c r="U6" s="321"/>
      <c r="V6" s="321"/>
      <c r="W6" s="321"/>
      <c r="X6" s="321"/>
      <c r="Y6" s="321"/>
      <c r="Z6" s="321"/>
      <c r="AA6" s="321"/>
      <c r="AB6" s="321"/>
      <c r="AC6" s="321"/>
      <c r="AD6" s="321"/>
    </row>
    <row r="7" ht="15.75" customHeight="1">
      <c r="A7" s="222">
        <v>43104.0</v>
      </c>
      <c r="F7" s="236"/>
      <c r="G7" s="236"/>
      <c r="H7" s="19"/>
    </row>
    <row r="8" ht="15.75" customHeight="1">
      <c r="B8" s="89" t="s">
        <v>234</v>
      </c>
      <c r="D8" s="165" t="s">
        <v>4436</v>
      </c>
      <c r="E8" s="213" t="s">
        <v>4437</v>
      </c>
      <c r="F8" s="236" t="s">
        <v>2504</v>
      </c>
      <c r="G8" s="236"/>
      <c r="H8" s="19" t="s">
        <v>4438</v>
      </c>
      <c r="J8" s="1" t="s">
        <v>4439</v>
      </c>
    </row>
    <row r="9" ht="15.75" customHeight="1">
      <c r="A9" s="222">
        <v>43106.0</v>
      </c>
      <c r="F9" s="236"/>
      <c r="G9" s="236"/>
      <c r="H9" s="19"/>
    </row>
    <row r="10" ht="15.75" customHeight="1">
      <c r="B10" s="362" t="s">
        <v>4440</v>
      </c>
      <c r="D10" s="164" t="s">
        <v>4441</v>
      </c>
      <c r="E10" s="363" t="s">
        <v>4442</v>
      </c>
      <c r="F10" s="236" t="s">
        <v>2494</v>
      </c>
      <c r="G10" s="236" t="s">
        <v>3808</v>
      </c>
      <c r="H10" s="19" t="s">
        <v>4443</v>
      </c>
    </row>
    <row r="11" ht="15.75" customHeight="1">
      <c r="A11" s="222">
        <v>43107.0</v>
      </c>
      <c r="F11" s="236"/>
      <c r="G11" s="236"/>
      <c r="H11" s="19"/>
    </row>
    <row r="12" ht="15.75" customHeight="1">
      <c r="B12" s="1" t="s">
        <v>4444</v>
      </c>
      <c r="D12" s="164" t="s">
        <v>4445</v>
      </c>
      <c r="E12" s="213" t="s">
        <v>4446</v>
      </c>
      <c r="F12" s="236" t="s">
        <v>2504</v>
      </c>
      <c r="G12" s="236"/>
      <c r="H12" s="19" t="s">
        <v>4447</v>
      </c>
      <c r="I12" s="1" t="s">
        <v>4313</v>
      </c>
    </row>
    <row r="13" ht="15.75" customHeight="1">
      <c r="A13" s="222">
        <v>43108.0</v>
      </c>
      <c r="F13" s="236"/>
      <c r="G13" s="236"/>
      <c r="H13" s="19"/>
    </row>
    <row r="14" ht="15.75" customHeight="1">
      <c r="B14" s="362" t="s">
        <v>4448</v>
      </c>
      <c r="D14" s="165" t="s">
        <v>4449</v>
      </c>
      <c r="E14" s="363" t="s">
        <v>4450</v>
      </c>
      <c r="F14" s="236" t="s">
        <v>2494</v>
      </c>
      <c r="G14" s="236"/>
      <c r="H14" s="19" t="s">
        <v>4451</v>
      </c>
      <c r="I14" s="1" t="s">
        <v>16</v>
      </c>
    </row>
    <row r="15" ht="15.75" customHeight="1">
      <c r="A15" s="222">
        <v>43110.0</v>
      </c>
      <c r="F15" s="236"/>
      <c r="G15" s="236"/>
      <c r="H15" s="19"/>
    </row>
    <row r="16" ht="15.75" customHeight="1">
      <c r="B16" s="362" t="s">
        <v>4452</v>
      </c>
      <c r="D16" s="1">
        <v>5.09291845E8</v>
      </c>
      <c r="E16" s="363" t="s">
        <v>4453</v>
      </c>
      <c r="F16" s="236" t="s">
        <v>2494</v>
      </c>
      <c r="G16" s="236" t="s">
        <v>3808</v>
      </c>
      <c r="H16" s="89" t="s">
        <v>3797</v>
      </c>
    </row>
    <row r="17" ht="15.75" customHeight="1">
      <c r="A17" s="222">
        <v>43113.0</v>
      </c>
      <c r="F17" s="236"/>
      <c r="G17" s="236"/>
      <c r="H17" s="19"/>
    </row>
    <row r="18" ht="15.75" customHeight="1">
      <c r="B18" s="362" t="s">
        <v>4454</v>
      </c>
      <c r="D18" s="164" t="s">
        <v>4455</v>
      </c>
      <c r="E18" s="363" t="s">
        <v>4456</v>
      </c>
      <c r="F18" s="236" t="s">
        <v>2494</v>
      </c>
      <c r="G18" s="236" t="s">
        <v>3808</v>
      </c>
      <c r="H18" s="19" t="s">
        <v>4457</v>
      </c>
    </row>
    <row r="19" ht="15.75" customHeight="1">
      <c r="B19" s="362" t="s">
        <v>4458</v>
      </c>
      <c r="D19" s="164" t="s">
        <v>4459</v>
      </c>
      <c r="E19" s="1" t="s">
        <v>4460</v>
      </c>
      <c r="F19" s="236" t="s">
        <v>2494</v>
      </c>
      <c r="G19" s="236" t="s">
        <v>3808</v>
      </c>
      <c r="H19" s="19" t="s">
        <v>4461</v>
      </c>
    </row>
    <row r="20" ht="15.75" customHeight="1">
      <c r="B20" s="89" t="s">
        <v>4462</v>
      </c>
      <c r="D20" s="165" t="s">
        <v>4463</v>
      </c>
      <c r="E20" s="213" t="s">
        <v>4464</v>
      </c>
      <c r="F20" s="236" t="s">
        <v>2504</v>
      </c>
      <c r="G20" s="236"/>
      <c r="H20" s="386" t="s">
        <v>4465</v>
      </c>
    </row>
    <row r="21" ht="15.75" customHeight="1">
      <c r="A21" s="222">
        <v>43114.0</v>
      </c>
      <c r="F21" s="236"/>
      <c r="G21" s="236"/>
      <c r="H21" s="19"/>
    </row>
    <row r="22" ht="15.75" customHeight="1">
      <c r="B22" s="362" t="s">
        <v>4466</v>
      </c>
      <c r="D22" s="165" t="s">
        <v>4467</v>
      </c>
      <c r="E22" s="363" t="s">
        <v>4468</v>
      </c>
      <c r="F22" s="236" t="s">
        <v>2494</v>
      </c>
      <c r="G22" s="236"/>
      <c r="H22" s="89" t="s">
        <v>4469</v>
      </c>
      <c r="I22" s="1" t="s">
        <v>16</v>
      </c>
    </row>
    <row r="23" ht="15.75" customHeight="1">
      <c r="A23" s="222">
        <v>43115.0</v>
      </c>
      <c r="F23" s="236"/>
      <c r="G23" s="236"/>
      <c r="H23" s="19"/>
    </row>
    <row r="24" ht="15.75" customHeight="1">
      <c r="B24" s="89" t="s">
        <v>4462</v>
      </c>
      <c r="D24" s="165" t="s">
        <v>4463</v>
      </c>
      <c r="E24" s="213" t="s">
        <v>4464</v>
      </c>
      <c r="F24" s="236" t="s">
        <v>2504</v>
      </c>
      <c r="G24" s="236"/>
      <c r="H24" s="213" t="s">
        <v>4470</v>
      </c>
      <c r="I24" s="1" t="s">
        <v>401</v>
      </c>
    </row>
    <row r="25" ht="15.75" customHeight="1">
      <c r="A25" s="222">
        <v>43116.0</v>
      </c>
      <c r="F25" s="236"/>
      <c r="G25" s="236"/>
      <c r="H25" s="19"/>
    </row>
    <row r="26" ht="15.75" customHeight="1">
      <c r="B26" s="362" t="s">
        <v>4471</v>
      </c>
      <c r="D26" s="165" t="s">
        <v>4472</v>
      </c>
      <c r="E26" s="363" t="s">
        <v>4473</v>
      </c>
      <c r="F26" s="236" t="s">
        <v>2494</v>
      </c>
      <c r="G26" s="236"/>
      <c r="H26" s="19" t="s">
        <v>4108</v>
      </c>
      <c r="I26" s="1" t="s">
        <v>2554</v>
      </c>
    </row>
    <row r="27" ht="15.75" customHeight="1">
      <c r="A27" s="222">
        <v>43118.0</v>
      </c>
      <c r="F27" s="236"/>
      <c r="G27" s="236"/>
      <c r="H27" s="19"/>
    </row>
    <row r="28" ht="15.75" customHeight="1">
      <c r="B28" s="362" t="s">
        <v>4474</v>
      </c>
      <c r="D28" s="165" t="s">
        <v>4475</v>
      </c>
      <c r="E28" s="363" t="s">
        <v>4476</v>
      </c>
      <c r="F28" s="236" t="s">
        <v>2494</v>
      </c>
      <c r="G28" s="236"/>
      <c r="H28" s="19" t="s">
        <v>4477</v>
      </c>
      <c r="I28" s="1" t="s">
        <v>1679</v>
      </c>
    </row>
    <row r="29" ht="15.75" customHeight="1">
      <c r="A29" s="222">
        <v>43122.0</v>
      </c>
      <c r="F29" s="236"/>
      <c r="G29" s="236"/>
      <c r="H29" s="19"/>
    </row>
    <row r="30" ht="15.75" customHeight="1">
      <c r="B30" s="362" t="s">
        <v>4478</v>
      </c>
      <c r="D30" s="164" t="s">
        <v>4479</v>
      </c>
      <c r="E30" s="363" t="s">
        <v>4480</v>
      </c>
      <c r="F30" s="236" t="s">
        <v>2494</v>
      </c>
      <c r="G30" s="236"/>
      <c r="H30" s="391" t="s">
        <v>4481</v>
      </c>
      <c r="I30" s="1" t="s">
        <v>1679</v>
      </c>
    </row>
    <row r="31" ht="15.75" customHeight="1">
      <c r="B31" s="362" t="s">
        <v>4482</v>
      </c>
      <c r="D31" s="165" t="s">
        <v>4483</v>
      </c>
      <c r="E31" s="363" t="s">
        <v>4484</v>
      </c>
      <c r="F31" s="236" t="s">
        <v>2494</v>
      </c>
      <c r="G31" s="236"/>
      <c r="H31" s="19" t="s">
        <v>4485</v>
      </c>
    </row>
    <row r="32" ht="15.75" customHeight="1">
      <c r="A32" s="222">
        <v>43127.0</v>
      </c>
      <c r="F32" s="236"/>
      <c r="G32" s="236"/>
      <c r="H32" s="19"/>
    </row>
    <row r="33" ht="15.75" customHeight="1">
      <c r="B33" s="89" t="s">
        <v>4486</v>
      </c>
      <c r="D33" s="164" t="s">
        <v>4487</v>
      </c>
      <c r="E33" s="213" t="s">
        <v>4488</v>
      </c>
      <c r="F33" s="236" t="s">
        <v>2504</v>
      </c>
      <c r="G33" s="236"/>
      <c r="H33" s="89" t="s">
        <v>4489</v>
      </c>
      <c r="I33" s="1" t="s">
        <v>16</v>
      </c>
    </row>
    <row r="34" ht="15.75" customHeight="1">
      <c r="B34" s="362" t="s">
        <v>4490</v>
      </c>
      <c r="D34" s="164" t="s">
        <v>4491</v>
      </c>
      <c r="E34" s="363" t="s">
        <v>4492</v>
      </c>
      <c r="F34" s="236" t="s">
        <v>2494</v>
      </c>
      <c r="G34" s="236"/>
      <c r="H34" s="19" t="s">
        <v>4493</v>
      </c>
      <c r="I34" s="1" t="s">
        <v>2521</v>
      </c>
    </row>
    <row r="35" ht="15.75" customHeight="1">
      <c r="A35" s="222">
        <v>43129.0</v>
      </c>
      <c r="F35" s="236"/>
      <c r="G35" s="236"/>
      <c r="H35" s="19"/>
    </row>
    <row r="36" ht="15.75" customHeight="1">
      <c r="B36" s="362" t="s">
        <v>4494</v>
      </c>
      <c r="D36" s="165" t="s">
        <v>4495</v>
      </c>
      <c r="E36" s="363" t="s">
        <v>4496</v>
      </c>
      <c r="F36" s="236" t="s">
        <v>2494</v>
      </c>
      <c r="G36" s="236"/>
      <c r="H36" s="19" t="s">
        <v>4497</v>
      </c>
      <c r="I36" s="1" t="s">
        <v>1679</v>
      </c>
    </row>
    <row r="37" ht="15.75" customHeight="1">
      <c r="B37" s="89" t="s">
        <v>4498</v>
      </c>
      <c r="D37" s="165" t="s">
        <v>4499</v>
      </c>
      <c r="E37" s="213" t="s">
        <v>4500</v>
      </c>
      <c r="F37" s="236" t="s">
        <v>2504</v>
      </c>
      <c r="G37" s="236"/>
      <c r="H37" s="19" t="s">
        <v>4501</v>
      </c>
      <c r="I37" s="1" t="s">
        <v>4502</v>
      </c>
    </row>
    <row r="38" ht="15.75" customHeight="1">
      <c r="B38" s="99" t="s">
        <v>4503</v>
      </c>
      <c r="D38" s="164" t="s">
        <v>4504</v>
      </c>
      <c r="E38" s="368" t="s">
        <v>4505</v>
      </c>
      <c r="F38" s="369" t="s">
        <v>2649</v>
      </c>
      <c r="G38" s="369"/>
      <c r="H38" s="435" t="s">
        <v>4506</v>
      </c>
      <c r="I38" s="1" t="s">
        <v>16</v>
      </c>
    </row>
    <row r="39" ht="15.75" customHeight="1">
      <c r="A39" s="222">
        <v>43131.0</v>
      </c>
      <c r="F39" s="236"/>
      <c r="G39" s="236"/>
      <c r="H39" s="19"/>
    </row>
    <row r="40" ht="15.75" customHeight="1">
      <c r="B40" s="362" t="s">
        <v>4507</v>
      </c>
      <c r="D40" s="165" t="s">
        <v>4508</v>
      </c>
      <c r="E40" s="363" t="s">
        <v>4509</v>
      </c>
      <c r="F40" s="236" t="s">
        <v>2494</v>
      </c>
      <c r="G40" s="236"/>
      <c r="H40" s="362"/>
    </row>
    <row r="41" ht="15.75" customHeight="1">
      <c r="F41" s="236"/>
      <c r="G41" s="236"/>
      <c r="H41" s="19"/>
    </row>
    <row r="42" ht="15.75" customHeight="1">
      <c r="F42" s="236"/>
      <c r="G42" s="236"/>
      <c r="H42" s="19"/>
    </row>
    <row r="43" ht="15.75" customHeight="1">
      <c r="F43" s="236"/>
      <c r="G43" s="236"/>
      <c r="H43" s="19"/>
    </row>
    <row r="44" ht="15.75" customHeight="1">
      <c r="F44" s="236"/>
      <c r="G44" s="236"/>
      <c r="H44" s="19"/>
    </row>
    <row r="45" ht="15.75" customHeight="1">
      <c r="F45" s="236"/>
      <c r="G45" s="236"/>
      <c r="H45" s="19"/>
    </row>
    <row r="46" ht="15.75" customHeight="1">
      <c r="F46" s="236"/>
      <c r="G46" s="236"/>
      <c r="H46" s="19"/>
    </row>
    <row r="47" ht="15.75" customHeight="1">
      <c r="F47" s="236"/>
      <c r="G47" s="236"/>
      <c r="H47" s="19"/>
    </row>
    <row r="48" ht="15.75" customHeight="1">
      <c r="F48" s="236"/>
      <c r="G48" s="236"/>
      <c r="H48" s="19"/>
    </row>
    <row r="49" ht="15.75" customHeight="1">
      <c r="F49" s="236"/>
      <c r="G49" s="236"/>
      <c r="H49" s="19"/>
    </row>
    <row r="50" ht="15.75" customHeight="1">
      <c r="F50" s="236"/>
      <c r="G50" s="236"/>
      <c r="H50" s="19"/>
    </row>
    <row r="51" ht="15.75" customHeight="1">
      <c r="F51" s="236"/>
      <c r="G51" s="236"/>
      <c r="H51" s="19"/>
    </row>
    <row r="52" ht="15.75" customHeight="1">
      <c r="F52" s="236"/>
      <c r="G52" s="236"/>
      <c r="H52" s="19"/>
    </row>
    <row r="53" ht="15.75" customHeight="1">
      <c r="F53" s="236"/>
      <c r="G53" s="236"/>
      <c r="H53" s="19"/>
    </row>
    <row r="54" ht="15.75" customHeight="1">
      <c r="F54" s="236"/>
      <c r="G54" s="236"/>
      <c r="H54" s="19"/>
    </row>
    <row r="55" ht="15.75" customHeight="1">
      <c r="F55" s="236"/>
      <c r="G55" s="236"/>
      <c r="H55" s="19"/>
    </row>
    <row r="56" ht="15.75" customHeight="1">
      <c r="F56" s="236"/>
      <c r="G56" s="236"/>
      <c r="H56" s="19"/>
    </row>
    <row r="57" ht="15.75" customHeight="1">
      <c r="F57" s="236"/>
      <c r="G57" s="236"/>
      <c r="H57" s="19"/>
    </row>
    <row r="58" ht="15.75" customHeight="1">
      <c r="F58" s="236"/>
      <c r="G58" s="236"/>
      <c r="H58" s="19"/>
    </row>
    <row r="59" ht="15.75" customHeight="1">
      <c r="F59" s="236"/>
      <c r="G59" s="236"/>
      <c r="H59" s="19"/>
    </row>
    <row r="60" ht="15.75" customHeight="1">
      <c r="F60" s="236"/>
      <c r="G60" s="236"/>
      <c r="H60" s="19"/>
    </row>
    <row r="61" ht="15.75" customHeight="1">
      <c r="F61" s="236"/>
      <c r="G61" s="236"/>
      <c r="H61" s="19"/>
    </row>
    <row r="62" ht="15.75" customHeight="1">
      <c r="F62" s="236"/>
      <c r="G62" s="236"/>
      <c r="H62" s="19"/>
    </row>
    <row r="63" ht="15.75" customHeight="1">
      <c r="F63" s="236"/>
      <c r="G63" s="236"/>
      <c r="H63" s="19"/>
    </row>
    <row r="64" ht="15.75" customHeight="1">
      <c r="F64" s="236"/>
      <c r="G64" s="236"/>
      <c r="H64" s="19"/>
    </row>
    <row r="65" ht="15.75" customHeight="1">
      <c r="F65" s="236"/>
      <c r="G65" s="236"/>
      <c r="H65" s="19"/>
    </row>
    <row r="66" ht="15.75" customHeight="1">
      <c r="F66" s="236"/>
      <c r="G66" s="236"/>
      <c r="H66" s="19"/>
    </row>
    <row r="67" ht="15.75" customHeight="1">
      <c r="F67" s="236"/>
      <c r="G67" s="236"/>
      <c r="H67" s="19"/>
    </row>
    <row r="68" ht="15.75" customHeight="1">
      <c r="F68" s="236"/>
      <c r="G68" s="236"/>
      <c r="H68" s="19"/>
    </row>
    <row r="69" ht="15.75" customHeight="1">
      <c r="F69" s="236"/>
      <c r="G69" s="236"/>
      <c r="H69" s="19"/>
    </row>
    <row r="70" ht="15.75" customHeight="1">
      <c r="F70" s="236"/>
      <c r="G70" s="236"/>
      <c r="H70" s="19"/>
    </row>
    <row r="71" ht="15.75" customHeight="1">
      <c r="F71" s="236"/>
      <c r="G71" s="236"/>
      <c r="H71" s="19"/>
    </row>
    <row r="72" ht="15.75" customHeight="1">
      <c r="F72" s="236"/>
      <c r="G72" s="236"/>
      <c r="H72" s="19"/>
    </row>
    <row r="73" ht="15.75" customHeight="1">
      <c r="F73" s="236"/>
      <c r="G73" s="236"/>
      <c r="H73" s="19"/>
    </row>
    <row r="74" ht="15.75" customHeight="1">
      <c r="F74" s="236"/>
      <c r="G74" s="236"/>
      <c r="H74" s="19"/>
    </row>
    <row r="75" ht="15.75" customHeight="1">
      <c r="F75" s="236"/>
      <c r="G75" s="236"/>
      <c r="H75" s="19"/>
    </row>
    <row r="76" ht="15.75" customHeight="1">
      <c r="F76" s="236"/>
      <c r="G76" s="236"/>
      <c r="H76" s="19"/>
    </row>
    <row r="77" ht="15.75" customHeight="1">
      <c r="F77" s="236"/>
      <c r="G77" s="236"/>
      <c r="H77" s="19"/>
    </row>
    <row r="78" ht="15.75" customHeight="1">
      <c r="F78" s="236"/>
      <c r="G78" s="236"/>
      <c r="H78" s="19"/>
    </row>
    <row r="79" ht="15.75" customHeight="1">
      <c r="F79" s="236"/>
      <c r="G79" s="236"/>
      <c r="H79" s="19"/>
    </row>
    <row r="80" ht="15.75" customHeight="1">
      <c r="F80" s="236"/>
      <c r="G80" s="236"/>
      <c r="H80" s="19"/>
    </row>
    <row r="81" ht="15.75" customHeight="1">
      <c r="F81" s="236"/>
      <c r="G81" s="236"/>
      <c r="H81" s="19"/>
    </row>
    <row r="82" ht="15.75" customHeight="1">
      <c r="F82" s="236"/>
      <c r="G82" s="236"/>
      <c r="H82" s="19"/>
    </row>
    <row r="83" ht="15.75" customHeight="1">
      <c r="F83" s="236"/>
      <c r="G83" s="236"/>
      <c r="H83" s="19"/>
    </row>
    <row r="84" ht="15.75" customHeight="1">
      <c r="F84" s="236"/>
      <c r="G84" s="236"/>
      <c r="H84" s="19"/>
    </row>
    <row r="85" ht="15.75" customHeight="1">
      <c r="F85" s="236"/>
      <c r="G85" s="236"/>
      <c r="H85" s="19"/>
    </row>
    <row r="86" ht="15.75" customHeight="1">
      <c r="F86" s="236"/>
      <c r="G86" s="236"/>
      <c r="H86" s="19"/>
    </row>
    <row r="87" ht="15.75" customHeight="1">
      <c r="F87" s="236"/>
      <c r="G87" s="236"/>
      <c r="H87" s="19"/>
    </row>
    <row r="88" ht="15.75" customHeight="1">
      <c r="F88" s="236"/>
      <c r="G88" s="236"/>
      <c r="H88" s="19"/>
    </row>
    <row r="89" ht="15.75" customHeight="1">
      <c r="F89" s="236"/>
      <c r="G89" s="236"/>
      <c r="H89" s="19"/>
    </row>
    <row r="90" ht="15.75" customHeight="1">
      <c r="F90" s="236"/>
      <c r="G90" s="236"/>
      <c r="H90" s="19"/>
    </row>
    <row r="91" ht="15.75" customHeight="1">
      <c r="F91" s="236"/>
      <c r="G91" s="236"/>
      <c r="H91" s="19"/>
    </row>
    <row r="92" ht="15.75" customHeight="1">
      <c r="F92" s="236"/>
      <c r="G92" s="236"/>
      <c r="H92" s="19"/>
    </row>
    <row r="93" ht="15.75" customHeight="1">
      <c r="F93" s="236"/>
      <c r="G93" s="236"/>
      <c r="H93" s="19"/>
    </row>
    <row r="94" ht="15.75" customHeight="1">
      <c r="F94" s="236"/>
      <c r="G94" s="236"/>
      <c r="H94" s="19"/>
    </row>
    <row r="95" ht="15.75" customHeight="1">
      <c r="F95" s="236"/>
      <c r="G95" s="236"/>
      <c r="H95" s="19"/>
    </row>
    <row r="96" ht="15.75" customHeight="1">
      <c r="F96" s="236"/>
      <c r="G96" s="236"/>
      <c r="H96" s="19"/>
    </row>
    <row r="97" ht="15.75" customHeight="1">
      <c r="F97" s="236"/>
      <c r="G97" s="236"/>
      <c r="H97" s="19"/>
    </row>
    <row r="98" ht="15.75" customHeight="1">
      <c r="F98" s="236"/>
      <c r="G98" s="236"/>
      <c r="H98" s="19"/>
    </row>
    <row r="99" ht="15.75" customHeight="1">
      <c r="F99" s="236"/>
      <c r="G99" s="236"/>
      <c r="H99" s="19"/>
    </row>
    <row r="100" ht="15.75" customHeight="1">
      <c r="F100" s="236"/>
      <c r="G100" s="236"/>
      <c r="H100" s="19"/>
    </row>
    <row r="101" ht="15.75" customHeight="1">
      <c r="F101" s="236"/>
      <c r="G101" s="236"/>
      <c r="H101" s="19"/>
    </row>
    <row r="102" ht="15.75" customHeight="1">
      <c r="F102" s="236"/>
      <c r="G102" s="236"/>
      <c r="H102" s="19"/>
    </row>
    <row r="103" ht="15.75" customHeight="1">
      <c r="F103" s="236"/>
      <c r="G103" s="236"/>
      <c r="H103" s="19"/>
    </row>
    <row r="104" ht="15.75" customHeight="1">
      <c r="F104" s="236"/>
      <c r="G104" s="236"/>
      <c r="H104" s="19"/>
    </row>
    <row r="105" ht="15.75" customHeight="1">
      <c r="F105" s="236"/>
      <c r="G105" s="236"/>
      <c r="H105" s="19"/>
    </row>
    <row r="106" ht="15.75" customHeight="1">
      <c r="F106" s="236"/>
      <c r="G106" s="236"/>
      <c r="H106" s="19"/>
    </row>
    <row r="107" ht="15.75" customHeight="1">
      <c r="F107" s="236"/>
      <c r="G107" s="236"/>
      <c r="H107" s="19"/>
    </row>
    <row r="108" ht="15.75" customHeight="1">
      <c r="F108" s="236"/>
      <c r="G108" s="236"/>
      <c r="H108" s="19"/>
    </row>
    <row r="109" ht="15.75" customHeight="1">
      <c r="F109" s="236"/>
      <c r="G109" s="236"/>
      <c r="H109" s="19"/>
    </row>
    <row r="110" ht="15.75" customHeight="1">
      <c r="F110" s="236"/>
      <c r="G110" s="236"/>
      <c r="H110" s="19"/>
    </row>
    <row r="111" ht="15.75" customHeight="1">
      <c r="F111" s="236"/>
      <c r="G111" s="236"/>
      <c r="H111" s="19"/>
    </row>
    <row r="112" ht="15.75" customHeight="1">
      <c r="F112" s="236"/>
      <c r="G112" s="236"/>
      <c r="H112" s="19"/>
    </row>
    <row r="113" ht="15.75" customHeight="1">
      <c r="F113" s="236"/>
      <c r="G113" s="236"/>
      <c r="H113" s="19"/>
    </row>
    <row r="114" ht="15.75" customHeight="1">
      <c r="F114" s="236"/>
      <c r="G114" s="236"/>
      <c r="H114" s="19"/>
    </row>
    <row r="115" ht="15.75" customHeight="1">
      <c r="F115" s="236"/>
      <c r="G115" s="236"/>
      <c r="H115" s="19"/>
    </row>
    <row r="116" ht="15.75" customHeight="1">
      <c r="F116" s="236"/>
      <c r="G116" s="236"/>
      <c r="H116" s="19"/>
    </row>
    <row r="117" ht="15.75" customHeight="1">
      <c r="F117" s="236"/>
      <c r="G117" s="236"/>
      <c r="H117" s="19"/>
    </row>
    <row r="118" ht="15.75" customHeight="1">
      <c r="F118" s="236"/>
      <c r="G118" s="236"/>
      <c r="H118" s="19"/>
    </row>
    <row r="119" ht="15.75" customHeight="1">
      <c r="F119" s="236"/>
      <c r="G119" s="236"/>
      <c r="H119" s="19"/>
    </row>
    <row r="120" ht="15.75" customHeight="1">
      <c r="F120" s="236"/>
      <c r="G120" s="236"/>
      <c r="H120" s="19"/>
    </row>
    <row r="121" ht="15.75" customHeight="1">
      <c r="F121" s="236"/>
      <c r="G121" s="236"/>
      <c r="H121" s="19"/>
    </row>
    <row r="122" ht="15.75" customHeight="1">
      <c r="F122" s="236"/>
      <c r="G122" s="236"/>
      <c r="H122" s="19"/>
    </row>
    <row r="123" ht="15.75" customHeight="1">
      <c r="F123" s="236"/>
      <c r="G123" s="236"/>
      <c r="H123" s="19"/>
    </row>
    <row r="124" ht="15.75" customHeight="1">
      <c r="F124" s="236"/>
      <c r="G124" s="236"/>
      <c r="H124" s="19"/>
    </row>
    <row r="125" ht="15.75" customHeight="1">
      <c r="F125" s="236"/>
      <c r="G125" s="236"/>
      <c r="H125" s="19"/>
    </row>
    <row r="126" ht="15.75" customHeight="1">
      <c r="F126" s="236"/>
      <c r="G126" s="236"/>
      <c r="H126" s="19"/>
    </row>
    <row r="127" ht="15.75" customHeight="1">
      <c r="F127" s="236"/>
      <c r="G127" s="236"/>
      <c r="H127" s="19"/>
    </row>
    <row r="128" ht="15.75" customHeight="1">
      <c r="F128" s="236"/>
      <c r="G128" s="236"/>
      <c r="H128" s="19"/>
    </row>
    <row r="129" ht="15.75" customHeight="1">
      <c r="F129" s="236"/>
      <c r="G129" s="236"/>
      <c r="H129" s="19"/>
    </row>
    <row r="130" ht="15.75" customHeight="1">
      <c r="F130" s="236"/>
      <c r="G130" s="236"/>
      <c r="H130" s="19"/>
    </row>
    <row r="131" ht="15.75" customHeight="1">
      <c r="F131" s="236"/>
      <c r="G131" s="236"/>
      <c r="H131" s="19"/>
    </row>
    <row r="132" ht="15.75" customHeight="1">
      <c r="F132" s="236"/>
      <c r="G132" s="236"/>
      <c r="H132" s="19"/>
    </row>
    <row r="133" ht="15.75" customHeight="1">
      <c r="F133" s="236"/>
      <c r="G133" s="236"/>
      <c r="H133" s="19"/>
    </row>
    <row r="134" ht="15.75" customHeight="1">
      <c r="F134" s="236"/>
      <c r="G134" s="236"/>
      <c r="H134" s="19"/>
    </row>
    <row r="135" ht="15.75" customHeight="1">
      <c r="F135" s="236"/>
      <c r="G135" s="236"/>
      <c r="H135" s="19"/>
    </row>
    <row r="136" ht="15.75" customHeight="1">
      <c r="F136" s="236"/>
      <c r="G136" s="236"/>
      <c r="H136" s="19"/>
    </row>
    <row r="137" ht="15.75" customHeight="1">
      <c r="F137" s="236"/>
      <c r="G137" s="236"/>
      <c r="H137" s="19"/>
    </row>
    <row r="138" ht="15.75" customHeight="1">
      <c r="F138" s="236"/>
      <c r="G138" s="236"/>
      <c r="H138" s="19"/>
    </row>
    <row r="139" ht="15.75" customHeight="1">
      <c r="F139" s="236"/>
      <c r="G139" s="236"/>
      <c r="H139" s="19"/>
    </row>
    <row r="140" ht="15.75" customHeight="1">
      <c r="F140" s="236"/>
      <c r="G140" s="236"/>
      <c r="H140" s="19"/>
    </row>
    <row r="141" ht="15.75" customHeight="1">
      <c r="F141" s="236"/>
      <c r="G141" s="236"/>
      <c r="H141" s="19"/>
    </row>
    <row r="142" ht="15.75" customHeight="1">
      <c r="F142" s="236"/>
      <c r="G142" s="236"/>
      <c r="H142" s="19"/>
    </row>
    <row r="143" ht="15.75" customHeight="1">
      <c r="F143" s="236"/>
      <c r="G143" s="236"/>
      <c r="H143" s="19"/>
    </row>
    <row r="144" ht="15.75" customHeight="1">
      <c r="F144" s="236"/>
      <c r="G144" s="236"/>
      <c r="H144" s="19"/>
    </row>
    <row r="145" ht="15.75" customHeight="1">
      <c r="F145" s="236"/>
      <c r="G145" s="236"/>
      <c r="H145" s="19"/>
    </row>
    <row r="146" ht="15.75" customHeight="1">
      <c r="F146" s="236"/>
      <c r="G146" s="236"/>
      <c r="H146" s="19"/>
    </row>
    <row r="147" ht="15.75" customHeight="1">
      <c r="F147" s="236"/>
      <c r="G147" s="236"/>
      <c r="H147" s="19"/>
    </row>
    <row r="148" ht="15.75" customHeight="1">
      <c r="F148" s="236"/>
      <c r="G148" s="236"/>
      <c r="H148" s="19"/>
    </row>
    <row r="149" ht="15.75" customHeight="1">
      <c r="F149" s="236"/>
      <c r="G149" s="236"/>
      <c r="H149" s="19"/>
    </row>
    <row r="150" ht="15.75" customHeight="1">
      <c r="F150" s="236"/>
      <c r="G150" s="236"/>
      <c r="H150" s="19"/>
    </row>
    <row r="151" ht="15.75" customHeight="1">
      <c r="F151" s="236"/>
      <c r="G151" s="236"/>
      <c r="H151" s="19"/>
    </row>
    <row r="152" ht="15.75" customHeight="1">
      <c r="F152" s="236"/>
      <c r="G152" s="236"/>
      <c r="H152" s="19"/>
    </row>
    <row r="153" ht="15.75" customHeight="1">
      <c r="F153" s="236"/>
      <c r="G153" s="236"/>
      <c r="H153" s="19"/>
    </row>
    <row r="154" ht="15.75" customHeight="1">
      <c r="F154" s="236"/>
      <c r="G154" s="236"/>
      <c r="H154" s="19"/>
    </row>
    <row r="155" ht="15.75" customHeight="1">
      <c r="F155" s="236"/>
      <c r="G155" s="236"/>
      <c r="H155" s="19"/>
    </row>
    <row r="156" ht="15.75" customHeight="1">
      <c r="F156" s="236"/>
      <c r="G156" s="236"/>
      <c r="H156" s="19"/>
    </row>
    <row r="157" ht="15.75" customHeight="1">
      <c r="F157" s="236"/>
      <c r="G157" s="236"/>
      <c r="H157" s="19"/>
    </row>
    <row r="158" ht="15.75" customHeight="1">
      <c r="F158" s="236"/>
      <c r="G158" s="236"/>
      <c r="H158" s="19"/>
    </row>
    <row r="159" ht="15.75" customHeight="1">
      <c r="F159" s="236"/>
      <c r="G159" s="236"/>
      <c r="H159" s="19"/>
    </row>
    <row r="160" ht="15.75" customHeight="1">
      <c r="F160" s="236"/>
      <c r="G160" s="236"/>
      <c r="H160" s="19"/>
    </row>
    <row r="161" ht="15.75" customHeight="1">
      <c r="F161" s="236"/>
      <c r="G161" s="236"/>
      <c r="H161" s="19"/>
    </row>
    <row r="162" ht="15.75" customHeight="1">
      <c r="F162" s="236"/>
      <c r="G162" s="236"/>
      <c r="H162" s="19"/>
    </row>
    <row r="163" ht="15.75" customHeight="1">
      <c r="F163" s="236"/>
      <c r="G163" s="236"/>
      <c r="H163" s="19"/>
    </row>
    <row r="164" ht="15.75" customHeight="1">
      <c r="F164" s="236"/>
      <c r="G164" s="236"/>
      <c r="H164" s="19"/>
    </row>
    <row r="165" ht="15.75" customHeight="1">
      <c r="F165" s="236"/>
      <c r="G165" s="236"/>
      <c r="H165" s="19"/>
    </row>
    <row r="166" ht="15.75" customHeight="1">
      <c r="F166" s="236"/>
      <c r="G166" s="236"/>
      <c r="H166" s="19"/>
    </row>
    <row r="167" ht="15.75" customHeight="1">
      <c r="F167" s="236"/>
      <c r="G167" s="236"/>
      <c r="H167" s="19"/>
    </row>
    <row r="168" ht="15.75" customHeight="1">
      <c r="F168" s="236"/>
      <c r="G168" s="236"/>
      <c r="H168" s="19"/>
    </row>
    <row r="169" ht="15.75" customHeight="1">
      <c r="F169" s="236"/>
      <c r="G169" s="236"/>
      <c r="H169" s="19"/>
    </row>
    <row r="170" ht="15.75" customHeight="1">
      <c r="F170" s="236"/>
      <c r="G170" s="236"/>
      <c r="H170" s="19"/>
    </row>
    <row r="171" ht="15.75" customHeight="1">
      <c r="F171" s="236"/>
      <c r="G171" s="236"/>
      <c r="H171" s="19"/>
    </row>
    <row r="172" ht="15.75" customHeight="1">
      <c r="F172" s="236"/>
      <c r="G172" s="236"/>
      <c r="H172" s="19"/>
    </row>
    <row r="173" ht="15.75" customHeight="1">
      <c r="F173" s="236"/>
      <c r="G173" s="236"/>
      <c r="H173" s="19"/>
    </row>
    <row r="174" ht="15.75" customHeight="1">
      <c r="F174" s="236"/>
      <c r="G174" s="236"/>
      <c r="H174" s="19"/>
    </row>
    <row r="175" ht="15.75" customHeight="1">
      <c r="F175" s="236"/>
      <c r="G175" s="236"/>
      <c r="H175" s="19"/>
    </row>
    <row r="176" ht="15.75" customHeight="1">
      <c r="F176" s="236"/>
      <c r="G176" s="236"/>
      <c r="H176" s="19"/>
    </row>
    <row r="177" ht="15.75" customHeight="1">
      <c r="F177" s="236"/>
      <c r="G177" s="236"/>
      <c r="H177" s="19"/>
    </row>
    <row r="178" ht="15.75" customHeight="1">
      <c r="F178" s="236"/>
      <c r="G178" s="236"/>
      <c r="H178" s="19"/>
    </row>
    <row r="179" ht="15.75" customHeight="1">
      <c r="F179" s="236"/>
      <c r="G179" s="236"/>
      <c r="H179" s="19"/>
    </row>
    <row r="180" ht="15.75" customHeight="1">
      <c r="F180" s="236"/>
      <c r="G180" s="236"/>
      <c r="H180" s="19"/>
    </row>
    <row r="181" ht="15.75" customHeight="1">
      <c r="F181" s="236"/>
      <c r="G181" s="236"/>
      <c r="H181" s="19"/>
    </row>
    <row r="182" ht="15.75" customHeight="1">
      <c r="F182" s="236"/>
      <c r="G182" s="236"/>
      <c r="H182" s="19"/>
    </row>
    <row r="183" ht="15.75" customHeight="1">
      <c r="F183" s="236"/>
      <c r="G183" s="236"/>
      <c r="H183" s="19"/>
    </row>
    <row r="184" ht="15.75" customHeight="1">
      <c r="F184" s="236"/>
      <c r="G184" s="236"/>
      <c r="H184" s="19"/>
    </row>
    <row r="185" ht="15.75" customHeight="1">
      <c r="F185" s="236"/>
      <c r="G185" s="236"/>
      <c r="H185" s="19"/>
    </row>
    <row r="186" ht="15.75" customHeight="1">
      <c r="F186" s="236"/>
      <c r="G186" s="236"/>
      <c r="H186" s="19"/>
    </row>
    <row r="187" ht="15.75" customHeight="1">
      <c r="F187" s="236"/>
      <c r="G187" s="236"/>
      <c r="H187" s="19"/>
    </row>
    <row r="188" ht="15.75" customHeight="1">
      <c r="F188" s="236"/>
      <c r="G188" s="236"/>
      <c r="H188" s="19"/>
    </row>
    <row r="189" ht="15.75" customHeight="1">
      <c r="F189" s="236"/>
      <c r="G189" s="236"/>
      <c r="H189" s="19"/>
    </row>
    <row r="190" ht="15.75" customHeight="1">
      <c r="F190" s="236"/>
      <c r="G190" s="236"/>
      <c r="H190" s="19"/>
    </row>
    <row r="191" ht="15.75" customHeight="1">
      <c r="F191" s="236"/>
      <c r="G191" s="236"/>
      <c r="H191" s="19"/>
    </row>
    <row r="192" ht="15.75" customHeight="1">
      <c r="F192" s="236"/>
      <c r="G192" s="236"/>
      <c r="H192" s="19"/>
    </row>
    <row r="193" ht="15.75" customHeight="1">
      <c r="F193" s="236"/>
      <c r="G193" s="236"/>
      <c r="H193" s="19"/>
    </row>
    <row r="194" ht="15.75" customHeight="1">
      <c r="F194" s="236"/>
      <c r="G194" s="236"/>
      <c r="H194" s="19"/>
    </row>
    <row r="195" ht="15.75" customHeight="1">
      <c r="F195" s="236"/>
      <c r="G195" s="236"/>
      <c r="H195" s="19"/>
    </row>
    <row r="196" ht="15.75" customHeight="1">
      <c r="F196" s="236"/>
      <c r="G196" s="236"/>
      <c r="H196" s="19"/>
    </row>
    <row r="197" ht="15.75" customHeight="1">
      <c r="F197" s="236"/>
      <c r="G197" s="236"/>
      <c r="H197" s="19"/>
    </row>
    <row r="198" ht="15.75" customHeight="1">
      <c r="F198" s="236"/>
      <c r="G198" s="236"/>
      <c r="H198" s="19"/>
    </row>
    <row r="199" ht="15.75" customHeight="1">
      <c r="F199" s="236"/>
      <c r="G199" s="236"/>
      <c r="H199" s="19"/>
    </row>
    <row r="200" ht="15.75" customHeight="1">
      <c r="F200" s="236"/>
      <c r="G200" s="236"/>
      <c r="H200" s="19"/>
    </row>
    <row r="201" ht="15.75" customHeight="1">
      <c r="F201" s="236"/>
      <c r="G201" s="236"/>
      <c r="H201" s="19"/>
    </row>
    <row r="202" ht="15.75" customHeight="1">
      <c r="F202" s="236"/>
      <c r="G202" s="236"/>
      <c r="H202" s="19"/>
    </row>
    <row r="203" ht="15.75" customHeight="1">
      <c r="F203" s="236"/>
      <c r="G203" s="236"/>
      <c r="H203" s="19"/>
    </row>
    <row r="204" ht="15.75" customHeight="1">
      <c r="F204" s="236"/>
      <c r="G204" s="236"/>
      <c r="H204" s="19"/>
    </row>
    <row r="205" ht="15.75" customHeight="1">
      <c r="F205" s="236"/>
      <c r="G205" s="236"/>
      <c r="H205" s="19"/>
    </row>
    <row r="206" ht="15.75" customHeight="1">
      <c r="F206" s="236"/>
      <c r="G206" s="236"/>
      <c r="H206" s="19"/>
    </row>
    <row r="207" ht="15.75" customHeight="1">
      <c r="F207" s="236"/>
      <c r="G207" s="236"/>
      <c r="H207" s="19"/>
    </row>
    <row r="208" ht="15.75" customHeight="1">
      <c r="F208" s="236"/>
      <c r="G208" s="236"/>
      <c r="H208" s="19"/>
    </row>
    <row r="209" ht="15.75" customHeight="1">
      <c r="F209" s="236"/>
      <c r="G209" s="236"/>
      <c r="H209" s="19"/>
    </row>
    <row r="210" ht="15.75" customHeight="1">
      <c r="F210" s="236"/>
      <c r="G210" s="236"/>
      <c r="H210" s="19"/>
    </row>
    <row r="211" ht="15.75" customHeight="1">
      <c r="F211" s="236"/>
      <c r="G211" s="236"/>
      <c r="H211" s="19"/>
    </row>
    <row r="212" ht="15.75" customHeight="1">
      <c r="F212" s="236"/>
      <c r="G212" s="236"/>
      <c r="H212" s="19"/>
    </row>
    <row r="213" ht="15.75" customHeight="1">
      <c r="F213" s="236"/>
      <c r="G213" s="236"/>
      <c r="H213" s="19"/>
    </row>
    <row r="214" ht="15.75" customHeight="1">
      <c r="F214" s="236"/>
      <c r="G214" s="236"/>
      <c r="H214" s="19"/>
    </row>
    <row r="215" ht="15.75" customHeight="1">
      <c r="F215" s="236"/>
      <c r="G215" s="236"/>
      <c r="H215" s="19"/>
    </row>
    <row r="216" ht="15.75" customHeight="1">
      <c r="F216" s="236"/>
      <c r="G216" s="236"/>
      <c r="H216" s="19"/>
    </row>
    <row r="217" ht="15.75" customHeight="1">
      <c r="F217" s="236"/>
      <c r="G217" s="236"/>
      <c r="H217" s="19"/>
    </row>
    <row r="218" ht="15.75" customHeight="1">
      <c r="F218" s="236"/>
      <c r="G218" s="236"/>
      <c r="H218" s="19"/>
    </row>
    <row r="219" ht="15.75" customHeight="1">
      <c r="F219" s="236"/>
      <c r="G219" s="236"/>
      <c r="H219" s="19"/>
    </row>
    <row r="220" ht="15.75" customHeight="1">
      <c r="F220" s="236"/>
      <c r="G220" s="236"/>
      <c r="H220" s="19"/>
    </row>
    <row r="221" ht="15.75" customHeight="1">
      <c r="F221" s="236"/>
      <c r="G221" s="236"/>
      <c r="H221" s="19"/>
    </row>
    <row r="222" ht="15.75" customHeight="1">
      <c r="F222" s="236"/>
      <c r="G222" s="236"/>
      <c r="H222" s="19"/>
    </row>
    <row r="223" ht="15.75" customHeight="1">
      <c r="F223" s="236"/>
      <c r="G223" s="236"/>
      <c r="H223" s="19"/>
    </row>
    <row r="224" ht="15.75" customHeight="1">
      <c r="F224" s="236"/>
      <c r="G224" s="236"/>
      <c r="H224" s="19"/>
    </row>
    <row r="225" ht="15.75" customHeight="1">
      <c r="F225" s="236"/>
      <c r="G225" s="236"/>
      <c r="H225" s="19"/>
    </row>
    <row r="226" ht="15.75" customHeight="1">
      <c r="F226" s="236"/>
      <c r="G226" s="236"/>
      <c r="H226" s="19"/>
    </row>
    <row r="227" ht="15.75" customHeight="1">
      <c r="F227" s="236"/>
      <c r="G227" s="236"/>
      <c r="H227" s="19"/>
    </row>
    <row r="228" ht="15.75" customHeight="1">
      <c r="F228" s="236"/>
      <c r="G228" s="236"/>
      <c r="H228" s="19"/>
    </row>
    <row r="229" ht="15.75" customHeight="1">
      <c r="F229" s="236"/>
      <c r="G229" s="236"/>
      <c r="H229" s="19"/>
    </row>
    <row r="230" ht="15.75" customHeight="1">
      <c r="F230" s="236"/>
      <c r="G230" s="236"/>
      <c r="H230" s="19"/>
    </row>
    <row r="231" ht="15.75" customHeight="1">
      <c r="F231" s="236"/>
      <c r="G231" s="236"/>
      <c r="H231" s="19"/>
    </row>
    <row r="232" ht="15.75" customHeight="1">
      <c r="F232" s="236"/>
      <c r="G232" s="236"/>
      <c r="H232" s="19"/>
    </row>
    <row r="233" ht="15.75" customHeight="1">
      <c r="F233" s="236"/>
      <c r="G233" s="236"/>
      <c r="H233" s="19"/>
    </row>
    <row r="234" ht="15.75" customHeight="1">
      <c r="F234" s="236"/>
      <c r="G234" s="236"/>
      <c r="H234" s="19"/>
    </row>
    <row r="235" ht="15.75" customHeight="1">
      <c r="F235" s="236"/>
      <c r="G235" s="236"/>
      <c r="H235" s="19"/>
    </row>
    <row r="236" ht="15.75" customHeight="1">
      <c r="F236" s="236"/>
      <c r="G236" s="236"/>
      <c r="H236" s="19"/>
    </row>
    <row r="237" ht="15.75" customHeight="1">
      <c r="F237" s="236"/>
      <c r="G237" s="236"/>
      <c r="H237" s="19"/>
    </row>
    <row r="238" ht="15.75" customHeight="1">
      <c r="F238" s="236"/>
      <c r="G238" s="236"/>
      <c r="H238" s="19"/>
    </row>
    <row r="239" ht="15.75" customHeight="1">
      <c r="F239" s="236"/>
      <c r="G239" s="236"/>
      <c r="H239" s="19"/>
    </row>
    <row r="240" ht="15.75" customHeight="1">
      <c r="F240" s="236"/>
      <c r="G240" s="236"/>
      <c r="H240" s="19"/>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240"/>
  <customSheetViews>
    <customSheetView guid="{DABA0E9E-9FB3-4FB8-A09F-7C7FE5B5274A}" filter="1" showAutoFilter="1">
      <autoFilter ref="$D$1:$D$240"/>
      <extLst>
        <ext uri="GoogleSheetsCustomDataVersion1">
          <go:sheetsCustomData xmlns:go="http://customooxmlschemas.google.com/" filterViewId="1336620178"/>
        </ext>
      </extLst>
    </customSheetView>
    <customSheetView guid="{4B769E08-A4CF-4C36-8B65-253A5FCB4C3D}" filter="1" showAutoFilter="1">
      <autoFilter ref="$D$1:$D$240"/>
      <extLst>
        <ext uri="GoogleSheetsCustomDataVersion1">
          <go:sheetsCustomData xmlns:go="http://customooxmlschemas.google.com/" filterViewId="981209810"/>
        </ext>
      </extLst>
    </customSheetView>
  </customSheetViews>
  <hyperlinks>
    <hyperlink r:id="rId1" ref="E3"/>
    <hyperlink r:id="rId2" ref="E6"/>
    <hyperlink r:id="rId3" ref="E8"/>
    <hyperlink r:id="rId4" ref="E10"/>
    <hyperlink r:id="rId5" ref="E12"/>
    <hyperlink r:id="rId6" ref="E14"/>
    <hyperlink r:id="rId7" ref="E16"/>
    <hyperlink r:id="rId8" ref="E18"/>
    <hyperlink r:id="rId9" ref="E20"/>
    <hyperlink r:id="rId10" ref="H20"/>
    <hyperlink r:id="rId11" ref="E22"/>
    <hyperlink r:id="rId12" ref="E24"/>
    <hyperlink r:id="rId13" ref="H24"/>
    <hyperlink r:id="rId14" ref="E26"/>
    <hyperlink r:id="rId15" ref="E28"/>
    <hyperlink r:id="rId16" ref="E30"/>
    <hyperlink r:id="rId17" ref="E31"/>
    <hyperlink r:id="rId18" ref="E33"/>
    <hyperlink r:id="rId19" ref="E34"/>
    <hyperlink r:id="rId20" ref="E36"/>
    <hyperlink r:id="rId21" ref="E37"/>
    <hyperlink r:id="rId22" ref="E38"/>
    <hyperlink r:id="rId23" ref="E40"/>
  </hyperlinks>
  <drawing r:id="rId24"/>
</worksheet>
</file>