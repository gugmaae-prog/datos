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LEADS" sheetId="1" r:id="rId4"/>
    <sheet state="visible" name="EMAAR  KIOSK LEADS" sheetId="2" r:id="rId5"/>
  </sheets>
  <definedNames/>
  <calcPr/>
</workbook>
</file>

<file path=xl/sharedStrings.xml><?xml version="1.0" encoding="utf-8"?>
<sst xmlns="http://schemas.openxmlformats.org/spreadsheetml/2006/main" count="1918" uniqueCount="945">
  <si>
    <t>DATE</t>
  </si>
  <si>
    <t>PROJECT</t>
  </si>
  <si>
    <t>NAME</t>
  </si>
  <si>
    <t>EMAIL</t>
  </si>
  <si>
    <t>MOBILE</t>
  </si>
  <si>
    <t>Feedback</t>
  </si>
  <si>
    <t>INQUIRY / COMMENT</t>
  </si>
  <si>
    <t>ArabianRanches-B</t>
  </si>
  <si>
    <t>Rania</t>
  </si>
  <si>
    <t>dr.rania.2009@hotmail.com</t>
  </si>
  <si>
    <t>+971 52-442-0522</t>
  </si>
  <si>
    <t>she asked foe r2 for 2m,im calling and txting shes not answering</t>
  </si>
  <si>
    <t>BURJ CROWN</t>
  </si>
  <si>
    <t>Hassan syed</t>
  </si>
  <si>
    <t>spamkid@hotmail.com</t>
  </si>
  <si>
    <t>wrong number,unreachble</t>
  </si>
  <si>
    <t>Amer Dwaikat</t>
  </si>
  <si>
    <t>amer_aldwekat@hotmail.com</t>
  </si>
  <si>
    <t>called several times no answer</t>
  </si>
  <si>
    <t>EMAAR SIGNATURE LINE</t>
  </si>
  <si>
    <t>Sulaiman Babak</t>
  </si>
  <si>
    <t>Aminpsgbn@gmail.com</t>
  </si>
  <si>
    <t>p:+4407828603813</t>
  </si>
  <si>
    <t>3_br_apartment</t>
  </si>
  <si>
    <t>Dipanka Behari Roy</t>
  </si>
  <si>
    <t>roydipanka@gmail.com</t>
  </si>
  <si>
    <t>p:+9660551864174</t>
  </si>
  <si>
    <t>Rocky Bhalla</t>
  </si>
  <si>
    <t>hsb_777@hotmail.com</t>
  </si>
  <si>
    <t>p:+14036134712</t>
  </si>
  <si>
    <t>1_br_apartment</t>
  </si>
  <si>
    <t>EMAAR THE VALLEY</t>
  </si>
  <si>
    <t>Clifford Byrne</t>
  </si>
  <si>
    <t>cliffordbyrne18@gmail.com</t>
  </si>
  <si>
    <t xml:space="preserve">not interested </t>
  </si>
  <si>
    <t>WILTON BY ELLINGTON</t>
  </si>
  <si>
    <t>Ibrahim Rashad</t>
  </si>
  <si>
    <t>blueskyone13@yahoo.com</t>
  </si>
  <si>
    <t xml:space="preserve">called several times N/A </t>
  </si>
  <si>
    <t>BEACH ISLE</t>
  </si>
  <si>
    <t>Jamila Fulgencio</t>
  </si>
  <si>
    <t>jamilavalentino620@gmail.com</t>
  </si>
  <si>
    <t>shes looking for 2br investment 1m,shes not answering any more</t>
  </si>
  <si>
    <t>TILAL AL GHAF</t>
  </si>
  <si>
    <t>Tarek Daher</t>
  </si>
  <si>
    <t>tarek.daher@ae.redbull.com</t>
  </si>
  <si>
    <t>+9710562160246</t>
  </si>
  <si>
    <t>he wants to pay 30% during 3yrs and finance 70%,didnt get approve from MAF</t>
  </si>
  <si>
    <t>Feb 4-2020</t>
  </si>
  <si>
    <t>TIlal Al Ghaf</t>
  </si>
  <si>
    <t>سامر الحلبى</t>
  </si>
  <si>
    <t>samerfku@gmail.com</t>
  </si>
  <si>
    <t>+97105650000023</t>
  </si>
  <si>
    <t>voice mail</t>
  </si>
  <si>
    <t>Feb-8-2020</t>
  </si>
  <si>
    <t>VIDA DUBAI MALL</t>
  </si>
  <si>
    <t>Tatweer Zman</t>
  </si>
  <si>
    <t>studyskills_sayadaansari@ymail.com</t>
  </si>
  <si>
    <t>shes not panning to buy,only general info</t>
  </si>
  <si>
    <t>EMAAR BEACHFRONT</t>
  </si>
  <si>
    <t>+971508584477</t>
  </si>
  <si>
    <t>Jan Mohmmad Dijoo</t>
  </si>
  <si>
    <t>janmohmad8875@yahoo.com</t>
  </si>
  <si>
    <t>Tilal Al Ghaf</t>
  </si>
  <si>
    <t xml:space="preserve">Dunya </t>
  </si>
  <si>
    <t>dunya.ghaffari@gmail.com</t>
  </si>
  <si>
    <t>Taz</t>
  </si>
  <si>
    <t>sales.rca@hotmail.com</t>
  </si>
  <si>
    <t>+447881891348</t>
  </si>
  <si>
    <t>Sajid</t>
  </si>
  <si>
    <t>sajidmahmood660@gmail.com</t>
  </si>
  <si>
    <t>+447872122008</t>
  </si>
  <si>
    <t xml:space="preserve"> VidaDownTown-B</t>
  </si>
  <si>
    <t>Khalid A</t>
  </si>
  <si>
    <t xml:space="preserve"> Khalid_arjumand@hotmail.com</t>
  </si>
  <si>
    <t>+971 50-100-1269</t>
  </si>
  <si>
    <t xml:space="preserve"> vishal arya</t>
  </si>
  <si>
    <t xml:space="preserve"> vishalarya@hotmail.com</t>
  </si>
  <si>
    <t xml:space="preserve"> +1 (310) 738-5902</t>
  </si>
  <si>
    <t>CREEK PALACE- EMAAR</t>
  </si>
  <si>
    <t>Md Mustfa</t>
  </si>
  <si>
    <t>mdmustfaansari43@gmail.com</t>
  </si>
  <si>
    <t>Imran Farooq</t>
  </si>
  <si>
    <t>imran@samana-group.com</t>
  </si>
  <si>
    <t>+971502119900</t>
  </si>
  <si>
    <t>Feb 2 -2020</t>
  </si>
  <si>
    <t>The Valley</t>
  </si>
  <si>
    <t>Varun Divecha</t>
  </si>
  <si>
    <t>varundivecha@gmail.com</t>
  </si>
  <si>
    <t>switched off</t>
  </si>
  <si>
    <t>Rahaf</t>
  </si>
  <si>
    <t>rahaf-ahmad2@live.com</t>
  </si>
  <si>
    <t>secondary maple,ali has a unit,she will view on saturday</t>
  </si>
  <si>
    <t>Eltayeb Abdel Magid</t>
  </si>
  <si>
    <t>eltayb7bashir@gmail.com</t>
  </si>
  <si>
    <t>MJL</t>
  </si>
  <si>
    <t>Adrian D'souza</t>
  </si>
  <si>
    <t>adrdsouza@gmail.com</t>
  </si>
  <si>
    <t>Uday Singh</t>
  </si>
  <si>
    <t>usingh58@yahoo.com</t>
  </si>
  <si>
    <t>he said im buying another project and i cant tell what im buying!</t>
  </si>
  <si>
    <t>constance Moraes</t>
  </si>
  <si>
    <t>Constance.moraes@hotmail.com</t>
  </si>
  <si>
    <t>+971566826390</t>
  </si>
  <si>
    <t>busy</t>
  </si>
  <si>
    <t>Donald Popp</t>
  </si>
  <si>
    <t>Donniepopp1@gmail.com</t>
  </si>
  <si>
    <t>+96599010139</t>
  </si>
  <si>
    <t>no answer</t>
  </si>
  <si>
    <t xml:space="preserve"> SIGNATURE LIVING JVC</t>
  </si>
  <si>
    <t>S MENON</t>
  </si>
  <si>
    <t>smmenon9@gmail.com</t>
  </si>
  <si>
    <t>0568279539</t>
  </si>
  <si>
    <t xml:space="preserve">Nasamba Brecky
</t>
  </si>
  <si>
    <t xml:space="preserve">nassambabrecky@gmail.com
</t>
  </si>
  <si>
    <t>Elan-maf-B</t>
  </si>
  <si>
    <t>Shahid Soomro</t>
  </si>
  <si>
    <t>alsoomro1508@gmail.com</t>
  </si>
  <si>
    <t>+971555227474</t>
  </si>
  <si>
    <t>hes in touch with waqas</t>
  </si>
  <si>
    <t>not answering</t>
  </si>
  <si>
    <t>Asif Maqbool Hussain</t>
  </si>
  <si>
    <t>asif.160@hotmail.com</t>
  </si>
  <si>
    <t>+971505096112</t>
  </si>
  <si>
    <t>3_br_townhouse</t>
  </si>
  <si>
    <t>VidaDownTown-B</t>
  </si>
  <si>
    <t>k.t.joseph</t>
  </si>
  <si>
    <t xml:space="preserve"> sinorita@eim.ae</t>
  </si>
  <si>
    <t>+971 50-455-6151</t>
  </si>
  <si>
    <t>asked for 2br ready 1m monthly 10k,offered urbana</t>
  </si>
  <si>
    <t>hindi speaker,sounds like a driver or labour</t>
  </si>
  <si>
    <t>CREEK PALACE</t>
  </si>
  <si>
    <t>Ayad AL Raihany</t>
  </si>
  <si>
    <t>basrahstar1954@yahoo.com</t>
  </si>
  <si>
    <t>Najeb Najeb</t>
  </si>
  <si>
    <t>nn12345nn00000@gmail.com</t>
  </si>
  <si>
    <t>sharing with Nabeel</t>
  </si>
  <si>
    <t>CREEK PALACE - EMAAR</t>
  </si>
  <si>
    <t>Farah Ali Awad</t>
  </si>
  <si>
    <t>farahaliawed@gmail.com</t>
  </si>
  <si>
    <t>Mohammad Abul Hossaim</t>
  </si>
  <si>
    <t>abulhossainmohammed55@gmail.com</t>
  </si>
  <si>
    <t>sounds like labour</t>
  </si>
  <si>
    <t>مأمون الحاج</t>
  </si>
  <si>
    <t>mamonalhaj1977@gmail.com</t>
  </si>
  <si>
    <t>Lucky Jayathilaka</t>
  </si>
  <si>
    <t>luckyjayathilaka@yahoo.com</t>
  </si>
  <si>
    <t>he was making joke and fun when ive called</t>
  </si>
  <si>
    <t>PORT DE LA MER</t>
  </si>
  <si>
    <t>Piotr Siatkowski</t>
  </si>
  <si>
    <t>Jpstvsl@gmail.com</t>
  </si>
  <si>
    <t>+4407862729040</t>
  </si>
  <si>
    <t>mail box,msg-ed him but no reply</t>
  </si>
  <si>
    <t>March 11-2020</t>
  </si>
  <si>
    <t>ASEEL</t>
  </si>
  <si>
    <t>Karish</t>
  </si>
  <si>
    <t>expobusiness2020@gmail.com</t>
  </si>
  <si>
    <t>GOLF  LINKS</t>
  </si>
  <si>
    <t>Madhu Awatramani</t>
  </si>
  <si>
    <t>dr_madhu2001@hotmail.com</t>
  </si>
  <si>
    <t>0508584127</t>
  </si>
  <si>
    <t>2-2.5 m ready to move 4br,she dropped the idea for now ,in touch with her</t>
  </si>
  <si>
    <t>Urbana</t>
  </si>
  <si>
    <t>የቡታጀራዋ ነኝ ጣሊበል ኢልም</t>
  </si>
  <si>
    <t>shamsuhayat@gmail.com</t>
  </si>
  <si>
    <t>Fuentes Famela</t>
  </si>
  <si>
    <t>wilmabolalo@gmail.com</t>
  </si>
  <si>
    <t>ive called and msg-ed but no reply</t>
  </si>
  <si>
    <t>AYKON HEIGHTS</t>
  </si>
  <si>
    <t>KG</t>
  </si>
  <si>
    <t>kallol_ghose@hotmail.com</t>
  </si>
  <si>
    <t>0556015116</t>
  </si>
  <si>
    <t xml:space="preserve">he said i need 1br with Emaar ,ive gave him some info about the projects ,he said i need to hangup,since then im calling hes not answering  </t>
  </si>
  <si>
    <t>Collective , its expensive for him, 750k 1br with payment plan</t>
  </si>
  <si>
    <t xml:space="preserve">the unit he was looking for is sold,he says its a must for me to see the location before i buy,im in touch with him </t>
  </si>
  <si>
    <t>im gonna take him for viewing on sat</t>
  </si>
  <si>
    <t>Aykon Heights</t>
  </si>
  <si>
    <t>Ibrahim Mdibrahim</t>
  </si>
  <si>
    <t>md.ibrahim@yahoo.com</t>
  </si>
  <si>
    <t>GOLF VITA</t>
  </si>
  <si>
    <t>Abdul Razick Ameer Asraj</t>
  </si>
  <si>
    <t>abdulrazickameerasraj@gmail.com</t>
  </si>
  <si>
    <t>unreachable number</t>
  </si>
  <si>
    <t xml:space="preserve">Ariane MINAIYAN </t>
  </si>
  <si>
    <t>ariane_minaiyan@yahoo.fr</t>
  </si>
  <si>
    <t>Repeated lead</t>
  </si>
  <si>
    <t>Khalid Saleh</t>
  </si>
  <si>
    <t>khalidabuamra@hotmail.com</t>
  </si>
  <si>
    <t>Std details email-ed 
Pleaseee dont shuffle this lead im in touch with him</t>
  </si>
  <si>
    <t>he says illbuy after corona,ive got a good offer from Damac waiting for hes reply</t>
  </si>
  <si>
    <t xml:space="preserve">he said ill not buy Damac ,find me something below 1m std or 1br </t>
  </si>
  <si>
    <t>sent him Ghalia</t>
  </si>
  <si>
    <t>She said ive required long time ago and im not planning to buy anymore !</t>
  </si>
  <si>
    <t>AKOYA 1M</t>
  </si>
  <si>
    <t>Moyal Khan</t>
  </si>
  <si>
    <t>aminkhanmoyal@yahoo.com</t>
  </si>
  <si>
    <t>ive called several times NA,whatsapp-ed him,he said ill let you know what time to call back,again ive called he didnt answer</t>
  </si>
  <si>
    <t>ive msg-ed and called again no answer</t>
  </si>
  <si>
    <t>No answer</t>
  </si>
  <si>
    <t>Kiara</t>
  </si>
  <si>
    <t xml:space="preserve">Emad </t>
  </si>
  <si>
    <t>oraini77@gmail.com</t>
  </si>
  <si>
    <t>Called didnt answer, sent whatsapp no reply</t>
  </si>
  <si>
    <t>no reply</t>
  </si>
  <si>
    <t>AKOYA 1M VILLA</t>
  </si>
  <si>
    <t>Dudley Hitchman</t>
  </si>
  <si>
    <t>dhitchman27@hotmail.com</t>
  </si>
  <si>
    <t>Sent whatsapp waiting for reply</t>
  </si>
  <si>
    <t>Called again , it was on voice mail, left him a msg</t>
  </si>
  <si>
    <t>April 12-2020</t>
  </si>
  <si>
    <t xml:space="preserve">BAHADUR </t>
  </si>
  <si>
    <t>bkhan_777@hotmail.com</t>
  </si>
  <si>
    <t xml:space="preserve">4br details of tilal sent , </t>
  </si>
  <si>
    <t>called him to follow up he said im busy now</t>
  </si>
  <si>
    <t>he said im not buying till lockdown finish,tried to explain but he just said NO!</t>
  </si>
  <si>
    <t>im in touch with him</t>
  </si>
  <si>
    <t>URBANA</t>
  </si>
  <si>
    <t>Zahid</t>
  </si>
  <si>
    <t>czee@hotmail.co.uk</t>
  </si>
  <si>
    <t>No answer, sent whatsapp waiting for reply</t>
  </si>
  <si>
    <t>April 13-2020</t>
  </si>
  <si>
    <t xml:space="preserve">Kader Hadri </t>
  </si>
  <si>
    <t>kader@floweventsme.com</t>
  </si>
  <si>
    <t xml:space="preserve">Call back on Wed 11am </t>
  </si>
  <si>
    <t>called twice no answer</t>
  </si>
  <si>
    <t xml:space="preserve">He said i need sometimes to think about it , ill be in touch </t>
  </si>
  <si>
    <t>April 14- 2020</t>
  </si>
  <si>
    <t xml:space="preserve">Jingtang chu </t>
  </si>
  <si>
    <t>29066345@qq.com</t>
  </si>
  <si>
    <t>im sharing this lead with Tong,i spoke to his wife then passed the number to Tong</t>
  </si>
  <si>
    <t>Akoya 1M</t>
  </si>
  <si>
    <t>Ayush Shrivastava</t>
  </si>
  <si>
    <t>ayushstva@aol.com</t>
  </si>
  <si>
    <t>Hes looking for1.3-1.5m villa Must be vastu direction and number, he want Nshama , got him two options in secondary but hes nor replying back</t>
  </si>
  <si>
    <t>ive got the unit in nshama and he booked it with an indian agent with kick back</t>
  </si>
  <si>
    <t>Expo 2020</t>
  </si>
  <si>
    <t>Ezenwa Emery Izuchukwu Chigozie</t>
  </si>
  <si>
    <t>iceemery@gmail.com</t>
  </si>
  <si>
    <t xml:space="preserve">Details of 2&amp;3 br south sent </t>
  </si>
  <si>
    <t xml:space="preserve">updated him with new Emaar's new offer </t>
  </si>
  <si>
    <t>Akoya 1 Million Villas</t>
  </si>
  <si>
    <t>Kamel Baalbaki</t>
  </si>
  <si>
    <t>arch_kb@hotmail.com</t>
  </si>
  <si>
    <t>Hes not responding to the calls and msg</t>
  </si>
  <si>
    <t xml:space="preserve">Sven Bloomberg </t>
  </si>
  <si>
    <t>aragones_sergio@yahoo.com</t>
  </si>
  <si>
    <t>unreachble number</t>
  </si>
  <si>
    <t xml:space="preserve">Ahmed </t>
  </si>
  <si>
    <t>an_gani@hotmail.com</t>
  </si>
  <si>
    <t>no answer,ill call again</t>
  </si>
  <si>
    <t xml:space="preserve">Bheban Kewalram </t>
  </si>
  <si>
    <t>bkewalram@idc.com</t>
  </si>
  <si>
    <t>she said dont call me ! myself gonna call you back</t>
  </si>
  <si>
    <t>called again no answer</t>
  </si>
  <si>
    <t xml:space="preserve">Ross Pairman </t>
  </si>
  <si>
    <t>pattyross@btinternet.com</t>
  </si>
  <si>
    <t>this is an old inquiry hes not intrested anymore</t>
  </si>
  <si>
    <t xml:space="preserve">Usman Ahmed </t>
  </si>
  <si>
    <t>vat@richreit.com</t>
  </si>
  <si>
    <t>he said im not looking to buy any property</t>
  </si>
  <si>
    <t>Vatsala Mathai</t>
  </si>
  <si>
    <t xml:space="preserve">v.mathew@eliteenglishschool.com
</t>
  </si>
  <si>
    <t>this is school's number,receptionist picked up</t>
  </si>
  <si>
    <t xml:space="preserve">Ilka Hansen </t>
  </si>
  <si>
    <t>hansen.ilka@gmail.com</t>
  </si>
  <si>
    <t>sent her 3br tilal</t>
  </si>
  <si>
    <t>i whatsapp her to folow up,no reply</t>
  </si>
  <si>
    <t>Lead Source</t>
  </si>
  <si>
    <t>Agency Name</t>
  </si>
  <si>
    <t>Created Date</t>
  </si>
  <si>
    <t>First Name</t>
  </si>
  <si>
    <t>Last Name</t>
  </si>
  <si>
    <t>Mobile Country Code</t>
  </si>
  <si>
    <t>Mobile Number</t>
  </si>
  <si>
    <t>Phone Number</t>
  </si>
  <si>
    <t>Email</t>
  </si>
  <si>
    <t>Nationality</t>
  </si>
  <si>
    <t>Resident Of UAE</t>
  </si>
  <si>
    <t>Country Of Residence</t>
  </si>
  <si>
    <t>Urgent</t>
  </si>
  <si>
    <t>Meeting On Stand</t>
  </si>
  <si>
    <t>Property Advisor</t>
  </si>
  <si>
    <t>Agent Name</t>
  </si>
  <si>
    <t>Customer Comments</t>
  </si>
  <si>
    <t>feedback</t>
  </si>
  <si>
    <t>TDM Waterfall</t>
  </si>
  <si>
    <t>H&amp;S REAL ESTATE</t>
  </si>
  <si>
    <t>Juraj</t>
  </si>
  <si>
    <t>Chrenka</t>
  </si>
  <si>
    <t>Slovakia: 00421</t>
  </si>
  <si>
    <t>42190556-6009</t>
  </si>
  <si>
    <t>juraj@omegatours.sk</t>
  </si>
  <si>
    <t>Slovakia</t>
  </si>
  <si>
    <t>Maryam pourgholam</t>
  </si>
  <si>
    <t>Walid</t>
  </si>
  <si>
    <t>Saudi Arabia: 00966</t>
  </si>
  <si>
    <t>96650475-2341</t>
  </si>
  <si>
    <t>no@email.com</t>
  </si>
  <si>
    <t>Saudi Arabia</t>
  </si>
  <si>
    <t>Maryam pourgholam @h&amp;s</t>
  </si>
  <si>
    <t xml:space="preserve">I took him to creek for viewing for 2br, he called me today and said he's shortened in DP ,will get back to me in June </t>
  </si>
  <si>
    <t>Saeed</t>
  </si>
  <si>
    <t>Aboessa</t>
  </si>
  <si>
    <t>United Arab Emirates: 00971</t>
  </si>
  <si>
    <t>97150722-8565</t>
  </si>
  <si>
    <t>saeedmahmoudaboessa@gmail.com</t>
  </si>
  <si>
    <t>Egypt</t>
  </si>
  <si>
    <t>United Arab Emirates</t>
  </si>
  <si>
    <t>Anil Bharani</t>
  </si>
  <si>
    <t xml:space="preserve">They are 3frnds wanna buy in beachfront,ive sent him the details already </t>
  </si>
  <si>
    <t xml:space="preserve">they're not interested </t>
  </si>
  <si>
    <t>Ali</t>
  </si>
  <si>
    <t>Mohammed</t>
  </si>
  <si>
    <t>96654565-5777</t>
  </si>
  <si>
    <t>moot6606@gmail.com</t>
  </si>
  <si>
    <t>Numan</t>
  </si>
  <si>
    <t>Shah</t>
  </si>
  <si>
    <t>97152288-0662</t>
  </si>
  <si>
    <t>numanshah00777@gmail.com</t>
  </si>
  <si>
    <t>Pakistan</t>
  </si>
  <si>
    <t xml:space="preserve">1.5m 2br is his inquiry , offered him Dubai hills and details sent  </t>
  </si>
  <si>
    <t>Kirill</t>
  </si>
  <si>
    <t>Chelmakin</t>
  </si>
  <si>
    <t>Russia: 007</t>
  </si>
  <si>
    <t>7912798-7722</t>
  </si>
  <si>
    <t>chelk@ya.ru</t>
  </si>
  <si>
    <t>Russian Federation</t>
  </si>
  <si>
    <t>1 bedroom beach front Maryam pourgholam</t>
  </si>
  <si>
    <t>Russian speaker , sent him the details of 1br in beach front</t>
  </si>
  <si>
    <t>tatiana spoke to him hes back to Russia,he said ive got the details if i be interested ill let you know</t>
  </si>
  <si>
    <t>Sid</t>
  </si>
  <si>
    <t>United States: 001</t>
  </si>
  <si>
    <t>1703855-8882</t>
  </si>
  <si>
    <t>United States</t>
  </si>
  <si>
    <t>Maryam pourgholam H&amp;S</t>
  </si>
  <si>
    <t>He was only 2hours in dubai, he got general info about all projects, ive sent him 1br beach front details</t>
  </si>
  <si>
    <t xml:space="preserve">not interested to buy currently </t>
  </si>
  <si>
    <t>Michael</t>
  </si>
  <si>
    <t>Romania: 0040</t>
  </si>
  <si>
    <t>40769911-1110</t>
  </si>
  <si>
    <t>Romania</t>
  </si>
  <si>
    <t>He asked for DT projects, he said ill go to eat and will come back again but he didnt, hes number is unreachable and not available on whatsapp</t>
  </si>
  <si>
    <t>Mufaddal</t>
  </si>
  <si>
    <t>97150451-1814</t>
  </si>
  <si>
    <t>India</t>
  </si>
  <si>
    <t>United Kingdom</t>
  </si>
  <si>
    <t>Mirza Asad Ali Baig</t>
  </si>
  <si>
    <t>2br sea view beach front details sent, he supposed to let me know in evening which unit hes going to get but hes not replying my msg-es</t>
  </si>
  <si>
    <t>et ,he wants palm view only</t>
  </si>
  <si>
    <t>he booked direct with Emaar</t>
  </si>
  <si>
    <t>Khamis</t>
  </si>
  <si>
    <t>97155515-1555</t>
  </si>
  <si>
    <t>2br beach front details sent, hes from fujeira ill call him tomorrow to follow up</t>
  </si>
  <si>
    <t>hes not responding</t>
  </si>
  <si>
    <t>ive called and txt to follow up  hes not answering,will call again</t>
  </si>
  <si>
    <t>Bangladesh: 00880</t>
  </si>
  <si>
    <t>880193335-5333</t>
  </si>
  <si>
    <t>Bangladesh</t>
  </si>
  <si>
    <t>1br burj crow details sent, ive txt him today to meet him he didnt reply</t>
  </si>
  <si>
    <t>ive txt-ed and called so many times to meet him and sent sales offer,not responding</t>
  </si>
  <si>
    <t xml:space="preserve"> he bookes with Emaar 2units 2br</t>
  </si>
  <si>
    <t>Viktoriya</t>
  </si>
  <si>
    <t>H</t>
  </si>
  <si>
    <t>7981910-0005</t>
  </si>
  <si>
    <t>dshebnem@mail.ru</t>
  </si>
  <si>
    <t>2 bedroom creek tower Maryam pourgholam</t>
  </si>
  <si>
    <t xml:space="preserve">Russian speaker , asked to call him tomorrow if hes free will come for meeting </t>
  </si>
  <si>
    <t>ive asked tatiana to contact him,hes not responding</t>
  </si>
  <si>
    <t>Ingrid</t>
  </si>
  <si>
    <t>Prinner</t>
  </si>
  <si>
    <t>Germany: 0049</t>
  </si>
  <si>
    <t>491609664-6134</t>
  </si>
  <si>
    <t>Germany</t>
  </si>
  <si>
    <t>Mariam pourgholam h&amp;s</t>
  </si>
  <si>
    <t>2br  creek details sent,they will come back to dubai in 10 days</t>
  </si>
  <si>
    <t>in touch</t>
  </si>
  <si>
    <t>Gonna</t>
  </si>
  <si>
    <t>49171226-1020</t>
  </si>
  <si>
    <t>Maryam pourgholam 3 bedrooms in beachfront</t>
  </si>
  <si>
    <t>Ive sent him the details and followed up but hes not replying back</t>
  </si>
  <si>
    <t>Ademola</t>
  </si>
  <si>
    <t>Nigeria: 00234</t>
  </si>
  <si>
    <t>234803330-3161</t>
  </si>
  <si>
    <t>Nigeria</t>
  </si>
  <si>
    <t>He supposed to come for meeting but not replying back</t>
  </si>
  <si>
    <t>he txt-ed and said next time we'll meet !</t>
  </si>
  <si>
    <t>Salem</t>
  </si>
  <si>
    <t>96658223-3044</t>
  </si>
  <si>
    <t>Ive sent him the project's details and asked to meet but hes not replying back</t>
  </si>
  <si>
    <t>called and txt-ed him several times but no respond</t>
  </si>
  <si>
    <t>Naveen</t>
  </si>
  <si>
    <t>Poland: 0048</t>
  </si>
  <si>
    <t>4853745-1111</t>
  </si>
  <si>
    <t>Poland</t>
  </si>
  <si>
    <t>Maryam @h&amp;s</t>
  </si>
  <si>
    <t>Rama</t>
  </si>
  <si>
    <t>97150343-9725</t>
  </si>
  <si>
    <t xml:space="preserve">Ive called her fo rmeeting she said if i be interested ill call you </t>
  </si>
  <si>
    <t>repeated lead</t>
  </si>
  <si>
    <t>Mahad</t>
  </si>
  <si>
    <t>Yusef</t>
  </si>
  <si>
    <t>971565776-6917</t>
  </si>
  <si>
    <t>South Africa</t>
  </si>
  <si>
    <t>Mariam-</t>
  </si>
  <si>
    <t>14-01-2020</t>
  </si>
  <si>
    <t>Omo</t>
  </si>
  <si>
    <t>234802542-0398</t>
  </si>
  <si>
    <t>Maryam pourgholam/ H&amp;S</t>
  </si>
  <si>
    <t>Not planning to buy</t>
  </si>
  <si>
    <t>ive whatsapp-ed him waiting for reply</t>
  </si>
  <si>
    <t>Musa</t>
  </si>
  <si>
    <t>Elabiedi</t>
  </si>
  <si>
    <t>97154512-4141</t>
  </si>
  <si>
    <t>49160164-1414</t>
  </si>
  <si>
    <t>Libya</t>
  </si>
  <si>
    <t>Tetiana Ivanchenko</t>
  </si>
  <si>
    <t>Meryam pourgholam/ H&amp;S</t>
  </si>
  <si>
    <t xml:space="preserve">ive took him to hills for viewing 3br in mullbery ,will come with his wife to see and make decision </t>
  </si>
  <si>
    <t>hes in Germany will be back in a week</t>
  </si>
  <si>
    <t>16-01-2020</t>
  </si>
  <si>
    <t>Ronald</t>
  </si>
  <si>
    <t>Kayabula</t>
  </si>
  <si>
    <t>97156115-8561</t>
  </si>
  <si>
    <t>kayabularonald@gmail.com</t>
  </si>
  <si>
    <t>Uganda</t>
  </si>
  <si>
    <t>Maryam pourgholam @h&amp;s Father is the investor - Emmanuel Kagera</t>
  </si>
  <si>
    <t xml:space="preserve">His son said my Dad is out of fubai he will be back and finalize </t>
  </si>
  <si>
    <t>asked him when his Dad is coming to Dubai,in April</t>
  </si>
  <si>
    <t>Haris</t>
  </si>
  <si>
    <t>Arif</t>
  </si>
  <si>
    <t>97150168-4837</t>
  </si>
  <si>
    <t>haris_arif14@yahoo.com</t>
  </si>
  <si>
    <t>Mariyam</t>
  </si>
  <si>
    <t>Im following up and everyday he has an excuse to not come today he said im sick</t>
  </si>
  <si>
    <t>He came for meeting,4br valley ,will discuss it with his brother and update me</t>
  </si>
  <si>
    <t>he msg-ed me and asked for money!!!!</t>
  </si>
  <si>
    <t>18-01-2020</t>
  </si>
  <si>
    <t>Safwat</t>
  </si>
  <si>
    <t>Gerges</t>
  </si>
  <si>
    <t>1516721-3103</t>
  </si>
  <si>
    <t>sgerges@optonline.net</t>
  </si>
  <si>
    <t>hes not replying my msg-s</t>
  </si>
  <si>
    <t>Ranj</t>
  </si>
  <si>
    <t>Maya</t>
  </si>
  <si>
    <t>97152132-5315</t>
  </si>
  <si>
    <t>Iraq</t>
  </si>
  <si>
    <t>Muhammad Hasan Ehsan</t>
  </si>
  <si>
    <t>Mariyam &amp; Riam</t>
  </si>
  <si>
    <t>several times contacted them but no reply</t>
  </si>
  <si>
    <t>Aishwarya</t>
  </si>
  <si>
    <t>Arumugan</t>
  </si>
  <si>
    <t>India: 0091</t>
  </si>
  <si>
    <t>91944794-4828</t>
  </si>
  <si>
    <t>Abbas</t>
  </si>
  <si>
    <t>Nanal</t>
  </si>
  <si>
    <t>91701216-4959</t>
  </si>
  <si>
    <t>Leon</t>
  </si>
  <si>
    <t>Williams</t>
  </si>
  <si>
    <t>United Kingdom: 0044</t>
  </si>
  <si>
    <t>44757881-1610</t>
  </si>
  <si>
    <t>sent him beach front info,in touch with them,they back to uk</t>
  </si>
  <si>
    <t>20-01-2020</t>
  </si>
  <si>
    <t>Tosin</t>
  </si>
  <si>
    <t>Arowoselu</t>
  </si>
  <si>
    <t>234708177-0958</t>
  </si>
  <si>
    <t>Meryam / H&amp;S</t>
  </si>
  <si>
    <t>took them to creek for viewing ,they vanished after that</t>
  </si>
  <si>
    <t>22-01-2020</t>
  </si>
  <si>
    <t>Lee</t>
  </si>
  <si>
    <t>Kin sang</t>
  </si>
  <si>
    <t>Hong Kong: 00852</t>
  </si>
  <si>
    <t>8521380283-2087</t>
  </si>
  <si>
    <t>China</t>
  </si>
  <si>
    <t>passed his number to Tong shes in touch with him</t>
  </si>
  <si>
    <t>Chris</t>
  </si>
  <si>
    <t>Daengeli</t>
  </si>
  <si>
    <t>Switzerland: 0041</t>
  </si>
  <si>
    <t>4178622-0929</t>
  </si>
  <si>
    <t>c.daengeli@gmail.com</t>
  </si>
  <si>
    <t>Switzerland</t>
  </si>
  <si>
    <t>Maryam pourgholam H&amp;S Beachfront 2 beds need to sent him sales offer</t>
  </si>
  <si>
    <t>Otis</t>
  </si>
  <si>
    <t>Howard</t>
  </si>
  <si>
    <t>1808217-2772</t>
  </si>
  <si>
    <t>oteehoward@yahoo.com</t>
  </si>
  <si>
    <t>Basman</t>
  </si>
  <si>
    <t>Alfarhan</t>
  </si>
  <si>
    <t>Oman: 00968</t>
  </si>
  <si>
    <t>9689969-0642</t>
  </si>
  <si>
    <t>basmansaleh@gmail.com</t>
  </si>
  <si>
    <t>Oman</t>
  </si>
  <si>
    <t>Maryam</t>
  </si>
  <si>
    <t>sent him 2br in creek</t>
  </si>
  <si>
    <t>Adel</t>
  </si>
  <si>
    <t>97150745-0358</t>
  </si>
  <si>
    <t>he said im not interested jut general info</t>
  </si>
  <si>
    <t>26-01-2020</t>
  </si>
  <si>
    <t>Mohamed</t>
  </si>
  <si>
    <t>Ashraf</t>
  </si>
  <si>
    <t>Egypt: 0020</t>
  </si>
  <si>
    <t>20100771-8741</t>
  </si>
  <si>
    <t>Motaz M.S Aburamadan Aliaa</t>
  </si>
  <si>
    <t>following up,sent him hills project</t>
  </si>
  <si>
    <t>Abdullah</t>
  </si>
  <si>
    <t>Alghanim</t>
  </si>
  <si>
    <t>Kuwait: 00965</t>
  </si>
  <si>
    <t>9655578-1410</t>
  </si>
  <si>
    <t>abdullalghanim@gmail.com</t>
  </si>
  <si>
    <t>Kuwait</t>
  </si>
  <si>
    <t>Emaar sales on break 1 bedroom creek tower 1 bedroom beach front info Maryam pourgholam</t>
  </si>
  <si>
    <t>Yannis</t>
  </si>
  <si>
    <t>Kantonias</t>
  </si>
  <si>
    <t>Greece: 0030</t>
  </si>
  <si>
    <t>30694880-0804</t>
  </si>
  <si>
    <t>ykantonias@gmail.com</t>
  </si>
  <si>
    <t>Greece</t>
  </si>
  <si>
    <t>Maryam Emaar sales on break</t>
  </si>
  <si>
    <t>Ahmed</t>
  </si>
  <si>
    <t>Galal</t>
  </si>
  <si>
    <t>200111445-0592</t>
  </si>
  <si>
    <t>ahmedglal193@gmail.com</t>
  </si>
  <si>
    <t>1 bedroom creek tower Maryam Emaar sales on break</t>
  </si>
  <si>
    <t>Raj</t>
  </si>
  <si>
    <t>Kejriwal</t>
  </si>
  <si>
    <t>1937657-6726</t>
  </si>
  <si>
    <t>rkejriwal46@gmail.com</t>
  </si>
  <si>
    <t>Christian</t>
  </si>
  <si>
    <t>Laubenthal</t>
  </si>
  <si>
    <t>49171672-8707</t>
  </si>
  <si>
    <t>laubenthal-immo@t-online.de</t>
  </si>
  <si>
    <t xml:space="preserve">sent him 2br creek horizion </t>
  </si>
  <si>
    <t>28-01-2020</t>
  </si>
  <si>
    <t>Franco</t>
  </si>
  <si>
    <t>Negri</t>
  </si>
  <si>
    <t>Italy: 0039</t>
  </si>
  <si>
    <t>39052251-6230</t>
  </si>
  <si>
    <t>franco.negri@bsmedical.it</t>
  </si>
  <si>
    <t>Italy</t>
  </si>
  <si>
    <t>Mariam h&amp;s client was attended only by agent</t>
  </si>
  <si>
    <t>emailed him 2br creek</t>
  </si>
  <si>
    <t>Blesssed</t>
  </si>
  <si>
    <t>Ncube</t>
  </si>
  <si>
    <t>South Africa: 0027</t>
  </si>
  <si>
    <t>2760822-8139</t>
  </si>
  <si>
    <t>blessed@zarfricaprojects.com</t>
  </si>
  <si>
    <t>Li Chen Chen</t>
  </si>
  <si>
    <t>Maryam H&amp;S</t>
  </si>
  <si>
    <t>Had a meeting at emaar office with hom, will be back next week</t>
  </si>
  <si>
    <t>following up with him</t>
  </si>
  <si>
    <t>hes coming to dubai on 15th feb</t>
  </si>
  <si>
    <t>following up</t>
  </si>
  <si>
    <t>hes booking in downtown</t>
  </si>
  <si>
    <t>he got corona so deal got postponed ,but hes buying in a week</t>
  </si>
  <si>
    <t>im in touch with him28 April</t>
  </si>
  <si>
    <t>Apostolos</t>
  </si>
  <si>
    <t>Mariyam No sales emaar on Stand</t>
  </si>
  <si>
    <t>ill meet him on Saturday,2-3br creek</t>
  </si>
  <si>
    <t xml:space="preserve">he didnt show up,not answeing </t>
  </si>
  <si>
    <t>he said hes away will be back next monday</t>
  </si>
  <si>
    <t>will be back next monday 24 feb</t>
  </si>
  <si>
    <t>metting on saturday at creek</t>
  </si>
  <si>
    <t xml:space="preserve">He wanna buy in Greek </t>
  </si>
  <si>
    <t>Tomy</t>
  </si>
  <si>
    <t>Slovenia: 00386</t>
  </si>
  <si>
    <t>Slovenia</t>
  </si>
  <si>
    <t>will be back to dubai,ive sent him 3br beachfront</t>
  </si>
  <si>
    <t>Cuneyd</t>
  </si>
  <si>
    <t>Kaya</t>
  </si>
  <si>
    <t>Turkey: 0090</t>
  </si>
  <si>
    <t>ckaya69@gmail.com</t>
  </si>
  <si>
    <t>Turkey</t>
  </si>
  <si>
    <t>Henry</t>
  </si>
  <si>
    <t>China: 0086</t>
  </si>
  <si>
    <t>Mariyam No Sales emaar on Stand</t>
  </si>
  <si>
    <t>ive asked him if hes interested, didnt reply</t>
  </si>
  <si>
    <t>Kamol</t>
  </si>
  <si>
    <t>Uzbekistan: 00998</t>
  </si>
  <si>
    <t>Uzbekistan</t>
  </si>
  <si>
    <t>Hes first time in dubai just getting general info</t>
  </si>
  <si>
    <t>Rehman</t>
  </si>
  <si>
    <t>97150589-8445</t>
  </si>
  <si>
    <t xml:space="preserve">Hes not interested to buy </t>
  </si>
  <si>
    <t>Pasad</t>
  </si>
  <si>
    <t>Prasad</t>
  </si>
  <si>
    <t>971050180-4958</t>
  </si>
  <si>
    <t>Maryam pourgholam h&amp;s</t>
  </si>
  <si>
    <t xml:space="preserve">1.5m creek, meeting him today </t>
  </si>
  <si>
    <t>Hes not gonna buy till March, will be out of country</t>
  </si>
  <si>
    <t>Koushik</t>
  </si>
  <si>
    <t>1770310-3105</t>
  </si>
  <si>
    <t>Tayyab Tahir</t>
  </si>
  <si>
    <t>Maryam pourgholam H&amp;S Tina Elahi H&amp;S</t>
  </si>
  <si>
    <t>Meeting on saturday 11am creek</t>
  </si>
  <si>
    <t>him and his frnd concidering penthouse in the address creek</t>
  </si>
  <si>
    <t xml:space="preserve">He said will come back in 2months and they wanna check out beachfront,ive sent him 3units in Elie saab as they looking for penthouse </t>
  </si>
  <si>
    <t>Muhammad</t>
  </si>
  <si>
    <t>Kafeel</t>
  </si>
  <si>
    <t>Pakistan: 0092</t>
  </si>
  <si>
    <t>920346434-7564</t>
  </si>
  <si>
    <t>muhammadwaqas.kafeel@hotmail.com</t>
  </si>
  <si>
    <t xml:space="preserve">he wanted to invest 2m,ive sent him details,he said ill come to Dubai NEXT YEAR! </t>
  </si>
  <si>
    <t>Kartik</t>
  </si>
  <si>
    <t>Saini</t>
  </si>
  <si>
    <t>91700633-3646</t>
  </si>
  <si>
    <t>Maryam pourgholam H&amp;S Want to sent him details for ine bed beachfront</t>
  </si>
  <si>
    <t>Jazz</t>
  </si>
  <si>
    <t>44795844-3911</t>
  </si>
  <si>
    <t>2br burj crown,asked him yesterday to meet and he said no,ill follow up to get a meeting with him</t>
  </si>
  <si>
    <t>his not replying</t>
  </si>
  <si>
    <t>Sultan</t>
  </si>
  <si>
    <t>Djandakiev</t>
  </si>
  <si>
    <t>Kazakhstan: 007</t>
  </si>
  <si>
    <t>78747715-9313</t>
  </si>
  <si>
    <t>Kazakhstan</t>
  </si>
  <si>
    <t>Fawziyah</t>
  </si>
  <si>
    <t>A</t>
  </si>
  <si>
    <t>97156699-9153</t>
  </si>
  <si>
    <t>Maryam pourgholam @ H&amp;S No es on stand</t>
  </si>
  <si>
    <t>ive asked her to meet at the office but she said no,was looking for something close to sharjah</t>
  </si>
  <si>
    <t>ive shared the number with Nabeel to contact her</t>
  </si>
  <si>
    <t>Atyq</t>
  </si>
  <si>
    <t>Yassyn</t>
  </si>
  <si>
    <t>(3939328) 626-0900</t>
  </si>
  <si>
    <t>(21265) 548-3362</t>
  </si>
  <si>
    <t>abde85@icloud.com</t>
  </si>
  <si>
    <t>Morocco</t>
  </si>
  <si>
    <t>Maryam pourgholam 4 br beachfront or downtown</t>
  </si>
  <si>
    <t>he said that hes in Turkey now will be back to Dubai soon</t>
  </si>
  <si>
    <t>Khaled</t>
  </si>
  <si>
    <t>Kh</t>
  </si>
  <si>
    <t>(96659) 090-9000</t>
  </si>
  <si>
    <t xml:space="preserve">He asked to meet, ive sent him driver then he called and said ive changed my mind ill not come </t>
  </si>
  <si>
    <t>Jacob</t>
  </si>
  <si>
    <t>K</t>
  </si>
  <si>
    <t>(97152) 262-2593</t>
  </si>
  <si>
    <t>Niger</t>
  </si>
  <si>
    <t>Asked for creek 1br , im in touch with him to get a meeting</t>
  </si>
  <si>
    <t>Marta</t>
  </si>
  <si>
    <t>Mergner</t>
  </si>
  <si>
    <t>Denmark: 0045</t>
  </si>
  <si>
    <t>(455) 031-0040</t>
  </si>
  <si>
    <t>martamergner@yahoo.co.uk</t>
  </si>
  <si>
    <t>Denmark</t>
  </si>
  <si>
    <t>Mariam h&amp;s</t>
  </si>
  <si>
    <t>Her phone is not working, ive sent her an email</t>
  </si>
  <si>
    <t>13-02-2020</t>
  </si>
  <si>
    <t>Rashed</t>
  </si>
  <si>
    <t>Alalawi</t>
  </si>
  <si>
    <t>97150563-8666</t>
  </si>
  <si>
    <t>a52t@hotmail.com</t>
  </si>
  <si>
    <t>Maryam pourgholam h&amp;s Emaar sales not available on stand</t>
  </si>
  <si>
    <t>He and his frnd asked for burj crown ,ive sent him the detail, yesterday ive asked for meeting he didnt reply</t>
  </si>
  <si>
    <t>Mohama</t>
  </si>
  <si>
    <t>Al alawi</t>
  </si>
  <si>
    <t>971052799-9459</t>
  </si>
  <si>
    <t>Maryam pourgholam h&amp;s Emaar sales not available on stand.</t>
  </si>
  <si>
    <t>Amour</t>
  </si>
  <si>
    <t>Abdelhai</t>
  </si>
  <si>
    <t>Morocco: 00212</t>
  </si>
  <si>
    <t>21266775-0088</t>
  </si>
  <si>
    <t>Helal Murabi</t>
  </si>
  <si>
    <t>Hes in AD im in touch with him to get a meeting</t>
  </si>
  <si>
    <t>Sam</t>
  </si>
  <si>
    <t>234706100-4341</t>
  </si>
  <si>
    <t>ive whatsapp him but he didnt reply</t>
  </si>
  <si>
    <t>Sachin</t>
  </si>
  <si>
    <t>Chandhok</t>
  </si>
  <si>
    <t>91999931-0001</t>
  </si>
  <si>
    <t>sachin.chandhok13@gmail.com</t>
  </si>
  <si>
    <t>Hes looking for secondary in beachfront</t>
  </si>
  <si>
    <t>15-02-2020</t>
  </si>
  <si>
    <t>Andre</t>
  </si>
  <si>
    <t>Jones</t>
  </si>
  <si>
    <t>1757292-3364</t>
  </si>
  <si>
    <t>Mariam h&amp;s no Es</t>
  </si>
  <si>
    <t>hes a basketball player came to dubai for holiday just asked general info</t>
  </si>
  <si>
    <t>info,ill be in touch with him</t>
  </si>
  <si>
    <t>hes interested in urbana</t>
  </si>
  <si>
    <t>ivan</t>
  </si>
  <si>
    <t>serebrennikov</t>
  </si>
  <si>
    <t>7999099-9555</t>
  </si>
  <si>
    <t xml:space="preserve">met with tatiana Emaar for beachfront,he want 5-10 units each 300k$ </t>
  </si>
  <si>
    <t xml:space="preserve"> offered creek project</t>
  </si>
  <si>
    <t>17-02-2020</t>
  </si>
  <si>
    <t>Legrix</t>
  </si>
  <si>
    <t>Pierre</t>
  </si>
  <si>
    <t>France: 0033</t>
  </si>
  <si>
    <t>33065304-1049</t>
  </si>
  <si>
    <t>fapi.legrix@free.fr</t>
  </si>
  <si>
    <t>France</t>
  </si>
  <si>
    <t>19-02-2020</t>
  </si>
  <si>
    <t>Steve</t>
  </si>
  <si>
    <t>Shirlaw</t>
  </si>
  <si>
    <t>Australia: 0061</t>
  </si>
  <si>
    <t>6141843-7208</t>
  </si>
  <si>
    <t>steve.shirlaw18@gmail.com</t>
  </si>
  <si>
    <t>Australia</t>
  </si>
  <si>
    <t>Nabil</t>
  </si>
  <si>
    <t>971058206-1071</t>
  </si>
  <si>
    <t>00971null</t>
  </si>
  <si>
    <t>Frank</t>
  </si>
  <si>
    <t>Lao</t>
  </si>
  <si>
    <t>Philippines: 0063</t>
  </si>
  <si>
    <t>63917810-3462</t>
  </si>
  <si>
    <t>laofrank14@yahoo.com</t>
  </si>
  <si>
    <t>Philippines</t>
  </si>
  <si>
    <t xml:space="preserve">Looking for stand alone villa by the beach </t>
  </si>
  <si>
    <t>Ari</t>
  </si>
  <si>
    <t>Wibawa</t>
  </si>
  <si>
    <t>968101010-1010</t>
  </si>
  <si>
    <t>ari_wibawa@yahoo.com</t>
  </si>
  <si>
    <t>Indonesia</t>
  </si>
  <si>
    <t>Xu</t>
  </si>
  <si>
    <t>WEI</t>
  </si>
  <si>
    <t>97158574-6175</t>
  </si>
  <si>
    <t>Booked 2br in burj crown ,blvd cresent</t>
  </si>
  <si>
    <t>Nawaf</t>
  </si>
  <si>
    <t>Ibrahim</t>
  </si>
  <si>
    <t>44755555-5577</t>
  </si>
  <si>
    <t>nawafhajiah@gmail.com</t>
  </si>
  <si>
    <t xml:space="preserve">Hes frnd of omar they came together </t>
  </si>
  <si>
    <t>Omar</t>
  </si>
  <si>
    <t>Just al omar</t>
  </si>
  <si>
    <t>9659883-3933</t>
  </si>
  <si>
    <t>Ill meet him soon , his in AD</t>
  </si>
  <si>
    <t>hes gonna come to dubai after corona issue finish</t>
  </si>
  <si>
    <t>Noor</t>
  </si>
  <si>
    <t>David</t>
  </si>
  <si>
    <t>1949735-9550</t>
  </si>
  <si>
    <t>silwanione@gmail.com</t>
  </si>
  <si>
    <t>Sent him beachfront 1br</t>
  </si>
  <si>
    <t>hes not replying back</t>
  </si>
  <si>
    <t>Gajendra</t>
  </si>
  <si>
    <t>Patil</t>
  </si>
  <si>
    <t>91982239-6171</t>
  </si>
  <si>
    <t>patilgajendra@hotmail.com</t>
  </si>
  <si>
    <t>21-02-2020</t>
  </si>
  <si>
    <t>Amin</t>
  </si>
  <si>
    <t>Nazari</t>
  </si>
  <si>
    <t>Iran: 0098</t>
  </si>
  <si>
    <t>98912221-1033</t>
  </si>
  <si>
    <t>44794427-0332</t>
  </si>
  <si>
    <t>amin.nazari@icloud.com</t>
  </si>
  <si>
    <t>hes need retails only to rent or buy</t>
  </si>
  <si>
    <t>Kushal</t>
  </si>
  <si>
    <t>91992074-6660</t>
  </si>
  <si>
    <t>kushal.earik@gmail.com</t>
  </si>
  <si>
    <t>,this number is not working,ill send an email</t>
  </si>
  <si>
    <t>Abdullatif</t>
  </si>
  <si>
    <t>Bahrain: 00973</t>
  </si>
  <si>
    <t>9733610-0190</t>
  </si>
  <si>
    <t>Bahrain</t>
  </si>
  <si>
    <t>hes in AD in touch</t>
  </si>
  <si>
    <t>Jawad Al gburi</t>
  </si>
  <si>
    <t>Iraq: 00964</t>
  </si>
  <si>
    <t>964790134-7694</t>
  </si>
  <si>
    <t>masar942@gmail.com</t>
  </si>
  <si>
    <t>hes back to iraq ,we'll meet when hes back</t>
  </si>
  <si>
    <t>Al ateeq</t>
  </si>
  <si>
    <t>96656666-8507</t>
  </si>
  <si>
    <t>he said he likes marina but beachfront is not what hes looking for,asked foe sec market ,i offered him creek,waiting for reply</t>
  </si>
  <si>
    <t>Bilal</t>
  </si>
  <si>
    <t>B</t>
  </si>
  <si>
    <t>Belgium: 0032</t>
  </si>
  <si>
    <t>3248458-4548</t>
  </si>
  <si>
    <t>Belgium</t>
  </si>
  <si>
    <t>Maryam pourgholam And Tina</t>
  </si>
  <si>
    <t>i msg-ed him he didnt reply</t>
  </si>
  <si>
    <t>Ghulam</t>
  </si>
  <si>
    <t>Amur</t>
  </si>
  <si>
    <t>61040168-4411</t>
  </si>
  <si>
    <t>qambar65@hotmail.com</t>
  </si>
  <si>
    <t>general info</t>
  </si>
  <si>
    <t>Amit</t>
  </si>
  <si>
    <t>91991062-3910</t>
  </si>
  <si>
    <t>this number is not working</t>
  </si>
  <si>
    <t>23-02-2020</t>
  </si>
  <si>
    <t>Abood</t>
  </si>
  <si>
    <t>44738055-3330</t>
  </si>
  <si>
    <t>Mariam-tina</t>
  </si>
  <si>
    <t>asked for whatsapp him beachfront and creek</t>
  </si>
  <si>
    <t>29-02-2020</t>
  </si>
  <si>
    <t>Vrdiuna</t>
  </si>
  <si>
    <t>Sharma</t>
  </si>
  <si>
    <t>91114071-4000</t>
  </si>
  <si>
    <t>varun.sharma@viridan.red</t>
  </si>
  <si>
    <t>he didnt show up for the meeting and traveling on 4th march</t>
  </si>
  <si>
    <t>Guldaryia</t>
  </si>
  <si>
    <t>Shaikh</t>
  </si>
  <si>
    <t>7775919-7711</t>
  </si>
  <si>
    <t>angelkz84@bk.ru</t>
  </si>
  <si>
    <t>Mariam</t>
  </si>
  <si>
    <t>Riccardo</t>
  </si>
  <si>
    <t>97150358-1993</t>
  </si>
  <si>
    <t>Collective new offer sent, im in touch with him</t>
  </si>
  <si>
    <t xml:space="preserve">in touch </t>
  </si>
  <si>
    <t>Omer</t>
  </si>
  <si>
    <t>97152118-0166</t>
  </si>
  <si>
    <t>He just moved to dubai, general info</t>
  </si>
  <si>
    <t>Binod</t>
  </si>
  <si>
    <t>M</t>
  </si>
  <si>
    <t>Nepal: 00977</t>
  </si>
  <si>
    <t>977985109-1568</t>
  </si>
  <si>
    <t>binod@gmail.com</t>
  </si>
  <si>
    <t>Nepal</t>
  </si>
  <si>
    <t>Nana</t>
  </si>
  <si>
    <t>Quansah</t>
  </si>
  <si>
    <t>qnshsb@yahoo.co.uk</t>
  </si>
  <si>
    <t>Ghana</t>
  </si>
  <si>
    <t>Georgia: 00995</t>
  </si>
  <si>
    <t>99559956-5632</t>
  </si>
  <si>
    <t>Georgia</t>
  </si>
  <si>
    <t>mariam and rihanna h&amp;s</t>
  </si>
  <si>
    <t>Not replying back</t>
  </si>
  <si>
    <t>No reply</t>
  </si>
  <si>
    <t>berterjr</t>
  </si>
  <si>
    <t>Beraz</t>
  </si>
  <si>
    <t>63920964-5974</t>
  </si>
  <si>
    <t>berterjr@gmail.com</t>
  </si>
  <si>
    <t>not available on whatsapp ,number is not correct</t>
  </si>
  <si>
    <t>James</t>
  </si>
  <si>
    <t>Mobwano</t>
  </si>
  <si>
    <t>Canada: 001</t>
  </si>
  <si>
    <t>1647287-8105</t>
  </si>
  <si>
    <t>Canada</t>
  </si>
  <si>
    <t xml:space="preserve">Not intrested </t>
  </si>
  <si>
    <t>Danish</t>
  </si>
  <si>
    <t>Hussain</t>
  </si>
  <si>
    <t>hdanish@gmail.com</t>
  </si>
  <si>
    <t>Jagsa</t>
  </si>
  <si>
    <t>Joshi</t>
  </si>
  <si>
    <t>91894951-7779</t>
  </si>
  <si>
    <t>jagsajoshi221.jp@gmail.com</t>
  </si>
  <si>
    <t xml:space="preserve">i didnt speak to this </t>
  </si>
  <si>
    <t>Mark</t>
  </si>
  <si>
    <t>Van Pamel</t>
  </si>
  <si>
    <t>32003247593-3321</t>
  </si>
  <si>
    <t>mark.van.pamel@telenet.be</t>
  </si>
  <si>
    <t>details of 2br Isle sent,following up but no reply</t>
  </si>
  <si>
    <t>Seif</t>
  </si>
  <si>
    <t>Sweden: 0046</t>
  </si>
  <si>
    <t>4673651-3313</t>
  </si>
  <si>
    <t>Sweden</t>
  </si>
  <si>
    <t>Maryam Pourgholam</t>
  </si>
  <si>
    <t>he was looking for 1br in creek,today he said ill think about it after corona issue finished!!</t>
  </si>
  <si>
    <t>Dusan</t>
  </si>
  <si>
    <t>Bajiovic</t>
  </si>
  <si>
    <t>97152776-9367</t>
  </si>
  <si>
    <t>bajovic@mwt.rs</t>
  </si>
  <si>
    <t>he looking for job with Emaar</t>
  </si>
  <si>
    <t>Ivanka</t>
  </si>
  <si>
    <t>Hitchman</t>
  </si>
  <si>
    <t>1214292-7559</t>
  </si>
  <si>
    <t>Maryam pourgholam @ H&amp;S</t>
  </si>
  <si>
    <t>beach front details sent,im in touch with her</t>
  </si>
  <si>
    <t>Im in touch with her</t>
  </si>
  <si>
    <t>Jandl</t>
  </si>
  <si>
    <t>Scott</t>
  </si>
  <si>
    <t>1831241-4791</t>
  </si>
  <si>
    <t>jandl2976@gmail.com</t>
  </si>
  <si>
    <t>Mohammad</t>
  </si>
  <si>
    <t>234803302-4071</t>
  </si>
  <si>
    <t>Junaid</t>
  </si>
  <si>
    <t>Tanzania: 00255</t>
  </si>
  <si>
    <t>Tanzania United Republic of</t>
  </si>
  <si>
    <t>Tanzania</t>
  </si>
  <si>
    <t>United Republic of</t>
  </si>
  <si>
    <t>1m 1br ready,ill get a meeting with him s</t>
  </si>
  <si>
    <t xml:space="preserve">Met for park redge 1br </t>
  </si>
  <si>
    <t>He blocked me after the meeting , he just came to spend sometimes !</t>
  </si>
  <si>
    <t>Viorel</t>
  </si>
  <si>
    <t>Olaru</t>
  </si>
  <si>
    <t>carmenolaru2004@yahoo.com</t>
  </si>
  <si>
    <t>he wants for his frnd,details sent,waiting for him to come</t>
  </si>
  <si>
    <t>Im in touch with him</t>
  </si>
  <si>
    <t>Murat</t>
  </si>
  <si>
    <t>Demircioglu</t>
  </si>
  <si>
    <t>mcmurat@web.de</t>
  </si>
  <si>
    <t>they hardly could speak english,whatass him to meet,they leaving in 3days</t>
  </si>
  <si>
    <t>Tried to get a meeting but no reply</t>
  </si>
  <si>
    <t>Gary</t>
  </si>
  <si>
    <t>Brown</t>
  </si>
  <si>
    <t>dewion40@gmail.com</t>
  </si>
  <si>
    <t>hes friend of Darlenzo</t>
  </si>
  <si>
    <t>His frnd is not replying back</t>
  </si>
  <si>
    <t>Darlenzo</t>
  </si>
  <si>
    <t>gonna meet him on friday or saturday</t>
  </si>
  <si>
    <t>Hes not replying back</t>
  </si>
  <si>
    <t>Hisham</t>
  </si>
  <si>
    <t>Taha</t>
  </si>
  <si>
    <t>Maryam Bilal Juma Abdulla Almausam</t>
  </si>
  <si>
    <t>Unqualified lead</t>
  </si>
  <si>
    <t>Bisher</t>
  </si>
  <si>
    <t>Yaghe</t>
  </si>
  <si>
    <t>Jordan</t>
  </si>
  <si>
    <t>Maryam Juma</t>
  </si>
  <si>
    <t>Louay</t>
  </si>
  <si>
    <t>Hamadi</t>
  </si>
  <si>
    <t>Lebanon</t>
  </si>
  <si>
    <t>14-03-2020</t>
  </si>
  <si>
    <t>Dinash</t>
  </si>
  <si>
    <t>97152296-7139</t>
  </si>
  <si>
    <t>Kris</t>
  </si>
  <si>
    <t>4917345-1430</t>
  </si>
  <si>
    <t>George</t>
  </si>
  <si>
    <t>97152626-5888</t>
  </si>
  <si>
    <t>Ive sent him 4-5 primo and 3br beachfront</t>
  </si>
  <si>
    <t>Santy</t>
  </si>
  <si>
    <t>97152838-6234</t>
  </si>
  <si>
    <t>97155587-8962</t>
  </si>
  <si>
    <t>Santos</t>
  </si>
  <si>
    <t>91750877-1798</t>
  </si>
  <si>
    <t>97150704-0925</t>
  </si>
  <si>
    <t>Awatef</t>
  </si>
  <si>
    <t>97150520-0959</t>
  </si>
  <si>
    <t>1br ready to move creek sent</t>
  </si>
  <si>
    <t>Wicha</t>
  </si>
  <si>
    <t>49163885-5666</t>
  </si>
  <si>
    <t>Zoby</t>
  </si>
  <si>
    <t>97152883-0372</t>
  </si>
  <si>
    <t>Hassan</t>
  </si>
  <si>
    <t>Uganda: 00256</t>
  </si>
  <si>
    <t>25678509-7458</t>
  </si>
  <si>
    <t>Kevin</t>
  </si>
  <si>
    <t>Keven</t>
  </si>
  <si>
    <t>2567004-4826</t>
  </si>
  <si>
    <t>Fatih</t>
  </si>
  <si>
    <t>Akcal</t>
  </si>
  <si>
    <t>fatih.akcal@diplomatie.gouv.fr</t>
  </si>
  <si>
    <t>Rajan</t>
  </si>
  <si>
    <t>Ahuja</t>
  </si>
  <si>
    <t>91981006-8018</t>
  </si>
  <si>
    <t>rajanahuja13@gmail.com</t>
  </si>
  <si>
    <t>mariam h&amp;s 1 5 million beachfront</t>
  </si>
  <si>
    <t>Sent</t>
  </si>
  <si>
    <t>16-03-20</t>
  </si>
  <si>
    <t>Dildar</t>
  </si>
  <si>
    <t>971508660113</t>
  </si>
  <si>
    <t>Shashank</t>
  </si>
  <si>
    <t>Raul</t>
  </si>
  <si>
    <t>shashank.raut06@gmail.com</t>
  </si>
  <si>
    <t>Aslem</t>
  </si>
  <si>
    <t>Khan</t>
  </si>
  <si>
    <t>aslam.mohammed@roberts.co</t>
  </si>
  <si>
    <t xml:space="preserve">Unqualified lead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</si>
</sst>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d"/>
    <numFmt numFmtId="165" formatCode="mmm-d-yyyy"/>
    <numFmt numFmtId="166" formatCode="mmm-d-yy"/>
    <numFmt numFmtId="167" formatCode="mmmm d, yyyy"/>
    <numFmt numFmtId="168" formatCode="d-mmm-yy"/>
    <numFmt numFmtId="169" formatCode="m/d/yyyy"/>
    <numFmt numFmtId="170" formatCode="mm-dd-yy"/>
  </numFmts>
  <fonts count="21">
    <font>
      <sz val="10.0"/>
      <color rgb="FF000000"/>
      <name val="Arial"/>
    </font>
    <font>
      <sz val="10.0"/>
      <color theme="1"/>
      <name val="Times New Roman"/>
    </font>
    <font>
      <sz val="10.0"/>
      <color rgb="FF303030"/>
      <name val="Times New Roman"/>
    </font>
    <font>
      <color theme="1"/>
      <name val="Times New Roman"/>
    </font>
    <font>
      <sz val="10.0"/>
      <color rgb="FF000000"/>
      <name val="Times New Roman"/>
    </font>
    <font>
      <color rgb="FF000000"/>
      <name val="Times New Roman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9.0"/>
      <color theme="1"/>
      <name val="Times New Roman"/>
    </font>
    <font>
      <sz val="9.0"/>
      <color rgb="FF000000"/>
      <name val="Times New Roman"/>
    </font>
    <font>
      <u/>
      <sz val="9.0"/>
      <color rgb="FF000000"/>
      <name val="Times New Roman"/>
    </font>
    <font>
      <sz val="12.0"/>
      <color rgb="FF000000"/>
      <name val="Times New Roman"/>
    </font>
    <font>
      <sz val="9.0"/>
      <color theme="1"/>
      <name val="Arial"/>
    </font>
    <font>
      <sz val="10.0"/>
      <color rgb="FF000000"/>
      <name val="Cambria"/>
    </font>
    <font>
      <sz val="10.0"/>
      <color theme="1"/>
      <name val="Arial"/>
    </font>
    <font>
      <sz val="9.0"/>
      <color rgb="FF000000"/>
      <name val="Cambria"/>
    </font>
    <font>
      <color theme="1"/>
      <name val="Arial"/>
    </font>
    <font>
      <sz val="12.0"/>
      <color theme="1"/>
      <name val="Arial"/>
    </font>
    <font>
      <b/>
      <color theme="1"/>
      <name val="Arial"/>
    </font>
    <font>
      <color rgb="FFFF0000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164" xfId="0" applyAlignment="1" applyBorder="1" applyFont="1" applyNumberFormat="1">
      <alignment horizontal="center" vertical="bottom"/>
    </xf>
    <xf borderId="1" fillId="3" fontId="2" numFmtId="0" xfId="0" applyAlignment="1" applyBorder="1" applyFill="1" applyFont="1">
      <alignment horizontal="center" vertical="bottom"/>
    </xf>
    <xf quotePrefix="1" borderId="1" fillId="3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3" fontId="1" numFmtId="16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0" fontId="1" numFmtId="165" xfId="0" applyAlignment="1" applyBorder="1" applyFont="1" applyNumberFormat="1">
      <alignment horizontal="center" vertical="bottom"/>
    </xf>
    <xf quotePrefix="1"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49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0"/>
    </xf>
    <xf borderId="1" fillId="0" fontId="1" numFmtId="165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4" fontId="4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quotePrefix="1"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bottom" wrapText="1"/>
    </xf>
    <xf borderId="1" fillId="3" fontId="4" numFmtId="0" xfId="0" applyAlignment="1" applyBorder="1" applyFont="1">
      <alignment horizontal="center" shrinkToFit="0" vertical="bottom" wrapText="1"/>
    </xf>
    <xf borderId="1" fillId="3" fontId="4" numFmtId="165" xfId="0" applyAlignment="1" applyBorder="1" applyFont="1" applyNumberFormat="1">
      <alignment horizontal="center" shrinkToFit="0" wrapText="1"/>
    </xf>
    <xf quotePrefix="1" borderId="1" fillId="0" fontId="1" numFmtId="0" xfId="0" applyAlignment="1" applyBorder="1" applyFont="1">
      <alignment horizontal="center" shrinkToFit="0" wrapText="1"/>
    </xf>
    <xf borderId="1" fillId="3" fontId="4" numFmtId="166" xfId="0" applyAlignment="1" applyBorder="1" applyFont="1" applyNumberFormat="1">
      <alignment horizontal="center" shrinkToFit="0" wrapText="1"/>
    </xf>
    <xf borderId="1" fillId="0" fontId="1" numFmtId="166" xfId="0" applyAlignment="1" applyBorder="1" applyFont="1" applyNumberForma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quotePrefix="1" borderId="1" fillId="5" fontId="1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 vertical="bottom"/>
    </xf>
    <xf borderId="1" fillId="0" fontId="1" numFmtId="167" xfId="0" applyAlignment="1" applyBorder="1" applyFont="1" applyNumberFormat="1">
      <alignment horizontal="center" vertical="center"/>
    </xf>
    <xf borderId="1" fillId="0" fontId="1" numFmtId="167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/>
    </xf>
    <xf borderId="1" fillId="3" fontId="4" numFmtId="168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center" shrinkToFit="0" vertical="bottom" wrapText="1"/>
    </xf>
    <xf borderId="1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1" fillId="3" fontId="5" numFmtId="165" xfId="0" applyAlignment="1" applyBorder="1" applyFont="1" applyNumberFormat="1">
      <alignment horizontal="center" shrinkToFit="0" wrapText="1"/>
    </xf>
    <xf borderId="1" fillId="3" fontId="3" numFmtId="167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1" fillId="3" fontId="3" numFmtId="49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/>
    </xf>
    <xf borderId="0" fillId="3" fontId="6" numFmtId="168" xfId="0" applyAlignment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7" numFmtId="49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horizontal="center" vertical="bottom"/>
    </xf>
    <xf borderId="0" fillId="0" fontId="3" numFmtId="168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1" fillId="5" fontId="8" numFmtId="0" xfId="0" applyAlignment="1" applyBorder="1" applyFont="1">
      <alignment horizontal="center" vertical="bottom"/>
    </xf>
    <xf borderId="1" fillId="5" fontId="8" numFmtId="49" xfId="0" applyAlignment="1" applyBorder="1" applyFont="1" applyNumberFormat="1">
      <alignment horizontal="center" vertical="bottom"/>
    </xf>
    <xf borderId="0" fillId="5" fontId="8" numFmtId="0" xfId="0" applyAlignment="1" applyFont="1">
      <alignment horizontal="center"/>
    </xf>
    <xf borderId="1" fillId="5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shrinkToFit="0" vertical="bottom" wrapText="1"/>
    </xf>
    <xf borderId="1" fillId="5" fontId="11" numFmtId="0" xfId="0" applyAlignment="1" applyBorder="1" applyFont="1">
      <alignment horizontal="center"/>
    </xf>
    <xf borderId="1" fillId="5" fontId="11" numFmtId="49" xfId="0" applyAlignment="1" applyBorder="1" applyFont="1" applyNumberFormat="1">
      <alignment horizontal="center"/>
    </xf>
    <xf borderId="1" fillId="5" fontId="4" numFmtId="0" xfId="0" applyAlignment="1" applyBorder="1" applyFont="1">
      <alignment horizontal="center"/>
    </xf>
    <xf borderId="0" fillId="0" fontId="9" numFmtId="0" xfId="0" applyAlignment="1" applyFont="1">
      <alignment horizontal="center" shrinkToFit="0" wrapText="1"/>
    </xf>
    <xf borderId="0" fillId="5" fontId="1" numFmtId="0" xfId="0" applyFont="1"/>
    <xf borderId="0" fillId="0" fontId="12" numFmtId="167" xfId="0" applyAlignment="1" applyFont="1" applyNumberFormat="1">
      <alignment horizontal="center"/>
    </xf>
    <xf borderId="1" fillId="0" fontId="13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/>
    </xf>
    <xf borderId="1" fillId="0" fontId="14" numFmtId="0" xfId="0" applyBorder="1" applyFont="1"/>
    <xf borderId="1" fillId="0" fontId="14" numFmtId="0" xfId="0" applyAlignment="1" applyBorder="1" applyFont="1">
      <alignment horizontal="center" shrinkToFit="0" wrapText="1"/>
    </xf>
    <xf borderId="1" fillId="0" fontId="15" numFmtId="167" xfId="0" applyAlignment="1" applyBorder="1" applyFont="1" applyNumberFormat="1">
      <alignment horizontal="center"/>
    </xf>
    <xf borderId="1" fillId="0" fontId="16" numFmtId="0" xfId="0" applyBorder="1" applyFont="1"/>
    <xf borderId="1" fillId="0" fontId="17" numFmtId="0" xfId="0" applyAlignment="1" applyBorder="1" applyFont="1">
      <alignment horizontal="center"/>
    </xf>
    <xf borderId="1" fillId="0" fontId="17" numFmtId="0" xfId="0" applyAlignment="1" applyBorder="1" applyFont="1">
      <alignment horizontal="center" vertical="bottom"/>
    </xf>
    <xf borderId="1" fillId="0" fontId="17" numFmtId="49" xfId="0" applyAlignment="1" applyBorder="1" applyFont="1" applyNumberFormat="1">
      <alignment horizontal="center" vertical="bottom"/>
    </xf>
    <xf borderId="1" fillId="0" fontId="16" numFmtId="0" xfId="0" applyAlignment="1" applyBorder="1" applyFont="1">
      <alignment horizontal="center"/>
    </xf>
    <xf borderId="1" fillId="0" fontId="9" numFmtId="167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/>
    </xf>
    <xf borderId="1" fillId="0" fontId="12" numFmtId="49" xfId="0" applyAlignment="1" applyBorder="1" applyFont="1" applyNumberFormat="1">
      <alignment horizontal="center"/>
    </xf>
    <xf borderId="1" fillId="0" fontId="17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wrapText="1"/>
    </xf>
    <xf borderId="0" fillId="0" fontId="16" numFmtId="0" xfId="0" applyFont="1"/>
    <xf borderId="1" fillId="6" fontId="18" numFmtId="0" xfId="0" applyAlignment="1" applyBorder="1" applyFill="1" applyFont="1">
      <alignment horizontal="left" vertical="bottom"/>
    </xf>
    <xf borderId="1" fillId="6" fontId="18" numFmtId="169" xfId="0" applyAlignment="1" applyBorder="1" applyFont="1" applyNumberFormat="1">
      <alignment horizontal="left" vertical="bottom"/>
    </xf>
    <xf borderId="1" fillId="6" fontId="18" numFmtId="11" xfId="0" applyAlignment="1" applyBorder="1" applyFont="1" applyNumberFormat="1">
      <alignment horizontal="left" vertical="bottom"/>
    </xf>
    <xf borderId="1" fillId="2" fontId="18" numFmtId="0" xfId="0" applyAlignment="1" applyBorder="1" applyFont="1">
      <alignment horizontal="left" vertical="bottom"/>
    </xf>
    <xf borderId="1" fillId="0" fontId="16" numFmtId="0" xfId="0" applyAlignment="1" applyBorder="1" applyFont="1">
      <alignment horizontal="left" vertical="bottom"/>
    </xf>
    <xf borderId="1" fillId="0" fontId="16" numFmtId="169" xfId="0" applyAlignment="1" applyBorder="1" applyFont="1" applyNumberFormat="1">
      <alignment horizontal="left" vertical="bottom"/>
    </xf>
    <xf borderId="1" fillId="0" fontId="16" numFmtId="11" xfId="0" applyAlignment="1" applyBorder="1" applyFont="1" applyNumberFormat="1">
      <alignment horizontal="left" vertical="bottom"/>
    </xf>
    <xf borderId="1" fillId="0" fontId="16" numFmtId="0" xfId="0" applyAlignment="1" applyBorder="1" applyFont="1">
      <alignment horizontal="left" shrinkToFit="0" vertical="bottom" wrapText="0"/>
    </xf>
    <xf borderId="1" fillId="2" fontId="16" numFmtId="0" xfId="0" applyAlignment="1" applyBorder="1" applyFont="1">
      <alignment horizontal="left" vertical="bottom"/>
    </xf>
    <xf borderId="1" fillId="7" fontId="16" numFmtId="0" xfId="0" applyAlignment="1" applyBorder="1" applyFill="1" applyFont="1">
      <alignment horizontal="left" vertical="bottom"/>
    </xf>
    <xf borderId="1" fillId="0" fontId="19" numFmtId="0" xfId="0" applyAlignment="1" applyBorder="1" applyFont="1">
      <alignment horizontal="left" vertical="bottom"/>
    </xf>
    <xf borderId="1" fillId="0" fontId="16" numFmtId="0" xfId="0" applyAlignment="1" applyBorder="1" applyFont="1">
      <alignment horizontal="left"/>
    </xf>
    <xf borderId="1" fillId="2" fontId="16" numFmtId="0" xfId="0" applyAlignment="1" applyBorder="1" applyFont="1">
      <alignment horizontal="left"/>
    </xf>
    <xf borderId="1" fillId="5" fontId="20" numFmtId="0" xfId="0" applyAlignment="1" applyBorder="1" applyFont="1">
      <alignment horizontal="left" vertical="bottom"/>
    </xf>
    <xf borderId="1" fillId="0" fontId="20" numFmtId="0" xfId="0" applyAlignment="1" applyBorder="1" applyFont="1">
      <alignment horizontal="left" vertical="bottom"/>
    </xf>
    <xf borderId="1" fillId="5" fontId="16" numFmtId="0" xfId="0" applyAlignment="1" applyBorder="1" applyFont="1">
      <alignment horizontal="left" vertical="bottom"/>
    </xf>
    <xf borderId="1" fillId="8" fontId="16" numFmtId="0" xfId="0" applyAlignment="1" applyBorder="1" applyFill="1" applyFont="1">
      <alignment horizontal="left" vertical="bottom"/>
    </xf>
    <xf borderId="1" fillId="5" fontId="16" numFmtId="0" xfId="0" applyAlignment="1" applyBorder="1" applyFont="1">
      <alignment horizontal="left"/>
    </xf>
    <xf borderId="1" fillId="5" fontId="16" numFmtId="0" xfId="0" applyAlignment="1" applyBorder="1" applyFont="1">
      <alignment horizontal="left" shrinkToFit="0" vertical="bottom" wrapText="0"/>
    </xf>
    <xf borderId="1" fillId="5" fontId="16" numFmtId="169" xfId="0" applyAlignment="1" applyBorder="1" applyFont="1" applyNumberFormat="1">
      <alignment horizontal="left" vertical="bottom"/>
    </xf>
    <xf borderId="1" fillId="7" fontId="16" numFmtId="0" xfId="0" applyAlignment="1" applyBorder="1" applyFont="1">
      <alignment horizontal="left" shrinkToFit="0" vertical="bottom" wrapText="0"/>
    </xf>
    <xf borderId="1" fillId="0" fontId="16" numFmtId="170" xfId="0" applyAlignment="1" applyBorder="1" applyFont="1" applyNumberFormat="1">
      <alignment horizontal="left" vertical="bottom"/>
    </xf>
    <xf borderId="1" fillId="0" fontId="18" numFmtId="0" xfId="0" applyAlignment="1" applyBorder="1" applyFont="1">
      <alignment horizontal="left" vertical="bottom"/>
    </xf>
    <xf borderId="1" fillId="0" fontId="18" numFmtId="169" xfId="0" applyAlignment="1" applyBorder="1" applyFont="1" applyNumberFormat="1">
      <alignment horizontal="left" vertical="bottom"/>
    </xf>
    <xf borderId="1" fillId="7" fontId="18" numFmtId="0" xfId="0" applyAlignment="1" applyBorder="1" applyFont="1">
      <alignment horizontal="left" shrinkToFit="0" vertical="bottom" wrapText="0"/>
    </xf>
    <xf borderId="1" fillId="0" fontId="18" numFmtId="0" xfId="0" applyAlignment="1" applyBorder="1" applyFont="1">
      <alignment horizontal="left"/>
    </xf>
    <xf borderId="1" fillId="7" fontId="18" numFmtId="0" xfId="0" applyAlignment="1" applyBorder="1" applyFont="1">
      <alignment horizontal="left" vertical="bottom"/>
    </xf>
    <xf borderId="1" fillId="0" fontId="16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2" fillId="0" fontId="16" numFmtId="0" xfId="0" applyAlignment="1" applyBorder="1" applyFont="1">
      <alignment horizontal="center" vertical="bottom"/>
    </xf>
    <xf borderId="0" fillId="0" fontId="16" numFmtId="0" xfId="0" applyAlignment="1" applyFont="1">
      <alignment vertical="bottom"/>
    </xf>
    <xf borderId="3" fillId="0" fontId="16" numFmtId="0" xfId="0" applyAlignment="1" applyBorder="1" applyFont="1">
      <alignment vertical="bottom"/>
    </xf>
    <xf borderId="4" fillId="0" fontId="16" numFmtId="0" xfId="0" applyAlignment="1" applyBorder="1" applyFont="1">
      <alignment vertical="bottom"/>
    </xf>
    <xf borderId="4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shrinkToFit="0" vertical="bottom" wrapText="0"/>
    </xf>
    <xf quotePrefix="1" borderId="1" fillId="0" fontId="18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zee@hotmail.co.u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4.14"/>
    <col customWidth="1" min="3" max="3" width="21.29"/>
    <col customWidth="1" min="4" max="4" width="31.71"/>
    <col customWidth="1" min="5" max="5" width="17.29"/>
    <col customWidth="1" min="6" max="6" width="54.57"/>
    <col customWidth="1" min="7" max="7" width="45.57"/>
    <col customWidth="1" min="8" max="8" width="57.57"/>
    <col customWidth="1" min="9" max="9" width="21.86"/>
    <col customWidth="1" min="13" max="13" width="27.57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5"/>
    </row>
    <row r="2" ht="15.75" customHeight="1">
      <c r="A2" s="6">
        <v>43832.0</v>
      </c>
      <c r="B2" s="7" t="s">
        <v>7</v>
      </c>
      <c r="C2" s="7" t="s">
        <v>8</v>
      </c>
      <c r="D2" s="7" t="s">
        <v>9</v>
      </c>
      <c r="E2" s="8" t="s">
        <v>10</v>
      </c>
      <c r="F2" s="9" t="s">
        <v>11</v>
      </c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1"/>
      <c r="X2" s="11"/>
      <c r="Y2" s="11"/>
      <c r="Z2" s="11"/>
      <c r="AA2" s="11"/>
    </row>
    <row r="3" ht="15.75" customHeight="1">
      <c r="A3" s="6">
        <v>43839.0</v>
      </c>
      <c r="B3" s="12" t="s">
        <v>12</v>
      </c>
      <c r="C3" s="12" t="s">
        <v>13</v>
      </c>
      <c r="D3" s="12" t="s">
        <v>14</v>
      </c>
      <c r="E3" s="12">
        <v>9.7150558249E10</v>
      </c>
      <c r="F3" s="9" t="s">
        <v>15</v>
      </c>
      <c r="G3" s="10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1"/>
      <c r="X3" s="11"/>
      <c r="Y3" s="11"/>
      <c r="Z3" s="11"/>
      <c r="AA3" s="11"/>
    </row>
    <row r="4" ht="15.75" customHeight="1">
      <c r="A4" s="6">
        <v>43845.0</v>
      </c>
      <c r="B4" s="12" t="s">
        <v>12</v>
      </c>
      <c r="C4" s="12" t="s">
        <v>16</v>
      </c>
      <c r="D4" s="12" t="s">
        <v>17</v>
      </c>
      <c r="E4" s="12">
        <v>9.62789999666E11</v>
      </c>
      <c r="F4" s="9" t="s">
        <v>18</v>
      </c>
      <c r="G4" s="10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1"/>
      <c r="X4" s="11"/>
      <c r="Y4" s="11"/>
      <c r="Z4" s="11"/>
      <c r="AA4" s="11"/>
    </row>
    <row r="5" ht="15.75" customHeight="1">
      <c r="A5" s="13">
        <v>43846.0</v>
      </c>
      <c r="B5" s="14" t="s">
        <v>19</v>
      </c>
      <c r="C5" s="15" t="s">
        <v>20</v>
      </c>
      <c r="D5" s="15" t="s">
        <v>21</v>
      </c>
      <c r="E5" s="15" t="s">
        <v>22</v>
      </c>
      <c r="F5" s="10"/>
      <c r="G5" s="15" t="s">
        <v>23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1"/>
      <c r="X5" s="11"/>
      <c r="Y5" s="11"/>
      <c r="Z5" s="11"/>
      <c r="AA5" s="11"/>
    </row>
    <row r="6" ht="15.75" customHeight="1">
      <c r="A6" s="13">
        <v>43846.0</v>
      </c>
      <c r="B6" s="14" t="s">
        <v>19</v>
      </c>
      <c r="C6" s="15" t="s">
        <v>24</v>
      </c>
      <c r="D6" s="15" t="s">
        <v>25</v>
      </c>
      <c r="E6" s="15" t="s">
        <v>26</v>
      </c>
      <c r="F6" s="10"/>
      <c r="G6" s="15" t="s">
        <v>23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1"/>
      <c r="X6" s="11"/>
      <c r="Y6" s="11"/>
      <c r="Z6" s="11"/>
      <c r="AA6" s="11"/>
    </row>
    <row r="7" ht="15.75" customHeight="1">
      <c r="A7" s="13">
        <v>43846.0</v>
      </c>
      <c r="B7" s="14" t="s">
        <v>19</v>
      </c>
      <c r="C7" s="15" t="s">
        <v>27</v>
      </c>
      <c r="D7" s="15" t="s">
        <v>28</v>
      </c>
      <c r="E7" s="15" t="s">
        <v>29</v>
      </c>
      <c r="F7" s="10"/>
      <c r="G7" s="15" t="s">
        <v>30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1"/>
      <c r="X7" s="11"/>
      <c r="Y7" s="11"/>
      <c r="Z7" s="11"/>
      <c r="AA7" s="11"/>
    </row>
    <row r="8" ht="15.75" customHeight="1">
      <c r="A8" s="6">
        <v>43859.0</v>
      </c>
      <c r="B8" s="12" t="s">
        <v>31</v>
      </c>
      <c r="C8" s="12" t="s">
        <v>32</v>
      </c>
      <c r="D8" s="12" t="s">
        <v>33</v>
      </c>
      <c r="E8" s="12">
        <f>+447934162426</f>
        <v>447934162426</v>
      </c>
      <c r="F8" s="9" t="s">
        <v>34</v>
      </c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1"/>
      <c r="X8" s="11"/>
      <c r="Y8" s="11"/>
      <c r="Z8" s="11"/>
      <c r="AA8" s="11"/>
    </row>
    <row r="9" ht="15.75" customHeight="1">
      <c r="A9" s="6">
        <v>43859.0</v>
      </c>
      <c r="B9" s="12" t="s">
        <v>35</v>
      </c>
      <c r="C9" s="12" t="s">
        <v>36</v>
      </c>
      <c r="D9" s="12" t="s">
        <v>37</v>
      </c>
      <c r="E9" s="12">
        <f>+962780567979</f>
        <v>962780567979</v>
      </c>
      <c r="F9" s="9" t="s">
        <v>38</v>
      </c>
      <c r="G9" s="10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1"/>
      <c r="X9" s="11"/>
      <c r="Y9" s="11"/>
      <c r="Z9" s="11"/>
      <c r="AA9" s="11"/>
    </row>
    <row r="10" ht="15.75" customHeight="1">
      <c r="A10" s="6">
        <v>43859.0</v>
      </c>
      <c r="B10" s="12" t="s">
        <v>39</v>
      </c>
      <c r="C10" s="12" t="s">
        <v>40</v>
      </c>
      <c r="D10" s="12" t="s">
        <v>41</v>
      </c>
      <c r="E10" s="12">
        <v>5.08584477E8</v>
      </c>
      <c r="F10" s="9" t="s">
        <v>42</v>
      </c>
      <c r="G10" s="1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1"/>
      <c r="X10" s="11"/>
      <c r="Y10" s="11"/>
      <c r="Z10" s="11"/>
      <c r="AA10" s="11"/>
    </row>
    <row r="11" ht="15.75" customHeight="1">
      <c r="A11" s="16">
        <v>43862.0</v>
      </c>
      <c r="B11" s="12" t="s">
        <v>43</v>
      </c>
      <c r="C11" s="12" t="s">
        <v>44</v>
      </c>
      <c r="D11" s="12" t="s">
        <v>45</v>
      </c>
      <c r="E11" s="17" t="s">
        <v>46</v>
      </c>
      <c r="F11" s="9" t="s">
        <v>47</v>
      </c>
      <c r="G11" s="1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1"/>
      <c r="X11" s="11"/>
      <c r="Y11" s="11"/>
      <c r="Z11" s="11"/>
      <c r="AA11" s="11"/>
    </row>
    <row r="12" ht="15.75" customHeight="1">
      <c r="A12" s="12" t="s">
        <v>48</v>
      </c>
      <c r="B12" s="12" t="s">
        <v>49</v>
      </c>
      <c r="C12" s="18" t="s">
        <v>50</v>
      </c>
      <c r="D12" s="12" t="s">
        <v>51</v>
      </c>
      <c r="E12" s="17" t="s">
        <v>52</v>
      </c>
      <c r="F12" s="9" t="s">
        <v>53</v>
      </c>
      <c r="G12" s="1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1"/>
      <c r="X12" s="11"/>
      <c r="Y12" s="11"/>
      <c r="Z12" s="11"/>
      <c r="AA12" s="11"/>
    </row>
    <row r="13" ht="15.75" customHeight="1">
      <c r="A13" s="17" t="s">
        <v>54</v>
      </c>
      <c r="B13" s="12" t="s">
        <v>55</v>
      </c>
      <c r="C13" s="12" t="s">
        <v>56</v>
      </c>
      <c r="D13" s="12" t="s">
        <v>57</v>
      </c>
      <c r="E13" s="12">
        <f>+966562319214</f>
        <v>966562319214</v>
      </c>
      <c r="F13" s="12" t="s">
        <v>58</v>
      </c>
      <c r="G13" s="10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1"/>
      <c r="X13" s="11"/>
      <c r="Y13" s="11"/>
      <c r="Z13" s="11"/>
      <c r="AA13" s="11"/>
    </row>
    <row r="14" ht="15.75" customHeight="1">
      <c r="A14" s="16">
        <v>43872.0</v>
      </c>
      <c r="B14" s="12" t="s">
        <v>59</v>
      </c>
      <c r="C14" s="12" t="s">
        <v>40</v>
      </c>
      <c r="D14" s="12" t="s">
        <v>41</v>
      </c>
      <c r="E14" s="17" t="s">
        <v>60</v>
      </c>
      <c r="F14" s="12"/>
      <c r="G14" s="1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1"/>
      <c r="X14" s="11"/>
      <c r="Y14" s="11"/>
      <c r="Z14" s="11"/>
      <c r="AA14" s="11"/>
    </row>
    <row r="15" ht="15.75" customHeight="1">
      <c r="A15" s="16">
        <v>43874.0</v>
      </c>
      <c r="B15" s="12" t="s">
        <v>59</v>
      </c>
      <c r="C15" s="12" t="s">
        <v>61</v>
      </c>
      <c r="D15" s="12" t="s">
        <v>62</v>
      </c>
      <c r="E15" s="12">
        <f>+971504561419</f>
        <v>971504561419</v>
      </c>
      <c r="F15" s="12"/>
      <c r="G15" s="1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1"/>
      <c r="X15" s="11"/>
      <c r="Y15" s="11"/>
      <c r="Z15" s="11"/>
      <c r="AA15" s="11"/>
    </row>
    <row r="16" ht="15.75" customHeight="1">
      <c r="A16" s="16">
        <v>43878.0</v>
      </c>
      <c r="B16" s="12" t="s">
        <v>63</v>
      </c>
      <c r="C16" s="12" t="s">
        <v>64</v>
      </c>
      <c r="D16" s="12" t="s">
        <v>65</v>
      </c>
      <c r="E16" s="19">
        <v>9.71527522247E11</v>
      </c>
      <c r="F16" s="12"/>
      <c r="G16" s="1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1"/>
      <c r="X16" s="11"/>
      <c r="Y16" s="11"/>
      <c r="Z16" s="11"/>
      <c r="AA16" s="11"/>
    </row>
    <row r="17" ht="15.75" customHeight="1">
      <c r="A17" s="16">
        <v>43879.0</v>
      </c>
      <c r="B17" s="12" t="s">
        <v>59</v>
      </c>
      <c r="C17" s="12" t="s">
        <v>66</v>
      </c>
      <c r="D17" s="12" t="s">
        <v>67</v>
      </c>
      <c r="E17" s="17" t="s">
        <v>68</v>
      </c>
      <c r="F17" s="12"/>
      <c r="G17" s="1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1"/>
      <c r="X17" s="11"/>
      <c r="Y17" s="11"/>
      <c r="Z17" s="11"/>
      <c r="AA17" s="11"/>
    </row>
    <row r="18" ht="15.75" customHeight="1">
      <c r="A18" s="16">
        <v>43879.0</v>
      </c>
      <c r="B18" s="12" t="s">
        <v>59</v>
      </c>
      <c r="C18" s="12" t="s">
        <v>69</v>
      </c>
      <c r="D18" s="12" t="s">
        <v>70</v>
      </c>
      <c r="E18" s="17" t="s">
        <v>71</v>
      </c>
      <c r="F18" s="12"/>
      <c r="G18" s="1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1"/>
      <c r="X18" s="11"/>
      <c r="Y18" s="11"/>
      <c r="Z18" s="11"/>
      <c r="AA18" s="11"/>
    </row>
    <row r="19" ht="15.75" customHeight="1">
      <c r="A19" s="16">
        <v>43883.0</v>
      </c>
      <c r="B19" s="12" t="s">
        <v>72</v>
      </c>
      <c r="C19" s="12" t="s">
        <v>73</v>
      </c>
      <c r="D19" s="12" t="s">
        <v>74</v>
      </c>
      <c r="E19" s="17" t="s">
        <v>75</v>
      </c>
      <c r="F19" s="12"/>
      <c r="G19" s="2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1"/>
      <c r="X19" s="11"/>
      <c r="Y19" s="11"/>
      <c r="Z19" s="11"/>
      <c r="AA19" s="11"/>
    </row>
    <row r="20" ht="15.75" customHeight="1">
      <c r="A20" s="16">
        <v>43888.0</v>
      </c>
      <c r="B20" s="12" t="s">
        <v>39</v>
      </c>
      <c r="C20" s="12" t="s">
        <v>76</v>
      </c>
      <c r="D20" s="12" t="s">
        <v>77</v>
      </c>
      <c r="E20" s="17" t="s">
        <v>78</v>
      </c>
      <c r="F20" s="12"/>
      <c r="G20" s="2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1"/>
      <c r="X20" s="11"/>
      <c r="Y20" s="11"/>
      <c r="Z20" s="11"/>
      <c r="AA20" s="11"/>
    </row>
    <row r="21" ht="15.75" customHeight="1">
      <c r="A21" s="16">
        <v>43893.0</v>
      </c>
      <c r="B21" s="12" t="s">
        <v>79</v>
      </c>
      <c r="C21" s="12" t="s">
        <v>80</v>
      </c>
      <c r="D21" s="12" t="s">
        <v>81</v>
      </c>
      <c r="E21" s="12">
        <f>+966561410905</f>
        <v>966561410905</v>
      </c>
      <c r="F21" s="12"/>
      <c r="G21" s="1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1"/>
      <c r="X21" s="11"/>
      <c r="Y21" s="11"/>
      <c r="Z21" s="11"/>
      <c r="AA21" s="11"/>
    </row>
    <row r="22" ht="15.75" customHeight="1">
      <c r="A22" s="16">
        <v>43862.0</v>
      </c>
      <c r="B22" s="12" t="s">
        <v>43</v>
      </c>
      <c r="C22" s="12" t="s">
        <v>82</v>
      </c>
      <c r="D22" s="12" t="s">
        <v>83</v>
      </c>
      <c r="E22" s="17" t="s">
        <v>84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1"/>
      <c r="X22" s="11"/>
      <c r="Y22" s="11"/>
      <c r="Z22" s="11"/>
      <c r="AA22" s="11"/>
    </row>
    <row r="23" ht="15.75" customHeight="1">
      <c r="A23" s="12" t="s">
        <v>85</v>
      </c>
      <c r="B23" s="12" t="s">
        <v>86</v>
      </c>
      <c r="C23" s="12" t="s">
        <v>87</v>
      </c>
      <c r="D23" s="12" t="s">
        <v>88</v>
      </c>
      <c r="E23" s="12">
        <f>+9710501112222</f>
        <v>9710501112222</v>
      </c>
      <c r="F23" s="9" t="s">
        <v>89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1"/>
      <c r="X23" s="11"/>
      <c r="Y23" s="11"/>
      <c r="Z23" s="11"/>
      <c r="AA23" s="11"/>
    </row>
    <row r="24" ht="15.75" customHeight="1">
      <c r="A24" s="12" t="s">
        <v>85</v>
      </c>
      <c r="B24" s="12" t="s">
        <v>63</v>
      </c>
      <c r="C24" s="12" t="s">
        <v>90</v>
      </c>
      <c r="D24" s="12" t="s">
        <v>91</v>
      </c>
      <c r="E24" s="12">
        <f>+971506441986</f>
        <v>971506441986</v>
      </c>
      <c r="F24" s="9" t="s">
        <v>92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1"/>
      <c r="X24" s="11"/>
      <c r="Y24" s="11"/>
      <c r="Z24" s="11"/>
      <c r="AA24" s="11"/>
    </row>
    <row r="25" ht="15.75" customHeight="1">
      <c r="A25" s="12" t="s">
        <v>85</v>
      </c>
      <c r="B25" s="12" t="s">
        <v>63</v>
      </c>
      <c r="C25" s="12" t="s">
        <v>93</v>
      </c>
      <c r="D25" s="12" t="s">
        <v>94</v>
      </c>
      <c r="E25" s="12">
        <f>+971589746721</f>
        <v>971589746721</v>
      </c>
      <c r="F25" s="9" t="s">
        <v>89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1"/>
      <c r="X25" s="11"/>
      <c r="Y25" s="11"/>
      <c r="Z25" s="11"/>
      <c r="AA25" s="11"/>
    </row>
    <row r="26" ht="15.75" customHeight="1">
      <c r="A26" s="12" t="s">
        <v>85</v>
      </c>
      <c r="B26" s="12" t="s">
        <v>95</v>
      </c>
      <c r="C26" s="12" t="s">
        <v>96</v>
      </c>
      <c r="D26" s="12" t="s">
        <v>97</v>
      </c>
      <c r="E26" s="12">
        <f>+96594456885</f>
        <v>96594456885</v>
      </c>
      <c r="F26" s="9" t="s">
        <v>89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1"/>
      <c r="X26" s="11"/>
      <c r="Y26" s="11"/>
      <c r="Z26" s="11"/>
      <c r="AA26" s="11"/>
    </row>
    <row r="27" ht="15.75" customHeight="1">
      <c r="A27" s="16">
        <v>43871.0</v>
      </c>
      <c r="B27" s="12" t="s">
        <v>43</v>
      </c>
      <c r="C27" s="12" t="s">
        <v>98</v>
      </c>
      <c r="D27" s="12" t="s">
        <v>99</v>
      </c>
      <c r="E27" s="12">
        <f>+971554069352</f>
        <v>971554069352</v>
      </c>
      <c r="F27" s="9" t="s">
        <v>100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1"/>
      <c r="X27" s="11"/>
      <c r="Y27" s="11"/>
      <c r="Z27" s="11"/>
      <c r="AA27" s="11"/>
    </row>
    <row r="28" ht="15.75" customHeight="1">
      <c r="A28" s="16">
        <v>43872.0</v>
      </c>
      <c r="B28" s="12" t="s">
        <v>59</v>
      </c>
      <c r="C28" s="12" t="s">
        <v>101</v>
      </c>
      <c r="D28" s="12" t="s">
        <v>102</v>
      </c>
      <c r="E28" s="17" t="s">
        <v>103</v>
      </c>
      <c r="F28" s="9" t="s">
        <v>104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1"/>
      <c r="X28" s="11"/>
      <c r="Y28" s="11"/>
      <c r="Z28" s="11"/>
      <c r="AA28" s="11"/>
    </row>
    <row r="29" ht="15.75" customHeight="1">
      <c r="A29" s="16">
        <v>43873.0</v>
      </c>
      <c r="B29" s="12" t="s">
        <v>43</v>
      </c>
      <c r="C29" s="12" t="s">
        <v>105</v>
      </c>
      <c r="D29" s="12" t="s">
        <v>106</v>
      </c>
      <c r="E29" s="17" t="s">
        <v>107</v>
      </c>
      <c r="F29" s="9" t="s">
        <v>108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1"/>
      <c r="X29" s="11"/>
      <c r="Y29" s="11"/>
      <c r="Z29" s="11"/>
      <c r="AA29" s="11"/>
    </row>
    <row r="30" ht="15.75" customHeight="1">
      <c r="A30" s="16">
        <v>43874.0</v>
      </c>
      <c r="B30" s="12" t="s">
        <v>109</v>
      </c>
      <c r="C30" s="12" t="s">
        <v>110</v>
      </c>
      <c r="D30" s="12" t="s">
        <v>111</v>
      </c>
      <c r="E30" s="17" t="s">
        <v>112</v>
      </c>
      <c r="F30" s="9" t="s">
        <v>89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1"/>
      <c r="X30" s="11"/>
      <c r="Y30" s="11"/>
      <c r="Z30" s="11"/>
      <c r="AA30" s="11"/>
    </row>
    <row r="31" ht="15.75" customHeight="1">
      <c r="A31" s="16">
        <v>43878.0</v>
      </c>
      <c r="B31" s="12" t="s">
        <v>63</v>
      </c>
      <c r="C31" s="12" t="s">
        <v>113</v>
      </c>
      <c r="D31" s="12" t="s">
        <v>114</v>
      </c>
      <c r="E31" s="19">
        <v>2.56705318146E11</v>
      </c>
      <c r="F31" s="9" t="s">
        <v>89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1"/>
      <c r="X31" s="11"/>
      <c r="Y31" s="11"/>
      <c r="Z31" s="11"/>
      <c r="AA31" s="11"/>
    </row>
    <row r="32" ht="15.75" customHeight="1">
      <c r="A32" s="16">
        <v>43879.0</v>
      </c>
      <c r="B32" s="12" t="s">
        <v>115</v>
      </c>
      <c r="C32" s="12" t="s">
        <v>116</v>
      </c>
      <c r="D32" s="12" t="s">
        <v>117</v>
      </c>
      <c r="E32" s="17" t="s">
        <v>118</v>
      </c>
      <c r="F32" s="9" t="s">
        <v>119</v>
      </c>
      <c r="G32" s="9" t="s">
        <v>120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1"/>
      <c r="X32" s="11"/>
      <c r="Y32" s="11"/>
      <c r="Z32" s="11"/>
      <c r="AA32" s="11"/>
    </row>
    <row r="33" ht="15.75" customHeight="1">
      <c r="A33" s="12" t="s">
        <v>48</v>
      </c>
      <c r="B33" s="12" t="s">
        <v>49</v>
      </c>
      <c r="C33" s="12" t="s">
        <v>121</v>
      </c>
      <c r="D33" s="12" t="s">
        <v>122</v>
      </c>
      <c r="E33" s="17" t="s">
        <v>123</v>
      </c>
      <c r="F33" s="20" t="s">
        <v>124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1"/>
      <c r="X33" s="11"/>
      <c r="Y33" s="11"/>
      <c r="Z33" s="11"/>
      <c r="AA33" s="11"/>
    </row>
    <row r="34" ht="15.75" customHeight="1">
      <c r="A34" s="16">
        <v>43892.0</v>
      </c>
      <c r="B34" s="12" t="s">
        <v>125</v>
      </c>
      <c r="C34" s="12" t="s">
        <v>126</v>
      </c>
      <c r="D34" s="12" t="s">
        <v>127</v>
      </c>
      <c r="E34" s="17" t="s">
        <v>128</v>
      </c>
      <c r="F34" s="20" t="s">
        <v>129</v>
      </c>
      <c r="G34" s="20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1"/>
      <c r="X34" s="11"/>
      <c r="Y34" s="11"/>
      <c r="Z34" s="11"/>
      <c r="AA34" s="11"/>
    </row>
    <row r="35" ht="15.75" customHeight="1">
      <c r="A35" s="21">
        <v>43893.0</v>
      </c>
      <c r="B35" s="22" t="s">
        <v>79</v>
      </c>
      <c r="C35" s="22" t="s">
        <v>80</v>
      </c>
      <c r="D35" s="22" t="s">
        <v>81</v>
      </c>
      <c r="E35" s="22">
        <f>+966561410905</f>
        <v>966561410905</v>
      </c>
      <c r="F35" s="22" t="s">
        <v>130</v>
      </c>
      <c r="G35" s="22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1"/>
      <c r="X35" s="11"/>
      <c r="Y35" s="11"/>
      <c r="Z35" s="11"/>
      <c r="AA35" s="11"/>
    </row>
    <row r="36" ht="15.75" customHeight="1">
      <c r="A36" s="21">
        <v>43897.0</v>
      </c>
      <c r="B36" s="22" t="s">
        <v>131</v>
      </c>
      <c r="C36" s="22" t="s">
        <v>132</v>
      </c>
      <c r="D36" s="22" t="s">
        <v>133</v>
      </c>
      <c r="E36" s="22">
        <f>+971501957157</f>
        <v>971501957157</v>
      </c>
      <c r="F36" s="22"/>
      <c r="G36" s="20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1"/>
      <c r="X36" s="11"/>
      <c r="Y36" s="11"/>
      <c r="Z36" s="11"/>
      <c r="AA36" s="11"/>
    </row>
    <row r="37" ht="15.75" customHeight="1">
      <c r="A37" s="21">
        <v>43897.0</v>
      </c>
      <c r="B37" s="23" t="s">
        <v>131</v>
      </c>
      <c r="C37" s="23" t="s">
        <v>134</v>
      </c>
      <c r="D37" s="23" t="s">
        <v>135</v>
      </c>
      <c r="E37" s="23">
        <f>+966557559619</f>
        <v>966557559619</v>
      </c>
      <c r="F37" s="23" t="s">
        <v>136</v>
      </c>
      <c r="G37" s="20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1"/>
      <c r="X37" s="11"/>
      <c r="Y37" s="11"/>
      <c r="Z37" s="11"/>
      <c r="AA37" s="11"/>
    </row>
    <row r="38" ht="15.75" customHeight="1">
      <c r="A38" s="21">
        <v>43897.0</v>
      </c>
      <c r="B38" s="23" t="s">
        <v>137</v>
      </c>
      <c r="C38" s="23" t="s">
        <v>138</v>
      </c>
      <c r="D38" s="23" t="s">
        <v>139</v>
      </c>
      <c r="E38" s="23">
        <f>+971523356026</f>
        <v>971523356026</v>
      </c>
      <c r="F38" s="23" t="s">
        <v>136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1"/>
      <c r="X38" s="11"/>
      <c r="Y38" s="11"/>
      <c r="Z38" s="11"/>
      <c r="AA38" s="11"/>
    </row>
    <row r="39" ht="15.75" customHeight="1">
      <c r="A39" s="21">
        <v>43897.0</v>
      </c>
      <c r="B39" s="22" t="s">
        <v>137</v>
      </c>
      <c r="C39" s="22" t="s">
        <v>140</v>
      </c>
      <c r="D39" s="22" t="s">
        <v>141</v>
      </c>
      <c r="E39" s="22">
        <f>+971561902230</f>
        <v>971561902230</v>
      </c>
      <c r="F39" s="22" t="s">
        <v>142</v>
      </c>
      <c r="G39" s="20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1"/>
      <c r="X39" s="11"/>
      <c r="Y39" s="11"/>
      <c r="Z39" s="11"/>
      <c r="AA39" s="11"/>
    </row>
    <row r="40" ht="15.75" customHeight="1">
      <c r="A40" s="21">
        <v>43897.0</v>
      </c>
      <c r="B40" s="24" t="s">
        <v>137</v>
      </c>
      <c r="C40" s="25" t="s">
        <v>143</v>
      </c>
      <c r="D40" s="24" t="s">
        <v>144</v>
      </c>
      <c r="E40" s="24">
        <f>+966545982294</f>
        <v>966545982294</v>
      </c>
      <c r="F40" s="24" t="s">
        <v>136</v>
      </c>
      <c r="G40" s="12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1"/>
      <c r="X40" s="11"/>
      <c r="Y40" s="11"/>
      <c r="Z40" s="11"/>
      <c r="AA40" s="11"/>
    </row>
    <row r="41" ht="15.75" customHeight="1">
      <c r="A41" s="21">
        <v>43897.0</v>
      </c>
      <c r="B41" s="22" t="s">
        <v>137</v>
      </c>
      <c r="C41" s="22" t="s">
        <v>145</v>
      </c>
      <c r="D41" s="22" t="s">
        <v>146</v>
      </c>
      <c r="E41" s="22">
        <f>+966505349652</f>
        <v>966505349652</v>
      </c>
      <c r="F41" s="22" t="s">
        <v>147</v>
      </c>
      <c r="G41" s="20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11"/>
      <c r="X41" s="11"/>
      <c r="Y41" s="11"/>
      <c r="Z41" s="11"/>
      <c r="AA41" s="11"/>
    </row>
    <row r="42" ht="15.75" customHeight="1">
      <c r="A42" s="21">
        <v>43899.0</v>
      </c>
      <c r="B42" s="22" t="s">
        <v>148</v>
      </c>
      <c r="C42" s="26" t="s">
        <v>149</v>
      </c>
      <c r="D42" s="22" t="s">
        <v>150</v>
      </c>
      <c r="E42" s="27" t="s">
        <v>151</v>
      </c>
      <c r="F42" s="26" t="s">
        <v>152</v>
      </c>
      <c r="G42" s="2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11"/>
      <c r="X42" s="11"/>
      <c r="Y42" s="11"/>
      <c r="Z42" s="11"/>
      <c r="AA42" s="11"/>
      <c r="AB42" s="11"/>
      <c r="AC42" s="11"/>
      <c r="AD42" s="11"/>
    </row>
    <row r="43" ht="15.75" customHeight="1">
      <c r="A43" s="28" t="s">
        <v>153</v>
      </c>
      <c r="B43" s="28" t="s">
        <v>154</v>
      </c>
      <c r="C43" s="28" t="s">
        <v>155</v>
      </c>
      <c r="D43" s="28" t="s">
        <v>156</v>
      </c>
      <c r="E43" s="29">
        <v>5.03877243E8</v>
      </c>
      <c r="F43" s="12" t="s">
        <v>53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11"/>
      <c r="X43" s="11"/>
      <c r="Y43" s="11"/>
      <c r="Z43" s="11"/>
      <c r="AA43" s="11"/>
      <c r="AB43" s="11"/>
      <c r="AC43" s="11"/>
      <c r="AD43" s="11"/>
    </row>
    <row r="44" ht="15.75" customHeight="1">
      <c r="A44" s="30">
        <v>43902.0</v>
      </c>
      <c r="B44" s="22" t="s">
        <v>157</v>
      </c>
      <c r="C44" s="22" t="s">
        <v>158</v>
      </c>
      <c r="D44" s="22" t="s">
        <v>159</v>
      </c>
      <c r="E44" s="31" t="s">
        <v>160</v>
      </c>
      <c r="F44" s="12" t="s">
        <v>161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1"/>
      <c r="X44" s="11"/>
      <c r="Y44" s="11"/>
      <c r="Z44" s="11"/>
      <c r="AA44" s="11"/>
      <c r="AB44" s="11"/>
      <c r="AC44" s="11"/>
      <c r="AD44" s="11"/>
    </row>
    <row r="45" ht="15.75" customHeight="1">
      <c r="A45" s="32">
        <v>43907.0</v>
      </c>
      <c r="B45" s="22" t="s">
        <v>162</v>
      </c>
      <c r="C45" s="22" t="s">
        <v>163</v>
      </c>
      <c r="D45" s="22" t="s">
        <v>164</v>
      </c>
      <c r="E45" s="22">
        <v>9.71561406063E11</v>
      </c>
      <c r="F45" s="20" t="s">
        <v>89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1"/>
      <c r="X45" s="11"/>
      <c r="Y45" s="11"/>
      <c r="Z45" s="11"/>
      <c r="AA45" s="11"/>
      <c r="AB45" s="11"/>
      <c r="AC45" s="11"/>
      <c r="AD45" s="11"/>
    </row>
    <row r="46" ht="15.75" customHeight="1">
      <c r="A46" s="32">
        <v>43908.0</v>
      </c>
      <c r="B46" s="22" t="s">
        <v>154</v>
      </c>
      <c r="C46" s="22" t="s">
        <v>165</v>
      </c>
      <c r="D46" s="22" t="s">
        <v>166</v>
      </c>
      <c r="E46" s="22">
        <f>+971501563778</f>
        <v>971501563778</v>
      </c>
      <c r="F46" s="20" t="s">
        <v>167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1"/>
      <c r="X46" s="11"/>
      <c r="Y46" s="11"/>
      <c r="Z46" s="11"/>
      <c r="AA46" s="11"/>
      <c r="AB46" s="11"/>
      <c r="AC46" s="11"/>
      <c r="AD46" s="11"/>
    </row>
    <row r="47" ht="15.75" customHeight="1">
      <c r="A47" s="33">
        <v>43918.0</v>
      </c>
      <c r="B47" s="34" t="s">
        <v>168</v>
      </c>
      <c r="C47" s="34" t="s">
        <v>169</v>
      </c>
      <c r="D47" s="34" t="s">
        <v>170</v>
      </c>
      <c r="E47" s="35" t="s">
        <v>171</v>
      </c>
      <c r="F47" s="36" t="s">
        <v>172</v>
      </c>
      <c r="G47" s="37" t="s">
        <v>173</v>
      </c>
      <c r="H47" s="36"/>
      <c r="I47" s="36" t="s">
        <v>174</v>
      </c>
      <c r="J47" s="36"/>
      <c r="K47" s="36"/>
      <c r="L47" s="36"/>
      <c r="M47" s="9" t="s">
        <v>175</v>
      </c>
      <c r="N47" s="9" t="s">
        <v>108</v>
      </c>
      <c r="O47" s="9"/>
      <c r="P47" s="9"/>
      <c r="Q47" s="9"/>
      <c r="R47" s="9"/>
      <c r="S47" s="9"/>
      <c r="T47" s="9"/>
      <c r="U47" s="9"/>
      <c r="V47" s="9"/>
      <c r="W47" s="11"/>
      <c r="X47" s="11"/>
      <c r="Y47" s="11"/>
      <c r="Z47" s="11"/>
      <c r="AA47" s="11"/>
      <c r="AB47" s="11"/>
      <c r="AC47" s="11"/>
      <c r="AD47" s="11"/>
    </row>
    <row r="48" ht="15.75" customHeight="1">
      <c r="A48" s="21">
        <v>43919.0</v>
      </c>
      <c r="B48" s="22" t="s">
        <v>176</v>
      </c>
      <c r="C48" s="22" t="s">
        <v>177</v>
      </c>
      <c r="D48" s="22" t="s">
        <v>178</v>
      </c>
      <c r="E48" s="22">
        <v>5.099587E7</v>
      </c>
      <c r="F48" s="9" t="s">
        <v>89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1"/>
      <c r="X48" s="11"/>
      <c r="Y48" s="11"/>
      <c r="Z48" s="11"/>
      <c r="AA48" s="11"/>
      <c r="AB48" s="11"/>
      <c r="AC48" s="11"/>
      <c r="AD48" s="11"/>
    </row>
    <row r="49" ht="15.75" customHeight="1">
      <c r="A49" s="38">
        <v>43925.0</v>
      </c>
      <c r="B49" s="9" t="s">
        <v>179</v>
      </c>
      <c r="C49" s="9" t="s">
        <v>180</v>
      </c>
      <c r="D49" s="9" t="s">
        <v>181</v>
      </c>
      <c r="E49" s="9">
        <v>5.45534474E8</v>
      </c>
      <c r="F49" s="9" t="s">
        <v>182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1"/>
      <c r="X49" s="11"/>
      <c r="Y49" s="11"/>
      <c r="Z49" s="11"/>
      <c r="AA49" s="11"/>
      <c r="AB49" s="11"/>
      <c r="AC49" s="11"/>
      <c r="AD49" s="11"/>
    </row>
    <row r="50" ht="15.75" customHeight="1">
      <c r="A50" s="38">
        <v>43927.0</v>
      </c>
      <c r="B50" s="39" t="s">
        <v>176</v>
      </c>
      <c r="C50" s="9" t="s">
        <v>183</v>
      </c>
      <c r="D50" s="9" t="s">
        <v>184</v>
      </c>
      <c r="E50" s="40">
        <v>9.71501613882E11</v>
      </c>
      <c r="F50" s="9" t="s">
        <v>185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1"/>
      <c r="X50" s="11"/>
      <c r="Y50" s="11"/>
      <c r="Z50" s="11"/>
      <c r="AA50" s="11"/>
      <c r="AB50" s="11"/>
      <c r="AC50" s="11"/>
      <c r="AD50" s="11"/>
    </row>
    <row r="51" ht="15.75" customHeight="1">
      <c r="A51" s="41">
        <v>43928.0</v>
      </c>
      <c r="B51" s="42" t="s">
        <v>176</v>
      </c>
      <c r="C51" s="43" t="s">
        <v>186</v>
      </c>
      <c r="D51" s="43" t="s">
        <v>187</v>
      </c>
      <c r="E51" s="43">
        <v>9.71506779941E11</v>
      </c>
      <c r="F51" s="44" t="s">
        <v>188</v>
      </c>
      <c r="G51" s="37"/>
      <c r="H51" s="36" t="s">
        <v>189</v>
      </c>
      <c r="I51" s="36"/>
      <c r="J51" s="36"/>
      <c r="K51" s="36" t="s">
        <v>190</v>
      </c>
      <c r="L51" s="36"/>
      <c r="M51" s="36"/>
      <c r="N51" s="9" t="s">
        <v>191</v>
      </c>
      <c r="O51" s="9"/>
      <c r="P51" s="9"/>
      <c r="Q51" s="9"/>
      <c r="R51" s="9"/>
      <c r="S51" s="9"/>
      <c r="T51" s="9"/>
      <c r="U51" s="9"/>
      <c r="V51" s="10"/>
      <c r="W51" s="45"/>
      <c r="X51" s="45"/>
      <c r="Y51" s="45"/>
      <c r="Z51" s="45"/>
      <c r="AA51" s="45"/>
      <c r="AB51" s="45"/>
      <c r="AC51" s="45"/>
      <c r="AD51" s="45"/>
    </row>
    <row r="52" ht="15.75" customHeight="1">
      <c r="A52" s="46">
        <v>43927.0</v>
      </c>
      <c r="B52" s="47" t="s">
        <v>176</v>
      </c>
      <c r="C52" s="48" t="s">
        <v>183</v>
      </c>
      <c r="D52" s="48" t="s">
        <v>184</v>
      </c>
      <c r="E52" s="49">
        <v>9.71501613882E11</v>
      </c>
      <c r="F52" s="50" t="s">
        <v>192</v>
      </c>
      <c r="G52" s="51"/>
      <c r="H52" s="51"/>
      <c r="I52" s="51"/>
      <c r="J52" s="51"/>
      <c r="K52" s="51"/>
      <c r="L52" s="51"/>
      <c r="M52" s="51"/>
      <c r="N52" s="10"/>
      <c r="O52" s="10"/>
      <c r="P52" s="10"/>
      <c r="Q52" s="10"/>
      <c r="R52" s="10"/>
      <c r="S52" s="10"/>
      <c r="T52" s="10"/>
      <c r="U52" s="10"/>
      <c r="V52" s="10"/>
      <c r="W52" s="45"/>
      <c r="X52" s="45"/>
      <c r="Y52" s="45"/>
      <c r="Z52" s="45"/>
      <c r="AA52" s="45"/>
      <c r="AB52" s="45"/>
      <c r="AC52" s="45"/>
      <c r="AD52" s="45"/>
    </row>
    <row r="53" ht="15.75" customHeight="1">
      <c r="A53" s="46">
        <v>43929.0</v>
      </c>
      <c r="B53" s="9" t="s">
        <v>193</v>
      </c>
      <c r="C53" s="9" t="s">
        <v>194</v>
      </c>
      <c r="D53" s="9" t="s">
        <v>195</v>
      </c>
      <c r="E53" s="9">
        <v>9.71567931531E11</v>
      </c>
      <c r="F53" s="9" t="s">
        <v>196</v>
      </c>
      <c r="G53" s="9"/>
      <c r="H53" s="9" t="s">
        <v>197</v>
      </c>
      <c r="I53" s="9" t="s">
        <v>198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1"/>
      <c r="X53" s="11"/>
      <c r="Y53" s="11"/>
      <c r="Z53" s="11"/>
      <c r="AA53" s="11"/>
      <c r="AB53" s="11"/>
      <c r="AC53" s="11"/>
      <c r="AD53" s="11"/>
    </row>
    <row r="54" ht="15.75" customHeight="1">
      <c r="A54" s="52">
        <v>43930.0</v>
      </c>
      <c r="B54" s="53" t="s">
        <v>199</v>
      </c>
      <c r="C54" s="53" t="s">
        <v>200</v>
      </c>
      <c r="D54" s="54" t="s">
        <v>201</v>
      </c>
      <c r="E54" s="55">
        <v>9.66533059721E11</v>
      </c>
      <c r="F54" s="56" t="s">
        <v>202</v>
      </c>
      <c r="G54" s="56" t="s">
        <v>203</v>
      </c>
      <c r="H54" s="56" t="s">
        <v>108</v>
      </c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</row>
    <row r="55" ht="15.75" customHeight="1">
      <c r="A55" s="57">
        <v>43932.0</v>
      </c>
      <c r="B55" s="9" t="s">
        <v>204</v>
      </c>
      <c r="C55" s="9" t="s">
        <v>205</v>
      </c>
      <c r="D55" s="9" t="s">
        <v>206</v>
      </c>
      <c r="E55" s="9">
        <v>1.6262224736E10</v>
      </c>
      <c r="F55" s="9" t="s">
        <v>207</v>
      </c>
      <c r="G55" s="9" t="s">
        <v>208</v>
      </c>
      <c r="H55" s="9" t="s">
        <v>108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1"/>
      <c r="X55" s="11"/>
      <c r="Y55" s="11"/>
      <c r="Z55" s="11"/>
      <c r="AA55" s="11"/>
      <c r="AB55" s="11"/>
      <c r="AC55" s="11"/>
      <c r="AD55" s="11"/>
    </row>
    <row r="56" ht="15.75" customHeight="1">
      <c r="A56" s="58" t="s">
        <v>209</v>
      </c>
      <c r="B56" s="59" t="s">
        <v>63</v>
      </c>
      <c r="C56" s="59" t="s">
        <v>210</v>
      </c>
      <c r="D56" s="59" t="s">
        <v>211</v>
      </c>
      <c r="E56" s="60">
        <v>9.7150992067E11</v>
      </c>
      <c r="F56" s="61" t="s">
        <v>212</v>
      </c>
      <c r="G56" s="62" t="s">
        <v>213</v>
      </c>
      <c r="H56" s="62" t="s">
        <v>214</v>
      </c>
      <c r="I56" s="62" t="s">
        <v>215</v>
      </c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58"/>
      <c r="X56" s="58"/>
      <c r="Y56" s="58"/>
      <c r="Z56" s="58"/>
      <c r="AA56" s="58"/>
      <c r="AB56" s="58"/>
      <c r="AC56" s="58"/>
      <c r="AD56" s="58"/>
    </row>
    <row r="57" ht="15.75" customHeight="1">
      <c r="A57" s="58" t="s">
        <v>209</v>
      </c>
      <c r="B57" s="64" t="s">
        <v>216</v>
      </c>
      <c r="C57" s="65" t="s">
        <v>217</v>
      </c>
      <c r="D57" s="66" t="s">
        <v>218</v>
      </c>
      <c r="E57" s="65">
        <v>4.47576045178E11</v>
      </c>
      <c r="F57" s="63" t="s">
        <v>219</v>
      </c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58"/>
      <c r="X57" s="58"/>
      <c r="Y57" s="58"/>
      <c r="Z57" s="58"/>
      <c r="AA57" s="58"/>
      <c r="AB57" s="58"/>
      <c r="AC57" s="58"/>
      <c r="AD57" s="58"/>
    </row>
    <row r="58" ht="15.75" customHeight="1">
      <c r="A58" s="58" t="s">
        <v>220</v>
      </c>
      <c r="B58" s="67" t="s">
        <v>63</v>
      </c>
      <c r="C58" s="67" t="s">
        <v>221</v>
      </c>
      <c r="D58" s="68" t="s">
        <v>222</v>
      </c>
      <c r="E58" s="69">
        <v>9.71558893269E11</v>
      </c>
      <c r="F58" s="69" t="s">
        <v>223</v>
      </c>
      <c r="G58" s="69" t="s">
        <v>224</v>
      </c>
      <c r="H58" s="69" t="s">
        <v>225</v>
      </c>
      <c r="I58" s="69" t="s">
        <v>215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1"/>
      <c r="X58" s="11"/>
      <c r="Y58" s="11"/>
      <c r="Z58" s="11"/>
      <c r="AA58" s="11"/>
      <c r="AB58" s="11"/>
      <c r="AC58" s="11"/>
      <c r="AD58" s="11"/>
    </row>
    <row r="59" ht="15.75" customHeight="1">
      <c r="A59" s="70" t="s">
        <v>226</v>
      </c>
      <c r="B59" s="22" t="s">
        <v>63</v>
      </c>
      <c r="C59" s="34" t="s">
        <v>227</v>
      </c>
      <c r="D59" s="34" t="s">
        <v>228</v>
      </c>
      <c r="E59" s="34">
        <v>9.71567406612E11</v>
      </c>
      <c r="F59" s="71" t="s">
        <v>229</v>
      </c>
      <c r="G59" s="36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1"/>
      <c r="X59" s="11"/>
      <c r="Y59" s="11"/>
      <c r="Z59" s="11"/>
      <c r="AA59" s="11"/>
      <c r="AB59" s="11"/>
      <c r="AC59" s="11"/>
      <c r="AD59" s="11"/>
    </row>
    <row r="60" ht="15.75" customHeight="1">
      <c r="A60" s="72">
        <v>43936.0</v>
      </c>
      <c r="B60" s="73" t="s">
        <v>230</v>
      </c>
      <c r="C60" s="74" t="s">
        <v>231</v>
      </c>
      <c r="D60" s="74" t="s">
        <v>232</v>
      </c>
      <c r="E60" s="74">
        <f>+9710525078488</f>
        <v>9710525078488</v>
      </c>
      <c r="F60" s="75" t="s">
        <v>233</v>
      </c>
      <c r="G60" s="76"/>
      <c r="H60" s="75" t="s">
        <v>234</v>
      </c>
      <c r="I60" s="75"/>
      <c r="J60" s="76"/>
      <c r="K60" s="75"/>
      <c r="L60" s="76"/>
      <c r="M60" s="75"/>
      <c r="N60" s="9"/>
      <c r="O60" s="9"/>
      <c r="P60" s="9"/>
      <c r="Q60" s="9"/>
      <c r="R60" s="9"/>
      <c r="S60" s="9"/>
      <c r="T60" s="9"/>
      <c r="U60" s="9"/>
      <c r="V60" s="9"/>
      <c r="W60" s="11"/>
      <c r="X60" s="11"/>
      <c r="Y60" s="11"/>
      <c r="Z60" s="11"/>
      <c r="AA60" s="11"/>
      <c r="AB60" s="11"/>
      <c r="AC60" s="11"/>
      <c r="AD60" s="11"/>
    </row>
    <row r="61" ht="15.75" customHeight="1">
      <c r="A61" s="77">
        <v>43939.0</v>
      </c>
      <c r="B61" s="74" t="s">
        <v>235</v>
      </c>
      <c r="C61" s="74" t="s">
        <v>236</v>
      </c>
      <c r="D61" s="74" t="s">
        <v>237</v>
      </c>
      <c r="E61" s="74">
        <f>+971544625184</f>
        <v>971544625184</v>
      </c>
      <c r="F61" s="78" t="s">
        <v>238</v>
      </c>
      <c r="G61" s="78" t="s">
        <v>239</v>
      </c>
      <c r="H61" s="78"/>
      <c r="I61" s="75"/>
      <c r="J61" s="76"/>
      <c r="K61" s="75"/>
      <c r="L61" s="76"/>
      <c r="M61" s="75"/>
      <c r="N61" s="9"/>
      <c r="O61" s="9"/>
      <c r="P61" s="9"/>
      <c r="Q61" s="9"/>
      <c r="R61" s="9"/>
      <c r="S61" s="9"/>
      <c r="T61" s="9"/>
      <c r="U61" s="9"/>
      <c r="V61" s="9"/>
      <c r="W61" s="11"/>
      <c r="X61" s="11"/>
      <c r="Y61" s="11"/>
      <c r="Z61" s="11"/>
      <c r="AA61" s="11"/>
      <c r="AB61" s="11"/>
      <c r="AC61" s="11"/>
      <c r="AD61" s="11"/>
    </row>
    <row r="62" ht="15.75" customHeight="1">
      <c r="A62" s="77">
        <v>43939.0</v>
      </c>
      <c r="B62" s="74" t="s">
        <v>240</v>
      </c>
      <c r="C62" s="74" t="s">
        <v>241</v>
      </c>
      <c r="D62" s="74" t="s">
        <v>242</v>
      </c>
      <c r="E62" s="74">
        <f>+96565633779</f>
        <v>96565633779</v>
      </c>
      <c r="F62" s="78" t="s">
        <v>243</v>
      </c>
      <c r="G62" s="78"/>
      <c r="H62" s="78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1"/>
      <c r="X62" s="11"/>
      <c r="Y62" s="11"/>
      <c r="Z62" s="11"/>
      <c r="AA62" s="11"/>
      <c r="AB62" s="11"/>
      <c r="AC62" s="11"/>
      <c r="AD62" s="11"/>
    </row>
    <row r="63" ht="15.75" customHeight="1">
      <c r="A63" s="77">
        <v>43941.0</v>
      </c>
      <c r="B63" s="79" t="s">
        <v>199</v>
      </c>
      <c r="C63" s="80" t="s">
        <v>244</v>
      </c>
      <c r="D63" s="80" t="s">
        <v>245</v>
      </c>
      <c r="E63" s="81">
        <v>4.91579373522E12</v>
      </c>
      <c r="F63" s="78" t="s">
        <v>246</v>
      </c>
      <c r="G63" s="78"/>
      <c r="H63" s="78"/>
      <c r="I63" s="78"/>
      <c r="J63" s="78"/>
      <c r="K63" s="78"/>
      <c r="L63" s="78"/>
      <c r="M63" s="9"/>
      <c r="N63" s="9"/>
      <c r="O63" s="9"/>
      <c r="P63" s="9"/>
      <c r="Q63" s="9"/>
      <c r="R63" s="9"/>
      <c r="S63" s="9"/>
      <c r="T63" s="9"/>
      <c r="U63" s="9"/>
      <c r="V63" s="9"/>
      <c r="W63" s="11"/>
      <c r="X63" s="11"/>
      <c r="Y63" s="11"/>
      <c r="Z63" s="11"/>
      <c r="AA63" s="11"/>
      <c r="AB63" s="11"/>
      <c r="AC63" s="11"/>
      <c r="AD63" s="11"/>
    </row>
    <row r="64" ht="15.75" customHeight="1">
      <c r="A64" s="77">
        <v>43941.0</v>
      </c>
      <c r="B64" s="79" t="s">
        <v>63</v>
      </c>
      <c r="C64" s="80" t="s">
        <v>247</v>
      </c>
      <c r="D64" s="80" t="s">
        <v>248</v>
      </c>
      <c r="E64" s="81">
        <v>9.71559005816E11</v>
      </c>
      <c r="F64" s="9" t="s">
        <v>249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1"/>
      <c r="X64" s="11"/>
      <c r="Y64" s="11"/>
      <c r="Z64" s="11"/>
      <c r="AA64" s="11"/>
      <c r="AB64" s="11"/>
      <c r="AC64" s="11"/>
      <c r="AD64" s="11"/>
    </row>
    <row r="65" ht="15.75" customHeight="1">
      <c r="A65" s="77">
        <v>43942.0</v>
      </c>
      <c r="B65" s="82" t="s">
        <v>63</v>
      </c>
      <c r="C65" s="80" t="s">
        <v>250</v>
      </c>
      <c r="D65" s="80" t="s">
        <v>251</v>
      </c>
      <c r="E65" s="81">
        <v>9.71506539439E11</v>
      </c>
      <c r="F65" s="9" t="s">
        <v>252</v>
      </c>
      <c r="G65" s="9" t="s">
        <v>253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1"/>
      <c r="X65" s="11"/>
      <c r="Y65" s="11"/>
      <c r="Z65" s="11"/>
      <c r="AA65" s="11"/>
      <c r="AB65" s="11"/>
      <c r="AC65" s="11"/>
      <c r="AD65" s="11"/>
    </row>
    <row r="66" ht="15.75" customHeight="1">
      <c r="A66" s="83">
        <v>43941.0</v>
      </c>
      <c r="B66" s="84" t="s">
        <v>199</v>
      </c>
      <c r="C66" s="84" t="s">
        <v>254</v>
      </c>
      <c r="D66" s="84" t="s">
        <v>255</v>
      </c>
      <c r="E66" s="85">
        <v>4.47899675196E11</v>
      </c>
      <c r="F66" s="84" t="s">
        <v>255</v>
      </c>
      <c r="G66" s="86" t="s">
        <v>256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1"/>
      <c r="X66" s="11"/>
      <c r="Y66" s="11"/>
      <c r="Z66" s="11"/>
      <c r="AA66" s="11"/>
      <c r="AB66" s="11"/>
      <c r="AC66" s="11"/>
      <c r="AD66" s="11"/>
    </row>
    <row r="67" ht="15.75" customHeight="1">
      <c r="A67" s="83">
        <v>43941.0</v>
      </c>
      <c r="B67" s="84" t="s">
        <v>63</v>
      </c>
      <c r="C67" s="84" t="s">
        <v>257</v>
      </c>
      <c r="D67" s="84" t="s">
        <v>258</v>
      </c>
      <c r="E67" s="85">
        <v>9.71555596597E11</v>
      </c>
      <c r="F67" s="84" t="s">
        <v>258</v>
      </c>
      <c r="G67" s="86" t="s">
        <v>259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1"/>
      <c r="X67" s="11"/>
      <c r="Y67" s="11"/>
      <c r="Z67" s="11"/>
      <c r="AA67" s="11"/>
      <c r="AB67" s="11"/>
      <c r="AC67" s="11"/>
      <c r="AD67" s="11"/>
    </row>
    <row r="68" ht="15.75" customHeight="1">
      <c r="A68" s="83">
        <v>43942.0</v>
      </c>
      <c r="B68" s="84" t="s">
        <v>63</v>
      </c>
      <c r="C68" s="84" t="s">
        <v>260</v>
      </c>
      <c r="D68" s="84" t="s">
        <v>261</v>
      </c>
      <c r="E68" s="85">
        <v>9.714583211E9</v>
      </c>
      <c r="F68" s="84" t="s">
        <v>261</v>
      </c>
      <c r="G68" s="86" t="s">
        <v>262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1"/>
      <c r="X68" s="11"/>
      <c r="Y68" s="11"/>
      <c r="Z68" s="11"/>
      <c r="AA68" s="11"/>
      <c r="AB68" s="11"/>
      <c r="AC68" s="11"/>
      <c r="AD68" s="11"/>
    </row>
    <row r="69" ht="15.75" customHeight="1">
      <c r="A69" s="83">
        <v>43944.0</v>
      </c>
      <c r="B69" s="84" t="s">
        <v>63</v>
      </c>
      <c r="C69" s="84" t="s">
        <v>263</v>
      </c>
      <c r="D69" s="84" t="s">
        <v>264</v>
      </c>
      <c r="E69" s="85">
        <v>4.91722535606E11</v>
      </c>
      <c r="F69" s="84" t="s">
        <v>264</v>
      </c>
      <c r="G69" s="87" t="s">
        <v>265</v>
      </c>
      <c r="H69" s="88" t="s">
        <v>266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1"/>
      <c r="X69" s="11"/>
      <c r="Y69" s="11"/>
      <c r="Z69" s="11"/>
      <c r="AA69" s="11"/>
      <c r="AB69" s="11"/>
      <c r="AC69" s="11"/>
      <c r="AD69" s="11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1"/>
      <c r="X70" s="11"/>
      <c r="Y70" s="11"/>
      <c r="Z70" s="11"/>
      <c r="AA70" s="11"/>
      <c r="AB70" s="11"/>
      <c r="AC70" s="11"/>
      <c r="AD70" s="11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1"/>
      <c r="X71" s="11"/>
      <c r="Y71" s="11"/>
      <c r="Z71" s="11"/>
      <c r="AA71" s="11"/>
      <c r="AB71" s="11"/>
      <c r="AC71" s="11"/>
      <c r="AD71" s="11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1"/>
      <c r="X72" s="11"/>
      <c r="Y72" s="11"/>
      <c r="Z72" s="11"/>
      <c r="AA72" s="11"/>
      <c r="AB72" s="11"/>
      <c r="AC72" s="11"/>
      <c r="AD72" s="11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1"/>
      <c r="X73" s="11"/>
      <c r="Y73" s="11"/>
      <c r="Z73" s="11"/>
      <c r="AA73" s="11"/>
      <c r="AB73" s="11"/>
      <c r="AC73" s="11"/>
      <c r="AD73" s="11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1"/>
      <c r="X74" s="11"/>
      <c r="Y74" s="11"/>
      <c r="Z74" s="11"/>
      <c r="AA74" s="11"/>
      <c r="AB74" s="11"/>
      <c r="AC74" s="11"/>
      <c r="AD74" s="11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1"/>
      <c r="X75" s="11"/>
      <c r="Y75" s="11"/>
      <c r="Z75" s="11"/>
      <c r="AA75" s="11"/>
      <c r="AB75" s="11"/>
      <c r="AC75" s="11"/>
      <c r="AD75" s="11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1"/>
      <c r="X76" s="11"/>
      <c r="Y76" s="11"/>
      <c r="Z76" s="11"/>
      <c r="AA76" s="11"/>
      <c r="AB76" s="11"/>
      <c r="AC76" s="11"/>
      <c r="AD76" s="11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1"/>
      <c r="X77" s="11"/>
      <c r="Y77" s="11"/>
      <c r="Z77" s="11"/>
      <c r="AA77" s="11"/>
      <c r="AB77" s="11"/>
      <c r="AC77" s="11"/>
      <c r="AD77" s="11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1"/>
      <c r="X78" s="11"/>
      <c r="Y78" s="11"/>
      <c r="Z78" s="11"/>
      <c r="AA78" s="11"/>
      <c r="AB78" s="11"/>
      <c r="AC78" s="11"/>
      <c r="AD78" s="11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1"/>
      <c r="X79" s="11"/>
      <c r="Y79" s="11"/>
      <c r="Z79" s="11"/>
      <c r="AA79" s="11"/>
      <c r="AB79" s="11"/>
      <c r="AC79" s="11"/>
      <c r="AD79" s="11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1"/>
      <c r="X80" s="11"/>
      <c r="Y80" s="11"/>
      <c r="Z80" s="11"/>
      <c r="AA80" s="11"/>
      <c r="AB80" s="11"/>
      <c r="AC80" s="11"/>
      <c r="AD80" s="11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1"/>
      <c r="X81" s="11"/>
      <c r="Y81" s="11"/>
      <c r="Z81" s="11"/>
      <c r="AA81" s="11"/>
      <c r="AB81" s="11"/>
      <c r="AC81" s="11"/>
      <c r="AD81" s="11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1"/>
      <c r="X82" s="11"/>
      <c r="Y82" s="11"/>
      <c r="Z82" s="11"/>
      <c r="AA82" s="11"/>
      <c r="AB82" s="11"/>
      <c r="AC82" s="11"/>
      <c r="AD82" s="11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1"/>
      <c r="X83" s="11"/>
      <c r="Y83" s="11"/>
      <c r="Z83" s="11"/>
      <c r="AA83" s="11"/>
      <c r="AB83" s="11"/>
      <c r="AC83" s="11"/>
      <c r="AD83" s="11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1"/>
      <c r="X84" s="11"/>
      <c r="Y84" s="11"/>
      <c r="Z84" s="11"/>
      <c r="AA84" s="11"/>
      <c r="AB84" s="11"/>
      <c r="AC84" s="11"/>
      <c r="AD84" s="11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1"/>
      <c r="X85" s="11"/>
      <c r="Y85" s="11"/>
      <c r="Z85" s="11"/>
      <c r="AA85" s="11"/>
      <c r="AB85" s="11"/>
      <c r="AC85" s="11"/>
      <c r="AD85" s="11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1"/>
      <c r="X86" s="11"/>
      <c r="Y86" s="11"/>
      <c r="Z86" s="11"/>
      <c r="AA86" s="11"/>
      <c r="AB86" s="11"/>
      <c r="AC86" s="11"/>
      <c r="AD86" s="11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1"/>
      <c r="X87" s="11"/>
      <c r="Y87" s="11"/>
      <c r="Z87" s="11"/>
      <c r="AA87" s="11"/>
      <c r="AB87" s="11"/>
      <c r="AC87" s="11"/>
      <c r="AD87" s="11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1"/>
      <c r="X88" s="11"/>
      <c r="Y88" s="11"/>
      <c r="Z88" s="11"/>
      <c r="AA88" s="11"/>
      <c r="AB88" s="11"/>
      <c r="AC88" s="11"/>
      <c r="AD88" s="11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1"/>
      <c r="X89" s="11"/>
      <c r="Y89" s="11"/>
      <c r="Z89" s="11"/>
      <c r="AA89" s="11"/>
      <c r="AB89" s="11"/>
      <c r="AC89" s="11"/>
      <c r="AD89" s="11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1"/>
      <c r="X90" s="11"/>
      <c r="Y90" s="11"/>
      <c r="Z90" s="11"/>
      <c r="AA90" s="11"/>
      <c r="AB90" s="11"/>
      <c r="AC90" s="11"/>
      <c r="AD90" s="11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1"/>
      <c r="X91" s="11"/>
      <c r="Y91" s="11"/>
      <c r="Z91" s="11"/>
      <c r="AA91" s="11"/>
      <c r="AB91" s="11"/>
      <c r="AC91" s="11"/>
      <c r="AD91" s="11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1"/>
      <c r="X92" s="11"/>
      <c r="Y92" s="11"/>
      <c r="Z92" s="11"/>
      <c r="AA92" s="11"/>
      <c r="AB92" s="11"/>
      <c r="AC92" s="11"/>
      <c r="AD92" s="11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1"/>
      <c r="X93" s="11"/>
      <c r="Y93" s="11"/>
      <c r="Z93" s="11"/>
      <c r="AA93" s="11"/>
      <c r="AB93" s="11"/>
      <c r="AC93" s="11"/>
      <c r="AD93" s="11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1"/>
      <c r="X94" s="11"/>
      <c r="Y94" s="11"/>
      <c r="Z94" s="11"/>
      <c r="AA94" s="11"/>
      <c r="AB94" s="11"/>
      <c r="AC94" s="11"/>
      <c r="AD94" s="11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1"/>
      <c r="X95" s="11"/>
      <c r="Y95" s="11"/>
      <c r="Z95" s="11"/>
      <c r="AA95" s="11"/>
      <c r="AB95" s="11"/>
      <c r="AC95" s="11"/>
      <c r="AD95" s="11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1"/>
      <c r="X96" s="11"/>
      <c r="Y96" s="11"/>
      <c r="Z96" s="11"/>
      <c r="AA96" s="11"/>
      <c r="AB96" s="11"/>
      <c r="AC96" s="11"/>
      <c r="AD96" s="11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1"/>
      <c r="X97" s="11"/>
      <c r="Y97" s="11"/>
      <c r="Z97" s="11"/>
      <c r="AA97" s="11"/>
      <c r="AB97" s="11"/>
      <c r="AC97" s="11"/>
      <c r="AD97" s="11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1"/>
      <c r="X98" s="11"/>
      <c r="Y98" s="11"/>
      <c r="Z98" s="11"/>
      <c r="AA98" s="11"/>
      <c r="AB98" s="11"/>
      <c r="AC98" s="11"/>
      <c r="AD98" s="11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1"/>
      <c r="X99" s="11"/>
      <c r="Y99" s="11"/>
      <c r="Z99" s="11"/>
      <c r="AA99" s="11"/>
      <c r="AB99" s="11"/>
      <c r="AC99" s="11"/>
      <c r="AD99" s="11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1"/>
      <c r="X100" s="11"/>
      <c r="Y100" s="11"/>
      <c r="Z100" s="11"/>
      <c r="AA100" s="11"/>
      <c r="AB100" s="11"/>
      <c r="AC100" s="11"/>
      <c r="AD100" s="11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1"/>
      <c r="X101" s="11"/>
      <c r="Y101" s="11"/>
      <c r="Z101" s="11"/>
      <c r="AA101" s="11"/>
      <c r="AB101" s="11"/>
      <c r="AC101" s="11"/>
      <c r="AD101" s="11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1"/>
      <c r="X102" s="11"/>
      <c r="Y102" s="11"/>
      <c r="Z102" s="11"/>
      <c r="AA102" s="11"/>
      <c r="AB102" s="11"/>
      <c r="AC102" s="11"/>
      <c r="AD102" s="11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1"/>
      <c r="X103" s="11"/>
      <c r="Y103" s="11"/>
      <c r="Z103" s="11"/>
      <c r="AA103" s="11"/>
      <c r="AB103" s="11"/>
      <c r="AC103" s="11"/>
      <c r="AD103" s="11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1"/>
      <c r="X104" s="11"/>
      <c r="Y104" s="11"/>
      <c r="Z104" s="11"/>
      <c r="AA104" s="11"/>
      <c r="AB104" s="11"/>
      <c r="AC104" s="11"/>
      <c r="AD104" s="11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1"/>
      <c r="X105" s="11"/>
      <c r="Y105" s="11"/>
      <c r="Z105" s="11"/>
      <c r="AA105" s="11"/>
      <c r="AB105" s="11"/>
      <c r="AC105" s="11"/>
      <c r="AD105" s="11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1"/>
      <c r="X106" s="11"/>
      <c r="Y106" s="11"/>
      <c r="Z106" s="11"/>
      <c r="AA106" s="11"/>
      <c r="AB106" s="11"/>
      <c r="AC106" s="11"/>
      <c r="AD106" s="11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1"/>
      <c r="X107" s="11"/>
      <c r="Y107" s="11"/>
      <c r="Z107" s="11"/>
      <c r="AA107" s="11"/>
      <c r="AB107" s="11"/>
      <c r="AC107" s="11"/>
      <c r="AD107" s="11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1"/>
      <c r="X108" s="11"/>
      <c r="Y108" s="11"/>
      <c r="Z108" s="11"/>
      <c r="AA108" s="11"/>
      <c r="AB108" s="11"/>
      <c r="AC108" s="11"/>
      <c r="AD108" s="11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1"/>
      <c r="X109" s="11"/>
      <c r="Y109" s="11"/>
      <c r="Z109" s="11"/>
      <c r="AA109" s="11"/>
      <c r="AB109" s="11"/>
      <c r="AC109" s="11"/>
      <c r="AD109" s="11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1"/>
      <c r="X110" s="11"/>
      <c r="Y110" s="11"/>
      <c r="Z110" s="11"/>
      <c r="AA110" s="11"/>
      <c r="AB110" s="11"/>
      <c r="AC110" s="11"/>
      <c r="AD110" s="11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1"/>
      <c r="X122" s="11"/>
      <c r="Y122" s="11"/>
      <c r="Z122" s="11"/>
      <c r="AA122" s="11"/>
      <c r="AB122" s="11"/>
      <c r="AC122" s="11"/>
      <c r="AD122" s="11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1"/>
      <c r="X125" s="11"/>
      <c r="Y125" s="11"/>
      <c r="Z125" s="11"/>
      <c r="AA125" s="11"/>
      <c r="AB125" s="11"/>
      <c r="AC125" s="11"/>
      <c r="AD125" s="11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1"/>
      <c r="X129" s="11"/>
      <c r="Y129" s="11"/>
      <c r="Z129" s="11"/>
      <c r="AA129" s="11"/>
      <c r="AB129" s="11"/>
      <c r="AC129" s="11"/>
      <c r="AD129" s="11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11"/>
      <c r="X130" s="11"/>
      <c r="Y130" s="11"/>
      <c r="Z130" s="11"/>
      <c r="AA130" s="11"/>
      <c r="AB130" s="11"/>
      <c r="AC130" s="11"/>
      <c r="AD130" s="11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1"/>
      <c r="X131" s="11"/>
      <c r="Y131" s="11"/>
      <c r="Z131" s="11"/>
      <c r="AA131" s="11"/>
      <c r="AB131" s="11"/>
      <c r="AC131" s="11"/>
      <c r="AD131" s="11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1"/>
      <c r="X132" s="11"/>
      <c r="Y132" s="11"/>
      <c r="Z132" s="11"/>
      <c r="AA132" s="11"/>
      <c r="AB132" s="11"/>
      <c r="AC132" s="11"/>
      <c r="AD132" s="11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1"/>
      <c r="X133" s="11"/>
      <c r="Y133" s="11"/>
      <c r="Z133" s="11"/>
      <c r="AA133" s="11"/>
      <c r="AB133" s="11"/>
      <c r="AC133" s="11"/>
      <c r="AD133" s="11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1"/>
      <c r="X134" s="11"/>
      <c r="Y134" s="11"/>
      <c r="Z134" s="11"/>
      <c r="AA134" s="11"/>
      <c r="AB134" s="11"/>
      <c r="AC134" s="11"/>
      <c r="AD134" s="11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1"/>
      <c r="X135" s="11"/>
      <c r="Y135" s="11"/>
      <c r="Z135" s="11"/>
      <c r="AA135" s="11"/>
      <c r="AB135" s="11"/>
      <c r="AC135" s="11"/>
      <c r="AD135" s="11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1"/>
      <c r="X136" s="11"/>
      <c r="Y136" s="11"/>
      <c r="Z136" s="11"/>
      <c r="AA136" s="11"/>
      <c r="AB136" s="11"/>
      <c r="AC136" s="11"/>
      <c r="AD136" s="11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1"/>
      <c r="X137" s="11"/>
      <c r="Y137" s="11"/>
      <c r="Z137" s="11"/>
      <c r="AA137" s="11"/>
      <c r="AB137" s="11"/>
      <c r="AC137" s="11"/>
      <c r="AD137" s="11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1"/>
      <c r="X138" s="11"/>
      <c r="Y138" s="11"/>
      <c r="Z138" s="11"/>
      <c r="AA138" s="11"/>
      <c r="AB138" s="11"/>
      <c r="AC138" s="11"/>
      <c r="AD138" s="11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1"/>
      <c r="X139" s="11"/>
      <c r="Y139" s="11"/>
      <c r="Z139" s="11"/>
      <c r="AA139" s="11"/>
      <c r="AB139" s="11"/>
      <c r="AC139" s="11"/>
      <c r="AD139" s="11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1"/>
      <c r="X140" s="11"/>
      <c r="Y140" s="11"/>
      <c r="Z140" s="11"/>
      <c r="AA140" s="11"/>
      <c r="AB140" s="11"/>
      <c r="AC140" s="11"/>
      <c r="AD140" s="11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1"/>
      <c r="X141" s="11"/>
      <c r="Y141" s="11"/>
      <c r="Z141" s="11"/>
      <c r="AA141" s="11"/>
      <c r="AB141" s="11"/>
      <c r="AC141" s="11"/>
      <c r="AD141" s="11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1"/>
      <c r="X142" s="11"/>
      <c r="Y142" s="11"/>
      <c r="Z142" s="11"/>
      <c r="AA142" s="11"/>
      <c r="AB142" s="11"/>
      <c r="AC142" s="11"/>
      <c r="AD142" s="11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1"/>
      <c r="X143" s="11"/>
      <c r="Y143" s="11"/>
      <c r="Z143" s="11"/>
      <c r="AA143" s="11"/>
      <c r="AB143" s="11"/>
      <c r="AC143" s="11"/>
      <c r="AD143" s="11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11"/>
      <c r="X144" s="11"/>
      <c r="Y144" s="11"/>
      <c r="Z144" s="11"/>
      <c r="AA144" s="11"/>
      <c r="AB144" s="11"/>
      <c r="AC144" s="11"/>
      <c r="AD144" s="11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1"/>
      <c r="X145" s="11"/>
      <c r="Y145" s="11"/>
      <c r="Z145" s="11"/>
      <c r="AA145" s="11"/>
      <c r="AB145" s="11"/>
      <c r="AC145" s="11"/>
      <c r="AD145" s="11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1"/>
      <c r="X146" s="11"/>
      <c r="Y146" s="11"/>
      <c r="Z146" s="11"/>
      <c r="AA146" s="11"/>
      <c r="AB146" s="11"/>
      <c r="AC146" s="11"/>
      <c r="AD146" s="11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1"/>
      <c r="X147" s="11"/>
      <c r="Y147" s="11"/>
      <c r="Z147" s="11"/>
      <c r="AA147" s="11"/>
      <c r="AB147" s="11"/>
      <c r="AC147" s="11"/>
      <c r="AD147" s="11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1"/>
      <c r="X148" s="11"/>
      <c r="Y148" s="11"/>
      <c r="Z148" s="11"/>
      <c r="AA148" s="11"/>
      <c r="AB148" s="11"/>
      <c r="AC148" s="11"/>
      <c r="AD148" s="11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1"/>
      <c r="X149" s="11"/>
      <c r="Y149" s="11"/>
      <c r="Z149" s="11"/>
      <c r="AA149" s="11"/>
      <c r="AB149" s="11"/>
      <c r="AC149" s="11"/>
      <c r="AD149" s="11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1"/>
      <c r="X150" s="11"/>
      <c r="Y150" s="11"/>
      <c r="Z150" s="11"/>
      <c r="AA150" s="11"/>
      <c r="AB150" s="11"/>
      <c r="AC150" s="11"/>
      <c r="AD150" s="11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1"/>
      <c r="X151" s="11"/>
      <c r="Y151" s="11"/>
      <c r="Z151" s="11"/>
      <c r="AA151" s="11"/>
      <c r="AB151" s="11"/>
      <c r="AC151" s="11"/>
      <c r="AD151" s="11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1"/>
      <c r="X152" s="11"/>
      <c r="Y152" s="11"/>
      <c r="Z152" s="11"/>
      <c r="AA152" s="11"/>
      <c r="AB152" s="11"/>
      <c r="AC152" s="11"/>
      <c r="AD152" s="11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1"/>
      <c r="X153" s="11"/>
      <c r="Y153" s="11"/>
      <c r="Z153" s="11"/>
      <c r="AA153" s="11"/>
      <c r="AB153" s="11"/>
      <c r="AC153" s="11"/>
      <c r="AD153" s="11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1"/>
      <c r="X154" s="11"/>
      <c r="Y154" s="11"/>
      <c r="Z154" s="11"/>
      <c r="AA154" s="11"/>
      <c r="AB154" s="11"/>
      <c r="AC154" s="11"/>
      <c r="AD154" s="11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1"/>
      <c r="X155" s="11"/>
      <c r="Y155" s="11"/>
      <c r="Z155" s="11"/>
      <c r="AA155" s="11"/>
      <c r="AB155" s="11"/>
      <c r="AC155" s="11"/>
      <c r="AD155" s="11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1"/>
      <c r="X156" s="11"/>
      <c r="Y156" s="11"/>
      <c r="Z156" s="11"/>
      <c r="AA156" s="11"/>
      <c r="AB156" s="11"/>
      <c r="AC156" s="11"/>
      <c r="AD156" s="11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1"/>
      <c r="X157" s="11"/>
      <c r="Y157" s="11"/>
      <c r="Z157" s="11"/>
      <c r="AA157" s="11"/>
      <c r="AB157" s="11"/>
      <c r="AC157" s="11"/>
      <c r="AD157" s="11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1"/>
      <c r="X158" s="11"/>
      <c r="Y158" s="11"/>
      <c r="Z158" s="11"/>
      <c r="AA158" s="11"/>
      <c r="AB158" s="11"/>
      <c r="AC158" s="11"/>
      <c r="AD158" s="11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1"/>
      <c r="X159" s="11"/>
      <c r="Y159" s="11"/>
      <c r="Z159" s="11"/>
      <c r="AA159" s="11"/>
      <c r="AB159" s="11"/>
      <c r="AC159" s="11"/>
      <c r="AD159" s="11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1"/>
      <c r="X160" s="11"/>
      <c r="Y160" s="11"/>
      <c r="Z160" s="11"/>
      <c r="AA160" s="11"/>
      <c r="AB160" s="11"/>
      <c r="AC160" s="11"/>
      <c r="AD160" s="11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1"/>
      <c r="X161" s="11"/>
      <c r="Y161" s="11"/>
      <c r="Z161" s="11"/>
      <c r="AA161" s="11"/>
      <c r="AB161" s="11"/>
      <c r="AC161" s="11"/>
      <c r="AD161" s="11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1"/>
      <c r="X162" s="11"/>
      <c r="Y162" s="11"/>
      <c r="Z162" s="11"/>
      <c r="AA162" s="11"/>
      <c r="AB162" s="11"/>
      <c r="AC162" s="11"/>
      <c r="AD162" s="11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1"/>
      <c r="X163" s="11"/>
      <c r="Y163" s="11"/>
      <c r="Z163" s="11"/>
      <c r="AA163" s="11"/>
      <c r="AB163" s="11"/>
      <c r="AC163" s="11"/>
      <c r="AD163" s="11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1"/>
      <c r="X164" s="11"/>
      <c r="Y164" s="11"/>
      <c r="Z164" s="11"/>
      <c r="AA164" s="11"/>
      <c r="AB164" s="11"/>
      <c r="AC164" s="11"/>
      <c r="AD164" s="11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1"/>
      <c r="X165" s="11"/>
      <c r="Y165" s="11"/>
      <c r="Z165" s="11"/>
      <c r="AA165" s="11"/>
      <c r="AB165" s="11"/>
      <c r="AC165" s="11"/>
      <c r="AD165" s="11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1"/>
      <c r="X166" s="11"/>
      <c r="Y166" s="11"/>
      <c r="Z166" s="11"/>
      <c r="AA166" s="11"/>
      <c r="AB166" s="11"/>
      <c r="AC166" s="11"/>
      <c r="AD166" s="11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1"/>
      <c r="X167" s="11"/>
      <c r="Y167" s="11"/>
      <c r="Z167" s="11"/>
      <c r="AA167" s="11"/>
      <c r="AB167" s="11"/>
      <c r="AC167" s="11"/>
      <c r="AD167" s="11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11"/>
      <c r="X168" s="11"/>
      <c r="Y168" s="11"/>
      <c r="Z168" s="11"/>
      <c r="AA168" s="11"/>
      <c r="AB168" s="11"/>
      <c r="AC168" s="11"/>
      <c r="AD168" s="11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1"/>
      <c r="X169" s="11"/>
      <c r="Y169" s="11"/>
      <c r="Z169" s="11"/>
      <c r="AA169" s="11"/>
      <c r="AB169" s="11"/>
      <c r="AC169" s="11"/>
      <c r="AD169" s="11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1"/>
      <c r="X170" s="11"/>
      <c r="Y170" s="11"/>
      <c r="Z170" s="11"/>
      <c r="AA170" s="11"/>
      <c r="AB170" s="11"/>
      <c r="AC170" s="11"/>
      <c r="AD170" s="11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1"/>
      <c r="X171" s="11"/>
      <c r="Y171" s="11"/>
      <c r="Z171" s="11"/>
      <c r="AA171" s="11"/>
      <c r="AB171" s="11"/>
      <c r="AC171" s="11"/>
      <c r="AD171" s="11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1"/>
      <c r="X172" s="11"/>
      <c r="Y172" s="11"/>
      <c r="Z172" s="11"/>
      <c r="AA172" s="11"/>
      <c r="AB172" s="11"/>
      <c r="AC172" s="11"/>
      <c r="AD172" s="11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1"/>
      <c r="X173" s="11"/>
      <c r="Y173" s="11"/>
      <c r="Z173" s="11"/>
      <c r="AA173" s="11"/>
      <c r="AB173" s="11"/>
      <c r="AC173" s="11"/>
      <c r="AD173" s="11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1"/>
      <c r="X174" s="11"/>
      <c r="Y174" s="11"/>
      <c r="Z174" s="11"/>
      <c r="AA174" s="11"/>
      <c r="AB174" s="11"/>
      <c r="AC174" s="11"/>
      <c r="AD174" s="11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1"/>
      <c r="X175" s="11"/>
      <c r="Y175" s="11"/>
      <c r="Z175" s="11"/>
      <c r="AA175" s="11"/>
      <c r="AB175" s="11"/>
      <c r="AC175" s="11"/>
      <c r="AD175" s="11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1"/>
      <c r="X176" s="11"/>
      <c r="Y176" s="11"/>
      <c r="Z176" s="11"/>
      <c r="AA176" s="11"/>
      <c r="AB176" s="11"/>
      <c r="AC176" s="11"/>
      <c r="AD176" s="11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1"/>
      <c r="X177" s="11"/>
      <c r="Y177" s="11"/>
      <c r="Z177" s="11"/>
      <c r="AA177" s="11"/>
      <c r="AB177" s="11"/>
      <c r="AC177" s="11"/>
      <c r="AD177" s="11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1"/>
      <c r="X178" s="11"/>
      <c r="Y178" s="11"/>
      <c r="Z178" s="11"/>
      <c r="AA178" s="11"/>
      <c r="AB178" s="11"/>
      <c r="AC178" s="11"/>
      <c r="AD178" s="11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1"/>
      <c r="X179" s="11"/>
      <c r="Y179" s="11"/>
      <c r="Z179" s="11"/>
      <c r="AA179" s="11"/>
      <c r="AB179" s="11"/>
      <c r="AC179" s="11"/>
      <c r="AD179" s="11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1"/>
      <c r="X180" s="11"/>
      <c r="Y180" s="11"/>
      <c r="Z180" s="11"/>
      <c r="AA180" s="11"/>
      <c r="AB180" s="11"/>
      <c r="AC180" s="11"/>
      <c r="AD180" s="11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1"/>
      <c r="X181" s="11"/>
      <c r="Y181" s="11"/>
      <c r="Z181" s="11"/>
      <c r="AA181" s="11"/>
      <c r="AB181" s="11"/>
      <c r="AC181" s="11"/>
      <c r="AD181" s="11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1"/>
      <c r="X182" s="11"/>
      <c r="Y182" s="11"/>
      <c r="Z182" s="11"/>
      <c r="AA182" s="11"/>
      <c r="AB182" s="11"/>
      <c r="AC182" s="11"/>
      <c r="AD182" s="11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1"/>
      <c r="X183" s="11"/>
      <c r="Y183" s="11"/>
      <c r="Z183" s="11"/>
      <c r="AA183" s="11"/>
      <c r="AB183" s="11"/>
      <c r="AC183" s="11"/>
      <c r="AD183" s="11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11"/>
      <c r="X184" s="11"/>
      <c r="Y184" s="11"/>
      <c r="Z184" s="11"/>
      <c r="AA184" s="11"/>
      <c r="AB184" s="11"/>
      <c r="AC184" s="11"/>
      <c r="AD184" s="11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1"/>
      <c r="X185" s="11"/>
      <c r="Y185" s="11"/>
      <c r="Z185" s="11"/>
      <c r="AA185" s="11"/>
      <c r="AB185" s="11"/>
      <c r="AC185" s="11"/>
      <c r="AD185" s="11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1"/>
      <c r="X186" s="11"/>
      <c r="Y186" s="11"/>
      <c r="Z186" s="11"/>
      <c r="AA186" s="11"/>
      <c r="AB186" s="11"/>
      <c r="AC186" s="11"/>
      <c r="AD186" s="11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1"/>
      <c r="X187" s="11"/>
      <c r="Y187" s="11"/>
      <c r="Z187" s="11"/>
      <c r="AA187" s="11"/>
      <c r="AB187" s="11"/>
      <c r="AC187" s="11"/>
      <c r="AD187" s="11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1"/>
      <c r="X188" s="11"/>
      <c r="Y188" s="11"/>
      <c r="Z188" s="11"/>
      <c r="AA188" s="11"/>
      <c r="AB188" s="11"/>
      <c r="AC188" s="11"/>
      <c r="AD188" s="11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1"/>
      <c r="X189" s="11"/>
      <c r="Y189" s="11"/>
      <c r="Z189" s="11"/>
      <c r="AA189" s="11"/>
      <c r="AB189" s="11"/>
      <c r="AC189" s="11"/>
      <c r="AD189" s="11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1"/>
      <c r="X190" s="11"/>
      <c r="Y190" s="11"/>
      <c r="Z190" s="11"/>
      <c r="AA190" s="11"/>
      <c r="AB190" s="11"/>
      <c r="AC190" s="11"/>
      <c r="AD190" s="11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1"/>
      <c r="X191" s="11"/>
      <c r="Y191" s="11"/>
      <c r="Z191" s="11"/>
      <c r="AA191" s="11"/>
      <c r="AB191" s="11"/>
      <c r="AC191" s="11"/>
      <c r="AD191" s="11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1"/>
      <c r="X192" s="11"/>
      <c r="Y192" s="11"/>
      <c r="Z192" s="11"/>
      <c r="AA192" s="11"/>
      <c r="AB192" s="11"/>
      <c r="AC192" s="11"/>
      <c r="AD192" s="11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1"/>
      <c r="X193" s="11"/>
      <c r="Y193" s="11"/>
      <c r="Z193" s="11"/>
      <c r="AA193" s="11"/>
      <c r="AB193" s="11"/>
      <c r="AC193" s="11"/>
      <c r="AD193" s="11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1"/>
      <c r="X194" s="11"/>
      <c r="Y194" s="11"/>
      <c r="Z194" s="11"/>
      <c r="AA194" s="11"/>
      <c r="AB194" s="11"/>
      <c r="AC194" s="11"/>
      <c r="AD194" s="11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1"/>
      <c r="X195" s="11"/>
      <c r="Y195" s="11"/>
      <c r="Z195" s="11"/>
      <c r="AA195" s="11"/>
      <c r="AB195" s="11"/>
      <c r="AC195" s="11"/>
      <c r="AD195" s="11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1"/>
      <c r="X196" s="11"/>
      <c r="Y196" s="11"/>
      <c r="Z196" s="11"/>
      <c r="AA196" s="11"/>
      <c r="AB196" s="11"/>
      <c r="AC196" s="11"/>
      <c r="AD196" s="11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1"/>
      <c r="X197" s="11"/>
      <c r="Y197" s="11"/>
      <c r="Z197" s="11"/>
      <c r="AA197" s="11"/>
      <c r="AB197" s="11"/>
      <c r="AC197" s="11"/>
      <c r="AD197" s="11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1"/>
      <c r="X198" s="11"/>
      <c r="Y198" s="11"/>
      <c r="Z198" s="11"/>
      <c r="AA198" s="11"/>
      <c r="AB198" s="11"/>
      <c r="AC198" s="11"/>
      <c r="AD198" s="11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1"/>
      <c r="X199" s="11"/>
      <c r="Y199" s="11"/>
      <c r="Z199" s="11"/>
      <c r="AA199" s="11"/>
      <c r="AB199" s="11"/>
      <c r="AC199" s="11"/>
      <c r="AD199" s="11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1"/>
      <c r="X200" s="11"/>
      <c r="Y200" s="11"/>
      <c r="Z200" s="11"/>
      <c r="AA200" s="11"/>
      <c r="AB200" s="11"/>
      <c r="AC200" s="11"/>
      <c r="AD200" s="11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1"/>
      <c r="X201" s="11"/>
      <c r="Y201" s="11"/>
      <c r="Z201" s="11"/>
      <c r="AA201" s="11"/>
      <c r="AB201" s="11"/>
      <c r="AC201" s="11"/>
      <c r="AD201" s="11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1"/>
      <c r="X202" s="11"/>
      <c r="Y202" s="11"/>
      <c r="Z202" s="11"/>
      <c r="AA202" s="11"/>
      <c r="AB202" s="11"/>
      <c r="AC202" s="11"/>
      <c r="AD202" s="11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1"/>
      <c r="X203" s="11"/>
      <c r="Y203" s="11"/>
      <c r="Z203" s="11"/>
      <c r="AA203" s="11"/>
      <c r="AB203" s="11"/>
      <c r="AC203" s="11"/>
      <c r="AD203" s="11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1"/>
      <c r="X204" s="11"/>
      <c r="Y204" s="11"/>
      <c r="Z204" s="11"/>
      <c r="AA204" s="11"/>
      <c r="AB204" s="11"/>
      <c r="AC204" s="11"/>
      <c r="AD204" s="11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1"/>
      <c r="X205" s="11"/>
      <c r="Y205" s="11"/>
      <c r="Z205" s="11"/>
      <c r="AA205" s="11"/>
      <c r="AB205" s="11"/>
      <c r="AC205" s="11"/>
      <c r="AD205" s="11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1"/>
      <c r="X206" s="11"/>
      <c r="Y206" s="11"/>
      <c r="Z206" s="11"/>
      <c r="AA206" s="11"/>
      <c r="AB206" s="11"/>
      <c r="AC206" s="11"/>
      <c r="AD206" s="11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1"/>
      <c r="X207" s="11"/>
      <c r="Y207" s="11"/>
      <c r="Z207" s="11"/>
      <c r="AA207" s="11"/>
      <c r="AB207" s="11"/>
      <c r="AC207" s="11"/>
      <c r="AD207" s="11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1"/>
      <c r="X208" s="11"/>
      <c r="Y208" s="11"/>
      <c r="Z208" s="11"/>
      <c r="AA208" s="11"/>
      <c r="AB208" s="11"/>
      <c r="AC208" s="11"/>
      <c r="AD208" s="11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1"/>
      <c r="X209" s="11"/>
      <c r="Y209" s="11"/>
      <c r="Z209" s="11"/>
      <c r="AA209" s="11"/>
      <c r="AB209" s="11"/>
      <c r="AC209" s="11"/>
      <c r="AD209" s="11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1"/>
      <c r="X210" s="11"/>
      <c r="Y210" s="11"/>
      <c r="Z210" s="11"/>
      <c r="AA210" s="11"/>
      <c r="AB210" s="11"/>
      <c r="AC210" s="11"/>
      <c r="AD210" s="11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1"/>
      <c r="X211" s="11"/>
      <c r="Y211" s="11"/>
      <c r="Z211" s="11"/>
      <c r="AA211" s="11"/>
      <c r="AB211" s="11"/>
      <c r="AC211" s="11"/>
      <c r="AD211" s="11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1"/>
      <c r="X212" s="11"/>
      <c r="Y212" s="11"/>
      <c r="Z212" s="11"/>
      <c r="AA212" s="11"/>
      <c r="AB212" s="11"/>
      <c r="AC212" s="11"/>
      <c r="AD212" s="11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1"/>
      <c r="X213" s="11"/>
      <c r="Y213" s="11"/>
      <c r="Z213" s="11"/>
      <c r="AA213" s="11"/>
      <c r="AB213" s="11"/>
      <c r="AC213" s="11"/>
      <c r="AD213" s="11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1"/>
      <c r="X214" s="11"/>
      <c r="Y214" s="11"/>
      <c r="Z214" s="11"/>
      <c r="AA214" s="11"/>
      <c r="AB214" s="11"/>
      <c r="AC214" s="11"/>
      <c r="AD214" s="11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1"/>
      <c r="X215" s="11"/>
      <c r="Y215" s="11"/>
      <c r="Z215" s="11"/>
      <c r="AA215" s="11"/>
      <c r="AB215" s="11"/>
      <c r="AC215" s="11"/>
      <c r="AD215" s="11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1"/>
      <c r="X216" s="11"/>
      <c r="Y216" s="11"/>
      <c r="Z216" s="11"/>
      <c r="AA216" s="11"/>
      <c r="AB216" s="11"/>
      <c r="AC216" s="11"/>
      <c r="AD216" s="11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1"/>
      <c r="X217" s="11"/>
      <c r="Y217" s="11"/>
      <c r="Z217" s="11"/>
      <c r="AA217" s="11"/>
      <c r="AB217" s="11"/>
      <c r="AC217" s="11"/>
      <c r="AD217" s="11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1"/>
      <c r="X218" s="11"/>
      <c r="Y218" s="11"/>
      <c r="Z218" s="11"/>
      <c r="AA218" s="11"/>
      <c r="AB218" s="11"/>
      <c r="AC218" s="11"/>
      <c r="AD218" s="11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1"/>
      <c r="X219" s="11"/>
      <c r="Y219" s="11"/>
      <c r="Z219" s="11"/>
      <c r="AA219" s="11"/>
      <c r="AB219" s="11"/>
      <c r="AC219" s="11"/>
      <c r="AD219" s="11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1"/>
      <c r="X220" s="11"/>
      <c r="Y220" s="11"/>
      <c r="Z220" s="11"/>
      <c r="AA220" s="11"/>
      <c r="AB220" s="11"/>
      <c r="AC220" s="11"/>
      <c r="AD220" s="11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1"/>
      <c r="X221" s="11"/>
      <c r="Y221" s="11"/>
      <c r="Z221" s="11"/>
      <c r="AA221" s="11"/>
      <c r="AB221" s="11"/>
      <c r="AC221" s="11"/>
      <c r="AD221" s="11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1"/>
      <c r="X222" s="11"/>
      <c r="Y222" s="11"/>
      <c r="Z222" s="11"/>
      <c r="AA222" s="11"/>
      <c r="AB222" s="11"/>
      <c r="AC222" s="11"/>
      <c r="AD222" s="11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1"/>
      <c r="X223" s="11"/>
      <c r="Y223" s="11"/>
      <c r="Z223" s="11"/>
      <c r="AA223" s="11"/>
      <c r="AB223" s="11"/>
      <c r="AC223" s="11"/>
      <c r="AD223" s="11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1"/>
      <c r="X224" s="11"/>
      <c r="Y224" s="11"/>
      <c r="Z224" s="11"/>
      <c r="AA224" s="11"/>
      <c r="AB224" s="11"/>
      <c r="AC224" s="11"/>
      <c r="AD224" s="11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1"/>
      <c r="X225" s="11"/>
      <c r="Y225" s="11"/>
      <c r="Z225" s="11"/>
      <c r="AA225" s="11"/>
      <c r="AB225" s="11"/>
      <c r="AC225" s="11"/>
      <c r="AD225" s="11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1"/>
      <c r="X226" s="11"/>
      <c r="Y226" s="11"/>
      <c r="Z226" s="11"/>
      <c r="AA226" s="11"/>
      <c r="AB226" s="11"/>
      <c r="AC226" s="11"/>
      <c r="AD226" s="11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1"/>
      <c r="X227" s="11"/>
      <c r="Y227" s="11"/>
      <c r="Z227" s="11"/>
      <c r="AA227" s="11"/>
      <c r="AB227" s="11"/>
      <c r="AC227" s="11"/>
      <c r="AD227" s="11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1"/>
      <c r="X228" s="11"/>
      <c r="Y228" s="11"/>
      <c r="Z228" s="11"/>
      <c r="AA228" s="11"/>
      <c r="AB228" s="11"/>
      <c r="AC228" s="11"/>
      <c r="AD228" s="11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1"/>
      <c r="X229" s="11"/>
      <c r="Y229" s="11"/>
      <c r="Z229" s="11"/>
      <c r="AA229" s="11"/>
      <c r="AB229" s="11"/>
      <c r="AC229" s="11"/>
      <c r="AD229" s="11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1"/>
      <c r="X230" s="11"/>
      <c r="Y230" s="11"/>
      <c r="Z230" s="11"/>
      <c r="AA230" s="11"/>
      <c r="AB230" s="11"/>
      <c r="AC230" s="11"/>
      <c r="AD230" s="11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1"/>
      <c r="X231" s="11"/>
      <c r="Y231" s="11"/>
      <c r="Z231" s="11"/>
      <c r="AA231" s="11"/>
      <c r="AB231" s="11"/>
      <c r="AC231" s="11"/>
      <c r="AD231" s="11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1"/>
      <c r="X232" s="11"/>
      <c r="Y232" s="11"/>
      <c r="Z232" s="11"/>
      <c r="AA232" s="11"/>
      <c r="AB232" s="11"/>
      <c r="AC232" s="11"/>
      <c r="AD232" s="11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1"/>
      <c r="X233" s="11"/>
      <c r="Y233" s="11"/>
      <c r="Z233" s="11"/>
      <c r="AA233" s="11"/>
      <c r="AB233" s="11"/>
      <c r="AC233" s="11"/>
      <c r="AD233" s="11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1"/>
      <c r="X234" s="11"/>
      <c r="Y234" s="11"/>
      <c r="Z234" s="11"/>
      <c r="AA234" s="11"/>
      <c r="AB234" s="11"/>
      <c r="AC234" s="11"/>
      <c r="AD234" s="11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1"/>
      <c r="X235" s="11"/>
      <c r="Y235" s="11"/>
      <c r="Z235" s="11"/>
      <c r="AA235" s="11"/>
      <c r="AB235" s="11"/>
      <c r="AC235" s="11"/>
      <c r="AD235" s="11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1"/>
      <c r="X236" s="11"/>
      <c r="Y236" s="11"/>
      <c r="Z236" s="11"/>
      <c r="AA236" s="11"/>
      <c r="AB236" s="11"/>
      <c r="AC236" s="11"/>
      <c r="AD236" s="11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1"/>
      <c r="X237" s="11"/>
      <c r="Y237" s="11"/>
      <c r="Z237" s="11"/>
      <c r="AA237" s="11"/>
      <c r="AB237" s="11"/>
      <c r="AC237" s="11"/>
      <c r="AD237" s="11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1"/>
      <c r="X238" s="11"/>
      <c r="Y238" s="11"/>
      <c r="Z238" s="11"/>
      <c r="AA238" s="11"/>
      <c r="AB238" s="11"/>
      <c r="AC238" s="11"/>
      <c r="AD238" s="11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1"/>
      <c r="X239" s="11"/>
      <c r="Y239" s="11"/>
      <c r="Z239" s="11"/>
      <c r="AA239" s="11"/>
      <c r="AB239" s="11"/>
      <c r="AC239" s="11"/>
      <c r="AD239" s="11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1"/>
      <c r="X240" s="11"/>
      <c r="Y240" s="11"/>
      <c r="Z240" s="11"/>
      <c r="AA240" s="11"/>
      <c r="AB240" s="11"/>
      <c r="AC240" s="11"/>
      <c r="AD240" s="11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1"/>
      <c r="X241" s="11"/>
      <c r="Y241" s="11"/>
      <c r="Z241" s="11"/>
      <c r="AA241" s="11"/>
      <c r="AB241" s="11"/>
      <c r="AC241" s="11"/>
      <c r="AD241" s="11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1"/>
      <c r="X242" s="11"/>
      <c r="Y242" s="11"/>
      <c r="Z242" s="11"/>
      <c r="AA242" s="11"/>
      <c r="AB242" s="11"/>
      <c r="AC242" s="11"/>
      <c r="AD242" s="11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1"/>
      <c r="X243" s="11"/>
      <c r="Y243" s="11"/>
      <c r="Z243" s="11"/>
      <c r="AA243" s="11"/>
      <c r="AB243" s="11"/>
      <c r="AC243" s="11"/>
      <c r="AD243" s="11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1"/>
      <c r="X244" s="11"/>
      <c r="Y244" s="11"/>
      <c r="Z244" s="11"/>
      <c r="AA244" s="11"/>
      <c r="AB244" s="11"/>
      <c r="AC244" s="11"/>
      <c r="AD244" s="11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1"/>
      <c r="X245" s="11"/>
      <c r="Y245" s="11"/>
      <c r="Z245" s="11"/>
      <c r="AA245" s="11"/>
      <c r="AB245" s="11"/>
      <c r="AC245" s="11"/>
      <c r="AD245" s="11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1"/>
      <c r="X246" s="11"/>
      <c r="Y246" s="11"/>
      <c r="Z246" s="11"/>
      <c r="AA246" s="11"/>
      <c r="AB246" s="11"/>
      <c r="AC246" s="11"/>
      <c r="AD246" s="11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1"/>
      <c r="X247" s="11"/>
      <c r="Y247" s="11"/>
      <c r="Z247" s="11"/>
      <c r="AA247" s="11"/>
      <c r="AB247" s="11"/>
      <c r="AC247" s="11"/>
      <c r="AD247" s="11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1"/>
      <c r="X248" s="11"/>
      <c r="Y248" s="11"/>
      <c r="Z248" s="11"/>
      <c r="AA248" s="11"/>
      <c r="AB248" s="11"/>
      <c r="AC248" s="11"/>
      <c r="AD248" s="11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1"/>
      <c r="X249" s="11"/>
      <c r="Y249" s="11"/>
      <c r="Z249" s="11"/>
      <c r="AA249" s="11"/>
      <c r="AB249" s="11"/>
      <c r="AC249" s="11"/>
      <c r="AD249" s="11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1"/>
      <c r="X250" s="11"/>
      <c r="Y250" s="11"/>
      <c r="Z250" s="11"/>
      <c r="AA250" s="11"/>
      <c r="AB250" s="11"/>
      <c r="AC250" s="11"/>
      <c r="AD250" s="11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1"/>
      <c r="X251" s="11"/>
      <c r="Y251" s="11"/>
      <c r="Z251" s="11"/>
      <c r="AA251" s="11"/>
      <c r="AB251" s="11"/>
      <c r="AC251" s="11"/>
      <c r="AD251" s="11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1"/>
      <c r="X252" s="11"/>
      <c r="Y252" s="11"/>
      <c r="Z252" s="11"/>
      <c r="AA252" s="11"/>
      <c r="AB252" s="11"/>
      <c r="AC252" s="11"/>
      <c r="AD252" s="11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1"/>
      <c r="X253" s="11"/>
      <c r="Y253" s="11"/>
      <c r="Z253" s="11"/>
      <c r="AA253" s="11"/>
      <c r="AB253" s="11"/>
      <c r="AC253" s="11"/>
      <c r="AD253" s="11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1"/>
      <c r="X254" s="11"/>
      <c r="Y254" s="11"/>
      <c r="Z254" s="11"/>
      <c r="AA254" s="11"/>
      <c r="AB254" s="11"/>
      <c r="AC254" s="11"/>
      <c r="AD254" s="11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1"/>
      <c r="X255" s="11"/>
      <c r="Y255" s="11"/>
      <c r="Z255" s="11"/>
      <c r="AA255" s="11"/>
      <c r="AB255" s="11"/>
      <c r="AC255" s="11"/>
      <c r="AD255" s="11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1"/>
      <c r="X256" s="11"/>
      <c r="Y256" s="11"/>
      <c r="Z256" s="11"/>
      <c r="AA256" s="11"/>
      <c r="AB256" s="11"/>
      <c r="AC256" s="11"/>
      <c r="AD256" s="11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1"/>
      <c r="X257" s="11"/>
      <c r="Y257" s="11"/>
      <c r="Z257" s="11"/>
      <c r="AA257" s="11"/>
      <c r="AB257" s="11"/>
      <c r="AC257" s="11"/>
      <c r="AD257" s="11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1"/>
      <c r="X258" s="11"/>
      <c r="Y258" s="11"/>
      <c r="Z258" s="11"/>
      <c r="AA258" s="11"/>
      <c r="AB258" s="11"/>
      <c r="AC258" s="11"/>
      <c r="AD258" s="11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1"/>
      <c r="X259" s="11"/>
      <c r="Y259" s="11"/>
      <c r="Z259" s="11"/>
      <c r="AA259" s="11"/>
      <c r="AB259" s="11"/>
      <c r="AC259" s="11"/>
      <c r="AD259" s="11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1"/>
      <c r="X260" s="11"/>
      <c r="Y260" s="11"/>
      <c r="Z260" s="11"/>
      <c r="AA260" s="11"/>
      <c r="AB260" s="11"/>
      <c r="AC260" s="11"/>
      <c r="AD260" s="11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1"/>
      <c r="X261" s="11"/>
      <c r="Y261" s="11"/>
      <c r="Z261" s="11"/>
      <c r="AA261" s="11"/>
      <c r="AB261" s="11"/>
      <c r="AC261" s="11"/>
      <c r="AD261" s="11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1"/>
      <c r="X262" s="11"/>
      <c r="Y262" s="11"/>
      <c r="Z262" s="11"/>
      <c r="AA262" s="11"/>
      <c r="AB262" s="11"/>
      <c r="AC262" s="11"/>
      <c r="AD262" s="11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1"/>
      <c r="X263" s="11"/>
      <c r="Y263" s="11"/>
      <c r="Z263" s="11"/>
      <c r="AA263" s="11"/>
      <c r="AB263" s="11"/>
      <c r="AC263" s="11"/>
      <c r="AD263" s="11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1"/>
      <c r="X264" s="11"/>
      <c r="Y264" s="11"/>
      <c r="Z264" s="11"/>
      <c r="AA264" s="11"/>
      <c r="AB264" s="11"/>
      <c r="AC264" s="11"/>
      <c r="AD264" s="11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1"/>
      <c r="X265" s="11"/>
      <c r="Y265" s="11"/>
      <c r="Z265" s="11"/>
      <c r="AA265" s="11"/>
      <c r="AB265" s="11"/>
      <c r="AC265" s="11"/>
      <c r="AD265" s="11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1"/>
      <c r="X266" s="11"/>
      <c r="Y266" s="11"/>
      <c r="Z266" s="11"/>
      <c r="AA266" s="11"/>
      <c r="AB266" s="11"/>
      <c r="AC266" s="11"/>
      <c r="AD266" s="11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1"/>
      <c r="X267" s="11"/>
      <c r="Y267" s="11"/>
      <c r="Z267" s="11"/>
      <c r="AA267" s="11"/>
      <c r="AB267" s="11"/>
      <c r="AC267" s="11"/>
      <c r="AD267" s="11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1"/>
      <c r="X268" s="11"/>
      <c r="Y268" s="11"/>
      <c r="Z268" s="11"/>
      <c r="AA268" s="11"/>
      <c r="AB268" s="11"/>
      <c r="AC268" s="11"/>
      <c r="AD268" s="11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1"/>
      <c r="X269" s="11"/>
      <c r="Y269" s="11"/>
      <c r="Z269" s="11"/>
      <c r="AA269" s="11"/>
      <c r="AB269" s="11"/>
      <c r="AC269" s="11"/>
      <c r="AD269" s="1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5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9.71"/>
    <col customWidth="1" min="3" max="6" width="14.43"/>
    <col customWidth="1" min="7" max="7" width="21.0"/>
    <col customWidth="1" hidden="1" min="10" max="16" width="14.43"/>
    <col customWidth="1" min="17" max="17" width="24.14"/>
    <col customWidth="1" min="18" max="18" width="55.86"/>
    <col customWidth="1" min="19" max="19" width="49.0"/>
    <col customWidth="1" min="20" max="20" width="28.71"/>
    <col customWidth="1" min="22" max="22" width="41.0"/>
    <col customWidth="1" min="23" max="23" width="31.86"/>
    <col customWidth="1" min="24" max="24" width="34.29"/>
    <col customWidth="1" min="26" max="27" width="64.0"/>
  </cols>
  <sheetData>
    <row r="1" ht="15.75" customHeight="1">
      <c r="A1" s="89" t="s">
        <v>267</v>
      </c>
      <c r="B1" s="89" t="s">
        <v>268</v>
      </c>
      <c r="C1" s="90" t="s">
        <v>269</v>
      </c>
      <c r="D1" s="89" t="s">
        <v>270</v>
      </c>
      <c r="E1" s="89" t="s">
        <v>271</v>
      </c>
      <c r="F1" s="89" t="s">
        <v>272</v>
      </c>
      <c r="G1" s="91" t="s">
        <v>273</v>
      </c>
      <c r="H1" s="89" t="s">
        <v>274</v>
      </c>
      <c r="I1" s="89" t="s">
        <v>275</v>
      </c>
      <c r="J1" s="89" t="s">
        <v>276</v>
      </c>
      <c r="K1" s="89" t="s">
        <v>277</v>
      </c>
      <c r="L1" s="89" t="s">
        <v>278</v>
      </c>
      <c r="M1" s="89" t="s">
        <v>279</v>
      </c>
      <c r="N1" s="89" t="s">
        <v>280</v>
      </c>
      <c r="O1" s="89" t="s">
        <v>281</v>
      </c>
      <c r="P1" s="89" t="s">
        <v>282</v>
      </c>
      <c r="Q1" s="89" t="s">
        <v>283</v>
      </c>
      <c r="R1" s="92" t="s">
        <v>284</v>
      </c>
      <c r="S1" s="92" t="s">
        <v>284</v>
      </c>
      <c r="T1" s="92" t="s">
        <v>284</v>
      </c>
      <c r="U1" s="89"/>
      <c r="V1" s="89"/>
      <c r="W1" s="89"/>
      <c r="X1" s="89"/>
      <c r="Y1" s="89"/>
      <c r="Z1" s="89"/>
      <c r="AA1" s="89"/>
    </row>
    <row r="2" ht="15.75" customHeight="1">
      <c r="A2" s="93" t="s">
        <v>285</v>
      </c>
      <c r="B2" s="93" t="s">
        <v>286</v>
      </c>
      <c r="C2" s="94">
        <v>44044.0</v>
      </c>
      <c r="D2" s="93" t="s">
        <v>287</v>
      </c>
      <c r="E2" s="93" t="s">
        <v>288</v>
      </c>
      <c r="F2" s="93" t="s">
        <v>289</v>
      </c>
      <c r="G2" s="95" t="s">
        <v>290</v>
      </c>
      <c r="H2" s="93"/>
      <c r="I2" s="93" t="s">
        <v>291</v>
      </c>
      <c r="J2" s="93" t="s">
        <v>292</v>
      </c>
      <c r="K2" s="93" t="b">
        <v>0</v>
      </c>
      <c r="L2" s="93" t="s">
        <v>292</v>
      </c>
      <c r="M2" s="93" t="b">
        <v>0</v>
      </c>
      <c r="N2" s="93" t="b">
        <v>0</v>
      </c>
      <c r="O2" s="93"/>
      <c r="P2" s="93"/>
      <c r="Q2" s="96" t="s">
        <v>293</v>
      </c>
      <c r="R2" s="93"/>
      <c r="S2" s="97"/>
      <c r="T2" s="93"/>
      <c r="U2" s="93"/>
      <c r="V2" s="93"/>
      <c r="W2" s="93"/>
      <c r="X2" s="93"/>
      <c r="Y2" s="93"/>
      <c r="Z2" s="93"/>
      <c r="AA2" s="93"/>
    </row>
    <row r="3" ht="15.75" customHeight="1">
      <c r="A3" s="93" t="s">
        <v>285</v>
      </c>
      <c r="B3" s="93" t="s">
        <v>286</v>
      </c>
      <c r="C3" s="94">
        <v>44044.0</v>
      </c>
      <c r="D3" s="93" t="s">
        <v>294</v>
      </c>
      <c r="E3" s="93" t="s">
        <v>294</v>
      </c>
      <c r="F3" s="93" t="s">
        <v>295</v>
      </c>
      <c r="G3" s="95" t="s">
        <v>296</v>
      </c>
      <c r="H3" s="93"/>
      <c r="I3" s="93" t="s">
        <v>297</v>
      </c>
      <c r="J3" s="93" t="s">
        <v>298</v>
      </c>
      <c r="K3" s="93" t="b">
        <v>0</v>
      </c>
      <c r="L3" s="93" t="s">
        <v>298</v>
      </c>
      <c r="M3" s="93" t="b">
        <v>0</v>
      </c>
      <c r="N3" s="93" t="b">
        <v>0</v>
      </c>
      <c r="O3" s="93"/>
      <c r="P3" s="93"/>
      <c r="Q3" s="96" t="s">
        <v>299</v>
      </c>
      <c r="R3" s="93"/>
      <c r="S3" s="97" t="s">
        <v>300</v>
      </c>
      <c r="T3" s="93"/>
      <c r="U3" s="93"/>
      <c r="V3" s="93"/>
      <c r="W3" s="93"/>
      <c r="X3" s="93"/>
      <c r="Y3" s="93"/>
      <c r="Z3" s="93"/>
      <c r="AA3" s="93"/>
    </row>
    <row r="4" ht="15.75" customHeight="1">
      <c r="A4" s="93" t="s">
        <v>285</v>
      </c>
      <c r="B4" s="93" t="s">
        <v>286</v>
      </c>
      <c r="C4" s="94">
        <v>44044.0</v>
      </c>
      <c r="D4" s="93" t="s">
        <v>301</v>
      </c>
      <c r="E4" s="93" t="s">
        <v>302</v>
      </c>
      <c r="F4" s="93" t="s">
        <v>303</v>
      </c>
      <c r="G4" s="95" t="s">
        <v>304</v>
      </c>
      <c r="H4" s="93"/>
      <c r="I4" s="93" t="s">
        <v>305</v>
      </c>
      <c r="J4" s="93" t="s">
        <v>306</v>
      </c>
      <c r="K4" s="93" t="b">
        <v>1</v>
      </c>
      <c r="L4" s="93" t="s">
        <v>307</v>
      </c>
      <c r="M4" s="93" t="b">
        <v>0</v>
      </c>
      <c r="N4" s="93" t="b">
        <v>0</v>
      </c>
      <c r="O4" s="93" t="s">
        <v>308</v>
      </c>
      <c r="P4" s="93"/>
      <c r="Q4" s="96" t="s">
        <v>293</v>
      </c>
      <c r="R4" s="93"/>
      <c r="S4" s="97" t="s">
        <v>309</v>
      </c>
      <c r="T4" s="93"/>
      <c r="U4" s="93"/>
      <c r="V4" s="93"/>
      <c r="W4" s="93" t="s">
        <v>310</v>
      </c>
      <c r="X4" s="93"/>
      <c r="Y4" s="93"/>
      <c r="Z4" s="93"/>
      <c r="AA4" s="93"/>
    </row>
    <row r="5" ht="15.75" customHeight="1">
      <c r="A5" s="93" t="s">
        <v>285</v>
      </c>
      <c r="B5" s="93" t="s">
        <v>286</v>
      </c>
      <c r="C5" s="94">
        <v>44044.0</v>
      </c>
      <c r="D5" s="93" t="s">
        <v>311</v>
      </c>
      <c r="E5" s="93" t="s">
        <v>312</v>
      </c>
      <c r="F5" s="93" t="s">
        <v>295</v>
      </c>
      <c r="G5" s="95" t="s">
        <v>313</v>
      </c>
      <c r="H5" s="93"/>
      <c r="I5" s="93" t="s">
        <v>314</v>
      </c>
      <c r="J5" s="93" t="s">
        <v>298</v>
      </c>
      <c r="K5" s="93" t="b">
        <v>0</v>
      </c>
      <c r="L5" s="93" t="s">
        <v>298</v>
      </c>
      <c r="M5" s="93" t="b">
        <v>0</v>
      </c>
      <c r="N5" s="93" t="b">
        <v>0</v>
      </c>
      <c r="O5" s="93" t="s">
        <v>308</v>
      </c>
      <c r="P5" s="93"/>
      <c r="Q5" s="96" t="s">
        <v>293</v>
      </c>
      <c r="R5" s="93"/>
      <c r="S5" s="97"/>
      <c r="T5" s="93"/>
      <c r="U5" s="93"/>
      <c r="V5" s="93"/>
      <c r="W5" s="93"/>
      <c r="X5" s="93"/>
      <c r="Y5" s="93"/>
      <c r="Z5" s="93"/>
      <c r="AA5" s="93"/>
    </row>
    <row r="6" ht="15.75" customHeight="1">
      <c r="A6" s="93" t="s">
        <v>285</v>
      </c>
      <c r="B6" s="93" t="s">
        <v>286</v>
      </c>
      <c r="C6" s="94">
        <v>44044.0</v>
      </c>
      <c r="D6" s="93" t="s">
        <v>315</v>
      </c>
      <c r="E6" s="93" t="s">
        <v>316</v>
      </c>
      <c r="F6" s="93" t="s">
        <v>303</v>
      </c>
      <c r="G6" s="95" t="s">
        <v>317</v>
      </c>
      <c r="H6" s="93"/>
      <c r="I6" s="93" t="s">
        <v>318</v>
      </c>
      <c r="J6" s="93" t="s">
        <v>319</v>
      </c>
      <c r="K6" s="93" t="b">
        <v>1</v>
      </c>
      <c r="L6" s="93" t="s">
        <v>307</v>
      </c>
      <c r="M6" s="93" t="b">
        <v>0</v>
      </c>
      <c r="N6" s="93" t="b">
        <v>0</v>
      </c>
      <c r="O6" s="93"/>
      <c r="P6" s="93"/>
      <c r="Q6" s="96" t="s">
        <v>293</v>
      </c>
      <c r="R6" s="93"/>
      <c r="S6" s="97" t="s">
        <v>320</v>
      </c>
      <c r="T6" s="93"/>
      <c r="U6" s="93"/>
      <c r="V6" s="93"/>
      <c r="W6" s="93" t="s">
        <v>120</v>
      </c>
      <c r="X6" s="93"/>
      <c r="Y6" s="93"/>
      <c r="Z6" s="93"/>
      <c r="AA6" s="93"/>
    </row>
    <row r="7" ht="15.75" customHeight="1">
      <c r="A7" s="93" t="s">
        <v>285</v>
      </c>
      <c r="B7" s="93" t="s">
        <v>286</v>
      </c>
      <c r="C7" s="94">
        <v>44044.0</v>
      </c>
      <c r="D7" s="93" t="s">
        <v>321</v>
      </c>
      <c r="E7" s="93" t="s">
        <v>322</v>
      </c>
      <c r="F7" s="93" t="s">
        <v>323</v>
      </c>
      <c r="G7" s="95" t="s">
        <v>324</v>
      </c>
      <c r="H7" s="93"/>
      <c r="I7" s="93" t="s">
        <v>325</v>
      </c>
      <c r="J7" s="93" t="s">
        <v>326</v>
      </c>
      <c r="K7" s="93" t="b">
        <v>0</v>
      </c>
      <c r="L7" s="93" t="s">
        <v>326</v>
      </c>
      <c r="M7" s="93" t="b">
        <v>0</v>
      </c>
      <c r="N7" s="93" t="b">
        <v>0</v>
      </c>
      <c r="O7" s="93"/>
      <c r="P7" s="93"/>
      <c r="Q7" s="96" t="s">
        <v>327</v>
      </c>
      <c r="R7" s="93"/>
      <c r="S7" s="97" t="s">
        <v>328</v>
      </c>
      <c r="T7" s="93"/>
      <c r="U7" s="93"/>
      <c r="V7" s="93"/>
      <c r="W7" s="93" t="s">
        <v>329</v>
      </c>
      <c r="X7" s="93"/>
      <c r="Y7" s="93"/>
      <c r="Z7" s="93"/>
      <c r="AA7" s="93"/>
    </row>
    <row r="8" ht="15.75" customHeight="1">
      <c r="A8" s="93" t="s">
        <v>285</v>
      </c>
      <c r="B8" s="93" t="s">
        <v>286</v>
      </c>
      <c r="C8" s="94">
        <v>44105.0</v>
      </c>
      <c r="D8" s="93" t="s">
        <v>330</v>
      </c>
      <c r="E8" s="93" t="s">
        <v>330</v>
      </c>
      <c r="F8" s="93" t="s">
        <v>331</v>
      </c>
      <c r="G8" s="93" t="s">
        <v>332</v>
      </c>
      <c r="H8" s="93"/>
      <c r="I8" s="93" t="s">
        <v>297</v>
      </c>
      <c r="J8" s="93" t="s">
        <v>333</v>
      </c>
      <c r="K8" s="93" t="b">
        <v>0</v>
      </c>
      <c r="L8" s="93" t="s">
        <v>333</v>
      </c>
      <c r="M8" s="93" t="b">
        <v>0</v>
      </c>
      <c r="N8" s="93" t="b">
        <v>0</v>
      </c>
      <c r="O8" s="93"/>
      <c r="P8" s="93"/>
      <c r="Q8" s="96" t="s">
        <v>334</v>
      </c>
      <c r="R8" s="93"/>
      <c r="S8" s="97" t="s">
        <v>335</v>
      </c>
      <c r="T8" s="93"/>
      <c r="U8" s="93"/>
      <c r="V8" s="93"/>
      <c r="W8" s="93" t="s">
        <v>336</v>
      </c>
      <c r="X8" s="93"/>
      <c r="Y8" s="93"/>
      <c r="Z8" s="93"/>
      <c r="AA8" s="93"/>
    </row>
    <row r="9" ht="15.75" customHeight="1">
      <c r="A9" s="93" t="s">
        <v>285</v>
      </c>
      <c r="B9" s="93" t="s">
        <v>286</v>
      </c>
      <c r="C9" s="94">
        <v>44105.0</v>
      </c>
      <c r="D9" s="93" t="s">
        <v>337</v>
      </c>
      <c r="E9" s="93" t="s">
        <v>337</v>
      </c>
      <c r="F9" s="93" t="s">
        <v>338</v>
      </c>
      <c r="G9" s="93" t="s">
        <v>339</v>
      </c>
      <c r="H9" s="93"/>
      <c r="I9" s="93" t="s">
        <v>297</v>
      </c>
      <c r="J9" s="93" t="s">
        <v>340</v>
      </c>
      <c r="K9" s="93" t="b">
        <v>0</v>
      </c>
      <c r="L9" s="93" t="s">
        <v>340</v>
      </c>
      <c r="M9" s="93" t="b">
        <v>0</v>
      </c>
      <c r="N9" s="93" t="b">
        <v>0</v>
      </c>
      <c r="O9" s="93"/>
      <c r="P9" s="93"/>
      <c r="Q9" s="96" t="s">
        <v>334</v>
      </c>
      <c r="R9" s="93"/>
      <c r="S9" s="97" t="s">
        <v>341</v>
      </c>
      <c r="T9" s="93"/>
      <c r="U9" s="93"/>
      <c r="V9" s="93"/>
      <c r="W9" s="93"/>
      <c r="X9" s="93"/>
      <c r="Y9" s="93"/>
      <c r="Z9" s="93"/>
      <c r="AA9" s="93"/>
    </row>
    <row r="10" ht="15.75" customHeight="1">
      <c r="A10" s="93" t="s">
        <v>285</v>
      </c>
      <c r="B10" s="93" t="s">
        <v>286</v>
      </c>
      <c r="C10" s="94">
        <v>44105.0</v>
      </c>
      <c r="D10" s="93" t="s">
        <v>342</v>
      </c>
      <c r="E10" s="93" t="s">
        <v>342</v>
      </c>
      <c r="F10" s="93" t="s">
        <v>303</v>
      </c>
      <c r="G10" s="93" t="s">
        <v>343</v>
      </c>
      <c r="H10" s="93"/>
      <c r="I10" s="93" t="s">
        <v>297</v>
      </c>
      <c r="J10" s="93" t="s">
        <v>344</v>
      </c>
      <c r="K10" s="93" t="b">
        <v>0</v>
      </c>
      <c r="L10" s="93" t="s">
        <v>345</v>
      </c>
      <c r="M10" s="93" t="b">
        <v>0</v>
      </c>
      <c r="N10" s="93" t="b">
        <v>0</v>
      </c>
      <c r="O10" s="93"/>
      <c r="P10" s="98" t="s">
        <v>346</v>
      </c>
      <c r="Q10" s="96" t="s">
        <v>334</v>
      </c>
      <c r="R10" s="93"/>
      <c r="S10" s="97" t="s">
        <v>347</v>
      </c>
      <c r="T10" s="93"/>
      <c r="U10" s="93"/>
      <c r="V10" s="93" t="s">
        <v>348</v>
      </c>
      <c r="W10" s="99" t="s">
        <v>349</v>
      </c>
      <c r="X10" s="93"/>
      <c r="Y10" s="93"/>
      <c r="Z10" s="93"/>
      <c r="AA10" s="93"/>
    </row>
    <row r="11" ht="15.75" customHeight="1">
      <c r="A11" s="93" t="s">
        <v>285</v>
      </c>
      <c r="B11" s="93" t="s">
        <v>286</v>
      </c>
      <c r="C11" s="94">
        <v>44105.0</v>
      </c>
      <c r="D11" s="93" t="s">
        <v>350</v>
      </c>
      <c r="E11" s="93" t="s">
        <v>350</v>
      </c>
      <c r="F11" s="93" t="s">
        <v>303</v>
      </c>
      <c r="G11" s="93" t="s">
        <v>351</v>
      </c>
      <c r="H11" s="93"/>
      <c r="I11" s="93" t="s">
        <v>297</v>
      </c>
      <c r="J11" s="93" t="s">
        <v>307</v>
      </c>
      <c r="K11" s="93" t="b">
        <v>1</v>
      </c>
      <c r="L11" s="93" t="s">
        <v>307</v>
      </c>
      <c r="M11" s="93" t="b">
        <v>0</v>
      </c>
      <c r="N11" s="93" t="b">
        <v>0</v>
      </c>
      <c r="O11" s="93"/>
      <c r="P11" s="93"/>
      <c r="Q11" s="96" t="s">
        <v>299</v>
      </c>
      <c r="R11" s="93"/>
      <c r="S11" s="97" t="s">
        <v>352</v>
      </c>
      <c r="T11" s="93"/>
      <c r="U11" s="93" t="s">
        <v>353</v>
      </c>
      <c r="V11" s="93"/>
      <c r="W11" s="93" t="s">
        <v>354</v>
      </c>
      <c r="X11" s="93"/>
      <c r="Y11" s="93"/>
      <c r="Z11" s="93"/>
      <c r="AA11" s="93"/>
    </row>
    <row r="12" ht="15.75" customHeight="1">
      <c r="A12" s="93" t="s">
        <v>285</v>
      </c>
      <c r="B12" s="93" t="s">
        <v>286</v>
      </c>
      <c r="C12" s="94">
        <v>44105.0</v>
      </c>
      <c r="D12" s="93" t="s">
        <v>69</v>
      </c>
      <c r="E12" s="93" t="s">
        <v>69</v>
      </c>
      <c r="F12" s="93" t="s">
        <v>355</v>
      </c>
      <c r="G12" s="93" t="s">
        <v>356</v>
      </c>
      <c r="H12" s="93"/>
      <c r="I12" s="93" t="s">
        <v>297</v>
      </c>
      <c r="J12" s="93" t="s">
        <v>357</v>
      </c>
      <c r="K12" s="93" t="b">
        <v>0</v>
      </c>
      <c r="L12" s="93" t="s">
        <v>357</v>
      </c>
      <c r="M12" s="93" t="b">
        <v>0</v>
      </c>
      <c r="N12" s="93" t="b">
        <v>0</v>
      </c>
      <c r="O12" s="93"/>
      <c r="P12" s="93"/>
      <c r="Q12" s="96" t="s">
        <v>299</v>
      </c>
      <c r="R12" s="93"/>
      <c r="S12" s="97" t="s">
        <v>358</v>
      </c>
      <c r="T12" s="93"/>
      <c r="U12" s="93"/>
      <c r="V12" s="93"/>
      <c r="W12" s="93" t="s">
        <v>359</v>
      </c>
      <c r="X12" s="93"/>
      <c r="Y12" s="93"/>
      <c r="Z12" s="99" t="s">
        <v>360</v>
      </c>
      <c r="AA12" s="99"/>
    </row>
    <row r="13" ht="15.75" customHeight="1">
      <c r="A13" s="93" t="s">
        <v>285</v>
      </c>
      <c r="B13" s="93" t="s">
        <v>286</v>
      </c>
      <c r="C13" s="94">
        <v>44105.0</v>
      </c>
      <c r="D13" s="93" t="s">
        <v>361</v>
      </c>
      <c r="E13" s="93" t="s">
        <v>362</v>
      </c>
      <c r="F13" s="93" t="s">
        <v>323</v>
      </c>
      <c r="G13" s="93" t="s">
        <v>363</v>
      </c>
      <c r="H13" s="93"/>
      <c r="I13" s="93" t="s">
        <v>364</v>
      </c>
      <c r="J13" s="93" t="s">
        <v>326</v>
      </c>
      <c r="K13" s="93" t="b">
        <v>0</v>
      </c>
      <c r="L13" s="93" t="s">
        <v>326</v>
      </c>
      <c r="M13" s="93" t="b">
        <v>0</v>
      </c>
      <c r="N13" s="93" t="b">
        <v>0</v>
      </c>
      <c r="O13" s="93"/>
      <c r="P13" s="93"/>
      <c r="Q13" s="96" t="s">
        <v>365</v>
      </c>
      <c r="R13" s="93"/>
      <c r="S13" s="97" t="s">
        <v>366</v>
      </c>
      <c r="T13" s="93"/>
      <c r="U13" s="93"/>
      <c r="V13" s="93"/>
      <c r="W13" s="93" t="s">
        <v>367</v>
      </c>
      <c r="X13" s="93"/>
      <c r="Y13" s="93"/>
      <c r="Z13" s="93"/>
      <c r="AA13" s="93"/>
    </row>
    <row r="14" ht="15.75" customHeight="1">
      <c r="A14" s="93" t="s">
        <v>285</v>
      </c>
      <c r="B14" s="93" t="s">
        <v>286</v>
      </c>
      <c r="C14" s="94">
        <v>44105.0</v>
      </c>
      <c r="D14" s="93" t="s">
        <v>368</v>
      </c>
      <c r="E14" s="93" t="s">
        <v>369</v>
      </c>
      <c r="F14" s="93" t="s">
        <v>370</v>
      </c>
      <c r="G14" s="93" t="s">
        <v>371</v>
      </c>
      <c r="H14" s="93"/>
      <c r="I14" s="93" t="s">
        <v>297</v>
      </c>
      <c r="J14" s="93" t="s">
        <v>372</v>
      </c>
      <c r="K14" s="93" t="b">
        <v>0</v>
      </c>
      <c r="L14" s="93" t="s">
        <v>372</v>
      </c>
      <c r="M14" s="93" t="b">
        <v>0</v>
      </c>
      <c r="N14" s="93" t="b">
        <v>0</v>
      </c>
      <c r="O14" s="93"/>
      <c r="P14" s="93"/>
      <c r="Q14" s="96" t="s">
        <v>373</v>
      </c>
      <c r="R14" s="93"/>
      <c r="S14" s="97" t="s">
        <v>374</v>
      </c>
      <c r="T14" s="93"/>
      <c r="U14" s="93"/>
      <c r="V14" s="93"/>
      <c r="W14" s="93" t="s">
        <v>375</v>
      </c>
      <c r="X14" s="93"/>
      <c r="Y14" s="93"/>
      <c r="Z14" s="93"/>
      <c r="AA14" s="93"/>
    </row>
    <row r="15" ht="15.75" customHeight="1">
      <c r="A15" s="93" t="s">
        <v>285</v>
      </c>
      <c r="B15" s="93" t="s">
        <v>286</v>
      </c>
      <c r="C15" s="94">
        <v>44166.0</v>
      </c>
      <c r="D15" s="93" t="s">
        <v>376</v>
      </c>
      <c r="E15" s="93" t="s">
        <v>376</v>
      </c>
      <c r="F15" s="93" t="s">
        <v>370</v>
      </c>
      <c r="G15" s="93" t="s">
        <v>377</v>
      </c>
      <c r="H15" s="93"/>
      <c r="I15" s="93" t="s">
        <v>297</v>
      </c>
      <c r="J15" s="93" t="s">
        <v>372</v>
      </c>
      <c r="K15" s="93" t="b">
        <v>0</v>
      </c>
      <c r="L15" s="93" t="s">
        <v>372</v>
      </c>
      <c r="M15" s="93" t="b">
        <v>0</v>
      </c>
      <c r="N15" s="93" t="b">
        <v>0</v>
      </c>
      <c r="O15" s="93"/>
      <c r="P15" s="93"/>
      <c r="Q15" s="96" t="s">
        <v>378</v>
      </c>
      <c r="R15" s="93"/>
      <c r="S15" s="97" t="s">
        <v>379</v>
      </c>
      <c r="T15" s="93"/>
      <c r="U15" s="93"/>
      <c r="V15" s="93"/>
      <c r="W15" s="93"/>
      <c r="X15" s="93"/>
      <c r="Y15" s="93"/>
      <c r="Z15" s="93"/>
      <c r="AA15" s="93"/>
    </row>
    <row r="16" ht="15.75" customHeight="1">
      <c r="A16" s="93" t="s">
        <v>285</v>
      </c>
      <c r="B16" s="93" t="s">
        <v>286</v>
      </c>
      <c r="C16" s="94">
        <v>44166.0</v>
      </c>
      <c r="D16" s="93" t="s">
        <v>380</v>
      </c>
      <c r="E16" s="93" t="s">
        <v>380</v>
      </c>
      <c r="F16" s="93" t="s">
        <v>381</v>
      </c>
      <c r="G16" s="93" t="s">
        <v>382</v>
      </c>
      <c r="H16" s="93"/>
      <c r="I16" s="93" t="s">
        <v>297</v>
      </c>
      <c r="J16" s="93" t="s">
        <v>383</v>
      </c>
      <c r="K16" s="93" t="b">
        <v>0</v>
      </c>
      <c r="L16" s="93" t="s">
        <v>383</v>
      </c>
      <c r="M16" s="93" t="b">
        <v>0</v>
      </c>
      <c r="N16" s="93" t="b">
        <v>0</v>
      </c>
      <c r="O16" s="93"/>
      <c r="P16" s="93"/>
      <c r="Q16" s="96" t="s">
        <v>299</v>
      </c>
      <c r="R16" s="93"/>
      <c r="S16" s="97" t="s">
        <v>384</v>
      </c>
      <c r="T16" s="93"/>
      <c r="U16" s="93"/>
      <c r="V16" s="93"/>
      <c r="W16" s="93" t="s">
        <v>385</v>
      </c>
      <c r="X16" s="93"/>
      <c r="Y16" s="93"/>
      <c r="Z16" s="93"/>
      <c r="AA16" s="93"/>
    </row>
    <row r="17" ht="15.75" customHeight="1">
      <c r="A17" s="93" t="s">
        <v>285</v>
      </c>
      <c r="B17" s="93" t="s">
        <v>286</v>
      </c>
      <c r="C17" s="94">
        <v>44166.0</v>
      </c>
      <c r="D17" s="93" t="s">
        <v>386</v>
      </c>
      <c r="E17" s="93" t="s">
        <v>386</v>
      </c>
      <c r="F17" s="93" t="s">
        <v>295</v>
      </c>
      <c r="G17" s="93" t="s">
        <v>387</v>
      </c>
      <c r="H17" s="93"/>
      <c r="I17" s="93" t="s">
        <v>297</v>
      </c>
      <c r="J17" s="93" t="s">
        <v>298</v>
      </c>
      <c r="K17" s="93" t="b">
        <v>0</v>
      </c>
      <c r="L17" s="93" t="s">
        <v>298</v>
      </c>
      <c r="M17" s="93" t="b">
        <v>0</v>
      </c>
      <c r="N17" s="93" t="b">
        <v>0</v>
      </c>
      <c r="O17" s="93"/>
      <c r="P17" s="93"/>
      <c r="Q17" s="96" t="s">
        <v>299</v>
      </c>
      <c r="R17" s="93"/>
      <c r="S17" s="97" t="s">
        <v>388</v>
      </c>
      <c r="T17" s="93"/>
      <c r="U17" s="93"/>
      <c r="V17" s="93"/>
      <c r="W17" s="93" t="s">
        <v>389</v>
      </c>
      <c r="X17" s="93"/>
      <c r="Y17" s="93"/>
      <c r="Z17" s="93"/>
      <c r="AA17" s="93"/>
    </row>
    <row r="18" ht="15.75" customHeight="1">
      <c r="A18" s="93" t="s">
        <v>285</v>
      </c>
      <c r="B18" s="93" t="s">
        <v>286</v>
      </c>
      <c r="C18" s="94">
        <v>44166.0</v>
      </c>
      <c r="D18" s="93" t="s">
        <v>390</v>
      </c>
      <c r="E18" s="93" t="s">
        <v>390</v>
      </c>
      <c r="F18" s="93" t="s">
        <v>391</v>
      </c>
      <c r="G18" s="93" t="s">
        <v>392</v>
      </c>
      <c r="H18" s="93"/>
      <c r="I18" s="93" t="s">
        <v>297</v>
      </c>
      <c r="J18" s="93" t="s">
        <v>393</v>
      </c>
      <c r="K18" s="93" t="b">
        <v>0</v>
      </c>
      <c r="L18" s="93" t="s">
        <v>393</v>
      </c>
      <c r="M18" s="93" t="b">
        <v>0</v>
      </c>
      <c r="N18" s="93" t="b">
        <v>0</v>
      </c>
      <c r="O18" s="93"/>
      <c r="P18" s="98" t="s">
        <v>346</v>
      </c>
      <c r="Q18" s="93" t="s">
        <v>394</v>
      </c>
      <c r="R18" s="93"/>
      <c r="S18" s="97"/>
      <c r="T18" s="93"/>
      <c r="U18" s="93"/>
      <c r="V18" s="93"/>
      <c r="W18" s="93"/>
      <c r="X18" s="93"/>
      <c r="Y18" s="93"/>
      <c r="Z18" s="93"/>
      <c r="AA18" s="93"/>
    </row>
    <row r="19" ht="15.75" customHeight="1">
      <c r="A19" s="93" t="s">
        <v>285</v>
      </c>
      <c r="B19" s="93" t="s">
        <v>286</v>
      </c>
      <c r="C19" s="94">
        <v>44166.0</v>
      </c>
      <c r="D19" s="93" t="s">
        <v>395</v>
      </c>
      <c r="E19" s="93" t="s">
        <v>395</v>
      </c>
      <c r="F19" s="93" t="s">
        <v>303</v>
      </c>
      <c r="G19" s="93" t="s">
        <v>396</v>
      </c>
      <c r="H19" s="93"/>
      <c r="I19" s="93" t="s">
        <v>297</v>
      </c>
      <c r="J19" s="93" t="s">
        <v>298</v>
      </c>
      <c r="K19" s="93" t="b">
        <v>0</v>
      </c>
      <c r="L19" s="93" t="s">
        <v>298</v>
      </c>
      <c r="M19" s="93" t="b">
        <v>0</v>
      </c>
      <c r="N19" s="93" t="b">
        <v>1</v>
      </c>
      <c r="O19" s="93"/>
      <c r="P19" s="98" t="s">
        <v>346</v>
      </c>
      <c r="Q19" s="96" t="s">
        <v>293</v>
      </c>
      <c r="R19" s="93"/>
      <c r="S19" s="97" t="s">
        <v>397</v>
      </c>
      <c r="T19" s="93"/>
      <c r="U19" s="93"/>
      <c r="V19" s="93"/>
      <c r="W19" s="93"/>
      <c r="X19" s="93"/>
      <c r="Y19" s="93"/>
      <c r="Z19" s="93"/>
      <c r="AA19" s="93"/>
    </row>
    <row r="20" ht="19.5" customHeight="1">
      <c r="A20" s="93" t="s">
        <v>285</v>
      </c>
      <c r="B20" s="93" t="s">
        <v>286</v>
      </c>
      <c r="C20" s="94">
        <v>44166.0</v>
      </c>
      <c r="D20" s="93" t="s">
        <v>376</v>
      </c>
      <c r="E20" s="93" t="s">
        <v>376</v>
      </c>
      <c r="F20" s="93" t="s">
        <v>370</v>
      </c>
      <c r="G20" s="93" t="s">
        <v>377</v>
      </c>
      <c r="H20" s="93"/>
      <c r="I20" s="93" t="s">
        <v>297</v>
      </c>
      <c r="J20" s="93" t="s">
        <v>372</v>
      </c>
      <c r="K20" s="93" t="b">
        <v>0</v>
      </c>
      <c r="L20" s="93" t="s">
        <v>372</v>
      </c>
      <c r="M20" s="93" t="b">
        <v>0</v>
      </c>
      <c r="N20" s="93" t="b">
        <v>0</v>
      </c>
      <c r="O20" s="93"/>
      <c r="P20" s="93"/>
      <c r="Q20" s="96" t="s">
        <v>378</v>
      </c>
      <c r="R20" s="93"/>
      <c r="S20" s="97" t="s">
        <v>398</v>
      </c>
      <c r="T20" s="93"/>
      <c r="U20" s="93"/>
      <c r="V20" s="93"/>
      <c r="W20" s="93" t="s">
        <v>34</v>
      </c>
      <c r="X20" s="93"/>
      <c r="Y20" s="93"/>
      <c r="Z20" s="93"/>
      <c r="AA20" s="93"/>
    </row>
    <row r="21" ht="15.75" customHeight="1">
      <c r="A21" s="93" t="s">
        <v>285</v>
      </c>
      <c r="B21" s="93" t="s">
        <v>286</v>
      </c>
      <c r="C21" s="94">
        <v>44166.0</v>
      </c>
      <c r="D21" s="93" t="s">
        <v>380</v>
      </c>
      <c r="E21" s="93" t="s">
        <v>380</v>
      </c>
      <c r="F21" s="93" t="s">
        <v>381</v>
      </c>
      <c r="G21" s="93" t="s">
        <v>382</v>
      </c>
      <c r="H21" s="93"/>
      <c r="I21" s="93" t="s">
        <v>297</v>
      </c>
      <c r="J21" s="93" t="s">
        <v>383</v>
      </c>
      <c r="K21" s="93" t="b">
        <v>0</v>
      </c>
      <c r="L21" s="93" t="s">
        <v>383</v>
      </c>
      <c r="M21" s="93" t="b">
        <v>0</v>
      </c>
      <c r="N21" s="93" t="b">
        <v>0</v>
      </c>
      <c r="O21" s="93"/>
      <c r="P21" s="93"/>
      <c r="Q21" s="96" t="s">
        <v>299</v>
      </c>
      <c r="R21" s="100"/>
      <c r="S21" s="101"/>
      <c r="T21" s="93"/>
      <c r="U21" s="93"/>
      <c r="V21" s="93"/>
      <c r="W21" s="93" t="s">
        <v>398</v>
      </c>
      <c r="X21" s="93"/>
      <c r="Y21" s="93"/>
      <c r="Z21" s="93"/>
      <c r="AA21" s="93"/>
    </row>
    <row r="22" ht="15.75" customHeight="1">
      <c r="A22" s="93" t="s">
        <v>285</v>
      </c>
      <c r="B22" s="93" t="s">
        <v>286</v>
      </c>
      <c r="C22" s="94">
        <v>44166.0</v>
      </c>
      <c r="D22" s="93" t="s">
        <v>386</v>
      </c>
      <c r="E22" s="93" t="s">
        <v>386</v>
      </c>
      <c r="F22" s="93" t="s">
        <v>295</v>
      </c>
      <c r="G22" s="93" t="s">
        <v>387</v>
      </c>
      <c r="H22" s="93"/>
      <c r="I22" s="93" t="s">
        <v>297</v>
      </c>
      <c r="J22" s="93" t="s">
        <v>298</v>
      </c>
      <c r="K22" s="93" t="b">
        <v>0</v>
      </c>
      <c r="L22" s="93" t="s">
        <v>298</v>
      </c>
      <c r="M22" s="93" t="b">
        <v>0</v>
      </c>
      <c r="N22" s="93" t="b">
        <v>0</v>
      </c>
      <c r="O22" s="93"/>
      <c r="P22" s="93"/>
      <c r="Q22" s="96" t="s">
        <v>299</v>
      </c>
      <c r="R22" s="93"/>
      <c r="S22" s="101"/>
      <c r="T22" s="93"/>
      <c r="U22" s="93"/>
      <c r="V22" s="93"/>
      <c r="W22" s="93" t="s">
        <v>398</v>
      </c>
      <c r="X22" s="93"/>
      <c r="Y22" s="93"/>
      <c r="Z22" s="93"/>
      <c r="AA22" s="93"/>
    </row>
    <row r="23" ht="15.75" customHeight="1">
      <c r="A23" s="93" t="s">
        <v>285</v>
      </c>
      <c r="B23" s="93" t="s">
        <v>286</v>
      </c>
      <c r="C23" s="94">
        <v>44166.0</v>
      </c>
      <c r="D23" s="93" t="s">
        <v>390</v>
      </c>
      <c r="E23" s="93" t="s">
        <v>390</v>
      </c>
      <c r="F23" s="93" t="s">
        <v>391</v>
      </c>
      <c r="G23" s="93" t="s">
        <v>392</v>
      </c>
      <c r="H23" s="93"/>
      <c r="I23" s="93" t="s">
        <v>297</v>
      </c>
      <c r="J23" s="93" t="s">
        <v>393</v>
      </c>
      <c r="K23" s="93" t="b">
        <v>0</v>
      </c>
      <c r="L23" s="93" t="s">
        <v>393</v>
      </c>
      <c r="M23" s="93" t="b">
        <v>0</v>
      </c>
      <c r="N23" s="93" t="b">
        <v>0</v>
      </c>
      <c r="O23" s="93"/>
      <c r="P23" s="93" t="s">
        <v>346</v>
      </c>
      <c r="Q23" s="93" t="s">
        <v>394</v>
      </c>
      <c r="R23" s="93"/>
      <c r="S23" s="101"/>
      <c r="T23" s="93"/>
      <c r="U23" s="93"/>
      <c r="V23" s="93"/>
      <c r="W23" s="93"/>
      <c r="X23" s="93"/>
      <c r="Y23" s="93"/>
      <c r="Z23" s="93"/>
      <c r="AA23" s="93"/>
    </row>
    <row r="24" ht="15.75" customHeight="1">
      <c r="A24" s="93" t="s">
        <v>285</v>
      </c>
      <c r="B24" s="93" t="s">
        <v>286</v>
      </c>
      <c r="C24" s="94">
        <v>44166.0</v>
      </c>
      <c r="D24" s="93" t="s">
        <v>395</v>
      </c>
      <c r="E24" s="93" t="s">
        <v>395</v>
      </c>
      <c r="F24" s="93" t="s">
        <v>303</v>
      </c>
      <c r="G24" s="93" t="s">
        <v>396</v>
      </c>
      <c r="H24" s="93"/>
      <c r="I24" s="93" t="s">
        <v>297</v>
      </c>
      <c r="J24" s="93" t="s">
        <v>298</v>
      </c>
      <c r="K24" s="93" t="b">
        <v>0</v>
      </c>
      <c r="L24" s="93" t="s">
        <v>298</v>
      </c>
      <c r="M24" s="93" t="b">
        <v>0</v>
      </c>
      <c r="N24" s="93" t="b">
        <v>1</v>
      </c>
      <c r="O24" s="93"/>
      <c r="P24" s="93" t="s">
        <v>346</v>
      </c>
      <c r="Q24" s="93" t="s">
        <v>293</v>
      </c>
      <c r="R24" s="93"/>
      <c r="S24" s="101"/>
      <c r="T24" s="93"/>
      <c r="U24" s="93"/>
      <c r="V24" s="93"/>
      <c r="W24" s="93" t="s">
        <v>398</v>
      </c>
      <c r="X24" s="93"/>
      <c r="Y24" s="93"/>
      <c r="Z24" s="93"/>
      <c r="AA24" s="93"/>
    </row>
    <row r="25" ht="15.75" customHeight="1">
      <c r="A25" s="93" t="s">
        <v>285</v>
      </c>
      <c r="B25" s="93" t="s">
        <v>286</v>
      </c>
      <c r="C25" s="94">
        <v>44166.0</v>
      </c>
      <c r="D25" s="93" t="s">
        <v>399</v>
      </c>
      <c r="E25" s="93" t="s">
        <v>400</v>
      </c>
      <c r="F25" s="93" t="s">
        <v>303</v>
      </c>
      <c r="G25" s="93" t="s">
        <v>401</v>
      </c>
      <c r="H25" s="93"/>
      <c r="I25" s="93" t="s">
        <v>297</v>
      </c>
      <c r="J25" s="93" t="s">
        <v>402</v>
      </c>
      <c r="K25" s="93" t="b">
        <v>0</v>
      </c>
      <c r="L25" s="93" t="s">
        <v>402</v>
      </c>
      <c r="M25" s="93" t="b">
        <v>0</v>
      </c>
      <c r="N25" s="93" t="b">
        <v>0</v>
      </c>
      <c r="O25" s="93"/>
      <c r="P25" s="98" t="s">
        <v>346</v>
      </c>
      <c r="Q25" s="93" t="s">
        <v>403</v>
      </c>
      <c r="R25" s="93"/>
      <c r="S25" s="97"/>
      <c r="T25" s="93"/>
      <c r="U25" s="93"/>
      <c r="V25" s="93"/>
      <c r="W25" s="93" t="s">
        <v>89</v>
      </c>
      <c r="X25" s="93"/>
      <c r="Y25" s="93"/>
      <c r="Z25" s="93"/>
      <c r="AA25" s="93"/>
    </row>
    <row r="26" ht="15.75" customHeight="1">
      <c r="A26" s="93" t="s">
        <v>285</v>
      </c>
      <c r="B26" s="93" t="s">
        <v>286</v>
      </c>
      <c r="C26" s="93" t="s">
        <v>404</v>
      </c>
      <c r="D26" s="93" t="s">
        <v>405</v>
      </c>
      <c r="E26" s="93" t="s">
        <v>405</v>
      </c>
      <c r="F26" s="93" t="s">
        <v>381</v>
      </c>
      <c r="G26" s="93" t="s">
        <v>406</v>
      </c>
      <c r="H26" s="93"/>
      <c r="I26" s="93" t="s">
        <v>297</v>
      </c>
      <c r="J26" s="93" t="s">
        <v>383</v>
      </c>
      <c r="K26" s="93" t="b">
        <v>0</v>
      </c>
      <c r="L26" s="93" t="s">
        <v>383</v>
      </c>
      <c r="M26" s="93" t="b">
        <v>0</v>
      </c>
      <c r="N26" s="93" t="b">
        <v>0</v>
      </c>
      <c r="O26" s="93"/>
      <c r="P26" s="93"/>
      <c r="Q26" s="96" t="s">
        <v>407</v>
      </c>
      <c r="R26" s="93"/>
      <c r="S26" s="101" t="s">
        <v>408</v>
      </c>
      <c r="T26" s="93"/>
      <c r="U26" s="93"/>
      <c r="V26" s="93"/>
      <c r="W26" s="93" t="s">
        <v>409</v>
      </c>
      <c r="X26" s="93"/>
      <c r="Y26" s="93"/>
      <c r="Z26" s="93"/>
      <c r="AA26" s="93"/>
    </row>
    <row r="27" ht="15.75" customHeight="1">
      <c r="A27" s="93" t="s">
        <v>285</v>
      </c>
      <c r="B27" s="93" t="s">
        <v>286</v>
      </c>
      <c r="C27" s="93" t="s">
        <v>404</v>
      </c>
      <c r="D27" s="93" t="s">
        <v>410</v>
      </c>
      <c r="E27" s="93" t="s">
        <v>411</v>
      </c>
      <c r="F27" s="93" t="s">
        <v>303</v>
      </c>
      <c r="G27" s="93" t="s">
        <v>412</v>
      </c>
      <c r="H27" s="93" t="s">
        <v>413</v>
      </c>
      <c r="I27" s="93" t="s">
        <v>297</v>
      </c>
      <c r="J27" s="93" t="s">
        <v>414</v>
      </c>
      <c r="K27" s="93" t="b">
        <v>0</v>
      </c>
      <c r="L27" s="93" t="s">
        <v>372</v>
      </c>
      <c r="M27" s="93" t="b">
        <v>0</v>
      </c>
      <c r="N27" s="93" t="b">
        <v>0</v>
      </c>
      <c r="O27" s="96" t="s">
        <v>415</v>
      </c>
      <c r="P27" s="93"/>
      <c r="Q27" s="96" t="s">
        <v>416</v>
      </c>
      <c r="R27" s="93"/>
      <c r="S27" s="101"/>
      <c r="T27" s="93"/>
      <c r="U27" s="93"/>
      <c r="V27" s="93"/>
      <c r="W27" s="102" t="s">
        <v>417</v>
      </c>
      <c r="X27" s="103"/>
      <c r="Y27" s="103"/>
      <c r="Z27" s="103"/>
      <c r="AA27" s="102" t="s">
        <v>418</v>
      </c>
    </row>
    <row r="28" ht="15.75" customHeight="1">
      <c r="A28" s="93" t="s">
        <v>285</v>
      </c>
      <c r="B28" s="93" t="s">
        <v>286</v>
      </c>
      <c r="C28" s="93" t="s">
        <v>419</v>
      </c>
      <c r="D28" s="93" t="s">
        <v>420</v>
      </c>
      <c r="E28" s="93" t="s">
        <v>421</v>
      </c>
      <c r="F28" s="93" t="s">
        <v>303</v>
      </c>
      <c r="G28" s="93" t="s">
        <v>422</v>
      </c>
      <c r="H28" s="93"/>
      <c r="I28" s="93" t="s">
        <v>423</v>
      </c>
      <c r="J28" s="93" t="s">
        <v>424</v>
      </c>
      <c r="K28" s="93" t="b">
        <v>1</v>
      </c>
      <c r="L28" s="93" t="s">
        <v>307</v>
      </c>
      <c r="M28" s="93" t="b">
        <v>0</v>
      </c>
      <c r="N28" s="93" t="b">
        <v>0</v>
      </c>
      <c r="O28" s="93"/>
      <c r="P28" s="93"/>
      <c r="Q28" s="96" t="s">
        <v>425</v>
      </c>
      <c r="R28" s="93"/>
      <c r="S28" s="97"/>
      <c r="T28" s="93"/>
      <c r="U28" s="93"/>
      <c r="V28" s="93"/>
      <c r="W28" s="104" t="s">
        <v>426</v>
      </c>
      <c r="X28" s="93"/>
      <c r="Y28" s="93"/>
      <c r="Z28" s="93"/>
      <c r="AA28" s="93" t="s">
        <v>427</v>
      </c>
    </row>
    <row r="29" ht="15.75" customHeight="1">
      <c r="A29" s="93" t="s">
        <v>285</v>
      </c>
      <c r="B29" s="93" t="s">
        <v>286</v>
      </c>
      <c r="C29" s="93" t="s">
        <v>419</v>
      </c>
      <c r="D29" s="93" t="s">
        <v>428</v>
      </c>
      <c r="E29" s="93" t="s">
        <v>429</v>
      </c>
      <c r="F29" s="93" t="s">
        <v>303</v>
      </c>
      <c r="G29" s="93" t="s">
        <v>430</v>
      </c>
      <c r="H29" s="93"/>
      <c r="I29" s="93" t="s">
        <v>431</v>
      </c>
      <c r="J29" s="93" t="s">
        <v>345</v>
      </c>
      <c r="K29" s="93" t="b">
        <v>1</v>
      </c>
      <c r="L29" s="93" t="s">
        <v>307</v>
      </c>
      <c r="M29" s="93" t="b">
        <v>0</v>
      </c>
      <c r="N29" s="93" t="b">
        <v>0</v>
      </c>
      <c r="O29" s="93"/>
      <c r="P29" s="93"/>
      <c r="Q29" s="93" t="s">
        <v>432</v>
      </c>
      <c r="R29" s="93"/>
      <c r="S29" s="97"/>
      <c r="T29" s="93"/>
      <c r="U29" s="93"/>
      <c r="V29" s="93"/>
      <c r="W29" s="105" t="s">
        <v>433</v>
      </c>
      <c r="X29" s="93"/>
      <c r="Y29" s="93"/>
      <c r="Z29" s="93" t="s">
        <v>434</v>
      </c>
      <c r="AA29" s="93" t="s">
        <v>435</v>
      </c>
    </row>
    <row r="30" ht="15.75" customHeight="1">
      <c r="A30" s="93" t="s">
        <v>285</v>
      </c>
      <c r="B30" s="93" t="s">
        <v>286</v>
      </c>
      <c r="C30" s="93" t="s">
        <v>436</v>
      </c>
      <c r="D30" s="93" t="s">
        <v>437</v>
      </c>
      <c r="E30" s="93" t="s">
        <v>438</v>
      </c>
      <c r="F30" s="93" t="s">
        <v>331</v>
      </c>
      <c r="G30" s="93" t="s">
        <v>439</v>
      </c>
      <c r="H30" s="93"/>
      <c r="I30" s="93" t="s">
        <v>440</v>
      </c>
      <c r="J30" s="93" t="s">
        <v>333</v>
      </c>
      <c r="K30" s="93" t="b">
        <v>0</v>
      </c>
      <c r="L30" s="93" t="s">
        <v>333</v>
      </c>
      <c r="M30" s="93" t="b">
        <v>0</v>
      </c>
      <c r="N30" s="93" t="b">
        <v>0</v>
      </c>
      <c r="O30" s="93"/>
      <c r="P30" s="93"/>
      <c r="Q30" s="96" t="s">
        <v>293</v>
      </c>
      <c r="R30" s="93"/>
      <c r="S30" s="97" t="s">
        <v>441</v>
      </c>
      <c r="T30" s="93"/>
      <c r="U30" s="93"/>
      <c r="V30" s="93"/>
      <c r="W30" s="93"/>
      <c r="X30" s="93"/>
      <c r="Y30" s="93"/>
      <c r="Z30" s="93"/>
      <c r="AA30" s="93"/>
    </row>
    <row r="31" ht="15.75" customHeight="1">
      <c r="A31" s="93" t="s">
        <v>285</v>
      </c>
      <c r="B31" s="93" t="s">
        <v>286</v>
      </c>
      <c r="C31" s="93" t="s">
        <v>436</v>
      </c>
      <c r="D31" s="93" t="s">
        <v>442</v>
      </c>
      <c r="E31" s="93" t="s">
        <v>443</v>
      </c>
      <c r="F31" s="93" t="s">
        <v>303</v>
      </c>
      <c r="G31" s="93" t="s">
        <v>444</v>
      </c>
      <c r="H31" s="93"/>
      <c r="I31" s="93" t="s">
        <v>297</v>
      </c>
      <c r="J31" s="93" t="s">
        <v>445</v>
      </c>
      <c r="K31" s="93" t="b">
        <v>1</v>
      </c>
      <c r="L31" s="93" t="s">
        <v>307</v>
      </c>
      <c r="M31" s="93" t="b">
        <v>0</v>
      </c>
      <c r="N31" s="93" t="b">
        <v>0</v>
      </c>
      <c r="O31" s="96" t="s">
        <v>446</v>
      </c>
      <c r="P31" s="93"/>
      <c r="Q31" s="93" t="s">
        <v>447</v>
      </c>
      <c r="R31" s="93"/>
      <c r="S31" s="97" t="s">
        <v>448</v>
      </c>
      <c r="T31" s="93"/>
      <c r="U31" s="93"/>
      <c r="V31" s="93"/>
      <c r="W31" s="93"/>
      <c r="X31" s="93"/>
      <c r="Y31" s="93"/>
      <c r="Z31" s="93"/>
      <c r="AA31" s="93"/>
    </row>
    <row r="32" ht="15.75" customHeight="1">
      <c r="A32" s="93" t="s">
        <v>285</v>
      </c>
      <c r="B32" s="93" t="s">
        <v>286</v>
      </c>
      <c r="C32" s="93" t="s">
        <v>436</v>
      </c>
      <c r="D32" s="93" t="s">
        <v>449</v>
      </c>
      <c r="E32" s="93" t="s">
        <v>450</v>
      </c>
      <c r="F32" s="93" t="s">
        <v>451</v>
      </c>
      <c r="G32" s="93" t="s">
        <v>452</v>
      </c>
      <c r="H32" s="93"/>
      <c r="I32" s="93" t="s">
        <v>297</v>
      </c>
      <c r="J32" s="93" t="s">
        <v>344</v>
      </c>
      <c r="K32" s="93" t="b">
        <v>0</v>
      </c>
      <c r="L32" s="93" t="s">
        <v>344</v>
      </c>
      <c r="M32" s="93" t="b">
        <v>0</v>
      </c>
      <c r="N32" s="93" t="b">
        <v>0</v>
      </c>
      <c r="O32" s="93"/>
      <c r="P32" s="93"/>
      <c r="Q32" s="93" t="s">
        <v>432</v>
      </c>
      <c r="R32" s="93"/>
      <c r="S32" s="97"/>
      <c r="T32" s="93"/>
      <c r="U32" s="93"/>
      <c r="V32" s="93"/>
      <c r="W32" s="93"/>
      <c r="X32" s="93"/>
      <c r="Y32" s="93"/>
      <c r="Z32" s="93"/>
      <c r="AA32" s="93"/>
    </row>
    <row r="33" ht="15.75" customHeight="1">
      <c r="A33" s="93" t="s">
        <v>285</v>
      </c>
      <c r="B33" s="93" t="s">
        <v>286</v>
      </c>
      <c r="C33" s="93" t="s">
        <v>436</v>
      </c>
      <c r="D33" s="93" t="s">
        <v>453</v>
      </c>
      <c r="E33" s="93" t="s">
        <v>454</v>
      </c>
      <c r="F33" s="93" t="s">
        <v>451</v>
      </c>
      <c r="G33" s="93" t="s">
        <v>455</v>
      </c>
      <c r="H33" s="93"/>
      <c r="I33" s="93" t="s">
        <v>297</v>
      </c>
      <c r="J33" s="93" t="s">
        <v>344</v>
      </c>
      <c r="K33" s="93" t="b">
        <v>0</v>
      </c>
      <c r="L33" s="93" t="s">
        <v>344</v>
      </c>
      <c r="M33" s="93" t="b">
        <v>0</v>
      </c>
      <c r="N33" s="93" t="b">
        <v>0</v>
      </c>
      <c r="O33" s="93"/>
      <c r="P33" s="93"/>
      <c r="Q33" s="93" t="s">
        <v>432</v>
      </c>
      <c r="R33" s="93"/>
      <c r="S33" s="97"/>
      <c r="T33" s="93"/>
      <c r="U33" s="93"/>
      <c r="V33" s="93"/>
      <c r="W33" s="93"/>
      <c r="X33" s="93"/>
      <c r="Y33" s="93"/>
      <c r="Z33" s="93"/>
      <c r="AA33" s="93"/>
    </row>
    <row r="34" ht="15.75" customHeight="1">
      <c r="A34" s="93" t="s">
        <v>285</v>
      </c>
      <c r="B34" s="93" t="s">
        <v>286</v>
      </c>
      <c r="C34" s="93" t="s">
        <v>436</v>
      </c>
      <c r="D34" s="93" t="s">
        <v>456</v>
      </c>
      <c r="E34" s="93" t="s">
        <v>457</v>
      </c>
      <c r="F34" s="93" t="s">
        <v>458</v>
      </c>
      <c r="G34" s="93" t="s">
        <v>459</v>
      </c>
      <c r="H34" s="93"/>
      <c r="I34" s="93" t="s">
        <v>297</v>
      </c>
      <c r="J34" s="93" t="s">
        <v>345</v>
      </c>
      <c r="K34" s="93" t="b">
        <v>0</v>
      </c>
      <c r="L34" s="93" t="s">
        <v>345</v>
      </c>
      <c r="M34" s="93" t="b">
        <v>0</v>
      </c>
      <c r="N34" s="93" t="b">
        <v>0</v>
      </c>
      <c r="O34" s="93"/>
      <c r="P34" s="93"/>
      <c r="Q34" s="96" t="s">
        <v>293</v>
      </c>
      <c r="R34" s="93"/>
      <c r="S34" s="104" t="s">
        <v>460</v>
      </c>
      <c r="T34" s="93"/>
      <c r="U34" s="93"/>
      <c r="V34" s="93"/>
      <c r="W34" s="93"/>
      <c r="X34" s="93"/>
      <c r="Y34" s="93"/>
      <c r="Z34" s="93"/>
      <c r="AA34" s="93"/>
    </row>
    <row r="35" ht="15.75" customHeight="1">
      <c r="A35" s="93" t="s">
        <v>285</v>
      </c>
      <c r="B35" s="93" t="s">
        <v>286</v>
      </c>
      <c r="C35" s="93" t="s">
        <v>461</v>
      </c>
      <c r="D35" s="93" t="s">
        <v>462</v>
      </c>
      <c r="E35" s="93" t="s">
        <v>463</v>
      </c>
      <c r="F35" s="93" t="s">
        <v>381</v>
      </c>
      <c r="G35" s="93" t="s">
        <v>464</v>
      </c>
      <c r="H35" s="93"/>
      <c r="I35" s="93" t="s">
        <v>297</v>
      </c>
      <c r="J35" s="93" t="s">
        <v>383</v>
      </c>
      <c r="K35" s="93" t="b">
        <v>0</v>
      </c>
      <c r="L35" s="93" t="s">
        <v>383</v>
      </c>
      <c r="M35" s="93" t="b">
        <v>0</v>
      </c>
      <c r="N35" s="93" t="b">
        <v>0</v>
      </c>
      <c r="O35" s="93"/>
      <c r="P35" s="93"/>
      <c r="Q35" s="93" t="s">
        <v>465</v>
      </c>
      <c r="R35" s="93"/>
      <c r="S35" s="97" t="s">
        <v>466</v>
      </c>
      <c r="T35" s="93"/>
      <c r="U35" s="93"/>
      <c r="V35" s="93"/>
      <c r="W35" s="93"/>
      <c r="X35" s="93"/>
      <c r="Y35" s="93"/>
      <c r="Z35" s="93"/>
      <c r="AA35" s="93"/>
    </row>
    <row r="36" ht="15.75" customHeight="1">
      <c r="A36" s="93" t="s">
        <v>285</v>
      </c>
      <c r="B36" s="93" t="s">
        <v>286</v>
      </c>
      <c r="C36" s="93" t="s">
        <v>467</v>
      </c>
      <c r="D36" s="104" t="s">
        <v>468</v>
      </c>
      <c r="E36" s="104" t="s">
        <v>469</v>
      </c>
      <c r="F36" s="93" t="s">
        <v>470</v>
      </c>
      <c r="G36" s="96" t="s">
        <v>471</v>
      </c>
      <c r="H36" s="93"/>
      <c r="I36" s="93" t="s">
        <v>297</v>
      </c>
      <c r="J36" s="93" t="s">
        <v>472</v>
      </c>
      <c r="K36" s="93" t="b">
        <v>0</v>
      </c>
      <c r="L36" s="93" t="s">
        <v>472</v>
      </c>
      <c r="M36" s="93" t="b">
        <v>0</v>
      </c>
      <c r="N36" s="93" t="b">
        <v>0</v>
      </c>
      <c r="O36" s="93"/>
      <c r="P36" s="93"/>
      <c r="Q36" s="96" t="s">
        <v>334</v>
      </c>
      <c r="R36" s="93"/>
      <c r="S36" s="97" t="s">
        <v>473</v>
      </c>
      <c r="T36" s="93"/>
      <c r="U36" s="93"/>
      <c r="V36" s="93"/>
      <c r="W36" s="93"/>
      <c r="X36" s="93"/>
      <c r="Y36" s="93"/>
      <c r="Z36" s="93"/>
      <c r="AA36" s="93"/>
    </row>
    <row r="37" ht="15.75" customHeight="1">
      <c r="A37" s="93" t="s">
        <v>285</v>
      </c>
      <c r="B37" s="93" t="s">
        <v>286</v>
      </c>
      <c r="C37" s="93" t="s">
        <v>467</v>
      </c>
      <c r="D37" s="93" t="s">
        <v>474</v>
      </c>
      <c r="E37" s="93" t="s">
        <v>475</v>
      </c>
      <c r="F37" s="93" t="s">
        <v>476</v>
      </c>
      <c r="G37" s="93" t="s">
        <v>477</v>
      </c>
      <c r="H37" s="93"/>
      <c r="I37" s="93" t="s">
        <v>478</v>
      </c>
      <c r="J37" s="93" t="s">
        <v>479</v>
      </c>
      <c r="K37" s="93" t="b">
        <v>0</v>
      </c>
      <c r="L37" s="93" t="s">
        <v>479</v>
      </c>
      <c r="M37" s="93" t="b">
        <v>0</v>
      </c>
      <c r="N37" s="93" t="b">
        <v>0</v>
      </c>
      <c r="O37" s="93"/>
      <c r="P37" s="93"/>
      <c r="Q37" s="96" t="s">
        <v>480</v>
      </c>
      <c r="R37" s="93"/>
      <c r="S37" s="97"/>
      <c r="T37" s="93"/>
      <c r="U37" s="93"/>
      <c r="V37" s="93"/>
      <c r="W37" s="93"/>
      <c r="X37" s="93"/>
      <c r="Y37" s="93"/>
      <c r="Z37" s="93"/>
      <c r="AA37" s="93"/>
    </row>
    <row r="38" ht="15.75" customHeight="1">
      <c r="A38" s="93" t="s">
        <v>285</v>
      </c>
      <c r="B38" s="93" t="s">
        <v>286</v>
      </c>
      <c r="C38" s="93" t="s">
        <v>467</v>
      </c>
      <c r="D38" s="93" t="s">
        <v>481</v>
      </c>
      <c r="E38" s="93" t="s">
        <v>482</v>
      </c>
      <c r="F38" s="93" t="s">
        <v>331</v>
      </c>
      <c r="G38" s="93" t="s">
        <v>483</v>
      </c>
      <c r="H38" s="93"/>
      <c r="I38" s="93" t="s">
        <v>484</v>
      </c>
      <c r="J38" s="93" t="s">
        <v>333</v>
      </c>
      <c r="K38" s="93" t="b">
        <v>0</v>
      </c>
      <c r="L38" s="93" t="s">
        <v>333</v>
      </c>
      <c r="M38" s="93" t="b">
        <v>0</v>
      </c>
      <c r="N38" s="93" t="b">
        <v>0</v>
      </c>
      <c r="O38" s="93"/>
      <c r="P38" s="93"/>
      <c r="Q38" s="96" t="s">
        <v>293</v>
      </c>
      <c r="R38" s="93"/>
      <c r="S38" s="97"/>
      <c r="T38" s="93"/>
      <c r="U38" s="93"/>
      <c r="V38" s="93"/>
      <c r="W38" s="93"/>
      <c r="X38" s="93"/>
      <c r="Y38" s="93"/>
      <c r="Z38" s="93"/>
      <c r="AA38" s="93"/>
    </row>
    <row r="39" ht="15.75" customHeight="1">
      <c r="A39" s="93" t="s">
        <v>285</v>
      </c>
      <c r="B39" s="93" t="s">
        <v>286</v>
      </c>
      <c r="C39" s="93" t="s">
        <v>467</v>
      </c>
      <c r="D39" s="93" t="s">
        <v>485</v>
      </c>
      <c r="E39" s="93" t="s">
        <v>486</v>
      </c>
      <c r="F39" s="93" t="s">
        <v>487</v>
      </c>
      <c r="G39" s="93" t="s">
        <v>488</v>
      </c>
      <c r="H39" s="93"/>
      <c r="I39" s="93" t="s">
        <v>489</v>
      </c>
      <c r="J39" s="93" t="s">
        <v>490</v>
      </c>
      <c r="K39" s="93" t="b">
        <v>0</v>
      </c>
      <c r="L39" s="93" t="s">
        <v>490</v>
      </c>
      <c r="M39" s="93" t="b">
        <v>0</v>
      </c>
      <c r="N39" s="93" t="b">
        <v>0</v>
      </c>
      <c r="O39" s="93"/>
      <c r="P39" s="93"/>
      <c r="Q39" s="93" t="s">
        <v>491</v>
      </c>
      <c r="R39" s="93"/>
      <c r="S39" s="97" t="s">
        <v>492</v>
      </c>
      <c r="T39" s="93"/>
      <c r="U39" s="93"/>
      <c r="V39" s="93"/>
      <c r="W39" s="93"/>
      <c r="X39" s="93"/>
      <c r="Y39" s="93"/>
      <c r="Z39" s="93"/>
      <c r="AA39" s="93" t="s">
        <v>108</v>
      </c>
    </row>
    <row r="40" ht="15.75" customHeight="1">
      <c r="A40" s="93" t="s">
        <v>285</v>
      </c>
      <c r="B40" s="93" t="s">
        <v>286</v>
      </c>
      <c r="C40" s="93" t="s">
        <v>467</v>
      </c>
      <c r="D40" s="93" t="s">
        <v>493</v>
      </c>
      <c r="E40" s="93" t="s">
        <v>493</v>
      </c>
      <c r="F40" s="93" t="s">
        <v>303</v>
      </c>
      <c r="G40" s="93" t="s">
        <v>494</v>
      </c>
      <c r="H40" s="93"/>
      <c r="I40" s="93" t="s">
        <v>297</v>
      </c>
      <c r="J40" s="93" t="s">
        <v>307</v>
      </c>
      <c r="K40" s="93" t="b">
        <v>1</v>
      </c>
      <c r="L40" s="93" t="s">
        <v>307</v>
      </c>
      <c r="M40" s="93" t="b">
        <v>0</v>
      </c>
      <c r="N40" s="93" t="b">
        <v>0</v>
      </c>
      <c r="O40" s="93"/>
      <c r="P40" s="93"/>
      <c r="Q40" s="93" t="s">
        <v>432</v>
      </c>
      <c r="R40" s="93"/>
      <c r="S40" s="97" t="s">
        <v>495</v>
      </c>
      <c r="T40" s="93"/>
      <c r="U40" s="93"/>
      <c r="V40" s="93"/>
      <c r="W40" s="93"/>
      <c r="X40" s="93"/>
      <c r="Y40" s="93"/>
      <c r="Z40" s="93"/>
      <c r="AA40" s="93"/>
    </row>
    <row r="41" ht="15.75" customHeight="1">
      <c r="A41" s="93" t="s">
        <v>285</v>
      </c>
      <c r="B41" s="93" t="s">
        <v>286</v>
      </c>
      <c r="C41" s="93" t="s">
        <v>496</v>
      </c>
      <c r="D41" s="93" t="s">
        <v>497</v>
      </c>
      <c r="E41" s="93" t="s">
        <v>498</v>
      </c>
      <c r="F41" s="93" t="s">
        <v>499</v>
      </c>
      <c r="G41" s="93" t="s">
        <v>500</v>
      </c>
      <c r="H41" s="93"/>
      <c r="I41" s="93" t="s">
        <v>297</v>
      </c>
      <c r="J41" s="93" t="s">
        <v>306</v>
      </c>
      <c r="K41" s="93" t="b">
        <v>0</v>
      </c>
      <c r="L41" s="93" t="s">
        <v>306</v>
      </c>
      <c r="M41" s="93" t="b">
        <v>0</v>
      </c>
      <c r="N41" s="93" t="b">
        <v>0</v>
      </c>
      <c r="O41" s="96" t="s">
        <v>501</v>
      </c>
      <c r="P41" s="93"/>
      <c r="Q41" s="96" t="s">
        <v>299</v>
      </c>
      <c r="R41" s="93"/>
      <c r="S41" s="97" t="s">
        <v>502</v>
      </c>
      <c r="T41" s="93"/>
      <c r="U41" s="93"/>
      <c r="V41" s="93"/>
      <c r="W41" s="93"/>
      <c r="X41" s="93"/>
      <c r="Y41" s="93"/>
      <c r="Z41" s="93"/>
      <c r="AA41" s="100"/>
    </row>
    <row r="42" ht="15.75" customHeight="1">
      <c r="A42" s="93" t="s">
        <v>285</v>
      </c>
      <c r="B42" s="93" t="s">
        <v>286</v>
      </c>
      <c r="C42" s="93" t="s">
        <v>496</v>
      </c>
      <c r="D42" s="93" t="s">
        <v>503</v>
      </c>
      <c r="E42" s="93" t="s">
        <v>504</v>
      </c>
      <c r="F42" s="93" t="s">
        <v>505</v>
      </c>
      <c r="G42" s="93" t="s">
        <v>506</v>
      </c>
      <c r="H42" s="93"/>
      <c r="I42" s="93" t="s">
        <v>507</v>
      </c>
      <c r="J42" s="93" t="s">
        <v>508</v>
      </c>
      <c r="K42" s="93" t="b">
        <v>0</v>
      </c>
      <c r="L42" s="93" t="s">
        <v>508</v>
      </c>
      <c r="M42" s="93" t="b">
        <v>0</v>
      </c>
      <c r="N42" s="93" t="b">
        <v>0</v>
      </c>
      <c r="O42" s="93"/>
      <c r="P42" s="93"/>
      <c r="Q42" s="96" t="s">
        <v>509</v>
      </c>
      <c r="R42" s="93"/>
      <c r="S42" s="97"/>
      <c r="T42" s="93"/>
      <c r="U42" s="93"/>
      <c r="V42" s="93"/>
      <c r="W42" s="93"/>
      <c r="X42" s="93"/>
      <c r="Y42" s="93"/>
      <c r="Z42" s="93"/>
      <c r="AA42" s="100"/>
    </row>
    <row r="43" ht="15.75" customHeight="1">
      <c r="A43" s="93" t="s">
        <v>285</v>
      </c>
      <c r="B43" s="93" t="s">
        <v>286</v>
      </c>
      <c r="C43" s="93" t="s">
        <v>496</v>
      </c>
      <c r="D43" s="93" t="s">
        <v>510</v>
      </c>
      <c r="E43" s="93" t="s">
        <v>511</v>
      </c>
      <c r="F43" s="93" t="s">
        <v>512</v>
      </c>
      <c r="G43" s="93" t="s">
        <v>513</v>
      </c>
      <c r="H43" s="93"/>
      <c r="I43" s="93" t="s">
        <v>514</v>
      </c>
      <c r="J43" s="93" t="s">
        <v>515</v>
      </c>
      <c r="K43" s="93" t="b">
        <v>0</v>
      </c>
      <c r="L43" s="93" t="s">
        <v>515</v>
      </c>
      <c r="M43" s="93" t="b">
        <v>0</v>
      </c>
      <c r="N43" s="93" t="b">
        <v>0</v>
      </c>
      <c r="O43" s="93"/>
      <c r="P43" s="93"/>
      <c r="Q43" s="96" t="s">
        <v>516</v>
      </c>
      <c r="R43" s="93"/>
      <c r="S43" s="97"/>
      <c r="T43" s="93"/>
      <c r="U43" s="93"/>
      <c r="V43" s="93"/>
      <c r="W43" s="93"/>
      <c r="X43" s="93"/>
      <c r="Y43" s="93"/>
      <c r="Z43" s="93"/>
      <c r="AA43" s="100"/>
    </row>
    <row r="44" ht="15.75" customHeight="1">
      <c r="A44" s="93" t="s">
        <v>285</v>
      </c>
      <c r="B44" s="93" t="s">
        <v>286</v>
      </c>
      <c r="C44" s="93" t="s">
        <v>496</v>
      </c>
      <c r="D44" s="93" t="s">
        <v>517</v>
      </c>
      <c r="E44" s="93" t="s">
        <v>518</v>
      </c>
      <c r="F44" s="93" t="s">
        <v>499</v>
      </c>
      <c r="G44" s="93" t="s">
        <v>519</v>
      </c>
      <c r="H44" s="93"/>
      <c r="I44" s="93" t="s">
        <v>520</v>
      </c>
      <c r="J44" s="93" t="s">
        <v>306</v>
      </c>
      <c r="K44" s="93" t="b">
        <v>0</v>
      </c>
      <c r="L44" s="93" t="s">
        <v>306</v>
      </c>
      <c r="M44" s="93" t="b">
        <v>0</v>
      </c>
      <c r="N44" s="93" t="b">
        <v>0</v>
      </c>
      <c r="O44" s="93"/>
      <c r="P44" s="93"/>
      <c r="Q44" s="96" t="s">
        <v>521</v>
      </c>
      <c r="R44" s="93"/>
      <c r="S44" s="97"/>
      <c r="T44" s="93"/>
      <c r="U44" s="93"/>
      <c r="V44" s="93"/>
      <c r="W44" s="93"/>
      <c r="X44" s="93"/>
      <c r="Y44" s="93"/>
      <c r="Z44" s="93"/>
      <c r="AA44" s="100"/>
    </row>
    <row r="45" ht="15.75" customHeight="1">
      <c r="A45" s="93" t="s">
        <v>285</v>
      </c>
      <c r="B45" s="93" t="s">
        <v>286</v>
      </c>
      <c r="C45" s="93" t="s">
        <v>496</v>
      </c>
      <c r="D45" s="93" t="s">
        <v>522</v>
      </c>
      <c r="E45" s="93" t="s">
        <v>523</v>
      </c>
      <c r="F45" s="93" t="s">
        <v>331</v>
      </c>
      <c r="G45" s="93" t="s">
        <v>524</v>
      </c>
      <c r="H45" s="93"/>
      <c r="I45" s="93" t="s">
        <v>525</v>
      </c>
      <c r="J45" s="93" t="s">
        <v>333</v>
      </c>
      <c r="K45" s="93" t="b">
        <v>0</v>
      </c>
      <c r="L45" s="93" t="s">
        <v>333</v>
      </c>
      <c r="M45" s="93" t="b">
        <v>0</v>
      </c>
      <c r="N45" s="93" t="b">
        <v>0</v>
      </c>
      <c r="O45" s="93"/>
      <c r="P45" s="93"/>
      <c r="Q45" s="96" t="s">
        <v>521</v>
      </c>
      <c r="R45" s="93"/>
      <c r="S45" s="97"/>
      <c r="T45" s="93"/>
      <c r="U45" s="93"/>
      <c r="V45" s="93"/>
      <c r="W45" s="93"/>
      <c r="X45" s="93"/>
      <c r="Y45" s="93"/>
      <c r="Z45" s="93"/>
      <c r="AA45" s="100"/>
    </row>
    <row r="46" ht="15.75" customHeight="1">
      <c r="A46" s="93" t="s">
        <v>285</v>
      </c>
      <c r="B46" s="93" t="s">
        <v>286</v>
      </c>
      <c r="C46" s="93" t="s">
        <v>496</v>
      </c>
      <c r="D46" s="93" t="s">
        <v>526</v>
      </c>
      <c r="E46" s="93" t="s">
        <v>527</v>
      </c>
      <c r="F46" s="93" t="s">
        <v>370</v>
      </c>
      <c r="G46" s="93" t="s">
        <v>528</v>
      </c>
      <c r="H46" s="93"/>
      <c r="I46" s="93" t="s">
        <v>529</v>
      </c>
      <c r="J46" s="93" t="s">
        <v>372</v>
      </c>
      <c r="K46" s="93" t="b">
        <v>0</v>
      </c>
      <c r="L46" s="93" t="s">
        <v>372</v>
      </c>
      <c r="M46" s="93" t="b">
        <v>0</v>
      </c>
      <c r="N46" s="93" t="b">
        <v>0</v>
      </c>
      <c r="O46" s="96" t="s">
        <v>501</v>
      </c>
      <c r="P46" s="93"/>
      <c r="Q46" s="96" t="s">
        <v>299</v>
      </c>
      <c r="R46" s="93"/>
      <c r="S46" s="97"/>
      <c r="T46" s="93"/>
      <c r="U46" s="93"/>
      <c r="V46" s="93"/>
      <c r="W46" s="93"/>
      <c r="X46" s="93"/>
      <c r="Y46" s="93"/>
      <c r="Z46" s="93"/>
      <c r="AA46" s="100" t="s">
        <v>530</v>
      </c>
    </row>
    <row r="47" ht="15.75" customHeight="1">
      <c r="A47" s="93" t="s">
        <v>285</v>
      </c>
      <c r="B47" s="93" t="s">
        <v>286</v>
      </c>
      <c r="C47" s="93" t="s">
        <v>531</v>
      </c>
      <c r="D47" s="93" t="s">
        <v>532</v>
      </c>
      <c r="E47" s="93" t="s">
        <v>533</v>
      </c>
      <c r="F47" s="93" t="s">
        <v>534</v>
      </c>
      <c r="G47" s="93" t="s">
        <v>535</v>
      </c>
      <c r="H47" s="93"/>
      <c r="I47" s="93" t="s">
        <v>536</v>
      </c>
      <c r="J47" s="93" t="s">
        <v>537</v>
      </c>
      <c r="K47" s="93" t="b">
        <v>0</v>
      </c>
      <c r="L47" s="93" t="s">
        <v>537</v>
      </c>
      <c r="M47" s="93" t="b">
        <v>0</v>
      </c>
      <c r="N47" s="93" t="b">
        <v>0</v>
      </c>
      <c r="O47" s="93"/>
      <c r="P47" s="93"/>
      <c r="Q47" s="96" t="s">
        <v>538</v>
      </c>
      <c r="R47" s="93"/>
      <c r="S47" s="93"/>
      <c r="T47" s="93"/>
      <c r="U47" s="93"/>
      <c r="V47" s="93"/>
      <c r="W47" s="93"/>
      <c r="X47" s="93"/>
      <c r="Y47" s="93"/>
      <c r="Z47" s="93"/>
      <c r="AA47" s="100" t="s">
        <v>539</v>
      </c>
    </row>
    <row r="48" ht="15.75" customHeight="1">
      <c r="A48" s="93" t="s">
        <v>285</v>
      </c>
      <c r="B48" s="93" t="s">
        <v>286</v>
      </c>
      <c r="C48" s="93" t="s">
        <v>531</v>
      </c>
      <c r="D48" s="104" t="s">
        <v>540</v>
      </c>
      <c r="E48" s="104" t="s">
        <v>541</v>
      </c>
      <c r="F48" s="104" t="s">
        <v>542</v>
      </c>
      <c r="G48" s="104" t="s">
        <v>543</v>
      </c>
      <c r="H48" s="104"/>
      <c r="I48" s="104" t="s">
        <v>544</v>
      </c>
      <c r="J48" s="104" t="s">
        <v>402</v>
      </c>
      <c r="K48" s="104" t="b">
        <v>0</v>
      </c>
      <c r="L48" s="104" t="s">
        <v>402</v>
      </c>
      <c r="M48" s="104" t="b">
        <v>0</v>
      </c>
      <c r="N48" s="104" t="b">
        <v>0</v>
      </c>
      <c r="O48" s="104" t="s">
        <v>545</v>
      </c>
      <c r="P48" s="104"/>
      <c r="Q48" s="104" t="s">
        <v>546</v>
      </c>
      <c r="R48" s="104" t="s">
        <v>547</v>
      </c>
      <c r="S48" s="104" t="s">
        <v>548</v>
      </c>
      <c r="T48" s="104" t="s">
        <v>549</v>
      </c>
      <c r="U48" s="104" t="s">
        <v>550</v>
      </c>
      <c r="V48" s="104" t="s">
        <v>551</v>
      </c>
      <c r="W48" s="104" t="s">
        <v>552</v>
      </c>
      <c r="X48" s="104" t="s">
        <v>553</v>
      </c>
      <c r="Y48" s="104"/>
      <c r="Z48" s="93"/>
      <c r="AA48" s="106" t="s">
        <v>548</v>
      </c>
    </row>
    <row r="49" ht="15.75" customHeight="1">
      <c r="A49" s="93" t="s">
        <v>285</v>
      </c>
      <c r="B49" s="93" t="s">
        <v>286</v>
      </c>
      <c r="C49" s="94">
        <v>43832.0</v>
      </c>
      <c r="D49" s="93" t="s">
        <v>554</v>
      </c>
      <c r="E49" s="93" t="s">
        <v>554</v>
      </c>
      <c r="F49" s="93" t="s">
        <v>303</v>
      </c>
      <c r="G49" s="93">
        <v>9.71549968697E11</v>
      </c>
      <c r="H49" s="93"/>
      <c r="I49" s="93" t="s">
        <v>297</v>
      </c>
      <c r="J49" s="104" t="s">
        <v>537</v>
      </c>
      <c r="K49" s="104" t="b">
        <v>1</v>
      </c>
      <c r="L49" s="104" t="s">
        <v>307</v>
      </c>
      <c r="M49" s="104" t="b">
        <v>0</v>
      </c>
      <c r="N49" s="104" t="b">
        <v>0</v>
      </c>
      <c r="O49" s="104"/>
      <c r="P49" s="104"/>
      <c r="Q49" s="96" t="s">
        <v>555</v>
      </c>
      <c r="R49" s="93"/>
      <c r="S49" s="93" t="s">
        <v>556</v>
      </c>
      <c r="T49" s="93" t="s">
        <v>557</v>
      </c>
      <c r="U49" s="93" t="s">
        <v>558</v>
      </c>
      <c r="V49" s="93" t="s">
        <v>559</v>
      </c>
      <c r="W49" s="93" t="s">
        <v>560</v>
      </c>
      <c r="X49" s="93" t="s">
        <v>561</v>
      </c>
      <c r="Y49" s="93"/>
      <c r="Z49" s="93"/>
      <c r="AA49" s="100"/>
    </row>
    <row r="50" ht="15.75" customHeight="1">
      <c r="A50" s="93" t="s">
        <v>285</v>
      </c>
      <c r="B50" s="93" t="s">
        <v>286</v>
      </c>
      <c r="C50" s="94">
        <v>43832.0</v>
      </c>
      <c r="D50" s="104" t="s">
        <v>562</v>
      </c>
      <c r="E50" s="104" t="s">
        <v>562</v>
      </c>
      <c r="F50" s="104" t="s">
        <v>563</v>
      </c>
      <c r="G50" s="104">
        <v>3.8641665932E10</v>
      </c>
      <c r="H50" s="104"/>
      <c r="I50" s="104" t="s">
        <v>297</v>
      </c>
      <c r="J50" s="104" t="s">
        <v>564</v>
      </c>
      <c r="K50" s="104" t="b">
        <v>0</v>
      </c>
      <c r="L50" s="104" t="s">
        <v>564</v>
      </c>
      <c r="M50" s="104" t="b">
        <v>0</v>
      </c>
      <c r="N50" s="104" t="b">
        <v>0</v>
      </c>
      <c r="O50" s="104"/>
      <c r="P50" s="104"/>
      <c r="Q50" s="107" t="s">
        <v>555</v>
      </c>
      <c r="R50" s="93"/>
      <c r="S50" s="104" t="s">
        <v>565</v>
      </c>
      <c r="T50" s="93" t="s">
        <v>550</v>
      </c>
      <c r="U50" s="93" t="s">
        <v>550</v>
      </c>
      <c r="V50" s="93" t="s">
        <v>550</v>
      </c>
      <c r="W50" s="93"/>
      <c r="X50" s="93"/>
      <c r="Y50" s="93"/>
      <c r="Z50" s="93"/>
      <c r="AA50" s="100"/>
    </row>
    <row r="51" ht="15.75" customHeight="1">
      <c r="A51" s="93" t="s">
        <v>285</v>
      </c>
      <c r="B51" s="93" t="s">
        <v>286</v>
      </c>
      <c r="C51" s="94">
        <v>43832.0</v>
      </c>
      <c r="D51" s="93" t="s">
        <v>566</v>
      </c>
      <c r="E51" s="93" t="s">
        <v>567</v>
      </c>
      <c r="F51" s="93" t="s">
        <v>568</v>
      </c>
      <c r="G51" s="93">
        <v>9.0530617039E11</v>
      </c>
      <c r="H51" s="93"/>
      <c r="I51" s="93" t="s">
        <v>569</v>
      </c>
      <c r="J51" s="93" t="s">
        <v>570</v>
      </c>
      <c r="K51" s="93" t="b">
        <v>0</v>
      </c>
      <c r="L51" s="93" t="s">
        <v>570</v>
      </c>
      <c r="M51" s="93" t="b">
        <v>0</v>
      </c>
      <c r="N51" s="93" t="b">
        <v>0</v>
      </c>
      <c r="O51" s="93"/>
      <c r="P51" s="93"/>
      <c r="Q51" s="96" t="s">
        <v>293</v>
      </c>
      <c r="R51" s="93"/>
      <c r="S51" s="93"/>
      <c r="T51" s="93"/>
      <c r="U51" s="93"/>
      <c r="V51" s="93"/>
      <c r="W51" s="93"/>
      <c r="X51" s="93"/>
      <c r="Y51" s="93"/>
      <c r="Z51" s="93"/>
      <c r="AA51" s="100"/>
    </row>
    <row r="52" ht="15.75" customHeight="1">
      <c r="A52" s="93" t="s">
        <v>285</v>
      </c>
      <c r="B52" s="93" t="s">
        <v>286</v>
      </c>
      <c r="C52" s="94">
        <v>43832.0</v>
      </c>
      <c r="D52" s="93" t="s">
        <v>571</v>
      </c>
      <c r="E52" s="93" t="s">
        <v>571</v>
      </c>
      <c r="F52" s="93" t="s">
        <v>572</v>
      </c>
      <c r="G52" s="93">
        <v>8.613906592783E12</v>
      </c>
      <c r="H52" s="93"/>
      <c r="I52" s="93" t="s">
        <v>297</v>
      </c>
      <c r="J52" s="93" t="s">
        <v>472</v>
      </c>
      <c r="K52" s="93" t="b">
        <v>0</v>
      </c>
      <c r="L52" s="93" t="s">
        <v>472</v>
      </c>
      <c r="M52" s="93" t="b">
        <v>0</v>
      </c>
      <c r="N52" s="93" t="b">
        <v>0</v>
      </c>
      <c r="O52" s="93"/>
      <c r="P52" s="93"/>
      <c r="Q52" s="96" t="s">
        <v>573</v>
      </c>
      <c r="R52" s="93" t="s">
        <v>574</v>
      </c>
      <c r="S52" s="93"/>
      <c r="T52" s="93"/>
      <c r="U52" s="93"/>
      <c r="V52" s="93"/>
      <c r="W52" s="93"/>
      <c r="X52" s="93"/>
      <c r="Y52" s="93"/>
      <c r="Z52" s="93"/>
      <c r="AA52" s="100"/>
    </row>
    <row r="53" ht="15.75" customHeight="1">
      <c r="A53" s="93" t="s">
        <v>285</v>
      </c>
      <c r="B53" s="93" t="s">
        <v>286</v>
      </c>
      <c r="C53" s="94">
        <v>43832.0</v>
      </c>
      <c r="D53" s="93" t="s">
        <v>575</v>
      </c>
      <c r="E53" s="93" t="s">
        <v>575</v>
      </c>
      <c r="F53" s="93" t="s">
        <v>576</v>
      </c>
      <c r="G53" s="93">
        <v>9.98933421927E11</v>
      </c>
      <c r="H53" s="93"/>
      <c r="I53" s="93" t="s">
        <v>297</v>
      </c>
      <c r="J53" s="93" t="s">
        <v>577</v>
      </c>
      <c r="K53" s="93" t="b">
        <v>0</v>
      </c>
      <c r="L53" s="93" t="s">
        <v>577</v>
      </c>
      <c r="M53" s="93" t="b">
        <v>0</v>
      </c>
      <c r="N53" s="93" t="b">
        <v>0</v>
      </c>
      <c r="O53" s="93"/>
      <c r="P53" s="93"/>
      <c r="Q53" s="96" t="s">
        <v>573</v>
      </c>
      <c r="R53" s="100" t="s">
        <v>578</v>
      </c>
      <c r="S53" s="93"/>
      <c r="T53" s="93"/>
      <c r="U53" s="93"/>
      <c r="V53" s="93"/>
      <c r="W53" s="93"/>
      <c r="X53" s="93"/>
      <c r="Y53" s="93"/>
      <c r="Z53" s="93"/>
      <c r="AA53" s="100"/>
    </row>
    <row r="54" ht="15.75" customHeight="1">
      <c r="A54" s="93" t="s">
        <v>285</v>
      </c>
      <c r="B54" s="93" t="s">
        <v>286</v>
      </c>
      <c r="C54" s="94">
        <v>43892.0</v>
      </c>
      <c r="D54" s="93" t="s">
        <v>579</v>
      </c>
      <c r="E54" s="93" t="s">
        <v>579</v>
      </c>
      <c r="F54" s="93" t="s">
        <v>303</v>
      </c>
      <c r="G54" s="93" t="s">
        <v>580</v>
      </c>
      <c r="H54" s="93"/>
      <c r="I54" s="93" t="s">
        <v>297</v>
      </c>
      <c r="J54" s="93" t="s">
        <v>319</v>
      </c>
      <c r="K54" s="93" t="b">
        <v>0</v>
      </c>
      <c r="L54" s="93" t="s">
        <v>319</v>
      </c>
      <c r="M54" s="93" t="b">
        <v>0</v>
      </c>
      <c r="N54" s="93" t="b">
        <v>0</v>
      </c>
      <c r="O54" s="96" t="s">
        <v>446</v>
      </c>
      <c r="P54" s="93"/>
      <c r="Q54" s="93" t="s">
        <v>334</v>
      </c>
      <c r="R54" s="93" t="s">
        <v>581</v>
      </c>
      <c r="S54" s="93"/>
      <c r="T54" s="93"/>
      <c r="U54" s="93"/>
      <c r="V54" s="93"/>
      <c r="W54" s="93"/>
      <c r="X54" s="93"/>
      <c r="Y54" s="93"/>
      <c r="Z54" s="93"/>
      <c r="AA54" s="100"/>
    </row>
    <row r="55" ht="15.75" customHeight="1">
      <c r="A55" s="93" t="s">
        <v>285</v>
      </c>
      <c r="B55" s="104" t="s">
        <v>286</v>
      </c>
      <c r="C55" s="108">
        <v>43892.0</v>
      </c>
      <c r="D55" s="104" t="s">
        <v>582</v>
      </c>
      <c r="E55" s="104" t="s">
        <v>583</v>
      </c>
      <c r="F55" s="104" t="s">
        <v>303</v>
      </c>
      <c r="G55" s="104" t="s">
        <v>584</v>
      </c>
      <c r="H55" s="104"/>
      <c r="I55" s="104" t="s">
        <v>297</v>
      </c>
      <c r="J55" s="104" t="s">
        <v>344</v>
      </c>
      <c r="K55" s="104" t="b">
        <v>0</v>
      </c>
      <c r="L55" s="104" t="s">
        <v>344</v>
      </c>
      <c r="M55" s="104" t="b">
        <v>0</v>
      </c>
      <c r="N55" s="104" t="b">
        <v>0</v>
      </c>
      <c r="O55" s="107" t="s">
        <v>446</v>
      </c>
      <c r="P55" s="104"/>
      <c r="Q55" s="104" t="s">
        <v>585</v>
      </c>
      <c r="R55" s="104" t="s">
        <v>586</v>
      </c>
      <c r="S55" s="104" t="s">
        <v>587</v>
      </c>
      <c r="T55" s="104" t="s">
        <v>550</v>
      </c>
      <c r="U55" s="104"/>
      <c r="V55" s="104"/>
      <c r="W55" s="93"/>
      <c r="X55" s="93"/>
      <c r="Y55" s="93"/>
      <c r="Z55" s="93"/>
      <c r="AA55" s="100"/>
    </row>
    <row r="56" ht="15.75" customHeight="1">
      <c r="A56" s="93" t="s">
        <v>285</v>
      </c>
      <c r="B56" s="104" t="s">
        <v>286</v>
      </c>
      <c r="C56" s="108">
        <v>43953.0</v>
      </c>
      <c r="D56" s="104" t="s">
        <v>588</v>
      </c>
      <c r="E56" s="104" t="s">
        <v>588</v>
      </c>
      <c r="F56" s="104" t="s">
        <v>331</v>
      </c>
      <c r="G56" s="104" t="s">
        <v>589</v>
      </c>
      <c r="H56" s="104"/>
      <c r="I56" s="104" t="s">
        <v>297</v>
      </c>
      <c r="J56" s="104" t="s">
        <v>345</v>
      </c>
      <c r="K56" s="104" t="b">
        <v>0</v>
      </c>
      <c r="L56" s="104" t="s">
        <v>345</v>
      </c>
      <c r="M56" s="104" t="b">
        <v>0</v>
      </c>
      <c r="N56" s="104" t="b">
        <v>0</v>
      </c>
      <c r="O56" s="104" t="s">
        <v>590</v>
      </c>
      <c r="P56" s="104"/>
      <c r="Q56" s="107" t="s">
        <v>591</v>
      </c>
      <c r="R56" s="104" t="s">
        <v>592</v>
      </c>
      <c r="S56" s="104" t="s">
        <v>593</v>
      </c>
      <c r="T56" s="104" t="s">
        <v>594</v>
      </c>
      <c r="U56" s="104"/>
      <c r="V56" s="104"/>
      <c r="W56" s="93"/>
      <c r="X56" s="93"/>
      <c r="Y56" s="93"/>
      <c r="Z56" s="93"/>
      <c r="AA56" s="100"/>
    </row>
    <row r="57" ht="15.75" customHeight="1">
      <c r="A57" s="93" t="s">
        <v>285</v>
      </c>
      <c r="B57" s="93" t="s">
        <v>286</v>
      </c>
      <c r="C57" s="94">
        <v>43953.0</v>
      </c>
      <c r="D57" s="93" t="s">
        <v>595</v>
      </c>
      <c r="E57" s="93" t="s">
        <v>596</v>
      </c>
      <c r="F57" s="93" t="s">
        <v>597</v>
      </c>
      <c r="G57" s="93" t="s">
        <v>598</v>
      </c>
      <c r="H57" s="93"/>
      <c r="I57" s="93" t="s">
        <v>599</v>
      </c>
      <c r="J57" s="93" t="s">
        <v>319</v>
      </c>
      <c r="K57" s="93" t="b">
        <v>0</v>
      </c>
      <c r="L57" s="93" t="s">
        <v>319</v>
      </c>
      <c r="M57" s="93" t="b">
        <v>0</v>
      </c>
      <c r="N57" s="93" t="b">
        <v>0</v>
      </c>
      <c r="O57" s="93" t="s">
        <v>590</v>
      </c>
      <c r="P57" s="93"/>
      <c r="Q57" s="93" t="s">
        <v>585</v>
      </c>
      <c r="R57" s="93" t="s">
        <v>592</v>
      </c>
      <c r="S57" s="93" t="s">
        <v>600</v>
      </c>
      <c r="T57" s="93"/>
      <c r="U57" s="93"/>
      <c r="V57" s="93"/>
      <c r="W57" s="93"/>
      <c r="X57" s="93"/>
      <c r="Y57" s="93"/>
      <c r="Z57" s="93"/>
      <c r="AA57" s="100"/>
    </row>
    <row r="58" ht="15.75" customHeight="1">
      <c r="A58" s="93" t="s">
        <v>285</v>
      </c>
      <c r="B58" s="93" t="s">
        <v>286</v>
      </c>
      <c r="C58" s="94">
        <v>43953.0</v>
      </c>
      <c r="D58" s="93" t="s">
        <v>601</v>
      </c>
      <c r="E58" s="93" t="s">
        <v>602</v>
      </c>
      <c r="F58" s="93" t="s">
        <v>451</v>
      </c>
      <c r="G58" s="93" t="s">
        <v>603</v>
      </c>
      <c r="H58" s="93"/>
      <c r="I58" s="93" t="s">
        <v>297</v>
      </c>
      <c r="J58" s="93" t="s">
        <v>344</v>
      </c>
      <c r="K58" s="93" t="b">
        <v>0</v>
      </c>
      <c r="L58" s="93" t="s">
        <v>344</v>
      </c>
      <c r="M58" s="93" t="b">
        <v>0</v>
      </c>
      <c r="N58" s="93" t="b">
        <v>0</v>
      </c>
      <c r="O58" s="93" t="s">
        <v>590</v>
      </c>
      <c r="P58" s="93"/>
      <c r="Q58" s="96" t="s">
        <v>604</v>
      </c>
      <c r="R58" s="93"/>
      <c r="S58" s="93"/>
      <c r="T58" s="93"/>
      <c r="U58" s="93"/>
      <c r="V58" s="93"/>
      <c r="W58" s="93"/>
      <c r="X58" s="93"/>
      <c r="Y58" s="93"/>
      <c r="Z58" s="93"/>
      <c r="AA58" s="100"/>
    </row>
    <row r="59" ht="15.75" customHeight="1">
      <c r="A59" s="93" t="s">
        <v>285</v>
      </c>
      <c r="B59" s="93" t="s">
        <v>286</v>
      </c>
      <c r="C59" s="94">
        <v>44076.0</v>
      </c>
      <c r="D59" s="93" t="s">
        <v>605</v>
      </c>
      <c r="E59" s="93" t="s">
        <v>605</v>
      </c>
      <c r="F59" s="93" t="s">
        <v>458</v>
      </c>
      <c r="G59" s="93" t="s">
        <v>606</v>
      </c>
      <c r="H59" s="93"/>
      <c r="I59" s="93" t="s">
        <v>297</v>
      </c>
      <c r="J59" s="93" t="s">
        <v>345</v>
      </c>
      <c r="K59" s="93" t="b">
        <v>0</v>
      </c>
      <c r="L59" s="93" t="s">
        <v>345</v>
      </c>
      <c r="M59" s="93" t="b">
        <v>0</v>
      </c>
      <c r="N59" s="93" t="b">
        <v>0</v>
      </c>
      <c r="O59" s="93" t="s">
        <v>590</v>
      </c>
      <c r="P59" s="93"/>
      <c r="Q59" s="93" t="s">
        <v>299</v>
      </c>
      <c r="R59" s="93" t="s">
        <v>607</v>
      </c>
      <c r="S59" s="93"/>
      <c r="T59" s="93" t="s">
        <v>608</v>
      </c>
      <c r="U59" s="93"/>
      <c r="V59" s="93"/>
      <c r="W59" s="93"/>
      <c r="X59" s="93"/>
      <c r="Y59" s="93"/>
      <c r="Z59" s="93"/>
      <c r="AA59" s="100"/>
    </row>
    <row r="60" ht="15.75" customHeight="1">
      <c r="A60" s="93" t="s">
        <v>285</v>
      </c>
      <c r="B60" s="93" t="s">
        <v>286</v>
      </c>
      <c r="C60" s="94">
        <v>44076.0</v>
      </c>
      <c r="D60" s="93" t="s">
        <v>609</v>
      </c>
      <c r="E60" s="93" t="s">
        <v>610</v>
      </c>
      <c r="F60" s="93" t="s">
        <v>611</v>
      </c>
      <c r="G60" s="93" t="s">
        <v>612</v>
      </c>
      <c r="H60" s="93"/>
      <c r="I60" s="93" t="s">
        <v>297</v>
      </c>
      <c r="J60" s="93" t="s">
        <v>613</v>
      </c>
      <c r="K60" s="93" t="b">
        <v>0</v>
      </c>
      <c r="L60" s="93" t="s">
        <v>613</v>
      </c>
      <c r="M60" s="93" t="b">
        <v>0</v>
      </c>
      <c r="N60" s="93" t="b">
        <v>0</v>
      </c>
      <c r="O60" s="93" t="s">
        <v>590</v>
      </c>
      <c r="P60" s="93"/>
      <c r="Q60" s="93" t="s">
        <v>585</v>
      </c>
      <c r="R60" s="93"/>
      <c r="S60" s="93"/>
      <c r="T60" s="93"/>
      <c r="U60" s="93"/>
      <c r="V60" s="93"/>
      <c r="W60" s="93"/>
      <c r="X60" s="93"/>
      <c r="Y60" s="93"/>
      <c r="Z60" s="93"/>
      <c r="AA60" s="100"/>
    </row>
    <row r="61" ht="15.75" customHeight="1">
      <c r="A61" s="93" t="s">
        <v>285</v>
      </c>
      <c r="B61" s="93" t="s">
        <v>286</v>
      </c>
      <c r="C61" s="94">
        <v>44076.0</v>
      </c>
      <c r="D61" s="93" t="s">
        <v>614</v>
      </c>
      <c r="E61" s="93" t="s">
        <v>615</v>
      </c>
      <c r="F61" s="93" t="s">
        <v>303</v>
      </c>
      <c r="G61" s="93" t="s">
        <v>616</v>
      </c>
      <c r="H61" s="93"/>
      <c r="I61" s="93" t="s">
        <v>297</v>
      </c>
      <c r="J61" s="93" t="s">
        <v>508</v>
      </c>
      <c r="K61" s="93" t="b">
        <v>0</v>
      </c>
      <c r="L61" s="93" t="s">
        <v>508</v>
      </c>
      <c r="M61" s="93" t="b">
        <v>0</v>
      </c>
      <c r="N61" s="93" t="b">
        <v>0</v>
      </c>
      <c r="O61" s="93"/>
      <c r="P61" s="93"/>
      <c r="Q61" s="96" t="s">
        <v>617</v>
      </c>
      <c r="R61" s="93" t="s">
        <v>618</v>
      </c>
      <c r="S61" s="93"/>
      <c r="T61" s="93" t="s">
        <v>619</v>
      </c>
      <c r="U61" s="93"/>
      <c r="V61" s="93"/>
      <c r="W61" s="93"/>
      <c r="X61" s="93"/>
      <c r="Y61" s="93"/>
      <c r="Z61" s="93"/>
      <c r="AA61" s="100"/>
    </row>
    <row r="62" ht="15.75" customHeight="1">
      <c r="A62" s="93" t="s">
        <v>285</v>
      </c>
      <c r="B62" s="93" t="s">
        <v>286</v>
      </c>
      <c r="C62" s="94">
        <v>44137.0</v>
      </c>
      <c r="D62" s="104" t="s">
        <v>620</v>
      </c>
      <c r="E62" s="104" t="s">
        <v>621</v>
      </c>
      <c r="F62" s="104" t="s">
        <v>534</v>
      </c>
      <c r="G62" s="104" t="s">
        <v>622</v>
      </c>
      <c r="H62" s="104" t="s">
        <v>623</v>
      </c>
      <c r="I62" s="104" t="s">
        <v>624</v>
      </c>
      <c r="J62" s="104" t="s">
        <v>625</v>
      </c>
      <c r="K62" s="104" t="b">
        <v>0</v>
      </c>
      <c r="L62" s="104" t="s">
        <v>479</v>
      </c>
      <c r="M62" s="104" t="b">
        <v>0</v>
      </c>
      <c r="N62" s="104" t="b">
        <v>0</v>
      </c>
      <c r="O62" s="104"/>
      <c r="P62" s="104"/>
      <c r="Q62" s="107" t="s">
        <v>626</v>
      </c>
      <c r="R62" s="104"/>
      <c r="S62" s="93" t="s">
        <v>627</v>
      </c>
      <c r="T62" s="93"/>
      <c r="U62" s="93"/>
      <c r="V62" s="93"/>
      <c r="W62" s="93"/>
      <c r="X62" s="93"/>
      <c r="Y62" s="93"/>
      <c r="Z62" s="93"/>
      <c r="AA62" s="100"/>
    </row>
    <row r="63" ht="15.75" customHeight="1">
      <c r="A63" s="93" t="s">
        <v>285</v>
      </c>
      <c r="B63" s="93" t="s">
        <v>286</v>
      </c>
      <c r="C63" s="94">
        <v>44137.0</v>
      </c>
      <c r="D63" s="93" t="s">
        <v>628</v>
      </c>
      <c r="E63" s="93" t="s">
        <v>629</v>
      </c>
      <c r="F63" s="93" t="s">
        <v>295</v>
      </c>
      <c r="G63" s="96" t="s">
        <v>630</v>
      </c>
      <c r="H63" s="93"/>
      <c r="I63" s="93" t="s">
        <v>297</v>
      </c>
      <c r="J63" s="93" t="s">
        <v>298</v>
      </c>
      <c r="K63" s="93" t="b">
        <v>0</v>
      </c>
      <c r="L63" s="93" t="s">
        <v>298</v>
      </c>
      <c r="M63" s="93" t="b">
        <v>0</v>
      </c>
      <c r="N63" s="93" t="b">
        <v>0</v>
      </c>
      <c r="O63" s="93"/>
      <c r="P63" s="93"/>
      <c r="Q63" s="93" t="s">
        <v>293</v>
      </c>
      <c r="R63" s="93" t="s">
        <v>631</v>
      </c>
      <c r="S63" s="93"/>
      <c r="T63" s="93"/>
      <c r="U63" s="93"/>
      <c r="V63" s="93"/>
      <c r="W63" s="93"/>
      <c r="X63" s="93"/>
      <c r="Y63" s="93"/>
      <c r="Z63" s="93"/>
      <c r="AA63" s="100"/>
    </row>
    <row r="64" ht="15.75" customHeight="1">
      <c r="A64" s="93" t="s">
        <v>285</v>
      </c>
      <c r="B64" s="93" t="s">
        <v>286</v>
      </c>
      <c r="C64" s="94">
        <v>44137.0</v>
      </c>
      <c r="D64" s="93" t="s">
        <v>632</v>
      </c>
      <c r="E64" s="93" t="s">
        <v>633</v>
      </c>
      <c r="F64" s="93" t="s">
        <v>303</v>
      </c>
      <c r="G64" s="96" t="s">
        <v>634</v>
      </c>
      <c r="H64" s="93"/>
      <c r="I64" s="93" t="s">
        <v>297</v>
      </c>
      <c r="J64" s="93" t="s">
        <v>635</v>
      </c>
      <c r="K64" s="93" t="b">
        <v>1</v>
      </c>
      <c r="L64" s="93" t="s">
        <v>307</v>
      </c>
      <c r="M64" s="93" t="b">
        <v>0</v>
      </c>
      <c r="N64" s="93" t="b">
        <v>0</v>
      </c>
      <c r="O64" s="93"/>
      <c r="P64" s="93"/>
      <c r="Q64" s="93" t="s">
        <v>293</v>
      </c>
      <c r="R64" s="93" t="s">
        <v>636</v>
      </c>
      <c r="S64" s="93"/>
      <c r="T64" s="93"/>
      <c r="U64" s="93"/>
      <c r="V64" s="93"/>
      <c r="W64" s="93"/>
      <c r="X64" s="93"/>
      <c r="Y64" s="93"/>
      <c r="Z64" s="93"/>
      <c r="AA64" s="100"/>
    </row>
    <row r="65" ht="15.75" customHeight="1">
      <c r="A65" s="93" t="s">
        <v>285</v>
      </c>
      <c r="B65" s="93" t="s">
        <v>286</v>
      </c>
      <c r="C65" s="94">
        <v>44137.0</v>
      </c>
      <c r="D65" s="93" t="s">
        <v>637</v>
      </c>
      <c r="E65" s="93" t="s">
        <v>638</v>
      </c>
      <c r="F65" s="93" t="s">
        <v>639</v>
      </c>
      <c r="G65" s="93" t="s">
        <v>640</v>
      </c>
      <c r="H65" s="93"/>
      <c r="I65" s="93" t="s">
        <v>641</v>
      </c>
      <c r="J65" s="93" t="s">
        <v>642</v>
      </c>
      <c r="K65" s="93" t="b">
        <v>0</v>
      </c>
      <c r="L65" s="93" t="s">
        <v>642</v>
      </c>
      <c r="M65" s="93" t="b">
        <v>0</v>
      </c>
      <c r="N65" s="93" t="b">
        <v>0</v>
      </c>
      <c r="O65" s="93"/>
      <c r="P65" s="93"/>
      <c r="Q65" s="93" t="s">
        <v>643</v>
      </c>
      <c r="R65" s="93" t="s">
        <v>644</v>
      </c>
      <c r="S65" s="93"/>
      <c r="T65" s="93"/>
      <c r="U65" s="93"/>
      <c r="V65" s="93"/>
      <c r="W65" s="93"/>
      <c r="X65" s="93"/>
      <c r="Y65" s="93"/>
      <c r="Z65" s="93"/>
      <c r="AA65" s="100"/>
    </row>
    <row r="66" ht="15.75" customHeight="1">
      <c r="A66" s="93" t="s">
        <v>285</v>
      </c>
      <c r="B66" s="93" t="s">
        <v>286</v>
      </c>
      <c r="C66" s="93" t="s">
        <v>645</v>
      </c>
      <c r="D66" s="93" t="s">
        <v>646</v>
      </c>
      <c r="E66" s="93" t="s">
        <v>647</v>
      </c>
      <c r="F66" s="93" t="s">
        <v>303</v>
      </c>
      <c r="G66" s="93" t="s">
        <v>648</v>
      </c>
      <c r="H66" s="93"/>
      <c r="I66" s="93" t="s">
        <v>649</v>
      </c>
      <c r="J66" s="93" t="s">
        <v>307</v>
      </c>
      <c r="K66" s="93" t="b">
        <v>1</v>
      </c>
      <c r="L66" s="93" t="s">
        <v>307</v>
      </c>
      <c r="M66" s="93" t="b">
        <v>0</v>
      </c>
      <c r="N66" s="93" t="b">
        <v>0</v>
      </c>
      <c r="O66" s="93"/>
      <c r="P66" s="93"/>
      <c r="Q66" s="96" t="s">
        <v>650</v>
      </c>
      <c r="R66" s="93"/>
      <c r="S66" s="93" t="s">
        <v>651</v>
      </c>
      <c r="T66" s="93"/>
      <c r="U66" s="93"/>
      <c r="V66" s="93"/>
      <c r="W66" s="93"/>
      <c r="X66" s="93"/>
      <c r="Y66" s="93"/>
      <c r="Z66" s="93"/>
      <c r="AA66" s="100"/>
    </row>
    <row r="67" ht="15.75" customHeight="1">
      <c r="A67" s="93" t="s">
        <v>285</v>
      </c>
      <c r="B67" s="93" t="s">
        <v>286</v>
      </c>
      <c r="C67" s="93" t="s">
        <v>645</v>
      </c>
      <c r="D67" s="93" t="s">
        <v>652</v>
      </c>
      <c r="E67" s="93" t="s">
        <v>653</v>
      </c>
      <c r="F67" s="93" t="s">
        <v>303</v>
      </c>
      <c r="G67" s="93" t="s">
        <v>654</v>
      </c>
      <c r="H67" s="93"/>
      <c r="I67" s="93" t="s">
        <v>297</v>
      </c>
      <c r="J67" s="93" t="s">
        <v>307</v>
      </c>
      <c r="K67" s="93" t="b">
        <v>1</v>
      </c>
      <c r="L67" s="93" t="s">
        <v>307</v>
      </c>
      <c r="M67" s="93" t="b">
        <v>0</v>
      </c>
      <c r="N67" s="93" t="b">
        <v>0</v>
      </c>
      <c r="O67" s="93"/>
      <c r="P67" s="93"/>
      <c r="Q67" s="96" t="s">
        <v>655</v>
      </c>
      <c r="R67" s="93"/>
      <c r="S67" s="93" t="s">
        <v>651</v>
      </c>
      <c r="T67" s="93"/>
      <c r="U67" s="93"/>
      <c r="V67" s="93"/>
      <c r="W67" s="93"/>
      <c r="X67" s="93"/>
      <c r="Y67" s="93"/>
      <c r="Z67" s="93"/>
      <c r="AA67" s="100"/>
    </row>
    <row r="68" ht="15.75" customHeight="1">
      <c r="A68" s="93" t="s">
        <v>285</v>
      </c>
      <c r="B68" s="93" t="s">
        <v>286</v>
      </c>
      <c r="C68" s="93" t="s">
        <v>645</v>
      </c>
      <c r="D68" s="93" t="s">
        <v>656</v>
      </c>
      <c r="E68" s="93" t="s">
        <v>657</v>
      </c>
      <c r="F68" s="93" t="s">
        <v>658</v>
      </c>
      <c r="G68" s="93" t="s">
        <v>659</v>
      </c>
      <c r="H68" s="93"/>
      <c r="I68" s="93" t="s">
        <v>297</v>
      </c>
      <c r="J68" s="93" t="s">
        <v>625</v>
      </c>
      <c r="K68" s="93" t="b">
        <v>0</v>
      </c>
      <c r="L68" s="93" t="s">
        <v>625</v>
      </c>
      <c r="M68" s="93" t="b">
        <v>0</v>
      </c>
      <c r="N68" s="93" t="b">
        <v>0</v>
      </c>
      <c r="O68" s="93" t="s">
        <v>660</v>
      </c>
      <c r="P68" s="93"/>
      <c r="Q68" s="96" t="s">
        <v>585</v>
      </c>
      <c r="R68" s="93" t="s">
        <v>661</v>
      </c>
      <c r="S68" s="93" t="s">
        <v>215</v>
      </c>
      <c r="T68" s="93"/>
      <c r="U68" s="93"/>
      <c r="V68" s="93"/>
      <c r="W68" s="93"/>
      <c r="X68" s="93"/>
      <c r="Y68" s="93"/>
      <c r="Z68" s="93"/>
      <c r="AA68" s="100"/>
    </row>
    <row r="69" ht="15.75" customHeight="1">
      <c r="A69" s="93" t="s">
        <v>285</v>
      </c>
      <c r="B69" s="93" t="s">
        <v>286</v>
      </c>
      <c r="C69" s="93" t="s">
        <v>645</v>
      </c>
      <c r="D69" s="93" t="s">
        <v>662</v>
      </c>
      <c r="E69" s="93" t="s">
        <v>662</v>
      </c>
      <c r="F69" s="93" t="s">
        <v>381</v>
      </c>
      <c r="G69" s="93" t="s">
        <v>663</v>
      </c>
      <c r="H69" s="93"/>
      <c r="I69" s="93" t="s">
        <v>297</v>
      </c>
      <c r="J69" s="93" t="s">
        <v>383</v>
      </c>
      <c r="K69" s="93" t="b">
        <v>0</v>
      </c>
      <c r="L69" s="93" t="s">
        <v>383</v>
      </c>
      <c r="M69" s="93" t="b">
        <v>0</v>
      </c>
      <c r="N69" s="93" t="b">
        <v>0</v>
      </c>
      <c r="O69" s="96" t="s">
        <v>446</v>
      </c>
      <c r="P69" s="93"/>
      <c r="Q69" s="96" t="s">
        <v>585</v>
      </c>
      <c r="R69" s="93"/>
      <c r="S69" s="93" t="s">
        <v>664</v>
      </c>
      <c r="T69" s="93"/>
      <c r="U69" s="93"/>
      <c r="V69" s="93"/>
      <c r="W69" s="93"/>
      <c r="X69" s="93"/>
      <c r="Y69" s="93"/>
      <c r="Z69" s="93"/>
      <c r="AA69" s="100"/>
    </row>
    <row r="70" ht="15.75" customHeight="1">
      <c r="A70" s="93" t="s">
        <v>285</v>
      </c>
      <c r="B70" s="93" t="s">
        <v>286</v>
      </c>
      <c r="C70" s="93" t="s">
        <v>645</v>
      </c>
      <c r="D70" s="93" t="s">
        <v>665</v>
      </c>
      <c r="E70" s="93" t="s">
        <v>666</v>
      </c>
      <c r="F70" s="93" t="s">
        <v>451</v>
      </c>
      <c r="G70" s="93" t="s">
        <v>667</v>
      </c>
      <c r="H70" s="93"/>
      <c r="I70" s="93" t="s">
        <v>668</v>
      </c>
      <c r="J70" s="93" t="s">
        <v>344</v>
      </c>
      <c r="K70" s="93" t="b">
        <v>0</v>
      </c>
      <c r="L70" s="93" t="s">
        <v>344</v>
      </c>
      <c r="M70" s="93" t="b">
        <v>0</v>
      </c>
      <c r="N70" s="93" t="b">
        <v>0</v>
      </c>
      <c r="O70" s="96" t="s">
        <v>446</v>
      </c>
      <c r="P70" s="93"/>
      <c r="Q70" s="93" t="s">
        <v>432</v>
      </c>
      <c r="R70" s="93" t="s">
        <v>669</v>
      </c>
      <c r="S70" s="93"/>
      <c r="T70" s="93"/>
      <c r="U70" s="93"/>
      <c r="V70" s="93"/>
      <c r="W70" s="93"/>
      <c r="X70" s="93"/>
      <c r="Y70" s="93"/>
      <c r="Z70" s="93"/>
      <c r="AA70" s="100"/>
    </row>
    <row r="71" ht="15.75" customHeight="1">
      <c r="A71" s="93" t="s">
        <v>285</v>
      </c>
      <c r="B71" s="93" t="s">
        <v>286</v>
      </c>
      <c r="C71" s="93" t="s">
        <v>670</v>
      </c>
      <c r="D71" s="104" t="s">
        <v>671</v>
      </c>
      <c r="E71" s="104" t="s">
        <v>672</v>
      </c>
      <c r="F71" s="104" t="s">
        <v>331</v>
      </c>
      <c r="G71" s="104" t="s">
        <v>673</v>
      </c>
      <c r="H71" s="104"/>
      <c r="I71" s="104" t="s">
        <v>297</v>
      </c>
      <c r="J71" s="104" t="s">
        <v>333</v>
      </c>
      <c r="K71" s="104" t="b">
        <v>0</v>
      </c>
      <c r="L71" s="104" t="s">
        <v>333</v>
      </c>
      <c r="M71" s="104" t="b">
        <v>0</v>
      </c>
      <c r="N71" s="104" t="b">
        <v>0</v>
      </c>
      <c r="O71" s="104"/>
      <c r="P71" s="104"/>
      <c r="Q71" s="104" t="s">
        <v>674</v>
      </c>
      <c r="R71" s="104" t="s">
        <v>675</v>
      </c>
      <c r="S71" s="104" t="s">
        <v>676</v>
      </c>
      <c r="T71" s="104" t="s">
        <v>677</v>
      </c>
      <c r="U71" s="93"/>
      <c r="V71" s="93"/>
      <c r="W71" s="93"/>
      <c r="X71" s="93"/>
      <c r="Y71" s="93"/>
      <c r="Z71" s="93"/>
      <c r="AA71" s="100"/>
    </row>
    <row r="72" ht="15.75" customHeight="1">
      <c r="A72" s="93" t="s">
        <v>285</v>
      </c>
      <c r="B72" s="93" t="s">
        <v>286</v>
      </c>
      <c r="C72" s="93" t="s">
        <v>670</v>
      </c>
      <c r="D72" s="104" t="s">
        <v>678</v>
      </c>
      <c r="E72" s="104" t="s">
        <v>679</v>
      </c>
      <c r="F72" s="104" t="s">
        <v>323</v>
      </c>
      <c r="G72" s="104" t="s">
        <v>680</v>
      </c>
      <c r="H72" s="104"/>
      <c r="I72" s="104" t="s">
        <v>297</v>
      </c>
      <c r="J72" s="104" t="s">
        <v>326</v>
      </c>
      <c r="K72" s="104" t="b">
        <v>0</v>
      </c>
      <c r="L72" s="104" t="s">
        <v>326</v>
      </c>
      <c r="M72" s="104" t="b">
        <v>0</v>
      </c>
      <c r="N72" s="104" t="b">
        <v>0</v>
      </c>
      <c r="O72" s="104"/>
      <c r="P72" s="104"/>
      <c r="Q72" s="104" t="s">
        <v>674</v>
      </c>
      <c r="R72" s="104" t="s">
        <v>681</v>
      </c>
      <c r="S72" s="93" t="s">
        <v>682</v>
      </c>
      <c r="T72" s="93"/>
      <c r="U72" s="93"/>
      <c r="V72" s="93"/>
      <c r="W72" s="93"/>
      <c r="X72" s="93"/>
      <c r="Y72" s="93"/>
      <c r="Z72" s="93"/>
      <c r="AA72" s="100"/>
    </row>
    <row r="73" ht="15.75" customHeight="1">
      <c r="A73" s="93" t="s">
        <v>285</v>
      </c>
      <c r="B73" s="93" t="s">
        <v>286</v>
      </c>
      <c r="C73" s="93" t="s">
        <v>683</v>
      </c>
      <c r="D73" s="93" t="s">
        <v>684</v>
      </c>
      <c r="E73" s="93" t="s">
        <v>685</v>
      </c>
      <c r="F73" s="93" t="s">
        <v>686</v>
      </c>
      <c r="G73" s="93" t="s">
        <v>687</v>
      </c>
      <c r="H73" s="93"/>
      <c r="I73" s="93" t="s">
        <v>688</v>
      </c>
      <c r="J73" s="93" t="s">
        <v>689</v>
      </c>
      <c r="K73" s="93" t="b">
        <v>0</v>
      </c>
      <c r="L73" s="93" t="s">
        <v>689</v>
      </c>
      <c r="M73" s="93" t="b">
        <v>0</v>
      </c>
      <c r="N73" s="93" t="b">
        <v>0</v>
      </c>
      <c r="O73" s="93"/>
      <c r="P73" s="93"/>
      <c r="Q73" s="96" t="s">
        <v>650</v>
      </c>
      <c r="R73" s="93"/>
      <c r="S73" s="93"/>
      <c r="T73" s="93"/>
      <c r="U73" s="93"/>
      <c r="V73" s="93"/>
      <c r="W73" s="93"/>
      <c r="X73" s="93"/>
      <c r="Y73" s="93"/>
      <c r="Z73" s="93"/>
      <c r="AA73" s="100"/>
    </row>
    <row r="74" ht="15.75" customHeight="1">
      <c r="A74" s="93" t="s">
        <v>285</v>
      </c>
      <c r="B74" s="93" t="s">
        <v>286</v>
      </c>
      <c r="C74" s="93" t="s">
        <v>690</v>
      </c>
      <c r="D74" s="93" t="s">
        <v>691</v>
      </c>
      <c r="E74" s="93" t="s">
        <v>692</v>
      </c>
      <c r="F74" s="93" t="s">
        <v>693</v>
      </c>
      <c r="G74" s="93" t="s">
        <v>694</v>
      </c>
      <c r="H74" s="93"/>
      <c r="I74" s="93" t="s">
        <v>695</v>
      </c>
      <c r="J74" s="93" t="s">
        <v>696</v>
      </c>
      <c r="K74" s="93" t="b">
        <v>0</v>
      </c>
      <c r="L74" s="93" t="s">
        <v>696</v>
      </c>
      <c r="M74" s="93" t="b">
        <v>0</v>
      </c>
      <c r="N74" s="93" t="b">
        <v>0</v>
      </c>
      <c r="O74" s="93"/>
      <c r="P74" s="93"/>
      <c r="Q74" s="93" t="s">
        <v>432</v>
      </c>
      <c r="R74" s="93"/>
      <c r="S74" s="93"/>
      <c r="T74" s="93"/>
      <c r="U74" s="93"/>
      <c r="V74" s="93"/>
      <c r="W74" s="93"/>
      <c r="X74" s="93"/>
      <c r="Y74" s="93"/>
      <c r="Z74" s="93"/>
      <c r="AA74" s="100"/>
    </row>
    <row r="75" ht="15.75" customHeight="1">
      <c r="A75" s="93" t="s">
        <v>285</v>
      </c>
      <c r="B75" s="93" t="s">
        <v>286</v>
      </c>
      <c r="C75" s="93" t="s">
        <v>690</v>
      </c>
      <c r="D75" s="93" t="s">
        <v>628</v>
      </c>
      <c r="E75" s="93" t="s">
        <v>697</v>
      </c>
      <c r="F75" s="93" t="s">
        <v>303</v>
      </c>
      <c r="G75" s="93" t="s">
        <v>698</v>
      </c>
      <c r="H75" s="93" t="s">
        <v>699</v>
      </c>
      <c r="I75" s="93" t="s">
        <v>297</v>
      </c>
      <c r="J75" s="93" t="s">
        <v>306</v>
      </c>
      <c r="K75" s="93" t="b">
        <v>0</v>
      </c>
      <c r="L75" s="93" t="s">
        <v>298</v>
      </c>
      <c r="M75" s="93" t="b">
        <v>0</v>
      </c>
      <c r="N75" s="93" t="b">
        <v>0</v>
      </c>
      <c r="O75" s="93"/>
      <c r="P75" s="93"/>
      <c r="Q75" s="96" t="s">
        <v>585</v>
      </c>
      <c r="R75" s="93"/>
      <c r="S75" s="93"/>
      <c r="T75" s="93"/>
      <c r="U75" s="93"/>
      <c r="V75" s="93"/>
      <c r="W75" s="93"/>
      <c r="X75" s="93"/>
      <c r="Y75" s="93"/>
      <c r="Z75" s="93"/>
      <c r="AA75" s="100"/>
    </row>
    <row r="76" ht="15.75" customHeight="1">
      <c r="A76" s="93" t="s">
        <v>285</v>
      </c>
      <c r="B76" s="93" t="s">
        <v>286</v>
      </c>
      <c r="C76" s="93" t="s">
        <v>690</v>
      </c>
      <c r="D76" s="93" t="s">
        <v>700</v>
      </c>
      <c r="E76" s="93" t="s">
        <v>701</v>
      </c>
      <c r="F76" s="93" t="s">
        <v>702</v>
      </c>
      <c r="G76" s="93" t="s">
        <v>703</v>
      </c>
      <c r="H76" s="93"/>
      <c r="I76" s="93" t="s">
        <v>704</v>
      </c>
      <c r="J76" s="93" t="s">
        <v>705</v>
      </c>
      <c r="K76" s="93" t="b">
        <v>0</v>
      </c>
      <c r="L76" s="93" t="s">
        <v>705</v>
      </c>
      <c r="M76" s="93" t="b">
        <v>0</v>
      </c>
      <c r="N76" s="93" t="b">
        <v>0</v>
      </c>
      <c r="O76" s="93"/>
      <c r="P76" s="93"/>
      <c r="Q76" s="93" t="s">
        <v>432</v>
      </c>
      <c r="R76" s="93" t="s">
        <v>706</v>
      </c>
      <c r="S76" s="93"/>
      <c r="T76" s="93"/>
      <c r="U76" s="93"/>
      <c r="V76" s="93"/>
      <c r="W76" s="93"/>
      <c r="X76" s="93"/>
      <c r="Y76" s="93"/>
      <c r="Z76" s="93"/>
      <c r="AA76" s="100"/>
    </row>
    <row r="77" ht="15.75" customHeight="1">
      <c r="A77" s="93" t="s">
        <v>285</v>
      </c>
      <c r="B77" s="93" t="s">
        <v>286</v>
      </c>
      <c r="C77" s="93" t="s">
        <v>690</v>
      </c>
      <c r="D77" s="93" t="s">
        <v>707</v>
      </c>
      <c r="E77" s="93" t="s">
        <v>708</v>
      </c>
      <c r="F77" s="93" t="s">
        <v>487</v>
      </c>
      <c r="G77" s="93" t="s">
        <v>709</v>
      </c>
      <c r="H77" s="93"/>
      <c r="I77" s="93" t="s">
        <v>710</v>
      </c>
      <c r="J77" s="93" t="s">
        <v>711</v>
      </c>
      <c r="K77" s="93" t="b">
        <v>0</v>
      </c>
      <c r="L77" s="93" t="s">
        <v>490</v>
      </c>
      <c r="M77" s="93" t="b">
        <v>0</v>
      </c>
      <c r="N77" s="93" t="b">
        <v>0</v>
      </c>
      <c r="O77" s="93"/>
      <c r="P77" s="93"/>
      <c r="Q77" s="93" t="s">
        <v>394</v>
      </c>
      <c r="R77" s="93"/>
      <c r="S77" s="93"/>
      <c r="T77" s="93"/>
      <c r="U77" s="93"/>
      <c r="V77" s="93"/>
      <c r="W77" s="93"/>
      <c r="X77" s="93"/>
      <c r="Y77" s="93"/>
      <c r="Z77" s="93"/>
      <c r="AA77" s="100"/>
    </row>
    <row r="78" ht="15.75" customHeight="1">
      <c r="A78" s="93" t="s">
        <v>285</v>
      </c>
      <c r="B78" s="93" t="s">
        <v>286</v>
      </c>
      <c r="C78" s="93" t="s">
        <v>690</v>
      </c>
      <c r="D78" s="104" t="s">
        <v>712</v>
      </c>
      <c r="E78" s="93" t="s">
        <v>713</v>
      </c>
      <c r="F78" s="93" t="s">
        <v>303</v>
      </c>
      <c r="G78" s="93" t="s">
        <v>714</v>
      </c>
      <c r="H78" s="93"/>
      <c r="I78" s="93" t="s">
        <v>297</v>
      </c>
      <c r="J78" s="93" t="s">
        <v>472</v>
      </c>
      <c r="K78" s="93" t="b">
        <v>0</v>
      </c>
      <c r="L78" s="93" t="s">
        <v>472</v>
      </c>
      <c r="M78" s="93" t="b">
        <v>0</v>
      </c>
      <c r="N78" s="93" t="b">
        <v>0</v>
      </c>
      <c r="O78" s="93"/>
      <c r="P78" s="93"/>
      <c r="Q78" s="96" t="s">
        <v>299</v>
      </c>
      <c r="R78" s="104" t="s">
        <v>715</v>
      </c>
      <c r="S78" s="93"/>
      <c r="T78" s="93"/>
      <c r="U78" s="93"/>
      <c r="V78" s="93"/>
      <c r="W78" s="93"/>
      <c r="X78" s="93"/>
      <c r="Y78" s="93"/>
      <c r="Z78" s="93"/>
      <c r="AA78" s="100"/>
    </row>
    <row r="79" ht="15.75" customHeight="1">
      <c r="A79" s="93" t="s">
        <v>285</v>
      </c>
      <c r="B79" s="93" t="s">
        <v>286</v>
      </c>
      <c r="C79" s="93" t="s">
        <v>690</v>
      </c>
      <c r="D79" s="93" t="s">
        <v>716</v>
      </c>
      <c r="E79" s="93" t="s">
        <v>717</v>
      </c>
      <c r="F79" s="93" t="s">
        <v>458</v>
      </c>
      <c r="G79" s="93" t="s">
        <v>718</v>
      </c>
      <c r="H79" s="93"/>
      <c r="I79" s="93" t="s">
        <v>719</v>
      </c>
      <c r="J79" s="93" t="s">
        <v>508</v>
      </c>
      <c r="K79" s="93" t="b">
        <v>0</v>
      </c>
      <c r="L79" s="93" t="s">
        <v>345</v>
      </c>
      <c r="M79" s="93" t="b">
        <v>0</v>
      </c>
      <c r="N79" s="93" t="b">
        <v>0</v>
      </c>
      <c r="O79" s="93"/>
      <c r="P79" s="93"/>
      <c r="Q79" s="96" t="s">
        <v>585</v>
      </c>
      <c r="R79" s="93" t="s">
        <v>720</v>
      </c>
      <c r="S79" s="93"/>
      <c r="T79" s="93"/>
      <c r="U79" s="93"/>
      <c r="V79" s="93"/>
      <c r="W79" s="93"/>
      <c r="X79" s="93"/>
      <c r="Y79" s="93"/>
      <c r="Z79" s="93"/>
      <c r="AA79" s="100"/>
    </row>
    <row r="80" ht="15.75" customHeight="1">
      <c r="A80" s="93" t="s">
        <v>285</v>
      </c>
      <c r="B80" s="93" t="s">
        <v>286</v>
      </c>
      <c r="C80" s="93" t="s">
        <v>690</v>
      </c>
      <c r="D80" s="104" t="s">
        <v>721</v>
      </c>
      <c r="E80" s="93" t="s">
        <v>722</v>
      </c>
      <c r="F80" s="93" t="s">
        <v>505</v>
      </c>
      <c r="G80" s="93" t="s">
        <v>723</v>
      </c>
      <c r="H80" s="93"/>
      <c r="I80" s="93" t="s">
        <v>297</v>
      </c>
      <c r="J80" s="93" t="s">
        <v>508</v>
      </c>
      <c r="K80" s="93" t="b">
        <v>0</v>
      </c>
      <c r="L80" s="93" t="s">
        <v>508</v>
      </c>
      <c r="M80" s="93" t="b">
        <v>0</v>
      </c>
      <c r="N80" s="93" t="b">
        <v>0</v>
      </c>
      <c r="O80" s="93"/>
      <c r="P80" s="93"/>
      <c r="Q80" s="96" t="s">
        <v>585</v>
      </c>
      <c r="R80" s="93" t="s">
        <v>724</v>
      </c>
      <c r="S80" s="93" t="s">
        <v>725</v>
      </c>
      <c r="T80" s="93"/>
      <c r="U80" s="93"/>
      <c r="V80" s="93"/>
      <c r="W80" s="93"/>
      <c r="X80" s="93"/>
      <c r="Y80" s="93"/>
      <c r="Z80" s="93"/>
      <c r="AA80" s="100"/>
    </row>
    <row r="81" ht="15.75" customHeight="1">
      <c r="A81" s="93" t="s">
        <v>285</v>
      </c>
      <c r="B81" s="93" t="s">
        <v>286</v>
      </c>
      <c r="C81" s="93" t="s">
        <v>690</v>
      </c>
      <c r="D81" s="93" t="s">
        <v>726</v>
      </c>
      <c r="E81" s="93" t="s">
        <v>727</v>
      </c>
      <c r="F81" s="93" t="s">
        <v>331</v>
      </c>
      <c r="G81" s="93" t="s">
        <v>728</v>
      </c>
      <c r="H81" s="93"/>
      <c r="I81" s="93" t="s">
        <v>729</v>
      </c>
      <c r="J81" s="93" t="s">
        <v>333</v>
      </c>
      <c r="K81" s="93" t="b">
        <v>0</v>
      </c>
      <c r="L81" s="93" t="s">
        <v>333</v>
      </c>
      <c r="M81" s="93" t="b">
        <v>0</v>
      </c>
      <c r="N81" s="93" t="b">
        <v>0</v>
      </c>
      <c r="O81" s="93"/>
      <c r="P81" s="93"/>
      <c r="Q81" s="96" t="s">
        <v>585</v>
      </c>
      <c r="R81" s="93" t="s">
        <v>730</v>
      </c>
      <c r="S81" s="93" t="s">
        <v>731</v>
      </c>
      <c r="T81" s="93"/>
      <c r="U81" s="93"/>
      <c r="V81" s="93"/>
      <c r="W81" s="93"/>
      <c r="X81" s="93"/>
      <c r="Y81" s="93"/>
      <c r="Z81" s="93"/>
      <c r="AA81" s="100"/>
    </row>
    <row r="82" ht="15.75" customHeight="1">
      <c r="A82" s="93" t="s">
        <v>285</v>
      </c>
      <c r="B82" s="93" t="s">
        <v>286</v>
      </c>
      <c r="C82" s="93" t="s">
        <v>690</v>
      </c>
      <c r="D82" s="93" t="s">
        <v>732</v>
      </c>
      <c r="E82" s="93" t="s">
        <v>733</v>
      </c>
      <c r="F82" s="93" t="s">
        <v>451</v>
      </c>
      <c r="G82" s="93" t="s">
        <v>734</v>
      </c>
      <c r="H82" s="93"/>
      <c r="I82" s="93" t="s">
        <v>735</v>
      </c>
      <c r="J82" s="93" t="s">
        <v>344</v>
      </c>
      <c r="K82" s="93" t="b">
        <v>0</v>
      </c>
      <c r="L82" s="93" t="s">
        <v>344</v>
      </c>
      <c r="M82" s="93" t="b">
        <v>0</v>
      </c>
      <c r="N82" s="93" t="b">
        <v>0</v>
      </c>
      <c r="O82" s="93"/>
      <c r="P82" s="93"/>
      <c r="Q82" s="96" t="s">
        <v>585</v>
      </c>
      <c r="R82" s="93"/>
      <c r="S82" s="93"/>
      <c r="T82" s="93"/>
      <c r="U82" s="93"/>
      <c r="V82" s="93"/>
      <c r="W82" s="93"/>
      <c r="X82" s="93"/>
      <c r="Y82" s="93"/>
      <c r="Z82" s="93"/>
      <c r="AA82" s="100"/>
    </row>
    <row r="83" ht="15.75" customHeight="1">
      <c r="A83" s="93" t="s">
        <v>285</v>
      </c>
      <c r="B83" s="93" t="s">
        <v>286</v>
      </c>
      <c r="C83" s="93" t="s">
        <v>736</v>
      </c>
      <c r="D83" s="104" t="s">
        <v>737</v>
      </c>
      <c r="E83" s="104" t="s">
        <v>738</v>
      </c>
      <c r="F83" s="93" t="s">
        <v>739</v>
      </c>
      <c r="G83" s="93" t="s">
        <v>740</v>
      </c>
      <c r="H83" s="93" t="s">
        <v>741</v>
      </c>
      <c r="I83" s="93" t="s">
        <v>742</v>
      </c>
      <c r="J83" s="93" t="s">
        <v>345</v>
      </c>
      <c r="K83" s="93" t="b">
        <v>0</v>
      </c>
      <c r="L83" s="93" t="s">
        <v>345</v>
      </c>
      <c r="M83" s="93" t="b">
        <v>0</v>
      </c>
      <c r="N83" s="93" t="b">
        <v>0</v>
      </c>
      <c r="O83" s="93"/>
      <c r="P83" s="93"/>
      <c r="Q83" s="96" t="s">
        <v>585</v>
      </c>
      <c r="R83" s="93" t="s">
        <v>743</v>
      </c>
      <c r="S83" s="93"/>
      <c r="T83" s="93"/>
      <c r="U83" s="93"/>
      <c r="V83" s="93"/>
      <c r="W83" s="93"/>
      <c r="X83" s="93"/>
      <c r="Y83" s="93"/>
      <c r="Z83" s="93"/>
      <c r="AA83" s="100"/>
    </row>
    <row r="84" ht="15.75" customHeight="1">
      <c r="A84" s="93" t="s">
        <v>285</v>
      </c>
      <c r="B84" s="93" t="s">
        <v>286</v>
      </c>
      <c r="C84" s="93" t="s">
        <v>736</v>
      </c>
      <c r="D84" s="93" t="s">
        <v>744</v>
      </c>
      <c r="E84" s="93" t="s">
        <v>744</v>
      </c>
      <c r="F84" s="93" t="s">
        <v>451</v>
      </c>
      <c r="G84" s="93" t="s">
        <v>745</v>
      </c>
      <c r="H84" s="93"/>
      <c r="I84" s="93" t="s">
        <v>746</v>
      </c>
      <c r="J84" s="93" t="s">
        <v>344</v>
      </c>
      <c r="K84" s="93" t="b">
        <v>0</v>
      </c>
      <c r="L84" s="93" t="s">
        <v>344</v>
      </c>
      <c r="M84" s="93" t="b">
        <v>0</v>
      </c>
      <c r="N84" s="93" t="b">
        <v>0</v>
      </c>
      <c r="O84" s="93"/>
      <c r="P84" s="93"/>
      <c r="Q84" s="96" t="s">
        <v>585</v>
      </c>
      <c r="R84" s="93" t="s">
        <v>747</v>
      </c>
      <c r="S84" s="93"/>
      <c r="T84" s="93"/>
      <c r="U84" s="93"/>
      <c r="V84" s="93"/>
      <c r="W84" s="93"/>
      <c r="X84" s="93"/>
      <c r="Y84" s="93"/>
      <c r="Z84" s="93"/>
      <c r="AA84" s="100"/>
    </row>
    <row r="85" ht="15.75" customHeight="1">
      <c r="A85" s="93" t="s">
        <v>285</v>
      </c>
      <c r="B85" s="93" t="s">
        <v>286</v>
      </c>
      <c r="C85" s="93" t="s">
        <v>736</v>
      </c>
      <c r="D85" s="93" t="s">
        <v>748</v>
      </c>
      <c r="E85" s="93" t="s">
        <v>748</v>
      </c>
      <c r="F85" s="93" t="s">
        <v>749</v>
      </c>
      <c r="G85" s="93" t="s">
        <v>750</v>
      </c>
      <c r="H85" s="93"/>
      <c r="I85" s="93" t="s">
        <v>297</v>
      </c>
      <c r="J85" s="93" t="s">
        <v>751</v>
      </c>
      <c r="K85" s="93" t="b">
        <v>0</v>
      </c>
      <c r="L85" s="93" t="s">
        <v>751</v>
      </c>
      <c r="M85" s="93" t="b">
        <v>0</v>
      </c>
      <c r="N85" s="93" t="b">
        <v>0</v>
      </c>
      <c r="O85" s="93"/>
      <c r="P85" s="93"/>
      <c r="Q85" s="96" t="s">
        <v>585</v>
      </c>
      <c r="R85" s="93" t="s">
        <v>752</v>
      </c>
      <c r="S85" s="93"/>
      <c r="T85" s="93"/>
      <c r="U85" s="93"/>
      <c r="V85" s="93"/>
      <c r="W85" s="93"/>
      <c r="X85" s="93"/>
      <c r="Y85" s="93"/>
      <c r="Z85" s="93"/>
      <c r="AA85" s="100"/>
    </row>
    <row r="86" ht="15.75" customHeight="1">
      <c r="A86" s="93" t="s">
        <v>285</v>
      </c>
      <c r="B86" s="93" t="s">
        <v>286</v>
      </c>
      <c r="C86" s="93" t="s">
        <v>736</v>
      </c>
      <c r="D86" s="93" t="s">
        <v>312</v>
      </c>
      <c r="E86" s="93" t="s">
        <v>753</v>
      </c>
      <c r="F86" s="93" t="s">
        <v>754</v>
      </c>
      <c r="G86" s="93" t="s">
        <v>755</v>
      </c>
      <c r="H86" s="93"/>
      <c r="I86" s="93" t="s">
        <v>756</v>
      </c>
      <c r="J86" s="93" t="s">
        <v>445</v>
      </c>
      <c r="K86" s="93" t="b">
        <v>0</v>
      </c>
      <c r="L86" s="93" t="s">
        <v>445</v>
      </c>
      <c r="M86" s="93" t="b">
        <v>0</v>
      </c>
      <c r="N86" s="93" t="b">
        <v>0</v>
      </c>
      <c r="O86" s="93"/>
      <c r="P86" s="93"/>
      <c r="Q86" s="96" t="s">
        <v>293</v>
      </c>
      <c r="R86" s="93" t="s">
        <v>757</v>
      </c>
      <c r="S86" s="93"/>
      <c r="T86" s="93"/>
      <c r="U86" s="93"/>
      <c r="V86" s="93"/>
      <c r="W86" s="93"/>
      <c r="X86" s="93"/>
      <c r="Y86" s="93"/>
      <c r="Z86" s="93"/>
      <c r="AA86" s="100"/>
    </row>
    <row r="87" ht="15.75" customHeight="1">
      <c r="A87" s="93" t="s">
        <v>285</v>
      </c>
      <c r="B87" s="93" t="s">
        <v>286</v>
      </c>
      <c r="C87" s="93" t="s">
        <v>736</v>
      </c>
      <c r="D87" s="93" t="s">
        <v>503</v>
      </c>
      <c r="E87" s="93" t="s">
        <v>758</v>
      </c>
      <c r="F87" s="93" t="s">
        <v>295</v>
      </c>
      <c r="G87" s="93" t="s">
        <v>759</v>
      </c>
      <c r="H87" s="93"/>
      <c r="I87" s="93" t="s">
        <v>297</v>
      </c>
      <c r="J87" s="93" t="s">
        <v>298</v>
      </c>
      <c r="K87" s="93" t="b">
        <v>0</v>
      </c>
      <c r="L87" s="93" t="s">
        <v>298</v>
      </c>
      <c r="M87" s="93" t="b">
        <v>0</v>
      </c>
      <c r="N87" s="93" t="b">
        <v>0</v>
      </c>
      <c r="O87" s="93"/>
      <c r="P87" s="93"/>
      <c r="Q87" s="96" t="s">
        <v>293</v>
      </c>
      <c r="R87" s="93" t="s">
        <v>760</v>
      </c>
      <c r="S87" s="93"/>
      <c r="T87" s="93"/>
      <c r="U87" s="93"/>
      <c r="V87" s="93"/>
      <c r="W87" s="93"/>
      <c r="X87" s="93"/>
      <c r="Y87" s="93"/>
      <c r="Z87" s="93"/>
      <c r="AA87" s="100"/>
    </row>
    <row r="88" ht="15.75" customHeight="1">
      <c r="A88" s="93" t="s">
        <v>285</v>
      </c>
      <c r="B88" s="93" t="s">
        <v>286</v>
      </c>
      <c r="C88" s="93" t="s">
        <v>736</v>
      </c>
      <c r="D88" s="104" t="s">
        <v>761</v>
      </c>
      <c r="E88" s="93" t="s">
        <v>762</v>
      </c>
      <c r="F88" s="93" t="s">
        <v>763</v>
      </c>
      <c r="G88" s="93" t="s">
        <v>764</v>
      </c>
      <c r="H88" s="93"/>
      <c r="I88" s="93" t="s">
        <v>297</v>
      </c>
      <c r="J88" s="93" t="s">
        <v>765</v>
      </c>
      <c r="K88" s="93" t="b">
        <v>0</v>
      </c>
      <c r="L88" s="93" t="s">
        <v>765</v>
      </c>
      <c r="M88" s="93" t="b">
        <v>0</v>
      </c>
      <c r="N88" s="93" t="b">
        <v>0</v>
      </c>
      <c r="O88" s="93"/>
      <c r="P88" s="93"/>
      <c r="Q88" s="96" t="s">
        <v>766</v>
      </c>
      <c r="R88" s="93" t="s">
        <v>767</v>
      </c>
      <c r="S88" s="93" t="s">
        <v>725</v>
      </c>
      <c r="T88" s="93"/>
      <c r="U88" s="93"/>
      <c r="V88" s="93"/>
      <c r="W88" s="93"/>
      <c r="X88" s="93"/>
      <c r="Y88" s="93"/>
      <c r="Z88" s="93"/>
      <c r="AA88" s="100"/>
    </row>
    <row r="89" ht="15.75" customHeight="1">
      <c r="A89" s="93" t="s">
        <v>285</v>
      </c>
      <c r="B89" s="93" t="s">
        <v>286</v>
      </c>
      <c r="C89" s="93" t="s">
        <v>736</v>
      </c>
      <c r="D89" s="93" t="s">
        <v>768</v>
      </c>
      <c r="E89" s="93" t="s">
        <v>769</v>
      </c>
      <c r="F89" s="93" t="s">
        <v>693</v>
      </c>
      <c r="G89" s="93" t="s">
        <v>770</v>
      </c>
      <c r="H89" s="93"/>
      <c r="I89" s="93" t="s">
        <v>771</v>
      </c>
      <c r="J89" s="93" t="s">
        <v>696</v>
      </c>
      <c r="K89" s="93" t="b">
        <v>0</v>
      </c>
      <c r="L89" s="93" t="s">
        <v>696</v>
      </c>
      <c r="M89" s="93" t="b">
        <v>0</v>
      </c>
      <c r="N89" s="93" t="b">
        <v>0</v>
      </c>
      <c r="O89" s="93"/>
      <c r="P89" s="93"/>
      <c r="Q89" s="96" t="s">
        <v>293</v>
      </c>
      <c r="R89" s="93" t="s">
        <v>772</v>
      </c>
      <c r="S89" s="93"/>
      <c r="T89" s="93"/>
      <c r="U89" s="93"/>
      <c r="V89" s="93"/>
      <c r="W89" s="93"/>
      <c r="X89" s="93"/>
      <c r="Y89" s="93"/>
      <c r="Z89" s="93"/>
      <c r="AA89" s="100"/>
    </row>
    <row r="90" ht="15.75" customHeight="1">
      <c r="A90" s="93" t="s">
        <v>285</v>
      </c>
      <c r="B90" s="93" t="s">
        <v>286</v>
      </c>
      <c r="C90" s="93" t="s">
        <v>736</v>
      </c>
      <c r="D90" s="93" t="s">
        <v>773</v>
      </c>
      <c r="E90" s="93" t="s">
        <v>773</v>
      </c>
      <c r="F90" s="93" t="s">
        <v>451</v>
      </c>
      <c r="G90" s="93" t="s">
        <v>774</v>
      </c>
      <c r="H90" s="93"/>
      <c r="I90" s="93" t="s">
        <v>297</v>
      </c>
      <c r="J90" s="93" t="s">
        <v>344</v>
      </c>
      <c r="K90" s="93" t="b">
        <v>0</v>
      </c>
      <c r="L90" s="93" t="s">
        <v>344</v>
      </c>
      <c r="M90" s="93" t="b">
        <v>0</v>
      </c>
      <c r="N90" s="93" t="b">
        <v>0</v>
      </c>
      <c r="O90" s="93"/>
      <c r="P90" s="93"/>
      <c r="Q90" s="93" t="s">
        <v>432</v>
      </c>
      <c r="R90" s="93" t="s">
        <v>775</v>
      </c>
      <c r="S90" s="93"/>
      <c r="T90" s="93"/>
      <c r="U90" s="93"/>
      <c r="V90" s="93"/>
      <c r="W90" s="93"/>
      <c r="X90" s="93"/>
      <c r="Y90" s="93"/>
      <c r="Z90" s="93"/>
      <c r="AA90" s="100"/>
    </row>
    <row r="91" ht="15.75" customHeight="1">
      <c r="A91" s="93" t="s">
        <v>285</v>
      </c>
      <c r="B91" s="93" t="s">
        <v>286</v>
      </c>
      <c r="C91" s="93" t="s">
        <v>776</v>
      </c>
      <c r="D91" s="93" t="s">
        <v>777</v>
      </c>
      <c r="E91" s="93" t="s">
        <v>777</v>
      </c>
      <c r="F91" s="93" t="s">
        <v>458</v>
      </c>
      <c r="G91" s="93" t="s">
        <v>778</v>
      </c>
      <c r="H91" s="93"/>
      <c r="I91" s="93" t="s">
        <v>297</v>
      </c>
      <c r="J91" s="93" t="s">
        <v>345</v>
      </c>
      <c r="K91" s="93" t="b">
        <v>0</v>
      </c>
      <c r="L91" s="93" t="s">
        <v>345</v>
      </c>
      <c r="M91" s="93" t="b">
        <v>0</v>
      </c>
      <c r="N91" s="93" t="b">
        <v>0</v>
      </c>
      <c r="O91" s="93"/>
      <c r="P91" s="93"/>
      <c r="Q91" s="93" t="s">
        <v>779</v>
      </c>
      <c r="R91" s="93" t="s">
        <v>780</v>
      </c>
      <c r="S91" s="93"/>
      <c r="T91" s="93"/>
      <c r="U91" s="93"/>
      <c r="V91" s="93"/>
      <c r="W91" s="93"/>
      <c r="X91" s="93"/>
      <c r="Y91" s="93"/>
      <c r="Z91" s="93"/>
      <c r="AA91" s="100"/>
    </row>
    <row r="92" ht="15.75" customHeight="1">
      <c r="A92" s="93" t="s">
        <v>285</v>
      </c>
      <c r="B92" s="93" t="s">
        <v>286</v>
      </c>
      <c r="C92" s="93" t="s">
        <v>781</v>
      </c>
      <c r="D92" s="104" t="s">
        <v>782</v>
      </c>
      <c r="E92" s="104" t="s">
        <v>783</v>
      </c>
      <c r="F92" s="93" t="s">
        <v>451</v>
      </c>
      <c r="G92" s="93" t="s">
        <v>784</v>
      </c>
      <c r="H92" s="93"/>
      <c r="I92" s="93" t="s">
        <v>785</v>
      </c>
      <c r="J92" s="93" t="s">
        <v>344</v>
      </c>
      <c r="K92" s="93" t="b">
        <v>0</v>
      </c>
      <c r="L92" s="93" t="s">
        <v>344</v>
      </c>
      <c r="M92" s="93" t="b">
        <v>0</v>
      </c>
      <c r="N92" s="93" t="b">
        <v>1</v>
      </c>
      <c r="O92" s="93"/>
      <c r="P92" s="93"/>
      <c r="Q92" s="93" t="s">
        <v>643</v>
      </c>
      <c r="R92" s="93" t="s">
        <v>786</v>
      </c>
      <c r="S92" s="93"/>
      <c r="T92" s="93"/>
      <c r="U92" s="93"/>
      <c r="V92" s="93"/>
      <c r="W92" s="93"/>
      <c r="X92" s="93"/>
      <c r="Y92" s="93"/>
      <c r="Z92" s="93"/>
      <c r="AA92" s="100"/>
    </row>
    <row r="93" ht="15.75" customHeight="1">
      <c r="A93" s="93" t="s">
        <v>285</v>
      </c>
      <c r="B93" s="93" t="s">
        <v>286</v>
      </c>
      <c r="C93" s="93" t="s">
        <v>781</v>
      </c>
      <c r="D93" s="93" t="s">
        <v>787</v>
      </c>
      <c r="E93" s="93" t="s">
        <v>788</v>
      </c>
      <c r="F93" s="93" t="s">
        <v>611</v>
      </c>
      <c r="G93" s="93" t="s">
        <v>789</v>
      </c>
      <c r="H93" s="93"/>
      <c r="I93" s="93" t="s">
        <v>790</v>
      </c>
      <c r="J93" s="93" t="s">
        <v>613</v>
      </c>
      <c r="K93" s="93" t="b">
        <v>0</v>
      </c>
      <c r="L93" s="93" t="s">
        <v>613</v>
      </c>
      <c r="M93" s="93" t="b">
        <v>0</v>
      </c>
      <c r="N93" s="93" t="b">
        <v>1</v>
      </c>
      <c r="O93" s="93"/>
      <c r="P93" s="93"/>
      <c r="Q93" s="93" t="s">
        <v>791</v>
      </c>
      <c r="R93" s="93"/>
      <c r="S93" s="93"/>
      <c r="T93" s="93"/>
      <c r="U93" s="93"/>
      <c r="V93" s="93"/>
      <c r="W93" s="93"/>
      <c r="X93" s="93"/>
      <c r="Y93" s="93"/>
      <c r="Z93" s="93"/>
      <c r="AA93" s="100"/>
    </row>
    <row r="94" ht="15.75" customHeight="1">
      <c r="A94" s="93" t="s">
        <v>285</v>
      </c>
      <c r="B94" s="93" t="s">
        <v>286</v>
      </c>
      <c r="C94" s="93" t="s">
        <v>781</v>
      </c>
      <c r="D94" s="104" t="s">
        <v>792</v>
      </c>
      <c r="E94" s="104" t="s">
        <v>792</v>
      </c>
      <c r="F94" s="93" t="s">
        <v>303</v>
      </c>
      <c r="G94" s="93" t="s">
        <v>793</v>
      </c>
      <c r="H94" s="93"/>
      <c r="I94" s="93" t="s">
        <v>297</v>
      </c>
      <c r="J94" s="93" t="s">
        <v>537</v>
      </c>
      <c r="K94" s="93" t="b">
        <v>0</v>
      </c>
      <c r="L94" s="93" t="s">
        <v>537</v>
      </c>
      <c r="M94" s="93" t="b">
        <v>0</v>
      </c>
      <c r="N94" s="93" t="b">
        <v>0</v>
      </c>
      <c r="O94" s="93"/>
      <c r="P94" s="93"/>
      <c r="Q94" s="93" t="s">
        <v>643</v>
      </c>
      <c r="R94" s="93" t="s">
        <v>794</v>
      </c>
      <c r="S94" s="93" t="s">
        <v>795</v>
      </c>
      <c r="T94" s="93"/>
      <c r="U94" s="93"/>
      <c r="V94" s="93"/>
      <c r="W94" s="93"/>
      <c r="X94" s="93"/>
      <c r="Y94" s="93"/>
      <c r="Z94" s="93"/>
      <c r="AA94" s="100"/>
    </row>
    <row r="95" ht="15.75" customHeight="1">
      <c r="A95" s="93" t="s">
        <v>285</v>
      </c>
      <c r="B95" s="93" t="s">
        <v>286</v>
      </c>
      <c r="C95" s="93" t="s">
        <v>781</v>
      </c>
      <c r="D95" s="93" t="s">
        <v>796</v>
      </c>
      <c r="E95" s="93" t="s">
        <v>796</v>
      </c>
      <c r="F95" s="93" t="s">
        <v>303</v>
      </c>
      <c r="G95" s="93" t="s">
        <v>797</v>
      </c>
      <c r="H95" s="93"/>
      <c r="I95" s="93" t="s">
        <v>297</v>
      </c>
      <c r="J95" s="93" t="s">
        <v>570</v>
      </c>
      <c r="K95" s="93" t="b">
        <v>1</v>
      </c>
      <c r="L95" s="93" t="s">
        <v>307</v>
      </c>
      <c r="M95" s="93" t="b">
        <v>0</v>
      </c>
      <c r="N95" s="93" t="b">
        <v>0</v>
      </c>
      <c r="O95" s="93"/>
      <c r="P95" s="93"/>
      <c r="Q95" s="93" t="s">
        <v>643</v>
      </c>
      <c r="R95" s="93" t="s">
        <v>798</v>
      </c>
      <c r="S95" s="93"/>
      <c r="T95" s="93"/>
      <c r="U95" s="93"/>
      <c r="V95" s="93"/>
      <c r="W95" s="93"/>
      <c r="X95" s="93"/>
      <c r="Y95" s="93"/>
      <c r="Z95" s="93"/>
      <c r="AA95" s="100"/>
    </row>
    <row r="96" ht="15.75" customHeight="1">
      <c r="A96" s="93" t="s">
        <v>285</v>
      </c>
      <c r="B96" s="93" t="s">
        <v>286</v>
      </c>
      <c r="C96" s="93" t="s">
        <v>781</v>
      </c>
      <c r="D96" s="93" t="s">
        <v>799</v>
      </c>
      <c r="E96" s="93" t="s">
        <v>800</v>
      </c>
      <c r="F96" s="93" t="s">
        <v>801</v>
      </c>
      <c r="G96" s="93" t="s">
        <v>802</v>
      </c>
      <c r="H96" s="93"/>
      <c r="I96" s="93" t="s">
        <v>803</v>
      </c>
      <c r="J96" s="93" t="s">
        <v>804</v>
      </c>
      <c r="K96" s="93" t="b">
        <v>0</v>
      </c>
      <c r="L96" s="93" t="s">
        <v>804</v>
      </c>
      <c r="M96" s="93" t="b">
        <v>0</v>
      </c>
      <c r="N96" s="93" t="b">
        <v>1</v>
      </c>
      <c r="O96" s="93"/>
      <c r="P96" s="93"/>
      <c r="Q96" s="93" t="s">
        <v>791</v>
      </c>
      <c r="R96" s="93"/>
      <c r="S96" s="93"/>
      <c r="T96" s="93"/>
      <c r="U96" s="93"/>
      <c r="V96" s="93"/>
      <c r="W96" s="93"/>
      <c r="X96" s="93"/>
      <c r="Y96" s="93"/>
      <c r="Z96" s="93"/>
      <c r="AA96" s="100"/>
    </row>
    <row r="97" ht="15.75" customHeight="1">
      <c r="A97" s="93" t="s">
        <v>285</v>
      </c>
      <c r="B97" s="93" t="s">
        <v>286</v>
      </c>
      <c r="C97" s="93" t="s">
        <v>781</v>
      </c>
      <c r="D97" s="93" t="s">
        <v>805</v>
      </c>
      <c r="E97" s="93" t="s">
        <v>806</v>
      </c>
      <c r="F97" s="93"/>
      <c r="G97" s="93"/>
      <c r="H97" s="93"/>
      <c r="I97" s="93" t="s">
        <v>807</v>
      </c>
      <c r="J97" s="93" t="s">
        <v>808</v>
      </c>
      <c r="K97" s="93" t="b">
        <v>0</v>
      </c>
      <c r="L97" s="93" t="s">
        <v>808</v>
      </c>
      <c r="M97" s="93" t="b">
        <v>0</v>
      </c>
      <c r="N97" s="93" t="b">
        <v>1</v>
      </c>
      <c r="O97" s="93"/>
      <c r="P97" s="93"/>
      <c r="Q97" s="93" t="s">
        <v>791</v>
      </c>
      <c r="R97" s="93"/>
      <c r="S97" s="93"/>
      <c r="T97" s="93"/>
      <c r="U97" s="93"/>
      <c r="V97" s="93"/>
      <c r="W97" s="93"/>
      <c r="X97" s="93"/>
      <c r="Y97" s="93"/>
      <c r="Z97" s="93"/>
      <c r="AA97" s="100"/>
    </row>
    <row r="98" ht="15.75" customHeight="1">
      <c r="A98" s="93" t="s">
        <v>285</v>
      </c>
      <c r="B98" s="93" t="s">
        <v>286</v>
      </c>
      <c r="C98" s="93" t="s">
        <v>781</v>
      </c>
      <c r="D98" s="93" t="s">
        <v>727</v>
      </c>
      <c r="E98" s="93" t="s">
        <v>727</v>
      </c>
      <c r="F98" s="93" t="s">
        <v>809</v>
      </c>
      <c r="G98" s="93" t="s">
        <v>810</v>
      </c>
      <c r="H98" s="93"/>
      <c r="I98" s="93" t="s">
        <v>297</v>
      </c>
      <c r="J98" s="93" t="s">
        <v>811</v>
      </c>
      <c r="K98" s="93" t="b">
        <v>0</v>
      </c>
      <c r="L98" s="93" t="s">
        <v>811</v>
      </c>
      <c r="M98" s="93" t="b">
        <v>0</v>
      </c>
      <c r="N98" s="93" t="b">
        <v>0</v>
      </c>
      <c r="O98" s="93"/>
      <c r="P98" s="93"/>
      <c r="Q98" s="109" t="s">
        <v>812</v>
      </c>
      <c r="R98" s="93" t="s">
        <v>813</v>
      </c>
      <c r="S98" s="93" t="s">
        <v>814</v>
      </c>
      <c r="T98" s="93"/>
      <c r="U98" s="93"/>
      <c r="V98" s="93"/>
      <c r="W98" s="93"/>
      <c r="X98" s="93"/>
      <c r="Y98" s="93"/>
      <c r="Z98" s="93"/>
      <c r="AA98" s="100"/>
    </row>
    <row r="99" ht="15.75" customHeight="1">
      <c r="A99" s="93" t="s">
        <v>285</v>
      </c>
      <c r="B99" s="93" t="s">
        <v>286</v>
      </c>
      <c r="C99" s="93" t="s">
        <v>781</v>
      </c>
      <c r="D99" s="93" t="s">
        <v>815</v>
      </c>
      <c r="E99" s="93" t="s">
        <v>816</v>
      </c>
      <c r="F99" s="93" t="s">
        <v>702</v>
      </c>
      <c r="G99" s="93" t="s">
        <v>817</v>
      </c>
      <c r="H99" s="93"/>
      <c r="I99" s="93" t="s">
        <v>818</v>
      </c>
      <c r="J99" s="93" t="s">
        <v>705</v>
      </c>
      <c r="K99" s="93" t="b">
        <v>0</v>
      </c>
      <c r="L99" s="93" t="s">
        <v>705</v>
      </c>
      <c r="M99" s="93" t="b">
        <v>0</v>
      </c>
      <c r="N99" s="93" t="b">
        <v>1</v>
      </c>
      <c r="O99" s="93"/>
      <c r="P99" s="93"/>
      <c r="Q99" s="93" t="s">
        <v>791</v>
      </c>
      <c r="R99" s="93" t="s">
        <v>819</v>
      </c>
      <c r="S99" s="93"/>
      <c r="T99" s="93"/>
      <c r="U99" s="93"/>
      <c r="V99" s="93"/>
      <c r="W99" s="93"/>
      <c r="X99" s="93"/>
      <c r="Y99" s="93"/>
      <c r="Z99" s="93"/>
      <c r="AA99" s="100"/>
    </row>
    <row r="100" ht="15.75" customHeight="1">
      <c r="A100" s="93" t="s">
        <v>285</v>
      </c>
      <c r="B100" s="93" t="s">
        <v>286</v>
      </c>
      <c r="C100" s="93" t="s">
        <v>781</v>
      </c>
      <c r="D100" s="93" t="s">
        <v>820</v>
      </c>
      <c r="E100" s="93" t="s">
        <v>821</v>
      </c>
      <c r="F100" s="93" t="s">
        <v>822</v>
      </c>
      <c r="G100" s="93" t="s">
        <v>823</v>
      </c>
      <c r="H100" s="93"/>
      <c r="I100" s="93" t="s">
        <v>297</v>
      </c>
      <c r="J100" s="93" t="s">
        <v>824</v>
      </c>
      <c r="K100" s="93" t="b">
        <v>0</v>
      </c>
      <c r="L100" s="93" t="s">
        <v>824</v>
      </c>
      <c r="M100" s="93" t="b">
        <v>0</v>
      </c>
      <c r="N100" s="93" t="b">
        <v>0</v>
      </c>
      <c r="O100" s="93"/>
      <c r="P100" s="93"/>
      <c r="Q100" s="93" t="s">
        <v>432</v>
      </c>
      <c r="R100" s="93" t="s">
        <v>825</v>
      </c>
      <c r="S100" s="93"/>
      <c r="T100" s="93"/>
      <c r="U100" s="93"/>
      <c r="V100" s="93"/>
      <c r="W100" s="93"/>
      <c r="X100" s="93"/>
      <c r="Y100" s="93"/>
      <c r="Z100" s="93"/>
      <c r="AA100" s="100"/>
    </row>
    <row r="101" ht="15.75" customHeight="1">
      <c r="A101" s="93" t="s">
        <v>285</v>
      </c>
      <c r="B101" s="93" t="s">
        <v>286</v>
      </c>
      <c r="C101" s="93" t="s">
        <v>781</v>
      </c>
      <c r="D101" s="93" t="s">
        <v>826</v>
      </c>
      <c r="E101" s="93" t="s">
        <v>827</v>
      </c>
      <c r="F101" s="93"/>
      <c r="G101" s="93"/>
      <c r="H101" s="93"/>
      <c r="I101" s="93" t="s">
        <v>828</v>
      </c>
      <c r="J101" s="93" t="s">
        <v>319</v>
      </c>
      <c r="K101" s="93" t="b">
        <v>0</v>
      </c>
      <c r="L101" s="93" t="s">
        <v>319</v>
      </c>
      <c r="M101" s="93" t="b">
        <v>0</v>
      </c>
      <c r="N101" s="93" t="b">
        <v>1</v>
      </c>
      <c r="O101" s="93"/>
      <c r="P101" s="93"/>
      <c r="Q101" s="93" t="s">
        <v>791</v>
      </c>
      <c r="R101" s="93"/>
      <c r="S101" s="93"/>
      <c r="T101" s="93"/>
      <c r="U101" s="93"/>
      <c r="V101" s="93"/>
      <c r="W101" s="93"/>
      <c r="X101" s="93"/>
      <c r="Y101" s="93"/>
      <c r="Z101" s="93"/>
      <c r="AA101" s="100"/>
    </row>
    <row r="102" ht="15.75" customHeight="1">
      <c r="A102" s="93" t="s">
        <v>285</v>
      </c>
      <c r="B102" s="93" t="s">
        <v>286</v>
      </c>
      <c r="C102" s="93" t="s">
        <v>781</v>
      </c>
      <c r="D102" s="93" t="s">
        <v>829</v>
      </c>
      <c r="E102" s="93" t="s">
        <v>830</v>
      </c>
      <c r="F102" s="93" t="s">
        <v>451</v>
      </c>
      <c r="G102" s="93" t="s">
        <v>831</v>
      </c>
      <c r="H102" s="93"/>
      <c r="I102" s="93" t="s">
        <v>832</v>
      </c>
      <c r="J102" s="93" t="s">
        <v>344</v>
      </c>
      <c r="K102" s="93" t="b">
        <v>0</v>
      </c>
      <c r="L102" s="93" t="s">
        <v>344</v>
      </c>
      <c r="M102" s="93" t="b">
        <v>0</v>
      </c>
      <c r="N102" s="93" t="b">
        <v>1</v>
      </c>
      <c r="O102" s="93"/>
      <c r="P102" s="93"/>
      <c r="Q102" s="93" t="s">
        <v>791</v>
      </c>
      <c r="R102" s="93" t="s">
        <v>833</v>
      </c>
      <c r="S102" s="93"/>
      <c r="T102" s="93"/>
      <c r="U102" s="93"/>
      <c r="V102" s="93"/>
      <c r="W102" s="93"/>
      <c r="X102" s="93"/>
      <c r="Y102" s="93"/>
      <c r="Z102" s="93"/>
      <c r="AA102" s="100"/>
    </row>
    <row r="103" ht="15.75" customHeight="1">
      <c r="A103" s="93" t="s">
        <v>285</v>
      </c>
      <c r="B103" s="93" t="s">
        <v>286</v>
      </c>
      <c r="C103" s="94">
        <v>43894.0</v>
      </c>
      <c r="D103" s="93" t="s">
        <v>834</v>
      </c>
      <c r="E103" s="93" t="s">
        <v>835</v>
      </c>
      <c r="F103" s="93" t="s">
        <v>763</v>
      </c>
      <c r="G103" s="96" t="s">
        <v>836</v>
      </c>
      <c r="H103" s="93"/>
      <c r="I103" s="93" t="s">
        <v>837</v>
      </c>
      <c r="J103" s="93" t="s">
        <v>765</v>
      </c>
      <c r="K103" s="93" t="b">
        <v>0</v>
      </c>
      <c r="L103" s="93" t="s">
        <v>765</v>
      </c>
      <c r="M103" s="93" t="b">
        <v>0</v>
      </c>
      <c r="N103" s="93" t="b">
        <v>0</v>
      </c>
      <c r="O103" s="93"/>
      <c r="P103" s="93"/>
      <c r="Q103" s="96" t="s">
        <v>293</v>
      </c>
      <c r="R103" s="93" t="s">
        <v>838</v>
      </c>
      <c r="S103" s="93" t="s">
        <v>814</v>
      </c>
      <c r="T103" s="93"/>
      <c r="U103" s="93"/>
      <c r="V103" s="93"/>
      <c r="W103" s="93"/>
      <c r="X103" s="93"/>
      <c r="Y103" s="93"/>
      <c r="Z103" s="93"/>
      <c r="AA103" s="100"/>
    </row>
    <row r="104" ht="15.75" customHeight="1">
      <c r="A104" s="93" t="s">
        <v>285</v>
      </c>
      <c r="B104" s="93" t="s">
        <v>286</v>
      </c>
      <c r="C104" s="94">
        <v>43894.0</v>
      </c>
      <c r="D104" s="93" t="s">
        <v>839</v>
      </c>
      <c r="E104" s="93" t="s">
        <v>839</v>
      </c>
      <c r="F104" s="93" t="s">
        <v>840</v>
      </c>
      <c r="G104" s="93" t="s">
        <v>841</v>
      </c>
      <c r="H104" s="93"/>
      <c r="I104" s="93" t="s">
        <v>297</v>
      </c>
      <c r="J104" s="93" t="s">
        <v>842</v>
      </c>
      <c r="K104" s="93" t="b">
        <v>0</v>
      </c>
      <c r="L104" s="93" t="s">
        <v>842</v>
      </c>
      <c r="M104" s="93" t="b">
        <v>0</v>
      </c>
      <c r="N104" s="93" t="b">
        <v>0</v>
      </c>
      <c r="O104" s="93"/>
      <c r="P104" s="93"/>
      <c r="Q104" s="96" t="s">
        <v>843</v>
      </c>
      <c r="R104" s="93" t="s">
        <v>844</v>
      </c>
      <c r="S104" s="93"/>
      <c r="T104" s="93"/>
      <c r="U104" s="93"/>
      <c r="V104" s="93"/>
      <c r="W104" s="93"/>
      <c r="X104" s="93"/>
      <c r="Y104" s="93"/>
      <c r="Z104" s="93"/>
      <c r="AA104" s="100"/>
    </row>
    <row r="105" ht="15.75" customHeight="1">
      <c r="A105" s="93" t="s">
        <v>285</v>
      </c>
      <c r="B105" s="93" t="s">
        <v>286</v>
      </c>
      <c r="C105" s="94">
        <v>43894.0</v>
      </c>
      <c r="D105" s="93" t="s">
        <v>845</v>
      </c>
      <c r="E105" s="93" t="s">
        <v>846</v>
      </c>
      <c r="F105" s="93" t="s">
        <v>303</v>
      </c>
      <c r="G105" s="93" t="s">
        <v>847</v>
      </c>
      <c r="H105" s="93"/>
      <c r="I105" s="93" t="s">
        <v>848</v>
      </c>
      <c r="J105" s="93" t="s">
        <v>372</v>
      </c>
      <c r="K105" s="93" t="b">
        <v>1</v>
      </c>
      <c r="L105" s="93" t="s">
        <v>307</v>
      </c>
      <c r="M105" s="93" t="b">
        <v>0</v>
      </c>
      <c r="N105" s="93" t="b">
        <v>0</v>
      </c>
      <c r="O105" s="93"/>
      <c r="P105" s="93"/>
      <c r="Q105" s="96" t="s">
        <v>334</v>
      </c>
      <c r="R105" s="93" t="s">
        <v>849</v>
      </c>
      <c r="S105" s="93"/>
      <c r="T105" s="93"/>
      <c r="U105" s="93"/>
      <c r="V105" s="93"/>
      <c r="W105" s="93"/>
      <c r="X105" s="93"/>
      <c r="Y105" s="93"/>
      <c r="Z105" s="93"/>
      <c r="AA105" s="100"/>
    </row>
    <row r="106" ht="15.75" customHeight="1">
      <c r="A106" s="93" t="s">
        <v>285</v>
      </c>
      <c r="B106" s="93" t="s">
        <v>286</v>
      </c>
      <c r="C106" s="94">
        <v>43894.0</v>
      </c>
      <c r="D106" s="104" t="s">
        <v>850</v>
      </c>
      <c r="E106" s="104" t="s">
        <v>851</v>
      </c>
      <c r="F106" s="93" t="s">
        <v>331</v>
      </c>
      <c r="G106" s="93" t="s">
        <v>852</v>
      </c>
      <c r="H106" s="93"/>
      <c r="I106" s="93" t="s">
        <v>297</v>
      </c>
      <c r="J106" s="93" t="s">
        <v>333</v>
      </c>
      <c r="K106" s="93" t="b">
        <v>0</v>
      </c>
      <c r="L106" s="93" t="s">
        <v>333</v>
      </c>
      <c r="M106" s="93" t="b">
        <v>0</v>
      </c>
      <c r="N106" s="93" t="b">
        <v>0</v>
      </c>
      <c r="O106" s="93"/>
      <c r="P106" s="93"/>
      <c r="Q106" s="96" t="s">
        <v>853</v>
      </c>
      <c r="R106" s="93" t="s">
        <v>854</v>
      </c>
      <c r="S106" s="93" t="s">
        <v>855</v>
      </c>
      <c r="T106" s="93"/>
      <c r="U106" s="93"/>
      <c r="V106" s="93"/>
      <c r="W106" s="93"/>
      <c r="X106" s="93"/>
      <c r="Y106" s="93"/>
      <c r="Z106" s="93"/>
      <c r="AA106" s="100"/>
    </row>
    <row r="107" ht="15.75" customHeight="1">
      <c r="A107" s="93" t="s">
        <v>285</v>
      </c>
      <c r="B107" s="93" t="s">
        <v>286</v>
      </c>
      <c r="C107" s="94">
        <v>43894.0</v>
      </c>
      <c r="D107" s="93" t="s">
        <v>856</v>
      </c>
      <c r="E107" s="93" t="s">
        <v>857</v>
      </c>
      <c r="F107" s="93" t="s">
        <v>331</v>
      </c>
      <c r="G107" s="93" t="s">
        <v>858</v>
      </c>
      <c r="H107" s="93"/>
      <c r="I107" s="93" t="s">
        <v>859</v>
      </c>
      <c r="J107" s="93" t="s">
        <v>333</v>
      </c>
      <c r="K107" s="93" t="b">
        <v>0</v>
      </c>
      <c r="L107" s="93" t="s">
        <v>333</v>
      </c>
      <c r="M107" s="93" t="b">
        <v>0</v>
      </c>
      <c r="N107" s="93" t="b">
        <v>0</v>
      </c>
      <c r="O107" s="93"/>
      <c r="P107" s="93"/>
      <c r="Q107" s="93" t="s">
        <v>432</v>
      </c>
      <c r="R107" s="93"/>
      <c r="S107" s="93"/>
      <c r="T107" s="93"/>
      <c r="U107" s="93"/>
      <c r="V107" s="93"/>
      <c r="W107" s="93"/>
      <c r="X107" s="93"/>
      <c r="Y107" s="93"/>
      <c r="Z107" s="93"/>
      <c r="AA107" s="100"/>
    </row>
    <row r="108" ht="15.75" customHeight="1">
      <c r="A108" s="93" t="s">
        <v>285</v>
      </c>
      <c r="B108" s="93" t="s">
        <v>286</v>
      </c>
      <c r="C108" s="94">
        <v>43894.0</v>
      </c>
      <c r="D108" s="93" t="s">
        <v>717</v>
      </c>
      <c r="E108" s="93" t="s">
        <v>860</v>
      </c>
      <c r="F108" s="93" t="s">
        <v>381</v>
      </c>
      <c r="G108" s="93" t="s">
        <v>861</v>
      </c>
      <c r="H108" s="93"/>
      <c r="I108" s="93" t="s">
        <v>297</v>
      </c>
      <c r="J108" s="93" t="s">
        <v>383</v>
      </c>
      <c r="K108" s="93" t="b">
        <v>0</v>
      </c>
      <c r="L108" s="93" t="s">
        <v>383</v>
      </c>
      <c r="M108" s="93" t="b">
        <v>0</v>
      </c>
      <c r="N108" s="93" t="b">
        <v>0</v>
      </c>
      <c r="O108" s="93"/>
      <c r="P108" s="93"/>
      <c r="Q108" s="93" t="s">
        <v>643</v>
      </c>
      <c r="R108" s="93" t="s">
        <v>353</v>
      </c>
      <c r="S108" s="93"/>
      <c r="T108" s="93"/>
      <c r="U108" s="93"/>
      <c r="V108" s="93"/>
      <c r="W108" s="93"/>
      <c r="X108" s="93"/>
      <c r="Y108" s="93"/>
      <c r="Z108" s="93"/>
      <c r="AA108" s="100"/>
    </row>
    <row r="109" ht="15.75" customHeight="1">
      <c r="A109" s="93" t="s">
        <v>285</v>
      </c>
      <c r="B109" s="93" t="s">
        <v>286</v>
      </c>
      <c r="C109" s="110">
        <v>44046.0</v>
      </c>
      <c r="D109" s="93" t="s">
        <v>862</v>
      </c>
      <c r="E109" s="93" t="s">
        <v>615</v>
      </c>
      <c r="F109" s="93" t="s">
        <v>863</v>
      </c>
      <c r="G109" s="93">
        <v>2.55715988255E11</v>
      </c>
      <c r="H109" s="93"/>
      <c r="I109" s="93" t="s">
        <v>297</v>
      </c>
      <c r="J109" s="93" t="s">
        <v>864</v>
      </c>
      <c r="K109" s="93" t="b">
        <v>0</v>
      </c>
      <c r="L109" s="93" t="s">
        <v>865</v>
      </c>
      <c r="M109" s="93" t="s">
        <v>866</v>
      </c>
      <c r="N109" s="93" t="b">
        <v>0</v>
      </c>
      <c r="O109" s="93" t="b">
        <v>0</v>
      </c>
      <c r="P109" s="93"/>
      <c r="Q109" s="93"/>
      <c r="R109" s="93" t="s">
        <v>867</v>
      </c>
      <c r="S109" s="100" t="s">
        <v>868</v>
      </c>
      <c r="T109" s="100" t="s">
        <v>869</v>
      </c>
      <c r="U109" s="100"/>
      <c r="V109" s="100"/>
      <c r="W109" s="100"/>
      <c r="X109" s="100"/>
      <c r="Y109" s="100"/>
      <c r="Z109" s="100"/>
      <c r="AA109" s="100"/>
    </row>
    <row r="110" ht="15.75" customHeight="1">
      <c r="A110" s="93" t="s">
        <v>285</v>
      </c>
      <c r="B110" s="93" t="s">
        <v>286</v>
      </c>
      <c r="C110" s="110">
        <v>44046.0</v>
      </c>
      <c r="D110" s="104" t="s">
        <v>870</v>
      </c>
      <c r="E110" s="104" t="s">
        <v>871</v>
      </c>
      <c r="F110" s="93" t="s">
        <v>338</v>
      </c>
      <c r="G110" s="93">
        <v>4.0767390002E10</v>
      </c>
      <c r="H110" s="93"/>
      <c r="I110" s="93" t="s">
        <v>872</v>
      </c>
      <c r="J110" s="93" t="s">
        <v>340</v>
      </c>
      <c r="K110" s="93" t="b">
        <v>0</v>
      </c>
      <c r="L110" s="93" t="s">
        <v>340</v>
      </c>
      <c r="M110" s="93" t="b">
        <v>0</v>
      </c>
      <c r="N110" s="93" t="b">
        <v>0</v>
      </c>
      <c r="O110" s="93"/>
      <c r="P110" s="93"/>
      <c r="Q110" s="96" t="s">
        <v>293</v>
      </c>
      <c r="R110" s="93" t="s">
        <v>873</v>
      </c>
      <c r="S110" s="100"/>
      <c r="T110" s="100" t="s">
        <v>874</v>
      </c>
      <c r="U110" s="100"/>
      <c r="V110" s="100"/>
      <c r="W110" s="100"/>
      <c r="X110" s="100"/>
      <c r="Y110" s="100"/>
      <c r="Z110" s="100"/>
      <c r="AA110" s="100"/>
    </row>
    <row r="111" ht="15.75" customHeight="1">
      <c r="A111" s="93" t="s">
        <v>285</v>
      </c>
      <c r="B111" s="93" t="s">
        <v>286</v>
      </c>
      <c r="C111" s="94">
        <v>44107.0</v>
      </c>
      <c r="D111" s="93" t="s">
        <v>875</v>
      </c>
      <c r="E111" s="93" t="s">
        <v>876</v>
      </c>
      <c r="F111" s="93" t="s">
        <v>370</v>
      </c>
      <c r="G111" s="93">
        <v>4.915255996099E12</v>
      </c>
      <c r="H111" s="93"/>
      <c r="I111" s="93" t="s">
        <v>877</v>
      </c>
      <c r="J111" s="93" t="s">
        <v>372</v>
      </c>
      <c r="K111" s="93" t="b">
        <v>0</v>
      </c>
      <c r="L111" s="93" t="s">
        <v>372</v>
      </c>
      <c r="M111" s="93" t="b">
        <v>0</v>
      </c>
      <c r="N111" s="93" t="b">
        <v>0</v>
      </c>
      <c r="O111" s="93"/>
      <c r="P111" s="93"/>
      <c r="Q111" s="96" t="s">
        <v>299</v>
      </c>
      <c r="R111" s="93" t="s">
        <v>878</v>
      </c>
      <c r="S111" s="93"/>
      <c r="T111" s="93" t="s">
        <v>879</v>
      </c>
      <c r="U111" s="93"/>
      <c r="V111" s="93"/>
      <c r="W111" s="93"/>
      <c r="X111" s="93"/>
      <c r="Y111" s="93"/>
      <c r="Z111" s="93"/>
      <c r="AA111" s="100"/>
    </row>
    <row r="112" ht="15.75" customHeight="1">
      <c r="A112" s="93" t="s">
        <v>285</v>
      </c>
      <c r="B112" s="93" t="s">
        <v>286</v>
      </c>
      <c r="C112" s="94">
        <v>44107.0</v>
      </c>
      <c r="D112" s="93" t="s">
        <v>880</v>
      </c>
      <c r="E112" s="93" t="s">
        <v>881</v>
      </c>
      <c r="F112" s="93" t="s">
        <v>331</v>
      </c>
      <c r="G112" s="93">
        <v>1.101010101E10</v>
      </c>
      <c r="H112" s="93"/>
      <c r="I112" s="93" t="s">
        <v>882</v>
      </c>
      <c r="J112" s="93" t="s">
        <v>333</v>
      </c>
      <c r="K112" s="93" t="b">
        <v>0</v>
      </c>
      <c r="L112" s="93" t="s">
        <v>333</v>
      </c>
      <c r="M112" s="93" t="b">
        <v>0</v>
      </c>
      <c r="N112" s="93" t="b">
        <v>0</v>
      </c>
      <c r="O112" s="93"/>
      <c r="P112" s="93"/>
      <c r="Q112" s="96" t="s">
        <v>299</v>
      </c>
      <c r="R112" s="93" t="s">
        <v>883</v>
      </c>
      <c r="S112" s="93" t="s">
        <v>884</v>
      </c>
      <c r="T112" s="93"/>
      <c r="U112" s="93"/>
      <c r="V112" s="93"/>
      <c r="W112" s="93"/>
      <c r="X112" s="93"/>
      <c r="Y112" s="93"/>
      <c r="Z112" s="93"/>
      <c r="AA112" s="100"/>
    </row>
    <row r="113" ht="15.75" customHeight="1">
      <c r="A113" s="93" t="s">
        <v>285</v>
      </c>
      <c r="B113" s="93" t="s">
        <v>286</v>
      </c>
      <c r="C113" s="94">
        <v>44107.0</v>
      </c>
      <c r="D113" s="93" t="s">
        <v>885</v>
      </c>
      <c r="E113" s="93" t="s">
        <v>885</v>
      </c>
      <c r="F113" s="93" t="s">
        <v>331</v>
      </c>
      <c r="G113" s="93">
        <v>1.214288444E10</v>
      </c>
      <c r="H113" s="93"/>
      <c r="I113" s="93" t="s">
        <v>297</v>
      </c>
      <c r="J113" s="93" t="s">
        <v>333</v>
      </c>
      <c r="K113" s="93" t="b">
        <v>0</v>
      </c>
      <c r="L113" s="93" t="s">
        <v>333</v>
      </c>
      <c r="M113" s="93" t="b">
        <v>0</v>
      </c>
      <c r="N113" s="93" t="b">
        <v>0</v>
      </c>
      <c r="O113" s="93"/>
      <c r="P113" s="93"/>
      <c r="Q113" s="96" t="s">
        <v>299</v>
      </c>
      <c r="R113" s="93" t="s">
        <v>886</v>
      </c>
      <c r="S113" s="93" t="s">
        <v>887</v>
      </c>
      <c r="T113" s="93"/>
      <c r="U113" s="93"/>
      <c r="V113" s="93"/>
      <c r="W113" s="93"/>
      <c r="X113" s="93"/>
      <c r="Y113" s="93"/>
      <c r="Z113" s="93"/>
      <c r="AA113" s="100"/>
    </row>
    <row r="114" ht="15.75" customHeight="1">
      <c r="A114" s="111" t="s">
        <v>285</v>
      </c>
      <c r="B114" s="111" t="s">
        <v>286</v>
      </c>
      <c r="C114" s="112">
        <v>44107.0</v>
      </c>
      <c r="D114" s="111" t="s">
        <v>888</v>
      </c>
      <c r="E114" s="111" t="s">
        <v>889</v>
      </c>
      <c r="F114" s="111" t="s">
        <v>303</v>
      </c>
      <c r="G114" s="111">
        <v>9.7155290426E11</v>
      </c>
      <c r="H114" s="111"/>
      <c r="I114" s="111" t="s">
        <v>297</v>
      </c>
      <c r="J114" s="111" t="s">
        <v>306</v>
      </c>
      <c r="K114" s="111" t="b">
        <v>1</v>
      </c>
      <c r="L114" s="111" t="s">
        <v>307</v>
      </c>
      <c r="M114" s="111" t="b">
        <v>0</v>
      </c>
      <c r="N114" s="111" t="b">
        <v>1</v>
      </c>
      <c r="O114" s="111"/>
      <c r="P114" s="113" t="s">
        <v>890</v>
      </c>
      <c r="Q114" s="114"/>
      <c r="R114" s="114" t="s">
        <v>891</v>
      </c>
      <c r="S114" s="114"/>
      <c r="T114" s="114"/>
      <c r="U114" s="114"/>
      <c r="V114" s="114"/>
      <c r="W114" s="114"/>
      <c r="X114" s="114"/>
      <c r="Y114" s="114"/>
      <c r="Z114" s="114"/>
      <c r="AA114" s="114"/>
    </row>
    <row r="115" ht="15.75" customHeight="1">
      <c r="A115" s="111" t="s">
        <v>285</v>
      </c>
      <c r="B115" s="111" t="s">
        <v>286</v>
      </c>
      <c r="C115" s="112">
        <v>44107.0</v>
      </c>
      <c r="D115" s="111" t="s">
        <v>892</v>
      </c>
      <c r="E115" s="111" t="s">
        <v>893</v>
      </c>
      <c r="F115" s="111" t="s">
        <v>303</v>
      </c>
      <c r="G115" s="111">
        <v>9.7150461845E11</v>
      </c>
      <c r="H115" s="111"/>
      <c r="I115" s="111" t="s">
        <v>297</v>
      </c>
      <c r="J115" s="111" t="s">
        <v>894</v>
      </c>
      <c r="K115" s="111" t="b">
        <v>1</v>
      </c>
      <c r="L115" s="111" t="s">
        <v>307</v>
      </c>
      <c r="M115" s="111" t="b">
        <v>0</v>
      </c>
      <c r="N115" s="111" t="b">
        <v>1</v>
      </c>
      <c r="O115" s="111"/>
      <c r="P115" s="115" t="s">
        <v>895</v>
      </c>
      <c r="Q115" s="114"/>
      <c r="R115" s="114" t="s">
        <v>891</v>
      </c>
      <c r="S115" s="114"/>
      <c r="T115" s="114"/>
      <c r="U115" s="114"/>
      <c r="V115" s="114"/>
      <c r="W115" s="114"/>
      <c r="X115" s="114"/>
      <c r="Y115" s="114"/>
      <c r="Z115" s="114"/>
      <c r="AA115" s="114"/>
    </row>
    <row r="116" ht="15.75" customHeight="1">
      <c r="A116" s="111" t="s">
        <v>285</v>
      </c>
      <c r="B116" s="111" t="s">
        <v>286</v>
      </c>
      <c r="C116" s="112">
        <v>44107.0</v>
      </c>
      <c r="D116" s="111" t="s">
        <v>896</v>
      </c>
      <c r="E116" s="111" t="s">
        <v>897</v>
      </c>
      <c r="F116" s="111" t="s">
        <v>303</v>
      </c>
      <c r="G116" s="111">
        <v>9.71509591831E11</v>
      </c>
      <c r="H116" s="111"/>
      <c r="I116" s="111" t="s">
        <v>297</v>
      </c>
      <c r="J116" s="111" t="s">
        <v>898</v>
      </c>
      <c r="K116" s="111" t="b">
        <v>1</v>
      </c>
      <c r="L116" s="111" t="s">
        <v>307</v>
      </c>
      <c r="M116" s="111" t="b">
        <v>0</v>
      </c>
      <c r="N116" s="111" t="b">
        <v>1</v>
      </c>
      <c r="O116" s="111"/>
      <c r="P116" s="115" t="s">
        <v>895</v>
      </c>
      <c r="Q116" s="114"/>
      <c r="R116" s="114" t="s">
        <v>891</v>
      </c>
      <c r="S116" s="114"/>
      <c r="T116" s="114"/>
      <c r="U116" s="114"/>
      <c r="V116" s="114"/>
      <c r="W116" s="114"/>
      <c r="X116" s="114"/>
      <c r="Y116" s="114"/>
      <c r="Z116" s="114"/>
      <c r="AA116" s="114"/>
    </row>
    <row r="117" ht="15.75" customHeight="1">
      <c r="A117" s="116" t="s">
        <v>285</v>
      </c>
      <c r="B117" s="117" t="s">
        <v>286</v>
      </c>
      <c r="C117" s="117" t="s">
        <v>899</v>
      </c>
      <c r="D117" s="117" t="s">
        <v>900</v>
      </c>
      <c r="E117" s="117" t="s">
        <v>900</v>
      </c>
      <c r="F117" s="117" t="s">
        <v>303</v>
      </c>
      <c r="G117" s="117" t="s">
        <v>901</v>
      </c>
      <c r="H117" s="117"/>
      <c r="I117" s="117" t="s">
        <v>297</v>
      </c>
      <c r="J117" s="117" t="s">
        <v>344</v>
      </c>
      <c r="K117" s="118" t="b">
        <v>1</v>
      </c>
      <c r="L117" s="117" t="s">
        <v>307</v>
      </c>
      <c r="M117" s="118" t="b">
        <v>0</v>
      </c>
      <c r="N117" s="118" t="b">
        <v>0</v>
      </c>
      <c r="O117" s="117"/>
      <c r="P117" s="117"/>
      <c r="Q117" s="117" t="s">
        <v>791</v>
      </c>
      <c r="R117" s="117" t="s">
        <v>891</v>
      </c>
      <c r="S117" s="119"/>
      <c r="T117" s="119"/>
      <c r="U117" s="119"/>
      <c r="V117" s="119"/>
      <c r="W117" s="119"/>
      <c r="X117" s="119"/>
      <c r="Y117" s="119"/>
      <c r="Z117" s="119"/>
      <c r="AA117" s="100"/>
    </row>
    <row r="118" ht="15.75" customHeight="1">
      <c r="A118" s="120" t="s">
        <v>285</v>
      </c>
      <c r="B118" s="121" t="s">
        <v>286</v>
      </c>
      <c r="C118" s="121" t="s">
        <v>899</v>
      </c>
      <c r="D118" s="121" t="s">
        <v>902</v>
      </c>
      <c r="E118" s="121" t="s">
        <v>902</v>
      </c>
      <c r="F118" s="121" t="s">
        <v>370</v>
      </c>
      <c r="G118" s="121" t="s">
        <v>903</v>
      </c>
      <c r="H118" s="121"/>
      <c r="I118" s="121" t="s">
        <v>297</v>
      </c>
      <c r="J118" s="121" t="s">
        <v>372</v>
      </c>
      <c r="K118" s="122" t="b">
        <v>0</v>
      </c>
      <c r="L118" s="121" t="s">
        <v>372</v>
      </c>
      <c r="M118" s="122" t="b">
        <v>0</v>
      </c>
      <c r="N118" s="122" t="b">
        <v>0</v>
      </c>
      <c r="O118" s="121"/>
      <c r="P118" s="121"/>
      <c r="Q118" s="121" t="s">
        <v>791</v>
      </c>
      <c r="R118" s="121" t="s">
        <v>891</v>
      </c>
      <c r="S118" s="119"/>
      <c r="T118" s="119"/>
      <c r="U118" s="119"/>
      <c r="V118" s="119"/>
      <c r="W118" s="119"/>
      <c r="X118" s="119"/>
      <c r="Y118" s="119"/>
      <c r="Z118" s="119"/>
      <c r="AA118" s="100"/>
    </row>
    <row r="119" ht="15.75" customHeight="1">
      <c r="A119" s="120" t="s">
        <v>285</v>
      </c>
      <c r="B119" s="121" t="s">
        <v>286</v>
      </c>
      <c r="C119" s="121" t="s">
        <v>899</v>
      </c>
      <c r="D119" s="121" t="s">
        <v>904</v>
      </c>
      <c r="E119" s="121" t="s">
        <v>904</v>
      </c>
      <c r="F119" s="121" t="s">
        <v>303</v>
      </c>
      <c r="G119" s="121" t="s">
        <v>905</v>
      </c>
      <c r="H119" s="121"/>
      <c r="I119" s="121" t="s">
        <v>297</v>
      </c>
      <c r="J119" s="121" t="s">
        <v>372</v>
      </c>
      <c r="K119" s="122" t="b">
        <v>1</v>
      </c>
      <c r="L119" s="121" t="s">
        <v>307</v>
      </c>
      <c r="M119" s="122" t="b">
        <v>0</v>
      </c>
      <c r="N119" s="122" t="b">
        <v>0</v>
      </c>
      <c r="O119" s="121"/>
      <c r="P119" s="121"/>
      <c r="Q119" s="121" t="s">
        <v>791</v>
      </c>
      <c r="R119" s="121" t="s">
        <v>906</v>
      </c>
      <c r="S119" s="119"/>
      <c r="T119" s="119"/>
      <c r="U119" s="119"/>
      <c r="V119" s="119"/>
      <c r="W119" s="119"/>
      <c r="X119" s="119"/>
      <c r="Y119" s="119"/>
      <c r="Z119" s="119"/>
      <c r="AA119" s="100"/>
    </row>
    <row r="120" ht="15.75" customHeight="1">
      <c r="A120" s="120" t="s">
        <v>285</v>
      </c>
      <c r="B120" s="121" t="s">
        <v>286</v>
      </c>
      <c r="C120" s="121" t="s">
        <v>899</v>
      </c>
      <c r="D120" s="121" t="s">
        <v>907</v>
      </c>
      <c r="E120" s="121" t="s">
        <v>907</v>
      </c>
      <c r="F120" s="121" t="s">
        <v>303</v>
      </c>
      <c r="G120" s="121" t="s">
        <v>908</v>
      </c>
      <c r="H120" s="121"/>
      <c r="I120" s="121" t="s">
        <v>297</v>
      </c>
      <c r="J120" s="121" t="s">
        <v>344</v>
      </c>
      <c r="K120" s="122" t="b">
        <v>1</v>
      </c>
      <c r="L120" s="121" t="s">
        <v>307</v>
      </c>
      <c r="M120" s="122" t="b">
        <v>0</v>
      </c>
      <c r="N120" s="122" t="b">
        <v>0</v>
      </c>
      <c r="O120" s="121"/>
      <c r="P120" s="121"/>
      <c r="Q120" s="121" t="s">
        <v>791</v>
      </c>
      <c r="R120" s="121" t="s">
        <v>891</v>
      </c>
      <c r="S120" s="119"/>
      <c r="T120" s="119"/>
      <c r="U120" s="119"/>
      <c r="V120" s="119"/>
      <c r="W120" s="119"/>
      <c r="X120" s="119"/>
      <c r="Y120" s="119"/>
      <c r="Z120" s="119"/>
      <c r="AA120" s="100"/>
    </row>
    <row r="121" ht="15.75" customHeight="1">
      <c r="A121" s="120" t="s">
        <v>285</v>
      </c>
      <c r="B121" s="121" t="s">
        <v>286</v>
      </c>
      <c r="C121" s="121" t="s">
        <v>899</v>
      </c>
      <c r="D121" s="121" t="s">
        <v>311</v>
      </c>
      <c r="E121" s="121" t="s">
        <v>311</v>
      </c>
      <c r="F121" s="121" t="s">
        <v>303</v>
      </c>
      <c r="G121" s="121" t="s">
        <v>909</v>
      </c>
      <c r="H121" s="121"/>
      <c r="I121" s="121" t="s">
        <v>297</v>
      </c>
      <c r="J121" s="121" t="s">
        <v>344</v>
      </c>
      <c r="K121" s="122" t="b">
        <v>1</v>
      </c>
      <c r="L121" s="121" t="s">
        <v>307</v>
      </c>
      <c r="M121" s="122" t="b">
        <v>0</v>
      </c>
      <c r="N121" s="122" t="b">
        <v>0</v>
      </c>
      <c r="O121" s="121"/>
      <c r="P121" s="121"/>
      <c r="Q121" s="121" t="s">
        <v>791</v>
      </c>
      <c r="R121" s="121" t="s">
        <v>891</v>
      </c>
      <c r="S121" s="119"/>
      <c r="T121" s="119"/>
      <c r="U121" s="119"/>
      <c r="V121" s="119"/>
      <c r="W121" s="119"/>
      <c r="X121" s="119"/>
      <c r="Y121" s="119"/>
      <c r="Z121" s="119"/>
      <c r="AA121" s="100"/>
    </row>
    <row r="122" ht="15.75" customHeight="1">
      <c r="A122" s="120" t="s">
        <v>285</v>
      </c>
      <c r="B122" s="121" t="s">
        <v>286</v>
      </c>
      <c r="C122" s="121" t="s">
        <v>899</v>
      </c>
      <c r="D122" s="121" t="s">
        <v>910</v>
      </c>
      <c r="E122" s="121" t="s">
        <v>910</v>
      </c>
      <c r="F122" s="121" t="s">
        <v>451</v>
      </c>
      <c r="G122" s="121" t="s">
        <v>911</v>
      </c>
      <c r="H122" s="121"/>
      <c r="I122" s="121" t="s">
        <v>297</v>
      </c>
      <c r="J122" s="121" t="s">
        <v>344</v>
      </c>
      <c r="K122" s="122" t="b">
        <v>0</v>
      </c>
      <c r="L122" s="121" t="s">
        <v>344</v>
      </c>
      <c r="M122" s="122" t="b">
        <v>0</v>
      </c>
      <c r="N122" s="122" t="b">
        <v>0</v>
      </c>
      <c r="O122" s="121"/>
      <c r="P122" s="121"/>
      <c r="Q122" s="121" t="s">
        <v>791</v>
      </c>
      <c r="R122" s="121" t="s">
        <v>891</v>
      </c>
      <c r="S122" s="119"/>
      <c r="T122" s="119"/>
      <c r="U122" s="119"/>
      <c r="V122" s="119"/>
      <c r="W122" s="119"/>
      <c r="X122" s="119"/>
      <c r="Y122" s="119"/>
      <c r="Z122" s="119"/>
      <c r="AA122" s="100"/>
    </row>
    <row r="123" ht="15.75" customHeight="1">
      <c r="A123" s="120" t="s">
        <v>285</v>
      </c>
      <c r="B123" s="121" t="s">
        <v>286</v>
      </c>
      <c r="C123" s="121" t="s">
        <v>899</v>
      </c>
      <c r="D123" s="121" t="s">
        <v>628</v>
      </c>
      <c r="E123" s="121" t="s">
        <v>628</v>
      </c>
      <c r="F123" s="121" t="s">
        <v>303</v>
      </c>
      <c r="G123" s="121" t="s">
        <v>912</v>
      </c>
      <c r="H123" s="121"/>
      <c r="I123" s="121" t="s">
        <v>297</v>
      </c>
      <c r="J123" s="121" t="s">
        <v>307</v>
      </c>
      <c r="K123" s="122" t="b">
        <v>1</v>
      </c>
      <c r="L123" s="121" t="s">
        <v>307</v>
      </c>
      <c r="M123" s="122" t="b">
        <v>0</v>
      </c>
      <c r="N123" s="122" t="b">
        <v>0</v>
      </c>
      <c r="O123" s="121"/>
      <c r="P123" s="121"/>
      <c r="Q123" s="121" t="s">
        <v>643</v>
      </c>
      <c r="R123" s="121" t="s">
        <v>891</v>
      </c>
      <c r="S123" s="119"/>
      <c r="T123" s="119"/>
      <c r="U123" s="119"/>
      <c r="V123" s="119"/>
      <c r="W123" s="119"/>
      <c r="X123" s="119"/>
      <c r="Y123" s="119"/>
      <c r="Z123" s="119"/>
      <c r="AA123" s="100"/>
    </row>
    <row r="124" ht="15.75" customHeight="1">
      <c r="A124" s="120" t="s">
        <v>285</v>
      </c>
      <c r="B124" s="121" t="s">
        <v>286</v>
      </c>
      <c r="C124" s="121" t="s">
        <v>899</v>
      </c>
      <c r="D124" s="121" t="s">
        <v>913</v>
      </c>
      <c r="E124" s="121" t="s">
        <v>913</v>
      </c>
      <c r="F124" s="121" t="s">
        <v>303</v>
      </c>
      <c r="G124" s="121" t="s">
        <v>914</v>
      </c>
      <c r="H124" s="121"/>
      <c r="I124" s="121" t="s">
        <v>297</v>
      </c>
      <c r="J124" s="121" t="s">
        <v>307</v>
      </c>
      <c r="K124" s="122" t="b">
        <v>1</v>
      </c>
      <c r="L124" s="121" t="s">
        <v>307</v>
      </c>
      <c r="M124" s="122" t="b">
        <v>0</v>
      </c>
      <c r="N124" s="122" t="b">
        <v>0</v>
      </c>
      <c r="O124" s="121"/>
      <c r="P124" s="121"/>
      <c r="Q124" s="121" t="s">
        <v>293</v>
      </c>
      <c r="R124" s="121" t="s">
        <v>915</v>
      </c>
      <c r="S124" s="119"/>
      <c r="T124" s="119"/>
      <c r="U124" s="119"/>
      <c r="V124" s="119"/>
      <c r="W124" s="119"/>
      <c r="X124" s="119"/>
      <c r="Y124" s="119"/>
      <c r="Z124" s="119"/>
      <c r="AA124" s="100"/>
    </row>
    <row r="125" ht="15.75" customHeight="1">
      <c r="A125" s="120" t="s">
        <v>285</v>
      </c>
      <c r="B125" s="121" t="s">
        <v>286</v>
      </c>
      <c r="C125" s="121" t="s">
        <v>899</v>
      </c>
      <c r="D125" s="121" t="s">
        <v>916</v>
      </c>
      <c r="E125" s="121" t="s">
        <v>916</v>
      </c>
      <c r="F125" s="121" t="s">
        <v>370</v>
      </c>
      <c r="G125" s="121" t="s">
        <v>917</v>
      </c>
      <c r="H125" s="121"/>
      <c r="I125" s="121" t="s">
        <v>297</v>
      </c>
      <c r="J125" s="121" t="s">
        <v>372</v>
      </c>
      <c r="K125" s="122" t="b">
        <v>0</v>
      </c>
      <c r="L125" s="121" t="s">
        <v>372</v>
      </c>
      <c r="M125" s="122" t="b">
        <v>0</v>
      </c>
      <c r="N125" s="122" t="b">
        <v>0</v>
      </c>
      <c r="O125" s="121"/>
      <c r="P125" s="121"/>
      <c r="Q125" s="121" t="s">
        <v>791</v>
      </c>
      <c r="R125" s="121" t="s">
        <v>891</v>
      </c>
      <c r="S125" s="119"/>
      <c r="T125" s="119"/>
      <c r="U125" s="119"/>
      <c r="V125" s="119"/>
      <c r="W125" s="119"/>
      <c r="X125" s="119"/>
      <c r="Y125" s="119"/>
      <c r="Z125" s="119"/>
      <c r="AA125" s="100"/>
    </row>
    <row r="126" ht="15.75" customHeight="1">
      <c r="A126" s="120" t="s">
        <v>285</v>
      </c>
      <c r="B126" s="121" t="s">
        <v>286</v>
      </c>
      <c r="C126" s="121" t="s">
        <v>899</v>
      </c>
      <c r="D126" s="121" t="s">
        <v>918</v>
      </c>
      <c r="E126" s="121" t="s">
        <v>918</v>
      </c>
      <c r="F126" s="121" t="s">
        <v>303</v>
      </c>
      <c r="G126" s="121" t="s">
        <v>919</v>
      </c>
      <c r="H126" s="121"/>
      <c r="I126" s="121" t="s">
        <v>297</v>
      </c>
      <c r="J126" s="121" t="s">
        <v>344</v>
      </c>
      <c r="K126" s="122" t="b">
        <v>1</v>
      </c>
      <c r="L126" s="121" t="s">
        <v>307</v>
      </c>
      <c r="M126" s="122" t="b">
        <v>0</v>
      </c>
      <c r="N126" s="122" t="b">
        <v>0</v>
      </c>
      <c r="O126" s="121"/>
      <c r="P126" s="121"/>
      <c r="Q126" s="121" t="s">
        <v>791</v>
      </c>
      <c r="R126" s="121" t="s">
        <v>891</v>
      </c>
      <c r="S126" s="119"/>
      <c r="T126" s="119"/>
      <c r="U126" s="119"/>
      <c r="V126" s="119"/>
      <c r="W126" s="119"/>
      <c r="X126" s="119"/>
      <c r="Y126" s="119"/>
      <c r="Z126" s="119"/>
      <c r="AA126" s="100"/>
    </row>
    <row r="127" ht="15.75" customHeight="1">
      <c r="A127" s="120" t="s">
        <v>285</v>
      </c>
      <c r="B127" s="121" t="s">
        <v>286</v>
      </c>
      <c r="C127" s="121" t="s">
        <v>899</v>
      </c>
      <c r="D127" s="121" t="s">
        <v>920</v>
      </c>
      <c r="E127" s="121" t="s">
        <v>920</v>
      </c>
      <c r="F127" s="121" t="s">
        <v>921</v>
      </c>
      <c r="G127" s="121" t="s">
        <v>922</v>
      </c>
      <c r="H127" s="121"/>
      <c r="I127" s="121" t="s">
        <v>297</v>
      </c>
      <c r="J127" s="121" t="s">
        <v>424</v>
      </c>
      <c r="K127" s="122" t="b">
        <v>0</v>
      </c>
      <c r="L127" s="121" t="s">
        <v>424</v>
      </c>
      <c r="M127" s="122" t="b">
        <v>0</v>
      </c>
      <c r="N127" s="122" t="b">
        <v>0</v>
      </c>
      <c r="O127" s="121"/>
      <c r="P127" s="121"/>
      <c r="Q127" s="121" t="s">
        <v>791</v>
      </c>
      <c r="R127" s="121" t="s">
        <v>891</v>
      </c>
      <c r="S127" s="119"/>
      <c r="T127" s="119"/>
      <c r="U127" s="119"/>
      <c r="V127" s="119"/>
      <c r="W127" s="119"/>
      <c r="X127" s="119"/>
      <c r="Y127" s="119"/>
      <c r="Z127" s="119"/>
      <c r="AA127" s="100"/>
    </row>
    <row r="128" ht="15.75" customHeight="1">
      <c r="A128" s="120" t="s">
        <v>285</v>
      </c>
      <c r="B128" s="121" t="s">
        <v>286</v>
      </c>
      <c r="C128" s="121" t="s">
        <v>899</v>
      </c>
      <c r="D128" s="121" t="s">
        <v>923</v>
      </c>
      <c r="E128" s="121" t="s">
        <v>924</v>
      </c>
      <c r="F128" s="121" t="s">
        <v>921</v>
      </c>
      <c r="G128" s="121" t="s">
        <v>925</v>
      </c>
      <c r="H128" s="121"/>
      <c r="I128" s="121" t="s">
        <v>297</v>
      </c>
      <c r="J128" s="121" t="s">
        <v>424</v>
      </c>
      <c r="K128" s="122" t="b">
        <v>0</v>
      </c>
      <c r="L128" s="121" t="s">
        <v>424</v>
      </c>
      <c r="M128" s="122" t="b">
        <v>0</v>
      </c>
      <c r="N128" s="122" t="b">
        <v>0</v>
      </c>
      <c r="O128" s="121"/>
      <c r="P128" s="121"/>
      <c r="Q128" s="121" t="s">
        <v>791</v>
      </c>
      <c r="R128" s="121" t="s">
        <v>891</v>
      </c>
      <c r="S128" s="119"/>
      <c r="T128" s="119"/>
      <c r="U128" s="119"/>
      <c r="V128" s="119"/>
      <c r="W128" s="119"/>
      <c r="X128" s="119"/>
      <c r="Y128" s="119"/>
      <c r="Z128" s="119"/>
      <c r="AA128" s="100"/>
    </row>
    <row r="129" ht="15.75" customHeight="1">
      <c r="A129" s="120" t="s">
        <v>285</v>
      </c>
      <c r="B129" s="121" t="s">
        <v>286</v>
      </c>
      <c r="C129" s="121" t="s">
        <v>899</v>
      </c>
      <c r="D129" s="121" t="s">
        <v>926</v>
      </c>
      <c r="E129" s="121" t="s">
        <v>927</v>
      </c>
      <c r="F129" s="121"/>
      <c r="G129" s="121"/>
      <c r="H129" s="121"/>
      <c r="I129" s="121" t="s">
        <v>928</v>
      </c>
      <c r="J129" s="121" t="s">
        <v>689</v>
      </c>
      <c r="K129" s="122" t="b">
        <v>0</v>
      </c>
      <c r="L129" s="121" t="s">
        <v>689</v>
      </c>
      <c r="M129" s="122" t="b">
        <v>0</v>
      </c>
      <c r="N129" s="122" t="b">
        <v>0</v>
      </c>
      <c r="O129" s="121"/>
      <c r="P129" s="121"/>
      <c r="Q129" s="121" t="s">
        <v>491</v>
      </c>
      <c r="R129" s="121" t="s">
        <v>891</v>
      </c>
      <c r="S129" s="119"/>
      <c r="T129" s="119"/>
      <c r="U129" s="119"/>
      <c r="V129" s="119"/>
      <c r="W129" s="119"/>
      <c r="X129" s="119"/>
      <c r="Y129" s="119"/>
      <c r="Z129" s="119"/>
      <c r="AA129" s="100"/>
    </row>
    <row r="130" ht="15.75" customHeight="1">
      <c r="A130" s="120" t="s">
        <v>285</v>
      </c>
      <c r="B130" s="121" t="s">
        <v>286</v>
      </c>
      <c r="C130" s="121" t="s">
        <v>899</v>
      </c>
      <c r="D130" s="121" t="s">
        <v>929</v>
      </c>
      <c r="E130" s="121" t="s">
        <v>930</v>
      </c>
      <c r="F130" s="121" t="s">
        <v>451</v>
      </c>
      <c r="G130" s="121" t="s">
        <v>931</v>
      </c>
      <c r="H130" s="121"/>
      <c r="I130" s="121" t="s">
        <v>932</v>
      </c>
      <c r="J130" s="121" t="s">
        <v>344</v>
      </c>
      <c r="K130" s="122" t="b">
        <v>0</v>
      </c>
      <c r="L130" s="121" t="s">
        <v>344</v>
      </c>
      <c r="M130" s="122" t="b">
        <v>0</v>
      </c>
      <c r="N130" s="122" t="b">
        <v>0</v>
      </c>
      <c r="O130" s="121"/>
      <c r="P130" s="121"/>
      <c r="Q130" s="123" t="s">
        <v>933</v>
      </c>
      <c r="R130" s="121" t="s">
        <v>934</v>
      </c>
      <c r="S130" s="119"/>
      <c r="T130" s="119"/>
      <c r="U130" s="119"/>
      <c r="V130" s="119"/>
      <c r="W130" s="119"/>
      <c r="X130" s="119"/>
      <c r="Y130" s="119"/>
      <c r="Z130" s="119"/>
      <c r="AA130" s="100"/>
    </row>
    <row r="131" ht="15.75" customHeight="1">
      <c r="A131" s="111" t="s">
        <v>285</v>
      </c>
      <c r="B131" s="111" t="s">
        <v>286</v>
      </c>
      <c r="C131" s="111" t="s">
        <v>935</v>
      </c>
      <c r="D131" s="111" t="s">
        <v>936</v>
      </c>
      <c r="E131" s="111" t="s">
        <v>827</v>
      </c>
      <c r="F131" s="111" t="s">
        <v>303</v>
      </c>
      <c r="G131" s="124" t="s">
        <v>937</v>
      </c>
      <c r="H131" s="111"/>
      <c r="I131" s="111" t="s">
        <v>297</v>
      </c>
      <c r="J131" s="111" t="s">
        <v>319</v>
      </c>
      <c r="K131" s="111" t="b">
        <v>0</v>
      </c>
      <c r="L131" s="111" t="s">
        <v>319</v>
      </c>
      <c r="M131" s="111" t="b">
        <v>0</v>
      </c>
      <c r="N131" s="111" t="b">
        <v>0</v>
      </c>
      <c r="O131" s="111"/>
      <c r="P131" s="111"/>
      <c r="Q131" s="111" t="s">
        <v>491</v>
      </c>
      <c r="R131" s="100" t="s">
        <v>891</v>
      </c>
      <c r="S131" s="100"/>
      <c r="T131" s="100"/>
      <c r="U131" s="100"/>
      <c r="V131" s="100"/>
      <c r="W131" s="100"/>
      <c r="X131" s="100"/>
      <c r="Y131" s="100"/>
      <c r="Z131" s="100"/>
      <c r="AA131" s="100"/>
    </row>
    <row r="132" ht="15.75" customHeight="1">
      <c r="A132" s="111" t="s">
        <v>285</v>
      </c>
      <c r="B132" s="111" t="s">
        <v>286</v>
      </c>
      <c r="C132" s="111" t="s">
        <v>935</v>
      </c>
      <c r="D132" s="111" t="s">
        <v>938</v>
      </c>
      <c r="E132" s="111" t="s">
        <v>939</v>
      </c>
      <c r="F132" s="111"/>
      <c r="G132" s="111"/>
      <c r="H132" s="111"/>
      <c r="I132" s="111" t="s">
        <v>940</v>
      </c>
      <c r="J132" s="111" t="s">
        <v>344</v>
      </c>
      <c r="K132" s="111" t="b">
        <v>0</v>
      </c>
      <c r="L132" s="111" t="s">
        <v>344</v>
      </c>
      <c r="M132" s="111" t="b">
        <v>0</v>
      </c>
      <c r="N132" s="111" t="b">
        <v>0</v>
      </c>
      <c r="O132" s="111"/>
      <c r="P132" s="111"/>
      <c r="Q132" s="111" t="s">
        <v>491</v>
      </c>
      <c r="R132" s="100" t="s">
        <v>891</v>
      </c>
      <c r="S132" s="100"/>
      <c r="T132" s="100"/>
      <c r="U132" s="100"/>
      <c r="V132" s="100"/>
      <c r="W132" s="100"/>
      <c r="X132" s="100"/>
      <c r="Y132" s="100"/>
      <c r="Z132" s="100"/>
      <c r="AA132" s="100"/>
    </row>
    <row r="133" ht="15.75" customHeight="1">
      <c r="A133" s="111" t="s">
        <v>285</v>
      </c>
      <c r="B133" s="111" t="s">
        <v>286</v>
      </c>
      <c r="C133" s="111" t="s">
        <v>935</v>
      </c>
      <c r="D133" s="111" t="s">
        <v>941</v>
      </c>
      <c r="E133" s="111" t="s">
        <v>942</v>
      </c>
      <c r="F133" s="111"/>
      <c r="G133" s="111"/>
      <c r="H133" s="111"/>
      <c r="I133" s="111" t="s">
        <v>943</v>
      </c>
      <c r="J133" s="111" t="s">
        <v>344</v>
      </c>
      <c r="K133" s="111" t="b">
        <v>1</v>
      </c>
      <c r="L133" s="111" t="s">
        <v>307</v>
      </c>
      <c r="M133" s="111" t="b">
        <v>0</v>
      </c>
      <c r="N133" s="111" t="b">
        <v>0</v>
      </c>
      <c r="O133" s="111"/>
      <c r="P133" s="111"/>
      <c r="Q133" s="111" t="s">
        <v>491</v>
      </c>
      <c r="R133" s="100" t="s">
        <v>944</v>
      </c>
      <c r="S133" s="100"/>
      <c r="T133" s="100"/>
      <c r="U133" s="100"/>
      <c r="V133" s="100"/>
      <c r="W133" s="100"/>
      <c r="X133" s="100"/>
      <c r="Y133" s="100"/>
      <c r="Z133" s="100"/>
      <c r="AA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