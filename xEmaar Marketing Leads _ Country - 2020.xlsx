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AR TURKEY" sheetId="1" r:id="rId4"/>
    <sheet state="visible" name="Lebanon" sheetId="2" r:id="rId5"/>
    <sheet state="visible" name="Israel" sheetId="3" r:id="rId6"/>
    <sheet state="visible" name="Ivory Coast" sheetId="4" r:id="rId7"/>
    <sheet state="visible" name="DAMAC  2.7 VILLA SAUDI" sheetId="5" r:id="rId8"/>
    <sheet state="visible" name="DAMAC 2.7 Villa China" sheetId="6" r:id="rId9"/>
    <sheet state="visible" name="EMAAR EGYPT" sheetId="7" r:id="rId10"/>
    <sheet state="visible" name="EMAAR SAUDI" sheetId="8" r:id="rId11"/>
    <sheet state="visible" name="EMAAR RUSSIAN LEAD" sheetId="9" r:id="rId12"/>
    <sheet state="visible" name="EMAAR CHINA" sheetId="10" r:id="rId13"/>
    <sheet state="visible" name="EMAAR PAKISTAN" sheetId="11" r:id="rId14"/>
  </sheets>
  <definedNames/>
  <calcPr/>
</workbook>
</file>

<file path=xl/sharedStrings.xml><?xml version="1.0" encoding="utf-8"?>
<sst xmlns="http://schemas.openxmlformats.org/spreadsheetml/2006/main" count="12513" uniqueCount="4336">
  <si>
    <t>DATE</t>
  </si>
  <si>
    <t>PROJECT</t>
  </si>
  <si>
    <t>NAME</t>
  </si>
  <si>
    <t>SURNAME</t>
  </si>
  <si>
    <t>EMAIL</t>
  </si>
  <si>
    <t>MOBILE</t>
  </si>
  <si>
    <t>INQUIRY</t>
  </si>
  <si>
    <t>AGENT</t>
  </si>
  <si>
    <t>Emaar Turkey</t>
  </si>
  <si>
    <t>Adeel</t>
  </si>
  <si>
    <t>Khawaja</t>
  </si>
  <si>
    <t>khadeel@gmail.com</t>
  </si>
  <si>
    <t>address_istanbul_(5_star_hotel)</t>
  </si>
  <si>
    <t>Haidi</t>
  </si>
  <si>
    <t>Fahad</t>
  </si>
  <si>
    <t>Yusuf</t>
  </si>
  <si>
    <t>coolfahad16@gmail.com</t>
  </si>
  <si>
    <t>heights_(_modern_design_)</t>
  </si>
  <si>
    <t>Shahrzad</t>
  </si>
  <si>
    <t>Junaid</t>
  </si>
  <si>
    <t>Niazi</t>
  </si>
  <si>
    <t>junaidniazi@yahoo.com</t>
  </si>
  <si>
    <t>residences_(_classic_design)</t>
  </si>
  <si>
    <t>Jessica</t>
  </si>
  <si>
    <t>asif</t>
  </si>
  <si>
    <t>memon</t>
  </si>
  <si>
    <t>frenchy37@hotmail.com</t>
  </si>
  <si>
    <t>Adel</t>
  </si>
  <si>
    <t>Habib</t>
  </si>
  <si>
    <t>asherbini@alsaad.com.sa</t>
  </si>
  <si>
    <t>Mughal</t>
  </si>
  <si>
    <t>Zahid</t>
  </si>
  <si>
    <t>zahidmughal959@gmial.com</t>
  </si>
  <si>
    <t>Usman</t>
  </si>
  <si>
    <t>Nazir</t>
  </si>
  <si>
    <t>usman.nazir@gmail.com</t>
  </si>
  <si>
    <t>Mir</t>
  </si>
  <si>
    <t>Ali Khan</t>
  </si>
  <si>
    <t>alikhanprofile@gmail.com</t>
  </si>
  <si>
    <t>نوح</t>
  </si>
  <si>
    <t>الظنحاني</t>
  </si>
  <si>
    <t>nouh9060@gmail.com</t>
  </si>
  <si>
    <t>Mohammed</t>
  </si>
  <si>
    <t>Abdalati</t>
  </si>
  <si>
    <t>mo7amd_f@hotmail.com</t>
  </si>
  <si>
    <t>syed</t>
  </si>
  <si>
    <t>ali</t>
  </si>
  <si>
    <t>stausifali@hotmail.com</t>
  </si>
  <si>
    <t>ElÏe</t>
  </si>
  <si>
    <t>Čhoucair</t>
  </si>
  <si>
    <t>eliechoucair@yahoo.com</t>
  </si>
  <si>
    <t>Wasi</t>
  </si>
  <si>
    <t>Siddiqui</t>
  </si>
  <si>
    <t>wasi_siddiqi@yahoo.com</t>
  </si>
  <si>
    <t>Kashif</t>
  </si>
  <si>
    <t>kashifsiddiqui2020@gmail.com</t>
  </si>
  <si>
    <t>Bashar</t>
  </si>
  <si>
    <t>Shubair</t>
  </si>
  <si>
    <t>bashar3s@hotmail.com</t>
  </si>
  <si>
    <t>Muhammad</t>
  </si>
  <si>
    <t>Ilyas</t>
  </si>
  <si>
    <t>alrehman2001@yahoo.com</t>
  </si>
  <si>
    <t>Maria</t>
  </si>
  <si>
    <t>shaziakazmi668@gmail.com</t>
  </si>
  <si>
    <t>Sadia</t>
  </si>
  <si>
    <t>Choudry</t>
  </si>
  <si>
    <t>sadia1@live.dk</t>
  </si>
  <si>
    <t>Antony</t>
  </si>
  <si>
    <t>tonymathan@yahoo.com</t>
  </si>
  <si>
    <t>Samina</t>
  </si>
  <si>
    <t>Sheikh</t>
  </si>
  <si>
    <t>bcore02@gmail.com</t>
  </si>
  <si>
    <t>Mohammad</t>
  </si>
  <si>
    <t>Langove</t>
  </si>
  <si>
    <t>langove81@hotmail.com</t>
  </si>
  <si>
    <t>Salman</t>
  </si>
  <si>
    <t>Kiani</t>
  </si>
  <si>
    <t>gracefulumar@hotmail.com</t>
  </si>
  <si>
    <t>Ajay</t>
  </si>
  <si>
    <t>Khot</t>
  </si>
  <si>
    <t>ajaykhot1@hotmail.com</t>
  </si>
  <si>
    <t>Mahmood</t>
  </si>
  <si>
    <t>salman71@gmail.com</t>
  </si>
  <si>
    <t>Khurram</t>
  </si>
  <si>
    <t>Chaudry</t>
  </si>
  <si>
    <t>klm_786@yahoo.com</t>
  </si>
  <si>
    <t>Sheharyar</t>
  </si>
  <si>
    <t>Kabeer</t>
  </si>
  <si>
    <t>shery6600@yahoo.com</t>
  </si>
  <si>
    <t>HAIDI</t>
  </si>
  <si>
    <t>Muhammad Abid Ismail</t>
  </si>
  <si>
    <t>Kapadia</t>
  </si>
  <si>
    <t>abidkapadia@gmail.com</t>
  </si>
  <si>
    <t>JESSICA</t>
  </si>
  <si>
    <t>Hadi</t>
  </si>
  <si>
    <t>Aksemah</t>
  </si>
  <si>
    <t>naimaahsan01@gmail.com</t>
  </si>
  <si>
    <t>AYLAR</t>
  </si>
  <si>
    <t>Prince</t>
  </si>
  <si>
    <t>Zeeshan</t>
  </si>
  <si>
    <t>princezeeshan733@gmail.com</t>
  </si>
  <si>
    <t>Tara</t>
  </si>
  <si>
    <t>Rehman</t>
  </si>
  <si>
    <t>katopato1975@gmail.com</t>
  </si>
  <si>
    <t>TINA</t>
  </si>
  <si>
    <t>6/12/20.</t>
  </si>
  <si>
    <t>Shazia</t>
  </si>
  <si>
    <t>Saad</t>
  </si>
  <si>
    <t>shazia.saad@gmail.com</t>
  </si>
  <si>
    <t>Akhtar</t>
  </si>
  <si>
    <t>Mehmood</t>
  </si>
  <si>
    <t>akhtarmehmood2014@yahoo.com</t>
  </si>
  <si>
    <t>Dodi</t>
  </si>
  <si>
    <t>Hassan</t>
  </si>
  <si>
    <t>naveedhassanonline@gmail.com</t>
  </si>
  <si>
    <t>SHAHRZAD</t>
  </si>
  <si>
    <t>Aneel</t>
  </si>
  <si>
    <t>Morira</t>
  </si>
  <si>
    <t>aneelmorira123.am@gmail.com</t>
  </si>
  <si>
    <t>Reza</t>
  </si>
  <si>
    <t>Syed</t>
  </si>
  <si>
    <t>aone.raza@gmail.com</t>
  </si>
  <si>
    <t>Farhan</t>
  </si>
  <si>
    <t>Memon</t>
  </si>
  <si>
    <t>farhanmemon786022@gmail.com</t>
  </si>
  <si>
    <t>Ahmed</t>
  </si>
  <si>
    <t>Satti</t>
  </si>
  <si>
    <t>ahmedawais222@gmail.com</t>
  </si>
  <si>
    <t>Angeline</t>
  </si>
  <si>
    <t>Malik</t>
  </si>
  <si>
    <t>angelinemalik@gmail.com</t>
  </si>
  <si>
    <t>Ch Muhammad Shakil</t>
  </si>
  <si>
    <t>Shakil</t>
  </si>
  <si>
    <t>chshakil580@gmail.com</t>
  </si>
  <si>
    <t>prafulla</t>
  </si>
  <si>
    <t>bhat</t>
  </si>
  <si>
    <t>pbhat406@gmail.com</t>
  </si>
  <si>
    <t>Muhieddine</t>
  </si>
  <si>
    <t>Elajouz</t>
  </si>
  <si>
    <t>Muhieddineajouz@gmail.com</t>
  </si>
  <si>
    <t>sirajudeen</t>
  </si>
  <si>
    <t>kamal mohideen</t>
  </si>
  <si>
    <t>internationaljobs2015@gmail.com</t>
  </si>
  <si>
    <t>Mb</t>
  </si>
  <si>
    <t>mainabilli@gmail.com</t>
  </si>
  <si>
    <t>Muhammad Azeem</t>
  </si>
  <si>
    <t>Abbasi</t>
  </si>
  <si>
    <t>muhammadazeemabbasi62@gmail.com</t>
  </si>
  <si>
    <t>Ramin</t>
  </si>
  <si>
    <t>Eslaminejad</t>
  </si>
  <si>
    <t>ramin.eslamin@yahoo.com</t>
  </si>
  <si>
    <t>Nasir</t>
  </si>
  <si>
    <t>Khan</t>
  </si>
  <si>
    <t>nasirkhan27c@yahoo.com</t>
  </si>
  <si>
    <t>Ashir</t>
  </si>
  <si>
    <t>drashir_khan07@hotmail.com</t>
  </si>
  <si>
    <t>Jamal</t>
  </si>
  <si>
    <t>jamalsheikh.17@gmail.com</t>
  </si>
  <si>
    <t>Iqbal</t>
  </si>
  <si>
    <t>Lewis@guangzhousuntone.com</t>
  </si>
  <si>
    <t>Omair</t>
  </si>
  <si>
    <t>omairshk@hotmail.com</t>
  </si>
  <si>
    <t>Naved</t>
  </si>
  <si>
    <t>Hasan</t>
  </si>
  <si>
    <t>naved.hasan@eim.ae</t>
  </si>
  <si>
    <t>Musi</t>
  </si>
  <si>
    <t>Moosa</t>
  </si>
  <si>
    <t>musimoosa@hotmail.com</t>
  </si>
  <si>
    <t>Farrukh</t>
  </si>
  <si>
    <t>farrukh@globaltelecomgroup.com</t>
  </si>
  <si>
    <t>Nini</t>
  </si>
  <si>
    <t>memonnini092@gmail.com</t>
  </si>
  <si>
    <t>Ibrahim</t>
  </si>
  <si>
    <t>Ahmad</t>
  </si>
  <si>
    <t>killinghaminvestments@gmail.com</t>
  </si>
  <si>
    <t>Azhar Shabbir</t>
  </si>
  <si>
    <t>ch.azhar374@gmail.comc</t>
  </si>
  <si>
    <t>Muazzam</t>
  </si>
  <si>
    <t>mualkhan@yahoo.com</t>
  </si>
  <si>
    <t>Tanzeela</t>
  </si>
  <si>
    <t>Taimur</t>
  </si>
  <si>
    <t>tanzela.sheikh@gmail.com</t>
  </si>
  <si>
    <t>Mangi</t>
  </si>
  <si>
    <t>Akhtiar</t>
  </si>
  <si>
    <t>mangiakhtiar@yahoo.com</t>
  </si>
  <si>
    <t>Fiaz</t>
  </si>
  <si>
    <t>Bajwa</t>
  </si>
  <si>
    <t>bfiazbajwa@gmail.com</t>
  </si>
  <si>
    <t>farah</t>
  </si>
  <si>
    <t>ahmed</t>
  </si>
  <si>
    <t>fsuri77@hotmail.com</t>
  </si>
  <si>
    <t>Farooq</t>
  </si>
  <si>
    <t>Khiani</t>
  </si>
  <si>
    <t>farooqkhiani@yahoo.co.in</t>
  </si>
  <si>
    <t>Sam</t>
  </si>
  <si>
    <t>Rao</t>
  </si>
  <si>
    <t>raosalman@gmail.com</t>
  </si>
  <si>
    <t>Younus</t>
  </si>
  <si>
    <t>myounusit@yahoo.com</t>
  </si>
  <si>
    <t>Ali</t>
  </si>
  <si>
    <t>Shary</t>
  </si>
  <si>
    <t>rdvision786@gmail.com</t>
  </si>
  <si>
    <t>kashif3131982@gmail.com</t>
  </si>
  <si>
    <t>Fasi</t>
  </si>
  <si>
    <t>fasi067757@gmail.com</t>
  </si>
  <si>
    <t>Shabbir</t>
  </si>
  <si>
    <t>Irfan</t>
  </si>
  <si>
    <t>shabir_irfan@yahoo.com</t>
  </si>
  <si>
    <t>Sohail</t>
  </si>
  <si>
    <t>Tukdi</t>
  </si>
  <si>
    <t>sohailtukdi707@gmail.com</t>
  </si>
  <si>
    <t>Rizwan</t>
  </si>
  <si>
    <t>Sona</t>
  </si>
  <si>
    <t>rizwanalisona@gmail.com</t>
  </si>
  <si>
    <t>Rabel</t>
  </si>
  <si>
    <t>Sajid</t>
  </si>
  <si>
    <t>rabelsajid@hotmail.com</t>
  </si>
  <si>
    <t>Shahid</t>
  </si>
  <si>
    <t>Azmi</t>
  </si>
  <si>
    <t>shahid.azmi@gmail.com</t>
  </si>
  <si>
    <t>Abduljaleel</t>
  </si>
  <si>
    <t>Palliyalil</t>
  </si>
  <si>
    <t>palliyaliljaleel@gmail.com</t>
  </si>
  <si>
    <t>Hussain</t>
  </si>
  <si>
    <t>Fahad001@gmail.com</t>
  </si>
  <si>
    <t>Arzy</t>
  </si>
  <si>
    <t>Essra</t>
  </si>
  <si>
    <t>dudusya05@mail.ru</t>
  </si>
  <si>
    <t>Karamat</t>
  </si>
  <si>
    <t>Jaffary</t>
  </si>
  <si>
    <t>skjaff512@gmail.com</t>
  </si>
  <si>
    <t>Nadeem</t>
  </si>
  <si>
    <t>Yaqoob</t>
  </si>
  <si>
    <t>nadeem2002pk@hotmail.com</t>
  </si>
  <si>
    <t>Hafiz Mian Muhammad</t>
  </si>
  <si>
    <t>Numan</t>
  </si>
  <si>
    <t>miannuman.148@hotmail.com</t>
  </si>
  <si>
    <t>Anees</t>
  </si>
  <si>
    <t>Tariq</t>
  </si>
  <si>
    <t>anees@ebtgulf.com</t>
  </si>
  <si>
    <t>Imran</t>
  </si>
  <si>
    <t>imranaminsheikh@hotmail.com</t>
  </si>
  <si>
    <t>Kinzah</t>
  </si>
  <si>
    <t>Athar</t>
  </si>
  <si>
    <t>kinzahathar@gmail.com</t>
  </si>
  <si>
    <t>Slim</t>
  </si>
  <si>
    <t>slim-ali@hotmail.com</t>
  </si>
  <si>
    <t>Akmal</t>
  </si>
  <si>
    <t>Kazmi</t>
  </si>
  <si>
    <t>akmalkazmi@gmail.com</t>
  </si>
  <si>
    <t>Omer</t>
  </si>
  <si>
    <t>Janjua</t>
  </si>
  <si>
    <t>oomerfarooq@gmail.com</t>
  </si>
  <si>
    <t>ghulam Aurangzeb</t>
  </si>
  <si>
    <t>Ghulam Nabi</t>
  </si>
  <si>
    <t>Look.Aurangzeb@outlook.com</t>
  </si>
  <si>
    <t>Sayed</t>
  </si>
  <si>
    <t>ielshmaa@hotmail.com</t>
  </si>
  <si>
    <t>Grégory</t>
  </si>
  <si>
    <t>Amet</t>
  </si>
  <si>
    <t>gregnkc22@gmail.com</t>
  </si>
  <si>
    <t>Syed Hussein</t>
  </si>
  <si>
    <t>Abbas</t>
  </si>
  <si>
    <t>hussein@greencorpholdings.com</t>
  </si>
  <si>
    <t>Bilal</t>
  </si>
  <si>
    <t>Shakeel</t>
  </si>
  <si>
    <t>Info@theplatinumventures.com</t>
  </si>
  <si>
    <t>Magzoub</t>
  </si>
  <si>
    <t>Omagzoub@hotmail.com</t>
  </si>
  <si>
    <t>Qureshi</t>
  </si>
  <si>
    <t>unicornkhi@yahoo.com</t>
  </si>
  <si>
    <t>Parveen</t>
  </si>
  <si>
    <t>Rizvi</t>
  </si>
  <si>
    <t>parveenkrizvi@gmail.com</t>
  </si>
  <si>
    <t>Saleem</t>
  </si>
  <si>
    <t>Shahzaad</t>
  </si>
  <si>
    <t>saleem9773@gmail.come</t>
  </si>
  <si>
    <t>Haneefa</t>
  </si>
  <si>
    <t>Manaf</t>
  </si>
  <si>
    <t>haneefadxb@gmail.com</t>
  </si>
  <si>
    <t>Hesham Fawzy</t>
  </si>
  <si>
    <t>hhfawzy@emirates.net.ae</t>
  </si>
  <si>
    <t>Gamze Gurbuz</t>
  </si>
  <si>
    <t>giulietta66@hotmail.com</t>
  </si>
  <si>
    <t>Nouman Hassan</t>
  </si>
  <si>
    <t>hassan.nouman@yahoo.com</t>
  </si>
  <si>
    <t>Haris Muhammad Islam</t>
  </si>
  <si>
    <t>haris538@hotmail.com</t>
  </si>
  <si>
    <t>Muhammad Ishtiaque</t>
  </si>
  <si>
    <t>cyberconcepts1@gmail.com</t>
  </si>
  <si>
    <t>Wageb Abdullah</t>
  </si>
  <si>
    <t>eng_wageb@hotmail.com</t>
  </si>
  <si>
    <t>Shoaib Ullah</t>
  </si>
  <si>
    <t>pops_143@hotmail.com</t>
  </si>
  <si>
    <t>Omair Masood</t>
  </si>
  <si>
    <t>omair.masood@cedar.edu.pk</t>
  </si>
  <si>
    <t>Hashem Ibrahim</t>
  </si>
  <si>
    <t>hashemibrahim261@yahoo.com</t>
  </si>
  <si>
    <t>Jameeludeen</t>
  </si>
  <si>
    <t>jameelsn1@yahoo.com</t>
  </si>
  <si>
    <t>Laiba Malik</t>
  </si>
  <si>
    <t>zanymalik69@hotmail.com</t>
  </si>
  <si>
    <t>sherbaz Khan</t>
  </si>
  <si>
    <t>doctorbaz111@gmail.com</t>
  </si>
  <si>
    <t>rose peer</t>
  </si>
  <si>
    <t>speeruae@gmail.com</t>
  </si>
  <si>
    <t>Kb Sidana</t>
  </si>
  <si>
    <t>kbsidana@gmail.com</t>
  </si>
  <si>
    <t>Abdul Ghani Madni</t>
  </si>
  <si>
    <t>drghanimadni86@gmail.com</t>
  </si>
  <si>
    <t>Aini</t>
  </si>
  <si>
    <t>aini.rashk@yahoo.com</t>
  </si>
  <si>
    <t>Nasir Nasir Dashti</t>
  </si>
  <si>
    <t>Nb1511786@gmail.com</t>
  </si>
  <si>
    <t>Qadeer Ali</t>
  </si>
  <si>
    <t>qadeershaikh_4u@yahoo.com</t>
  </si>
  <si>
    <t>Masrur Akhmad Ansari</t>
  </si>
  <si>
    <t>masruransaris@gmail.com</t>
  </si>
  <si>
    <t>Javed Panjwani</t>
  </si>
  <si>
    <t>javedjiinc@gmail.com</t>
  </si>
  <si>
    <t>Faouzi Absi</t>
  </si>
  <si>
    <t>faouziabsi@yahoo.fr</t>
  </si>
  <si>
    <t>Sohaib Sherwani</t>
  </si>
  <si>
    <t>sohaibsherwani@icloud.com</t>
  </si>
  <si>
    <t>Mubashar Iqbal</t>
  </si>
  <si>
    <t>miqbal.millat@gmail.com</t>
  </si>
  <si>
    <t>Mubusher Hayat</t>
  </si>
  <si>
    <t>mubusher@hotmail.com</t>
  </si>
  <si>
    <t>Raja Qasim Kethwal</t>
  </si>
  <si>
    <t>qasimraza8686@live.com</t>
  </si>
  <si>
    <t>Mutiure Rehman</t>
  </si>
  <si>
    <t>pearl.international100@gmail.com</t>
  </si>
  <si>
    <t>ভুলনাআমায় একাকি আমি কার</t>
  </si>
  <si>
    <t>mintumintu444@gmail.com</t>
  </si>
  <si>
    <t>Farah Durani</t>
  </si>
  <si>
    <t>farahdurani@gmail.com</t>
  </si>
  <si>
    <t>Diala El Atat</t>
  </si>
  <si>
    <t>maris_a1@hotmail.com</t>
  </si>
  <si>
    <t>M Qaseem Azam</t>
  </si>
  <si>
    <t>tamimi551@gmail.com</t>
  </si>
  <si>
    <t>محمداکرم بشیراں بیبھی341017349467</t>
  </si>
  <si>
    <t>akrmalisahe373@gmail.com</t>
  </si>
  <si>
    <t>Asad Iqbal</t>
  </si>
  <si>
    <t>asadzpl@hotmail.com</t>
  </si>
  <si>
    <t>Muhammad Ahmed</t>
  </si>
  <si>
    <t>Mokhtiar@yahoo.com</t>
  </si>
  <si>
    <t>Ch Abbas</t>
  </si>
  <si>
    <t>chabbas509@gmail.com</t>
  </si>
  <si>
    <t>Wissam Berjaoui</t>
  </si>
  <si>
    <t>55.wissam@gmail.com</t>
  </si>
  <si>
    <t>سعد البريك</t>
  </si>
  <si>
    <t>sburaik@gmail.com</t>
  </si>
  <si>
    <t>Shaikh Shoaib</t>
  </si>
  <si>
    <t>sm786shoaib@yahoo.com</t>
  </si>
  <si>
    <t>Ahsan Mehanti</t>
  </si>
  <si>
    <t>mehanti@hotmail.com</t>
  </si>
  <si>
    <t>Matloob Hussain</t>
  </si>
  <si>
    <t>matloobefl@gmail.com</t>
  </si>
  <si>
    <t>Wajahat Ali</t>
  </si>
  <si>
    <t>wajali76@gmail.com</t>
  </si>
  <si>
    <t>Nawab Bahawal Pur</t>
  </si>
  <si>
    <t>ejazshahid786@icloud.com</t>
  </si>
  <si>
    <t>Wali Khan</t>
  </si>
  <si>
    <t>ceo@sme.org.pk</t>
  </si>
  <si>
    <t>Waleed Elahi</t>
  </si>
  <si>
    <t>waleed.elahi@gmail.com</t>
  </si>
  <si>
    <t>haroonrashid</t>
  </si>
  <si>
    <t>haroonrashid2k15@gmail.com</t>
  </si>
  <si>
    <t>asifalisyed</t>
  </si>
  <si>
    <t>asifalisyed373@gmail.com</t>
  </si>
  <si>
    <t>mariambilal</t>
  </si>
  <si>
    <t>mariambilal9999@gmail.com</t>
  </si>
  <si>
    <t>riffat2hassan</t>
  </si>
  <si>
    <t>riffat2hassan@gmail.com</t>
  </si>
  <si>
    <t>achinono</t>
  </si>
  <si>
    <t>achinono@yahoo.co.uk</t>
  </si>
  <si>
    <t>shafipardesi</t>
  </si>
  <si>
    <t>shafipardesi@hotmail.com</t>
  </si>
  <si>
    <t>asifdarvesh</t>
  </si>
  <si>
    <t>asifdarvesh@hotmail.com</t>
  </si>
  <si>
    <t>arsheed</t>
  </si>
  <si>
    <t>arsheed@gmail.com</t>
  </si>
  <si>
    <t>savepakistan</t>
  </si>
  <si>
    <t>savepakistan@hotmail.com</t>
  </si>
  <si>
    <t>ubasad</t>
  </si>
  <si>
    <t>ubasad@yahoo.com</t>
  </si>
  <si>
    <t>kashifasohail</t>
  </si>
  <si>
    <t>kashifasohail12@gmail.com</t>
  </si>
  <si>
    <t>mohd1083</t>
  </si>
  <si>
    <t>mohd1083@gmail.com</t>
  </si>
  <si>
    <t>kabouseda</t>
  </si>
  <si>
    <t>kabouseda@gmail.com</t>
  </si>
  <si>
    <t>ahmed.shafi</t>
  </si>
  <si>
    <t>ahmed.shafi1986@gmail.com</t>
  </si>
  <si>
    <t>cybermusti</t>
  </si>
  <si>
    <t>cybermusti@gmail.com</t>
  </si>
  <si>
    <t>affan_akhtar</t>
  </si>
  <si>
    <t>affan_akhtar@hotmail.com</t>
  </si>
  <si>
    <t>hussainsw</t>
  </si>
  <si>
    <t>hussainsw1944@gmail.com</t>
  </si>
  <si>
    <t>daudrizwan</t>
  </si>
  <si>
    <t>daudrizwan@hotmail.com</t>
  </si>
  <si>
    <t>junaidkashmiri</t>
  </si>
  <si>
    <t>junaidkashmiri1@hotmail.com</t>
  </si>
  <si>
    <t>Date</t>
  </si>
  <si>
    <t>DEVELOPER</t>
  </si>
  <si>
    <t>Proj</t>
  </si>
  <si>
    <t>Name</t>
  </si>
  <si>
    <t>Mob</t>
  </si>
  <si>
    <t>Email</t>
  </si>
  <si>
    <t>SOURCE</t>
  </si>
  <si>
    <t>ASSIGNED</t>
  </si>
  <si>
    <t>COMMENTS</t>
  </si>
  <si>
    <t>FEEDBACK</t>
  </si>
  <si>
    <t>Aug 12 - 2020</t>
  </si>
  <si>
    <t>Nshama</t>
  </si>
  <si>
    <t>Nshama Lebanon</t>
  </si>
  <si>
    <t>Zaher Ash</t>
  </si>
  <si>
    <t>zaherachour@gmail.com</t>
  </si>
  <si>
    <t>H&amp;S Facebook</t>
  </si>
  <si>
    <t>ZOHAIB</t>
  </si>
  <si>
    <t>No feedback</t>
  </si>
  <si>
    <t>Pierre chakhtoura</t>
  </si>
  <si>
    <t>Info@pchsystem.com</t>
  </si>
  <si>
    <t>FB</t>
  </si>
  <si>
    <t>Fouad Saber</t>
  </si>
  <si>
    <t>rootica@gmail.com</t>
  </si>
  <si>
    <t>Interested in 2 and 3 bhk able to pay 10% and the rest</t>
  </si>
  <si>
    <t>Michele Bechara Rechdane</t>
  </si>
  <si>
    <t>becharamichele@hotmail.com</t>
  </si>
  <si>
    <t>Maroun Shafic Dagher</t>
  </si>
  <si>
    <t>maroundagher73@hotmail.com</t>
  </si>
  <si>
    <t>Not answering</t>
  </si>
  <si>
    <t>Salim Assaf</t>
  </si>
  <si>
    <t>salimassaf.office@gmail.com</t>
  </si>
  <si>
    <t>deeksam</t>
  </si>
  <si>
    <t>eldik.samar@gmail.com</t>
  </si>
  <si>
    <t>Asked to send the details</t>
  </si>
  <si>
    <t>Rita W Farah</t>
  </si>
  <si>
    <t>miss_farahh@hotmail.com</t>
  </si>
  <si>
    <t>Wants Beachfront with lebanon money</t>
  </si>
  <si>
    <t>Mahatbitar</t>
  </si>
  <si>
    <t>mbitar5921@aol.com</t>
  </si>
  <si>
    <t>She will call tomorrow</t>
  </si>
  <si>
    <t>Chris A Samah</t>
  </si>
  <si>
    <t>casamah@gmail.com</t>
  </si>
  <si>
    <t>Asked to call tomorrow between 11am-1PM</t>
  </si>
  <si>
    <t>Mohammad Hassoun</t>
  </si>
  <si>
    <t>m_hassoun1@hotmail.com</t>
  </si>
  <si>
    <t>Elie Partamian</t>
  </si>
  <si>
    <t>eliepartamian@gmail.com</t>
  </si>
  <si>
    <t>Nathalie El Helou</t>
  </si>
  <si>
    <t>nathalie_helou@hotmail.com</t>
  </si>
  <si>
    <t>ℕ𝕒𝕟𝕔𝕪🦂</t>
  </si>
  <si>
    <t>nancyzak32@gmail.com</t>
  </si>
  <si>
    <t>Maha</t>
  </si>
  <si>
    <t>regina_maha@hotmail.com</t>
  </si>
  <si>
    <t>Farah F</t>
  </si>
  <si>
    <t>farah.fawaz@gmail.com</t>
  </si>
  <si>
    <t>Mahmoud Skaf</t>
  </si>
  <si>
    <t>mahmoudskaf@hotmail.com</t>
  </si>
  <si>
    <t>Timmy W</t>
  </si>
  <si>
    <t>wassouftimmy@gmail.com</t>
  </si>
  <si>
    <t>Zouha Chaaban Chehade</t>
  </si>
  <si>
    <t>zohach@gmail.com</t>
  </si>
  <si>
    <t>Bassam Assaad</t>
  </si>
  <si>
    <t>bassamassaad25@gmail.com</t>
  </si>
  <si>
    <t>Riad Fahed</t>
  </si>
  <si>
    <t>riad@synopsis-events.com</t>
  </si>
  <si>
    <t>No response</t>
  </si>
  <si>
    <t>Rabih Khayat</t>
  </si>
  <si>
    <t>rabikhayat@hotmail.com</t>
  </si>
  <si>
    <t>He said he will be interested only payable in Lebanon.</t>
  </si>
  <si>
    <t>Oscar Tanios Hage</t>
  </si>
  <si>
    <t>oscarhage@hotmail.com</t>
  </si>
  <si>
    <t>Ghada Agha</t>
  </si>
  <si>
    <t>ghadaagha@gmail.com</t>
  </si>
  <si>
    <t>Out of service</t>
  </si>
  <si>
    <t>Tony Tadros</t>
  </si>
  <si>
    <t>reflextt@hotmail.com</t>
  </si>
  <si>
    <t>BADEEH ABLA</t>
  </si>
  <si>
    <t>badeeh.abla@nobrandholding.com</t>
  </si>
  <si>
    <t>Asked for details to be sent on whatsapp</t>
  </si>
  <si>
    <t>Roland Nohra</t>
  </si>
  <si>
    <t>rolandnohra15@hotmail.com</t>
  </si>
  <si>
    <t>Asked for 2bed details. Sent</t>
  </si>
  <si>
    <t>Habib Zarifeh</t>
  </si>
  <si>
    <t>Info@habibzarifeh.com</t>
  </si>
  <si>
    <t>Called twice no response</t>
  </si>
  <si>
    <t>Mahmoud Abdulwahed</t>
  </si>
  <si>
    <t>mwahed83@hotmail.com</t>
  </si>
  <si>
    <t>Asked for 1/2 bed details</t>
  </si>
  <si>
    <t>Karim El-Horr</t>
  </si>
  <si>
    <t>Karim_horr@yahoo.com</t>
  </si>
  <si>
    <t>Money in Lebanon. Will get back if required</t>
  </si>
  <si>
    <t>Oussama Gholmieh</t>
  </si>
  <si>
    <t>ogholmieh@gmail.com</t>
  </si>
  <si>
    <t>Not right number</t>
  </si>
  <si>
    <t>Aug 13 - 2020</t>
  </si>
  <si>
    <t>Ramy Douaihy</t>
  </si>
  <si>
    <t>ramy@eldouaihygroup.com</t>
  </si>
  <si>
    <t>Rindala Kassem Kabalan</t>
  </si>
  <si>
    <t>rindalakassem@hotmail.com</t>
  </si>
  <si>
    <t>Samir Sammour</t>
  </si>
  <si>
    <t>samir.sammour@gmail.com</t>
  </si>
  <si>
    <t>Mohamad Ajaje</t>
  </si>
  <si>
    <t>mha01@hotmail.com</t>
  </si>
  <si>
    <t>Charbel Gharfine</t>
  </si>
  <si>
    <t>gharfinech@hotmail.com</t>
  </si>
  <si>
    <t>Narine</t>
  </si>
  <si>
    <t>narineosb@gmail.com</t>
  </si>
  <si>
    <t>Hassan Sherry</t>
  </si>
  <si>
    <t>lawyercherry@hotmail.com</t>
  </si>
  <si>
    <t>Aug 14 - 2020</t>
  </si>
  <si>
    <t>Georges EL Hajj</t>
  </si>
  <si>
    <t>georges_el_hajj@hotmail.com</t>
  </si>
  <si>
    <t>In meeting</t>
  </si>
  <si>
    <t>Diala Ollaic Mallah</t>
  </si>
  <si>
    <t>diala.dom@gmail.com</t>
  </si>
  <si>
    <t>Her sister interested. Asked for details</t>
  </si>
  <si>
    <t>Nadine Wehbe Bamo</t>
  </si>
  <si>
    <t>tsb84@hotmail.com</t>
  </si>
  <si>
    <t>Payable in Lebanon only</t>
  </si>
  <si>
    <t>Rima Mekanna El Abyad</t>
  </si>
  <si>
    <t>rimamekanna@gmail.com</t>
  </si>
  <si>
    <t>Asked to call later</t>
  </si>
  <si>
    <t>Hana Kaddaha</t>
  </si>
  <si>
    <t>hanakaddaha@yahoo.com</t>
  </si>
  <si>
    <t>Interested pyable in lebanon</t>
  </si>
  <si>
    <t>Momtaz Mahmoud Sleiman</t>
  </si>
  <si>
    <t>mouni31_4@hotmail.com</t>
  </si>
  <si>
    <t>Fadi Jibai</t>
  </si>
  <si>
    <t>fadfooda@hotmail.com</t>
  </si>
  <si>
    <t>Asked to call tmrw morning</t>
  </si>
  <si>
    <t>Aug 15 - 2020</t>
  </si>
  <si>
    <t>Jean Ramia</t>
  </si>
  <si>
    <t>kouroumourou9@hotmail.com</t>
  </si>
  <si>
    <t>Raed Mahmoud</t>
  </si>
  <si>
    <t>rmahmoud@sabis.net</t>
  </si>
  <si>
    <t>George Bouchikian</t>
  </si>
  <si>
    <t>gbouchikian@me.com</t>
  </si>
  <si>
    <t>Number not working. Sent an email and Whatsapp. No answer yet.</t>
  </si>
  <si>
    <t>Aug 16 - 2020</t>
  </si>
  <si>
    <t>Mohammad Tabbara</t>
  </si>
  <si>
    <t>mohammad.tabbara@gmail.com</t>
  </si>
  <si>
    <t>Only payable in lebanon</t>
  </si>
  <si>
    <t>Fatina Nassif</t>
  </si>
  <si>
    <t>fatinattieh@hotmail.com</t>
  </si>
  <si>
    <t>Call tomorrow</t>
  </si>
  <si>
    <t>Luna Azul</t>
  </si>
  <si>
    <t>fakih_nadia@hotmail.com</t>
  </si>
  <si>
    <t>Details sent. She will reply after checking</t>
  </si>
  <si>
    <t>Jana M Baydoun</t>
  </si>
  <si>
    <t>jmaccawi@gmail.com</t>
  </si>
  <si>
    <t>Not reachable will try again tmrw</t>
  </si>
  <si>
    <t>Anthony Azar</t>
  </si>
  <si>
    <t>rain_y@hotmail.com</t>
  </si>
  <si>
    <t>Interested. Asked details</t>
  </si>
  <si>
    <t>Choucri</t>
  </si>
  <si>
    <t>choucrikh@hotmail.com</t>
  </si>
  <si>
    <t>Only pay in labenon</t>
  </si>
  <si>
    <t>Dalia Sarraf</t>
  </si>
  <si>
    <t>sarrafdalia@gmail.com</t>
  </si>
  <si>
    <t>Not interested</t>
  </si>
  <si>
    <t>Shukri Husni</t>
  </si>
  <si>
    <t>roamingsh@hotmail.com</t>
  </si>
  <si>
    <t>Coming this weekend. Will call. Details sent. Money in Dubai</t>
  </si>
  <si>
    <t>Aug 17 - 2020</t>
  </si>
  <si>
    <t>Nshama-hs-lebanon</t>
  </si>
  <si>
    <t>Hanadi Kassab</t>
  </si>
  <si>
    <t>hanadikn_2000@yahoo.com</t>
  </si>
  <si>
    <t>Samer Bouez</t>
  </si>
  <si>
    <t>samer.bouez@gmail.com</t>
  </si>
  <si>
    <t>Michele Chaker</t>
  </si>
  <si>
    <t>michelechaker@gmail.com</t>
  </si>
  <si>
    <t>Interested</t>
  </si>
  <si>
    <t>Details sent will get back if required</t>
  </si>
  <si>
    <t>Aug 21 - 2020</t>
  </si>
  <si>
    <t>Nshama lebanon</t>
  </si>
  <si>
    <t>Hilal Dhr</t>
  </si>
  <si>
    <t>hilal_dhr@hotmail.com</t>
  </si>
  <si>
    <t>S.I</t>
  </si>
  <si>
    <t>Aug 29 - 2020</t>
  </si>
  <si>
    <t>Emaar</t>
  </si>
  <si>
    <t>IL-Primo</t>
  </si>
  <si>
    <t>נסראת אבו ריא</t>
  </si>
  <si>
    <t>andalis1973@gmail.com</t>
  </si>
  <si>
    <t>Adam L</t>
  </si>
  <si>
    <t>atlascm@hotmail.com</t>
  </si>
  <si>
    <t>iSrael</t>
  </si>
  <si>
    <t>Israel-hs</t>
  </si>
  <si>
    <t>Same.anmed.gleres</t>
  </si>
  <si>
    <t>nojeenie@gmail.com</t>
  </si>
  <si>
    <t>SUVI</t>
  </si>
  <si>
    <t>investor</t>
  </si>
  <si>
    <t>Danny Serero</t>
  </si>
  <si>
    <t>dannyserero@gmail.com</t>
  </si>
  <si>
    <t>Alyعلي خطيب</t>
  </si>
  <si>
    <t>alyhatib2@gmail.com</t>
  </si>
  <si>
    <t>Ahmad Aak</t>
  </si>
  <si>
    <t>ahmad2manal3@gmail.com</t>
  </si>
  <si>
    <t xml:space="preserve"> Israel-hs</t>
  </si>
  <si>
    <t>Barak Levy</t>
  </si>
  <si>
    <t>barak7666@gmail.com</t>
  </si>
  <si>
    <t>Elia Ebllini</t>
  </si>
  <si>
    <t>elia@adv-ebllini.co.il</t>
  </si>
  <si>
    <t>Ron Meloul</t>
  </si>
  <si>
    <t>ronmeloul@gmail.com</t>
  </si>
  <si>
    <t>רון</t>
  </si>
  <si>
    <t>yossi1111@gmail.com</t>
  </si>
  <si>
    <t>Israel</t>
  </si>
  <si>
    <t>🌏 Anan &amp; Sabrine 🌎</t>
  </si>
  <si>
    <t>ananpower333@gmail.com</t>
  </si>
  <si>
    <t>VIKAS</t>
  </si>
  <si>
    <t>Aug 30 - 2020</t>
  </si>
  <si>
    <t xml:space="preserve"> ilprimo-hns-2020</t>
  </si>
  <si>
    <t>אייל דביקו</t>
  </si>
  <si>
    <t>eyaldebiko6@gmail.com</t>
  </si>
  <si>
    <t>משה וסרמן</t>
  </si>
  <si>
    <t>moshevasserman@gmail.com</t>
  </si>
  <si>
    <t>Daniel</t>
  </si>
  <si>
    <t>ponydaniel@gmail.com</t>
  </si>
  <si>
    <t>Civiltech Page</t>
  </si>
  <si>
    <t>civiltech.ltd@gmail.com</t>
  </si>
  <si>
    <t>Bernard Krausz</t>
  </si>
  <si>
    <t>bkrauseco@gmail.com</t>
  </si>
  <si>
    <t>Eka Manasherova</t>
  </si>
  <si>
    <t>vikingbrand@gmail.com</t>
  </si>
  <si>
    <t>zOHAIB</t>
  </si>
  <si>
    <t>Nassem Abu Dahod</t>
  </si>
  <si>
    <t>nassem20@hotmail.com</t>
  </si>
  <si>
    <t>omimaker</t>
  </si>
  <si>
    <t>omimawasem@gmail.com</t>
  </si>
  <si>
    <t>מיכל לשם</t>
  </si>
  <si>
    <t>michaleshem1@gmail.com</t>
  </si>
  <si>
    <t>Beachfront Israel</t>
  </si>
  <si>
    <t>Hamada adiv</t>
  </si>
  <si>
    <t>ha.kingo@gmail.com</t>
  </si>
  <si>
    <t>Aug 31 - 2020</t>
  </si>
  <si>
    <t>Eli Bronstein</t>
  </si>
  <si>
    <t>elib1465@gmail.com</t>
  </si>
  <si>
    <t>Belal Abu Husein</t>
  </si>
  <si>
    <t>bafl1881@gmail.com</t>
  </si>
  <si>
    <t>אלמוג שיטרית</t>
  </si>
  <si>
    <t>almogshitrit12@gmail.com</t>
  </si>
  <si>
    <t>Ben Frum</t>
  </si>
  <si>
    <t>benfrum@gmail.com</t>
  </si>
  <si>
    <t>Kamel Abu Aiys</t>
  </si>
  <si>
    <t>kamel29@walla.co.il</t>
  </si>
  <si>
    <t>Nidal Nasir</t>
  </si>
  <si>
    <t>nsalam@bezeqint.net</t>
  </si>
  <si>
    <t>Yarin</t>
  </si>
  <si>
    <t>yarinet87@gmail.com</t>
  </si>
  <si>
    <t>Sohyyeb Gidi</t>
  </si>
  <si>
    <t>sohyyeb_gidi@hotmail.com</t>
  </si>
  <si>
    <t>Eliezer Dar</t>
  </si>
  <si>
    <t>dareliezer@gmail.com</t>
  </si>
  <si>
    <t>Ehud Ramot</t>
  </si>
  <si>
    <t>ramot@yahoo.com</t>
  </si>
  <si>
    <t>Batshevs sapir</t>
  </si>
  <si>
    <t>batsheva.s@meuhedet.co.il</t>
  </si>
  <si>
    <t>Esaam Tatour</t>
  </si>
  <si>
    <t>esaam105@walla.com</t>
  </si>
  <si>
    <t>أيوب أبو غربيه</t>
  </si>
  <si>
    <t>ayoubag28@gmail.com</t>
  </si>
  <si>
    <t>Moshe Perez</t>
  </si>
  <si>
    <t>villa.mosco@gmail.com</t>
  </si>
  <si>
    <t>David Maman</t>
  </si>
  <si>
    <t>mi5dm2@yahoo.com</t>
  </si>
  <si>
    <t>TOMMY</t>
  </si>
  <si>
    <t>Hatem Maslamani</t>
  </si>
  <si>
    <t>hatem@maslamani.com</t>
  </si>
  <si>
    <t>jamil mohsen</t>
  </si>
  <si>
    <t>adan86_6@hotmail.com</t>
  </si>
  <si>
    <t>ilprimo</t>
  </si>
  <si>
    <t>Husein Khtar</t>
  </si>
  <si>
    <t>hosen35@gmail.com</t>
  </si>
  <si>
    <t>ישראל בן משה</t>
  </si>
  <si>
    <t>israelbmn11@gmail.com</t>
  </si>
  <si>
    <t xml:space="preserve"> ilprimo</t>
  </si>
  <si>
    <t>Rebecca Collado Benitez</t>
  </si>
  <si>
    <t>rebecca.fillinvest@yahoo.com</t>
  </si>
  <si>
    <t>Moran Shabat</t>
  </si>
  <si>
    <t>moranshabat7@gmail.com</t>
  </si>
  <si>
    <t>ELENA</t>
  </si>
  <si>
    <t>עאדל אבו</t>
  </si>
  <si>
    <t>adihmovel@gmail.com</t>
  </si>
  <si>
    <t>Essraa Balu'm</t>
  </si>
  <si>
    <t>foodeema@gmail.com</t>
  </si>
  <si>
    <t>Muhammed Kabua</t>
  </si>
  <si>
    <t>mc.kboa@gmail.com</t>
  </si>
  <si>
    <t>علاء خليفة</t>
  </si>
  <si>
    <t>alaa.khaliefa@gmail.com</t>
  </si>
  <si>
    <t>Joulani Mostafa</t>
  </si>
  <si>
    <t>steev580@hotmail.com</t>
  </si>
  <si>
    <t>פרח אברמובסקי</t>
  </si>
  <si>
    <t>abperach28@gmail.com</t>
  </si>
  <si>
    <t>Mohamed G. Jamal</t>
  </si>
  <si>
    <t>smohmdg@gmail.com</t>
  </si>
  <si>
    <t>Aurelie Assouline Illouz</t>
  </si>
  <si>
    <t>aurelieillouz@hotmail.fr</t>
  </si>
  <si>
    <t>Dabash Sameer</t>
  </si>
  <si>
    <t>dvashsamir@walla.co.il</t>
  </si>
  <si>
    <t>Majd Mwassi</t>
  </si>
  <si>
    <t>majdmwassiqsm@gmail.com</t>
  </si>
  <si>
    <t>Aug 19 - 2020</t>
  </si>
  <si>
    <t>TIGER</t>
  </si>
  <si>
    <t>Ivory Coast Event</t>
  </si>
  <si>
    <t>Aimerique Porquet</t>
  </si>
  <si>
    <t>porquetaimerique@yahoo.fr</t>
  </si>
  <si>
    <t>SHANE</t>
  </si>
  <si>
    <t>Not buying</t>
  </si>
  <si>
    <t>Pierre App</t>
  </si>
  <si>
    <t>pierreappata@gmail.com</t>
  </si>
  <si>
    <t>No reply</t>
  </si>
  <si>
    <t>Francis Desoliviers Winner-Bluheart</t>
  </si>
  <si>
    <t>francisdesoliviers@yahoo.fr</t>
  </si>
  <si>
    <t>He is an agent</t>
  </si>
  <si>
    <t>Prisca Sahiry</t>
  </si>
  <si>
    <t>priscasahiry@hotmail.com</t>
  </si>
  <si>
    <t>Cant afford it.</t>
  </si>
  <si>
    <t xml:space="preserve"> Ivory Coast Event</t>
  </si>
  <si>
    <t>Josy Faveur de Dieu</t>
  </si>
  <si>
    <t>josephineboizi@gmail.com</t>
  </si>
  <si>
    <t>She met with Joseph but has a small budget that cant afford anything in Dubai</t>
  </si>
  <si>
    <t>Hounsa cyriaque</t>
  </si>
  <si>
    <t>cyrho2002@yahoo.fr</t>
  </si>
  <si>
    <t>He is agent</t>
  </si>
  <si>
    <t>Sékou Sanogo</t>
  </si>
  <si>
    <t>ssanogo342@gmail.com</t>
  </si>
  <si>
    <t>Not interetsed</t>
  </si>
  <si>
    <t>Aug 20 - 2020</t>
  </si>
  <si>
    <t>Starek Thomas</t>
  </si>
  <si>
    <t>co-t-cafe@wanadoo.fr</t>
  </si>
  <si>
    <t>studio</t>
  </si>
  <si>
    <t>No answer</t>
  </si>
  <si>
    <t>Piet Dobbels</t>
  </si>
  <si>
    <t>dobbelspiet@gmail.com</t>
  </si>
  <si>
    <t>2_bedroom</t>
  </si>
  <si>
    <t>He scheduled a meeting but then cancelled</t>
  </si>
  <si>
    <t>Yves Mao</t>
  </si>
  <si>
    <t>yves.mao@hotmail.fr</t>
  </si>
  <si>
    <t>1_bedroom</t>
  </si>
  <si>
    <t>Kouassi Kouakou</t>
  </si>
  <si>
    <t>kouassiconstantk@gmail.com</t>
  </si>
  <si>
    <t>Prosper Sombo</t>
  </si>
  <si>
    <t>Sopo694@gmail.com</t>
  </si>
  <si>
    <t>Olivier N'kwassay</t>
  </si>
  <si>
    <t>oliviernkouasse70@gmail.com</t>
  </si>
  <si>
    <t>Sionfougo Soro</t>
  </si>
  <si>
    <t>soro_sionfougo@yahoo.fr</t>
  </si>
  <si>
    <t>Valerie Trazie</t>
  </si>
  <si>
    <t>porta3laconcorde@gmail.com</t>
  </si>
  <si>
    <t>Adrien Kouadio</t>
  </si>
  <si>
    <t>kouadioadrien3@gmail.com</t>
  </si>
  <si>
    <t>Khaled R. Chour</t>
  </si>
  <si>
    <t>chour_khaled@yahoo.fr</t>
  </si>
  <si>
    <t>He wants to visit Dubai in December and then decide</t>
  </si>
  <si>
    <t>Salfo Savadogo</t>
  </si>
  <si>
    <t>etoosalif1@gmail.com</t>
  </si>
  <si>
    <t>He attended but no sales.</t>
  </si>
  <si>
    <t>Zabatt Hassan</t>
  </si>
  <si>
    <t>salyas.ci@gmail.com</t>
  </si>
  <si>
    <t>expecting the deal today</t>
  </si>
  <si>
    <t>Soom Diawara</t>
  </si>
  <si>
    <t>Soomdiawara@yahoo.com</t>
  </si>
  <si>
    <t>He wants to come to Dubai soon.</t>
  </si>
  <si>
    <t>Noelle Ezaley</t>
  </si>
  <si>
    <t>gnigbeu2@yahoo.fr</t>
  </si>
  <si>
    <t>Not serious</t>
  </si>
  <si>
    <t>Mohamed Radhouani</t>
  </si>
  <si>
    <t>mohamed.radhouani@gmail.com</t>
  </si>
  <si>
    <t>a villa</t>
  </si>
  <si>
    <t>RICH_REACHADAMS</t>
  </si>
  <si>
    <t>adawyssskorfils@gmail.com</t>
  </si>
  <si>
    <t>Preferred to buy Emaar.</t>
  </si>
  <si>
    <t>Akoman Moussoh Sixte</t>
  </si>
  <si>
    <t>asixte@yahoo.fr</t>
  </si>
  <si>
    <t>He changed his plans to attend.</t>
  </si>
  <si>
    <t>Darwich Zarour</t>
  </si>
  <si>
    <t>zergini@hotmail.com</t>
  </si>
  <si>
    <t>Youssouf Diarra</t>
  </si>
  <si>
    <t>diatech225@yahoo.com</t>
  </si>
  <si>
    <t>مهدي ناصر</t>
  </si>
  <si>
    <t>nassermahdi901@gmail.com</t>
  </si>
  <si>
    <t xml:space="preserve">Not answering </t>
  </si>
  <si>
    <t>Boni Viviane</t>
  </si>
  <si>
    <t>s.kouakou@technose.pro</t>
  </si>
  <si>
    <t>Not a buyer</t>
  </si>
  <si>
    <t>Marie Laure Kore</t>
  </si>
  <si>
    <t>gbokoyat@gmail.com</t>
  </si>
  <si>
    <t xml:space="preserve">He is thinking its a Townhouse </t>
  </si>
  <si>
    <t>Joseph- Andre</t>
  </si>
  <si>
    <t>amja23@gmail.com</t>
  </si>
  <si>
    <t>hermann</t>
  </si>
  <si>
    <t>hakatia@yahoo.fr</t>
  </si>
  <si>
    <t>He will visit Dubai soon.</t>
  </si>
  <si>
    <t>Sacco Dio</t>
  </si>
  <si>
    <t>dsoumadamaawa@gmail.com</t>
  </si>
  <si>
    <t>Benjamin Nguessan</t>
  </si>
  <si>
    <t>nguessantanobenjamin@yahoo.fr</t>
  </si>
  <si>
    <t>Wants a job</t>
  </si>
  <si>
    <t>Ismael Sangare</t>
  </si>
  <si>
    <t>ismaelsangare1@hotmail.fr</t>
  </si>
  <si>
    <t>He came but yet to decide.</t>
  </si>
  <si>
    <t>Lamine Fanougo Kone</t>
  </si>
  <si>
    <t>konefanougo@gmail.com</t>
  </si>
  <si>
    <t>Looking for 3 bhk</t>
  </si>
  <si>
    <t>Cant not afford</t>
  </si>
  <si>
    <t>Abbas Kamal</t>
  </si>
  <si>
    <t>abskamal@hotmail.com</t>
  </si>
  <si>
    <t>Abdul Sayegh</t>
  </si>
  <si>
    <t>general.glass.ci@gmail.com</t>
  </si>
  <si>
    <t>Mariana Kouassi</t>
  </si>
  <si>
    <t>toto_mariana@yahoo.fr</t>
  </si>
  <si>
    <t>1BR in Dubai</t>
  </si>
  <si>
    <t>José Désiré Kouadio</t>
  </si>
  <si>
    <t>mondsir2@gmail.com</t>
  </si>
  <si>
    <t>waiting for final decision</t>
  </si>
  <si>
    <t>Aka Catherine</t>
  </si>
  <si>
    <t>aka.cathy@yahoo.com</t>
  </si>
  <si>
    <t>ACOCO Acoco</t>
  </si>
  <si>
    <t>acoco225@gmail.com</t>
  </si>
  <si>
    <t>could not afford it</t>
  </si>
  <si>
    <t>Adam Sang</t>
  </si>
  <si>
    <t>sang2bke@gmail.com</t>
  </si>
  <si>
    <t>He is very interested to buy but needs little time to decide,</t>
  </si>
  <si>
    <t>Karamoko Diabate</t>
  </si>
  <si>
    <t>diabatekaramoko@gmail.com</t>
  </si>
  <si>
    <t>He does not respond</t>
  </si>
  <si>
    <t>Donald</t>
  </si>
  <si>
    <t>donaldkonan@ymail.com</t>
  </si>
  <si>
    <t>Arthur Ier K</t>
  </si>
  <si>
    <t>accesskmra@yahoo.fr</t>
  </si>
  <si>
    <t>Koblet Gnandoh</t>
  </si>
  <si>
    <t>kobletgauthier@gmail.com</t>
  </si>
  <si>
    <t>Ginette Akueson</t>
  </si>
  <si>
    <t>akueson@un.org</t>
  </si>
  <si>
    <t>Yacouba Dembele</t>
  </si>
  <si>
    <t>demyac@hotmail.fr</t>
  </si>
  <si>
    <t>Luis Almeida</t>
  </si>
  <si>
    <t>lalmeida@groupsodim.com</t>
  </si>
  <si>
    <t>cancelled his meeting with Joseph and no answer now</t>
  </si>
  <si>
    <t>Keswani Dinesh</t>
  </si>
  <si>
    <t>dinesh_mk@yahoo.com</t>
  </si>
  <si>
    <t>Cants afford it</t>
  </si>
  <si>
    <t>konan pacome</t>
  </si>
  <si>
    <t>konanpac@gmail.com</t>
  </si>
  <si>
    <t>He promised to come but never attended.</t>
  </si>
  <si>
    <t>Serge Eric Koikou</t>
  </si>
  <si>
    <t>sergeerickoikou@gmail.com</t>
  </si>
  <si>
    <t>He came yesterday but did not buy.</t>
  </si>
  <si>
    <t>Tiamiyu Sarafadine</t>
  </si>
  <si>
    <t>tiamsafara@gmail.com</t>
  </si>
  <si>
    <t>Not affordable to him</t>
  </si>
  <si>
    <t>Seif Alpha Cisse</t>
  </si>
  <si>
    <t>alphaseifcisse@gmail.com</t>
  </si>
  <si>
    <t>He wants to pay when he comes to Dubai</t>
  </si>
  <si>
    <t>Aug 22 - 2020</t>
  </si>
  <si>
    <t>Yao Guillaume</t>
  </si>
  <si>
    <t>yaoguillaume86@yahoo.fr</t>
  </si>
  <si>
    <t>Jacksonagbonon Agbonon</t>
  </si>
  <si>
    <t>agbononjackson@hotmail.fr</t>
  </si>
  <si>
    <t>Not a client</t>
  </si>
  <si>
    <t>Ouani Bourlaye</t>
  </si>
  <si>
    <t>ouaniaboulaye@live.fr</t>
  </si>
  <si>
    <t>Kind of interested but he won't buy</t>
  </si>
  <si>
    <t>Edie Adjoba</t>
  </si>
  <si>
    <t>edwigeadjoba74@gmail.com</t>
  </si>
  <si>
    <t>Antonio</t>
  </si>
  <si>
    <t>lambert.aa@gmail.com</t>
  </si>
  <si>
    <t>Could not make a deciosn.</t>
  </si>
  <si>
    <t>Moktar Bamba</t>
  </si>
  <si>
    <t>moktar_bamba@yahoo.com</t>
  </si>
  <si>
    <t>Not buying after attending the event</t>
  </si>
  <si>
    <t>Pierre Claver Kouakou</t>
  </si>
  <si>
    <t>claverkouakou@yahoo.fr</t>
  </si>
  <si>
    <t>He wants to buy when he visit Dubai</t>
  </si>
  <si>
    <t>Vasco Fadiga</t>
  </si>
  <si>
    <t>vassanoussy.f@gmail.com</t>
  </si>
  <si>
    <t>Hopefully today as client is reviewing options and possibly means of payment.</t>
  </si>
  <si>
    <t>Innocent Yapi</t>
  </si>
  <si>
    <t>innocent.yapi@yahoo.fr</t>
  </si>
  <si>
    <t>He wants a Townhouse so I am giving a different project.</t>
  </si>
  <si>
    <t>Aka Bahoueli</t>
  </si>
  <si>
    <t>akensyl@yahoo.fr</t>
  </si>
  <si>
    <t>Scheduled a meeting and then cancelled</t>
  </si>
  <si>
    <t>tajudeen akimu</t>
  </si>
  <si>
    <t>tajudeenakimu@gmail.com</t>
  </si>
  <si>
    <t>Not yet attended the event</t>
  </si>
  <si>
    <t>Kone Lya</t>
  </si>
  <si>
    <t>gnenelya@hotmail.com</t>
  </si>
  <si>
    <t>Romulus Lenas Anassou</t>
  </si>
  <si>
    <t>ar_lenas@yahoo.fr</t>
  </si>
  <si>
    <t>attending the event today</t>
  </si>
  <si>
    <t>Aug 23 - 2020</t>
  </si>
  <si>
    <t>Parish Graham</t>
  </si>
  <si>
    <t>parrish.graham@hotmail.com</t>
  </si>
  <si>
    <t>Sahan Luc</t>
  </si>
  <si>
    <t>sahanluc580@gmail.com</t>
  </si>
  <si>
    <t>Tuure Hamadan</t>
  </si>
  <si>
    <t>ttuurreellaaccii@gmail.com</t>
  </si>
  <si>
    <t>RK RK</t>
  </si>
  <si>
    <t>kamsoleo@yahoo.fr</t>
  </si>
  <si>
    <t>Was kind of interested but wouldnt attend</t>
  </si>
  <si>
    <t>Mireille | Business Coach</t>
  </si>
  <si>
    <t>gomontmansan@gmail.com</t>
  </si>
  <si>
    <t xml:space="preserve">She went for the presentation on tuesday but did not buy. </t>
  </si>
  <si>
    <t>Rajesh Bedi</t>
  </si>
  <si>
    <t>rajeshbedi28@gmail.com</t>
  </si>
  <si>
    <t>Still waiting for his final decision today</t>
  </si>
  <si>
    <t>Donatien Agiol</t>
  </si>
  <si>
    <t>agiol2007@yahoo.fr</t>
  </si>
  <si>
    <t>Not understanding anything</t>
  </si>
  <si>
    <t>Mireille Tano Fram</t>
  </si>
  <si>
    <t>frammir25@gmail.com</t>
  </si>
  <si>
    <t>attended the meeting but could not buy.</t>
  </si>
  <si>
    <t>prince Heritier</t>
  </si>
  <si>
    <t>kekepierre2@gmail.com</t>
  </si>
  <si>
    <t>Attending the event today.</t>
  </si>
  <si>
    <t>Keith Payne</t>
  </si>
  <si>
    <t>keithnpayne@gmail.com</t>
  </si>
  <si>
    <t>He scheduled a meeting time but then didnt show up</t>
  </si>
  <si>
    <t>Ghislaine Ben Geloune</t>
  </si>
  <si>
    <t>gbengeloune@gmail.com</t>
  </si>
  <si>
    <t xml:space="preserve">1_bedroom
</t>
  </si>
  <si>
    <t>He attended the Abidjan's event but did not buy.</t>
  </si>
  <si>
    <t>Elvis KS</t>
  </si>
  <si>
    <t>viscool007@gmail.com</t>
  </si>
  <si>
    <t>Cant afford to buy</t>
  </si>
  <si>
    <t>Monik Philippe</t>
  </si>
  <si>
    <t>monikmph@gmail.com</t>
  </si>
  <si>
    <t xml:space="preserve">2_bedroom
</t>
  </si>
  <si>
    <t>Was supposed to meet Joseph in Abidjan but never showed up.</t>
  </si>
  <si>
    <t>Atche Herve Etchien</t>
  </si>
  <si>
    <t>pastoretchien@yahoo.fr</t>
  </si>
  <si>
    <t>Aug 24 - 2020</t>
  </si>
  <si>
    <t>Moshe Biton</t>
  </si>
  <si>
    <t>moshe.genesis@gmail.com</t>
  </si>
  <si>
    <t>Hissein Djaldi</t>
  </si>
  <si>
    <t>hissein2222@yahoo.com</t>
  </si>
  <si>
    <t>Was kind of interested but stopped replying to me</t>
  </si>
  <si>
    <t>Beatrice Tagbo</t>
  </si>
  <si>
    <t>beagnapoa@hotmail.fr</t>
  </si>
  <si>
    <t>Keino</t>
  </si>
  <si>
    <t>keinolaw@msn.com</t>
  </si>
  <si>
    <t>Requested that I send him every information and would like to visit Dubai very soon.</t>
  </si>
  <si>
    <t>Tiger</t>
  </si>
  <si>
    <t>MUKAYLA</t>
  </si>
  <si>
    <t>--</t>
  </si>
  <si>
    <t>Yao Paul Koffi</t>
  </si>
  <si>
    <t>yaopaulkoffi84@gmail.com</t>
  </si>
  <si>
    <t>Romain Daleba</t>
  </si>
  <si>
    <t>romaindaleba@yahoo.fr</t>
  </si>
  <si>
    <t>He wants to attend the event on 28th August by 2PM</t>
  </si>
  <si>
    <t>Aug 25 - 2020</t>
  </si>
  <si>
    <t>Ndubuisi Favour</t>
  </si>
  <si>
    <t>info.godsfavour@gmail.com</t>
  </si>
  <si>
    <t>Damac Villa 2.7M - Saudi</t>
  </si>
  <si>
    <t>هيله الراشد الحميد</t>
  </si>
  <si>
    <t>heelh3@gmail.com</t>
  </si>
  <si>
    <t>محمد النضالي</t>
  </si>
  <si>
    <t>saleh11966@hotmail.com</t>
  </si>
  <si>
    <t>ام عبدو النجار</t>
  </si>
  <si>
    <t>sshr9156@gmail.com</t>
  </si>
  <si>
    <t>Daliaomar Leen</t>
  </si>
  <si>
    <t>Daliaomarleen2007@icloud.com</t>
  </si>
  <si>
    <t>ابو رشيده</t>
  </si>
  <si>
    <t>arby30748@gmail.com</t>
  </si>
  <si>
    <t>مصعب الرشيد</t>
  </si>
  <si>
    <t>musab.sa78@gmail.com</t>
  </si>
  <si>
    <t>عبدالله متحف طيبة للعطور</t>
  </si>
  <si>
    <t>a2037314735@gmail.com</t>
  </si>
  <si>
    <t>Yaser Ahmad</t>
  </si>
  <si>
    <t>y.alcebe55@hotmail.com</t>
  </si>
  <si>
    <t>ربيع احمد خضر</t>
  </si>
  <si>
    <t>oshary1975camlin@gmail.com</t>
  </si>
  <si>
    <t>Makki Bahaj</t>
  </si>
  <si>
    <t>bahajhamdbahaj@gmail.com</t>
  </si>
  <si>
    <t>Abo Hamza</t>
  </si>
  <si>
    <t>manalhasson@gmail.com</t>
  </si>
  <si>
    <t>حامد الضو ابو ايه</t>
  </si>
  <si>
    <t>hamdaldw806@gmail.com</t>
  </si>
  <si>
    <t>فايز سلعس</t>
  </si>
  <si>
    <t>slsfayz@gmail.com</t>
  </si>
  <si>
    <t>ابو حمد</t>
  </si>
  <si>
    <t>weely1010@gmail.com</t>
  </si>
  <si>
    <t>Eqram Ahmadhi</t>
  </si>
  <si>
    <t>eqramahmadhi@gmail.com</t>
  </si>
  <si>
    <t>محمد</t>
  </si>
  <si>
    <t>mfm090@hotmail.com</t>
  </si>
  <si>
    <t>ابو فراس</t>
  </si>
  <si>
    <t>khalid_th91@hotmail.com</t>
  </si>
  <si>
    <t>خداديات المتميزة. ج 0572727659</t>
  </si>
  <si>
    <t>hudagg123123@gmail.com</t>
  </si>
  <si>
    <t>عائد يونس</t>
  </si>
  <si>
    <t>ayed_t@live.com</t>
  </si>
  <si>
    <t>ابوحسان ابوحسان</t>
  </si>
  <si>
    <t>r1410@hotmail.com</t>
  </si>
  <si>
    <t>H Òödÿøó Harmonie</t>
  </si>
  <si>
    <t>moya223345@gmail.com</t>
  </si>
  <si>
    <t>محسن علي الأركاني</t>
  </si>
  <si>
    <t>mohsen2013311@gmail.com</t>
  </si>
  <si>
    <t>محمد عبدالاله العيسائي</t>
  </si>
  <si>
    <t>mohamd225kk@gmail.com</t>
  </si>
  <si>
    <t>نعيم ابوفهد</t>
  </si>
  <si>
    <t>ams7416@gmail.com</t>
  </si>
  <si>
    <t>علي حدادي</t>
  </si>
  <si>
    <t>haddadi-3-t-1@hotmail.com</t>
  </si>
  <si>
    <t>محمد الحمرا</t>
  </si>
  <si>
    <t>abo_mahmod_95@hotmail.com</t>
  </si>
  <si>
    <t>Mahmoud Ashour</t>
  </si>
  <si>
    <t>hr.melsafey@gmail.com</t>
  </si>
  <si>
    <t>Samir Alshook</t>
  </si>
  <si>
    <t>samiralshook@gmail.com</t>
  </si>
  <si>
    <t>مفيد الحربي الحربي</t>
  </si>
  <si>
    <t>mufeed2251@gmail.com</t>
  </si>
  <si>
    <t>Amro Emad</t>
  </si>
  <si>
    <t>a.emad2016@hotmail.com</t>
  </si>
  <si>
    <t>طلال خليل ابراهيم طلال</t>
  </si>
  <si>
    <t>tilal_khalil@yahoo.com</t>
  </si>
  <si>
    <t>Jamal Alkatheri</t>
  </si>
  <si>
    <t>jamal.s.k@outlook.com</t>
  </si>
  <si>
    <t>حسين يوسف</t>
  </si>
  <si>
    <t>abotakwa79@yahoo.com</t>
  </si>
  <si>
    <t>Mostafa Almasry</t>
  </si>
  <si>
    <t>mostafaalmasry46@gmail.com</t>
  </si>
  <si>
    <t>د. هاجر حميده</t>
  </si>
  <si>
    <t>hammedahager@gmail.com</t>
  </si>
  <si>
    <t>يسلم سالم المصري</t>
  </si>
  <si>
    <t>yslamsalem11@gmail.com</t>
  </si>
  <si>
    <t>فهد الشرفي</t>
  </si>
  <si>
    <t>alshrfyfhd37@gmail.com</t>
  </si>
  <si>
    <t>Abo khatab</t>
  </si>
  <si>
    <t>bander3383@yahoo.com</t>
  </si>
  <si>
    <t>محمدعلى النجادى</t>
  </si>
  <si>
    <t>mhmdalnjady985@gmail.com</t>
  </si>
  <si>
    <t>محمد الفقية</t>
  </si>
  <si>
    <t>mwmw2009@live.com</t>
  </si>
  <si>
    <t>مهند كاترينك</t>
  </si>
  <si>
    <t>mohnnaddaralsharaq@gmail.com</t>
  </si>
  <si>
    <t>حمدان الحميدي</t>
  </si>
  <si>
    <t>hmdanalmafya@gmail.com</t>
  </si>
  <si>
    <t>Faizah Al Mohana</t>
  </si>
  <si>
    <t>foz.sad.s@gmail.com</t>
  </si>
  <si>
    <t>عوض مهدي</t>
  </si>
  <si>
    <t>awad-arg@hotmail.com</t>
  </si>
  <si>
    <t>ماجد سعد العمري</t>
  </si>
  <si>
    <t>Riyadh.k.o@hotmail.com</t>
  </si>
  <si>
    <t>Ahmad Sarah</t>
  </si>
  <si>
    <t>ahmad.sarah1956@gmail.com</t>
  </si>
  <si>
    <t>Jamal Dasan</t>
  </si>
  <si>
    <t>jdassan@hotmail.com</t>
  </si>
  <si>
    <t>ابو احمد</t>
  </si>
  <si>
    <t>maher_alsager@hotmail.com</t>
  </si>
  <si>
    <t>Ahmed yahya altakroni</t>
  </si>
  <si>
    <t>Onair@jsm.org</t>
  </si>
  <si>
    <t>أحمد البهكلي</t>
  </si>
  <si>
    <t>abahkali1@gmail.com</t>
  </si>
  <si>
    <t>Yousif Mohammed</t>
  </si>
  <si>
    <t>yousif.m.dossari@hotmail.com</t>
  </si>
  <si>
    <t>Hassan AL-Herz</t>
  </si>
  <si>
    <t>hassansalman32@gmail.com</t>
  </si>
  <si>
    <t>Damac Villa 2.7M - China</t>
  </si>
  <si>
    <t>Jimmyrf Wong</t>
  </si>
  <si>
    <t>jimmywcw388@gmail.com</t>
  </si>
  <si>
    <t>Chongmix Chong</t>
  </si>
  <si>
    <t>chongmix55@gmail.com</t>
  </si>
  <si>
    <t>Bianca Chan</t>
  </si>
  <si>
    <t>bianca310@hotmail.co.uk</t>
  </si>
  <si>
    <t>Ella Tsang</t>
  </si>
  <si>
    <t>suisumsang@gmail.com</t>
  </si>
  <si>
    <t>Bonnie Lee</t>
  </si>
  <si>
    <t>bonnielee@live.ca</t>
  </si>
  <si>
    <t>Augustine Yue</t>
  </si>
  <si>
    <t>yueacf@yahoo.com</t>
  </si>
  <si>
    <t>刘锡山</t>
  </si>
  <si>
    <t>liushan21845@gmail.com</t>
  </si>
  <si>
    <t>Lee Annie Thomas</t>
  </si>
  <si>
    <t>lee8625@hotmail.com</t>
  </si>
  <si>
    <t>Yuki Lang</t>
  </si>
  <si>
    <t>1075233bc@gmail.com</t>
  </si>
  <si>
    <t>Alice Long</t>
  </si>
  <si>
    <t>alice.long888@gmail.com</t>
  </si>
  <si>
    <t>Diana Ong Chanchen Ong</t>
  </si>
  <si>
    <t>occ9161@gmail.com</t>
  </si>
  <si>
    <t>Jack Wang</t>
  </si>
  <si>
    <t>361509151@qq.com</t>
  </si>
  <si>
    <t>Lisa Chu</t>
  </si>
  <si>
    <t>lisachu128@gmail.com</t>
  </si>
  <si>
    <t>Chung Yun Peter Lam</t>
  </si>
  <si>
    <t>Peterlamcy@gmail.com</t>
  </si>
  <si>
    <t>Peter Ng</t>
  </si>
  <si>
    <t>whatnews@rogers.com</t>
  </si>
  <si>
    <t>Ann Yeak</t>
  </si>
  <si>
    <t>Yeakalkui201@gmail.com</t>
  </si>
  <si>
    <t>吴国乐</t>
  </si>
  <si>
    <t>jimmmmywu2004@gmail.com</t>
  </si>
  <si>
    <t>Samuel Yip</t>
  </si>
  <si>
    <t>samuelyip93@gmail.com</t>
  </si>
  <si>
    <t>り びん</t>
  </si>
  <si>
    <t>a110b110c110d110@126.com</t>
  </si>
  <si>
    <t>Cindy Fung</t>
  </si>
  <si>
    <t>cyfung33@hotmail.com</t>
  </si>
  <si>
    <t>柯富木</t>
  </si>
  <si>
    <t>kevinkok40@gmail.com</t>
  </si>
  <si>
    <t>Tom Yun</t>
  </si>
  <si>
    <t>yuncanbec@hotmail.com</t>
  </si>
  <si>
    <t>張毓山</t>
  </si>
  <si>
    <t>changys@ms9.hinet.net</t>
  </si>
  <si>
    <t>Serena Lau</t>
  </si>
  <si>
    <t>serena07claudia@gmail.com</t>
  </si>
  <si>
    <t>Emma</t>
  </si>
  <si>
    <t>Whathefuck@yahoo.com</t>
  </si>
  <si>
    <t>Chong Vai Kuan</t>
  </si>
  <si>
    <t>chongvaikuan@hotmail.com</t>
  </si>
  <si>
    <t>Helen Lau</t>
  </si>
  <si>
    <t>yungkiu57@gmail.com</t>
  </si>
  <si>
    <t>liang</t>
  </si>
  <si>
    <t>lz181220079@gmail.com</t>
  </si>
  <si>
    <t>Min Zhao</t>
  </si>
  <si>
    <t>min-zhao@live.cn</t>
  </si>
  <si>
    <t>Ken Lam</t>
  </si>
  <si>
    <t>kenlam762@hotmail.com</t>
  </si>
  <si>
    <t>Ken Trinh</t>
  </si>
  <si>
    <t>kentrinh1961@hotmail.com</t>
  </si>
  <si>
    <t>Morris Ming</t>
  </si>
  <si>
    <t>ming12012013@gmail.com</t>
  </si>
  <si>
    <t>Teresa Lau</t>
  </si>
  <si>
    <t>tlwongyuetngor@gmail.com</t>
  </si>
  <si>
    <t>Thomas Lau</t>
  </si>
  <si>
    <t>cbm868@yahoo.com.hk</t>
  </si>
  <si>
    <t>晏伟</t>
  </si>
  <si>
    <t>876771360@qq.com</t>
  </si>
  <si>
    <t>Khin Pang</t>
  </si>
  <si>
    <t>daisypang@icloud.com</t>
  </si>
  <si>
    <t>Billy Lui</t>
  </si>
  <si>
    <t>billy1172001@yahoo.com.hk</t>
  </si>
  <si>
    <t>Mau Mau Keung Chan</t>
  </si>
  <si>
    <t>chanmaukeung@gmail.com</t>
  </si>
  <si>
    <t>CHAN WING SZE</t>
  </si>
  <si>
    <t>CHAN9200@YAHOO.COM.HK</t>
  </si>
  <si>
    <t>何溢</t>
  </si>
  <si>
    <t>www.yatho@yahoo.com</t>
  </si>
  <si>
    <t>Hok Fai Hui</t>
  </si>
  <si>
    <t>42356647@qq.com</t>
  </si>
  <si>
    <t>Mike Chan</t>
  </si>
  <si>
    <t>laugfhing6699@gmail.com</t>
  </si>
  <si>
    <t>Win Tseng</t>
  </si>
  <si>
    <t>wintseng@hotmail.com</t>
  </si>
  <si>
    <t>Wilson Pang</t>
  </si>
  <si>
    <t>105wilsonpang@gmail.com</t>
  </si>
  <si>
    <t>Calvin Sin</t>
  </si>
  <si>
    <t>calvinsin99@hotmail.com</t>
  </si>
  <si>
    <t>Chiha Lee</t>
  </si>
  <si>
    <t>chihalee0429@gmail.com</t>
  </si>
  <si>
    <t>Gary Yeung：</t>
  </si>
  <si>
    <t>gary_yeung@hotmail.com</t>
  </si>
  <si>
    <t>陈斌</t>
  </si>
  <si>
    <t>zhiai118@sina.com</t>
  </si>
  <si>
    <t>May Fu</t>
  </si>
  <si>
    <t>manyukfu789@gmail.com</t>
  </si>
  <si>
    <t>Sheng Chen</t>
  </si>
  <si>
    <t>cjimmy666@gmail.com</t>
  </si>
  <si>
    <t>佘路明</t>
  </si>
  <si>
    <t>slm333@msn.com</t>
  </si>
  <si>
    <t>Mohamed Abdulaziz</t>
  </si>
  <si>
    <t>mohamed06@gmail.com</t>
  </si>
  <si>
    <t>Goh Wooi Cheat</t>
  </si>
  <si>
    <t>wooicheat_goh@yahoo.com.sg</t>
  </si>
  <si>
    <t>Kent Lee</t>
  </si>
  <si>
    <t>nguyenken@hotmail.com</t>
  </si>
  <si>
    <t>Tak Pang</t>
  </si>
  <si>
    <t>pangtotak@gmail.com</t>
  </si>
  <si>
    <t>Wong Chee-Meng</t>
  </si>
  <si>
    <t>wcm0032@hotmail.com</t>
  </si>
  <si>
    <t>Vivian Chew</t>
  </si>
  <si>
    <t>catfollowmope@yahoo.com</t>
  </si>
  <si>
    <t>张桦树</t>
  </si>
  <si>
    <t>5108917@163.com</t>
  </si>
  <si>
    <t>Shan Meng</t>
  </si>
  <si>
    <t>siechina@siechina.com</t>
  </si>
  <si>
    <t>Jordan Thia</t>
  </si>
  <si>
    <t>jordanthia@gmail.com</t>
  </si>
  <si>
    <t>Chan Tom</t>
  </si>
  <si>
    <t>tom1one35@gmail.com</t>
  </si>
  <si>
    <t>Lam Peter</t>
  </si>
  <si>
    <t>peter.lam372@gmail.com</t>
  </si>
  <si>
    <t>funnyleung</t>
  </si>
  <si>
    <t>funnyleung6000@gmail.com</t>
  </si>
  <si>
    <t>EMAAR EGYPT RAMADAN</t>
  </si>
  <si>
    <t>Azza</t>
  </si>
  <si>
    <t>Saleh</t>
  </si>
  <si>
    <t>a.a.saleh62@uhotmail.com</t>
  </si>
  <si>
    <t>price_and_payment_plan</t>
  </si>
  <si>
    <t>ALY</t>
  </si>
  <si>
    <t>Ashraf</t>
  </si>
  <si>
    <t>Shamy</t>
  </si>
  <si>
    <t>ashrafact@hotmail.com</t>
  </si>
  <si>
    <t>KHALID</t>
  </si>
  <si>
    <t>Nabel</t>
  </si>
  <si>
    <t>nabeelwithu@hotmail.com</t>
  </si>
  <si>
    <t>standalone_villas</t>
  </si>
  <si>
    <t>Mo</t>
  </si>
  <si>
    <t>Hm</t>
  </si>
  <si>
    <t>shaheenomar2000@yahoo.com</t>
  </si>
  <si>
    <t>Mohamed</t>
  </si>
  <si>
    <t>mohamed--abbas@hotmail.com</t>
  </si>
  <si>
    <t>ابو فارس</t>
  </si>
  <si>
    <t>الخشن</t>
  </si>
  <si>
    <t>aneesmhmd@yahoo.com</t>
  </si>
  <si>
    <t>townhouses</t>
  </si>
  <si>
    <t>Sameh</t>
  </si>
  <si>
    <t>Shaheen</t>
  </si>
  <si>
    <t>sshaheen1@yahoo.com</t>
  </si>
  <si>
    <t>Refki</t>
  </si>
  <si>
    <t>ahmed.refki1@gmail.com</t>
  </si>
  <si>
    <t>Engi</t>
  </si>
  <si>
    <t>Konsowa</t>
  </si>
  <si>
    <t>jijikonswa@hotmail.com</t>
  </si>
  <si>
    <t>sourc2002@hotmail.com</t>
  </si>
  <si>
    <t>apartments</t>
  </si>
  <si>
    <t>Zaki</t>
  </si>
  <si>
    <t>mohzaki@me.com</t>
  </si>
  <si>
    <t>Khaled</t>
  </si>
  <si>
    <t>Nabil</t>
  </si>
  <si>
    <t>khaled_h87@hotmail.com</t>
  </si>
  <si>
    <t>A</t>
  </si>
  <si>
    <t>D</t>
  </si>
  <si>
    <t>m@v.com</t>
  </si>
  <si>
    <t>Mona</t>
  </si>
  <si>
    <t>Diab</t>
  </si>
  <si>
    <t>Monafouaddiab@hotmail.com</t>
  </si>
  <si>
    <t>Rami</t>
  </si>
  <si>
    <t>Goda</t>
  </si>
  <si>
    <t>Goudagroup@gmail.com</t>
  </si>
  <si>
    <t>Tamer</t>
  </si>
  <si>
    <t>Shendi</t>
  </si>
  <si>
    <t>tamer.shendi@outlook.com</t>
  </si>
  <si>
    <t>د. أشرف</t>
  </si>
  <si>
    <t>محفوظ</t>
  </si>
  <si>
    <t>ashraf4m@hotmail.com</t>
  </si>
  <si>
    <t>Wael Zaki</t>
  </si>
  <si>
    <t>Hussien</t>
  </si>
  <si>
    <t>waelzaki077@hotmail.com</t>
  </si>
  <si>
    <t>Fatma</t>
  </si>
  <si>
    <t>fatouma_ms@hotmail.com</t>
  </si>
  <si>
    <t>مجدي</t>
  </si>
  <si>
    <t>محمد أمان السيد محمد</t>
  </si>
  <si>
    <t>magdiamin262@gmail.com</t>
  </si>
  <si>
    <t>Youssef</t>
  </si>
  <si>
    <t>Tawfik</t>
  </si>
  <si>
    <t>youssef_tawfik4@yahoo.com</t>
  </si>
  <si>
    <t>Rayek</t>
  </si>
  <si>
    <t>adelsaad@ardalneel.com</t>
  </si>
  <si>
    <t>Rania</t>
  </si>
  <si>
    <t>Aly</t>
  </si>
  <si>
    <t>Raniafaheem@yahoo.com</t>
  </si>
  <si>
    <t>Roro</t>
  </si>
  <si>
    <t>Egy</t>
  </si>
  <si>
    <t>rmostafa82@gmail.com</t>
  </si>
  <si>
    <t>Zaid</t>
  </si>
  <si>
    <t>m_as3@yahoo.com</t>
  </si>
  <si>
    <t>Emir</t>
  </si>
  <si>
    <t>Askri</t>
  </si>
  <si>
    <t>emir.askri@me.com</t>
  </si>
  <si>
    <t>أحمد</t>
  </si>
  <si>
    <t>غريب</t>
  </si>
  <si>
    <t>Ghareeb10467@gmail.com</t>
  </si>
  <si>
    <t>Waeel</t>
  </si>
  <si>
    <t>waelaboregala@gmail.com</t>
  </si>
  <si>
    <t>Rabea</t>
  </si>
  <si>
    <t>rabeaelbnaw@gmail.com</t>
  </si>
  <si>
    <t>Fairouz</t>
  </si>
  <si>
    <t>Attiya</t>
  </si>
  <si>
    <t>fairouz.e@yahoo.com</t>
  </si>
  <si>
    <t>Amany</t>
  </si>
  <si>
    <t>Eweis</t>
  </si>
  <si>
    <t>samy6666@hotmail.com</t>
  </si>
  <si>
    <t>Roudy</t>
  </si>
  <si>
    <t>roudyhabib74@hotmail.com</t>
  </si>
  <si>
    <t>Khalaf</t>
  </si>
  <si>
    <t>hhamdi66@yahoo.com</t>
  </si>
  <si>
    <t>Hesham</t>
  </si>
  <si>
    <t>Al Saide</t>
  </si>
  <si>
    <t>heshamhesham444@gmail.com</t>
  </si>
  <si>
    <t>Tarek</t>
  </si>
  <si>
    <t>Anber</t>
  </si>
  <si>
    <t>Anber.tarek40@gmail.com</t>
  </si>
  <si>
    <t>Fares</t>
  </si>
  <si>
    <t>mha6978@hotmail.com</t>
  </si>
  <si>
    <t>Marwa</t>
  </si>
  <si>
    <t>Elhelw</t>
  </si>
  <si>
    <t>marwa.zaki1@icloud.com</t>
  </si>
  <si>
    <t>Shamam</t>
  </si>
  <si>
    <t>mhm_shamam@hotmail.com</t>
  </si>
  <si>
    <t>Yahya</t>
  </si>
  <si>
    <t>Elsadany</t>
  </si>
  <si>
    <t>mahmuodym260774@gmail.com</t>
  </si>
  <si>
    <t>Kamal</t>
  </si>
  <si>
    <t>kimo1_uae@hotmail.com</t>
  </si>
  <si>
    <t>Amin</t>
  </si>
  <si>
    <t>ahmedamin10@hotmail.com</t>
  </si>
  <si>
    <t>Moussa</t>
  </si>
  <si>
    <t>gflscape@gmail.com</t>
  </si>
  <si>
    <t>Gheith</t>
  </si>
  <si>
    <t>khaledghis@gmail.com</t>
  </si>
  <si>
    <t>Abo</t>
  </si>
  <si>
    <t>aboashraf552@gmail.com</t>
  </si>
  <si>
    <t>Medhat</t>
  </si>
  <si>
    <t>Hassanaien</t>
  </si>
  <si>
    <t>mhassanaie@aol.com</t>
  </si>
  <si>
    <t>Amr</t>
  </si>
  <si>
    <t>El Dahab</t>
  </si>
  <si>
    <t>aadahab@hotmail.com</t>
  </si>
  <si>
    <t>Shehata</t>
  </si>
  <si>
    <t>eng_hasssan@hotmail.com</t>
  </si>
  <si>
    <t>Yasser</t>
  </si>
  <si>
    <t>Mostafa</t>
  </si>
  <si>
    <t>Yasser.mostafa86@gmail.com</t>
  </si>
  <si>
    <t>Wael</t>
  </si>
  <si>
    <t>wael.abdulgaid@al-dawaa.com.sa</t>
  </si>
  <si>
    <t>Abotaleb</t>
  </si>
  <si>
    <t>abotaleb00@hotmail.com</t>
  </si>
  <si>
    <t>Warda</t>
  </si>
  <si>
    <t>mwarda88@hotmail.com</t>
  </si>
  <si>
    <t>Afifi</t>
  </si>
  <si>
    <t>amroafyfy@yahoo.com</t>
  </si>
  <si>
    <t>Fouad</t>
  </si>
  <si>
    <t>medokiller2002@gmail.com</t>
  </si>
  <si>
    <t>Bilail</t>
  </si>
  <si>
    <t>bilail2324@gmail.com</t>
  </si>
  <si>
    <t>Hazem</t>
  </si>
  <si>
    <t>Abdellatif</t>
  </si>
  <si>
    <t>whooops1@yahoo.com</t>
  </si>
  <si>
    <t>Shery</t>
  </si>
  <si>
    <t>Alhosene</t>
  </si>
  <si>
    <t>shereen_alhosene@hotmail.com</t>
  </si>
  <si>
    <t>Watneey</t>
  </si>
  <si>
    <t>morden_ahmedwatany@yahoo.com</t>
  </si>
  <si>
    <t>Faten</t>
  </si>
  <si>
    <t>Hussein</t>
  </si>
  <si>
    <t>fatenhussein21@hotmail.com</t>
  </si>
  <si>
    <t>سناء</t>
  </si>
  <si>
    <t>ourora1@yahoo.com</t>
  </si>
  <si>
    <t>Ekbal</t>
  </si>
  <si>
    <t>nonakadri@yahoo.com</t>
  </si>
  <si>
    <t>Abu Elfotouh</t>
  </si>
  <si>
    <t>fares331971m@gmail.com</t>
  </si>
  <si>
    <t>Alafifi</t>
  </si>
  <si>
    <t>ahmedal_afifi@hotmail.com</t>
  </si>
  <si>
    <t>Mostfa</t>
  </si>
  <si>
    <t>Mosa</t>
  </si>
  <si>
    <t>mostfa11@hotmail.com</t>
  </si>
  <si>
    <t>Tasneem</t>
  </si>
  <si>
    <t>totamoda@hotmail.com</t>
  </si>
  <si>
    <t>Kalo</t>
  </si>
  <si>
    <t>tamer@al-babtain.com.sa</t>
  </si>
  <si>
    <t>Kamel</t>
  </si>
  <si>
    <t>akm_kamel@hotmail.com</t>
  </si>
  <si>
    <t>Albar</t>
  </si>
  <si>
    <t>yasseralbar@gmail.com</t>
  </si>
  <si>
    <t>Ehab</t>
  </si>
  <si>
    <t>Ismail</t>
  </si>
  <si>
    <t>ehab.ismail@gmail.com</t>
  </si>
  <si>
    <t>Atty Osama</t>
  </si>
  <si>
    <t>Abdulla Abdulghani</t>
  </si>
  <si>
    <t>o.abdulghani@aaglawfirm.com</t>
  </si>
  <si>
    <t>Sahar</t>
  </si>
  <si>
    <t>Hakim</t>
  </si>
  <si>
    <t>saharhakim04@hotmail.com</t>
  </si>
  <si>
    <t>Samir</t>
  </si>
  <si>
    <t>Alhejji</t>
  </si>
  <si>
    <t>drmahamq@gmail.com</t>
  </si>
  <si>
    <t>Elmasry</t>
  </si>
  <si>
    <t>elazory@hotmail.com</t>
  </si>
  <si>
    <t>Abd Elmoniem</t>
  </si>
  <si>
    <t>sayedmm200@yahoo.com</t>
  </si>
  <si>
    <t>hammad</t>
  </si>
  <si>
    <t>almansoor</t>
  </si>
  <si>
    <t>hmed2018@yahoo.com</t>
  </si>
  <si>
    <t>Ayman</t>
  </si>
  <si>
    <t>Mustafa</t>
  </si>
  <si>
    <t>aymanmustafa177@gmail.com</t>
  </si>
  <si>
    <t>George</t>
  </si>
  <si>
    <t>Asham</t>
  </si>
  <si>
    <t>george.magdy@hotmail.com</t>
  </si>
  <si>
    <t>Aymen</t>
  </si>
  <si>
    <t>Sargius</t>
  </si>
  <si>
    <t>moresaymen@yahoo.com</t>
  </si>
  <si>
    <t>El Shawarby</t>
  </si>
  <si>
    <t>mohamed_shawarby@yahoo.com</t>
  </si>
  <si>
    <t>Botran</t>
  </si>
  <si>
    <t>samehb1978@gmail.com</t>
  </si>
  <si>
    <t>Hany</t>
  </si>
  <si>
    <t>hany.ahmed100@gmail.com</t>
  </si>
  <si>
    <t>Gamal</t>
  </si>
  <si>
    <t>gamalsaleem1965@gmail.com</t>
  </si>
  <si>
    <t>Reem</t>
  </si>
  <si>
    <t>Fekry</t>
  </si>
  <si>
    <t>reem_reem28@hotmail.com</t>
  </si>
  <si>
    <t>Faisal</t>
  </si>
  <si>
    <t>Gazzawe</t>
  </si>
  <si>
    <t>faisal777-200@hotmail.com</t>
  </si>
  <si>
    <t>El Dekny</t>
  </si>
  <si>
    <t>aldekny@me.com</t>
  </si>
  <si>
    <t>Ramy</t>
  </si>
  <si>
    <t>Elasy</t>
  </si>
  <si>
    <t>ramyelasy@hotmail.com</t>
  </si>
  <si>
    <t>Basset</t>
  </si>
  <si>
    <t>amr.basset@gmail.com</t>
  </si>
  <si>
    <t>Haitham</t>
  </si>
  <si>
    <t>Mahmoud</t>
  </si>
  <si>
    <t>Haitham.noureldin@gmail.com</t>
  </si>
  <si>
    <t>Eltony</t>
  </si>
  <si>
    <t>kh_tony1978@yahoo.com</t>
  </si>
  <si>
    <t>Maged</t>
  </si>
  <si>
    <t>Okela</t>
  </si>
  <si>
    <t>magedrh@yahoo.com</t>
  </si>
  <si>
    <t>Hoida</t>
  </si>
  <si>
    <t>Fouly</t>
  </si>
  <si>
    <t>hoida_elfouly@yahoo.com</t>
  </si>
  <si>
    <t>Peter</t>
  </si>
  <si>
    <t>Mikhael</t>
  </si>
  <si>
    <t>peter_mikhael@yahoo.com</t>
  </si>
  <si>
    <t>Mohamad</t>
  </si>
  <si>
    <t>Khattab</t>
  </si>
  <si>
    <t>m.sadat.k@hotmail.com</t>
  </si>
  <si>
    <t>Samer</t>
  </si>
  <si>
    <t>Gad</t>
  </si>
  <si>
    <t>samer.gad@gmail.com</t>
  </si>
  <si>
    <t>sayed</t>
  </si>
  <si>
    <t>mas_gn@hotmail.com</t>
  </si>
  <si>
    <t>Ossama</t>
  </si>
  <si>
    <t>osama.hussein.eg@gmail.com</t>
  </si>
  <si>
    <t>Amro</t>
  </si>
  <si>
    <t>Elakkad</t>
  </si>
  <si>
    <t>amrelakkad@yahoo.com</t>
  </si>
  <si>
    <t>Sherif</t>
  </si>
  <si>
    <t>bm535i@hotmail.com</t>
  </si>
  <si>
    <t>El Agami</t>
  </si>
  <si>
    <t>khaled.elagami@hotmail.com</t>
  </si>
  <si>
    <t>Maharem</t>
  </si>
  <si>
    <t>ossamamaharem@gmail.com</t>
  </si>
  <si>
    <t>Amal</t>
  </si>
  <si>
    <t>Allaithy</t>
  </si>
  <si>
    <t>amalallaithy@hotmail.com</t>
  </si>
  <si>
    <t>Waked</t>
  </si>
  <si>
    <t>wakod@hotmail.com</t>
  </si>
  <si>
    <t>Haitham K.</t>
  </si>
  <si>
    <t>Malkawi</t>
  </si>
  <si>
    <t>hkm_arc@yahoo.com</t>
  </si>
  <si>
    <t>Khidir</t>
  </si>
  <si>
    <t>Mohd.abdulaziz@hak-arch.com</t>
  </si>
  <si>
    <t>salah</t>
  </si>
  <si>
    <t>salah_hussein@hotmail.com</t>
  </si>
  <si>
    <t>Noweir</t>
  </si>
  <si>
    <t>Drmonanoweir@gmail.com</t>
  </si>
  <si>
    <t>EMAAR EGYPT ADDRESS</t>
  </si>
  <si>
    <t>Maselina MuhonjaLuyenze</t>
  </si>
  <si>
    <t>maseli@gmail.com</t>
  </si>
  <si>
    <t>Abdelilah Hassan</t>
  </si>
  <si>
    <t>abdelilah3@hotmail.com</t>
  </si>
  <si>
    <t>Kanwar Asif</t>
  </si>
  <si>
    <t>usmanyou89@gmail.com</t>
  </si>
  <si>
    <t>foladanieL</t>
  </si>
  <si>
    <t>foladaniel@yahoo.com</t>
  </si>
  <si>
    <t>EMAAR EGYPT NRE LAUNCH</t>
  </si>
  <si>
    <t>Almasoud</t>
  </si>
  <si>
    <t>ceo@space-wing.com</t>
  </si>
  <si>
    <t>hazemfarouksaleh@hotmail.com</t>
  </si>
  <si>
    <t>Mark</t>
  </si>
  <si>
    <t>Raafat</t>
  </si>
  <si>
    <t>markraafat@gmail.com</t>
  </si>
  <si>
    <t>spanbahrain@gmail.com</t>
  </si>
  <si>
    <t>Muh-d</t>
  </si>
  <si>
    <t>Doghuz</t>
  </si>
  <si>
    <t>doghuz@gmail.com</t>
  </si>
  <si>
    <t>haithamato@hotmail.com</t>
  </si>
  <si>
    <t>Randa</t>
  </si>
  <si>
    <t>ElRamli</t>
  </si>
  <si>
    <t>yarrabrr@gmail.com</t>
  </si>
  <si>
    <t>Aiman</t>
  </si>
  <si>
    <t>Assas</t>
  </si>
  <si>
    <t>assaspilot@gmail.com</t>
  </si>
  <si>
    <t>EMAAR SAUDI</t>
  </si>
  <si>
    <t>Bebo</t>
  </si>
  <si>
    <t>badorte.alamora@gmail.com</t>
  </si>
  <si>
    <t>Kamar Jabre</t>
  </si>
  <si>
    <t>kamar_jabre.1952@hotmail.com</t>
  </si>
  <si>
    <t>عيسى عبدالرحيم خيرى خيرى</t>
  </si>
  <si>
    <t>essakh53@gmail.com</t>
  </si>
  <si>
    <t>محمد صالح</t>
  </si>
  <si>
    <t>m_salih2011@hotmail.com</t>
  </si>
  <si>
    <t>Wafaa Abdelgader</t>
  </si>
  <si>
    <t>wafaagader@yahoo.com</t>
  </si>
  <si>
    <t>موسى محمد</t>
  </si>
  <si>
    <t>mosamohamddd@gmail.com</t>
  </si>
  <si>
    <t>زهوه صالح سالم</t>
  </si>
  <si>
    <t>zahwah_ss@hotmail.com</t>
  </si>
  <si>
    <t>nada zaid</t>
  </si>
  <si>
    <t>n_zaid123@hotmail.com</t>
  </si>
  <si>
    <t>Nasim Akhtar</t>
  </si>
  <si>
    <t>mdnasim656606@gmail.com</t>
  </si>
  <si>
    <t>محمدعباس حمدعلي</t>
  </si>
  <si>
    <t>ahmdalzhrany961@gmail.com</t>
  </si>
  <si>
    <t>محمود السمير</t>
  </si>
  <si>
    <t>mahmodalsameer45@gmail.com</t>
  </si>
  <si>
    <t>Mohammed Abdullah Alshalby</t>
  </si>
  <si>
    <t>dr2012mido@hotmail.com</t>
  </si>
  <si>
    <t>Yousaf Muhammad</t>
  </si>
  <si>
    <t>yossiff.m@gmail.com</t>
  </si>
  <si>
    <t>Diarra Baba Adam</t>
  </si>
  <si>
    <t>adamaco820@gmail.com</t>
  </si>
  <si>
    <t>ابوفيصل الخطيب</t>
  </si>
  <si>
    <t>al-khtib1@hotmail.com</t>
  </si>
  <si>
    <t>هتان الجنوب</t>
  </si>
  <si>
    <t>bkrfqyhy857@gmail.com</t>
  </si>
  <si>
    <t>Farida Sadruddin</t>
  </si>
  <si>
    <t>itwas1999@gmail.com</t>
  </si>
  <si>
    <t>Asaad Qouadh</t>
  </si>
  <si>
    <t>asdqdyh147@gmail.com</t>
  </si>
  <si>
    <t>Hamdan Alammari</t>
  </si>
  <si>
    <t>hamdanamary@gmail.com</t>
  </si>
  <si>
    <t>عبد الله بن سليم</t>
  </si>
  <si>
    <t>assleem2@gmail.com</t>
  </si>
  <si>
    <t>ابو غائب</t>
  </si>
  <si>
    <t>ahlan_2011@hotmail.com</t>
  </si>
  <si>
    <t>محمد البوهميل</t>
  </si>
  <si>
    <t>abuaziz_484@hotmail.com</t>
  </si>
  <si>
    <t>Rene Utoy Palaboy</t>
  </si>
  <si>
    <t>renesales219@gmail.com</t>
  </si>
  <si>
    <t>Mohammad elbehairy</t>
  </si>
  <si>
    <t>elbehairymoh.2016@gmail.com</t>
  </si>
  <si>
    <t>Irakoze Hafsa Moussa</t>
  </si>
  <si>
    <t>samimo3445@gmail.com</t>
  </si>
  <si>
    <t>Khalid Farhn</t>
  </si>
  <si>
    <t>ronyalbu@gmail.com</t>
  </si>
  <si>
    <t>Suliman Alhanaki</t>
  </si>
  <si>
    <t>alhanaki.s@hotmail.com</t>
  </si>
  <si>
    <t>Mustafa Qadi</t>
  </si>
  <si>
    <t>M.qadi@outlook.com</t>
  </si>
  <si>
    <t>najim0994@gmail.com</t>
  </si>
  <si>
    <t>nawaf ahmad</t>
  </si>
  <si>
    <t>nb-1399@hotmail.com</t>
  </si>
  <si>
    <t>Osman Abdulrahim Almona</t>
  </si>
  <si>
    <t>aboreel2010@hotmail.com</t>
  </si>
  <si>
    <t>Kaspa Ramesh</t>
  </si>
  <si>
    <t>kasparamesh2@gmail.com</t>
  </si>
  <si>
    <t>احمد جبران ابو ايمن</t>
  </si>
  <si>
    <t>ahmdjb16@gmail.com</t>
  </si>
  <si>
    <t>أبو عبدالهادي</t>
  </si>
  <si>
    <t>lylalkthyry@gmail.com</t>
  </si>
  <si>
    <t>Salim Elazzah</t>
  </si>
  <si>
    <t>salim@akassia.com</t>
  </si>
  <si>
    <t>ابو عاصم الطويل</t>
  </si>
  <si>
    <t>hamdu.11717@yahoo.com</t>
  </si>
  <si>
    <t>صالح الدوسري</t>
  </si>
  <si>
    <t>c_mbc@hotmail.com</t>
  </si>
  <si>
    <t>Hani Fayez</t>
  </si>
  <si>
    <t>hanioraiqat2016@gmail.com</t>
  </si>
  <si>
    <t>zahrat albilsan</t>
  </si>
  <si>
    <t>tahani_aldosseri@hotmail.com</t>
  </si>
  <si>
    <t>Ahmed Shaheen</t>
  </si>
  <si>
    <t>ahmed_shaheen_10@yahoo.com</t>
  </si>
  <si>
    <t>Ehab Basuny</t>
  </si>
  <si>
    <t>ehab_basuny@yahoo.com</t>
  </si>
  <si>
    <t>ahmed_lobna@hotmail.com</t>
  </si>
  <si>
    <t>Alshair Abdulrahman</t>
  </si>
  <si>
    <t>fineofarts@gmail.com</t>
  </si>
  <si>
    <t>Shadi Shehadeh</t>
  </si>
  <si>
    <t>shade_shehadeh@yahoo.com</t>
  </si>
  <si>
    <t>شيخه. الخليوي</t>
  </si>
  <si>
    <t>shaikhagr@gmail.com</t>
  </si>
  <si>
    <t>ماجد العتيبي</t>
  </si>
  <si>
    <t>aeaaa29@gmail.com</t>
  </si>
  <si>
    <t>Mohammed Hassan Sidahmed</t>
  </si>
  <si>
    <t>Msidahmed@hh.med.sa</t>
  </si>
  <si>
    <t>علي امان</t>
  </si>
  <si>
    <t>aa1023838442@gmail.com</t>
  </si>
  <si>
    <t>ياسر طربيه</t>
  </si>
  <si>
    <t>yasseret75@gmail.com</t>
  </si>
  <si>
    <t>حسين البقمي</t>
  </si>
  <si>
    <t>albogami1323@hotmail.com</t>
  </si>
  <si>
    <t>Brek Bin Jobah</t>
  </si>
  <si>
    <t>brek_507@hotmail.com</t>
  </si>
  <si>
    <t>Mostafa Elsuccary</t>
  </si>
  <si>
    <t>mostafamedo67@yahoo.com</t>
  </si>
  <si>
    <t>Najwa Adi</t>
  </si>
  <si>
    <t>newnajwa.adi@gmail.com</t>
  </si>
  <si>
    <t>زينب اسعد</t>
  </si>
  <si>
    <t>zeanibasaad@gmail.com</t>
  </si>
  <si>
    <t>Rayan Barakati</t>
  </si>
  <si>
    <t>dr.barakati@gmail.com</t>
  </si>
  <si>
    <t>Wa Leed</t>
  </si>
  <si>
    <t>engabusabib@hotmail.com</t>
  </si>
  <si>
    <t>جمال الدين حسن عبد المحمود محمد</t>
  </si>
  <si>
    <t>hsnjmalaldyn081@gmail.com</t>
  </si>
  <si>
    <t>عبدالرحمن العتيبي</t>
  </si>
  <si>
    <t>utabiams@hotmail.com</t>
  </si>
  <si>
    <t>خالد جمال</t>
  </si>
  <si>
    <t>khalidjmal7161@gmail.com</t>
  </si>
  <si>
    <t>arjh</t>
  </si>
  <si>
    <t>arjhalharoi@gmail.com</t>
  </si>
  <si>
    <t>ameen alhindi</t>
  </si>
  <si>
    <t>alhindi.ameen@gmail.com</t>
  </si>
  <si>
    <t>Mohamed Elnaggar</t>
  </si>
  <si>
    <t>mo_elnaggar@yahoo.com</t>
  </si>
  <si>
    <t>Nagwa Akeel</t>
  </si>
  <si>
    <t>dr.akeel23@yahoo.com</t>
  </si>
  <si>
    <t>Khalid</t>
  </si>
  <si>
    <t>khalidsaldrees@outlook.com</t>
  </si>
  <si>
    <t>Abduljalil Almudhary</t>
  </si>
  <si>
    <t>Engabduljalil@gmail.com</t>
  </si>
  <si>
    <t>ناصر الصلاحى</t>
  </si>
  <si>
    <t>naseralslahy@gmail.com</t>
  </si>
  <si>
    <t>alis ali</t>
  </si>
  <si>
    <t>ali90024@hotmail.com</t>
  </si>
  <si>
    <t>Fahad Alawad</t>
  </si>
  <si>
    <t>faa-711@hotmail.com</t>
  </si>
  <si>
    <t>Rabia Alnahrawy</t>
  </si>
  <si>
    <t>megahedali274@gmail.com</t>
  </si>
  <si>
    <t>محمد أحمد</t>
  </si>
  <si>
    <t>mohmmed.ashiq80@gmail.com</t>
  </si>
  <si>
    <t>Matiur Sayls Man</t>
  </si>
  <si>
    <t>matiurrahman489@gmail.com</t>
  </si>
  <si>
    <t>Mokhtar Mohd</t>
  </si>
  <si>
    <t>Sayed.m22@hotmail.com</t>
  </si>
  <si>
    <t>Zuhair Mojalled</t>
  </si>
  <si>
    <t>zuhmj@yahoo.com</t>
  </si>
  <si>
    <t>محمد هاشم</t>
  </si>
  <si>
    <t>m_hashem13@yahoo.com</t>
  </si>
  <si>
    <t>Khalid Ibrahim Awad</t>
  </si>
  <si>
    <t>k_awad@yahoo.com</t>
  </si>
  <si>
    <t>Adel Aldae</t>
  </si>
  <si>
    <t>aeldahsh@yahoo.com</t>
  </si>
  <si>
    <t>Mahmoud Nasreldin</t>
  </si>
  <si>
    <t>nasreldm@aston.ac.uk</t>
  </si>
  <si>
    <t>Jalal Hasim Alsayed</t>
  </si>
  <si>
    <t>sayedjh@gmail.com</t>
  </si>
  <si>
    <t>S3Eed</t>
  </si>
  <si>
    <t>saeedtech@gmail.com</t>
  </si>
  <si>
    <t>Ibraheem Al Saeed</t>
  </si>
  <si>
    <t>ibraheem.alsaeed2013@yahoo.com</t>
  </si>
  <si>
    <t>abdullah_7i</t>
  </si>
  <si>
    <t>moode77@hotmail.com</t>
  </si>
  <si>
    <t>منير فضل الكريم</t>
  </si>
  <si>
    <t>mn250350@gmail.com</t>
  </si>
  <si>
    <t>Mohammad Ali Saeed Mohammad</t>
  </si>
  <si>
    <t>aboalla1@gmail.com</t>
  </si>
  <si>
    <t>Magdy Methen</t>
  </si>
  <si>
    <t>tyyam1@hotmail.com</t>
  </si>
  <si>
    <t>Saad Alrashid</t>
  </si>
  <si>
    <t>vipksa123987@gmail.com</t>
  </si>
  <si>
    <t>DrAbdulmunem Ananzeh</t>
  </si>
  <si>
    <t>drananzeh888@gmail.com</t>
  </si>
  <si>
    <t>EMAAR SOUTHBEACH RUSSIAN LEAD</t>
  </si>
  <si>
    <t>Трубников Роман</t>
  </si>
  <si>
    <t>svetlanaseina1566@gmail.com</t>
  </si>
  <si>
    <t>Дмитрий Тюлькин</t>
  </si>
  <si>
    <t>dimar8383@mail.ru</t>
  </si>
  <si>
    <t>2_bedrooms</t>
  </si>
  <si>
    <t>Evgenia Shorokhova</t>
  </si>
  <si>
    <t>jennajones26@hotmail.com</t>
  </si>
  <si>
    <t>3_bedrooms</t>
  </si>
  <si>
    <t>Анна</t>
  </si>
  <si>
    <t>lo-gin@ukr.net</t>
  </si>
  <si>
    <t>Новак Виталий</t>
  </si>
  <si>
    <t>vnovak@list.ru</t>
  </si>
  <si>
    <t>Света Пынзарь</t>
  </si>
  <si>
    <t>pnzars@gmail.com</t>
  </si>
  <si>
    <t>Сара Блейк</t>
  </si>
  <si>
    <t>antokhi.olga@mail.ru</t>
  </si>
  <si>
    <t>Олег Осипов</t>
  </si>
  <si>
    <t>bdetmd@gmail.com</t>
  </si>
  <si>
    <t>Oleksandr Grynevych</t>
  </si>
  <si>
    <t>kingleon@mail.ru</t>
  </si>
  <si>
    <t>Verjik Verjik</t>
  </si>
  <si>
    <t>verjic@icloud.com</t>
  </si>
  <si>
    <t>нужна консультация</t>
  </si>
  <si>
    <t>nova2014@ukr.net</t>
  </si>
  <si>
    <t>Ion Cazacu</t>
  </si>
  <si>
    <t>ioncazacu82@gmail.com</t>
  </si>
  <si>
    <t>Сергей Ламник</t>
  </si>
  <si>
    <t>lamnik19729@gmail.com</t>
  </si>
  <si>
    <t>Roman Tverdyy</t>
  </si>
  <si>
    <t>r_hard@ukr.net</t>
  </si>
  <si>
    <t>VICKY</t>
  </si>
  <si>
    <t>Ludmula Kalygnay</t>
  </si>
  <si>
    <t>bapel@ukr.net</t>
  </si>
  <si>
    <t>TATIANA</t>
  </si>
  <si>
    <t>Oleg Zhmyhov</t>
  </si>
  <si>
    <t>zhmikhovoleg@gmail.com</t>
  </si>
  <si>
    <t>Надежда Воронюк</t>
  </si>
  <si>
    <t>mihajlovskaa20@gmail.com</t>
  </si>
  <si>
    <t>IULIIA</t>
  </si>
  <si>
    <t>Aklia Shadmuratova</t>
  </si>
  <si>
    <t>artaklia@gmail.com</t>
  </si>
  <si>
    <t>Ирина Михаленок</t>
  </si>
  <si>
    <t>irinamihalenok1@gmail.com</t>
  </si>
  <si>
    <t>Акмарал Али</t>
  </si>
  <si>
    <t>Ali.akmaral@mail.ru</t>
  </si>
  <si>
    <t>Eduard Abkarovics</t>
  </si>
  <si>
    <t>edd5@freemail.hu</t>
  </si>
  <si>
    <t>Penka Daskalova</t>
  </si>
  <si>
    <t>penkadaskalova43@gmail.com</t>
  </si>
  <si>
    <t>Татьяна Забавская</t>
  </si>
  <si>
    <t>wiolete@tut.by</t>
  </si>
  <si>
    <t>Елена Козырева</t>
  </si>
  <si>
    <t>kozyrevae334@gmail.com</t>
  </si>
  <si>
    <t>Дмитрий Момот</t>
  </si>
  <si>
    <t>dmomot1967@gmail.com</t>
  </si>
  <si>
    <t>Василий</t>
  </si>
  <si>
    <t>Xi@list.ru</t>
  </si>
  <si>
    <t>Svetlana Ivanova</t>
  </si>
  <si>
    <t>svetlanaivanova02@gmail.com</t>
  </si>
  <si>
    <t>Sergiu Birsa</t>
  </si>
  <si>
    <t>artificii.md@mail.ru</t>
  </si>
  <si>
    <t>Антипов Александр</t>
  </si>
  <si>
    <t>antipov_198@mail.ru</t>
  </si>
  <si>
    <t>Andrej Andrejev</t>
  </si>
  <si>
    <t>vidamotors@yahoo.com</t>
  </si>
  <si>
    <t>Олег Валерьевич третьяков</t>
  </si>
  <si>
    <t>Oleg-tri@mail.ru</t>
  </si>
  <si>
    <t>Светлана Яковлева</t>
  </si>
  <si>
    <t>opersvet@mail.ru</t>
  </si>
  <si>
    <t>Николай Кирилгло</t>
  </si>
  <si>
    <t>kirioglo.1983@mail.ru</t>
  </si>
  <si>
    <t>Imre Gonda</t>
  </si>
  <si>
    <t>gondaafc@gmail.com</t>
  </si>
  <si>
    <t>Светлана Волосник</t>
  </si>
  <si>
    <t>volosniksv@gmail.com</t>
  </si>
  <si>
    <t>Владимир Тимченко</t>
  </si>
  <si>
    <t>tvg06@ukr.net</t>
  </si>
  <si>
    <t>Николай Караневский</t>
  </si>
  <si>
    <t>mikola393960@gmail.com</t>
  </si>
  <si>
    <t>Irēna Zaube</t>
  </si>
  <si>
    <t>libra.13@inbox.lv</t>
  </si>
  <si>
    <t>Marija Robovic</t>
  </si>
  <si>
    <t>puric27@yahoo.com</t>
  </si>
  <si>
    <t>Halyna Drahomyretska</t>
  </si>
  <si>
    <t>hgrahomyretska@gmail.com</t>
  </si>
  <si>
    <t>Aleksandr Panov</t>
  </si>
  <si>
    <t>gfd6754378@mail.ru</t>
  </si>
  <si>
    <t>Alexandr Chebotko</t>
  </si>
  <si>
    <t>nana33139@mail.ru</t>
  </si>
  <si>
    <t>Эдуард Омельченко</t>
  </si>
  <si>
    <t>enom1967@gmail.com</t>
  </si>
  <si>
    <t>Serbolat Shorayev</t>
  </si>
  <si>
    <t>s.shorayev@gmail.com</t>
  </si>
  <si>
    <t>Алиса Савинская</t>
  </si>
  <si>
    <t>alisa.savinskaya@gmail.com</t>
  </si>
  <si>
    <t>Sergei Kim</t>
  </si>
  <si>
    <t>skimo81@gmail.com</t>
  </si>
  <si>
    <t>Александр Горбунов</t>
  </si>
  <si>
    <t>gintonik@inbox.lv</t>
  </si>
  <si>
    <t>Вепа Нурсахатов</t>
  </si>
  <si>
    <t>spptts@mail.ru</t>
  </si>
  <si>
    <t>Elena Sidenko</t>
  </si>
  <si>
    <t>sidenko936@gmail.com</t>
  </si>
  <si>
    <t>Сергей Бабенко</t>
  </si>
  <si>
    <t>serg11@bigmir.net</t>
  </si>
  <si>
    <t>nat6ly</t>
  </si>
  <si>
    <t>nat6ly@gmail.com</t>
  </si>
  <si>
    <t>gnilevskaya.oksana.</t>
  </si>
  <si>
    <t>gnilevskaya.oksana.valerevna@gmail.com</t>
  </si>
  <si>
    <t>mesedg</t>
  </si>
  <si>
    <t>mesedg@mail.ru</t>
  </si>
  <si>
    <t>bscompany</t>
  </si>
  <si>
    <t>bscompany86@mail.ru</t>
  </si>
  <si>
    <t>kestutis.jackunas</t>
  </si>
  <si>
    <t>kestutis.jackunas@gmail.com</t>
  </si>
  <si>
    <t>natasocolova</t>
  </si>
  <si>
    <t>natasocolova2@gmail.com</t>
  </si>
  <si>
    <t>dalaway</t>
  </si>
  <si>
    <t>dalaway16@gmail.com</t>
  </si>
  <si>
    <t>2967519411@qq.com</t>
  </si>
  <si>
    <t>okkaramel</t>
  </si>
  <si>
    <t>okkaramel@gmail.com</t>
  </si>
  <si>
    <t>kulzan_</t>
  </si>
  <si>
    <t>kulzan_111@yahoo.co.uk</t>
  </si>
  <si>
    <t>anast.didenko</t>
  </si>
  <si>
    <t>anast.didenko2014@gmail.com</t>
  </si>
  <si>
    <t>milencaiax</t>
  </si>
  <si>
    <t>milencaiax@gmail.com</t>
  </si>
  <si>
    <t>dbaymagambetova</t>
  </si>
  <si>
    <t>dbaymagambetova@bk.ru</t>
  </si>
  <si>
    <t>coba</t>
  </si>
  <si>
    <t>coba0225533@gmail.com</t>
  </si>
  <si>
    <t>dartboy</t>
  </si>
  <si>
    <t>dartboy1861@gmail.com</t>
  </si>
  <si>
    <t>Enaf</t>
  </si>
  <si>
    <t>Enaf100@ukr.net</t>
  </si>
  <si>
    <t>ainuranusipbayeva</t>
  </si>
  <si>
    <t>ainuranusipbayeva@gmail.com</t>
  </si>
  <si>
    <t>vmelodija</t>
  </si>
  <si>
    <t>vmelodija777@gmail.com</t>
  </si>
  <si>
    <t>manelyuk</t>
  </si>
  <si>
    <t>manelyuk82@rambler.ru</t>
  </si>
  <si>
    <t>jegalov@gmail.com</t>
  </si>
  <si>
    <t>Зарина Ионеско</t>
  </si>
  <si>
    <t>zarina.delistoyan.70@mail.ru</t>
  </si>
  <si>
    <t>Tigran Margaryan</t>
  </si>
  <si>
    <t>tigran.margarian@gmail.com</t>
  </si>
  <si>
    <t>Олег Прийменко</t>
  </si>
  <si>
    <t>oleg-priymenko@ukr.net</t>
  </si>
  <si>
    <t>Жанна Измагамбетова</t>
  </si>
  <si>
    <t>elzhasizmagambetov@gmail.com</t>
  </si>
  <si>
    <t>Irina Ris</t>
  </si>
  <si>
    <t>irinariscali@mail.ru</t>
  </si>
  <si>
    <t>Alla</t>
  </si>
  <si>
    <t>opraa12@gmail.com</t>
  </si>
  <si>
    <t>Irina Khan</t>
  </si>
  <si>
    <t>irinakhan@mail.ru</t>
  </si>
  <si>
    <t>COUNTRY</t>
  </si>
  <si>
    <t>COMMENT</t>
  </si>
  <si>
    <t>Emaar CH</t>
  </si>
  <si>
    <t>Tony Yau</t>
  </si>
  <si>
    <t>Yau</t>
  </si>
  <si>
    <t>tonyyau0903@gmail.com</t>
  </si>
  <si>
    <t>HK</t>
  </si>
  <si>
    <t>Jianming Li</t>
  </si>
  <si>
    <t>Li</t>
  </si>
  <si>
    <t>an9000@163.com</t>
  </si>
  <si>
    <t>CN</t>
  </si>
  <si>
    <t>新䂀</t>
  </si>
  <si>
    <t>麥</t>
  </si>
  <si>
    <t>Chanman148@yahoo.com.hk</t>
  </si>
  <si>
    <t>吴志明</t>
  </si>
  <si>
    <t>吴</t>
  </si>
  <si>
    <t>whc10000@yeah.net</t>
  </si>
  <si>
    <t>US</t>
  </si>
  <si>
    <t>金文陵</t>
  </si>
  <si>
    <t>金</t>
  </si>
  <si>
    <t>kampapapa@gmail.com</t>
  </si>
  <si>
    <t>Ma Sai Hong Charles</t>
  </si>
  <si>
    <t>Charles</t>
  </si>
  <si>
    <t>charles_msk@qq.com</t>
  </si>
  <si>
    <t>Xiaoning Wang</t>
  </si>
  <si>
    <t>Wang</t>
  </si>
  <si>
    <t>wxn781204@gmail.com</t>
  </si>
  <si>
    <t>Jingyi Chen</t>
  </si>
  <si>
    <t>Chen</t>
  </si>
  <si>
    <t>848151030@qq.com</t>
  </si>
  <si>
    <t>Yulan Wang</t>
  </si>
  <si>
    <t>seebound@gmail.com</t>
  </si>
  <si>
    <t>AE</t>
  </si>
  <si>
    <t>Sky Man</t>
  </si>
  <si>
    <t>Man</t>
  </si>
  <si>
    <t>wingex201516@gmail.com</t>
  </si>
  <si>
    <t>Kwok Kwok</t>
  </si>
  <si>
    <t>Kwok</t>
  </si>
  <si>
    <t>kkwok032@gmail.com</t>
  </si>
  <si>
    <t>李文耀</t>
  </si>
  <si>
    <t>李</t>
  </si>
  <si>
    <t>jazzman11625@gmail.com</t>
  </si>
  <si>
    <t>TW</t>
  </si>
  <si>
    <t>Anthony</t>
  </si>
  <si>
    <t>Liang</t>
  </si>
  <si>
    <t>anthonyccliang@gmail.com</t>
  </si>
  <si>
    <t>陳濱雁</t>
  </si>
  <si>
    <t>陳</t>
  </si>
  <si>
    <t>five55.hk@gmail.com</t>
  </si>
  <si>
    <t>David Zeng</t>
  </si>
  <si>
    <t>Zeng</t>
  </si>
  <si>
    <t>13636687711@163.com</t>
  </si>
  <si>
    <t>邓建军</t>
  </si>
  <si>
    <t>邓</t>
  </si>
  <si>
    <t>277294079@qq.com</t>
  </si>
  <si>
    <t>Chau Por Hui</t>
  </si>
  <si>
    <t>Hui</t>
  </si>
  <si>
    <t>por1938226@gmail.com</t>
  </si>
  <si>
    <t>陆琰</t>
  </si>
  <si>
    <t>陆</t>
  </si>
  <si>
    <t>49237836@qq.com</t>
  </si>
  <si>
    <t>張雄</t>
  </si>
  <si>
    <t>張</t>
  </si>
  <si>
    <t>cheunghung130@gmail.com</t>
  </si>
  <si>
    <t>Tsz Man Leung</t>
  </si>
  <si>
    <t>Leung</t>
  </si>
  <si>
    <t>leungtszman140@gmail.com</t>
  </si>
  <si>
    <t>Walter Ho</t>
  </si>
  <si>
    <t>Ho</t>
  </si>
  <si>
    <t>uriahling2012@yahoo.com.hk</t>
  </si>
  <si>
    <t>潘樑</t>
  </si>
  <si>
    <t>潘</t>
  </si>
  <si>
    <t>poonleung48@yahoo.com.hk</t>
  </si>
  <si>
    <t>Da Tou</t>
  </si>
  <si>
    <t>Tou</t>
  </si>
  <si>
    <t>first0755@outlook.com</t>
  </si>
  <si>
    <t>Ab Ab</t>
  </si>
  <si>
    <t>Ab</t>
  </si>
  <si>
    <t>cevrbt@protonmail.com</t>
  </si>
  <si>
    <t>吴曦</t>
  </si>
  <si>
    <t>ceowuxi@gmail.com</t>
  </si>
  <si>
    <t>鄭紹榮</t>
  </si>
  <si>
    <t>鄭</t>
  </si>
  <si>
    <t>abc6280@hotmail.com.hk</t>
  </si>
  <si>
    <t>陳鋈璧</t>
  </si>
  <si>
    <t>cyukpek@gmail.com</t>
  </si>
  <si>
    <t>Kochyan Chen</t>
  </si>
  <si>
    <t>kochanchen@yahoo.com</t>
  </si>
  <si>
    <t>Fu Sang Li</t>
  </si>
  <si>
    <t>fusangli078@gmail.com</t>
  </si>
  <si>
    <t>李长松</t>
  </si>
  <si>
    <t>changsongli128@gmail.com</t>
  </si>
  <si>
    <t>Philip Woo</t>
  </si>
  <si>
    <t>Woo</t>
  </si>
  <si>
    <t>philipwoo123@hotmail.com</t>
  </si>
  <si>
    <t>Siu Nam Kenneth Tai</t>
  </si>
  <si>
    <t>Tai</t>
  </si>
  <si>
    <t>taisn888@gmail.com</t>
  </si>
  <si>
    <t>Judy Lau</t>
  </si>
  <si>
    <t>Lau</t>
  </si>
  <si>
    <t>lau_s_y@hotmail.com</t>
  </si>
  <si>
    <t>Jack Cheong</t>
  </si>
  <si>
    <t>Cheong</t>
  </si>
  <si>
    <t>aedascq@gmail.com</t>
  </si>
  <si>
    <t>TH</t>
  </si>
  <si>
    <t>Yuentung Ng</t>
  </si>
  <si>
    <t>Ng</t>
  </si>
  <si>
    <t>tungstar23@hotmail.com</t>
  </si>
  <si>
    <t>EMAAR CHINESE AD</t>
  </si>
  <si>
    <t>Ki Hung Rainleung</t>
  </si>
  <si>
    <t>Rainleung</t>
  </si>
  <si>
    <t xml:space="preserve">han </t>
  </si>
  <si>
    <t>陳鴻利</t>
  </si>
  <si>
    <t>chanhunglee.hk@gmail.com</t>
  </si>
  <si>
    <t>wing</t>
  </si>
  <si>
    <t>Judy Li</t>
  </si>
  <si>
    <t>judysyli810@gmail.com</t>
  </si>
  <si>
    <t>Phung Ki Kie</t>
  </si>
  <si>
    <t>Ki Kie</t>
  </si>
  <si>
    <t>fung1946kikie@gmail.com</t>
  </si>
  <si>
    <t>Fu-keung</t>
  </si>
  <si>
    <t>Cheung</t>
  </si>
  <si>
    <t>drcheungfk@yahoo.com.hk</t>
  </si>
  <si>
    <t>Amy Tam</t>
  </si>
  <si>
    <t>Tam</t>
  </si>
  <si>
    <t>amytam0322@yahoo.com.hk</t>
  </si>
  <si>
    <t>马中华</t>
  </si>
  <si>
    <t>马</t>
  </si>
  <si>
    <t>mzh18693012597mzh@gmail.com</t>
  </si>
  <si>
    <t>Liu Teufel</t>
  </si>
  <si>
    <t>Teufel</t>
  </si>
  <si>
    <t>teufel6967@gmail.com</t>
  </si>
  <si>
    <t>Ng Diamond</t>
  </si>
  <si>
    <t>kuenng1@gmail.com</t>
  </si>
  <si>
    <t>Loka Yeung</t>
  </si>
  <si>
    <t>Yeung</t>
  </si>
  <si>
    <t>yeungmr99@gmail.com</t>
  </si>
  <si>
    <t>Pouwa Lee</t>
  </si>
  <si>
    <t>Lee</t>
  </si>
  <si>
    <t>pouwa1943@gmail.com</t>
  </si>
  <si>
    <t>刘虎山</t>
  </si>
  <si>
    <t>刘</t>
  </si>
  <si>
    <t>lhs28780676@gmail.com</t>
  </si>
  <si>
    <t>Yanming</t>
  </si>
  <si>
    <t>Luo</t>
  </si>
  <si>
    <t>171438346@qq.com</t>
  </si>
  <si>
    <t>Terry</t>
  </si>
  <si>
    <t>Kemboh</t>
  </si>
  <si>
    <t>terrykembo8@gmail.com</t>
  </si>
  <si>
    <t>ZW</t>
  </si>
  <si>
    <t>Xing 星</t>
  </si>
  <si>
    <t>Zhou 周</t>
  </si>
  <si>
    <t>zhou_xing@biznevigator.com</t>
  </si>
  <si>
    <t>Greynaud Mathieu</t>
  </si>
  <si>
    <t>Mathieu</t>
  </si>
  <si>
    <t>wong834390@gmail.com</t>
  </si>
  <si>
    <t>FR</t>
  </si>
  <si>
    <t>Queenie Wong</t>
  </si>
  <si>
    <t>Wong</t>
  </si>
  <si>
    <t>queeniewong2981@gmail.com</t>
  </si>
  <si>
    <t>Johnny Ho</t>
  </si>
  <si>
    <t>johnnyho222888@yahoo.com.hk</t>
  </si>
  <si>
    <t>Bino Kuo</t>
  </si>
  <si>
    <t>Kuo</t>
  </si>
  <si>
    <t>hq.bino@bnb.com.tw</t>
  </si>
  <si>
    <t>HAN</t>
  </si>
  <si>
    <t>Shu-ching Lu</t>
  </si>
  <si>
    <t>Lu</t>
  </si>
  <si>
    <t>a0987446199@gmail.com</t>
  </si>
  <si>
    <t>WING</t>
  </si>
  <si>
    <t>簡新華</t>
  </si>
  <si>
    <t>簡</t>
  </si>
  <si>
    <t>a0919985327@gmail.com</t>
  </si>
  <si>
    <t>TONG</t>
  </si>
  <si>
    <t>楊智勝</t>
  </si>
  <si>
    <t>楊</t>
  </si>
  <si>
    <t>young945945@gmail.com</t>
  </si>
  <si>
    <t>范國達</t>
  </si>
  <si>
    <t>范</t>
  </si>
  <si>
    <t>fan10160714@gmail.com</t>
  </si>
  <si>
    <t>緯蕭</t>
  </si>
  <si>
    <t>蕭</t>
  </si>
  <si>
    <t>dullsiao@gmail.com</t>
  </si>
  <si>
    <t>Vladimir Huan</t>
  </si>
  <si>
    <t>Huan</t>
  </si>
  <si>
    <t>huanjw77@gmail.com</t>
  </si>
  <si>
    <t>RU</t>
  </si>
  <si>
    <t>郭成全</t>
  </si>
  <si>
    <t>郭</t>
  </si>
  <si>
    <t>a0979550737@gmail.com</t>
  </si>
  <si>
    <t>Henry Chen</t>
  </si>
  <si>
    <t>as0909664205@gmail.com</t>
  </si>
  <si>
    <t>謝</t>
  </si>
  <si>
    <t>卉榛</t>
  </si>
  <si>
    <t>hxie4231@gmail.com</t>
  </si>
  <si>
    <t>曾金山</t>
  </si>
  <si>
    <t>曾</t>
  </si>
  <si>
    <t>tsengchinshan@gmail.com</t>
  </si>
  <si>
    <t>王鳳鳴</t>
  </si>
  <si>
    <t>王</t>
  </si>
  <si>
    <t>aa0972190382@gmail.com</t>
  </si>
  <si>
    <t>翁注賢</t>
  </si>
  <si>
    <t>翁</t>
  </si>
  <si>
    <t>kenjan2008@gmail.com</t>
  </si>
  <si>
    <t>陳基聰</t>
  </si>
  <si>
    <t>ch799688@gmail.com</t>
  </si>
  <si>
    <t>吳世章</t>
  </si>
  <si>
    <t>吳</t>
  </si>
  <si>
    <t>a0929904791@yahoo.com.tw</t>
  </si>
  <si>
    <t>John Chiang</t>
  </si>
  <si>
    <t>Chiang</t>
  </si>
  <si>
    <t>j-pan5820@hotmail.com</t>
  </si>
  <si>
    <t>王梓安</t>
  </si>
  <si>
    <t>u120245852@gmail.com</t>
  </si>
  <si>
    <t>張樹林</t>
  </si>
  <si>
    <t>woods@5cgo.com</t>
  </si>
  <si>
    <t>Byher Tu</t>
  </si>
  <si>
    <t>Tu</t>
  </si>
  <si>
    <t>twu_byher@hotmail.com</t>
  </si>
  <si>
    <t>金玉泉</t>
  </si>
  <si>
    <t>ali370727@gmail.com</t>
  </si>
  <si>
    <t>張漢東</t>
  </si>
  <si>
    <t>dh5255@yahoo.com.tw</t>
  </si>
  <si>
    <t>侯和伸</t>
  </si>
  <si>
    <t>侯</t>
  </si>
  <si>
    <t>a0968420105@gmail.com</t>
  </si>
  <si>
    <t>李嘉斌</t>
  </si>
  <si>
    <t>b0936888503@gmail.com</t>
  </si>
  <si>
    <t>Aille Li</t>
  </si>
  <si>
    <t>xuaoli@163.com</t>
  </si>
  <si>
    <t>陳美如</t>
  </si>
  <si>
    <t>chenmaria1229@gmail.com</t>
  </si>
  <si>
    <t>林金道</t>
  </si>
  <si>
    <t>林</t>
  </si>
  <si>
    <t>aa0903669913@gmail.com</t>
  </si>
  <si>
    <t>嘯生</t>
  </si>
  <si>
    <t>stanleywuhk1953@gmail.com</t>
  </si>
  <si>
    <t>王暉洲</t>
  </si>
  <si>
    <t>a0910225100@gmail.com</t>
  </si>
  <si>
    <t>莊智如</t>
  </si>
  <si>
    <t>莊</t>
  </si>
  <si>
    <t>chi.ruru@msa.hinet.net</t>
  </si>
  <si>
    <t>劉鍵和</t>
  </si>
  <si>
    <t>劉</t>
  </si>
  <si>
    <t>liuhee68@gmail.com</t>
  </si>
  <si>
    <t>鄭尊仁</t>
  </si>
  <si>
    <t>jenten111@gmail.com</t>
  </si>
  <si>
    <t>ShianTsung Shiau</t>
  </si>
  <si>
    <t>Shiau</t>
  </si>
  <si>
    <t>tsung247@gmail.com</t>
  </si>
  <si>
    <t>黃班長</t>
  </si>
  <si>
    <t>黃</t>
  </si>
  <si>
    <t>p5710805@yahoo.com.tw</t>
  </si>
  <si>
    <t>葉智華</t>
  </si>
  <si>
    <t>葉</t>
  </si>
  <si>
    <t>a0916270057@gmail.com</t>
  </si>
  <si>
    <t>Bo Cui</t>
  </si>
  <si>
    <t>Cui</t>
  </si>
  <si>
    <t>boqi001218@hotmail.com</t>
  </si>
  <si>
    <t>何永欽</t>
  </si>
  <si>
    <t>何</t>
  </si>
  <si>
    <t>Ho411206@gmail.com</t>
  </si>
  <si>
    <t>劉光禧</t>
  </si>
  <si>
    <t>grandma543@kimo.com</t>
  </si>
  <si>
    <t>賴善保</t>
  </si>
  <si>
    <t>賴</t>
  </si>
  <si>
    <t>x12975@yahoo.com.tw</t>
  </si>
  <si>
    <t>Perry Chen</t>
  </si>
  <si>
    <t>yingchuan67@gmail.com</t>
  </si>
  <si>
    <t>周昱君</t>
  </si>
  <si>
    <t>周</t>
  </si>
  <si>
    <t>yujunzhou324@gmail.com</t>
  </si>
  <si>
    <t>1499Cathy芃宣</t>
  </si>
  <si>
    <t>廖</t>
  </si>
  <si>
    <t>cathy20020410@hotmail.com</t>
  </si>
  <si>
    <t>Robert</t>
  </si>
  <si>
    <t>Lo</t>
  </si>
  <si>
    <t>robertnpust@gmail.com</t>
  </si>
  <si>
    <t>顏珠蘭</t>
  </si>
  <si>
    <t>顏</t>
  </si>
  <si>
    <t>dona490217@gmail.com</t>
  </si>
  <si>
    <t>李志文</t>
  </si>
  <si>
    <t>jevonslee2009@gmail.com</t>
  </si>
  <si>
    <t>郭忠謙</t>
  </si>
  <si>
    <t>kno0372@gmail.com</t>
  </si>
  <si>
    <t>張倚禎</t>
  </si>
  <si>
    <t>a0976123059@gmail.com</t>
  </si>
  <si>
    <t>Jacksn Wan</t>
  </si>
  <si>
    <t>Wan</t>
  </si>
  <si>
    <t>misoshlu@yahoo.com.tw</t>
  </si>
  <si>
    <t>張芳貞</t>
  </si>
  <si>
    <t>funjean928@gmail.com</t>
  </si>
  <si>
    <t>Maverick Liang</t>
  </si>
  <si>
    <t>maverick5657@gmail.com</t>
  </si>
  <si>
    <t>林正傑</t>
  </si>
  <si>
    <t>gs883838@gmail.com</t>
  </si>
  <si>
    <t>Kyu Lin</t>
  </si>
  <si>
    <t>Lin</t>
  </si>
  <si>
    <t>hiya678@gmail.com</t>
  </si>
  <si>
    <t>李美貴</t>
  </si>
  <si>
    <t>joan322lee@gmail.com</t>
  </si>
  <si>
    <t>Charles Wang</t>
  </si>
  <si>
    <t>charleskentwang@gmail.com</t>
  </si>
  <si>
    <t>Szuszu</t>
  </si>
  <si>
    <t>Ma</t>
  </si>
  <si>
    <t>pinky1305@hotmail.com.tw</t>
  </si>
  <si>
    <t>樂天</t>
  </si>
  <si>
    <t>5978@hotmail.com</t>
  </si>
  <si>
    <t>郭添龍</t>
  </si>
  <si>
    <t>lung4356225@gmail.com</t>
  </si>
  <si>
    <t>江憲瑞</t>
  </si>
  <si>
    <t>江</t>
  </si>
  <si>
    <t>ade8271@gmail.com</t>
  </si>
  <si>
    <t>許永禎</t>
  </si>
  <si>
    <t>a0972281756@gmail.com</t>
  </si>
  <si>
    <t>榮璧華</t>
  </si>
  <si>
    <t>榮</t>
  </si>
  <si>
    <t>y052778940@gmail.com</t>
  </si>
  <si>
    <t>黃哲洪</t>
  </si>
  <si>
    <t>Joshua</t>
  </si>
  <si>
    <t>joshua113huang@gmail.com</t>
  </si>
  <si>
    <t>李瑞琴</t>
  </si>
  <si>
    <t>a0960281179@gmail.com</t>
  </si>
  <si>
    <t>馬吉良</t>
  </si>
  <si>
    <t>馬</t>
  </si>
  <si>
    <t>march22931@gmail.com</t>
  </si>
  <si>
    <t>張若敏</t>
  </si>
  <si>
    <t>chang23364993@gmail.com</t>
  </si>
  <si>
    <t>以德</t>
  </si>
  <si>
    <t>325860wang@gmail.com</t>
  </si>
  <si>
    <t>連淑姬</t>
  </si>
  <si>
    <t>連</t>
  </si>
  <si>
    <t>a0931926218@gmail.com</t>
  </si>
  <si>
    <t>林明樹</t>
  </si>
  <si>
    <t>a0923297343@gmail.com</t>
  </si>
  <si>
    <t>余明 來</t>
  </si>
  <si>
    <t>余</t>
  </si>
  <si>
    <t>ymingl@yahoo.com.tw</t>
  </si>
  <si>
    <t>謝立恆</t>
  </si>
  <si>
    <t>afans6868@yahoo.com.tw</t>
  </si>
  <si>
    <t>柯智城</t>
  </si>
  <si>
    <t>柯</t>
  </si>
  <si>
    <t>tomkotopone@gmail.com</t>
  </si>
  <si>
    <t>Zack</t>
  </si>
  <si>
    <t>Zaki Uddin</t>
  </si>
  <si>
    <t>zakbll5@hotmail.com</t>
  </si>
  <si>
    <t>呂慧珒</t>
  </si>
  <si>
    <t>呂</t>
  </si>
  <si>
    <t>jihne@ms35.hinet.net</t>
  </si>
  <si>
    <t>ChiChuan Tseng</t>
  </si>
  <si>
    <t>Tseng</t>
  </si>
  <si>
    <t>hlsf0002@yahoo.com.tw</t>
  </si>
  <si>
    <t>貝蕙芳</t>
  </si>
  <si>
    <t>貝</t>
  </si>
  <si>
    <t>juliapei3575@gmail.com</t>
  </si>
  <si>
    <t>Zhi</t>
  </si>
  <si>
    <t>Hu</t>
  </si>
  <si>
    <t>modern0923@icloud.com</t>
  </si>
  <si>
    <t>賴輝容</t>
  </si>
  <si>
    <t>a888888.pichi@msa.hinet.net</t>
  </si>
  <si>
    <t>Hsieh</t>
  </si>
  <si>
    <t>Eric</t>
  </si>
  <si>
    <t>erichsieh2018@gmail.com</t>
  </si>
  <si>
    <t>Tina Chiang</t>
  </si>
  <si>
    <t>nowtina@gmail.com</t>
  </si>
  <si>
    <t>陸添燈</t>
  </si>
  <si>
    <t>陸</t>
  </si>
  <si>
    <t>superdannylu@gmail.com</t>
  </si>
  <si>
    <t>Jenny</t>
  </si>
  <si>
    <t>Hodes</t>
  </si>
  <si>
    <t>jennyhodes@yahoo.com</t>
  </si>
  <si>
    <t>邱莉菁邱莉菁</t>
  </si>
  <si>
    <t>邱邱</t>
  </si>
  <si>
    <t>a0937957808@gmail.com</t>
  </si>
  <si>
    <t>Sharon Missliu</t>
  </si>
  <si>
    <t>Missliu</t>
  </si>
  <si>
    <t>missliusharon@gmail.com</t>
  </si>
  <si>
    <t>Peter Liu</t>
  </si>
  <si>
    <t>Liu</t>
  </si>
  <si>
    <t>msliu2000@yahoo.com</t>
  </si>
  <si>
    <t>蔡明基</t>
  </si>
  <si>
    <t>蔡</t>
  </si>
  <si>
    <t>tsai8563@gmail.com</t>
  </si>
  <si>
    <t>DK</t>
  </si>
  <si>
    <t>Feng-Chi</t>
  </si>
  <si>
    <t>medicou@gmail.com</t>
  </si>
  <si>
    <t>翌婜</t>
  </si>
  <si>
    <t>洪</t>
  </si>
  <si>
    <t>p0980879317@gmail.com</t>
  </si>
  <si>
    <t>ITe</t>
  </si>
  <si>
    <t>itlove96@gmail.com</t>
  </si>
  <si>
    <t>謝芳莒</t>
  </si>
  <si>
    <t>antonio@webmail.mlc.edu.tw</t>
  </si>
  <si>
    <t>朱恆吉</t>
  </si>
  <si>
    <t>朱</t>
  </si>
  <si>
    <t>a2786@ptfire.gov.tw</t>
  </si>
  <si>
    <t>林于倫</t>
  </si>
  <si>
    <t>linifen2003@yahoo.com.tw</t>
  </si>
  <si>
    <t>Christine Sung Christine Sung</t>
  </si>
  <si>
    <t>Christine Sung</t>
  </si>
  <si>
    <t>chris665tw@gmail.com</t>
  </si>
  <si>
    <t>Henry</t>
  </si>
  <si>
    <t>Yep</t>
  </si>
  <si>
    <t>henryc.yeh@huawei.com</t>
  </si>
  <si>
    <t>하호진</t>
  </si>
  <si>
    <t>하</t>
  </si>
  <si>
    <t>more6845@yahoo.com.tw</t>
  </si>
  <si>
    <t>Marine Price</t>
  </si>
  <si>
    <t>Price</t>
  </si>
  <si>
    <t>fpaul122128@gmail.com</t>
  </si>
  <si>
    <t>Lisa</t>
  </si>
  <si>
    <t>lisa26lee@icloud.com</t>
  </si>
  <si>
    <t>Benson</t>
  </si>
  <si>
    <t>benson0513@gmail.com</t>
  </si>
  <si>
    <t>M.s. Huang</t>
  </si>
  <si>
    <t>Huang</t>
  </si>
  <si>
    <t>go09393721l195@gmail.com</t>
  </si>
  <si>
    <t>蔡明達</t>
  </si>
  <si>
    <t>supardar@gmail.com</t>
  </si>
  <si>
    <t>陳文輝</t>
  </si>
  <si>
    <t>m.w.c.67@netzero.net</t>
  </si>
  <si>
    <t>鄭亦筌</t>
  </si>
  <si>
    <t>halalkhana@gmail.com</t>
  </si>
  <si>
    <t>維琛</t>
  </si>
  <si>
    <t>emmapca.888888@yahoo.com.tw</t>
  </si>
  <si>
    <t>Bryan Wan</t>
  </si>
  <si>
    <t>bryan@mviimodels.com</t>
  </si>
  <si>
    <t>陳震詠</t>
  </si>
  <si>
    <t>kaiyu814@gmail.com</t>
  </si>
  <si>
    <t>呂東城</t>
  </si>
  <si>
    <t>tonychen6688@gmail.com</t>
  </si>
  <si>
    <t>Chia</t>
  </si>
  <si>
    <t>Freeman</t>
  </si>
  <si>
    <t>bryantchia2000@yahoo.com.tw</t>
  </si>
  <si>
    <t>102emba01iem@gmail.com</t>
  </si>
  <si>
    <t>yoyo4386@gmail.com</t>
  </si>
  <si>
    <t>c73w05l01@yahoo.com.tw</t>
  </si>
  <si>
    <t>a7993466@gmail.com</t>
  </si>
  <si>
    <t>Love</t>
  </si>
  <si>
    <t>tlarry6688@gmail.com</t>
  </si>
  <si>
    <t>jess8mon@gmail.com</t>
  </si>
  <si>
    <t>ralph5511@yahoo.com.tw</t>
  </si>
  <si>
    <t>13702025353@163.com</t>
  </si>
  <si>
    <t>＋8615678058888</t>
  </si>
  <si>
    <t>ykhazel568@gmail.com</t>
  </si>
  <si>
    <t>warren5jessica@gmail.com</t>
  </si>
  <si>
    <t>coredefeder@yahoo.com.tw</t>
  </si>
  <si>
    <t>tiffany7470913@gmail.com</t>
  </si>
  <si>
    <t>cindy@ms94.url.com.tw</t>
  </si>
  <si>
    <t>teresa_qiu@yahoo.com.tw</t>
  </si>
  <si>
    <t>victliu22@gmail.com</t>
  </si>
  <si>
    <t>+886 937086698</t>
  </si>
  <si>
    <t>jason309@gmail.com</t>
  </si>
  <si>
    <t>vanfair@gmail.com</t>
  </si>
  <si>
    <t>amg.8899@163.com</t>
  </si>
  <si>
    <t>2017dong@gmail.com</t>
  </si>
  <si>
    <t>koai0210@gmasil.com</t>
  </si>
  <si>
    <t>1460498303@qq.com</t>
  </si>
  <si>
    <t>a0939196579@gmail.com</t>
  </si>
  <si>
    <t>funchilee@gmail.com</t>
  </si>
  <si>
    <t>amylin@hi-made.com.tw</t>
  </si>
  <si>
    <t>kyucud@gmail.com</t>
  </si>
  <si>
    <t>grace2stan@yahoo.com</t>
  </si>
  <si>
    <t>supercenter67@yahoo.com.tw</t>
  </si>
  <si>
    <t>wiewiesiesie@gmail.com</t>
  </si>
  <si>
    <t>Linrene@hotmail.com</t>
  </si>
  <si>
    <t>jjjkkkol@hotmail.com</t>
  </si>
  <si>
    <t>harryliang@hotmail.com</t>
  </si>
  <si>
    <t>ellen@ms.hhvs.tn.edu.tw</t>
  </si>
  <si>
    <t>ling8967@gmail.com</t>
  </si>
  <si>
    <t>ulysseslien@hotmail.com</t>
  </si>
  <si>
    <t>michael216600@gmail.com</t>
  </si>
  <si>
    <t>changhsinhua@gmail.com</t>
  </si>
  <si>
    <t>hkma48@hotmail.com</t>
  </si>
  <si>
    <t>337198023@qq.com</t>
  </si>
  <si>
    <t>you337198023@gmail.com</t>
  </si>
  <si>
    <t>shadiya1230@gmail.com</t>
  </si>
  <si>
    <t>wee2263@gmail.com</t>
  </si>
  <si>
    <t>julialin0918@gmail.com</t>
  </si>
  <si>
    <t>ly30176@ly.gov.tw</t>
  </si>
  <si>
    <t>hydemini319@gmail.com</t>
  </si>
  <si>
    <t>chanloe2002@gmail.com</t>
  </si>
  <si>
    <t>luyt15@yahoo.com.tw</t>
  </si>
  <si>
    <t>elliswang@me.com</t>
  </si>
  <si>
    <t>sharusic@yahoo.com.tw</t>
  </si>
  <si>
    <t>+886 0926216864</t>
  </si>
  <si>
    <t>tlu@ctsi-tech.com</t>
  </si>
  <si>
    <t>cellphones.tw@gmail.com</t>
  </si>
  <si>
    <t>IN</t>
  </si>
  <si>
    <t>905663261@qq.com</t>
  </si>
  <si>
    <t>Shi</t>
  </si>
  <si>
    <t>h0958683686@gmail.com</t>
  </si>
  <si>
    <t>John</t>
  </si>
  <si>
    <t>John6792@qq.com</t>
  </si>
  <si>
    <t>Joyce</t>
  </si>
  <si>
    <t>joyce@1deepmind.com</t>
  </si>
  <si>
    <r>
      <rPr>
        <rFont val="Inconsolata"/>
        <sz val="10.0"/>
      </rPr>
      <t>+</t>
    </r>
    <r>
      <rPr>
        <rFont val="Inconsolata"/>
        <color rgb="FF1155CC"/>
        <sz val="10.0"/>
      </rPr>
      <t>886</t>
    </r>
    <r>
      <rPr>
        <rFont val="Inconsolata"/>
        <sz val="10.0"/>
      </rPr>
      <t xml:space="preserve"> </t>
    </r>
    <r>
      <rPr>
        <rFont val="Inconsolata"/>
        <color rgb="FF1155CC"/>
        <sz val="10.0"/>
      </rPr>
      <t>906000080</t>
    </r>
  </si>
  <si>
    <t>NL</t>
  </si>
  <si>
    <t>chiashenghuang</t>
  </si>
  <si>
    <t>chiashenghuang001@gmail.com</t>
  </si>
  <si>
    <t>EMAAR PANORAMA - PAKISTAN</t>
  </si>
  <si>
    <t>AbuMajid Idris</t>
  </si>
  <si>
    <t>majidabu@hotmail.com</t>
  </si>
  <si>
    <t>AMAN</t>
  </si>
  <si>
    <t>HEIDI</t>
  </si>
  <si>
    <t>Feroze Khanani</t>
  </si>
  <si>
    <t>feroze_khanani@hotmail.com</t>
  </si>
  <si>
    <t>Abdul Raheem</t>
  </si>
  <si>
    <t>saraheem@gmail.com</t>
  </si>
  <si>
    <t>Javed Ahmedjee</t>
  </si>
  <si>
    <t>javed.ahmedjee@gmail.com</t>
  </si>
  <si>
    <t>Zawar Aijaz Hussain Khichi</t>
  </si>
  <si>
    <t>hussainzawaraijaz@gmail.com</t>
  </si>
  <si>
    <t>rizwan zafar</t>
  </si>
  <si>
    <t>aliyarizwan_1@yahoo.com</t>
  </si>
  <si>
    <t>Muhammad Noman Feroz</t>
  </si>
  <si>
    <t>noman_fz@hotmail.com</t>
  </si>
  <si>
    <t>MAAZ</t>
  </si>
  <si>
    <t>Mir Wazir Shah</t>
  </si>
  <si>
    <t>mirwazirshah2018@gmail.com</t>
  </si>
  <si>
    <t>4_bedrooms</t>
  </si>
  <si>
    <t>M Waseem Vohra</t>
  </si>
  <si>
    <t>vohra.waseem73@gmail.com</t>
  </si>
  <si>
    <t>Muhammad Aftab Alam</t>
  </si>
  <si>
    <t>harram51@gmail.com</t>
  </si>
  <si>
    <t>MUSHTAQ</t>
  </si>
  <si>
    <t>Anjum Rahman Ehsan</t>
  </si>
  <si>
    <t>anjum.n.rahman@gmail.com</t>
  </si>
  <si>
    <t>Sadiqa Shaheen</t>
  </si>
  <si>
    <t>sadiqashaheen@hotmail.com</t>
  </si>
  <si>
    <t>Rehan Allahwala</t>
  </si>
  <si>
    <t>rehan@supertec.com</t>
  </si>
  <si>
    <t>FAZEEL</t>
  </si>
  <si>
    <t>Hussain Khurram</t>
  </si>
  <si>
    <t>9ighteen86@gmail.com</t>
  </si>
  <si>
    <t>Waqas Ahmad Khan</t>
  </si>
  <si>
    <t>aqiwaq@gmail.com</t>
  </si>
  <si>
    <t>Tikam Shahani</t>
  </si>
  <si>
    <t>Shahani88@hotmail.com</t>
  </si>
  <si>
    <t>SAMA</t>
  </si>
  <si>
    <t>amjad khan</t>
  </si>
  <si>
    <t>aajbrothers3@gmail.com</t>
  </si>
  <si>
    <t>Ali Raza Kara</t>
  </si>
  <si>
    <t>alikara110@gmail.com</t>
  </si>
  <si>
    <t>0333 2171116</t>
  </si>
  <si>
    <t>Tariq Gatta</t>
  </si>
  <si>
    <t>tariq.gatta123@gmail.com</t>
  </si>
  <si>
    <t>SAIRA</t>
  </si>
  <si>
    <t>Khawaja Javed</t>
  </si>
  <si>
    <t>khawajasons@khawajasons.com.pk</t>
  </si>
  <si>
    <t>Imran Arif</t>
  </si>
  <si>
    <t>imran8272403@gmail.com</t>
  </si>
  <si>
    <t>Ch Irshad Hussain</t>
  </si>
  <si>
    <t>ch.irshadhussain@live.com</t>
  </si>
  <si>
    <t>NADIA</t>
  </si>
  <si>
    <t>Abdul Rauf Memon</t>
  </si>
  <si>
    <t>raufmemon594@gmail.com</t>
  </si>
  <si>
    <t>Muhammad Khurram Younus</t>
  </si>
  <si>
    <t>imkhurram@hotmail.com</t>
  </si>
  <si>
    <t>Farasat Ali Khan</t>
  </si>
  <si>
    <t>farasat.khan65@gmail.com</t>
  </si>
  <si>
    <t>Kamran Bashir</t>
  </si>
  <si>
    <t>kbashir@4ctechnologies.com</t>
  </si>
  <si>
    <t>Imran Jan</t>
  </si>
  <si>
    <t>imranjann66@gmail.com</t>
  </si>
  <si>
    <t>Adnan Ahmed</t>
  </si>
  <si>
    <t>junaidpp_79@yahoo.com</t>
  </si>
  <si>
    <t>Salman Rao</t>
  </si>
  <si>
    <t>salmanrao2011@live.com</t>
  </si>
  <si>
    <t>Stmedia Tahir</t>
  </si>
  <si>
    <t>stmedia.tahir@live.com</t>
  </si>
  <si>
    <t>Adeel Zia</t>
  </si>
  <si>
    <t>adeel_zia@hotmail.com</t>
  </si>
  <si>
    <t>WAQAS</t>
  </si>
  <si>
    <t>Dawarka Keswani</t>
  </si>
  <si>
    <t>dawarkakeswani@yahoo.com</t>
  </si>
  <si>
    <t>Abdul Kadir Haroon</t>
  </si>
  <si>
    <t>kadir_haroon@hotmail.com</t>
  </si>
  <si>
    <t>Imran Rauf</t>
  </si>
  <si>
    <t>ittefaqtrader239855@gmail.com</t>
  </si>
  <si>
    <t>TAMARA</t>
  </si>
  <si>
    <t>Mahnaz Pasha</t>
  </si>
  <si>
    <t>nazoabbasi@hotmail.com</t>
  </si>
  <si>
    <t>Vikram Batheja</t>
  </si>
  <si>
    <t>dmarkshealthcare@gmail.com</t>
  </si>
  <si>
    <t>Murtaza Hussain</t>
  </si>
  <si>
    <t>murtazahussain9987@gmail.com</t>
  </si>
  <si>
    <t>03338527771 &amp; 03218527771</t>
  </si>
  <si>
    <t>NABEEL</t>
  </si>
  <si>
    <t>Khalid hussain</t>
  </si>
  <si>
    <t>khalidkazmi7@gmail.com</t>
  </si>
  <si>
    <t>Awais M Mughal</t>
  </si>
  <si>
    <t>awaismaqsoodm@icloud.com</t>
  </si>
  <si>
    <t>Hunain Ahmed</t>
  </si>
  <si>
    <t>hunnymemon0800@gmail.com</t>
  </si>
  <si>
    <t>SABA</t>
  </si>
  <si>
    <t>SH Fahad Javed</t>
  </si>
  <si>
    <t>soft2smile@gmail.com</t>
  </si>
  <si>
    <t>Naeem Khan</t>
  </si>
  <si>
    <t>apex.electronet@gmail.com</t>
  </si>
  <si>
    <t>Shahmir Shahraiz Shahzain</t>
  </si>
  <si>
    <t>pretty_shaheen2005@yahoo.com</t>
  </si>
  <si>
    <t>Zubair Aftab</t>
  </si>
  <si>
    <t>zubairaftab@gmail.com</t>
  </si>
  <si>
    <t>Ehtsham Qureshi</t>
  </si>
  <si>
    <t>ehtshamqureshi5@gmail.com</t>
  </si>
  <si>
    <t>Imran bukhari</t>
  </si>
  <si>
    <t>irektm467@gmail.com</t>
  </si>
  <si>
    <t>SHRUTI</t>
  </si>
  <si>
    <t>Dureafshan Ali</t>
  </si>
  <si>
    <t>dureafshan@hotmail.com</t>
  </si>
  <si>
    <t>Amir Khan</t>
  </si>
  <si>
    <t>amirkhan.queries@gmail.com</t>
  </si>
  <si>
    <t>Sarah Ali</t>
  </si>
  <si>
    <t>sarahali__@hotmail.com</t>
  </si>
  <si>
    <t>SUVIDHA</t>
  </si>
  <si>
    <t>Javed Iqbal Samejo Journalist</t>
  </si>
  <si>
    <t>javedsamejo30@gmail.com</t>
  </si>
  <si>
    <t>Sohail Ali</t>
  </si>
  <si>
    <t>sohailaliaqc077@gmail.com</t>
  </si>
  <si>
    <t>Muhammad Mateen</t>
  </si>
  <si>
    <t>mateen7382@gmail.com</t>
  </si>
  <si>
    <t>Yasir Iqbal Memon</t>
  </si>
  <si>
    <t>dryasiriqbalmemon@gmail.com</t>
  </si>
  <si>
    <t>Shakeel Anjum</t>
  </si>
  <si>
    <t>shaheeroen@gmail.com</t>
  </si>
  <si>
    <t>Irum Wajid</t>
  </si>
  <si>
    <t>irumwajid91@gmail.com</t>
  </si>
  <si>
    <t>Syed Muhammad Saeed</t>
  </si>
  <si>
    <t>saeed_shah15881@yahoo.com</t>
  </si>
  <si>
    <t>payment schedule</t>
  </si>
  <si>
    <t>Faraz Ahmed</t>
  </si>
  <si>
    <t>foozy24@yahoo.com</t>
  </si>
  <si>
    <t>Mohammad Atif Pasha</t>
  </si>
  <si>
    <t>pasha@themidmac.com</t>
  </si>
  <si>
    <t>Mirza Aurangzaib</t>
  </si>
  <si>
    <t>am03002293233@gmail.com</t>
  </si>
  <si>
    <t>Syed Muhammad Akram</t>
  </si>
  <si>
    <t>allianceenterprises2000@yahoo.com</t>
  </si>
  <si>
    <t>Babar Ali Pirzada</t>
  </si>
  <si>
    <t>babaralipirzada786@gmail.com</t>
  </si>
  <si>
    <t>maatifabbasi@gmail.com</t>
  </si>
  <si>
    <t>Syed Turab Ali Shah</t>
  </si>
  <si>
    <t>turabshah-110@hotmail.com</t>
  </si>
  <si>
    <t>Khadim Ul Haq</t>
  </si>
  <si>
    <t>crunchoohaq@gmail.com</t>
  </si>
  <si>
    <t>EMILY</t>
  </si>
  <si>
    <t>Uzma Iqbal</t>
  </si>
  <si>
    <t>uzmammar85@gmail.com</t>
  </si>
  <si>
    <t>Mushtaq</t>
  </si>
  <si>
    <t>Syed Farrukh Rasheed</t>
  </si>
  <si>
    <t>sfrasheed@gmail.com</t>
  </si>
  <si>
    <t>Maaz</t>
  </si>
  <si>
    <t>Ayesha Fahad</t>
  </si>
  <si>
    <t>ayeshajan18@gmail.com</t>
  </si>
  <si>
    <t>Fazeel</t>
  </si>
  <si>
    <t>sham mirza</t>
  </si>
  <si>
    <t>shamasmirza1978@gmail.com</t>
  </si>
  <si>
    <t>Saira</t>
  </si>
  <si>
    <t>Imran Iqbal Memon</t>
  </si>
  <si>
    <t>perfectinterior60@gmail.com</t>
  </si>
  <si>
    <t>Elena</t>
  </si>
  <si>
    <t>Farhan Memon</t>
  </si>
  <si>
    <t>Sama</t>
  </si>
  <si>
    <t>Rafique Ahmed Budani Memon</t>
  </si>
  <si>
    <t>drrafique1966@yahoo.com</t>
  </si>
  <si>
    <t>Nadia</t>
  </si>
  <si>
    <t>Memon Shaneel</t>
  </si>
  <si>
    <t>muslimbinaquil@hotmail.com</t>
  </si>
  <si>
    <t>Nadeem Akhtar</t>
  </si>
  <si>
    <t>nadeemjan1@hotmail.com</t>
  </si>
  <si>
    <t>sImran Naqvi</t>
  </si>
  <si>
    <t>imrannaqviNaqvi29@Email.com</t>
  </si>
  <si>
    <t>syed latif shah</t>
  </si>
  <si>
    <t>syedlatifsha@gmail.com</t>
  </si>
  <si>
    <t>Fauzi Nadeem</t>
  </si>
  <si>
    <t>fauzinadeem02@hotmail.com</t>
  </si>
  <si>
    <t>Sana B Rao</t>
  </si>
  <si>
    <t>sanaarao@gmail.com</t>
  </si>
  <si>
    <t>Mohammad Kamran Azeem</t>
  </si>
  <si>
    <t>rabiaconsultancy01@gmail.com</t>
  </si>
  <si>
    <t>Mohsin Iqbal</t>
  </si>
  <si>
    <t>mohsiniqbal13@hotmail.com</t>
  </si>
  <si>
    <t>Mohammad Umair Siddiqui</t>
  </si>
  <si>
    <t>umair.muqeem@hotmail.com</t>
  </si>
  <si>
    <t>Ahmed Mujtaba Saand</t>
  </si>
  <si>
    <t>mujtaba-saand@hotmail.com</t>
  </si>
  <si>
    <t>Manoj Kumar Malhi</t>
  </si>
  <si>
    <t>manojkk.malhi@gmail.com</t>
  </si>
  <si>
    <t>Tayyaba Munir</t>
  </si>
  <si>
    <t>tayyabamunir30@gmail.com</t>
  </si>
  <si>
    <t>Junaid Tahir</t>
  </si>
  <si>
    <t>syedjunaidtahir@yahoo.com</t>
  </si>
  <si>
    <t>Hasnain Awan</t>
  </si>
  <si>
    <t>awan.hasnain@gmail.com</t>
  </si>
  <si>
    <t>Adnan Siddiqi</t>
  </si>
  <si>
    <t>flusheeyes@hotmail.com</t>
  </si>
  <si>
    <t>Mohammad Rizwan Parekh</t>
  </si>
  <si>
    <t>mrrizwanparekh@ymail.com</t>
  </si>
  <si>
    <t>Ubaid UR Rehman</t>
  </si>
  <si>
    <t>smubaid@rocketmail.com</t>
  </si>
  <si>
    <t>Shahab Qureshi</t>
  </si>
  <si>
    <t>shahab6666@hotmail.com</t>
  </si>
  <si>
    <t>Amna Mullick</t>
  </si>
  <si>
    <t>amna.mullick70@gmail.com</t>
  </si>
  <si>
    <t>Arshad Ali Khan</t>
  </si>
  <si>
    <t>khann3@yahoo.no</t>
  </si>
  <si>
    <t>Usama Munir</t>
  </si>
  <si>
    <t>usama48@gmail.com</t>
  </si>
  <si>
    <t>Abdul Samad</t>
  </si>
  <si>
    <t>samad134@hotmail.com</t>
  </si>
  <si>
    <t>Zeeshan Haroon</t>
  </si>
  <si>
    <t>Zekht@yahoo.com</t>
  </si>
  <si>
    <t>Parvaiz Ali</t>
  </si>
  <si>
    <t>aliparvaiz.pa@gmail.com</t>
  </si>
  <si>
    <t>Munik Manzoor</t>
  </si>
  <si>
    <t>munir.manzoor@gmail.com</t>
  </si>
  <si>
    <t>Asim Rehman</t>
  </si>
  <si>
    <t>a4asim@gmail.com</t>
  </si>
  <si>
    <t>Abdul Khalique Domki</t>
  </si>
  <si>
    <t>dr.akd.ddhe@gmail.com</t>
  </si>
  <si>
    <t>Burhan Shaikh</t>
  </si>
  <si>
    <t>burri_shaikh@hotmail.com</t>
  </si>
  <si>
    <t>Tariq Raheem</t>
  </si>
  <si>
    <t>tariqrhm@gmail.com</t>
  </si>
  <si>
    <t>m arif khan</t>
  </si>
  <si>
    <t>m.ramis.arifkhan@gmail.com</t>
  </si>
  <si>
    <t>Rizwan Ahmed</t>
  </si>
  <si>
    <t>rizzz.ahmed007@gmail.com</t>
  </si>
  <si>
    <t>Waqar Ahmed Khan</t>
  </si>
  <si>
    <t>ahmedwaquaar@yahoo.com</t>
  </si>
  <si>
    <t>Shah Zaman</t>
  </si>
  <si>
    <t>szkhan46@yahoo.com</t>
  </si>
  <si>
    <t>Ateeq Ur Rehman Rana</t>
  </si>
  <si>
    <t>rehman652@gmail.com</t>
  </si>
  <si>
    <t>Nawaz Khan</t>
  </si>
  <si>
    <t>nkalizai@gmail.com</t>
  </si>
  <si>
    <t>pls inbox details</t>
  </si>
  <si>
    <t>RF Mobiles</t>
  </si>
  <si>
    <t>arifmobiles90@gmail.com</t>
  </si>
  <si>
    <t>Sabeen Khawaja</t>
  </si>
  <si>
    <t>sabeenfaseeh@gmail.com</t>
  </si>
  <si>
    <t>Asmat Ullah Shah Kakar</t>
  </si>
  <si>
    <t>pirasmatshah7@gmail.com</t>
  </si>
  <si>
    <t>Rajesh Kumar</t>
  </si>
  <si>
    <t>rscomunications@yahoo.com</t>
  </si>
  <si>
    <t>Waqar Ahmed</t>
  </si>
  <si>
    <t>mubasherawaqar@gmail.com</t>
  </si>
  <si>
    <t>Shahid Ahmed</t>
  </si>
  <si>
    <t>shahidahmed410@gmail.com</t>
  </si>
  <si>
    <t>Asif Tawakal</t>
  </si>
  <si>
    <t>asiftawakal@yahoo.com</t>
  </si>
  <si>
    <t>Dr Abdul Qadeer Alias Faheem Shaikh</t>
  </si>
  <si>
    <t>dr.aqs630@gmail.com</t>
  </si>
  <si>
    <t>Imran Ulhaq</t>
  </si>
  <si>
    <t>drimranulhaq88@live.com</t>
  </si>
  <si>
    <t>Azra Khalid</t>
  </si>
  <si>
    <t>azrakhalid8627@gmail.com</t>
  </si>
  <si>
    <t>Rubina Yousuf</t>
  </si>
  <si>
    <t>rubina.ry.yousuf@gmail.com</t>
  </si>
  <si>
    <t>Imran Khan</t>
  </si>
  <si>
    <t>ImranQarni83@gmail.com</t>
  </si>
  <si>
    <t>Sajid Abidi</t>
  </si>
  <si>
    <t>s.baqarabidi@gmail.com</t>
  </si>
  <si>
    <t>ASad Suleman</t>
  </si>
  <si>
    <t>kewl_shah@hotmail.com</t>
  </si>
  <si>
    <t>Abida Sohail Memon</t>
  </si>
  <si>
    <t>abiha_memon@hotmail.com</t>
  </si>
  <si>
    <t>Yasir Ali</t>
  </si>
  <si>
    <t>yasirilyas77@gmail.com</t>
  </si>
  <si>
    <t>Naziya Imran</t>
  </si>
  <si>
    <t>naziaimran98@gmail.com</t>
  </si>
  <si>
    <t>Khurshid Ahmad</t>
  </si>
  <si>
    <t>khurshid.ahmad@hotmail.com</t>
  </si>
  <si>
    <t>Asif Faqir</t>
  </si>
  <si>
    <t>azzywazzy@gmail.com</t>
  </si>
  <si>
    <t>Fahim Khan</t>
  </si>
  <si>
    <t>fahim.khan.fk2000@gmail.com</t>
  </si>
  <si>
    <t>Najaf Ali</t>
  </si>
  <si>
    <t>najafali83@gmail.com</t>
  </si>
  <si>
    <t>Rahim Sohani</t>
  </si>
  <si>
    <t>rahimsohani3@gmail.com</t>
  </si>
  <si>
    <t>Muhammad Arfeen</t>
  </si>
  <si>
    <t>arfeenkaif@gmail.com</t>
  </si>
  <si>
    <t>Asif Ali</t>
  </si>
  <si>
    <t>masifasif258@gmail.com</t>
  </si>
  <si>
    <t>Skousar Kousar</t>
  </si>
  <si>
    <t>skousar2001@gmail.com</t>
  </si>
  <si>
    <t>Kaleem Uddin Qurashi</t>
  </si>
  <si>
    <t>karachicng@yahoo.com</t>
  </si>
  <si>
    <t>price</t>
  </si>
  <si>
    <t>Shahzad Zaar</t>
  </si>
  <si>
    <t>dr.czar@sbcglobal.net</t>
  </si>
  <si>
    <t>Muhammad Ahsan</t>
  </si>
  <si>
    <t>dr.ahsan786@hotmail.com</t>
  </si>
  <si>
    <t>Omer Farooq</t>
  </si>
  <si>
    <t>wah_omer@hotmail.com</t>
  </si>
  <si>
    <t>Sanam Rehan</t>
  </si>
  <si>
    <t>sanam.rehan66@gmail.com</t>
  </si>
  <si>
    <t>Arshad Imam</t>
  </si>
  <si>
    <t>wholfimam260@yahoo.com</t>
  </si>
  <si>
    <t>Naveds Ahmed</t>
  </si>
  <si>
    <t>navedssssss@hotmail.com</t>
  </si>
  <si>
    <t>Agha Shahid</t>
  </si>
  <si>
    <t>aghashahidk@gmail.com</t>
  </si>
  <si>
    <t>Zubair Hafeez</t>
  </si>
  <si>
    <t>zubi863@yahoo.com</t>
  </si>
  <si>
    <t>Shahid Baig</t>
  </si>
  <si>
    <t>shahidbaig911@gmail.com</t>
  </si>
  <si>
    <t>FERAZ</t>
  </si>
  <si>
    <t>Javied Haroon</t>
  </si>
  <si>
    <t>differentfertilizer@gmail.com</t>
  </si>
  <si>
    <t>Raja Imran</t>
  </si>
  <si>
    <t>imranraja136@gmail.com</t>
  </si>
  <si>
    <t>Fayaz Gul</t>
  </si>
  <si>
    <t>engr.fg@gmail.com</t>
  </si>
  <si>
    <t>Faisal Saiyed</t>
  </si>
  <si>
    <t>faisalns95@gmail.com</t>
  </si>
  <si>
    <t>001 4162765703</t>
  </si>
  <si>
    <t>Faiza Haseeb</t>
  </si>
  <si>
    <t>faisunny350@gmail.com</t>
  </si>
  <si>
    <t>Rehana Babar</t>
  </si>
  <si>
    <t>zaheerbabarmd@yahoo.com</t>
  </si>
  <si>
    <t>Muhammad Rashid</t>
  </si>
  <si>
    <t>dadababa@live.com</t>
  </si>
  <si>
    <t>Khizarhayat Khizar</t>
  </si>
  <si>
    <t>khizarhayat@gmail.com</t>
  </si>
  <si>
    <t>Toseef Ahmad</t>
  </si>
  <si>
    <t>drtoseefahmad@yahoo.com</t>
  </si>
  <si>
    <t>Atif Khan</t>
  </si>
  <si>
    <t>kashifshiekh76@gmail.com</t>
  </si>
  <si>
    <t>Amin Ullah</t>
  </si>
  <si>
    <t>Amin8383983@gmail.com</t>
  </si>
  <si>
    <t>Sadaqat Arif</t>
  </si>
  <si>
    <t>Sadaqatarif@gmail.com</t>
  </si>
  <si>
    <t>Samia Shahid</t>
  </si>
  <si>
    <t>samina133@gmail.com</t>
  </si>
  <si>
    <t>Abdul Qadir</t>
  </si>
  <si>
    <t>ghaziani42@hotmail.com</t>
  </si>
  <si>
    <t>Saima Abid</t>
  </si>
  <si>
    <t>saima786abid@gmail.com</t>
  </si>
  <si>
    <t>Ahsan</t>
  </si>
  <si>
    <t>ahsanfarooqui@yahoo.com</t>
  </si>
  <si>
    <t>Ali Muhammad Sahito</t>
  </si>
  <si>
    <t>amsahitona219@gmail.com</t>
  </si>
  <si>
    <t>Kamran Ansari</t>
  </si>
  <si>
    <t>aplayboyyyy@aol.com</t>
  </si>
  <si>
    <t>Kashif Iqbal</t>
  </si>
  <si>
    <t>kashifiqbal.k@gmail.com</t>
  </si>
  <si>
    <t>Najeeb Memon</t>
  </si>
  <si>
    <t>najeebmemon@hotmail.com</t>
  </si>
  <si>
    <t>Sahib Baloch</t>
  </si>
  <si>
    <t>maryambaloch01@gmail.com</t>
  </si>
  <si>
    <t>0300 9225573</t>
  </si>
  <si>
    <t>Asma Hasan</t>
  </si>
  <si>
    <t>asmamhassn@gmail.com</t>
  </si>
  <si>
    <t>0300 824 3381</t>
  </si>
  <si>
    <t>BAKHTAWER</t>
  </si>
  <si>
    <t>M Saqi Bano musrat jabeen</t>
  </si>
  <si>
    <t>mademjabeen@yahoo.com</t>
  </si>
  <si>
    <t>Muhammad Farhan Khan</t>
  </si>
  <si>
    <t>muhammadfarhank@yahoo.com</t>
  </si>
  <si>
    <t>Adnan Shaikh</t>
  </si>
  <si>
    <t>adnanshaikh_666@hotmail.com</t>
  </si>
  <si>
    <t>Ejaz Mehmood Khan</t>
  </si>
  <si>
    <t>ejazkhanz@gmail.com</t>
  </si>
  <si>
    <t>Shehla Naseem</t>
  </si>
  <si>
    <t>shehlanaseem@gmail.com</t>
  </si>
  <si>
    <t>Haleem Khan</t>
  </si>
  <si>
    <t>haleemk@gmail.com</t>
  </si>
  <si>
    <t>Aammad Qureshi</t>
  </si>
  <si>
    <t>ammadq9@gmail.com</t>
  </si>
  <si>
    <t>Hundraj Athwani</t>
  </si>
  <si>
    <t>dr.hundraj@gmail.com</t>
  </si>
  <si>
    <t>Aftab Wardag</t>
  </si>
  <si>
    <t>imwardag@hotmail.com</t>
  </si>
  <si>
    <t>Gudoo Shah</t>
  </si>
  <si>
    <t>agha.shah@hotmail.com</t>
  </si>
  <si>
    <t>Shabbir Zaveri</t>
  </si>
  <si>
    <t>shabbirzaveri77@gmail.com</t>
  </si>
  <si>
    <t>+ 92 321 9210722</t>
  </si>
  <si>
    <t>Abid Hussain Abid</t>
  </si>
  <si>
    <t>rajashahshaikh@gmail.com</t>
  </si>
  <si>
    <t>Habib Basravi</t>
  </si>
  <si>
    <t>habibbasravi@aol.com</t>
  </si>
  <si>
    <t>Santosh Kumar</t>
  </si>
  <si>
    <t>santoshprem8@gmail.com</t>
  </si>
  <si>
    <t>Amir Malik</t>
  </si>
  <si>
    <t>amirmalik3636@gmail.com</t>
  </si>
  <si>
    <t>Danish Khan</t>
  </si>
  <si>
    <t>dashingdani274@gmail.com</t>
  </si>
  <si>
    <t>Sarfraz Ahmed</t>
  </si>
  <si>
    <t>european.textilechemicals@gmail.com</t>
  </si>
  <si>
    <t>Yawar Raza Chawla</t>
  </si>
  <si>
    <t>chawlayawar@gmail.com</t>
  </si>
  <si>
    <t>Hamid Mughal ,,*</t>
  </si>
  <si>
    <t>hamidmughal2055@gmail.com</t>
  </si>
  <si>
    <t>+92 332 9760794</t>
  </si>
  <si>
    <t>Nida Shahbaz</t>
  </si>
  <si>
    <t>lynnymphster@gmail.com</t>
  </si>
  <si>
    <t>Muhammad Suhail</t>
  </si>
  <si>
    <t>m.suhailmemon066@gmail.com</t>
  </si>
  <si>
    <t>0321-3766560</t>
  </si>
  <si>
    <t>Muhammad Umar Farooq</t>
  </si>
  <si>
    <t>umarryk@hotmail.com</t>
  </si>
  <si>
    <t>Ali Asghar</t>
  </si>
  <si>
    <t>Alie.asgher@gmail.com</t>
  </si>
  <si>
    <t>Faheem Azeemi</t>
  </si>
  <si>
    <t>fv1998@hotmail.com</t>
  </si>
  <si>
    <t>Ahmed Israr Syed</t>
  </si>
  <si>
    <t>drsiahmed@gmail.com</t>
  </si>
  <si>
    <t>Ahmedraza Silat</t>
  </si>
  <si>
    <t>ahmedrazasilat@gmail.com</t>
  </si>
  <si>
    <t>Jawad Zaidi</t>
  </si>
  <si>
    <t>jawwadimet@gmail.com</t>
  </si>
  <si>
    <t>Soofia Ahmed</t>
  </si>
  <si>
    <t>sofiashahzain1212@gmail.com</t>
  </si>
  <si>
    <t>MrsAmira Hammad</t>
  </si>
  <si>
    <t>hussainmuhammad79@gmail.com</t>
  </si>
  <si>
    <t>Irfan Naz</t>
  </si>
  <si>
    <t>irfanmemon40@gmail.com</t>
  </si>
  <si>
    <t>Ghulam Farid</t>
  </si>
  <si>
    <t>ghulamfarid72@gmail.com</t>
  </si>
  <si>
    <t>0301-8281031</t>
  </si>
  <si>
    <t>Muhammed Wasif Laeeq</t>
  </si>
  <si>
    <t>wasiflaeeq@yahoo.com</t>
  </si>
  <si>
    <t>Imran Afzal</t>
  </si>
  <si>
    <t>imran20august@hotmail.com</t>
  </si>
  <si>
    <t>Salman Mahmood</t>
  </si>
  <si>
    <t>rawalseeds@gmail.com</t>
  </si>
  <si>
    <t>Athar Tariq</t>
  </si>
  <si>
    <t>athartariq@hotmail.com</t>
  </si>
  <si>
    <t>Faisal Qadir</t>
  </si>
  <si>
    <t>fqemb93@gmail.com</t>
  </si>
  <si>
    <t>Attiq Khan</t>
  </si>
  <si>
    <t>aurkk@yahoo.com</t>
  </si>
  <si>
    <t>Ahmad Aziz Madni</t>
  </si>
  <si>
    <t>adotmadni7@hotmail.com</t>
  </si>
  <si>
    <t>Saif Kureshi</t>
  </si>
  <si>
    <t>saife4u84@hotmail.com</t>
  </si>
  <si>
    <t>Saima Dahri</t>
  </si>
  <si>
    <t>saima.dahri@hotmail.com</t>
  </si>
  <si>
    <t>Kashif Patel</t>
  </si>
  <si>
    <t>kashif.patel.khatri24@gmail.com</t>
  </si>
  <si>
    <t>o3232108378</t>
  </si>
  <si>
    <t>Syed Zahid Farooq Ali</t>
  </si>
  <si>
    <t>zahidbinfarooq@yahoo.com</t>
  </si>
  <si>
    <t>Muhammad Tauseef</t>
  </si>
  <si>
    <t>m.tauseefyousuf@gmail.com</t>
  </si>
  <si>
    <t>Azmat Ullah</t>
  </si>
  <si>
    <t>ajji2009@live.com</t>
  </si>
  <si>
    <t>Imran Warraich</t>
  </si>
  <si>
    <t>imran.abuharbibri1@gmail.com</t>
  </si>
  <si>
    <t>00968 92050755</t>
  </si>
  <si>
    <t>Sumair Iqbal</t>
  </si>
  <si>
    <t>sumair_nawab@hotmail.com</t>
  </si>
  <si>
    <t>Abdul Wahab</t>
  </si>
  <si>
    <t>hajiwahabmemon@gmail.com</t>
  </si>
  <si>
    <t>EMAD</t>
  </si>
  <si>
    <t>Muhammad Kashif Raza</t>
  </si>
  <si>
    <t>krkraza1@gmail.com</t>
  </si>
  <si>
    <t xml:space="preserve"> EMAAR PANORAMA </t>
  </si>
  <si>
    <t>Arif</t>
  </si>
  <si>
    <t xml:space="preserve"> My.cityy431@gmail.com</t>
  </si>
  <si>
    <t xml:space="preserve">EMAAR PANORAMA </t>
  </si>
  <si>
    <t>daniel</t>
  </si>
  <si>
    <t>danieldemas111@gmail.com</t>
  </si>
  <si>
    <t>sama</t>
  </si>
  <si>
    <t xml:space="preserve"> haseeb lassi</t>
  </si>
  <si>
    <t>haseebanwar445@gmail.com</t>
  </si>
  <si>
    <t>03362295870</t>
  </si>
  <si>
    <t>Amna SHABBIR</t>
  </si>
  <si>
    <t>amna.shabbir@gmail.com</t>
  </si>
  <si>
    <t>03018566435</t>
  </si>
  <si>
    <t>elena</t>
  </si>
  <si>
    <t>EMAAR PANORAMA</t>
  </si>
  <si>
    <t>Umar Malik</t>
  </si>
  <si>
    <t>umarmalik1@outlook.com</t>
  </si>
  <si>
    <t>Tayyab Khara</t>
  </si>
  <si>
    <t>tayyabkhara@gmail.com</t>
  </si>
  <si>
    <t>Atif</t>
  </si>
  <si>
    <t>atif_281@hotmail.com</t>
  </si>
  <si>
    <t xml:space="preserve"> 0553028652</t>
  </si>
  <si>
    <t>maaz</t>
  </si>
  <si>
    <t>Behzad hassan</t>
  </si>
  <si>
    <t>Malikbehzad05@gmail.com</t>
  </si>
  <si>
    <t xml:space="preserve"> 03452964971</t>
  </si>
  <si>
    <t>Faik Haq</t>
  </si>
  <si>
    <t>faikhaq@gmail.com</t>
  </si>
  <si>
    <t>haidi</t>
  </si>
  <si>
    <t>Zar Wali Afridi</t>
  </si>
  <si>
    <t>afridic7@gmail.com</t>
  </si>
  <si>
    <t>0332-6078888</t>
  </si>
  <si>
    <t>JAMEEL Ahmed Bhutto</t>
  </si>
  <si>
    <t>bhuttojameel@yahoo.com</t>
  </si>
  <si>
    <t>asad Bhutto</t>
  </si>
  <si>
    <t>m.asadbhutto@gmail.com</t>
  </si>
  <si>
    <t>03458272321 WhatsApp</t>
  </si>
  <si>
    <t>Ameen Siddiqui</t>
  </si>
  <si>
    <t>asrohail@gmail.com</t>
  </si>
  <si>
    <t>Muhammed Tayyab</t>
  </si>
  <si>
    <t>muhammedtayyab@hotmail.com</t>
  </si>
  <si>
    <t>Taimur Zafar Usman</t>
  </si>
  <si>
    <t>tzu@alusman.com</t>
  </si>
  <si>
    <t>Zubair Patel</t>
  </si>
  <si>
    <t>zpatel@texpertlinen.com</t>
  </si>
  <si>
    <t>Akif Shaikh</t>
  </si>
  <si>
    <t>akifmshaikh@gmail.com</t>
  </si>
  <si>
    <t>Mariam Faisal</t>
  </si>
  <si>
    <t>mariamsaya@gmail.com</t>
  </si>
  <si>
    <t>0300-2534121</t>
  </si>
  <si>
    <t>Nadeem Ul Hasan Zaidi</t>
  </si>
  <si>
    <t>hassan.sonscfa@gmail.com</t>
  </si>
  <si>
    <t>Kamran Ahmed Abbasi</t>
  </si>
  <si>
    <t>kamranabbasi81@gmail.com</t>
  </si>
  <si>
    <t>Tanweer Anwer Khan</t>
  </si>
  <si>
    <t>tanweeranwerkhan@gmail.com</t>
  </si>
  <si>
    <t>Muhammad Suffyan</t>
  </si>
  <si>
    <t>m.suffyan@outlook.com</t>
  </si>
  <si>
    <t>Muhammad Bilal</t>
  </si>
  <si>
    <t>dagger_86@hotmail.com</t>
  </si>
  <si>
    <t>Abid Hussain</t>
  </si>
  <si>
    <t>abidhoosain@gmail.com</t>
  </si>
  <si>
    <t>saira</t>
  </si>
  <si>
    <t>Rehan Khan</t>
  </si>
  <si>
    <t>rehan_301@hotmail.com</t>
  </si>
  <si>
    <t>Kaleemuddin Siddiqui</t>
  </si>
  <si>
    <t>kaleemsiddiqui1@gmail.com</t>
  </si>
  <si>
    <t>Azhar Hussain</t>
  </si>
  <si>
    <t>hussainazhar9012@gmail.com</t>
  </si>
  <si>
    <t>Abdul Majeed Jamal</t>
  </si>
  <si>
    <t>markatia1@hotmail.com</t>
  </si>
  <si>
    <t>M Jamil Ahmed</t>
  </si>
  <si>
    <t>jamil@visionlogistics.net</t>
  </si>
  <si>
    <t>Naveed Talib Mughal</t>
  </si>
  <si>
    <t>navs10@live.com</t>
  </si>
  <si>
    <t>Nargis Haneef</t>
  </si>
  <si>
    <t>nargishaneefmalik7@gmail.com</t>
  </si>
  <si>
    <t>Zafar Farooq</t>
  </si>
  <si>
    <t>motherslab@hotmail.com</t>
  </si>
  <si>
    <t>Monaza Gazi</t>
  </si>
  <si>
    <t>monaza75@hotmail.com</t>
  </si>
  <si>
    <t>BAkHTAWER</t>
  </si>
  <si>
    <t>Muhammad Asif Rasheed</t>
  </si>
  <si>
    <t>marhaba.traders@hotmail.com</t>
  </si>
  <si>
    <t>0336-2080358</t>
  </si>
  <si>
    <t>Mahmood maqbool</t>
  </si>
  <si>
    <t>Mahmoodmaqbool@gmail.com</t>
  </si>
  <si>
    <t>Samreen Ahmad Kazi</t>
  </si>
  <si>
    <t>sam_gkazi@yahoo.com</t>
  </si>
  <si>
    <t>Muzzamil Riaz Malik</t>
  </si>
  <si>
    <t>dr.muzzamil@gmail.com</t>
  </si>
  <si>
    <t>Hamid Bhutta</t>
  </si>
  <si>
    <t>03069341223@gemal.com</t>
  </si>
  <si>
    <t>Abdul Rafiq</t>
  </si>
  <si>
    <t>a.rafiq61@gmail.com</t>
  </si>
  <si>
    <t>Asmat Ullan Khan</t>
  </si>
  <si>
    <t>asmatandbrothers@yahoo.com</t>
  </si>
  <si>
    <t>Ilyas Siddiqi</t>
  </si>
  <si>
    <t>ilyassiddiqi221@gmail.com</t>
  </si>
  <si>
    <t>Zeeshan Munir</t>
  </si>
  <si>
    <t>zshan25@gmail.com</t>
  </si>
  <si>
    <t>Sunnyia Tirmizi</t>
  </si>
  <si>
    <t>sunnyiatirmizi4@hotmail.com</t>
  </si>
  <si>
    <t>Abbas Ali</t>
  </si>
  <si>
    <t>abbasali_53@hotmail.com</t>
  </si>
  <si>
    <t>Ghulam Siddiq</t>
  </si>
  <si>
    <t>ghulam_siddiq@yahoo.com</t>
  </si>
  <si>
    <t>o3445444111</t>
  </si>
  <si>
    <t>Ahsan Khan</t>
  </si>
  <si>
    <t>mixit.by.ab@gmail.com</t>
  </si>
  <si>
    <t>Nazish</t>
  </si>
  <si>
    <t>naz_rani@hotmail.co.uk</t>
  </si>
  <si>
    <t>Sibtain Anwer</t>
  </si>
  <si>
    <t>sibtain423@gmail.com</t>
  </si>
  <si>
    <t>Mustafa Mahendro</t>
  </si>
  <si>
    <t>mustafa.mahendro@gmail.com</t>
  </si>
  <si>
    <t>Faraz Farooq Herekar</t>
  </si>
  <si>
    <t>farazherekar@hotmail.com</t>
  </si>
  <si>
    <t>Naveed E Hussain</t>
  </si>
  <si>
    <t>ch.navidhussain@gmail.com</t>
  </si>
  <si>
    <t>Ashfaq Iqbal Dhedhi</t>
  </si>
  <si>
    <t>ashfaqdhedhi@yahoo.com</t>
  </si>
  <si>
    <t>Munir Kakar</t>
  </si>
  <si>
    <t>munirkakar1234@gmail.com</t>
  </si>
  <si>
    <t>Tahseen Kasim Jumani</t>
  </si>
  <si>
    <t>tahseen_khawaja@hotmail.com</t>
  </si>
  <si>
    <t>Zahid Ali siddiqui</t>
  </si>
  <si>
    <t>zahidali54@gmail.com</t>
  </si>
  <si>
    <t>Hafeez Sheikh</t>
  </si>
  <si>
    <t>marhil@live.com</t>
  </si>
  <si>
    <t>bakhtawer</t>
  </si>
  <si>
    <t>Rahma Habib</t>
  </si>
  <si>
    <t>rehmaali20@gmail.com</t>
  </si>
  <si>
    <t>Rubina Imran Rao</t>
  </si>
  <si>
    <t>ruby_rao1@hotmail.com</t>
  </si>
  <si>
    <t>Rubinaimran2004@gmail.com</t>
  </si>
  <si>
    <t>Vijay Chawla</t>
  </si>
  <si>
    <t>vijaychawla2010@hotmail.com</t>
  </si>
  <si>
    <t>M Saleem Ansari</t>
  </si>
  <si>
    <t>msaleemansari3@gmail.com</t>
  </si>
  <si>
    <t>Khurram Ahmad</t>
  </si>
  <si>
    <t>khurramahmad82@gmail.com</t>
  </si>
  <si>
    <t>Zohaib Shakil</t>
  </si>
  <si>
    <t>mezaib@hotmail.com</t>
  </si>
  <si>
    <t>DrShazia Mukhtiar</t>
  </si>
  <si>
    <t>drshazia056@yahoo.com</t>
  </si>
  <si>
    <t>Masood Akhtar Shaikh</t>
  </si>
  <si>
    <t>masood.shaikh@sc.com</t>
  </si>
  <si>
    <t>Abid Umair Aaqil</t>
  </si>
  <si>
    <t>abidaaqil@gmail.com</t>
  </si>
  <si>
    <t>Nadir Khan</t>
  </si>
  <si>
    <t>nadir.aftab@gmail.com</t>
  </si>
  <si>
    <t>Bashir Ahmed</t>
  </si>
  <si>
    <t>bashirtdm@hotmail.com</t>
  </si>
  <si>
    <t>Mohammad Afaque Chippa</t>
  </si>
  <si>
    <t>afaquechippalive@gmail.com</t>
  </si>
  <si>
    <t>Asghar Ali Khan</t>
  </si>
  <si>
    <t>asghar274@gmail.com</t>
  </si>
  <si>
    <t>HAMEED ULLAH MEMON</t>
  </si>
  <si>
    <t>hameedmemon786@yahoo.com</t>
  </si>
  <si>
    <t>Asif Soomro</t>
  </si>
  <si>
    <t>careerasif@gmail.com</t>
  </si>
  <si>
    <t>Nasir Bukhari</t>
  </si>
  <si>
    <t>nasirbukhari.net@gmail.com</t>
  </si>
  <si>
    <t>Waqar Bhatti</t>
  </si>
  <si>
    <t>aws_vicky@hotmail.co.uk</t>
  </si>
  <si>
    <t>+923212139027</t>
  </si>
  <si>
    <t>fazeel</t>
  </si>
  <si>
    <t>Muhammad Ama</t>
  </si>
  <si>
    <t>Email: mohammadam@gmail.com</t>
  </si>
  <si>
    <t xml:space="preserve"> 0528002267</t>
  </si>
  <si>
    <t>FAzeel</t>
  </si>
  <si>
    <t>Sajjad Hussain</t>
  </si>
  <si>
    <t>sajjadcgt@yahoo.com</t>
  </si>
  <si>
    <t>Farheen Shafqat</t>
  </si>
  <si>
    <t>shafqat123mehmood@gmail.com</t>
  </si>
  <si>
    <t>Zulfiqar Ahmed Awan</t>
  </si>
  <si>
    <t>zulfiqar1563@gmail.com</t>
  </si>
  <si>
    <t>Imran Agha</t>
  </si>
  <si>
    <t>imranagha1@gmail.com</t>
  </si>
  <si>
    <t>Muhammad Suleman Arain</t>
  </si>
  <si>
    <t>sulemanarain3@gmail.com</t>
  </si>
  <si>
    <t>Sajad Hussain</t>
  </si>
  <si>
    <t>sajadhussain39@gmail.com</t>
  </si>
  <si>
    <t>Naimat Khan</t>
  </si>
  <si>
    <t>naimatkhan1019@gmail.com</t>
  </si>
  <si>
    <t>Faysal Malik</t>
  </si>
  <si>
    <t>faysal.a.malik@gmail.com</t>
  </si>
  <si>
    <t>Faheem Hussain</t>
  </si>
  <si>
    <t>faheem.hussain.bwp@gmail.com</t>
  </si>
  <si>
    <t>Waqas Sabooani</t>
  </si>
  <si>
    <t>waqassabooani@gmail.com</t>
  </si>
  <si>
    <t>Irfanqaiser</t>
  </si>
  <si>
    <t>irfanqaiser970@gmail.com</t>
  </si>
  <si>
    <t>Sajida Khan</t>
  </si>
  <si>
    <t>sajida.mandokhel1@gmail.com</t>
  </si>
  <si>
    <t>Sajad Ali</t>
  </si>
  <si>
    <t>saj_zab@hotmail.com</t>
  </si>
  <si>
    <t>Samiullah Shaikh</t>
  </si>
  <si>
    <t>shaikhsamiullah77@gmail.com</t>
  </si>
  <si>
    <t>Syed Ashfaq</t>
  </si>
  <si>
    <t>syedashfaq179@gmail.com</t>
  </si>
  <si>
    <t>Ahmed Zindani</t>
  </si>
  <si>
    <t>ahmed_zindani@hotmail.com</t>
  </si>
  <si>
    <t>Mian Mahmood</t>
  </si>
  <si>
    <t>pehchanmahmood4@gmail.com</t>
  </si>
  <si>
    <t>Awais Raza</t>
  </si>
  <si>
    <t>awaisraza777@hotmail.com</t>
  </si>
  <si>
    <t>HanifShah Lalla</t>
  </si>
  <si>
    <t>sexy VediosCom</t>
  </si>
  <si>
    <t>hanifrp2@gmail.com</t>
  </si>
  <si>
    <t>Imran Afridi</t>
  </si>
  <si>
    <t>yoursmidnightdj@yahoo.com</t>
  </si>
  <si>
    <t>Prince Yaroo Khan</t>
  </si>
  <si>
    <t>Khanmotors330@gmail.com</t>
  </si>
  <si>
    <t>Mianmuzammal Hussain</t>
  </si>
  <si>
    <t>mianmuzammalhussain@gmail.com</t>
  </si>
  <si>
    <t>Rana Y Syra</t>
  </si>
  <si>
    <t>sairayousafrana1@yahoo.com</t>
  </si>
  <si>
    <t>Samina Noor</t>
  </si>
  <si>
    <t>saminanoor1@msn.com</t>
  </si>
  <si>
    <t>Umer Durrani</t>
  </si>
  <si>
    <t>umer_durrani34@yahoo.com</t>
  </si>
  <si>
    <t>Sarfarqz N. Baluch</t>
  </si>
  <si>
    <t>sarfarazn777@gmail.com</t>
  </si>
  <si>
    <t>Daniyal Memon</t>
  </si>
  <si>
    <t>zakariaherballab@hotmail.com</t>
  </si>
  <si>
    <t>Mohsin Raza</t>
  </si>
  <si>
    <t>92 345 2775192</t>
  </si>
  <si>
    <t>razapathan18@gmail.com</t>
  </si>
  <si>
    <t>Aisha Nurullah Siddiqui</t>
  </si>
  <si>
    <t>a_noorullah@hotmail.com</t>
  </si>
  <si>
    <t>Ali Raza Jaisar</t>
  </si>
  <si>
    <t>ali_da_grt@hotmail.com</t>
  </si>
  <si>
    <t>Zarafshan Ali</t>
  </si>
  <si>
    <t>zarafshanali@hotmail.com</t>
  </si>
  <si>
    <t>Jahanzeb Hashmi</t>
  </si>
  <si>
    <t>jahanzeb.wplub@gmail.com</t>
  </si>
  <si>
    <t>Muhammad Munir</t>
  </si>
  <si>
    <t>faisalmunirchaudhry@gmail.com</t>
  </si>
  <si>
    <t>Saad Abdul Rauf</t>
  </si>
  <si>
    <t>Saadkhan305@live.com</t>
  </si>
  <si>
    <t>Mehmood Scheikh</t>
  </si>
  <si>
    <t>herbali888@gmail.com</t>
  </si>
  <si>
    <t>Wajahat Bashir</t>
  </si>
  <si>
    <t>wajahat.news@gmail.com</t>
  </si>
  <si>
    <t>Saeed Akhter Rizvi</t>
  </si>
  <si>
    <t>saeedakhtar74c@gmail.com</t>
  </si>
  <si>
    <t>Dr Fazal Abbas</t>
  </si>
  <si>
    <t>ch.fazal5@gmail.com</t>
  </si>
  <si>
    <t>Imtiazali Sweeto</t>
  </si>
  <si>
    <t>lubnashazadishazadi@gmail.com</t>
  </si>
  <si>
    <t>Atif Saaya Abdullah</t>
  </si>
  <si>
    <t>atifsaaya123@gmail.com</t>
  </si>
  <si>
    <t>Syed Muhammad Owais Qadri</t>
  </si>
  <si>
    <t>m.owais@datasteel.com</t>
  </si>
  <si>
    <t>Farhat Naveed</t>
  </si>
  <si>
    <t>farhatnaveed@gmail.com</t>
  </si>
  <si>
    <t>Khurram Iqbal</t>
  </si>
  <si>
    <t>karachi92@live.com</t>
  </si>
  <si>
    <t>Salman Haider</t>
  </si>
  <si>
    <t>salman.haider345@gmail.com</t>
  </si>
  <si>
    <t>Dr Ali Raza</t>
  </si>
  <si>
    <t>ali_designer@hotmail.com</t>
  </si>
  <si>
    <t>Haque Nawaz Sandano</t>
  </si>
  <si>
    <t>dr_haqns@hotmail.com</t>
  </si>
  <si>
    <t>Sajjad Ahmed Bhatti Bhatti</t>
  </si>
  <si>
    <t>asajjaddd@gmail.com</t>
  </si>
  <si>
    <t>Maliha Aneeque</t>
  </si>
  <si>
    <t>drmalihaneeque@hotmail.com</t>
  </si>
  <si>
    <t>Yasir Butt</t>
  </si>
  <si>
    <t>yasirbutt7711@gmail.com</t>
  </si>
  <si>
    <t>Kamal Ahmed</t>
  </si>
  <si>
    <t>0346 3335109</t>
  </si>
  <si>
    <t>kamal_ahmed532003@yahoo.com</t>
  </si>
  <si>
    <t>Sarmad Jabbar Surhio</t>
  </si>
  <si>
    <t>sarmad_jabbar01@live.com</t>
  </si>
  <si>
    <t>Shoaib Khan</t>
  </si>
  <si>
    <t>0332 2865450</t>
  </si>
  <si>
    <t>anam.raza.1401@gmail.com</t>
  </si>
  <si>
    <t>Farooq Mughal</t>
  </si>
  <si>
    <t>Down payment &amp;kawerd aria</t>
  </si>
  <si>
    <t>msew911@yahoo.com</t>
  </si>
  <si>
    <t>Umair Lakhani</t>
  </si>
  <si>
    <t>umairlakhani@hotmail.com</t>
  </si>
  <si>
    <t>Abdul Majeed</t>
  </si>
  <si>
    <t>majeedkazi89@gmail.com</t>
  </si>
  <si>
    <t>Junaid Vohra</t>
  </si>
  <si>
    <t>junaidvohra396@gmail.com</t>
  </si>
  <si>
    <t>Waheed Tahir</t>
  </si>
  <si>
    <t>haiderwasi81@yahoo.com</t>
  </si>
  <si>
    <t>Saulat Bari Khan</t>
  </si>
  <si>
    <t>saulatbari68@gmail.com</t>
  </si>
  <si>
    <t>Sheikh Iftikhar Ahmed</t>
  </si>
  <si>
    <t xml:space="preserve"> 03323755814</t>
  </si>
  <si>
    <t xml:space="preserve"> anisahmed923@gmail.com</t>
  </si>
  <si>
    <t>Shahnawaz Azam</t>
  </si>
  <si>
    <t>ahbaabinternational@yahoo.com</t>
  </si>
  <si>
    <t>Romana Shehzad</t>
  </si>
  <si>
    <t>romanashehzad@gmail.com</t>
  </si>
  <si>
    <t>Afzaal Rana</t>
  </si>
  <si>
    <t>afzaalsultan24@gmail.com</t>
  </si>
  <si>
    <t>Atiq Butt</t>
  </si>
  <si>
    <t>alflahcomputer@hotmail.co.uk</t>
  </si>
  <si>
    <t>Shahid Raza</t>
  </si>
  <si>
    <t>shahidraza_mir@hotmail.com</t>
  </si>
  <si>
    <t>Kamran Ali Shahzad</t>
  </si>
  <si>
    <t>hostwithtoast@yahoo.com</t>
  </si>
  <si>
    <t>Shaikh Abdul</t>
  </si>
  <si>
    <t>martial20.2nd@gmail.com</t>
  </si>
  <si>
    <t>Asif Naqvi</t>
  </si>
  <si>
    <t>03002502192, 03332502192</t>
  </si>
  <si>
    <t>hotlinemarketing110@hotmail.com</t>
  </si>
  <si>
    <t>BAKH</t>
  </si>
  <si>
    <t>Zafar Zaidisayedmohammadzafar chamanzaidi</t>
  </si>
  <si>
    <t>chamanzaidi191@gmail.com</t>
  </si>
  <si>
    <t>Shaikh Rahimuddin Paracha</t>
  </si>
  <si>
    <t>foursix786@hotmail.com</t>
  </si>
  <si>
    <t>ZeeShan Nasir</t>
  </si>
  <si>
    <t>zeeshan2412198@gmail.com</t>
  </si>
  <si>
    <t>Fahad Battiwala</t>
  </si>
  <si>
    <t>fahadsattar82@gmail.com</t>
  </si>
  <si>
    <t>sheeraz bhatti</t>
  </si>
  <si>
    <t>decentehsaas1@gmail.com</t>
  </si>
  <si>
    <t>Babar Ali Soomro</t>
  </si>
  <si>
    <t>babarjani10000@gmail.com</t>
  </si>
  <si>
    <t>Muhammad Danish</t>
  </si>
  <si>
    <t>importersandexporter@gmail.com</t>
  </si>
  <si>
    <t>Sadaf Talha</t>
  </si>
  <si>
    <t>sadaftalha@hotmail.com</t>
  </si>
  <si>
    <t>Waqar Khan</t>
  </si>
  <si>
    <t>waqarkhan08@hotmail.co.uk</t>
  </si>
  <si>
    <t>Ali Raza</t>
  </si>
  <si>
    <t>dha.today@gmail.com</t>
  </si>
  <si>
    <t>Naveed Arain</t>
  </si>
  <si>
    <t>0333 2697485</t>
  </si>
  <si>
    <t>arain.naveed187@gmail.com</t>
  </si>
  <si>
    <t>Rashid Fareed</t>
  </si>
  <si>
    <t>blowntulip@gmail.com</t>
  </si>
  <si>
    <t>Saqib Zafar</t>
  </si>
  <si>
    <t>saqib007@live.co.uk</t>
  </si>
  <si>
    <t>Ishtiaq Ahmed</t>
  </si>
  <si>
    <t>ishtiaqsharif1947@gmail.com</t>
  </si>
  <si>
    <t>Kamran Khalid Siddiqi</t>
  </si>
  <si>
    <t>kamrankhalid84@gmail.com</t>
  </si>
  <si>
    <t>Nabeel Farooqi</t>
  </si>
  <si>
    <t>nfk.174@gmail.com</t>
  </si>
  <si>
    <t>Wasim Khan</t>
  </si>
  <si>
    <t>khanwa31047@gmail.com</t>
  </si>
  <si>
    <t>Rizwan Haider</t>
  </si>
  <si>
    <t>rizwan@bifs.com.pk</t>
  </si>
  <si>
    <t>Abdul Waheed Memon</t>
  </si>
  <si>
    <t>engr.waheedaziz@yahoo.com</t>
  </si>
  <si>
    <t>M Zeeshan Sharfi</t>
  </si>
  <si>
    <t>zeeshan@thedigitz.com</t>
  </si>
  <si>
    <t>Sami Qazi</t>
  </si>
  <si>
    <t>samiqazifbr@gmail.com</t>
  </si>
  <si>
    <t>imran khan</t>
  </si>
  <si>
    <t>ik8705245@gmail.com</t>
  </si>
  <si>
    <t>Tariq Syed</t>
  </si>
  <si>
    <t>0333 2225144</t>
  </si>
  <si>
    <t>stariq1327@gmail.com</t>
  </si>
  <si>
    <t>Muhammad Shah</t>
  </si>
  <si>
    <t>muhanash@hotmail.com</t>
  </si>
  <si>
    <t>Gulzar Ali Buriro</t>
  </si>
  <si>
    <t>doctorgulzaraliburiro@gmail.com</t>
  </si>
  <si>
    <t>Malika Khan</t>
  </si>
  <si>
    <t>khanmalika555@gmail.com</t>
  </si>
  <si>
    <t>Dr.Mehreen Javed</t>
  </si>
  <si>
    <t>drmehreenjaved@hotmail.com</t>
  </si>
  <si>
    <t>Zama Arman Khan</t>
  </si>
  <si>
    <t>kkamrankhany007@gmail.com</t>
  </si>
  <si>
    <t>Khurram Jaffrani</t>
  </si>
  <si>
    <t>khurram_jaffrani@hotmail.com</t>
  </si>
  <si>
    <t>Saba Ahmer</t>
  </si>
  <si>
    <t>saba.ahmer.sa@gmail.com</t>
  </si>
  <si>
    <t>Jalil Ahmed</t>
  </si>
  <si>
    <t>jaleelsiddiqui66@gmail.com</t>
  </si>
  <si>
    <t>Nasir Akram Akram</t>
  </si>
  <si>
    <t>paylesskarachi@yahoo.com</t>
  </si>
  <si>
    <t>Danish Shah</t>
  </si>
  <si>
    <t>07danishshah@gmail.com</t>
  </si>
  <si>
    <t>Salma Imran</t>
  </si>
  <si>
    <t>imran_bol@hotmail.com</t>
  </si>
  <si>
    <t>Sana Aquil</t>
  </si>
  <si>
    <t>akashasana@me.com</t>
  </si>
  <si>
    <t>Tehreem Sarfaraz</t>
  </si>
  <si>
    <t>teh3@hotmail.com</t>
  </si>
  <si>
    <t>Muhammad Ali Khan</t>
  </si>
  <si>
    <t>mediacellmak1@gmail.com</t>
  </si>
  <si>
    <t>faisal moin</t>
  </si>
  <si>
    <t>faisal@hotmail.com</t>
  </si>
  <si>
    <t>Faisal Khan</t>
  </si>
  <si>
    <t>yoursfaisal_2010@hotmail.com</t>
  </si>
  <si>
    <t>Asad Saleem</t>
  </si>
  <si>
    <t>asaleem22@gmail.com</t>
  </si>
  <si>
    <t>Muhammad Idrees</t>
  </si>
  <si>
    <t>export@aibravo.com</t>
  </si>
  <si>
    <t>Farooq Qureshi Saleem</t>
  </si>
  <si>
    <t>farooqqureshi86.fq@gmali.com</t>
  </si>
  <si>
    <t>Soofia Tirmizi</t>
  </si>
  <si>
    <t>0332-4170455/0300-2544490</t>
  </si>
  <si>
    <t>soofiatirmizi786@gmail.com</t>
  </si>
  <si>
    <t>Shahzada Honain Rashid</t>
  </si>
  <si>
    <t>shahzadahonain@hotmail.com</t>
  </si>
  <si>
    <t>Shahzam Mahmood</t>
  </si>
  <si>
    <t>shahzam@me.com</t>
  </si>
  <si>
    <t>Aisha Farooq</t>
  </si>
  <si>
    <t>aishafarooq16@hotmail.co.uk</t>
  </si>
  <si>
    <t>Merchant Muhammad Husain</t>
  </si>
  <si>
    <t>mhm201243@gmail.com</t>
  </si>
  <si>
    <t>Zaigham Shahan Ali Zaigham</t>
  </si>
  <si>
    <t>shan_ali_11@yahoo.com</t>
  </si>
  <si>
    <t>malik</t>
  </si>
  <si>
    <t>malikrazzak87@gmail.com</t>
  </si>
  <si>
    <t>Wasif Mughal</t>
  </si>
  <si>
    <t>wasifalimughal@hotmail.com</t>
  </si>
  <si>
    <t>Saeeda Naz</t>
  </si>
  <si>
    <t>yes</t>
  </si>
  <si>
    <t>saeedanaz1798@gmail.com</t>
  </si>
  <si>
    <t>Muhammad Ismail</t>
  </si>
  <si>
    <t>tasassociates@yahoo.com</t>
  </si>
  <si>
    <t>Majaz Hussain</t>
  </si>
  <si>
    <t>majazhussain53@gmail.com</t>
  </si>
  <si>
    <t>Ubaid Durrani</t>
  </si>
  <si>
    <t>ubaiddurrani222@gmail.com</t>
  </si>
  <si>
    <t>Iftikhar Malik</t>
  </si>
  <si>
    <t>iftikharmalik185@gmail.com</t>
  </si>
  <si>
    <t>Nasir Iqbal (Vice President)</t>
  </si>
  <si>
    <t>nasir.iqbal@jubileegeneral.com.pk</t>
  </si>
  <si>
    <t>Anwari Khatoon</t>
  </si>
  <si>
    <t>anwarikhatoon@icloud.com</t>
  </si>
  <si>
    <t>Erum Behroz</t>
  </si>
  <si>
    <t>ermaan71@yahoo.com</t>
  </si>
  <si>
    <t>Safwan Khan</t>
  </si>
  <si>
    <t>Abuhassaan2012@gmail.com</t>
  </si>
  <si>
    <t>Hasan Ali</t>
  </si>
  <si>
    <t>hasan.ali24@hotmail.com</t>
  </si>
  <si>
    <t>Masood Solangi</t>
  </si>
  <si>
    <t>masolangee@gmail.com</t>
  </si>
  <si>
    <t>Humail Khan</t>
  </si>
  <si>
    <t>hsckarachi@gmail.com</t>
  </si>
  <si>
    <t>Mahnoor Hanafi</t>
  </si>
  <si>
    <t>mahnoor_hanafi@hotmail.com</t>
  </si>
  <si>
    <t>Almas Wattoo</t>
  </si>
  <si>
    <t>Almas.wattoo@yahoo.com</t>
  </si>
  <si>
    <t>Taqi Jafar</t>
  </si>
  <si>
    <t>s.taqi66@gmail.com</t>
  </si>
  <si>
    <t>Tehmina Shah</t>
  </si>
  <si>
    <t>03215144197</t>
  </si>
  <si>
    <t>tanishah_110@yahoo.com</t>
  </si>
  <si>
    <t>Umair Syed Muhammad</t>
  </si>
  <si>
    <t>Umair_syed@ffc.com.pk</t>
  </si>
  <si>
    <t>Hafsa Malik</t>
  </si>
  <si>
    <t>hafsa.malik@hotmail.com</t>
  </si>
  <si>
    <t>Shahzad Mughal</t>
  </si>
  <si>
    <t>shazadmughal7865@gmail.com</t>
  </si>
  <si>
    <t>Samreen Tariq</t>
  </si>
  <si>
    <t>Sam.taria@yahoo.com</t>
  </si>
  <si>
    <t>Muhammad Faisal</t>
  </si>
  <si>
    <t>fslaslam@gmail.com</t>
  </si>
  <si>
    <t>Faisal Razzak S T</t>
  </si>
  <si>
    <t>faisalst69@gmail.com</t>
  </si>
  <si>
    <t>Ayesha Kamran</t>
  </si>
  <si>
    <t>ashikhan929@gmail.com</t>
  </si>
  <si>
    <t>Sp Sp</t>
  </si>
  <si>
    <t>ifraadnanabdulbaqi@gmail.com</t>
  </si>
  <si>
    <t>Faizan Jamal</t>
  </si>
  <si>
    <t>faizan_84@hotmail.com</t>
  </si>
  <si>
    <t>Ali Akbar</t>
  </si>
  <si>
    <t>aliakbar04@hotmail.com</t>
  </si>
  <si>
    <t>Nisar Memon</t>
  </si>
  <si>
    <t>drnisarmemon3@gmail.com</t>
  </si>
  <si>
    <t>Faiz Muhammad Syed</t>
  </si>
  <si>
    <t>syedmuhammadfaiz@gmail.com</t>
  </si>
  <si>
    <t>Masroor Siddiqui</t>
  </si>
  <si>
    <t>masroor.mkmotors@gmail.com</t>
  </si>
  <si>
    <t>bibitehmina29@gmail.com</t>
  </si>
  <si>
    <t>Gul Rehmat</t>
  </si>
  <si>
    <t>alrehmat77@gmail.com</t>
  </si>
  <si>
    <t>Iqbal Ahmed</t>
  </si>
  <si>
    <t>iqbalahmed.capt@gmail.com</t>
  </si>
  <si>
    <t>abdul aziz</t>
  </si>
  <si>
    <t>shanjeepk@yahoo.com</t>
  </si>
  <si>
    <t>Muhammad Ranawaya</t>
  </si>
  <si>
    <t>muhammadamynranawaya78@hotmail.com</t>
  </si>
  <si>
    <t>Adnan Siddiqui</t>
  </si>
  <si>
    <t>siddiquiadnan70@gmail.com</t>
  </si>
  <si>
    <t>Kashi Ahmed</t>
  </si>
  <si>
    <t>kashifshameer@gmail.com</t>
  </si>
  <si>
    <t>Mehran Sakhirani</t>
  </si>
  <si>
    <t>mehransak@gmail.com</t>
  </si>
  <si>
    <t>Hamlani Baloch</t>
  </si>
  <si>
    <t>hamlani642@gmail.com</t>
  </si>
  <si>
    <t>Rani Shah</t>
  </si>
  <si>
    <t>zakrashah@yahoo.co.uk</t>
  </si>
  <si>
    <t>Junaid Bhandkia</t>
  </si>
  <si>
    <t>junaidarifklq649@gmail.com</t>
  </si>
  <si>
    <t>Muhammad Farhan Afzal</t>
  </si>
  <si>
    <t>farhanafzal79@hotmail.com</t>
  </si>
  <si>
    <t>Amir Sarfaraz</t>
  </si>
  <si>
    <t>sarfaraz_amir@yahoo.com</t>
  </si>
  <si>
    <t>MUHAMMAD IQBAL</t>
  </si>
  <si>
    <t>bali493@hotmail.com</t>
  </si>
  <si>
    <t>Qasim Naveed</t>
  </si>
  <si>
    <t>qasim.naveed1@nixorcollege.edu.pk</t>
  </si>
  <si>
    <t>Abdul Rahim</t>
  </si>
  <si>
    <t>rahim03009221030@gmail.com</t>
  </si>
  <si>
    <t>Muhammad Ashar</t>
  </si>
  <si>
    <t>asharchoudhery@gmail.com</t>
  </si>
  <si>
    <t>Mahmood Baloch</t>
  </si>
  <si>
    <t>Mahmoodbaloch45@gmail.com</t>
  </si>
  <si>
    <t>Zeeshan Khan</t>
  </si>
  <si>
    <t>zeeshan490pk@yahoo.com</t>
  </si>
  <si>
    <t>Aatika Batool</t>
  </si>
  <si>
    <t>atiqabatool138@yahoo.com</t>
  </si>
  <si>
    <t>Uzair Alam</t>
  </si>
  <si>
    <t>r22617@yahoo.com</t>
  </si>
  <si>
    <t>Ali Sheikh's</t>
  </si>
  <si>
    <t>ali.coolest86@gmail.com</t>
  </si>
  <si>
    <t>Muhammad Akhtar Ali</t>
  </si>
  <si>
    <t>boilerengg83@gmail.com</t>
  </si>
  <si>
    <t>Waqar Jeoffrey</t>
  </si>
  <si>
    <t>0044 7857362096</t>
  </si>
  <si>
    <t>waqar.jeoffrey@gmail.com</t>
  </si>
  <si>
    <t>Dr. Muhammad Asif Qureshi</t>
  </si>
  <si>
    <t>qureshimuhammadasif@gmail.com</t>
  </si>
  <si>
    <t>Faheem Memon</t>
  </si>
  <si>
    <t>faheemghafoor631@gmail.com</t>
  </si>
  <si>
    <t>amir hussain</t>
  </si>
  <si>
    <t>rafeyali2000@gmail.com</t>
  </si>
  <si>
    <t>Robert Robinson</t>
  </si>
  <si>
    <t>rr731707@gmail.com</t>
  </si>
  <si>
    <t>Adnan Qureshi</t>
  </si>
  <si>
    <t>adnanqureshikarachi@gmail.com</t>
  </si>
  <si>
    <t>Javed Saddique</t>
  </si>
  <si>
    <t>javidkhanpak1@gmail.com</t>
  </si>
  <si>
    <t>Shahid Nisar</t>
  </si>
  <si>
    <t>shahid_nb@hotmail.com</t>
  </si>
  <si>
    <t>Faiza Faisal</t>
  </si>
  <si>
    <t>Faizafaisal01@gmail.com</t>
  </si>
  <si>
    <t>Syed Muhammad Sabihuddin</t>
  </si>
  <si>
    <t>sabihsyed@yahoo.com</t>
  </si>
  <si>
    <t>sarah saleem</t>
  </si>
  <si>
    <t>sarasaleem56@yahoo.com</t>
  </si>
  <si>
    <t>Syed Sajjad Hussain</t>
  </si>
  <si>
    <t>drsajjad1947@gmail.com</t>
  </si>
  <si>
    <t>Syed Rehanullah</t>
  </si>
  <si>
    <t>syed.rehan@silk.com.pk</t>
  </si>
  <si>
    <t>Hasan Haroon</t>
  </si>
  <si>
    <t>hasanharoonpg@gmail.com</t>
  </si>
  <si>
    <t>Sheikh Moeed Ahmed</t>
  </si>
  <si>
    <t>moeed.akhlaq@gadoontextile.com</t>
  </si>
  <si>
    <t>Jeetender Kumar</t>
  </si>
  <si>
    <t>smileface_smart@hotmail.com</t>
  </si>
  <si>
    <t>Muhammad Humayun</t>
  </si>
  <si>
    <t>homy.hy@gmail.com</t>
  </si>
  <si>
    <t>Imtiaz Ali</t>
  </si>
  <si>
    <t>drimtiaz.ali8@gmail.com</t>
  </si>
  <si>
    <t>Khan Noor</t>
  </si>
  <si>
    <t>khan.noor773981@gmail.com</t>
  </si>
  <si>
    <t>Kashif Majeed</t>
  </si>
  <si>
    <t>kashifpof@yahoo.com</t>
  </si>
  <si>
    <t>Misbah Sarwar</t>
  </si>
  <si>
    <t>misbahthegr8@hotmail.com</t>
  </si>
  <si>
    <t>Sabih Farooqui</t>
  </si>
  <si>
    <t>dolphine16@gmail.com</t>
  </si>
  <si>
    <t>Muhammad Atique Arain</t>
  </si>
  <si>
    <t>ali_autos_drk@yahoo.com</t>
  </si>
  <si>
    <t>Inayatullah Baloch</t>
  </si>
  <si>
    <t>inayatullah.baloch@hotmail.com</t>
  </si>
  <si>
    <t>Mr.Feroze &amp; Family packages</t>
  </si>
  <si>
    <t>Aliferozesultan@gmail.com</t>
  </si>
  <si>
    <t>Viqar Hussain</t>
  </si>
  <si>
    <t>sardar.viqar@gmail.com</t>
  </si>
  <si>
    <t>Nizar Lalani</t>
  </si>
  <si>
    <t>nizar.lalani1958@gmail.com</t>
  </si>
  <si>
    <t>Zohaib Ahmed Tanoli</t>
  </si>
  <si>
    <t>zobi.harram@gmail.com</t>
  </si>
  <si>
    <t>Muhammad Yousuf Khan</t>
  </si>
  <si>
    <t>sabahakhan99@gmail.com</t>
  </si>
  <si>
    <t>Hussain Uddin Afridi</t>
  </si>
  <si>
    <t>drhafridi@yahoo.com</t>
  </si>
  <si>
    <t>Sabeen Sarfaraz</t>
  </si>
  <si>
    <t>princes_sabeen@hotmail.com</t>
  </si>
  <si>
    <t>Muhammad Ashfaq</t>
  </si>
  <si>
    <t>gmustafa143@hotmail.com</t>
  </si>
  <si>
    <t>Mohammad Amer Osmani</t>
  </si>
  <si>
    <t>0306-7727242</t>
  </si>
  <si>
    <t>mamer.osmani@gmail.com</t>
  </si>
  <si>
    <t>Agha Siddique</t>
  </si>
  <si>
    <t>agha_siddique@gmail.com</t>
  </si>
  <si>
    <t>Riffat Maqbool</t>
  </si>
  <si>
    <t>rifat.maqbool25@gmail.com</t>
  </si>
  <si>
    <t>Nafees Ul Hassan</t>
  </si>
  <si>
    <t>hr.hassan@hotmail.com</t>
  </si>
  <si>
    <t>Ashraf Ali</t>
  </si>
  <si>
    <t>ashraf.ali.bu@gmail.com</t>
  </si>
  <si>
    <t>Arshad Jasani</t>
  </si>
  <si>
    <t>jasani1972@hotmail.com</t>
  </si>
  <si>
    <t>Mukhtar Mughal</t>
  </si>
  <si>
    <t>03161605238</t>
  </si>
  <si>
    <t>mukhtar76mughal@gmail.com</t>
  </si>
  <si>
    <t>Imransarwar Imransarwar</t>
  </si>
  <si>
    <t>03110279473</t>
  </si>
  <si>
    <t>ayanimran026@gmail.com</t>
  </si>
  <si>
    <t>G Ullha</t>
  </si>
  <si>
    <t>03351396023</t>
  </si>
  <si>
    <t>agenterprises4321@gmil.com</t>
  </si>
  <si>
    <t>zunaira Ali</t>
  </si>
  <si>
    <t>03362101397</t>
  </si>
  <si>
    <t>a.roosa2@hotmail.com</t>
  </si>
  <si>
    <t>Hammad Shekha</t>
  </si>
  <si>
    <t>03239911110</t>
  </si>
  <si>
    <t>hammadsaleem710@gmail.com</t>
  </si>
  <si>
    <t>Jibran Iqbal</t>
  </si>
  <si>
    <t>03452988166</t>
  </si>
  <si>
    <t>jibiiqbal82@windowslive.com</t>
  </si>
  <si>
    <t>Akram Minhas</t>
  </si>
  <si>
    <t>03227614772</t>
  </si>
  <si>
    <t>muhammmadakramminhas23@gmail.com</t>
  </si>
  <si>
    <t>Mahamm Muzammil</t>
  </si>
  <si>
    <t>danesh.khaaan@gmail.com</t>
  </si>
  <si>
    <t>Asif Hussain</t>
  </si>
  <si>
    <t>asifafee@hotmail.com</t>
  </si>
  <si>
    <t>SEHRISH NOMAN</t>
  </si>
  <si>
    <t>nomc1@hotmail.com</t>
  </si>
  <si>
    <t>Engrmiraj Khan</t>
  </si>
  <si>
    <t>Miraj</t>
  </si>
  <si>
    <t>mirajkhan791@hotmail.com</t>
  </si>
  <si>
    <t>Irfan Khan</t>
  </si>
  <si>
    <t>irfan.seco@gmail.com</t>
  </si>
  <si>
    <t>Khulood Fazal</t>
  </si>
  <si>
    <t>prisol_solution@hotmail.com</t>
  </si>
  <si>
    <t>Shahzad Khosa</t>
  </si>
  <si>
    <t>Potential05@hotmail.com</t>
  </si>
  <si>
    <t>s m Aamir</t>
  </si>
  <si>
    <t>aamirshafiq1@hotmail.com</t>
  </si>
  <si>
    <t>Shagufta Suleman</t>
  </si>
  <si>
    <t>03313331742</t>
  </si>
  <si>
    <t>mrssuleman12@gmail.com</t>
  </si>
  <si>
    <t>Saifullah Surahiyo</t>
  </si>
  <si>
    <t>03006355853</t>
  </si>
  <si>
    <t>surahiyo786@gmail.com</t>
  </si>
  <si>
    <t>Parkash Kumar</t>
  </si>
  <si>
    <t>03008375089</t>
  </si>
  <si>
    <t>keenjharricemills@hotmail.com</t>
  </si>
  <si>
    <t>Zaheer Rajper</t>
  </si>
  <si>
    <t>+923022115524</t>
  </si>
  <si>
    <t>zaheersmart1987@gmail.com</t>
  </si>
  <si>
    <t>Umair Ali</t>
  </si>
  <si>
    <t>umairalikhan7869@gmail.com</t>
  </si>
  <si>
    <t>Naimatullah Dharejo</t>
  </si>
  <si>
    <t>dharejonaimatullah@gmail.com</t>
  </si>
  <si>
    <t>Anis Ahmed</t>
  </si>
  <si>
    <t>anisahmed6500@gmail.com</t>
  </si>
  <si>
    <t>Noman Baqi Siddiqi</t>
  </si>
  <si>
    <t>nomanbaqi1967@gmail.com</t>
  </si>
  <si>
    <t>Yawer Zakaria</t>
  </si>
  <si>
    <t>yawer_qadri_attari@hotmail.com</t>
  </si>
  <si>
    <t>رضا بھایی</t>
  </si>
  <si>
    <t>agharaza62@gmail.com</t>
  </si>
  <si>
    <t>Sabiha Awan</t>
  </si>
  <si>
    <t>sabzonepvtltd@gmail.com</t>
  </si>
  <si>
    <t>Gull Lala</t>
  </si>
  <si>
    <t>333 5489313</t>
  </si>
  <si>
    <t>lalagull466@gmail.com</t>
  </si>
  <si>
    <t>Naweed Hussain</t>
  </si>
  <si>
    <t>naweedhussain84@hotmail.com</t>
  </si>
  <si>
    <t>Bashir Ahmed ok</t>
  </si>
  <si>
    <t>bashirahmedbaloch@gmail.com</t>
  </si>
  <si>
    <t>Samina Waqar</t>
  </si>
  <si>
    <t>saminawaqar15@hotmail.com</t>
  </si>
  <si>
    <t>Khan Salman</t>
  </si>
  <si>
    <t xml:space="preserve">  </t>
  </si>
  <si>
    <t>Iqbal Siddiqui</t>
  </si>
  <si>
    <t>iqbal_285@yahoo.com</t>
  </si>
  <si>
    <t>Tariq Khan</t>
  </si>
  <si>
    <t>fk5945266@gmail.com</t>
  </si>
  <si>
    <t>wajid shaikh</t>
  </si>
  <si>
    <t>wajidshaikh@hotmail.com</t>
  </si>
  <si>
    <t>yasirali841@gmail.com</t>
  </si>
  <si>
    <t>Nasir Khan</t>
  </si>
  <si>
    <t>nk901609@gmail.com</t>
  </si>
  <si>
    <t>Khaliq Dino Memon</t>
  </si>
  <si>
    <t>khaliquedino184@gMail.com</t>
  </si>
  <si>
    <t>Shaney Daudpota</t>
  </si>
  <si>
    <t>shaney155@hotmail.com</t>
  </si>
  <si>
    <t>Abdul Malik Bullo</t>
  </si>
  <si>
    <t>bulloakhtarjabeen@gmail.com</t>
  </si>
  <si>
    <t>Alia Khan</t>
  </si>
  <si>
    <t>ykhan20@hotmail.com</t>
  </si>
  <si>
    <t>Muhammad Aneeque</t>
  </si>
  <si>
    <t>aneeque86@gmail.com</t>
  </si>
  <si>
    <t>Dr Amna Raza</t>
  </si>
  <si>
    <t>kilaan1@hotmail.com</t>
  </si>
  <si>
    <t>Hamza Meo</t>
  </si>
  <si>
    <t>Hamza mewati</t>
  </si>
  <si>
    <t>goldbergkhan4@gmail.com</t>
  </si>
  <si>
    <t>Rizwan Bawany</t>
  </si>
  <si>
    <t>rizwan@aluintl.com</t>
  </si>
  <si>
    <t>Muhammad Umar</t>
  </si>
  <si>
    <t>blue_lovingsky@hotmail.com</t>
  </si>
  <si>
    <t>Adil Salim</t>
  </si>
  <si>
    <t>adilsalim@msn.com</t>
  </si>
  <si>
    <t>Zahid Hussain Hingoro</t>
  </si>
  <si>
    <t>zahidhussain1943806@gmail.com</t>
  </si>
  <si>
    <t>Abdul Shakoor</t>
  </si>
  <si>
    <t>abdulshakoor920@hotmail.com</t>
  </si>
  <si>
    <t>Aisha Moiz</t>
  </si>
  <si>
    <t>younusaishapaul@gmail.com</t>
  </si>
  <si>
    <t>Aslam Shafi</t>
  </si>
  <si>
    <t>aslamshafi1977@gmail.com</t>
  </si>
  <si>
    <t>Muhammed Ahsan Abbas</t>
  </si>
  <si>
    <t>muhammedahsanabbas@gmail.com</t>
  </si>
  <si>
    <t>Syedkhalid Hussainabdali</t>
  </si>
  <si>
    <t>skhalidhussianabdali555@yahoo.com</t>
  </si>
  <si>
    <t>Kashif Esani</t>
  </si>
  <si>
    <t>kashifesani786@gmail.com</t>
  </si>
  <si>
    <t>Khurram Shahzad</t>
  </si>
  <si>
    <t>khurram3399@gmail.com</t>
  </si>
  <si>
    <t>Ammar Kamal</t>
  </si>
  <si>
    <t>Ammar_nadeem@ymail.com</t>
  </si>
  <si>
    <t>Imran Ismail</t>
  </si>
  <si>
    <t>imran_ismail38@ymail.com</t>
  </si>
  <si>
    <t>Muhammad Abbas Chottani</t>
  </si>
  <si>
    <t>chottani@gmail.com</t>
  </si>
  <si>
    <t>worldcustomer.2009@gmail.com</t>
  </si>
  <si>
    <t>Agha Hasan Abid</t>
  </si>
  <si>
    <t>hasan235@yahoo.com</t>
  </si>
  <si>
    <t>Fiza Khan</t>
  </si>
  <si>
    <t>fiz7work@gmail.com</t>
  </si>
  <si>
    <t>Kishan Lal</t>
  </si>
  <si>
    <t>kishanlal9864@gmail.com</t>
  </si>
  <si>
    <t>Altaf Bhayani</t>
  </si>
  <si>
    <t>altaftimbermart@gmail.com</t>
  </si>
  <si>
    <t>Sahabzada Hanif Akhnoohi</t>
  </si>
  <si>
    <t>+92369604522, 03025004522</t>
  </si>
  <si>
    <t>sha4000500@gmail.com</t>
  </si>
  <si>
    <t>Irfan Solangi</t>
  </si>
  <si>
    <t>solangi_irfan@hotmail.com</t>
  </si>
  <si>
    <t>Haroon Zehri</t>
  </si>
  <si>
    <t>mirharoonzehri@yahoo.com</t>
  </si>
  <si>
    <t>Fahad Mehmood</t>
  </si>
  <si>
    <t>mr.fahadmehmood@gmail.com</t>
  </si>
  <si>
    <t>Humair Habib</t>
  </si>
  <si>
    <t>humair.h@gmail.com</t>
  </si>
  <si>
    <t>Yousuf Kaleem</t>
  </si>
  <si>
    <t>yousufkaleem@hotmail.com</t>
  </si>
  <si>
    <t>Ershad Kazmi</t>
  </si>
  <si>
    <t>irshadkazmi_67@hotmail.com</t>
  </si>
  <si>
    <t>Amjad Hussain</t>
  </si>
  <si>
    <t>amjadhussain1558@gmail.com</t>
  </si>
  <si>
    <t>Imran Memon</t>
  </si>
  <si>
    <t>alsamar2010@gmail.com</t>
  </si>
  <si>
    <t>Niamat Khan</t>
  </si>
  <si>
    <t>niamatkhantanoli@gmail.com</t>
  </si>
  <si>
    <t>Laique Chohan</t>
  </si>
  <si>
    <t>laiquechohan@yahoo.com</t>
  </si>
  <si>
    <t>Jawed Rehmani</t>
  </si>
  <si>
    <t>jawed_jumani@hotmail.com</t>
  </si>
  <si>
    <t>Mian Tahir</t>
  </si>
  <si>
    <t>subhantahir425@gmail.com</t>
  </si>
  <si>
    <t>Shehzad Ahmed</t>
  </si>
  <si>
    <t>shazi.lakhani@gmail.com</t>
  </si>
  <si>
    <t>Salma Mumtaz</t>
  </si>
  <si>
    <t>Salma_86pk@hotmail.com</t>
  </si>
  <si>
    <t>Shaukat Ali</t>
  </si>
  <si>
    <t>92-3002116849</t>
  </si>
  <si>
    <t>shaukatalisc1@gmail.com</t>
  </si>
  <si>
    <t>Zoheb Ali</t>
  </si>
  <si>
    <t>zohebali1985@gmail.com</t>
  </si>
  <si>
    <t>Muhammad Arif</t>
  </si>
  <si>
    <t>0569558631</t>
  </si>
  <si>
    <t>syedyasirzahid@gmail.com</t>
  </si>
  <si>
    <t>Ni Imtiaz</t>
  </si>
  <si>
    <t>naseem.imtiaz219@gmail.com</t>
  </si>
  <si>
    <t xml:space="preserve">MAAZ </t>
  </si>
  <si>
    <t>Liaquat Baloch</t>
  </si>
  <si>
    <t>liaquatalim75.nc@gmail.com</t>
  </si>
  <si>
    <t>MAAZ MIRZA</t>
  </si>
  <si>
    <t>Kashif shah</t>
  </si>
  <si>
    <t>abdullahshah801@rocketmail.com</t>
  </si>
  <si>
    <t>Wasim Lusia</t>
  </si>
  <si>
    <t>wasimlusia786@gmail.com</t>
  </si>
  <si>
    <t>Zohaib Ahmed Shaikh</t>
  </si>
  <si>
    <t>zohaib_ahmed@hotmail.com</t>
  </si>
  <si>
    <t>Shamaila Danish</t>
  </si>
  <si>
    <t>shy18diamond@yahoo.com</t>
  </si>
  <si>
    <t>Jamal Abdul Nasir</t>
  </si>
  <si>
    <t>drnasircht@gmail.com</t>
  </si>
  <si>
    <t>Ráhim Khan Buneri</t>
  </si>
  <si>
    <t>maaz192009@yahoo.com</t>
  </si>
  <si>
    <t>Lubna Raza</t>
  </si>
  <si>
    <t>farman_raza@yahoo.com</t>
  </si>
  <si>
    <t>Taj Mohammad</t>
  </si>
  <si>
    <t>hezrajan@gmail.com</t>
  </si>
  <si>
    <t>Aaliya Syed</t>
  </si>
  <si>
    <t>draaliyasyed@yahoo.com</t>
  </si>
  <si>
    <t>Noor Muhammad</t>
  </si>
  <si>
    <t>muhammadasain@gmail.com</t>
  </si>
  <si>
    <t>farhanbokha@gmail.com</t>
  </si>
  <si>
    <t>Gulfaraz Ahmed</t>
  </si>
  <si>
    <t>rabia.faraz110@gmail.com</t>
  </si>
  <si>
    <t>Aqeel Solangi</t>
  </si>
  <si>
    <t>aqeelsolangi4@gmail.com</t>
  </si>
  <si>
    <t>Fawad Feroz</t>
  </si>
  <si>
    <t>fawadsmart@hotmail.com</t>
  </si>
  <si>
    <t>Sohnia Zia</t>
  </si>
  <si>
    <t>sohnia.saif@gmail.com</t>
  </si>
  <si>
    <t>Waqas Khan</t>
  </si>
  <si>
    <t>waqas.d.m190@gmail.com</t>
  </si>
  <si>
    <t>Syeda Shereen Shah Jilanee</t>
  </si>
  <si>
    <t>Aaraishbeautycorner@gmail.com</t>
  </si>
  <si>
    <t>تنویر شیرازی</t>
  </si>
  <si>
    <t>abdullahsherazi604@gmail.com</t>
  </si>
  <si>
    <t>Mahvash Jawwad</t>
  </si>
  <si>
    <t>mahvish.jawwad@gmail.com</t>
  </si>
  <si>
    <t>Salma Kamal</t>
  </si>
  <si>
    <t>0333!22115</t>
  </si>
  <si>
    <t>sal.mcdc@gmail.com</t>
  </si>
  <si>
    <t>Yunus Sadiq</t>
  </si>
  <si>
    <t>yunussadiq@outlook.com</t>
  </si>
  <si>
    <t>Dr Rahim Bux Qazi</t>
  </si>
  <si>
    <t>drrahimbux602@gmail.com</t>
  </si>
  <si>
    <t>Syed Muhammad Kamal Mustafa</t>
  </si>
  <si>
    <t>callkamal@hotmail.com</t>
  </si>
  <si>
    <t>Sheikh Fahad</t>
  </si>
  <si>
    <t>sheikhfahad1@live.com</t>
  </si>
  <si>
    <t>Nasif Ahmed</t>
  </si>
  <si>
    <t>77.nasif@gmail.com</t>
  </si>
  <si>
    <t>Junaid Mansuri</t>
  </si>
  <si>
    <t>jm@jmtraders.com</t>
  </si>
  <si>
    <t>Tabassum Khan</t>
  </si>
  <si>
    <t>baby.h.khan@gmail.com</t>
  </si>
  <si>
    <t>Shehbaz Magsi</t>
  </si>
  <si>
    <t>shehbaz.mag@gmail.com</t>
  </si>
  <si>
    <t>Naeem Bhatti</t>
  </si>
  <si>
    <t>naeem_bhatti786@hotmail.com</t>
  </si>
  <si>
    <t>Mahtab Ali Memon</t>
  </si>
  <si>
    <t>mahtabmemon@gmail.com</t>
  </si>
  <si>
    <t>Kiran Komal Sameer</t>
  </si>
  <si>
    <t>komal1331@yahoo.com</t>
  </si>
  <si>
    <t>Faraz Vohra</t>
  </si>
  <si>
    <t>f.m.vohra@gmail.com</t>
  </si>
  <si>
    <t>Roofi Ahmed Meo</t>
  </si>
  <si>
    <t>roofi.nisar@hotmail.com</t>
  </si>
  <si>
    <t>Mohammad Wasim Akhtar</t>
  </si>
  <si>
    <t>+1 9734526867</t>
  </si>
  <si>
    <t>drwakhtar@yahoo.com</t>
  </si>
  <si>
    <t>Muhammad Arshad</t>
  </si>
  <si>
    <t>drarshad043@gmail.com</t>
  </si>
  <si>
    <t>Asadullah Bullo</t>
  </si>
  <si>
    <t>asadbullo@gmail.com</t>
  </si>
  <si>
    <t>Farzana Hussain</t>
  </si>
  <si>
    <t>03212!15828</t>
  </si>
  <si>
    <t>fa.pia@hotmail.com</t>
  </si>
  <si>
    <t>Saleem Ahmed Gaho</t>
  </si>
  <si>
    <t>saleem.gaho@gmail.com</t>
  </si>
  <si>
    <t>Ashfaq Ahmed Inamdar</t>
  </si>
  <si>
    <t>Inamdarashfaq@gmail.com</t>
  </si>
  <si>
    <t>Furqan Jameel</t>
  </si>
  <si>
    <t>furqanjamil25@gmail.com</t>
  </si>
  <si>
    <t>Email:</t>
  </si>
  <si>
    <t>Yasir Khan</t>
  </si>
  <si>
    <t>yasir.cofw@gmail.com</t>
  </si>
  <si>
    <t>Saifullah Sehwani</t>
  </si>
  <si>
    <t>0300-3572347</t>
  </si>
  <si>
    <t>saifullahsehwani@gmail.com</t>
  </si>
  <si>
    <t>Tariq Janjua</t>
  </si>
  <si>
    <t>tariq.h.janjua@gmail.com</t>
  </si>
  <si>
    <t>Ruhi Qureshi</t>
  </si>
  <si>
    <t>ruhi.mansoor@hotmail.com</t>
  </si>
  <si>
    <t>Sadaf Bakhtiari</t>
  </si>
  <si>
    <t>sadaffatimabakhtiari@gmail.com</t>
  </si>
  <si>
    <t>Syed Sikandar Ali Kazmi</t>
  </si>
  <si>
    <t>shahsikanderkazmi@yahoo.com</t>
  </si>
  <si>
    <t>Naim Rajput</t>
  </si>
  <si>
    <t>ceo@deltasecuritymanagement.com</t>
  </si>
  <si>
    <t>Mudassir Rauf</t>
  </si>
  <si>
    <t>mudassir.rauf@gmail.com</t>
  </si>
  <si>
    <t>irstah@hotmail.com</t>
  </si>
  <si>
    <t>Tooba Km</t>
  </si>
  <si>
    <t>toobamerchant@gmail.com</t>
  </si>
  <si>
    <t xml:space="preserve"> MAAZ MIRZA</t>
  </si>
  <si>
    <t>Syed Tanveer Haider Shah</t>
  </si>
  <si>
    <t>tanveer_shah94@yahoo.com</t>
  </si>
  <si>
    <t>Aamir Nazir</t>
  </si>
  <si>
    <t>aamirhansraj86@gmail.com</t>
  </si>
  <si>
    <t>May 1- 2020</t>
  </si>
  <si>
    <t>Syed Tauqeer Ahmed</t>
  </si>
  <si>
    <t>stauqeer_73@yahoo.com</t>
  </si>
  <si>
    <t>Fazal Ur Rehman Rana</t>
  </si>
  <si>
    <t>fazalrana@hotmail.com</t>
  </si>
  <si>
    <t>Kawal Farooqui</t>
  </si>
  <si>
    <t>saminafarooqi422@gmail.com</t>
  </si>
  <si>
    <t>Muhammad Hasan</t>
  </si>
  <si>
    <t>hasan_petroku@yahoo.com</t>
  </si>
  <si>
    <t>Naveed Ahmed Shaikh</t>
  </si>
  <si>
    <t>naveed_iba@yahoo.com</t>
  </si>
  <si>
    <t>Naeem Shah</t>
  </si>
  <si>
    <t>naeemshah20016@gmail.com</t>
  </si>
  <si>
    <t>Faiyaz Amlani</t>
  </si>
  <si>
    <t>faiyaz.amlani.1@gmail.com</t>
  </si>
  <si>
    <t>Wamiq Ali</t>
  </si>
  <si>
    <t>wamiq_ali@hotmail.com</t>
  </si>
  <si>
    <t>Fauzia Ejaz</t>
  </si>
  <si>
    <t>fauziaejaz74@gmail.com</t>
  </si>
  <si>
    <t>Ashraf Spestate</t>
  </si>
  <si>
    <t>mashraf00136@gmail.com</t>
  </si>
  <si>
    <t>Nadeem Ahmed Gabol</t>
  </si>
  <si>
    <t>nadeemgabol786@gmail.com</t>
  </si>
  <si>
    <t>Eliya Hasan Abid</t>
  </si>
  <si>
    <t>eliyahasan@gmail.com</t>
  </si>
  <si>
    <t>Shuaib Qureshi</t>
  </si>
  <si>
    <t>info3tc@gmail.com</t>
  </si>
  <si>
    <t>Umair Ahmad</t>
  </si>
  <si>
    <t>3151995785,</t>
  </si>
  <si>
    <t>umairkerc@yahoo.com</t>
  </si>
  <si>
    <t>Abdul Hameed</t>
  </si>
  <si>
    <t>abdulhameedjokhio53@gmail.com</t>
  </si>
  <si>
    <t>Khanzaib Khan</t>
  </si>
  <si>
    <t>zaib28908@gmail.com</t>
  </si>
  <si>
    <t>Muneer Hassan Ali</t>
  </si>
  <si>
    <t>muneerahmed_memon@hotmai.comto</t>
  </si>
  <si>
    <t>Asif Rauf</t>
  </si>
  <si>
    <t>asifrauf1970@gmail.com</t>
  </si>
  <si>
    <t>Shams Siddiqui</t>
  </si>
  <si>
    <t>shamssiddiqui81@gmail.com</t>
  </si>
  <si>
    <t>Sharon Shalla Hayat</t>
  </si>
  <si>
    <t>dr.shallahayat@gmail.com</t>
  </si>
  <si>
    <t>Farhan Jawed</t>
  </si>
  <si>
    <t>fajawed@yahoo.com</t>
  </si>
  <si>
    <t>Atta Attaullahkhan</t>
  </si>
  <si>
    <t>attakhanattaullah531@gmail.com</t>
  </si>
  <si>
    <t>Irshad Malik</t>
  </si>
  <si>
    <t>irshaadmalik007@gmail.com</t>
  </si>
  <si>
    <t>Sulman Khan</t>
  </si>
  <si>
    <t>sulemansadiq30@gmail.com</t>
  </si>
  <si>
    <t>Faheem Shaikh</t>
  </si>
  <si>
    <t>faheeminayatshaikh@gmail.com</t>
  </si>
  <si>
    <t>Muhammad Ifrahim</t>
  </si>
  <si>
    <t>ifrahim@gmail.com</t>
  </si>
  <si>
    <t>Waqas Ahmed Pathan</t>
  </si>
  <si>
    <t>pathan.wap@gmail.com</t>
  </si>
  <si>
    <t>Osama Syed</t>
  </si>
  <si>
    <t>osama_ali@ffc.com.pk</t>
  </si>
  <si>
    <t>Muhammad Kamran</t>
  </si>
  <si>
    <t>muhammadkamran.mk1@gmail.com</t>
  </si>
  <si>
    <t>Naeem Siddiqui</t>
  </si>
  <si>
    <t>naeemkabir@hotmail.com</t>
  </si>
  <si>
    <t>ik0972823@gmail.com</t>
  </si>
  <si>
    <t>Syed Alay Abbas Naqvi</t>
  </si>
  <si>
    <t>musafir_e_sham@hotmail.com</t>
  </si>
  <si>
    <t>Israr Shaikh</t>
  </si>
  <si>
    <t>igmotors@gmail.com</t>
  </si>
  <si>
    <t>Ainy Malik</t>
  </si>
  <si>
    <t>nadia_ainy@hotmail.com</t>
  </si>
  <si>
    <t>Mufti Shafeeq Mahar</t>
  </si>
  <si>
    <t>fazlurrahmannazeer123@gmail.com</t>
  </si>
  <si>
    <t>Saima Latif</t>
  </si>
  <si>
    <t>saaima_98@yahoo.com</t>
  </si>
  <si>
    <t>Abdur Rauf</t>
  </si>
  <si>
    <t>arauf.iqradevelopers@gmail.com</t>
  </si>
  <si>
    <t>Bushra Sikander</t>
  </si>
  <si>
    <t>bushra_sikandar@yahoo.com</t>
  </si>
  <si>
    <t>Anushae Alam</t>
  </si>
  <si>
    <t>anushaealam@gmail.com</t>
  </si>
  <si>
    <t xml:space="preserve"> Alam Alam</t>
  </si>
  <si>
    <t>swankarachi@hmail.com</t>
  </si>
  <si>
    <t>Engr Raza</t>
  </si>
  <si>
    <t>asifjees@hotmail.com</t>
  </si>
  <si>
    <t>Fayyaz F P</t>
  </si>
  <si>
    <t>fayyazpalari@gmail.com</t>
  </si>
  <si>
    <t>Mobeen Jafri</t>
  </si>
  <si>
    <t>mobeenj92110@gmail.com</t>
  </si>
  <si>
    <t>Najam  Memon</t>
  </si>
  <si>
    <t>najamemon@gmail.com</t>
  </si>
  <si>
    <t>Quratulain Mahmood</t>
  </si>
  <si>
    <t>apsqurat@gmail.com</t>
  </si>
  <si>
    <t>Abid Ali</t>
  </si>
  <si>
    <t>engrabid117@gmail.com</t>
  </si>
  <si>
    <t>Lalzada Khan</t>
  </si>
  <si>
    <t>shehzaddyeing@yahoo.com</t>
  </si>
  <si>
    <t>Mazhar Ali Baloch</t>
  </si>
  <si>
    <t>malibaloch@yahoo.com</t>
  </si>
  <si>
    <t>M. Tariq Javeed Rajputking</t>
  </si>
  <si>
    <t>rajputking668711@gmail.com</t>
  </si>
  <si>
    <t>Kiran Fatima</t>
  </si>
  <si>
    <t>kiranirtaza@hotmail.com</t>
  </si>
  <si>
    <t>Ffsamoo Baat</t>
  </si>
  <si>
    <t>farzana.samoo@ke.com</t>
  </si>
  <si>
    <t>Shumaila Hamid</t>
  </si>
  <si>
    <t>shumilahamid@gmail.com</t>
  </si>
  <si>
    <t>Shabnam Afridi</t>
  </si>
  <si>
    <t>dewkhan77@yahoo.com</t>
  </si>
  <si>
    <t>Muhammad Moutasim Asim Siddiqui</t>
  </si>
  <si>
    <t>moutasim.asim@gmail.com</t>
  </si>
  <si>
    <t>Engr Majid Qambrani</t>
  </si>
  <si>
    <t>engrmajid95@gmail.com</t>
  </si>
  <si>
    <t>Ziauddin Rajgarwala</t>
  </si>
  <si>
    <t>yxeeia@gmail.com</t>
  </si>
  <si>
    <t>Muhammad Imran</t>
  </si>
  <si>
    <t>aa-elects@hotmail.com</t>
  </si>
  <si>
    <t>SC WP</t>
  </si>
  <si>
    <t>samreenchawla2010@yahoo.com</t>
  </si>
  <si>
    <t>Faisal Shaikh</t>
  </si>
  <si>
    <t>faisalshaikh_20@yahoo.com</t>
  </si>
  <si>
    <t>Azra Qaiser</t>
  </si>
  <si>
    <t>azqaiser@gmail.com</t>
  </si>
  <si>
    <t>Syed Ahmed</t>
  </si>
  <si>
    <t>gahmedshah1982@gmail.com</t>
  </si>
  <si>
    <t>Mazhar Iqbal</t>
  </si>
  <si>
    <t>+92 323-2599977</t>
  </si>
  <si>
    <t>mazharwariam@yahoo.com</t>
  </si>
  <si>
    <t>Mir Aslam Thaheem</t>
  </si>
  <si>
    <t>mir_thaheem@hotmail.com</t>
  </si>
  <si>
    <t>Yasir Ilyas</t>
  </si>
  <si>
    <t>yasir.modi@yahoo.com</t>
  </si>
  <si>
    <t>Moiz Ezzi</t>
  </si>
  <si>
    <t>coolbuddy78@hotmail.com</t>
  </si>
  <si>
    <t>Javed Khan</t>
  </si>
  <si>
    <t>ak.fisheries@gmail.com</t>
  </si>
  <si>
    <t>Saif ur Rehman</t>
  </si>
  <si>
    <t>s.rehman.acma@gmail.com</t>
  </si>
  <si>
    <t>Ghulam Memon</t>
  </si>
  <si>
    <t>memonghulamasghar1@gmail.com</t>
  </si>
  <si>
    <t>emran_0321@live.com</t>
  </si>
  <si>
    <t>Sohail Sattar</t>
  </si>
  <si>
    <t>sohail1121@yahoo.com</t>
  </si>
  <si>
    <t>Faisal Hanif</t>
  </si>
  <si>
    <t>faisalhanif95@gmail.com</t>
  </si>
  <si>
    <t>B Victor Sandhu</t>
  </si>
  <si>
    <t>harrysam079@gmail.com</t>
  </si>
  <si>
    <t>Asiya Ejaz</t>
  </si>
  <si>
    <t>asiyarashid1@gmail.com</t>
  </si>
  <si>
    <t>Marium Haris</t>
  </si>
  <si>
    <t>marium.kutchi2@gmail.com</t>
  </si>
  <si>
    <t>Aatif Siddiqui</t>
  </si>
  <si>
    <t>aatifsiddiqui@gmail.com</t>
  </si>
  <si>
    <t>Syed Badar Naqvi</t>
  </si>
  <si>
    <t>baddar.shuja@zameen.com</t>
  </si>
  <si>
    <t>DrTofique Jumani Abu Zohan</t>
  </si>
  <si>
    <t>tofiqjumani@yahoo.com</t>
  </si>
  <si>
    <t>Johri Farrukh</t>
  </si>
  <si>
    <t>johri.enterprises@yahoo.com</t>
  </si>
  <si>
    <t>Fahad Zia</t>
  </si>
  <si>
    <t>replyfahad@gmail.com</t>
  </si>
  <si>
    <t>Prince Bilal Shah</t>
  </si>
  <si>
    <t>qadribilalshah@gmail.com</t>
  </si>
  <si>
    <t>Sajjad Haider</t>
  </si>
  <si>
    <t>Sajjadhaider240471@gmail.com</t>
  </si>
  <si>
    <t>Iram Khawaja</t>
  </si>
  <si>
    <t>iramasif1966@gmil.com</t>
  </si>
  <si>
    <t>Rupal Damani</t>
  </si>
  <si>
    <t>rupal.sultan@gmail.com</t>
  </si>
  <si>
    <t>Masood Ali Malik</t>
  </si>
  <si>
    <t>masoodalimalik1@gmail.com</t>
  </si>
  <si>
    <t>Masood Saeed</t>
  </si>
  <si>
    <t>smsaeed_pk1@yahoo.com</t>
  </si>
  <si>
    <t>Zubair Ahmed Shaikh</t>
  </si>
  <si>
    <t>zsbanker392@gmail.com</t>
  </si>
  <si>
    <t xml:space="preserve">Babar Shaikh
Buriro </t>
  </si>
  <si>
    <t>babaraliburiro51@gmail.com</t>
  </si>
  <si>
    <t>Muhammad Zishan Memon</t>
  </si>
  <si>
    <t>Zishanmemon@hotmail.com</t>
  </si>
  <si>
    <t>Toqir Niazi</t>
  </si>
  <si>
    <t>toqirbise786@gmail.com</t>
  </si>
  <si>
    <t>Jallal Ovais</t>
  </si>
  <si>
    <t>jallal.ovais@gmail.com</t>
  </si>
  <si>
    <t>Khan Kashif</t>
  </si>
  <si>
    <t>mkkaiys@gmail.com</t>
  </si>
  <si>
    <t>Mannan Abdul</t>
  </si>
  <si>
    <t>abdul.mannan@hotmail.com</t>
  </si>
  <si>
    <t>Jatoi Khalid</t>
  </si>
  <si>
    <t>Kashanshaikh_7@hotmail.com</t>
  </si>
  <si>
    <t>Khan Sameera</t>
  </si>
  <si>
    <t>sameera.khanuae.sk@gmail.com</t>
  </si>
  <si>
    <t>Waris Kehkushan</t>
  </si>
  <si>
    <t>kehkushanwaris@gmail.8com</t>
  </si>
  <si>
    <t>BAKTHAWER</t>
  </si>
  <si>
    <t>Umer Javed</t>
  </si>
  <si>
    <t>jawedu15@gmail.com</t>
  </si>
  <si>
    <t>Ahmed Mian</t>
  </si>
  <si>
    <t>mianfaraz2013@gmail.com</t>
  </si>
  <si>
    <t>Masoom Mirza</t>
  </si>
  <si>
    <t>doctormasoom@yahoo.com</t>
  </si>
  <si>
    <t>Ozair Lodhi</t>
  </si>
  <si>
    <t>lodhiozair@gmail.com</t>
  </si>
  <si>
    <t>Muhammad Afzal</t>
  </si>
  <si>
    <t>safehand@cyber.net.pk</t>
  </si>
  <si>
    <t>Nadeem Baloch</t>
  </si>
  <si>
    <t>nadeembaloch@ymail.com</t>
  </si>
  <si>
    <t>Shehzad Sharif</t>
  </si>
  <si>
    <t>sasharif@gmail.com</t>
  </si>
  <si>
    <t>Ahmed Nawaz Baloch</t>
  </si>
  <si>
    <t>a.nawazbaloch@hotmail.com</t>
  </si>
  <si>
    <t>Farrukh Rauf</t>
  </si>
  <si>
    <t xml:space="preserve">                                           </t>
  </si>
  <si>
    <t>Asrar Altaf</t>
  </si>
  <si>
    <t>asrar_altaf@hotmail.com</t>
  </si>
  <si>
    <t>Erum Ghaffar</t>
  </si>
  <si>
    <t>erumghaffar@yahoo.com</t>
  </si>
  <si>
    <t>DrSonia Shahid</t>
  </si>
  <si>
    <t>soniarasheed982@gmail.com</t>
  </si>
  <si>
    <t xml:space="preserve">                                                                                                                                                                                                           </t>
  </si>
  <si>
    <t>Ovais Kl</t>
  </si>
  <si>
    <t>Aroubagtppc@gmail.com</t>
  </si>
  <si>
    <t>Muzaffar Oonawala</t>
  </si>
  <si>
    <t>muziawg777@hotmail.com</t>
  </si>
  <si>
    <t>Usman Asif</t>
  </si>
  <si>
    <t>usmanowais@yahoo.com</t>
  </si>
  <si>
    <t>Farzana Malik Razzak</t>
  </si>
  <si>
    <t>sweetrose786.ra@gmail.com</t>
  </si>
  <si>
    <t>fahadmehmood2007@gmail.com</t>
  </si>
  <si>
    <t>Alinawaz Jatoi</t>
  </si>
  <si>
    <t>an.jatoi@gmail.com</t>
  </si>
  <si>
    <t>Bilal Khan</t>
  </si>
  <si>
    <t>mbilalkhan1984@gmail.com</t>
  </si>
  <si>
    <t>Syed Bukhari</t>
  </si>
  <si>
    <t>bukharis666@gmail.com</t>
  </si>
  <si>
    <t>Sandeep K</t>
  </si>
  <si>
    <t>engrsandeep@hotmail.com</t>
  </si>
  <si>
    <t>Aejaz Khadim</t>
  </si>
  <si>
    <t>aejaz@live.com</t>
  </si>
  <si>
    <t>Hina Khursheed</t>
  </si>
  <si>
    <t>hinakhursheed40@gmail.com</t>
  </si>
  <si>
    <t>MAAZ T</t>
  </si>
  <si>
    <t>MAAZ M</t>
  </si>
  <si>
    <t>Uzair Ibrahim</t>
  </si>
  <si>
    <t>mr.uzairibrahim@hotmail.com</t>
  </si>
  <si>
    <t>Syed Yameen</t>
  </si>
  <si>
    <t>s.yameenhussain@gmail.com</t>
  </si>
  <si>
    <t>Javeed Ali</t>
  </si>
  <si>
    <t>javeed_haider@yahoo.com</t>
  </si>
  <si>
    <t>Saif Dehelvi</t>
  </si>
  <si>
    <t>saif.dhelvi@gmail.com</t>
  </si>
  <si>
    <t>Zia Uddin</t>
  </si>
  <si>
    <t>aizaidan@yahoo.com</t>
  </si>
  <si>
    <t>M.Khurram  Khan</t>
  </si>
  <si>
    <t>tonkh@yahoo.com</t>
  </si>
  <si>
    <t>Sajid Sudozai</t>
  </si>
  <si>
    <t>sajidsudozai@hotmail.com</t>
  </si>
  <si>
    <t>Mrizwan Hashmi</t>
  </si>
  <si>
    <t>mrizwan.hashmi.78@gmail.com</t>
  </si>
  <si>
    <t>Adnan Irshad</t>
  </si>
  <si>
    <t>adnanirshad511@gmail.com</t>
  </si>
  <si>
    <t>Adeel Akhtar</t>
  </si>
  <si>
    <t>adeeldpa@gmail.com</t>
  </si>
  <si>
    <t>Murtaza Burhani</t>
  </si>
  <si>
    <t>murtazaburhani@hotmail.com</t>
  </si>
  <si>
    <t>Aye Sha Ayesha Tahir</t>
  </si>
  <si>
    <t>printingtimes.pk1@gmail.com</t>
  </si>
  <si>
    <t>Farzana Ghafoor</t>
  </si>
  <si>
    <t>farzanaghafoor@gmail.com</t>
  </si>
  <si>
    <t>Saif Najam</t>
  </si>
  <si>
    <t>najam_saif@hotmail.com</t>
  </si>
  <si>
    <t>Anil Riaz</t>
  </si>
  <si>
    <t>anilriazuddin@gmail.com</t>
  </si>
  <si>
    <t>Hasan Masud</t>
  </si>
  <si>
    <t>h_masud@ppl.com.pk</t>
  </si>
  <si>
    <t>Edwin William</t>
  </si>
  <si>
    <t>michaelwilliam@728gmail.com</t>
  </si>
  <si>
    <t>Ali Maniya</t>
  </si>
  <si>
    <t>alimaniya@gmail.com</t>
  </si>
  <si>
    <t>Iffat Batool</t>
  </si>
  <si>
    <t>pb-batool@hotmail.com</t>
  </si>
  <si>
    <t>Ashfaq Butt</t>
  </si>
  <si>
    <t>ashfaq_butt91@hotmail.com</t>
  </si>
  <si>
    <t>Fazal Khan</t>
  </si>
  <si>
    <t>faz0345al@mail.com</t>
  </si>
  <si>
    <t>Raheela Masood</t>
  </si>
  <si>
    <t>masabmasood@hotmail.com</t>
  </si>
  <si>
    <t>Yasir Baba</t>
  </si>
  <si>
    <t>yasirbaba122@gmail.com</t>
  </si>
  <si>
    <t>baktawer</t>
  </si>
  <si>
    <t>Anisuddin Shaikh</t>
  </si>
  <si>
    <t>ak9033679@gmail.com</t>
  </si>
  <si>
    <t>Muhammed Altaf Kamdar</t>
  </si>
  <si>
    <t>altafkamdar65@gmail.com</t>
  </si>
  <si>
    <t>Iqbal Awan</t>
  </si>
  <si>
    <t>awaniqbal943@gmail.com</t>
  </si>
  <si>
    <t>Muzammil A Majeed</t>
  </si>
  <si>
    <t>myheartbeatss@hotmail.com</t>
  </si>
  <si>
    <t>Farhana Kehar</t>
  </si>
  <si>
    <t>farhana_kehar@hotmail.com</t>
  </si>
  <si>
    <t>Sher Khan Khan</t>
  </si>
  <si>
    <t>zamanat981@gmail.com</t>
  </si>
  <si>
    <t>Furqan Ahmed</t>
  </si>
  <si>
    <t>itelixpda@gmail.com</t>
  </si>
  <si>
    <t>Tasneem Zaidi</t>
  </si>
  <si>
    <t>tasneemabbas_1@hotmail.com</t>
  </si>
  <si>
    <t>Muhammad Usman</t>
  </si>
  <si>
    <t>msalman935@gmail.com</t>
  </si>
  <si>
    <t>Sama Khurram</t>
  </si>
  <si>
    <t>hi.samakhurram@gmail.com</t>
  </si>
  <si>
    <t>Syed Ahsan</t>
  </si>
  <si>
    <t>tahameehsan@gmail.com</t>
  </si>
  <si>
    <t>Abdull Aleem</t>
  </si>
  <si>
    <t>abdullaleemnasir@gmail.com</t>
  </si>
  <si>
    <t>ayan.gold2010@gmail.com</t>
  </si>
  <si>
    <t>Ali Hemani</t>
  </si>
  <si>
    <t>hemani14@hotmail.com</t>
  </si>
  <si>
    <t>Muhammad Siddiqui</t>
  </si>
  <si>
    <t>afzal_rafiq@hotmail.com</t>
  </si>
  <si>
    <t>Rao Muhammad Nouman</t>
  </si>
  <si>
    <t>nomanrao8@gmail.com</t>
  </si>
  <si>
    <t>Anwar Anwar</t>
  </si>
  <si>
    <t>muhammadanwar1333@gmail.com</t>
  </si>
  <si>
    <t>Farrukh Shah</t>
  </si>
  <si>
    <t>farrukhshah9999@gmail.com</t>
  </si>
  <si>
    <t>ARehman Mukaty</t>
  </si>
  <si>
    <t>Nizammobile7@gmail.com</t>
  </si>
  <si>
    <t>Nasima Sadiol</t>
  </si>
  <si>
    <t>sadiol@yahoo.com</t>
  </si>
  <si>
    <t>Rajesh Punjabi</t>
  </si>
  <si>
    <t>centerprisez@gmail.com</t>
  </si>
  <si>
    <t>Shahzad Sharif Khanani</t>
  </si>
  <si>
    <t>www.shahzadsk24@gmail.com</t>
  </si>
  <si>
    <t>Raheem FortunePk</t>
  </si>
  <si>
    <t>raheemkk86@gmail.com</t>
  </si>
  <si>
    <t>Zaheer Zaidi</t>
  </si>
  <si>
    <t>zaheerapk@yahoo.com</t>
  </si>
  <si>
    <t>Riaz Niazi</t>
  </si>
  <si>
    <t>norang_corp@hotmail.com</t>
  </si>
  <si>
    <t>Noor-e Helal Saifur Rahman</t>
  </si>
  <si>
    <t>helalrahman68@gmail.com</t>
  </si>
  <si>
    <t>Waqas Zia</t>
  </si>
  <si>
    <t>vicky_her3@hotmail.com</t>
  </si>
  <si>
    <t>Abbas jessa</t>
  </si>
  <si>
    <t>abbasjeesa@yahoo.com</t>
  </si>
  <si>
    <t>MAAZ  MIRZA</t>
  </si>
  <si>
    <t>Peeran Shaikh</t>
  </si>
  <si>
    <t>imranashaikh@gmail.com</t>
  </si>
  <si>
    <t>Ali Malik</t>
  </si>
  <si>
    <t>m.ali805700@gmail.com</t>
  </si>
  <si>
    <t>Tahmina Waseem</t>
  </si>
  <si>
    <t>tahmina123@icloud.com</t>
  </si>
  <si>
    <t>Hameed Memon</t>
  </si>
  <si>
    <t>Mubashr Hassan</t>
  </si>
  <si>
    <t>mubashir.hyd@gmail.com</t>
  </si>
  <si>
    <t>Altaf Ahmed</t>
  </si>
  <si>
    <t>altafsarim2017@gmail.com</t>
  </si>
  <si>
    <t>Faizanakhtar Faizan</t>
  </si>
  <si>
    <t>faizanakhtar1986@gmail.com</t>
  </si>
  <si>
    <t>Mudassir Salam</t>
  </si>
  <si>
    <t>mudassirsalam1986@gmail.com</t>
  </si>
  <si>
    <t>Mansoor Ali</t>
  </si>
  <si>
    <t>zohaanenterprises@gmail.com</t>
  </si>
  <si>
    <t>Farah Sulaiman</t>
  </si>
  <si>
    <t>farah33414@gmail.com</t>
  </si>
  <si>
    <t>grape_vania@hotmail.com</t>
  </si>
  <si>
    <t>Khurram Khalid</t>
  </si>
  <si>
    <t>khurram1300@hotmail.com</t>
  </si>
  <si>
    <t>Fara Sid</t>
  </si>
  <si>
    <t>farahsidiqui@gmail.com</t>
  </si>
  <si>
    <t>Muhammad Saleem</t>
  </si>
  <si>
    <t>ms.saleem1970@gmail.com</t>
  </si>
  <si>
    <t>Riaz Ahmed</t>
  </si>
  <si>
    <t>waganriax@gmail.com</t>
  </si>
  <si>
    <t>Mumtaz Ahmed Karim</t>
  </si>
  <si>
    <t>8284488@gmail.com</t>
  </si>
  <si>
    <t>Muhammad Kashif Iqbal</t>
  </si>
  <si>
    <t>mktiqbal77@gmail.com</t>
  </si>
  <si>
    <t>Nida Ambreen</t>
  </si>
  <si>
    <t>nidamishi@gmail.com</t>
  </si>
  <si>
    <t>Imran Shah</t>
  </si>
  <si>
    <t>imranalishah@doctors.org.uk</t>
  </si>
  <si>
    <t>Malik Arif Awan</t>
  </si>
  <si>
    <t>malikarif6565awan@gmail.com</t>
  </si>
  <si>
    <t>Moosa Muhammad</t>
  </si>
  <si>
    <t>moosamajeed@hotmail.com</t>
  </si>
  <si>
    <t>Iram Zaman</t>
  </si>
  <si>
    <t>iramsalman7900@hotmail.com</t>
  </si>
  <si>
    <t>moona mani moona mani</t>
  </si>
  <si>
    <t>shaziafaraharshi@gmail.com</t>
  </si>
  <si>
    <t>Ahsin Waqas</t>
  </si>
  <si>
    <t>ahsinsbp@gmail.com</t>
  </si>
  <si>
    <t>Salman Khan</t>
  </si>
  <si>
    <t>sukhan69@hotmail.com</t>
  </si>
  <si>
    <t>Azam Sultan</t>
  </si>
  <si>
    <t>azamsultan@mac.com</t>
  </si>
  <si>
    <t>Syeda Qazi</t>
  </si>
  <si>
    <t>farina_qazi2011@hotmail.com</t>
  </si>
  <si>
    <t>Ghousia Pasha</t>
  </si>
  <si>
    <t>gpasha247@gmail.com</t>
  </si>
  <si>
    <t>Talib Hussain</t>
  </si>
  <si>
    <t>stassociates138@gmail.com</t>
  </si>
  <si>
    <t>Muhammad Ibrahim Adnan Arain</t>
  </si>
  <si>
    <t>drarainibrahim@yahoo.com</t>
  </si>
  <si>
    <t>Noem Faruqui</t>
  </si>
  <si>
    <t>noemfaruqui@gmail.com</t>
  </si>
  <si>
    <t>Ruby Adnan</t>
  </si>
  <si>
    <t>adnan_sarah@hotmail.com</t>
  </si>
  <si>
    <t>Kishwar Siddiqui</t>
  </si>
  <si>
    <t>kishwar6@hotmail.com</t>
  </si>
  <si>
    <t>Shagufta Imtiaz</t>
  </si>
  <si>
    <t>shagufta_imtiaz@hotmail.com</t>
  </si>
  <si>
    <t>Hafsa Kashif</t>
  </si>
  <si>
    <t>hafsakashif@hotmail.com</t>
  </si>
  <si>
    <t>Ehtisham Ikram</t>
  </si>
  <si>
    <t>ehtishamikram@hotmail.com</t>
  </si>
  <si>
    <t>Hanif Nawaz</t>
  </si>
  <si>
    <t>hanifnawaz395@gmail.com</t>
  </si>
  <si>
    <t>Aayesha Azeem</t>
  </si>
  <si>
    <t>Ashazeem111@gmail.com</t>
  </si>
  <si>
    <t>Abdul Rashid</t>
  </si>
  <si>
    <t>husnain81@yahoo.com</t>
  </si>
  <si>
    <t>Ayaz Ahmed</t>
  </si>
  <si>
    <t>ayazkhan551133@gmail.com</t>
  </si>
  <si>
    <t>Sagheer Ahmed</t>
  </si>
  <si>
    <t>saghir.ahmed1956@gmail.com</t>
  </si>
  <si>
    <t>Majida Hameed</t>
  </si>
  <si>
    <t>majidahameed92@gmail.com</t>
  </si>
  <si>
    <t>Sayyid Marghoob Hasan</t>
  </si>
  <si>
    <t>SayyidMarghoobHasan@gmail.com</t>
  </si>
  <si>
    <t xml:space="preserve">Farzana Rahman </t>
  </si>
  <si>
    <t>rahman.farzana3@gmail.com</t>
  </si>
  <si>
    <t>Syed Wiqar Ahmed</t>
  </si>
  <si>
    <t>sarq_autos@yahoo.com</t>
  </si>
  <si>
    <t>SALMAN</t>
  </si>
  <si>
    <t>Bobby Kenneth</t>
  </si>
  <si>
    <t>frugiesint7@gmail.com</t>
  </si>
  <si>
    <t>Abdul Majid</t>
  </si>
  <si>
    <t>majid0925@gmail.com</t>
  </si>
  <si>
    <t>Amber	Mohsin</t>
  </si>
  <si>
    <t>ambermohsin999@gmail.com</t>
  </si>
  <si>
    <t>Khalid	Farshori</t>
  </si>
  <si>
    <t>Khalidfarshori@gmail.com</t>
  </si>
  <si>
    <t>Hira Kashif	Khanzada</t>
  </si>
  <si>
    <t>mshirakashif@yahoo.com</t>
  </si>
  <si>
    <t>Ahmad	Osmani</t>
  </si>
  <si>
    <t>Usmani786@yahoo.com</t>
  </si>
  <si>
    <t>Farida Babar	Raisham</t>
  </si>
  <si>
    <t>faridababar14@gmail.com</t>
  </si>
  <si>
    <t xml:space="preserve">Samreen	Kamran
	</t>
  </si>
  <si>
    <t>samreenk78@gmail.com</t>
  </si>
  <si>
    <t>Murad	Qadir</t>
  </si>
  <si>
    <t>muradqadir985@yahoo.com</t>
  </si>
  <si>
    <t>eleNA</t>
  </si>
  <si>
    <t>Shamaun	Masih</t>
  </si>
  <si>
    <t>shamaunmurad@gmail.com</t>
  </si>
  <si>
    <t>Shaikh	Islamuddin</t>
  </si>
  <si>
    <t>islam797@hotmail.com</t>
  </si>
  <si>
    <t>lala ali	mirza</t>
  </si>
  <si>
    <t>alimirzajcd@gmail.com</t>
  </si>
  <si>
    <t>Sania    Zehri</t>
  </si>
  <si>
    <t>zehri_sania@yahoo.com</t>
  </si>
  <si>
    <t>Syed M Anwar	Hussain</t>
  </si>
  <si>
    <t>pacemed49@yahoo.com</t>
  </si>
  <si>
    <t>SAL;MAN</t>
  </si>
  <si>
    <t>Satram	Maheshwari</t>
  </si>
  <si>
    <t>satram.maheshwari@yahoo.com</t>
  </si>
  <si>
    <t>Ruqaiya	Khan</t>
  </si>
  <si>
    <t>ruqaiya_khan_4@hotmail.com</t>
  </si>
  <si>
    <t>Aly	Al Rehman</t>
  </si>
  <si>
    <t>alyalrehman@gmail.com</t>
  </si>
  <si>
    <t>Mohmmad	Khan</t>
  </si>
  <si>
    <t>md_khan2386@yahoo.com</t>
  </si>
  <si>
    <t>Nadia	Atif</t>
  </si>
  <si>
    <t>matifsyed@hotmail.com</t>
  </si>
  <si>
    <t>Naeem	Qasmi</t>
  </si>
  <si>
    <t>naeemqasmi11@gmail.com</t>
  </si>
  <si>
    <t>Chaudry	Anwar Topa</t>
  </si>
  <si>
    <t>ch.anwar54@gmail.com</t>
  </si>
  <si>
    <t>Syed	Pasha</t>
  </si>
  <si>
    <t>doc_babar@hotmail.com</t>
  </si>
  <si>
    <t>Waseem        Manzar</t>
  </si>
  <si>
    <t>waseemmanzar@yahoo.com</t>
  </si>
  <si>
    <t>Shahzad	Aziz</t>
  </si>
  <si>
    <t>sparesale@gmail.com</t>
  </si>
  <si>
    <t>Asif	Abrar</t>
  </si>
  <si>
    <t>asifabrar169@yahoo.com</t>
  </si>
  <si>
    <t>Farrukh	Rasheed</t>
  </si>
  <si>
    <t>farasheed865@gmail.com</t>
  </si>
  <si>
    <t>Adeeba	Ali</t>
  </si>
  <si>
    <t>adeeba_ali1@hotmail.com</t>
  </si>
  <si>
    <t>EMAAR Panorama</t>
  </si>
  <si>
    <t>Sarfaraz	Hussain</t>
  </si>
  <si>
    <t>sarfarazhudsain739@gmail.com</t>
  </si>
  <si>
    <t>Mashal	Zohaib</t>
  </si>
  <si>
    <t>mashalhm@gmail.com</t>
  </si>
  <si>
    <t>Kashif	Murtaza</t>
  </si>
  <si>
    <t>mirza140@hotmail.com</t>
  </si>
  <si>
    <t>uzma	Irfan</t>
  </si>
  <si>
    <t>iamuzma@yahoo.com</t>
  </si>
  <si>
    <t>Syed	Ahmad Badar</t>
  </si>
  <si>
    <t>ahmadbadar@hotmail.com</t>
  </si>
  <si>
    <t>Talha	Javed</t>
  </si>
  <si>
    <t>talha@dreamspakistan.com</t>
  </si>
  <si>
    <t>Imran	Altaf</t>
  </si>
  <si>
    <t>ialohya@hotmail.com</t>
  </si>
  <si>
    <t>Shamim	Mansoor</t>
  </si>
  <si>
    <t>shamimmansoor@hotmail.com</t>
  </si>
  <si>
    <t>Sana	Mateen</t>
  </si>
  <si>
    <t>sanashifa0@hotmail.com</t>
  </si>
  <si>
    <t>Syed	Abbas</t>
  </si>
  <si>
    <t>msyed982@gmail.com</t>
  </si>
  <si>
    <t>Sadaf	Memon</t>
  </si>
  <si>
    <t>786m.sadaf@gmail.com</t>
  </si>
  <si>
    <t>Aftab	Ahmed</t>
  </si>
  <si>
    <t>zasaifee@gmail.com</t>
  </si>
  <si>
    <t>Ali	Raza</t>
  </si>
  <si>
    <t>a03002125044@gmail.com</t>
  </si>
  <si>
    <t>Sabeen	Khurram</t>
  </si>
  <si>
    <t>sabeenkhurram1974@gmail.com</t>
  </si>
  <si>
    <t>Farheen	Majeed</t>
  </si>
  <si>
    <t>farheenmajid@live.com</t>
  </si>
  <si>
    <t>Zarish	Memon</t>
  </si>
  <si>
    <t>rizwanamemon36@gmail.com</t>
  </si>
  <si>
    <t>Farooq	Hussain</t>
  </si>
  <si>
    <t>farooqhussain_8@hotmail.com</t>
  </si>
  <si>
    <t>Sjd	Syed</t>
  </si>
  <si>
    <t>sjdnaqvi5@gmail.com</t>
  </si>
  <si>
    <t>Midhat	Hussain</t>
  </si>
  <si>
    <t>naveenhussain97@gmail.com</t>
  </si>
  <si>
    <t>Sajjad	Bashir</t>
  </si>
  <si>
    <t>blue.sky071967@yahoo.com</t>
  </si>
  <si>
    <t>Syed	Taqi</t>
  </si>
  <si>
    <t>syedtalhataqi@gmail.com</t>
  </si>
  <si>
    <t>Asma	Tufail</t>
  </si>
  <si>
    <t>asma_tufail@hotmail.com</t>
  </si>
  <si>
    <t>Aslam	Khan</t>
  </si>
  <si>
    <t>oc765cte@gmail.com</t>
  </si>
  <si>
    <t>Syeda Tanveer	Fatima</t>
  </si>
  <si>
    <t>fsyedatanveer@gmail.com</t>
  </si>
  <si>
    <t>Rajkumar	Lohano</t>
  </si>
  <si>
    <t>jai_parkash06@yahoo.com</t>
  </si>
  <si>
    <t>Farhat	Deeba</t>
  </si>
  <si>
    <t>farhat_deeba786@hotmail.com</t>
  </si>
  <si>
    <t>Osama	Syed</t>
  </si>
  <si>
    <t>Matloob	Alvi</t>
  </si>
  <si>
    <t>matloobahmed786@gmail.com</t>
  </si>
  <si>
    <t>Iqbal	Mughal</t>
  </si>
  <si>
    <t>javedyousuf188@gmail.com</t>
  </si>
  <si>
    <t>Ahmed	Hussain</t>
  </si>
  <si>
    <t>ahmedhussane@yahoo.com</t>
  </si>
  <si>
    <t>Adnan	Ghouri</t>
  </si>
  <si>
    <t>adnan.ghouri@rni.com.pk</t>
  </si>
  <si>
    <t>Mashkoorkhan	Yousufzai</t>
  </si>
  <si>
    <t>mashkoorkhan666@gmail.com</t>
  </si>
  <si>
    <t>Syed Murtaza	Talib</t>
  </si>
  <si>
    <t>smurtaza.talib79@gmail.com</t>
  </si>
  <si>
    <t>Haleem	Khan</t>
  </si>
  <si>
    <t>Tassaduq	Khan</t>
  </si>
  <si>
    <t>khan_smc@yahoo.com</t>
  </si>
  <si>
    <t>Aamir	Azad</t>
  </si>
  <si>
    <t>aamirazad.ai@gmail.com</t>
  </si>
  <si>
    <t>Muhammad	Iqbal</t>
  </si>
  <si>
    <t>mziqbalisb@yahoo.com</t>
  </si>
  <si>
    <t>Jehanzeb	Khan</t>
  </si>
  <si>
    <t>jehanzebkhan79@hotmail.com</t>
  </si>
  <si>
    <t>Ateeq	Arain</t>
  </si>
  <si>
    <t>chateeqarain@gmail.com</t>
  </si>
  <si>
    <t>Muhummad Abid	Muhummad Sultan</t>
  </si>
  <si>
    <t>muhummadabidabidsultan@gmail.com</t>
  </si>
  <si>
    <t>Hafeez	Siddiqui</t>
  </si>
  <si>
    <t>hafeezsid@quest.edu.pk</t>
  </si>
  <si>
    <t>Khurshid	Khan</t>
  </si>
  <si>
    <t>kksv4418@gmail.com</t>
  </si>
  <si>
    <t>Saleem	Mughal</t>
  </si>
  <si>
    <t>saleemmughal1213@gmail.com</t>
  </si>
  <si>
    <t>Afshan	Mohsin</t>
  </si>
  <si>
    <t>Afshantoru3@gmail.com</t>
  </si>
  <si>
    <t>Rai	Shahzad</t>
  </si>
  <si>
    <t>raimshahzad@gmail.com</t>
  </si>
  <si>
    <t>Ali	Khan</t>
  </si>
  <si>
    <t>alikhan2kplus@gmail.co</t>
  </si>
  <si>
    <t>Lubna	Akber</t>
  </si>
  <si>
    <t>saboor.akber94@gmail.com</t>
  </si>
  <si>
    <t>Iqbal Ahmed	Ahmed</t>
  </si>
  <si>
    <t>iqbal.ahmed.qadri1957@gmail.com</t>
  </si>
  <si>
    <t>Shahid	Bokhari</t>
  </si>
  <si>
    <t>bokharishahid@gmail.com</t>
  </si>
  <si>
    <t>Jay	Aich</t>
  </si>
  <si>
    <t>jawwadkorean@gmail.com</t>
  </si>
  <si>
    <t>M Basheer	Chamriya</t>
  </si>
  <si>
    <t>pakmedico@gmail.com</t>
  </si>
  <si>
    <t>Shabbir	Saria</t>
  </si>
  <si>
    <t>shabbirgsaria@gmail.com</t>
  </si>
  <si>
    <t>Khalida	Ahmed</t>
  </si>
  <si>
    <t>khalidaahmed740@gmail.com</t>
  </si>
  <si>
    <t>Musaafir	Ali</t>
  </si>
  <si>
    <t>mashfirali@gmail.com</t>
  </si>
  <si>
    <t>Mohammad	Maneka</t>
  </si>
  <si>
    <t>asimmaneka@gmail.com</t>
  </si>
  <si>
    <t>Syed	Mohiuddin</t>
  </si>
  <si>
    <t>syedgmo@gmail.com</t>
  </si>
  <si>
    <t>Yousuf	Zavery</t>
  </si>
  <si>
    <t>usufzavery@hotmail.com</t>
  </si>
  <si>
    <t>Manhood Ali	Manhood Ali</t>
  </si>
  <si>
    <t>mehmoodali7861122@gmail.com</t>
  </si>
  <si>
    <t>Munir	Anwar</t>
  </si>
  <si>
    <t>www.munir8044@gmail.com</t>
  </si>
  <si>
    <t>Nadeem	Azam</t>
  </si>
  <si>
    <t>nadeemazam143@yahoo.com</t>
  </si>
  <si>
    <t>Athar	Tariq</t>
  </si>
  <si>
    <t>athar.tariq@aasavul.com</t>
  </si>
  <si>
    <t>Athar	Iqbal</t>
  </si>
  <si>
    <t>athariqbal.777@gmail.com</t>
  </si>
  <si>
    <t>Santosh	Barwani</t>
  </si>
  <si>
    <t>santosh13@hotmail.com</t>
  </si>
  <si>
    <t>Noohani	N Noohani</t>
  </si>
  <si>
    <t>iqbalbaloch116@gmail.com</t>
  </si>
  <si>
    <t>Mairaj	Siddiqi</t>
  </si>
  <si>
    <t>mairajghazala@gmail.com</t>
  </si>
  <si>
    <t>Shahpur	Channah</t>
  </si>
  <si>
    <t>shapihc@outlook.com</t>
  </si>
  <si>
    <t>Atiya	Kazmi</t>
  </si>
  <si>
    <t>atiyahamid12@gmail.com</t>
  </si>
  <si>
    <t>Afroz	Ronaq</t>
  </si>
  <si>
    <t>ronaq.warsi@gmail.com</t>
  </si>
  <si>
    <t>Muhammad	Chishti</t>
  </si>
  <si>
    <t>prof.chishti1956@gmail.com</t>
  </si>
  <si>
    <t>Sikandar	Iqbal</t>
  </si>
  <si>
    <t>sikandariqbal01@yahoo.com</t>
  </si>
  <si>
    <t>Ruhail	Baloch</t>
  </si>
  <si>
    <t>ruhailgawadar@gmail.com</t>
  </si>
  <si>
    <t>Imran	Hiraj</t>
  </si>
  <si>
    <t>imranhiraj12@gmail.com</t>
  </si>
  <si>
    <t>Gahanwar	Khan</t>
  </si>
  <si>
    <t>gahanwarkhan24@gmail.com</t>
  </si>
  <si>
    <t>Haleem	Kolachi</t>
  </si>
  <si>
    <t>abdulhaleem306@yahoo.com</t>
  </si>
  <si>
    <t>Ghulam	Haider</t>
  </si>
  <si>
    <t>gh2489305@gmail.com</t>
  </si>
  <si>
    <t>Muhammad	Amin</t>
  </si>
  <si>
    <t>muhammad.aminke@gmail.com</t>
  </si>
  <si>
    <t>Syed Qamar</t>
  </si>
  <si>
    <t>captqamarrizvi@yahoo.com</t>
  </si>
  <si>
    <t>aftab03015020476@gmail.com</t>
  </si>
  <si>
    <t>Neelofur	Boghani</t>
  </si>
  <si>
    <t>neeloboghani@gmail.com</t>
  </si>
  <si>
    <t>Haq	Imran Ul</t>
  </si>
  <si>
    <t>ihaq058@gmail.com</t>
  </si>
  <si>
    <t>Syed	Bashir</t>
  </si>
  <si>
    <t>thul1960@hotmail.com</t>
  </si>
  <si>
    <t>Atif Saaya	Abdullah</t>
  </si>
  <si>
    <t>Shakil	Rab</t>
  </si>
  <si>
    <t>shakil_rab@hotmail.com</t>
  </si>
  <si>
    <t>Waqas	Siddiqui</t>
  </si>
  <si>
    <t>waqas.nasim1987@gmail.com</t>
  </si>
  <si>
    <t>Musarrat	Ayub</t>
  </si>
  <si>
    <t>musarratayub78@gmail.com</t>
  </si>
  <si>
    <t>Engr	Ali</t>
  </si>
  <si>
    <t>engr.asadali@live.com</t>
  </si>
  <si>
    <t>Saima	Butt</t>
  </si>
  <si>
    <t>monibutt10@gmail.com</t>
  </si>
  <si>
    <t>Abduljabbar	Agha</t>
  </si>
  <si>
    <t>kabuljabbar325@gmail.com</t>
  </si>
  <si>
    <t>Mohammad	Khalid</t>
  </si>
  <si>
    <t>perfectapp786@gmail.com</t>
  </si>
  <si>
    <t>Ghulam	Khan</t>
  </si>
  <si>
    <t>ghulamali7692@gmail.com</t>
  </si>
  <si>
    <t>Saulat Bari Khan	Khan</t>
  </si>
  <si>
    <t>Aziz	Damji</t>
  </si>
  <si>
    <t>azizdamji@hotmail.com</t>
  </si>
  <si>
    <t>Asad	Soomro</t>
  </si>
  <si>
    <t>Soomroasad916@gmail.com</t>
  </si>
  <si>
    <t>Salman	Yusuf</t>
  </si>
  <si>
    <t>buddysalman123@gmail.com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</si>
</sst>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mm d, yyyy"/>
    <numFmt numFmtId="166" formatCode="mmm-d-yyyy"/>
    <numFmt numFmtId="167" formatCode="mmmm d,yyyy"/>
  </numFmts>
  <fonts count="41">
    <font>
      <sz val="10.0"/>
      <color rgb="FF000000"/>
      <name val="Arial"/>
    </font>
    <font>
      <b/>
      <color theme="1"/>
      <name val="Verdana"/>
    </font>
    <font>
      <b/>
      <color theme="1"/>
      <name val="Arial"/>
    </font>
    <font>
      <color theme="1"/>
      <name val="Arial"/>
    </font>
    <font>
      <color theme="1"/>
      <name val="Times New Roman"/>
    </font>
    <font>
      <b/>
      <color theme="1"/>
      <name val="Times New Roman"/>
    </font>
    <font>
      <color theme="1"/>
      <name val="Verdana"/>
    </font>
    <font>
      <color theme="1"/>
      <name val="Cambria"/>
    </font>
    <font>
      <color rgb="FF000000"/>
      <name val="Cambria"/>
    </font>
    <font>
      <b/>
      <color rgb="FF000000"/>
      <name val="Calibri"/>
    </font>
    <font>
      <b/>
      <u/>
      <color rgb="FF000000"/>
      <name val="Calibri"/>
    </font>
    <font>
      <b/>
      <color theme="1"/>
      <name val="Calibri"/>
    </font>
    <font>
      <b/>
      <u/>
      <color rgb="FF000000"/>
      <name val="Calibri"/>
    </font>
    <font>
      <b/>
      <u/>
      <color rgb="FF000000"/>
      <name val="Calibri"/>
    </font>
    <font>
      <b/>
      <u/>
      <color rgb="FF000000"/>
      <name val="Calibri"/>
    </font>
    <font>
      <b/>
      <u/>
      <color rgb="FF000000"/>
      <name val="Calibri"/>
    </font>
    <font>
      <b/>
      <color rgb="FF33475B"/>
      <name val="Calibri"/>
    </font>
    <font>
      <b/>
      <u/>
      <color rgb="FF33475B"/>
      <name val="Calibri"/>
    </font>
    <font>
      <b/>
      <u/>
      <color rgb="FF000000"/>
      <name val="Calibri"/>
    </font>
    <font>
      <b/>
      <u/>
      <color rgb="FF000000"/>
      <name val="Calibri"/>
    </font>
    <font>
      <b/>
      <color rgb="FF0091AE"/>
      <name val="Calibri"/>
    </font>
    <font>
      <u/>
      <color rgb="FF0000FF"/>
      <name val="Arial"/>
    </font>
    <font>
      <color theme="1"/>
      <name val="Calibri"/>
    </font>
    <font>
      <sz val="10.0"/>
      <color theme="1"/>
      <name val="Times New Roman"/>
    </font>
    <font>
      <color rgb="FF000000"/>
      <name val="Arial"/>
    </font>
    <font>
      <sz val="8.0"/>
      <color theme="1"/>
      <name val="Arial"/>
    </font>
    <font>
      <sz val="8.0"/>
      <color theme="1"/>
      <name val="Times New Roman"/>
    </font>
    <font>
      <sz val="8.0"/>
      <color rgb="FF000000"/>
      <name val="Times New Roman"/>
    </font>
    <font>
      <sz val="8.0"/>
      <color rgb="FF000000"/>
      <name val="Arial"/>
    </font>
    <font>
      <b/>
      <sz val="8.0"/>
      <color rgb="FF000000"/>
      <name val="Times New Roman"/>
    </font>
    <font>
      <b/>
      <sz val="8.0"/>
      <color rgb="FF000000"/>
      <name val="Arial"/>
    </font>
    <font>
      <b/>
      <sz val="8.0"/>
      <color theme="1"/>
      <name val="Arial"/>
    </font>
    <font>
      <b/>
      <sz val="8.0"/>
      <color theme="1"/>
      <name val="Times New Roman"/>
    </font>
    <font>
      <u/>
      <sz val="9.0"/>
      <color rgb="FF007A8C"/>
      <name val="Arial"/>
    </font>
    <font>
      <sz val="9.0"/>
      <color rgb="FF7C98B6"/>
      <name val="Arial"/>
    </font>
    <font>
      <u/>
      <sz val="9.0"/>
      <color rgb="FF0091AE"/>
      <name val="Arial"/>
    </font>
    <font>
      <sz val="11.0"/>
      <color theme="1"/>
      <name val="Arial"/>
    </font>
    <font>
      <sz val="11.0"/>
      <color theme="1"/>
      <name val="Times New Roman"/>
    </font>
    <font>
      <u/>
      <sz val="11.0"/>
      <color rgb="FF33475B"/>
      <name val="Arial"/>
    </font>
    <font>
      <sz val="11.0"/>
      <color rgb="FF33475B"/>
      <name val="Arial"/>
    </font>
    <font>
      <u/>
      <sz val="11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2" fontId="1" numFmtId="0" xfId="0" applyAlignment="1" applyFont="1">
      <alignment horizontal="left" shrinkToFit="0" vertical="bottom" wrapText="0"/>
    </xf>
    <xf borderId="0" fillId="2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3" fontId="4" numFmtId="164" xfId="0" applyAlignment="1" applyFill="1" applyFont="1" applyNumberFormat="1">
      <alignment horizontal="left" shrinkToFit="0" vertical="bottom" wrapText="0"/>
    </xf>
    <xf borderId="0" fillId="3" fontId="4" numFmtId="0" xfId="0" applyAlignment="1" applyFont="1">
      <alignment horizontal="left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3" fontId="3" numFmtId="0" xfId="0" applyFont="1"/>
    <xf borderId="1" fillId="3" fontId="4" numFmtId="0" xfId="0" applyAlignment="1" applyBorder="1" applyFont="1">
      <alignment horizontal="left" shrinkToFit="0" vertical="bottom" wrapText="0"/>
    </xf>
    <xf borderId="1" fillId="3" fontId="5" numFmtId="0" xfId="0" applyAlignment="1" applyBorder="1" applyFont="1">
      <alignment horizontal="left" shrinkToFit="0" vertical="bottom" wrapText="0"/>
    </xf>
    <xf borderId="0" fillId="0" fontId="4" numFmtId="164" xfId="0" applyAlignment="1" applyFont="1" applyNumberForma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2" fontId="5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0" fontId="4" numFmtId="0" xfId="0" applyBorder="1" applyFont="1"/>
    <xf borderId="1" fillId="4" fontId="4" numFmtId="0" xfId="0" applyBorder="1" applyFill="1" applyFont="1"/>
    <xf borderId="1" fillId="0" fontId="3" numFmtId="0" xfId="0" applyBorder="1" applyFont="1"/>
    <xf borderId="0" fillId="0" fontId="6" numFmtId="164" xfId="0" applyAlignment="1" applyFont="1" applyNumberFormat="1">
      <alignment horizontal="right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1" fillId="5" fontId="8" numFmtId="0" xfId="0" applyAlignment="1" applyBorder="1" applyFill="1" applyFont="1">
      <alignment horizontal="center"/>
    </xf>
    <xf borderId="0" fillId="0" fontId="7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5" fontId="9" numFmtId="0" xfId="0" applyAlignment="1" applyFont="1">
      <alignment horizontal="center" shrinkToFit="0" wrapText="1"/>
    </xf>
    <xf borderId="1" fillId="5" fontId="9" numFmtId="0" xfId="0" applyAlignment="1" applyBorder="1" applyFont="1">
      <alignment horizontal="center" shrinkToFit="0" wrapText="1"/>
    </xf>
    <xf borderId="1" fillId="5" fontId="9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center" vertical="bottom"/>
    </xf>
    <xf borderId="1" fillId="5" fontId="3" numFmtId="0" xfId="0" applyAlignment="1" applyBorder="1" applyFont="1">
      <alignment vertical="bottom"/>
    </xf>
    <xf borderId="1" fillId="5" fontId="9" numFmtId="0" xfId="0" applyAlignment="1" applyBorder="1" applyFont="1">
      <alignment vertical="bottom"/>
    </xf>
    <xf borderId="1" fillId="5" fontId="11" numFmtId="0" xfId="0" applyAlignment="1" applyBorder="1" applyFont="1">
      <alignment vertical="bottom"/>
    </xf>
    <xf borderId="1" fillId="5" fontId="9" numFmtId="0" xfId="0" applyAlignment="1" applyBorder="1" applyFont="1">
      <alignment horizontal="center" shrinkToFit="0" vertical="bottom" wrapText="0"/>
    </xf>
    <xf borderId="1" fillId="5" fontId="9" numFmtId="0" xfId="0" applyAlignment="1" applyBorder="1" applyFont="1">
      <alignment shrinkToFit="0" vertical="bottom" wrapText="0"/>
    </xf>
    <xf borderId="0" fillId="5" fontId="9" numFmtId="0" xfId="0" applyAlignment="1" applyFont="1">
      <alignment horizontal="center" vertical="bottom"/>
    </xf>
    <xf borderId="1" fillId="5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vertical="bottom"/>
    </xf>
    <xf borderId="1" fillId="6" fontId="9" numFmtId="0" xfId="0" applyAlignment="1" applyBorder="1" applyFill="1" applyFont="1">
      <alignment horizontal="center" vertical="bottom"/>
    </xf>
    <xf borderId="1" fillId="6" fontId="14" numFmtId="0" xfId="0" applyAlignment="1" applyBorder="1" applyFont="1">
      <alignment horizontal="center" vertical="bottom"/>
    </xf>
    <xf borderId="1" fillId="6" fontId="15" numFmtId="0" xfId="0" applyAlignment="1" applyBorder="1" applyFont="1">
      <alignment horizontal="center" readingOrder="0" vertical="bottom"/>
    </xf>
    <xf borderId="1" fillId="5" fontId="16" numFmtId="0" xfId="0" applyAlignment="1" applyBorder="1" applyFont="1">
      <alignment horizontal="center" vertical="bottom"/>
    </xf>
    <xf borderId="1" fillId="5" fontId="17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vertical="bottom"/>
    </xf>
    <xf borderId="1" fillId="5" fontId="3" numFmtId="0" xfId="0" applyAlignment="1" applyBorder="1" applyFont="1">
      <alignment readingOrder="0" vertical="bottom"/>
    </xf>
    <xf borderId="1" fillId="6" fontId="9" numFmtId="0" xfId="0" applyAlignment="1" applyBorder="1" applyFont="1">
      <alignment vertical="bottom"/>
    </xf>
    <xf borderId="1" fillId="6" fontId="18" numFmtId="0" xfId="0" applyAlignment="1" applyBorder="1" applyFont="1">
      <alignment vertical="bottom"/>
    </xf>
    <xf borderId="1" fillId="0" fontId="19" numFmtId="0" xfId="0" applyAlignment="1" applyBorder="1" applyFont="1">
      <alignment vertical="bottom"/>
    </xf>
    <xf borderId="1" fillId="6" fontId="16" numFmtId="0" xfId="0" applyAlignment="1" applyBorder="1" applyFont="1">
      <alignment horizontal="center" vertical="bottom"/>
    </xf>
    <xf borderId="1" fillId="5" fontId="20" numFmtId="0" xfId="0" applyAlignment="1" applyBorder="1" applyFont="1">
      <alignment shrinkToFit="0" vertical="bottom" wrapText="0"/>
    </xf>
    <xf borderId="1" fillId="5" fontId="20" numFmtId="0" xfId="0" applyAlignment="1" applyBorder="1" applyFont="1">
      <alignment vertical="bottom"/>
    </xf>
    <xf borderId="1" fillId="7" fontId="9" numFmtId="0" xfId="0" applyAlignment="1" applyBorder="1" applyFill="1" applyFont="1">
      <alignment horizontal="center" vertical="bottom"/>
    </xf>
    <xf borderId="1" fillId="7" fontId="3" numFmtId="0" xfId="0" applyAlignment="1" applyBorder="1" applyFont="1">
      <alignment vertical="bottom"/>
    </xf>
    <xf borderId="1" fillId="7" fontId="9" numFmtId="0" xfId="0" applyAlignment="1" applyBorder="1" applyFont="1">
      <alignment vertical="bottom"/>
    </xf>
    <xf borderId="1" fillId="7" fontId="21" numFmtId="0" xfId="0" applyAlignment="1" applyBorder="1" applyFont="1">
      <alignment vertical="bottom"/>
    </xf>
    <xf borderId="1" fillId="7" fontId="20" numFmtId="0" xfId="0" applyAlignment="1" applyBorder="1" applyFont="1">
      <alignment shrinkToFit="0" vertical="bottom" wrapText="0"/>
    </xf>
    <xf borderId="1" fillId="7" fontId="22" numFmtId="0" xfId="0" applyAlignment="1" applyBorder="1" applyFont="1">
      <alignment horizontal="center" vertical="bottom"/>
    </xf>
    <xf borderId="1" fillId="7" fontId="11" numFmtId="0" xfId="0" applyAlignment="1" applyBorder="1" applyFont="1">
      <alignment vertical="bottom"/>
    </xf>
    <xf borderId="1" fillId="7" fontId="11" numFmtId="0" xfId="0" applyAlignment="1" applyBorder="1" applyFont="1">
      <alignment horizontal="center" vertical="bottom"/>
    </xf>
    <xf borderId="1" fillId="7" fontId="20" numFmtId="0" xfId="0" applyAlignment="1" applyBorder="1" applyFont="1">
      <alignment vertical="bottom"/>
    </xf>
    <xf borderId="0" fillId="2" fontId="2" numFmtId="0" xfId="0" applyAlignment="1" applyFont="1">
      <alignment horizontal="center" vertical="bottom"/>
    </xf>
    <xf borderId="0" fillId="8" fontId="3" numFmtId="0" xfId="0" applyAlignment="1" applyFill="1" applyFont="1">
      <alignment vertical="bottom"/>
    </xf>
    <xf borderId="1" fillId="0" fontId="7" numFmtId="164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  <xf borderId="0" fillId="9" fontId="6" numFmtId="0" xfId="0" applyAlignment="1" applyFill="1" applyFont="1">
      <alignment horizontal="left" shrinkToFit="0" vertical="bottom" wrapText="0"/>
    </xf>
    <xf borderId="1" fillId="0" fontId="6" numFmtId="164" xfId="0" applyAlignment="1" applyBorder="1" applyFont="1" applyNumberFormat="1">
      <alignment horizontal="left" shrinkToFit="0" vertical="bottom" wrapText="0"/>
    </xf>
    <xf borderId="0" fillId="2" fontId="5" numFmtId="0" xfId="0" applyAlignment="1" applyFont="1">
      <alignment horizontal="center" shrinkToFit="0" vertical="bottom" wrapText="0"/>
    </xf>
    <xf borderId="0" fillId="2" fontId="5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4" fontId="4" numFmtId="0" xfId="0" applyFont="1"/>
    <xf borderId="0" fillId="0" fontId="23" numFmtId="0" xfId="0" applyAlignment="1" applyFont="1">
      <alignment horizontal="left" shrinkToFit="0" vertical="bottom" wrapText="0"/>
    </xf>
    <xf borderId="0" fillId="0" fontId="4" numFmtId="0" xfId="0" applyFont="1"/>
    <xf borderId="0" fillId="0" fontId="4" numFmtId="0" xfId="0" applyAlignment="1" applyFont="1">
      <alignment horizontal="left" readingOrder="0" shrinkToFit="0" vertical="bottom" wrapText="0"/>
    </xf>
    <xf borderId="0" fillId="0" fontId="7" numFmtId="164" xfId="0" applyAlignment="1" applyFont="1" applyNumberFormat="1">
      <alignment horizontal="left" shrinkToFit="0" vertical="bottom" wrapText="0"/>
    </xf>
    <xf borderId="0" fillId="0" fontId="7" numFmtId="0" xfId="0" applyFont="1"/>
    <xf borderId="0" fillId="0" fontId="7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/>
    </xf>
    <xf borderId="0" fillId="3" fontId="1" numFmtId="0" xfId="0" applyAlignment="1" applyFont="1">
      <alignment horizontal="center" shrinkToFit="0" vertical="bottom" wrapText="0"/>
    </xf>
    <xf borderId="0" fillId="3" fontId="2" numFmtId="0" xfId="0" applyAlignment="1" applyFont="1">
      <alignment horizontal="center"/>
    </xf>
    <xf borderId="0" fillId="2" fontId="5" numFmtId="0" xfId="0" applyAlignment="1" applyFont="1">
      <alignment horizontal="left"/>
    </xf>
    <xf borderId="0" fillId="0" fontId="6" numFmtId="164" xfId="0" applyAlignment="1" applyFont="1" applyNumberForma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4" numFmtId="165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center"/>
    </xf>
    <xf borderId="0" fillId="5" fontId="24" numFmtId="0" xfId="0" applyAlignment="1" applyFont="1">
      <alignment horizontal="left"/>
    </xf>
    <xf borderId="0" fillId="2" fontId="2" numFmtId="0" xfId="0" applyFont="1"/>
    <xf borderId="0" fillId="4" fontId="4" numFmtId="164" xfId="0" applyAlignment="1" applyFont="1" applyNumberFormat="1">
      <alignment horizontal="center" shrinkToFit="0" vertical="bottom" wrapText="0"/>
    </xf>
    <xf borderId="0" fillId="4" fontId="3" numFmtId="0" xfId="0" applyFont="1"/>
    <xf borderId="0" fillId="4" fontId="5" numFmtId="0" xfId="0" applyAlignment="1" applyFont="1">
      <alignment horizontal="left" shrinkToFit="0" vertical="bottom" wrapText="0"/>
    </xf>
    <xf borderId="0" fillId="4" fontId="6" numFmtId="164" xfId="0" applyAlignment="1" applyFont="1" applyNumberFormat="1">
      <alignment horizontal="left" shrinkToFit="0" vertical="bottom" wrapText="0"/>
    </xf>
    <xf borderId="0" fillId="4" fontId="4" numFmtId="0" xfId="0" applyAlignment="1" applyFont="1">
      <alignment horizontal="left" shrinkToFit="0" vertical="bottom" wrapText="0"/>
    </xf>
    <xf quotePrefix="1"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  <xf borderId="1" fillId="0" fontId="25" numFmtId="166" xfId="0" applyAlignment="1" applyBorder="1" applyFont="1" applyNumberFormat="1">
      <alignment horizontal="center" vertical="bottom"/>
    </xf>
    <xf borderId="1" fillId="0" fontId="25" numFmtId="0" xfId="0" applyAlignment="1" applyBorder="1" applyFont="1">
      <alignment vertical="bottom"/>
    </xf>
    <xf borderId="1" fillId="0" fontId="25" numFmtId="0" xfId="0" applyAlignment="1" applyBorder="1" applyFont="1">
      <alignment horizontal="center" vertical="bottom"/>
    </xf>
    <xf borderId="1" fillId="0" fontId="25" numFmtId="0" xfId="0" applyAlignment="1" applyBorder="1" applyFont="1">
      <alignment horizontal="center"/>
    </xf>
    <xf borderId="1" fillId="10" fontId="26" numFmtId="0" xfId="0" applyAlignment="1" applyBorder="1" applyFill="1" applyFont="1">
      <alignment horizontal="center" vertical="bottom"/>
    </xf>
    <xf borderId="0" fillId="4" fontId="4" numFmtId="0" xfId="0" applyAlignment="1" applyFont="1">
      <alignment vertical="bottom"/>
    </xf>
    <xf borderId="1" fillId="11" fontId="26" numFmtId="0" xfId="0" applyAlignment="1" applyBorder="1" applyFill="1" applyFont="1">
      <alignment horizontal="center" vertical="bottom"/>
    </xf>
    <xf borderId="0" fillId="10" fontId="27" numFmtId="0" xfId="0" applyAlignment="1" applyFont="1">
      <alignment horizontal="center" vertical="bottom"/>
    </xf>
    <xf borderId="0" fillId="4" fontId="27" numFmtId="0" xfId="0" applyAlignment="1" applyFont="1">
      <alignment horizontal="center" vertical="bottom"/>
    </xf>
    <xf borderId="1" fillId="10" fontId="4" numFmtId="0" xfId="0" applyAlignment="1" applyBorder="1" applyFont="1">
      <alignment vertical="bottom"/>
    </xf>
    <xf borderId="1" fillId="0" fontId="25" numFmtId="0" xfId="0" applyAlignment="1" applyBorder="1" applyFont="1">
      <alignment horizontal="center" shrinkToFit="0" vertical="bottom" wrapText="0"/>
    </xf>
    <xf borderId="1" fillId="5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quotePrefix="1" borderId="1" fillId="0" fontId="25" numFmtId="0" xfId="0" applyAlignment="1" applyBorder="1" applyFont="1">
      <alignment horizontal="center"/>
    </xf>
    <xf borderId="1" fillId="0" fontId="26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10" fontId="27" numFmtId="0" xfId="0" applyAlignment="1" applyBorder="1" applyFont="1">
      <alignment horizontal="center" vertical="bottom"/>
    </xf>
    <xf borderId="1" fillId="2" fontId="25" numFmtId="166" xfId="0" applyAlignment="1" applyBorder="1" applyFont="1" applyNumberFormat="1">
      <alignment horizontal="center" vertical="bottom"/>
    </xf>
    <xf borderId="1" fillId="2" fontId="28" numFmtId="0" xfId="0" applyAlignment="1" applyBorder="1" applyFont="1">
      <alignment vertical="bottom"/>
    </xf>
    <xf borderId="1" fillId="2" fontId="25" numFmtId="0" xfId="0" applyAlignment="1" applyBorder="1" applyFont="1">
      <alignment horizontal="center" vertical="bottom"/>
    </xf>
    <xf borderId="1" fillId="2" fontId="25" numFmtId="0" xfId="0" applyAlignment="1" applyBorder="1" applyFont="1">
      <alignment horizontal="center"/>
    </xf>
    <xf borderId="1" fillId="2" fontId="26" numFmtId="0" xfId="0" applyAlignment="1" applyBorder="1" applyFont="1">
      <alignment horizontal="center" vertical="bottom"/>
    </xf>
    <xf borderId="0" fillId="2" fontId="27" numFmtId="0" xfId="0" applyAlignment="1" applyFont="1">
      <alignment horizontal="center" vertical="bottom"/>
    </xf>
    <xf borderId="1" fillId="5" fontId="27" numFmtId="0" xfId="0" applyAlignment="1" applyBorder="1" applyFont="1">
      <alignment horizontal="center" vertical="bottom"/>
    </xf>
    <xf borderId="1" fillId="0" fontId="28" numFmtId="0" xfId="0" applyAlignment="1" applyBorder="1" applyFont="1">
      <alignment vertical="bottom"/>
    </xf>
    <xf borderId="0" fillId="5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26" numFmtId="0" xfId="0" applyAlignment="1" applyFont="1">
      <alignment horizontal="center" vertical="bottom"/>
    </xf>
    <xf borderId="0" fillId="10" fontId="26" numFmtId="0" xfId="0" applyAlignment="1" applyFont="1">
      <alignment horizontal="center" vertical="bottom"/>
    </xf>
    <xf borderId="1" fillId="4" fontId="26" numFmtId="0" xfId="0" applyAlignment="1" applyBorder="1" applyFont="1">
      <alignment horizontal="center" vertical="bottom"/>
    </xf>
    <xf quotePrefix="1" borderId="1" fillId="0" fontId="25" numFmtId="0" xfId="0" applyAlignment="1" applyBorder="1" applyFont="1">
      <alignment horizontal="center" vertical="bottom"/>
    </xf>
    <xf borderId="1" fillId="4" fontId="4" numFmtId="0" xfId="0" applyAlignment="1" applyBorder="1" applyFont="1">
      <alignment vertical="bottom"/>
    </xf>
    <xf borderId="1" fillId="0" fontId="3" numFmtId="0" xfId="0" applyAlignment="1" applyBorder="1" applyFont="1">
      <alignment horizontal="center" shrinkToFit="0" vertical="bottom" wrapText="0"/>
    </xf>
    <xf borderId="1" fillId="0" fontId="28" numFmtId="0" xfId="0" applyAlignment="1" applyBorder="1" applyFont="1">
      <alignment horizontal="center"/>
    </xf>
    <xf borderId="1" fillId="0" fontId="28" numFmtId="0" xfId="0" applyAlignment="1" applyBorder="1" applyFont="1">
      <alignment horizontal="center" vertical="bottom"/>
    </xf>
    <xf borderId="1" fillId="10" fontId="29" numFmtId="0" xfId="0" applyAlignment="1" applyBorder="1" applyFont="1">
      <alignment horizontal="center" vertical="bottom"/>
    </xf>
    <xf borderId="0" fillId="0" fontId="26" numFmtId="0" xfId="0" applyAlignment="1" applyFont="1">
      <alignment horizontal="center" vertical="bottom"/>
    </xf>
    <xf borderId="1" fillId="0" fontId="28" numFmtId="0" xfId="0" applyAlignment="1" applyBorder="1" applyFont="1">
      <alignment horizontal="center" shrinkToFit="0" wrapText="1"/>
    </xf>
    <xf borderId="1" fillId="10" fontId="29" numFmtId="0" xfId="0" applyAlignment="1" applyBorder="1" applyFont="1">
      <alignment horizontal="center" shrinkToFit="0" vertical="bottom" wrapText="1"/>
    </xf>
    <xf borderId="1" fillId="0" fontId="28" numFmtId="0" xfId="0" applyAlignment="1" applyBorder="1" applyFont="1">
      <alignment horizontal="center" shrinkToFit="0" vertical="bottom" wrapText="1"/>
    </xf>
    <xf borderId="1" fillId="0" fontId="28" numFmtId="165" xfId="0" applyAlignment="1" applyBorder="1" applyFont="1" applyNumberFormat="1">
      <alignment horizontal="center"/>
    </xf>
    <xf borderId="1" fillId="0" fontId="28" numFmtId="165" xfId="0" applyAlignment="1" applyBorder="1" applyFont="1" applyNumberFormat="1">
      <alignment horizontal="center" vertical="bottom"/>
    </xf>
    <xf borderId="1" fillId="0" fontId="30" numFmtId="166" xfId="0" applyAlignment="1" applyBorder="1" applyFont="1" applyNumberFormat="1">
      <alignment horizontal="center" shrinkToFit="0" vertical="bottom" wrapText="1"/>
    </xf>
    <xf borderId="1" fillId="0" fontId="31" numFmtId="0" xfId="0" applyAlignment="1" applyBorder="1" applyFont="1">
      <alignment horizontal="center" vertical="bottom"/>
    </xf>
    <xf borderId="1" fillId="0" fontId="31" numFmtId="0" xfId="0" applyAlignment="1" applyBorder="1" applyFont="1">
      <alignment horizontal="center"/>
    </xf>
    <xf quotePrefix="1" borderId="1" fillId="0" fontId="3" numFmtId="0" xfId="0" applyAlignment="1" applyBorder="1" applyFont="1">
      <alignment horizontal="center" vertical="bottom"/>
    </xf>
    <xf borderId="1" fillId="2" fontId="25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1" fillId="4" fontId="25" numFmtId="166" xfId="0" applyAlignment="1" applyBorder="1" applyFont="1" applyNumberFormat="1">
      <alignment horizontal="center" vertical="bottom"/>
    </xf>
    <xf borderId="1" fillId="4" fontId="25" numFmtId="0" xfId="0" applyAlignment="1" applyBorder="1" applyFont="1">
      <alignment vertical="bottom"/>
    </xf>
    <xf borderId="1" fillId="4" fontId="25" numFmtId="0" xfId="0" applyAlignment="1" applyBorder="1" applyFont="1">
      <alignment horizontal="center" vertical="bottom"/>
    </xf>
    <xf borderId="1" fillId="4" fontId="25" numFmtId="0" xfId="0" applyAlignment="1" applyBorder="1" applyFont="1">
      <alignment horizontal="center"/>
    </xf>
    <xf borderId="1" fillId="12" fontId="25" numFmtId="166" xfId="0" applyAlignment="1" applyBorder="1" applyFill="1" applyFont="1" applyNumberFormat="1">
      <alignment horizontal="center" vertical="bottom"/>
    </xf>
    <xf borderId="1" fillId="12" fontId="25" numFmtId="0" xfId="0" applyAlignment="1" applyBorder="1" applyFont="1">
      <alignment vertical="bottom"/>
    </xf>
    <xf borderId="1" fillId="12" fontId="25" numFmtId="0" xfId="0" applyAlignment="1" applyBorder="1" applyFont="1">
      <alignment horizontal="center" vertical="bottom"/>
    </xf>
    <xf borderId="1" fillId="12" fontId="25" numFmtId="0" xfId="0" applyAlignment="1" applyBorder="1" applyFont="1">
      <alignment horizontal="center"/>
    </xf>
    <xf borderId="1" fillId="12" fontId="26" numFmtId="0" xfId="0" applyAlignment="1" applyBorder="1" applyFont="1">
      <alignment horizontal="center" vertical="bottom"/>
    </xf>
    <xf borderId="0" fillId="12" fontId="4" numFmtId="0" xfId="0" applyAlignment="1" applyFont="1">
      <alignment vertical="bottom"/>
    </xf>
    <xf borderId="1" fillId="9" fontId="25" numFmtId="166" xfId="0" applyAlignment="1" applyBorder="1" applyFont="1" applyNumberFormat="1">
      <alignment horizontal="center" vertical="bottom"/>
    </xf>
    <xf borderId="1" fillId="9" fontId="25" numFmtId="0" xfId="0" applyAlignment="1" applyBorder="1" applyFont="1">
      <alignment vertical="bottom"/>
    </xf>
    <xf borderId="1" fillId="9" fontId="25" numFmtId="0" xfId="0" applyAlignment="1" applyBorder="1" applyFont="1">
      <alignment horizontal="center" vertical="bottom"/>
    </xf>
    <xf borderId="1" fillId="9" fontId="25" numFmtId="0" xfId="0" applyAlignment="1" applyBorder="1" applyFont="1">
      <alignment horizontal="center"/>
    </xf>
    <xf borderId="1" fillId="9" fontId="26" numFmtId="0" xfId="0" applyAlignment="1" applyBorder="1" applyFont="1">
      <alignment horizontal="center" vertical="bottom"/>
    </xf>
    <xf borderId="0" fillId="9" fontId="4" numFmtId="0" xfId="0" applyAlignment="1" applyFont="1">
      <alignment vertical="bottom"/>
    </xf>
    <xf borderId="1" fillId="3" fontId="25" numFmtId="166" xfId="0" applyAlignment="1" applyBorder="1" applyFont="1" applyNumberFormat="1">
      <alignment horizontal="center" vertical="bottom"/>
    </xf>
    <xf borderId="1" fillId="3" fontId="25" numFmtId="0" xfId="0" applyAlignment="1" applyBorder="1" applyFont="1">
      <alignment vertical="bottom"/>
    </xf>
    <xf borderId="1" fillId="3" fontId="25" numFmtId="0" xfId="0" applyAlignment="1" applyBorder="1" applyFont="1">
      <alignment horizontal="center" vertical="bottom"/>
    </xf>
    <xf borderId="1" fillId="3" fontId="25" numFmtId="0" xfId="0" applyAlignment="1" applyBorder="1" applyFont="1">
      <alignment horizontal="center"/>
    </xf>
    <xf borderId="1" fillId="3" fontId="26" numFmtId="0" xfId="0" applyAlignment="1" applyBorder="1" applyFont="1">
      <alignment horizontal="center" vertical="bottom"/>
    </xf>
    <xf borderId="0" fillId="3" fontId="4" numFmtId="0" xfId="0" applyAlignment="1" applyFont="1">
      <alignment vertical="bottom"/>
    </xf>
    <xf borderId="1" fillId="13" fontId="25" numFmtId="166" xfId="0" applyAlignment="1" applyBorder="1" applyFill="1" applyFont="1" applyNumberFormat="1">
      <alignment horizontal="center" vertical="bottom"/>
    </xf>
    <xf borderId="1" fillId="13" fontId="25" numFmtId="0" xfId="0" applyAlignment="1" applyBorder="1" applyFont="1">
      <alignment vertical="bottom"/>
    </xf>
    <xf borderId="1" fillId="13" fontId="25" numFmtId="0" xfId="0" applyAlignment="1" applyBorder="1" applyFont="1">
      <alignment horizontal="center" vertical="bottom"/>
    </xf>
    <xf borderId="1" fillId="13" fontId="25" numFmtId="0" xfId="0" applyAlignment="1" applyBorder="1" applyFont="1">
      <alignment horizontal="center"/>
    </xf>
    <xf borderId="1" fillId="13" fontId="26" numFmtId="0" xfId="0" applyAlignment="1" applyBorder="1" applyFont="1">
      <alignment horizontal="center" vertical="bottom"/>
    </xf>
    <xf quotePrefix="1" borderId="1" fillId="2" fontId="25" numFmtId="0" xfId="0" applyAlignment="1" applyBorder="1" applyFont="1">
      <alignment horizontal="center" vertical="bottom"/>
    </xf>
    <xf borderId="1" fillId="7" fontId="26" numFmtId="0" xfId="0" applyAlignment="1" applyBorder="1" applyFont="1">
      <alignment horizontal="center" vertical="bottom"/>
    </xf>
    <xf borderId="1" fillId="0" fontId="25" numFmtId="0" xfId="0" applyAlignment="1" applyBorder="1" applyFont="1">
      <alignment horizontal="center" readingOrder="0" vertical="bottom"/>
    </xf>
    <xf borderId="1" fillId="14" fontId="26" numFmtId="0" xfId="0" applyAlignment="1" applyBorder="1" applyFill="1" applyFont="1">
      <alignment horizontal="center" vertical="bottom"/>
    </xf>
    <xf borderId="1" fillId="15" fontId="25" numFmtId="166" xfId="0" applyAlignment="1" applyBorder="1" applyFill="1" applyFont="1" applyNumberFormat="1">
      <alignment horizontal="center" vertical="bottom"/>
    </xf>
    <xf borderId="1" fillId="15" fontId="25" numFmtId="0" xfId="0" applyAlignment="1" applyBorder="1" applyFont="1">
      <alignment vertical="bottom"/>
    </xf>
    <xf borderId="1" fillId="15" fontId="25" numFmtId="0" xfId="0" applyAlignment="1" applyBorder="1" applyFont="1">
      <alignment horizontal="center" vertical="bottom"/>
    </xf>
    <xf borderId="1" fillId="15" fontId="26" numFmtId="0" xfId="0" applyAlignment="1" applyBorder="1" applyFont="1">
      <alignment horizontal="center" vertical="bottom"/>
    </xf>
    <xf borderId="0" fillId="15" fontId="4" numFmtId="0" xfId="0" applyAlignment="1" applyFont="1">
      <alignment vertical="bottom"/>
    </xf>
    <xf borderId="1" fillId="2" fontId="32" numFmtId="0" xfId="0" applyAlignment="1" applyBorder="1" applyFont="1">
      <alignment horizontal="center" vertical="bottom"/>
    </xf>
    <xf borderId="1" fillId="0" fontId="32" numFmtId="0" xfId="0" applyAlignment="1" applyBorder="1" applyFont="1">
      <alignment horizontal="center" vertical="bottom"/>
    </xf>
    <xf borderId="1" fillId="0" fontId="25" numFmtId="167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1" fillId="0" fontId="26" numFmtId="0" xfId="0" applyAlignment="1" applyBorder="1" applyFont="1">
      <alignment horizontal="center"/>
    </xf>
    <xf borderId="1" fillId="10" fontId="26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0" fontId="33" numFmtId="0" xfId="0" applyAlignment="1" applyBorder="1" applyFont="1">
      <alignment horizontal="center" vertical="bottom"/>
    </xf>
    <xf quotePrefix="1" borderId="1" fillId="0" fontId="34" numFmtId="0" xfId="0" applyAlignment="1" applyBorder="1" applyFont="1">
      <alignment horizontal="center" vertical="bottom"/>
    </xf>
    <xf borderId="1" fillId="0" fontId="35" numFmtId="0" xfId="0" applyAlignment="1" applyBorder="1" applyFont="1">
      <alignment horizontal="center" vertical="bottom"/>
    </xf>
    <xf borderId="1" fillId="0" fontId="6" numFmtId="164" xfId="0" applyAlignment="1" applyBorder="1" applyFont="1" applyNumberFormat="1">
      <alignment horizontal="center" vertical="bottom"/>
    </xf>
    <xf borderId="1" fillId="0" fontId="36" numFmtId="0" xfId="0" applyAlignment="1" applyBorder="1" applyFont="1">
      <alignment horizontal="center" vertical="bottom"/>
    </xf>
    <xf borderId="1" fillId="0" fontId="37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25" numFmtId="165" xfId="0" applyAlignment="1" applyBorder="1" applyFont="1" applyNumberFormat="1">
      <alignment horizontal="center" vertical="bottom"/>
    </xf>
    <xf borderId="1" fillId="5" fontId="38" numFmtId="0" xfId="0" applyAlignment="1" applyBorder="1" applyFont="1">
      <alignment horizontal="center" vertical="bottom"/>
    </xf>
    <xf borderId="1" fillId="5" fontId="39" numFmtId="0" xfId="0" applyAlignment="1" applyBorder="1" applyFont="1">
      <alignment horizontal="center" vertical="bottom"/>
    </xf>
    <xf borderId="1" fillId="0" fontId="40" numFmtId="0" xfId="0" applyAlignment="1" applyBorder="1" applyFont="1">
      <alignment horizontal="center" vertical="bottom"/>
    </xf>
    <xf borderId="1" fillId="0" fontId="25" numFmtId="165" xfId="0" applyAlignment="1" applyBorder="1" applyFont="1" applyNumberFormat="1">
      <alignment vertical="bottom"/>
    </xf>
    <xf borderId="1" fillId="4" fontId="4" numFmtId="164" xfId="0" applyAlignment="1" applyBorder="1" applyFont="1" applyNumberFormat="1">
      <alignment horizontal="left" shrinkToFit="0" vertical="bottom" wrapText="0"/>
    </xf>
    <xf borderId="1" fillId="4" fontId="6" numFmtId="0" xfId="0" applyAlignment="1" applyBorder="1" applyFont="1">
      <alignment horizontal="left" shrinkToFit="0" vertical="bottom" wrapText="0"/>
    </xf>
    <xf borderId="1" fillId="4" fontId="4" numFmtId="0" xfId="0" applyAlignment="1" applyBorder="1" applyFont="1">
      <alignment horizontal="center" shrinkToFit="0" vertical="bottom" wrapText="0"/>
    </xf>
    <xf borderId="1" fillId="4" fontId="23" numFmtId="0" xfId="0" applyAlignment="1" applyBorder="1" applyFont="1">
      <alignment horizontal="center" shrinkToFit="0" vertical="bottom" wrapText="0"/>
    </xf>
    <xf borderId="1" fillId="0" fontId="4" numFmtId="164" xfId="0" applyAlignment="1" applyBorder="1" applyFont="1" applyNumberFormat="1">
      <alignment horizontal="left" shrinkToFit="0" vertical="bottom" wrapText="0"/>
    </xf>
    <xf borderId="1" fillId="0" fontId="23" numFmtId="0" xfId="0" applyAlignment="1" applyBorder="1" applyFont="1">
      <alignment horizontal="center" shrinkToFit="0" vertical="bottom" wrapText="0"/>
    </xf>
    <xf borderId="0" fillId="0" fontId="6" numFmtId="164" xfId="0" applyAlignment="1" applyFont="1" applyNumberFormat="1">
      <alignment horizontal="right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0" fontId="6" numFmtId="164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hubspot.com/contacts/6914917/contact/394751/" TargetMode="External"/><Relationship Id="rId2" Type="http://schemas.openxmlformats.org/officeDocument/2006/relationships/hyperlink" Target="mailto:zaherachour@gmail.com?bcc=6914917@bcc.hubspot.com" TargetMode="External"/><Relationship Id="rId3" Type="http://schemas.openxmlformats.org/officeDocument/2006/relationships/hyperlink" Target="https://app.hubspot.com/contacts/6914917/contact/395851/" TargetMode="External"/><Relationship Id="rId4" Type="http://schemas.openxmlformats.org/officeDocument/2006/relationships/hyperlink" Target="mailto:ogholmieh@gmail.com?bcc=6914917@bcc.hubspot.com" TargetMode="External"/><Relationship Id="rId5" Type="http://schemas.openxmlformats.org/officeDocument/2006/relationships/hyperlink" Target="https://app.hubspot.com/contacts/6914917/contact/445501/" TargetMode="External"/><Relationship Id="rId6" Type="http://schemas.openxmlformats.org/officeDocument/2006/relationships/hyperlink" Target="mailto:hilal_dhr@hotmail.com?bcc=6914917@bcc.hubspot.com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ramot@yahoo.com?bcc=6914917@bcc.hubspot.com" TargetMode="External"/><Relationship Id="rId83" Type="http://schemas.openxmlformats.org/officeDocument/2006/relationships/drawing" Target="../drawings/drawing3.xml"/><Relationship Id="rId42" Type="http://schemas.openxmlformats.org/officeDocument/2006/relationships/hyperlink" Target="mailto:batsheva.s@meuhedet.co.il?bcc=6914917@bcc.hubspot.com" TargetMode="External"/><Relationship Id="rId41" Type="http://schemas.openxmlformats.org/officeDocument/2006/relationships/hyperlink" Target="https://app.hubspot.com/contacts/6914917/contact/521701/" TargetMode="External"/><Relationship Id="rId44" Type="http://schemas.openxmlformats.org/officeDocument/2006/relationships/hyperlink" Target="mailto:esaam105@walla.com?bcc=6914917@bcc.hubspot.com" TargetMode="External"/><Relationship Id="rId43" Type="http://schemas.openxmlformats.org/officeDocument/2006/relationships/hyperlink" Target="https://app.hubspot.com/contacts/6914917/contact/521901/" TargetMode="External"/><Relationship Id="rId46" Type="http://schemas.openxmlformats.org/officeDocument/2006/relationships/hyperlink" Target="mailto:ayoubag28@gmail.com?bcc=6914917@bcc.hubspot.com" TargetMode="External"/><Relationship Id="rId45" Type="http://schemas.openxmlformats.org/officeDocument/2006/relationships/hyperlink" Target="https://app.hubspot.com/contacts/6914917/contact/521151/" TargetMode="External"/><Relationship Id="rId80" Type="http://schemas.openxmlformats.org/officeDocument/2006/relationships/hyperlink" Target="mailto:dvashsamir@walla.co.il?bcc=6914917@bcc.hubspot.com" TargetMode="External"/><Relationship Id="rId82" Type="http://schemas.openxmlformats.org/officeDocument/2006/relationships/hyperlink" Target="mailto:majdmwassiqsm@gmail.com?bcc=6914917@bcc.hubspot.com" TargetMode="External"/><Relationship Id="rId81" Type="http://schemas.openxmlformats.org/officeDocument/2006/relationships/hyperlink" Target="https://app.hubspot.com/contacts/6914917/contact/531401/" TargetMode="External"/><Relationship Id="rId1" Type="http://schemas.openxmlformats.org/officeDocument/2006/relationships/hyperlink" Target="https://app.hubspot.com/contacts/6914917/contact/506451/" TargetMode="External"/><Relationship Id="rId2" Type="http://schemas.openxmlformats.org/officeDocument/2006/relationships/hyperlink" Target="mailto:andalis1973@gmail.com?bcc=6914917@bcc.hubspot.com" TargetMode="External"/><Relationship Id="rId3" Type="http://schemas.openxmlformats.org/officeDocument/2006/relationships/hyperlink" Target="https://app.hubspot.com/contacts/6914917/contact/498201/" TargetMode="External"/><Relationship Id="rId4" Type="http://schemas.openxmlformats.org/officeDocument/2006/relationships/hyperlink" Target="mailto:atlascm@hotmail.com?bcc=6914917@bcc.hubspot.com" TargetMode="External"/><Relationship Id="rId9" Type="http://schemas.openxmlformats.org/officeDocument/2006/relationships/hyperlink" Target="https://app.hubspot.com/contacts/6914917/contact/507851/" TargetMode="External"/><Relationship Id="rId48" Type="http://schemas.openxmlformats.org/officeDocument/2006/relationships/hyperlink" Target="mailto:villa.mosco@gmail.com?bcc=6914917@bcc.hubspot.com" TargetMode="External"/><Relationship Id="rId47" Type="http://schemas.openxmlformats.org/officeDocument/2006/relationships/hyperlink" Target="https://app.hubspot.com/contacts/6914917/contact/524001/" TargetMode="External"/><Relationship Id="rId49" Type="http://schemas.openxmlformats.org/officeDocument/2006/relationships/hyperlink" Target="https://app.hubspot.com/contacts/6914917/contact/523351/" TargetMode="External"/><Relationship Id="rId5" Type="http://schemas.openxmlformats.org/officeDocument/2006/relationships/hyperlink" Target="https://app.hubspot.com/contacts/6914917/contact/507301/" TargetMode="External"/><Relationship Id="rId6" Type="http://schemas.openxmlformats.org/officeDocument/2006/relationships/hyperlink" Target="mailto:ahmad2manal3@gmail.com?bcc=6914917@bcc.hubspot.com" TargetMode="External"/><Relationship Id="rId7" Type="http://schemas.openxmlformats.org/officeDocument/2006/relationships/hyperlink" Target="https://app.hubspot.com/contacts/6914917/contact/507451/" TargetMode="External"/><Relationship Id="rId8" Type="http://schemas.openxmlformats.org/officeDocument/2006/relationships/hyperlink" Target="mailto:barak7666@gmail.com?bcc=6914917@bcc.hubspot.com" TargetMode="External"/><Relationship Id="rId73" Type="http://schemas.openxmlformats.org/officeDocument/2006/relationships/hyperlink" Target="https://app.hubspot.com/contacts/6914917/contact/529751/" TargetMode="External"/><Relationship Id="rId72" Type="http://schemas.openxmlformats.org/officeDocument/2006/relationships/hyperlink" Target="mailto:steev580@hotmail.com?bcc=6914917@bcc.hubspot.com" TargetMode="External"/><Relationship Id="rId31" Type="http://schemas.openxmlformats.org/officeDocument/2006/relationships/hyperlink" Target="https://app.hubspot.com/contacts/6914917/contact/523001/" TargetMode="External"/><Relationship Id="rId75" Type="http://schemas.openxmlformats.org/officeDocument/2006/relationships/hyperlink" Target="https://app.hubspot.com/contacts/6914917/contact/529251/" TargetMode="External"/><Relationship Id="rId30" Type="http://schemas.openxmlformats.org/officeDocument/2006/relationships/hyperlink" Target="mailto:kamel29@walla.co.il?bcc=6914917@bcc.hubspot.com" TargetMode="External"/><Relationship Id="rId74" Type="http://schemas.openxmlformats.org/officeDocument/2006/relationships/hyperlink" Target="mailto:abperach28@gmail.com?bcc=6914917@bcc.hubspot.com" TargetMode="External"/><Relationship Id="rId33" Type="http://schemas.openxmlformats.org/officeDocument/2006/relationships/hyperlink" Target="https://app.hubspot.com/contacts/6914917/contact/522801/" TargetMode="External"/><Relationship Id="rId77" Type="http://schemas.openxmlformats.org/officeDocument/2006/relationships/hyperlink" Target="https://app.hubspot.com/contacts/6914917/contact/530901/" TargetMode="External"/><Relationship Id="rId32" Type="http://schemas.openxmlformats.org/officeDocument/2006/relationships/hyperlink" Target="mailto:nsalam@bezeqint.net?bcc=6914917@bcc.hubspot.com" TargetMode="External"/><Relationship Id="rId76" Type="http://schemas.openxmlformats.org/officeDocument/2006/relationships/hyperlink" Target="mailto:smohmdg@gmail.com?bcc=6914917@bcc.hubspot.com" TargetMode="External"/><Relationship Id="rId35" Type="http://schemas.openxmlformats.org/officeDocument/2006/relationships/hyperlink" Target="https://app.hubspot.com/contacts/6914917/contact/522751/" TargetMode="External"/><Relationship Id="rId79" Type="http://schemas.openxmlformats.org/officeDocument/2006/relationships/hyperlink" Target="https://app.hubspot.com/contacts/6914917/contact/531251/" TargetMode="External"/><Relationship Id="rId34" Type="http://schemas.openxmlformats.org/officeDocument/2006/relationships/hyperlink" Target="mailto:yarinet87@gmail.com?bcc=6914917@bcc.hubspot.com" TargetMode="External"/><Relationship Id="rId78" Type="http://schemas.openxmlformats.org/officeDocument/2006/relationships/hyperlink" Target="mailto:aurelieillouz@hotmail.fr?bcc=6914917@bcc.hubspot.com" TargetMode="External"/><Relationship Id="rId71" Type="http://schemas.openxmlformats.org/officeDocument/2006/relationships/hyperlink" Target="https://app.hubspot.com/contacts/6914917/contact/529851/" TargetMode="External"/><Relationship Id="rId70" Type="http://schemas.openxmlformats.org/officeDocument/2006/relationships/hyperlink" Target="mailto:alaa.khaliefa@gmail.com?bcc=6914917@bcc.hubspot.com" TargetMode="External"/><Relationship Id="rId37" Type="http://schemas.openxmlformats.org/officeDocument/2006/relationships/hyperlink" Target="https://app.hubspot.com/contacts/6914917/contact/522901/" TargetMode="External"/><Relationship Id="rId36" Type="http://schemas.openxmlformats.org/officeDocument/2006/relationships/hyperlink" Target="mailto:sohyyeb_gidi@hotmail.com?bcc=6914917@bcc.hubspot.com" TargetMode="External"/><Relationship Id="rId39" Type="http://schemas.openxmlformats.org/officeDocument/2006/relationships/hyperlink" Target="https://app.hubspot.com/contacts/6914917/contact/522501/" TargetMode="External"/><Relationship Id="rId38" Type="http://schemas.openxmlformats.org/officeDocument/2006/relationships/hyperlink" Target="mailto:dareliezer@gmail.com?bcc=6914917@bcc.hubspot.com" TargetMode="External"/><Relationship Id="rId62" Type="http://schemas.openxmlformats.org/officeDocument/2006/relationships/hyperlink" Target="mailto:moranshabat7@gmail.com?bcc=6914917@bcc.hubspot.com" TargetMode="External"/><Relationship Id="rId61" Type="http://schemas.openxmlformats.org/officeDocument/2006/relationships/hyperlink" Target="https://app.hubspot.com/contacts/6914917/contact/527051/" TargetMode="External"/><Relationship Id="rId20" Type="http://schemas.openxmlformats.org/officeDocument/2006/relationships/hyperlink" Target="mailto:ha.kingo@gmail.com?bcc=6914917@bcc.hubspot.com" TargetMode="External"/><Relationship Id="rId64" Type="http://schemas.openxmlformats.org/officeDocument/2006/relationships/hyperlink" Target="mailto:adihmovel@gmail.com?bcc=6914917@bcc.hubspot.com" TargetMode="External"/><Relationship Id="rId63" Type="http://schemas.openxmlformats.org/officeDocument/2006/relationships/hyperlink" Target="https://app.hubspot.com/contacts/6914917/contact/521051/" TargetMode="External"/><Relationship Id="rId22" Type="http://schemas.openxmlformats.org/officeDocument/2006/relationships/hyperlink" Target="mailto:elib1465@gmail.com?bcc=6914917@bcc.hubspot.com" TargetMode="External"/><Relationship Id="rId66" Type="http://schemas.openxmlformats.org/officeDocument/2006/relationships/hyperlink" Target="mailto:foodeema@gmail.com?bcc=6914917@bcc.hubspot.com" TargetMode="External"/><Relationship Id="rId21" Type="http://schemas.openxmlformats.org/officeDocument/2006/relationships/hyperlink" Target="https://app.hubspot.com/contacts/6914917/contact/524601/" TargetMode="External"/><Relationship Id="rId65" Type="http://schemas.openxmlformats.org/officeDocument/2006/relationships/hyperlink" Target="https://app.hubspot.com/contacts/6914917/contact/528801/" TargetMode="External"/><Relationship Id="rId24" Type="http://schemas.openxmlformats.org/officeDocument/2006/relationships/hyperlink" Target="mailto:bafl1881@gmail.com?bcc=6914917@bcc.hubspot.com" TargetMode="External"/><Relationship Id="rId68" Type="http://schemas.openxmlformats.org/officeDocument/2006/relationships/hyperlink" Target="mailto:mc.kboa@gmail.com?bcc=6914917@bcc.hubspot.com" TargetMode="External"/><Relationship Id="rId23" Type="http://schemas.openxmlformats.org/officeDocument/2006/relationships/hyperlink" Target="https://app.hubspot.com/contacts/6914917/contact/523701/" TargetMode="External"/><Relationship Id="rId67" Type="http://schemas.openxmlformats.org/officeDocument/2006/relationships/hyperlink" Target="https://app.hubspot.com/contacts/6914917/contact/530301/" TargetMode="External"/><Relationship Id="rId60" Type="http://schemas.openxmlformats.org/officeDocument/2006/relationships/hyperlink" Target="mailto:rebecca.fillinvest@yahoo.com?bcc=6914917@bcc.hubspot.com" TargetMode="External"/><Relationship Id="rId26" Type="http://schemas.openxmlformats.org/officeDocument/2006/relationships/hyperlink" Target="mailto:almogshitrit12@gmail.com?bcc=6914917@bcc.hubspot.com" TargetMode="External"/><Relationship Id="rId25" Type="http://schemas.openxmlformats.org/officeDocument/2006/relationships/hyperlink" Target="https://app.hubspot.com/contacts/6914917/contact/523801/" TargetMode="External"/><Relationship Id="rId69" Type="http://schemas.openxmlformats.org/officeDocument/2006/relationships/hyperlink" Target="https://app.hubspot.com/contacts/6914917/contact/530201/" TargetMode="External"/><Relationship Id="rId28" Type="http://schemas.openxmlformats.org/officeDocument/2006/relationships/hyperlink" Target="mailto:benfrum@gmail.com?bcc=6914917@bcc.hubspot.com" TargetMode="External"/><Relationship Id="rId27" Type="http://schemas.openxmlformats.org/officeDocument/2006/relationships/hyperlink" Target="https://app.hubspot.com/contacts/6914917/contact/523501/" TargetMode="External"/><Relationship Id="rId29" Type="http://schemas.openxmlformats.org/officeDocument/2006/relationships/hyperlink" Target="https://app.hubspot.com/contacts/6914917/contact/523251/" TargetMode="External"/><Relationship Id="rId51" Type="http://schemas.openxmlformats.org/officeDocument/2006/relationships/hyperlink" Target="https://app.hubspot.com/contacts/6914917/contact/525601/" TargetMode="External"/><Relationship Id="rId50" Type="http://schemas.openxmlformats.org/officeDocument/2006/relationships/hyperlink" Target="mailto:mi5dm2@yahoo.com?bcc=6914917@bcc.hubspot.com" TargetMode="External"/><Relationship Id="rId53" Type="http://schemas.openxmlformats.org/officeDocument/2006/relationships/hyperlink" Target="https://app.hubspot.com/contacts/6914917/contact/525801/" TargetMode="External"/><Relationship Id="rId52" Type="http://schemas.openxmlformats.org/officeDocument/2006/relationships/hyperlink" Target="mailto:hatem@maslamani.com?bcc=6914917@bcc.hubspot.com" TargetMode="External"/><Relationship Id="rId11" Type="http://schemas.openxmlformats.org/officeDocument/2006/relationships/hyperlink" Target="https://app.hubspot.com/contacts/6914917/contact/508201/" TargetMode="External"/><Relationship Id="rId55" Type="http://schemas.openxmlformats.org/officeDocument/2006/relationships/hyperlink" Target="https://app.hubspot.com/contacts/6914917/contact/525001/" TargetMode="External"/><Relationship Id="rId10" Type="http://schemas.openxmlformats.org/officeDocument/2006/relationships/hyperlink" Target="mailto:elia@adv-ebllini.co.il?bcc=6914917@bcc.hubspot.com" TargetMode="External"/><Relationship Id="rId54" Type="http://schemas.openxmlformats.org/officeDocument/2006/relationships/hyperlink" Target="mailto:adan86_6@hotmail.com?bcc=6914917@bcc.hubspot.com" TargetMode="External"/><Relationship Id="rId13" Type="http://schemas.openxmlformats.org/officeDocument/2006/relationships/hyperlink" Target="https://app.hubspot.com/contacts/6914917/contact/509401/" TargetMode="External"/><Relationship Id="rId57" Type="http://schemas.openxmlformats.org/officeDocument/2006/relationships/hyperlink" Target="https://app.hubspot.com/contacts/6914917/contact/523901/" TargetMode="External"/><Relationship Id="rId12" Type="http://schemas.openxmlformats.org/officeDocument/2006/relationships/hyperlink" Target="mailto:ronmeloul@gmail.com?bcc=6914917@bcc.hubspot.com" TargetMode="External"/><Relationship Id="rId56" Type="http://schemas.openxmlformats.org/officeDocument/2006/relationships/hyperlink" Target="mailto:hosen35@gmail.com?bcc=6914917@bcc.hubspot.com" TargetMode="External"/><Relationship Id="rId15" Type="http://schemas.openxmlformats.org/officeDocument/2006/relationships/hyperlink" Target="https://app.hubspot.com/contacts/6914917/contact/508251/" TargetMode="External"/><Relationship Id="rId59" Type="http://schemas.openxmlformats.org/officeDocument/2006/relationships/hyperlink" Target="https://app.hubspot.com/contacts/6914917/contact/525051/" TargetMode="External"/><Relationship Id="rId14" Type="http://schemas.openxmlformats.org/officeDocument/2006/relationships/hyperlink" Target="mailto:yossi1111@gmail.com?bcc=6914917@bcc.hubspot.com" TargetMode="External"/><Relationship Id="rId58" Type="http://schemas.openxmlformats.org/officeDocument/2006/relationships/hyperlink" Target="mailto:israelbmn11@gmail.com?bcc=6914917@bcc.hubspot.com" TargetMode="External"/><Relationship Id="rId17" Type="http://schemas.openxmlformats.org/officeDocument/2006/relationships/hyperlink" Target="https://app.hubspot.com/contacts/6914917/contact/515851/" TargetMode="External"/><Relationship Id="rId16" Type="http://schemas.openxmlformats.org/officeDocument/2006/relationships/hyperlink" Target="mailto:ananpower333@gmail.com?bcc=6914917@bcc.hubspot.com" TargetMode="External"/><Relationship Id="rId19" Type="http://schemas.openxmlformats.org/officeDocument/2006/relationships/hyperlink" Target="https://app.hubspot.com/contacts/6914917/contact/520801/" TargetMode="External"/><Relationship Id="rId18" Type="http://schemas.openxmlformats.org/officeDocument/2006/relationships/hyperlink" Target="mailto:eyaldebiko6@gmail.com?bcc=6914917@bcc.hubspot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toto_mariana@yahoo.fr?bcc=6914917@bcc.hubspot.com" TargetMode="External"/><Relationship Id="rId84" Type="http://schemas.openxmlformats.org/officeDocument/2006/relationships/drawing" Target="../drawings/drawing4.xml"/><Relationship Id="rId83" Type="http://schemas.openxmlformats.org/officeDocument/2006/relationships/hyperlink" Target="mailto:romaindaleba@yahoo.fr?bcc=6914917@bcc.hubspot.com" TargetMode="External"/><Relationship Id="rId42" Type="http://schemas.openxmlformats.org/officeDocument/2006/relationships/hyperlink" Target="mailto:mondsir2@gmail.com?bcc=6914917@bcc.hubspot.com" TargetMode="External"/><Relationship Id="rId41" Type="http://schemas.openxmlformats.org/officeDocument/2006/relationships/hyperlink" Target="https://app.hubspot.com/contacts/6914917/contact/443051/" TargetMode="External"/><Relationship Id="rId44" Type="http://schemas.openxmlformats.org/officeDocument/2006/relationships/hyperlink" Target="mailto:aka.cathy@yahoo.com?bcc=6914917@bcc.hubspot.com" TargetMode="External"/><Relationship Id="rId43" Type="http://schemas.openxmlformats.org/officeDocument/2006/relationships/hyperlink" Target="https://app.hubspot.com/contacts/6914917/contact/443301/" TargetMode="External"/><Relationship Id="rId46" Type="http://schemas.openxmlformats.org/officeDocument/2006/relationships/hyperlink" Target="mailto:acoco225@gmail.com?bcc=6914917@bcc.hubspot.com" TargetMode="External"/><Relationship Id="rId45" Type="http://schemas.openxmlformats.org/officeDocument/2006/relationships/hyperlink" Target="https://app.hubspot.com/contacts/6914917/contact/443201/" TargetMode="External"/><Relationship Id="rId80" Type="http://schemas.openxmlformats.org/officeDocument/2006/relationships/hyperlink" Target="https://app.hubspot.com/contacts/6914917/contact/464201/" TargetMode="External"/><Relationship Id="rId82" Type="http://schemas.openxmlformats.org/officeDocument/2006/relationships/hyperlink" Target="https://app.hubspot.com/contacts/6914917/contact/472601/" TargetMode="External"/><Relationship Id="rId81" Type="http://schemas.openxmlformats.org/officeDocument/2006/relationships/hyperlink" Target="mailto:yaopaulkoffi84@gmail.com?bcc=6914917@bcc.hubspot.com" TargetMode="External"/><Relationship Id="rId1" Type="http://schemas.openxmlformats.org/officeDocument/2006/relationships/hyperlink" Target="https://app.hubspot.com/contacts/6914917/contact/434801/" TargetMode="External"/><Relationship Id="rId2" Type="http://schemas.openxmlformats.org/officeDocument/2006/relationships/hyperlink" Target="mailto:porquetaimerique@yahoo.fr?bcc=6914917@bcc.hubspot.com" TargetMode="External"/><Relationship Id="rId3" Type="http://schemas.openxmlformats.org/officeDocument/2006/relationships/hyperlink" Target="https://app.hubspot.com/contacts/6914917/contact/434751/" TargetMode="External"/><Relationship Id="rId4" Type="http://schemas.openxmlformats.org/officeDocument/2006/relationships/hyperlink" Target="mailto:pierreappata@gmail.com?bcc=6914917@bcc.hubspot.com" TargetMode="External"/><Relationship Id="rId9" Type="http://schemas.openxmlformats.org/officeDocument/2006/relationships/hyperlink" Target="https://app.hubspot.com/contacts/6914917/contact/435051/" TargetMode="External"/><Relationship Id="rId48" Type="http://schemas.openxmlformats.org/officeDocument/2006/relationships/hyperlink" Target="mailto:sang2bke@gmail.com?bcc=6914917@bcc.hubspot.com" TargetMode="External"/><Relationship Id="rId47" Type="http://schemas.openxmlformats.org/officeDocument/2006/relationships/hyperlink" Target="https://app.hubspot.com/contacts/6914917/contact/443501/" TargetMode="External"/><Relationship Id="rId49" Type="http://schemas.openxmlformats.org/officeDocument/2006/relationships/hyperlink" Target="https://app.hubspot.com/contacts/6914917/contact/443651/" TargetMode="External"/><Relationship Id="rId5" Type="http://schemas.openxmlformats.org/officeDocument/2006/relationships/hyperlink" Target="https://app.hubspot.com/contacts/6914917/contact/434651/" TargetMode="External"/><Relationship Id="rId6" Type="http://schemas.openxmlformats.org/officeDocument/2006/relationships/hyperlink" Target="mailto:francisdesoliviers@yahoo.fr?bcc=6914917@bcc.hubspot.com" TargetMode="External"/><Relationship Id="rId7" Type="http://schemas.openxmlformats.org/officeDocument/2006/relationships/hyperlink" Target="https://app.hubspot.com/contacts/6914917/contact/434551/" TargetMode="External"/><Relationship Id="rId8" Type="http://schemas.openxmlformats.org/officeDocument/2006/relationships/hyperlink" Target="mailto:priscasahiry@hotmail.com?bcc=6914917@bcc.hubspot.com" TargetMode="External"/><Relationship Id="rId73" Type="http://schemas.openxmlformats.org/officeDocument/2006/relationships/hyperlink" Target="https://app.hubspot.com/contacts/6914917/contact/465651/" TargetMode="External"/><Relationship Id="rId72" Type="http://schemas.openxmlformats.org/officeDocument/2006/relationships/hyperlink" Target="mailto:monikmph@gmail.com?bcc=6914917@bcc.hubspot.com" TargetMode="External"/><Relationship Id="rId31" Type="http://schemas.openxmlformats.org/officeDocument/2006/relationships/hyperlink" Target="https://app.hubspot.com/contacts/6914917/contact/441351/" TargetMode="External"/><Relationship Id="rId75" Type="http://schemas.openxmlformats.org/officeDocument/2006/relationships/hyperlink" Target="https://app.hubspot.com/contacts/6914917/contact/468201/" TargetMode="External"/><Relationship Id="rId30" Type="http://schemas.openxmlformats.org/officeDocument/2006/relationships/hyperlink" Target="mailto:nguessantanobenjamin@yahoo.fr?bcc=6914917@bcc.hubspot.com" TargetMode="External"/><Relationship Id="rId74" Type="http://schemas.openxmlformats.org/officeDocument/2006/relationships/hyperlink" Target="mailto:pastoretchien@yahoo.fr?bcc=6914917@bcc.hubspot.com" TargetMode="External"/><Relationship Id="rId33" Type="http://schemas.openxmlformats.org/officeDocument/2006/relationships/hyperlink" Target="https://app.hubspot.com/contacts/6914917/contact/441751/" TargetMode="External"/><Relationship Id="rId77" Type="http://schemas.openxmlformats.org/officeDocument/2006/relationships/hyperlink" Target="https://app.hubspot.com/contacts/6914917/contact/464651/" TargetMode="External"/><Relationship Id="rId32" Type="http://schemas.openxmlformats.org/officeDocument/2006/relationships/hyperlink" Target="mailto:ismaelsangare1@hotmail.fr?bcc=6914917@bcc.hubspot.com" TargetMode="External"/><Relationship Id="rId76" Type="http://schemas.openxmlformats.org/officeDocument/2006/relationships/hyperlink" Target="mailto:beagnapoa@hotmail.fr?bcc=6914917@bcc.hubspot.com" TargetMode="External"/><Relationship Id="rId35" Type="http://schemas.openxmlformats.org/officeDocument/2006/relationships/hyperlink" Target="https://app.hubspot.com/contacts/6914917/contact/442701/" TargetMode="External"/><Relationship Id="rId79" Type="http://schemas.openxmlformats.org/officeDocument/2006/relationships/hyperlink" Target="https://app.hubspot.com/contacts/6914917/contact/471751/" TargetMode="External"/><Relationship Id="rId34" Type="http://schemas.openxmlformats.org/officeDocument/2006/relationships/hyperlink" Target="mailto:konefanougo@gmail.com?bcc=6914917@bcc.hubspot.com" TargetMode="External"/><Relationship Id="rId78" Type="http://schemas.openxmlformats.org/officeDocument/2006/relationships/hyperlink" Target="mailto:keinolaw@msn.com?bcc=6914917@bcc.hubspot.com" TargetMode="External"/><Relationship Id="rId71" Type="http://schemas.openxmlformats.org/officeDocument/2006/relationships/hyperlink" Target="https://app.hubspot.com/contacts/6914917/contact/466701/" TargetMode="External"/><Relationship Id="rId70" Type="http://schemas.openxmlformats.org/officeDocument/2006/relationships/hyperlink" Target="mailto:viscool007@gmail.com?bcc=6914917@bcc.hubspot.com" TargetMode="External"/><Relationship Id="rId37" Type="http://schemas.openxmlformats.org/officeDocument/2006/relationships/hyperlink" Target="https://app.hubspot.com/contacts/6914917/contact/442851/" TargetMode="External"/><Relationship Id="rId36" Type="http://schemas.openxmlformats.org/officeDocument/2006/relationships/hyperlink" Target="mailto:abskamal@hotmail.com?bcc=6914917@bcc.hubspot.com" TargetMode="External"/><Relationship Id="rId39" Type="http://schemas.openxmlformats.org/officeDocument/2006/relationships/hyperlink" Target="https://app.hubspot.com/contacts/6914917/contact/442551/" TargetMode="External"/><Relationship Id="rId38" Type="http://schemas.openxmlformats.org/officeDocument/2006/relationships/hyperlink" Target="mailto:general.glass.ci@gmail.com?bcc=6914917@bcc.hubspot.com" TargetMode="External"/><Relationship Id="rId62" Type="http://schemas.openxmlformats.org/officeDocument/2006/relationships/hyperlink" Target="mailto:tajudeenakimu@gmail.com?bcc=6914917@bcc.hubspot.com" TargetMode="External"/><Relationship Id="rId61" Type="http://schemas.openxmlformats.org/officeDocument/2006/relationships/hyperlink" Target="https://app.hubspot.com/contacts/6914917/contact/458301/" TargetMode="External"/><Relationship Id="rId20" Type="http://schemas.openxmlformats.org/officeDocument/2006/relationships/hyperlink" Target="mailto:s.kouakou@technose.pro?bcc=6914917@bcc.hubspot.com" TargetMode="External"/><Relationship Id="rId64" Type="http://schemas.openxmlformats.org/officeDocument/2006/relationships/hyperlink" Target="mailto:kekepierre2@gmail.com?bcc=6914917@bcc.hubspot.com" TargetMode="External"/><Relationship Id="rId63" Type="http://schemas.openxmlformats.org/officeDocument/2006/relationships/hyperlink" Target="https://app.hubspot.com/contacts/6914917/contact/464601/" TargetMode="External"/><Relationship Id="rId22" Type="http://schemas.openxmlformats.org/officeDocument/2006/relationships/hyperlink" Target="mailto:gbokoyat@gmail.com?bcc=6914917@bcc.hubspot.com" TargetMode="External"/><Relationship Id="rId66" Type="http://schemas.openxmlformats.org/officeDocument/2006/relationships/hyperlink" Target="mailto:keithnpayne@gmail.com?bcc=6914917@bcc.hubspot.com" TargetMode="External"/><Relationship Id="rId21" Type="http://schemas.openxmlformats.org/officeDocument/2006/relationships/hyperlink" Target="https://app.hubspot.com/contacts/6914917/contact/441101/" TargetMode="External"/><Relationship Id="rId65" Type="http://schemas.openxmlformats.org/officeDocument/2006/relationships/hyperlink" Target="https://app.hubspot.com/contacts/6914917/contact/465201/" TargetMode="External"/><Relationship Id="rId24" Type="http://schemas.openxmlformats.org/officeDocument/2006/relationships/hyperlink" Target="mailto:amja23@gmail.com?bcc=6914917@bcc.hubspot.com" TargetMode="External"/><Relationship Id="rId68" Type="http://schemas.openxmlformats.org/officeDocument/2006/relationships/hyperlink" Target="mailto:gbengeloune@gmail.com?bcc=6914917@bcc.hubspot.com" TargetMode="External"/><Relationship Id="rId23" Type="http://schemas.openxmlformats.org/officeDocument/2006/relationships/hyperlink" Target="https://app.hubspot.com/contacts/6914917/contact/441201/" TargetMode="External"/><Relationship Id="rId67" Type="http://schemas.openxmlformats.org/officeDocument/2006/relationships/hyperlink" Target="https://app.hubspot.com/contacts/6914917/contact/466501/" TargetMode="External"/><Relationship Id="rId60" Type="http://schemas.openxmlformats.org/officeDocument/2006/relationships/hyperlink" Target="mailto:akensyl@yahoo.fr?bcc=6914917@bcc.hubspot.com" TargetMode="External"/><Relationship Id="rId26" Type="http://schemas.openxmlformats.org/officeDocument/2006/relationships/hyperlink" Target="mailto:hakatia@yahoo.fr?bcc=6914917@bcc.hubspot.com" TargetMode="External"/><Relationship Id="rId25" Type="http://schemas.openxmlformats.org/officeDocument/2006/relationships/hyperlink" Target="https://app.hubspot.com/contacts/6914917/contact/441301/" TargetMode="External"/><Relationship Id="rId69" Type="http://schemas.openxmlformats.org/officeDocument/2006/relationships/hyperlink" Target="https://app.hubspot.com/contacts/6914917/contact/465601/" TargetMode="External"/><Relationship Id="rId28" Type="http://schemas.openxmlformats.org/officeDocument/2006/relationships/hyperlink" Target="mailto:dsoumadamaawa@gmail.com?bcc=6914917@bcc.hubspot.com" TargetMode="External"/><Relationship Id="rId27" Type="http://schemas.openxmlformats.org/officeDocument/2006/relationships/hyperlink" Target="https://app.hubspot.com/contacts/6914917/contact/441501/" TargetMode="External"/><Relationship Id="rId29" Type="http://schemas.openxmlformats.org/officeDocument/2006/relationships/hyperlink" Target="https://app.hubspot.com/contacts/6914917/contact/442101/" TargetMode="External"/><Relationship Id="rId51" Type="http://schemas.openxmlformats.org/officeDocument/2006/relationships/hyperlink" Target="https://app.hubspot.com/contacts/6914917/contact/443701/" TargetMode="External"/><Relationship Id="rId50" Type="http://schemas.openxmlformats.org/officeDocument/2006/relationships/hyperlink" Target="mailto:diabatekaramoko@gmail.com?bcc=6914917@bcc.hubspot.com" TargetMode="External"/><Relationship Id="rId53" Type="http://schemas.openxmlformats.org/officeDocument/2006/relationships/hyperlink" Target="https://app.hubspot.com/contacts/6914917/contact/443751/" TargetMode="External"/><Relationship Id="rId52" Type="http://schemas.openxmlformats.org/officeDocument/2006/relationships/hyperlink" Target="mailto:donaldkonan@ymail.com?bcc=6914917@bcc.hubspot.com" TargetMode="External"/><Relationship Id="rId11" Type="http://schemas.openxmlformats.org/officeDocument/2006/relationships/hyperlink" Target="https://app.hubspot.com/contacts/6914917/contact/435301/" TargetMode="External"/><Relationship Id="rId55" Type="http://schemas.openxmlformats.org/officeDocument/2006/relationships/hyperlink" Target="https://app.hubspot.com/contacts/6914917/contact/457351/" TargetMode="External"/><Relationship Id="rId10" Type="http://schemas.openxmlformats.org/officeDocument/2006/relationships/hyperlink" Target="mailto:josephineboizi@gmail.com?bcc=6914917@bcc.hubspot.com" TargetMode="External"/><Relationship Id="rId54" Type="http://schemas.openxmlformats.org/officeDocument/2006/relationships/hyperlink" Target="mailto:accesskmra@yahoo.fr?bcc=6914917@bcc.hubspot.com" TargetMode="External"/><Relationship Id="rId13" Type="http://schemas.openxmlformats.org/officeDocument/2006/relationships/hyperlink" Target="https://app.hubspot.com/contacts/6914917/contact/435501/" TargetMode="External"/><Relationship Id="rId57" Type="http://schemas.openxmlformats.org/officeDocument/2006/relationships/hyperlink" Target="https://app.hubspot.com/contacts/6914917/contact/456951/" TargetMode="External"/><Relationship Id="rId12" Type="http://schemas.openxmlformats.org/officeDocument/2006/relationships/hyperlink" Target="mailto:cyrho2002@yahoo.fr?bcc=6914917@bcc.hubspot.com" TargetMode="External"/><Relationship Id="rId56" Type="http://schemas.openxmlformats.org/officeDocument/2006/relationships/hyperlink" Target="mailto:vassanoussy.f@gmail.com?bcc=6914917@bcc.hubspot.com" TargetMode="External"/><Relationship Id="rId15" Type="http://schemas.openxmlformats.org/officeDocument/2006/relationships/hyperlink" Target="https://app.hubspot.com/contacts/6914917/contact/439501/" TargetMode="External"/><Relationship Id="rId59" Type="http://schemas.openxmlformats.org/officeDocument/2006/relationships/hyperlink" Target="https://app.hubspot.com/contacts/6914917/contact/457501/" TargetMode="External"/><Relationship Id="rId14" Type="http://schemas.openxmlformats.org/officeDocument/2006/relationships/hyperlink" Target="mailto:ssanogo342@gmail.com?bcc=6914917@bcc.hubspot.com" TargetMode="External"/><Relationship Id="rId58" Type="http://schemas.openxmlformats.org/officeDocument/2006/relationships/hyperlink" Target="mailto:innocent.yapi@yahoo.fr?bcc=6914917@bcc.hubspot.com" TargetMode="External"/><Relationship Id="rId17" Type="http://schemas.openxmlformats.org/officeDocument/2006/relationships/hyperlink" Target="https://app.hubspot.com/contacts/6914917/contact/439451/" TargetMode="External"/><Relationship Id="rId16" Type="http://schemas.openxmlformats.org/officeDocument/2006/relationships/hyperlink" Target="mailto:diatech225@yahoo.com?bcc=6914917@bcc.hubspot.com" TargetMode="External"/><Relationship Id="rId19" Type="http://schemas.openxmlformats.org/officeDocument/2006/relationships/hyperlink" Target="https://app.hubspot.com/contacts/6914917/contact/440501/" TargetMode="External"/><Relationship Id="rId18" Type="http://schemas.openxmlformats.org/officeDocument/2006/relationships/hyperlink" Target="mailto:nassermahdi901@gmail.com?bcc=6914917@bcc.hubspot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hubspot.com/contacts/6914917/contact/52951" TargetMode="External"/><Relationship Id="rId2" Type="http://schemas.openxmlformats.org/officeDocument/2006/relationships/hyperlink" Target="mailto:mazharwariam@yahoo.com" TargetMode="External"/><Relationship Id="rId3" Type="http://schemas.openxmlformats.org/officeDocument/2006/relationships/hyperlink" Target="https://app.hubspot.com/contacts/6914917/contact/103601/" TargetMode="External"/><Relationship Id="rId4" Type="http://schemas.openxmlformats.org/officeDocument/2006/relationships/hyperlink" Target="mailto:azamsultan@mac.com?bcc=6914917@bcc.hubspot.com" TargetMode="External"/><Relationship Id="rId9" Type="http://schemas.openxmlformats.org/officeDocument/2006/relationships/hyperlink" Target="https://app.hubspot.com/contacts/6914917/contact/104451/" TargetMode="External"/><Relationship Id="rId5" Type="http://schemas.openxmlformats.org/officeDocument/2006/relationships/hyperlink" Target="https://app.hubspot.com/contacts/6914917/contact/104151/" TargetMode="External"/><Relationship Id="rId6" Type="http://schemas.openxmlformats.org/officeDocument/2006/relationships/hyperlink" Target="mailto:farina_qazi2011@hotmail.com?bcc=6914917@bcc.hubspot.com" TargetMode="External"/><Relationship Id="rId7" Type="http://schemas.openxmlformats.org/officeDocument/2006/relationships/hyperlink" Target="https://app.hubspot.com/contacts/6914917/contact/103951/" TargetMode="External"/><Relationship Id="rId8" Type="http://schemas.openxmlformats.org/officeDocument/2006/relationships/hyperlink" Target="mailto:gpasha247@gmail.com?bcc=6914917@bcc.hubspot.com" TargetMode="External"/><Relationship Id="rId11" Type="http://schemas.openxmlformats.org/officeDocument/2006/relationships/hyperlink" Target="https://app.hubspot.com/contacts/6914917/contact/104301/" TargetMode="External"/><Relationship Id="rId10" Type="http://schemas.openxmlformats.org/officeDocument/2006/relationships/hyperlink" Target="mailto:stassociates138@gmail.com?bcc=6914917@bcc.hubspot.com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mailto:drarainibrahim@yahoo.com?bcc=6914917@bcc.hubsp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1A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13.71"/>
    <col customWidth="1" min="3" max="3" width="8.29"/>
    <col customWidth="1" min="4" max="4" width="18.71"/>
    <col customWidth="1" min="5" max="5" width="13.71"/>
    <col customWidth="1" min="6" max="6" width="8.86"/>
    <col customWidth="1" min="7" max="7" width="30.71"/>
    <col customWidth="1" min="8" max="9" width="15.14"/>
    <col customWidth="1" min="10" max="10" width="11.0"/>
    <col customWidth="1" min="11" max="11" width="24.71"/>
    <col customWidth="1" min="12" max="12" width="37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2" t="s">
        <v>4</v>
      </c>
      <c r="G1" s="2" t="s">
        <v>4</v>
      </c>
      <c r="H1" s="1" t="s">
        <v>5</v>
      </c>
      <c r="I1" s="1" t="s">
        <v>5</v>
      </c>
      <c r="J1" s="1" t="s">
        <v>6</v>
      </c>
      <c r="K1" s="1" t="s">
        <v>6</v>
      </c>
      <c r="L1" s="3" t="s">
        <v>7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0.25" customHeight="1">
      <c r="A2" s="5">
        <v>44001.0</v>
      </c>
      <c r="B2" s="6" t="s">
        <v>8</v>
      </c>
      <c r="C2" s="7" t="s">
        <v>2</v>
      </c>
      <c r="D2" s="6" t="s">
        <v>9</v>
      </c>
      <c r="E2" s="6" t="s">
        <v>10</v>
      </c>
      <c r="F2" s="7" t="s">
        <v>4</v>
      </c>
      <c r="G2" s="6" t="s">
        <v>11</v>
      </c>
      <c r="H2" s="7" t="s">
        <v>5</v>
      </c>
      <c r="I2" s="6">
        <f>+923218977999</f>
        <v>923218977999</v>
      </c>
      <c r="J2" s="7" t="s">
        <v>6</v>
      </c>
      <c r="K2" s="6" t="s">
        <v>12</v>
      </c>
      <c r="L2" s="6" t="s">
        <v>13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5">
        <v>44001.0</v>
      </c>
      <c r="B3" s="6" t="s">
        <v>8</v>
      </c>
      <c r="C3" s="7" t="s">
        <v>2</v>
      </c>
      <c r="D3" s="9" t="s">
        <v>14</v>
      </c>
      <c r="E3" s="9" t="s">
        <v>15</v>
      </c>
      <c r="F3" s="10" t="s">
        <v>4</v>
      </c>
      <c r="G3" s="9" t="s">
        <v>16</v>
      </c>
      <c r="H3" s="10" t="s">
        <v>5</v>
      </c>
      <c r="I3" s="9">
        <f>+919833327527</f>
        <v>919833327527</v>
      </c>
      <c r="J3" s="10" t="s">
        <v>6</v>
      </c>
      <c r="K3" s="9" t="s">
        <v>17</v>
      </c>
      <c r="L3" s="9" t="s">
        <v>18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5">
        <v>44001.0</v>
      </c>
      <c r="B4" s="6" t="s">
        <v>8</v>
      </c>
      <c r="C4" s="7" t="s">
        <v>2</v>
      </c>
      <c r="D4" s="9" t="s">
        <v>19</v>
      </c>
      <c r="E4" s="9" t="s">
        <v>20</v>
      </c>
      <c r="F4" s="10" t="s">
        <v>4</v>
      </c>
      <c r="G4" s="9" t="s">
        <v>21</v>
      </c>
      <c r="H4" s="10" t="s">
        <v>5</v>
      </c>
      <c r="I4" s="9">
        <f>+923339999791</f>
        <v>923339999791</v>
      </c>
      <c r="J4" s="10" t="s">
        <v>6</v>
      </c>
      <c r="K4" s="9" t="s">
        <v>22</v>
      </c>
      <c r="L4" s="9" t="s">
        <v>23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11">
        <v>44000.0</v>
      </c>
      <c r="B5" s="12" t="s">
        <v>8</v>
      </c>
      <c r="C5" s="13" t="s">
        <v>2</v>
      </c>
      <c r="D5" s="14" t="s">
        <v>24</v>
      </c>
      <c r="E5" s="14" t="s">
        <v>25</v>
      </c>
      <c r="F5" s="15" t="s">
        <v>4</v>
      </c>
      <c r="G5" s="14" t="s">
        <v>26</v>
      </c>
      <c r="H5" s="15" t="s">
        <v>5</v>
      </c>
      <c r="I5" s="14">
        <f>+9203212051477</f>
        <v>9203212051477</v>
      </c>
      <c r="J5" s="15" t="s">
        <v>6</v>
      </c>
      <c r="K5" s="14" t="s">
        <v>12</v>
      </c>
      <c r="L5" s="14"/>
    </row>
    <row r="6" ht="15.75" customHeight="1">
      <c r="A6" s="11">
        <v>43999.0</v>
      </c>
      <c r="B6" s="12" t="s">
        <v>8</v>
      </c>
      <c r="C6" s="13" t="s">
        <v>2</v>
      </c>
      <c r="D6" s="14" t="s">
        <v>27</v>
      </c>
      <c r="E6" s="14" t="s">
        <v>28</v>
      </c>
      <c r="F6" s="15" t="s">
        <v>4</v>
      </c>
      <c r="G6" s="14" t="s">
        <v>29</v>
      </c>
      <c r="H6" s="15" t="s">
        <v>5</v>
      </c>
      <c r="I6" s="14">
        <f>+966503016436</f>
        <v>966503016436</v>
      </c>
      <c r="J6" s="15" t="s">
        <v>6</v>
      </c>
      <c r="K6" s="14" t="s">
        <v>17</v>
      </c>
      <c r="L6" s="14"/>
    </row>
    <row r="7" ht="15.75" customHeight="1">
      <c r="A7" s="11">
        <v>43999.0</v>
      </c>
      <c r="B7" s="12" t="s">
        <v>8</v>
      </c>
      <c r="C7" s="13" t="s">
        <v>2</v>
      </c>
      <c r="D7" s="14" t="s">
        <v>30</v>
      </c>
      <c r="E7" s="14" t="s">
        <v>31</v>
      </c>
      <c r="F7" s="15" t="s">
        <v>4</v>
      </c>
      <c r="G7" s="14" t="s">
        <v>32</v>
      </c>
      <c r="H7" s="15" t="s">
        <v>5</v>
      </c>
      <c r="I7" s="14">
        <f>+13126782331</f>
        <v>13126782331</v>
      </c>
      <c r="J7" s="15" t="s">
        <v>6</v>
      </c>
      <c r="K7" s="14" t="s">
        <v>17</v>
      </c>
      <c r="L7" s="14"/>
    </row>
    <row r="8" ht="15.75" customHeight="1">
      <c r="A8" s="11">
        <v>43999.0</v>
      </c>
      <c r="B8" s="12" t="s">
        <v>8</v>
      </c>
      <c r="C8" s="13" t="s">
        <v>2</v>
      </c>
      <c r="D8" s="14" t="s">
        <v>33</v>
      </c>
      <c r="E8" s="14" t="s">
        <v>34</v>
      </c>
      <c r="F8" s="15" t="s">
        <v>4</v>
      </c>
      <c r="G8" s="14" t="s">
        <v>35</v>
      </c>
      <c r="H8" s="15" t="s">
        <v>5</v>
      </c>
      <c r="I8" s="14">
        <f>+923225064288</f>
        <v>923225064288</v>
      </c>
      <c r="J8" s="15" t="s">
        <v>6</v>
      </c>
      <c r="K8" s="14" t="s">
        <v>12</v>
      </c>
      <c r="L8" s="14"/>
    </row>
    <row r="9" ht="15.75" customHeight="1">
      <c r="A9" s="11">
        <v>43999.0</v>
      </c>
      <c r="B9" s="12" t="s">
        <v>8</v>
      </c>
      <c r="C9" s="13" t="s">
        <v>2</v>
      </c>
      <c r="D9" s="14" t="s">
        <v>36</v>
      </c>
      <c r="E9" s="14" t="s">
        <v>37</v>
      </c>
      <c r="F9" s="15" t="s">
        <v>4</v>
      </c>
      <c r="G9" s="14" t="s">
        <v>38</v>
      </c>
      <c r="H9" s="15" t="s">
        <v>5</v>
      </c>
      <c r="I9" s="14">
        <f>+923003000910</f>
        <v>923003000910</v>
      </c>
      <c r="J9" s="15" t="s">
        <v>6</v>
      </c>
      <c r="K9" s="14" t="s">
        <v>17</v>
      </c>
      <c r="L9" s="14"/>
    </row>
    <row r="10" ht="15.75" customHeight="1">
      <c r="A10" s="11">
        <v>43999.0</v>
      </c>
      <c r="B10" s="12" t="s">
        <v>8</v>
      </c>
      <c r="C10" s="13" t="s">
        <v>2</v>
      </c>
      <c r="D10" s="16" t="s">
        <v>39</v>
      </c>
      <c r="E10" s="16" t="s">
        <v>40</v>
      </c>
      <c r="F10" s="15" t="s">
        <v>4</v>
      </c>
      <c r="G10" s="14" t="s">
        <v>41</v>
      </c>
      <c r="H10" s="15" t="s">
        <v>5</v>
      </c>
      <c r="I10" s="14">
        <v>5.09060505E8</v>
      </c>
      <c r="J10" s="15" t="s">
        <v>6</v>
      </c>
      <c r="K10" s="14" t="s">
        <v>17</v>
      </c>
      <c r="L10" s="14"/>
    </row>
    <row r="11" ht="15.75" customHeight="1">
      <c r="A11" s="11">
        <v>43999.0</v>
      </c>
      <c r="B11" s="12" t="s">
        <v>8</v>
      </c>
      <c r="C11" s="13" t="s">
        <v>2</v>
      </c>
      <c r="D11" s="14" t="s">
        <v>42</v>
      </c>
      <c r="E11" s="14" t="s">
        <v>43</v>
      </c>
      <c r="F11" s="15" t="s">
        <v>4</v>
      </c>
      <c r="G11" s="14" t="s">
        <v>44</v>
      </c>
      <c r="H11" s="15" t="s">
        <v>5</v>
      </c>
      <c r="I11" s="14">
        <f>+9660506632808</f>
        <v>9660506632808</v>
      </c>
      <c r="J11" s="15" t="s">
        <v>6</v>
      </c>
      <c r="K11" s="14" t="s">
        <v>12</v>
      </c>
      <c r="L11" s="14"/>
    </row>
    <row r="12" ht="15.75" customHeight="1">
      <c r="A12" s="11">
        <v>43998.0</v>
      </c>
      <c r="B12" s="12" t="s">
        <v>8</v>
      </c>
      <c r="C12" s="13" t="s">
        <v>2</v>
      </c>
      <c r="D12" s="14" t="s">
        <v>45</v>
      </c>
      <c r="E12" s="14" t="s">
        <v>46</v>
      </c>
      <c r="F12" s="15" t="s">
        <v>4</v>
      </c>
      <c r="G12" s="14" t="s">
        <v>47</v>
      </c>
      <c r="H12" s="15" t="s">
        <v>5</v>
      </c>
      <c r="I12" s="14">
        <f>+923432852221</f>
        <v>923432852221</v>
      </c>
      <c r="J12" s="15" t="s">
        <v>6</v>
      </c>
      <c r="K12" s="14" t="s">
        <v>22</v>
      </c>
      <c r="L12" s="14"/>
    </row>
    <row r="13" ht="15.75" customHeight="1">
      <c r="A13" s="11">
        <v>43998.0</v>
      </c>
      <c r="B13" s="12" t="s">
        <v>8</v>
      </c>
      <c r="C13" s="13" t="s">
        <v>2</v>
      </c>
      <c r="D13" s="14" t="s">
        <v>48</v>
      </c>
      <c r="E13" s="14" t="s">
        <v>49</v>
      </c>
      <c r="F13" s="15" t="s">
        <v>4</v>
      </c>
      <c r="G13" s="14" t="s">
        <v>50</v>
      </c>
      <c r="H13" s="15" t="s">
        <v>5</v>
      </c>
      <c r="I13" s="14">
        <f>+971556532043</f>
        <v>971556532043</v>
      </c>
      <c r="J13" s="15" t="s">
        <v>6</v>
      </c>
      <c r="K13" s="14" t="s">
        <v>17</v>
      </c>
      <c r="L13" s="14"/>
    </row>
    <row r="14" ht="15.75" customHeight="1">
      <c r="A14" s="11">
        <v>43998.0</v>
      </c>
      <c r="B14" s="12" t="s">
        <v>8</v>
      </c>
      <c r="C14" s="13" t="s">
        <v>2</v>
      </c>
      <c r="D14" s="14" t="s">
        <v>51</v>
      </c>
      <c r="E14" s="14" t="s">
        <v>52</v>
      </c>
      <c r="F14" s="15" t="s">
        <v>4</v>
      </c>
      <c r="G14" s="14" t="s">
        <v>53</v>
      </c>
      <c r="H14" s="15" t="s">
        <v>5</v>
      </c>
      <c r="I14" s="14">
        <f>+966563920396</f>
        <v>966563920396</v>
      </c>
      <c r="J14" s="15" t="s">
        <v>6</v>
      </c>
      <c r="K14" s="14" t="s">
        <v>12</v>
      </c>
      <c r="L14" s="14"/>
    </row>
    <row r="15" ht="15.75" customHeight="1">
      <c r="A15" s="11">
        <v>43998.0</v>
      </c>
      <c r="B15" s="12" t="s">
        <v>8</v>
      </c>
      <c r="C15" s="13" t="s">
        <v>2</v>
      </c>
      <c r="D15" s="14" t="s">
        <v>54</v>
      </c>
      <c r="E15" s="14" t="s">
        <v>52</v>
      </c>
      <c r="F15" s="15" t="s">
        <v>4</v>
      </c>
      <c r="G15" s="14" t="s">
        <v>55</v>
      </c>
      <c r="H15" s="15" t="s">
        <v>5</v>
      </c>
      <c r="I15" s="14">
        <f>+923232985152</f>
        <v>923232985152</v>
      </c>
      <c r="J15" s="15" t="s">
        <v>6</v>
      </c>
      <c r="K15" s="14" t="s">
        <v>22</v>
      </c>
      <c r="L15" s="14"/>
    </row>
    <row r="16" ht="15.75" customHeight="1">
      <c r="A16" s="11">
        <v>43998.0</v>
      </c>
      <c r="B16" s="12" t="s">
        <v>8</v>
      </c>
      <c r="C16" s="13" t="s">
        <v>2</v>
      </c>
      <c r="D16" s="14" t="s">
        <v>56</v>
      </c>
      <c r="E16" s="14" t="s">
        <v>57</v>
      </c>
      <c r="F16" s="15" t="s">
        <v>4</v>
      </c>
      <c r="G16" s="14" t="s">
        <v>58</v>
      </c>
      <c r="H16" s="15" t="s">
        <v>5</v>
      </c>
      <c r="I16" s="14">
        <f>+971507337471</f>
        <v>971507337471</v>
      </c>
      <c r="J16" s="15" t="s">
        <v>6</v>
      </c>
      <c r="K16" s="14" t="s">
        <v>12</v>
      </c>
      <c r="L16" s="14"/>
    </row>
    <row r="17" ht="15.75" customHeight="1">
      <c r="A17" s="11">
        <v>43998.0</v>
      </c>
      <c r="B17" s="12" t="s">
        <v>8</v>
      </c>
      <c r="C17" s="13" t="s">
        <v>2</v>
      </c>
      <c r="D17" s="14" t="s">
        <v>59</v>
      </c>
      <c r="E17" s="14" t="s">
        <v>60</v>
      </c>
      <c r="F17" s="15" t="s">
        <v>4</v>
      </c>
      <c r="G17" s="14" t="s">
        <v>61</v>
      </c>
      <c r="H17" s="15" t="s">
        <v>5</v>
      </c>
      <c r="I17" s="14">
        <f>+923008658252</f>
        <v>923008658252</v>
      </c>
      <c r="J17" s="15" t="s">
        <v>6</v>
      </c>
      <c r="K17" s="14" t="s">
        <v>17</v>
      </c>
      <c r="L17" s="14"/>
    </row>
    <row r="18" ht="15.75" customHeight="1">
      <c r="A18" s="11">
        <v>43998.0</v>
      </c>
      <c r="B18" s="12" t="s">
        <v>8</v>
      </c>
      <c r="C18" s="13" t="s">
        <v>2</v>
      </c>
      <c r="D18" s="14" t="s">
        <v>62</v>
      </c>
      <c r="E18" s="14" t="s">
        <v>62</v>
      </c>
      <c r="F18" s="15" t="s">
        <v>4</v>
      </c>
      <c r="G18" s="14" t="s">
        <v>63</v>
      </c>
      <c r="H18" s="15" t="s">
        <v>5</v>
      </c>
      <c r="I18" s="14">
        <f>+923107303903</f>
        <v>923107303903</v>
      </c>
      <c r="J18" s="15" t="s">
        <v>6</v>
      </c>
      <c r="K18" s="14" t="s">
        <v>22</v>
      </c>
      <c r="L18" s="14"/>
    </row>
    <row r="19" ht="15.75" customHeight="1">
      <c r="A19" s="11">
        <v>43997.0</v>
      </c>
      <c r="B19" s="12" t="s">
        <v>8</v>
      </c>
      <c r="C19" s="13" t="s">
        <v>2</v>
      </c>
      <c r="D19" s="14" t="s">
        <v>64</v>
      </c>
      <c r="E19" s="14" t="s">
        <v>65</v>
      </c>
      <c r="F19" s="15" t="s">
        <v>4</v>
      </c>
      <c r="G19" s="14" t="s">
        <v>66</v>
      </c>
      <c r="H19" s="15" t="s">
        <v>5</v>
      </c>
      <c r="I19" s="14">
        <f>+923324433652</f>
        <v>923324433652</v>
      </c>
      <c r="J19" s="15" t="s">
        <v>6</v>
      </c>
      <c r="K19" s="14" t="s">
        <v>22</v>
      </c>
      <c r="L19" s="14"/>
    </row>
    <row r="20" ht="15.75" customHeight="1">
      <c r="A20" s="11">
        <v>43997.0</v>
      </c>
      <c r="B20" s="12" t="s">
        <v>8</v>
      </c>
      <c r="C20" s="13" t="s">
        <v>2</v>
      </c>
      <c r="D20" s="14" t="s">
        <v>67</v>
      </c>
      <c r="E20" s="14" t="s">
        <v>67</v>
      </c>
      <c r="F20" s="15" t="s">
        <v>4</v>
      </c>
      <c r="G20" s="14" t="s">
        <v>68</v>
      </c>
      <c r="H20" s="15" t="s">
        <v>5</v>
      </c>
      <c r="I20" s="14">
        <f>+971557334221</f>
        <v>971557334221</v>
      </c>
      <c r="J20" s="15" t="s">
        <v>6</v>
      </c>
      <c r="K20" s="14" t="s">
        <v>17</v>
      </c>
      <c r="L20" s="14"/>
    </row>
    <row r="21" ht="15.75" customHeight="1">
      <c r="A21" s="11">
        <v>43997.0</v>
      </c>
      <c r="B21" s="12" t="s">
        <v>8</v>
      </c>
      <c r="C21" s="13" t="s">
        <v>2</v>
      </c>
      <c r="D21" s="14" t="s">
        <v>69</v>
      </c>
      <c r="E21" s="14" t="s">
        <v>70</v>
      </c>
      <c r="F21" s="15" t="s">
        <v>4</v>
      </c>
      <c r="G21" s="14" t="s">
        <v>71</v>
      </c>
      <c r="H21" s="15" t="s">
        <v>5</v>
      </c>
      <c r="I21" s="14">
        <v>9.23332142338E11</v>
      </c>
      <c r="J21" s="15" t="s">
        <v>6</v>
      </c>
      <c r="K21" s="14" t="s">
        <v>17</v>
      </c>
      <c r="L21" s="14"/>
    </row>
    <row r="22" ht="15.75" customHeight="1">
      <c r="A22" s="11">
        <v>43997.0</v>
      </c>
      <c r="B22" s="12" t="s">
        <v>8</v>
      </c>
      <c r="C22" s="13" t="s">
        <v>2</v>
      </c>
      <c r="D22" s="14" t="s">
        <v>72</v>
      </c>
      <c r="E22" s="14" t="s">
        <v>73</v>
      </c>
      <c r="F22" s="15" t="s">
        <v>4</v>
      </c>
      <c r="G22" s="14" t="s">
        <v>74</v>
      </c>
      <c r="H22" s="15" t="s">
        <v>5</v>
      </c>
      <c r="I22" s="14">
        <f>+9203333337777</f>
        <v>9203333337777</v>
      </c>
      <c r="J22" s="15" t="s">
        <v>6</v>
      </c>
      <c r="K22" s="14" t="s">
        <v>22</v>
      </c>
      <c r="L22" s="14"/>
    </row>
    <row r="23" ht="15.75" customHeight="1">
      <c r="A23" s="11">
        <v>43997.0</v>
      </c>
      <c r="B23" s="12" t="s">
        <v>8</v>
      </c>
      <c r="C23" s="13" t="s">
        <v>2</v>
      </c>
      <c r="D23" s="14" t="s">
        <v>75</v>
      </c>
      <c r="E23" s="14" t="s">
        <v>76</v>
      </c>
      <c r="F23" s="15" t="s">
        <v>4</v>
      </c>
      <c r="G23" s="14" t="s">
        <v>77</v>
      </c>
      <c r="H23" s="15" t="s">
        <v>5</v>
      </c>
      <c r="I23" s="14">
        <f>+9203008879765</f>
        <v>9203008879765</v>
      </c>
      <c r="J23" s="15" t="s">
        <v>6</v>
      </c>
      <c r="K23" s="14" t="s">
        <v>22</v>
      </c>
      <c r="L23" s="14"/>
    </row>
    <row r="24" ht="15.75" customHeight="1">
      <c r="A24" s="11">
        <v>43997.0</v>
      </c>
      <c r="B24" s="12" t="s">
        <v>8</v>
      </c>
      <c r="C24" s="13" t="s">
        <v>2</v>
      </c>
      <c r="D24" s="14" t="s">
        <v>78</v>
      </c>
      <c r="E24" s="14" t="s">
        <v>79</v>
      </c>
      <c r="F24" s="15" t="s">
        <v>4</v>
      </c>
      <c r="G24" s="14" t="s">
        <v>80</v>
      </c>
      <c r="H24" s="15" t="s">
        <v>5</v>
      </c>
      <c r="I24" s="14">
        <f>+971564779258</f>
        <v>971564779258</v>
      </c>
      <c r="J24" s="15" t="s">
        <v>6</v>
      </c>
      <c r="K24" s="14" t="s">
        <v>12</v>
      </c>
      <c r="L24" s="14"/>
    </row>
    <row r="25" ht="15.75" customHeight="1">
      <c r="A25" s="11">
        <v>43997.0</v>
      </c>
      <c r="B25" s="12" t="s">
        <v>8</v>
      </c>
      <c r="C25" s="13" t="s">
        <v>2</v>
      </c>
      <c r="D25" s="14" t="s">
        <v>75</v>
      </c>
      <c r="E25" s="14" t="s">
        <v>81</v>
      </c>
      <c r="F25" s="15" t="s">
        <v>4</v>
      </c>
      <c r="G25" s="14" t="s">
        <v>82</v>
      </c>
      <c r="H25" s="15" t="s">
        <v>5</v>
      </c>
      <c r="I25" s="14">
        <f>+447736446861</f>
        <v>447736446861</v>
      </c>
      <c r="J25" s="15" t="s">
        <v>6</v>
      </c>
      <c r="K25" s="14" t="s">
        <v>22</v>
      </c>
      <c r="L25" s="14"/>
    </row>
    <row r="26" ht="15.75" customHeight="1">
      <c r="A26" s="11">
        <v>43997.0</v>
      </c>
      <c r="B26" s="12" t="s">
        <v>8</v>
      </c>
      <c r="C26" s="13" t="s">
        <v>2</v>
      </c>
      <c r="D26" s="14" t="s">
        <v>83</v>
      </c>
      <c r="E26" s="14" t="s">
        <v>84</v>
      </c>
      <c r="F26" s="15" t="s">
        <v>4</v>
      </c>
      <c r="G26" s="14" t="s">
        <v>85</v>
      </c>
      <c r="H26" s="15" t="s">
        <v>5</v>
      </c>
      <c r="I26" s="14">
        <f>+923005085522</f>
        <v>923005085522</v>
      </c>
      <c r="J26" s="15" t="s">
        <v>6</v>
      </c>
      <c r="K26" s="14" t="s">
        <v>12</v>
      </c>
      <c r="L26" s="14"/>
    </row>
    <row r="27" ht="15.75" customHeight="1">
      <c r="A27" s="17">
        <v>43996.0</v>
      </c>
      <c r="B27" s="18" t="s">
        <v>8</v>
      </c>
      <c r="C27" s="1" t="s">
        <v>2</v>
      </c>
      <c r="D27" s="19" t="s">
        <v>86</v>
      </c>
      <c r="E27" s="19" t="s">
        <v>87</v>
      </c>
      <c r="F27" s="20" t="s">
        <v>4</v>
      </c>
      <c r="G27" s="14" t="s">
        <v>88</v>
      </c>
      <c r="H27" s="21" t="s">
        <v>5</v>
      </c>
      <c r="I27" s="19">
        <f>+923214466666</f>
        <v>923214466666</v>
      </c>
      <c r="J27" s="21" t="s">
        <v>6</v>
      </c>
      <c r="K27" s="19" t="s">
        <v>12</v>
      </c>
      <c r="L27" s="22" t="s">
        <v>89</v>
      </c>
    </row>
    <row r="28" ht="15.75" customHeight="1">
      <c r="A28" s="17">
        <v>43996.0</v>
      </c>
      <c r="B28" s="18" t="s">
        <v>8</v>
      </c>
      <c r="C28" s="1" t="s">
        <v>2</v>
      </c>
      <c r="D28" s="19" t="s">
        <v>90</v>
      </c>
      <c r="E28" s="19" t="s">
        <v>91</v>
      </c>
      <c r="F28" s="20" t="s">
        <v>4</v>
      </c>
      <c r="G28" s="14" t="s">
        <v>92</v>
      </c>
      <c r="H28" s="21" t="s">
        <v>5</v>
      </c>
      <c r="I28" s="19">
        <f>+923002396778</f>
        <v>923002396778</v>
      </c>
      <c r="J28" s="21" t="s">
        <v>6</v>
      </c>
      <c r="K28" s="19" t="s">
        <v>17</v>
      </c>
      <c r="L28" s="22" t="s">
        <v>93</v>
      </c>
    </row>
    <row r="29" ht="15.75" customHeight="1">
      <c r="A29" s="17">
        <v>43996.0</v>
      </c>
      <c r="B29" s="18" t="s">
        <v>8</v>
      </c>
      <c r="C29" s="1" t="s">
        <v>2</v>
      </c>
      <c r="D29" s="19" t="s">
        <v>94</v>
      </c>
      <c r="E29" s="19" t="s">
        <v>95</v>
      </c>
      <c r="F29" s="20" t="s">
        <v>4</v>
      </c>
      <c r="G29" s="14" t="s">
        <v>96</v>
      </c>
      <c r="H29" s="21" t="s">
        <v>5</v>
      </c>
      <c r="I29" s="19">
        <f>+923125570773</f>
        <v>923125570773</v>
      </c>
      <c r="J29" s="21" t="s">
        <v>6</v>
      </c>
      <c r="K29" s="19" t="s">
        <v>12</v>
      </c>
      <c r="L29" s="22" t="s">
        <v>97</v>
      </c>
    </row>
    <row r="30" ht="15.75" customHeight="1">
      <c r="A30" s="17">
        <v>43995.0</v>
      </c>
      <c r="B30" s="18" t="s">
        <v>8</v>
      </c>
      <c r="C30" s="1" t="s">
        <v>2</v>
      </c>
      <c r="D30" s="19" t="s">
        <v>98</v>
      </c>
      <c r="E30" s="19" t="s">
        <v>99</v>
      </c>
      <c r="F30" s="20" t="s">
        <v>4</v>
      </c>
      <c r="G30" s="14" t="s">
        <v>100</v>
      </c>
      <c r="H30" s="21" t="s">
        <v>5</v>
      </c>
      <c r="I30" s="19">
        <f>+923120850690</f>
        <v>923120850690</v>
      </c>
      <c r="J30" s="21" t="s">
        <v>6</v>
      </c>
      <c r="K30" s="19" t="s">
        <v>17</v>
      </c>
      <c r="L30" s="23" t="s">
        <v>89</v>
      </c>
    </row>
    <row r="31" ht="15.75" customHeight="1">
      <c r="A31" s="17">
        <v>43995.0</v>
      </c>
      <c r="B31" s="18" t="s">
        <v>8</v>
      </c>
      <c r="C31" s="1" t="s">
        <v>2</v>
      </c>
      <c r="D31" s="19" t="s">
        <v>101</v>
      </c>
      <c r="E31" s="19" t="s">
        <v>102</v>
      </c>
      <c r="F31" s="20" t="s">
        <v>4</v>
      </c>
      <c r="G31" s="14" t="s">
        <v>103</v>
      </c>
      <c r="H31" s="21" t="s">
        <v>5</v>
      </c>
      <c r="I31" s="19">
        <f>+923095477779</f>
        <v>923095477779</v>
      </c>
      <c r="J31" s="21" t="s">
        <v>6</v>
      </c>
      <c r="K31" s="19" t="s">
        <v>17</v>
      </c>
      <c r="L31" s="23" t="s">
        <v>104</v>
      </c>
    </row>
    <row r="32" ht="13.5" customHeight="1">
      <c r="A32" s="18" t="s">
        <v>105</v>
      </c>
      <c r="B32" s="18" t="s">
        <v>8</v>
      </c>
      <c r="C32" s="1" t="s">
        <v>2</v>
      </c>
      <c r="D32" s="19" t="s">
        <v>106</v>
      </c>
      <c r="E32" s="19" t="s">
        <v>107</v>
      </c>
      <c r="F32" s="20" t="s">
        <v>4</v>
      </c>
      <c r="G32" s="14" t="s">
        <v>108</v>
      </c>
      <c r="H32" s="21" t="s">
        <v>5</v>
      </c>
      <c r="I32" s="19">
        <f>+923442941875</f>
        <v>923442941875</v>
      </c>
      <c r="J32" s="21" t="s">
        <v>6</v>
      </c>
      <c r="K32" s="19" t="s">
        <v>12</v>
      </c>
      <c r="L32" s="23" t="s">
        <v>97</v>
      </c>
    </row>
    <row r="33" ht="15.75" customHeight="1">
      <c r="A33" s="17">
        <v>43993.0</v>
      </c>
      <c r="B33" s="18" t="s">
        <v>8</v>
      </c>
      <c r="C33" s="1" t="s">
        <v>2</v>
      </c>
      <c r="D33" s="19" t="s">
        <v>109</v>
      </c>
      <c r="E33" s="19" t="s">
        <v>110</v>
      </c>
      <c r="F33" s="20" t="s">
        <v>4</v>
      </c>
      <c r="G33" s="14" t="s">
        <v>111</v>
      </c>
      <c r="H33" s="21" t="s">
        <v>5</v>
      </c>
      <c r="I33" s="19">
        <f>+9203218555475</f>
        <v>9203218555475</v>
      </c>
      <c r="J33" s="21" t="s">
        <v>6</v>
      </c>
      <c r="K33" s="19" t="s">
        <v>17</v>
      </c>
      <c r="L33" s="23" t="s">
        <v>89</v>
      </c>
    </row>
    <row r="34" ht="15.75" customHeight="1">
      <c r="A34" s="17">
        <v>43993.0</v>
      </c>
      <c r="B34" s="18" t="s">
        <v>8</v>
      </c>
      <c r="C34" s="1" t="s">
        <v>2</v>
      </c>
      <c r="D34" s="19" t="s">
        <v>112</v>
      </c>
      <c r="E34" s="19" t="s">
        <v>113</v>
      </c>
      <c r="F34" s="20" t="s">
        <v>4</v>
      </c>
      <c r="G34" s="14" t="s">
        <v>114</v>
      </c>
      <c r="H34" s="21" t="s">
        <v>5</v>
      </c>
      <c r="I34" s="19">
        <f>+971523608313</f>
        <v>971523608313</v>
      </c>
      <c r="J34" s="21" t="s">
        <v>6</v>
      </c>
      <c r="K34" s="19" t="s">
        <v>17</v>
      </c>
      <c r="L34" s="23" t="s">
        <v>115</v>
      </c>
    </row>
    <row r="35" ht="15.75" customHeight="1">
      <c r="A35" s="17">
        <v>43992.0</v>
      </c>
      <c r="B35" s="18" t="s">
        <v>8</v>
      </c>
      <c r="C35" s="1" t="s">
        <v>2</v>
      </c>
      <c r="D35" s="19" t="s">
        <v>116</v>
      </c>
      <c r="E35" s="19" t="s">
        <v>117</v>
      </c>
      <c r="F35" s="20" t="s">
        <v>4</v>
      </c>
      <c r="G35" s="14" t="s">
        <v>118</v>
      </c>
      <c r="H35" s="21" t="s">
        <v>5</v>
      </c>
      <c r="I35" s="19">
        <f>+9203082211101</f>
        <v>9203082211101</v>
      </c>
      <c r="J35" s="21" t="s">
        <v>6</v>
      </c>
      <c r="K35" s="19" t="s">
        <v>17</v>
      </c>
      <c r="L35" s="24"/>
    </row>
    <row r="36" ht="15.75" customHeight="1">
      <c r="A36" s="17">
        <v>43992.0</v>
      </c>
      <c r="B36" s="18" t="s">
        <v>8</v>
      </c>
      <c r="C36" s="1" t="s">
        <v>2</v>
      </c>
      <c r="D36" s="19" t="s">
        <v>119</v>
      </c>
      <c r="E36" s="19" t="s">
        <v>120</v>
      </c>
      <c r="F36" s="20" t="s">
        <v>4</v>
      </c>
      <c r="G36" s="14" t="s">
        <v>121</v>
      </c>
      <c r="H36" s="21" t="s">
        <v>5</v>
      </c>
      <c r="I36" s="19">
        <f>+923035936193</f>
        <v>923035936193</v>
      </c>
      <c r="J36" s="21" t="s">
        <v>6</v>
      </c>
      <c r="K36" s="19" t="s">
        <v>17</v>
      </c>
      <c r="L36" s="24"/>
    </row>
    <row r="37" ht="15.75" customHeight="1">
      <c r="A37" s="17">
        <v>43991.0</v>
      </c>
      <c r="B37" s="18" t="s">
        <v>8</v>
      </c>
      <c r="C37" s="1" t="s">
        <v>2</v>
      </c>
      <c r="D37" s="19" t="s">
        <v>122</v>
      </c>
      <c r="E37" s="19" t="s">
        <v>123</v>
      </c>
      <c r="F37" s="20" t="s">
        <v>4</v>
      </c>
      <c r="G37" s="14" t="s">
        <v>124</v>
      </c>
      <c r="H37" s="21" t="s">
        <v>5</v>
      </c>
      <c r="I37" s="19">
        <f>+923002770994</f>
        <v>923002770994</v>
      </c>
      <c r="J37" s="21" t="s">
        <v>6</v>
      </c>
      <c r="K37" s="19" t="s">
        <v>22</v>
      </c>
      <c r="L37" s="24"/>
    </row>
    <row r="38" ht="15.75" customHeight="1">
      <c r="A38" s="17">
        <v>43991.0</v>
      </c>
      <c r="B38" s="18" t="s">
        <v>8</v>
      </c>
      <c r="C38" s="1" t="s">
        <v>2</v>
      </c>
      <c r="D38" s="19" t="s">
        <v>125</v>
      </c>
      <c r="E38" s="19" t="s">
        <v>126</v>
      </c>
      <c r="F38" s="20" t="s">
        <v>4</v>
      </c>
      <c r="G38" s="14" t="s">
        <v>127</v>
      </c>
      <c r="H38" s="21" t="s">
        <v>5</v>
      </c>
      <c r="I38" s="19">
        <f>+923366667333</f>
        <v>923366667333</v>
      </c>
      <c r="J38" s="21" t="s">
        <v>6</v>
      </c>
      <c r="K38" s="19" t="s">
        <v>17</v>
      </c>
      <c r="L38" s="24"/>
    </row>
    <row r="39" ht="15.75" customHeight="1">
      <c r="A39" s="17">
        <v>43991.0</v>
      </c>
      <c r="B39" s="18" t="s">
        <v>8</v>
      </c>
      <c r="C39" s="1" t="s">
        <v>2</v>
      </c>
      <c r="D39" s="19" t="s">
        <v>128</v>
      </c>
      <c r="E39" s="19" t="s">
        <v>129</v>
      </c>
      <c r="F39" s="20" t="s">
        <v>4</v>
      </c>
      <c r="G39" s="14" t="s">
        <v>130</v>
      </c>
      <c r="H39" s="21" t="s">
        <v>5</v>
      </c>
      <c r="I39" s="19">
        <f>+923216696699</f>
        <v>923216696699</v>
      </c>
      <c r="J39" s="21" t="s">
        <v>6</v>
      </c>
      <c r="K39" s="19" t="s">
        <v>17</v>
      </c>
      <c r="L39" s="24"/>
    </row>
    <row r="40" ht="15.75" customHeight="1">
      <c r="A40" s="17">
        <v>43991.0</v>
      </c>
      <c r="B40" s="18" t="s">
        <v>8</v>
      </c>
      <c r="C40" s="1" t="s">
        <v>2</v>
      </c>
      <c r="D40" s="19" t="s">
        <v>131</v>
      </c>
      <c r="E40" s="19" t="s">
        <v>132</v>
      </c>
      <c r="F40" s="20" t="s">
        <v>4</v>
      </c>
      <c r="G40" s="14" t="s">
        <v>133</v>
      </c>
      <c r="H40" s="21" t="s">
        <v>5</v>
      </c>
      <c r="I40" s="19">
        <f>+923217139309</f>
        <v>923217139309</v>
      </c>
      <c r="J40" s="21" t="s">
        <v>6</v>
      </c>
      <c r="K40" s="19" t="s">
        <v>12</v>
      </c>
      <c r="L40" s="24"/>
    </row>
    <row r="41" ht="15.75" customHeight="1">
      <c r="A41" s="17">
        <v>43991.0</v>
      </c>
      <c r="B41" s="18" t="s">
        <v>8</v>
      </c>
      <c r="C41" s="1" t="s">
        <v>2</v>
      </c>
      <c r="D41" s="19" t="s">
        <v>134</v>
      </c>
      <c r="E41" s="19" t="s">
        <v>135</v>
      </c>
      <c r="F41" s="20" t="s">
        <v>4</v>
      </c>
      <c r="G41" s="14" t="s">
        <v>136</v>
      </c>
      <c r="H41" s="21" t="s">
        <v>5</v>
      </c>
      <c r="I41" s="19">
        <f>+971525111149</f>
        <v>971525111149</v>
      </c>
      <c r="J41" s="21" t="s">
        <v>6</v>
      </c>
      <c r="K41" s="19" t="s">
        <v>12</v>
      </c>
      <c r="L41" s="24"/>
    </row>
    <row r="42" ht="15.75" customHeight="1">
      <c r="A42" s="17">
        <v>43990.0</v>
      </c>
      <c r="B42" s="18" t="s">
        <v>8</v>
      </c>
      <c r="C42" s="1" t="s">
        <v>2</v>
      </c>
      <c r="D42" s="19" t="s">
        <v>137</v>
      </c>
      <c r="E42" s="19" t="s">
        <v>138</v>
      </c>
      <c r="F42" s="20" t="s">
        <v>4</v>
      </c>
      <c r="G42" s="14" t="s">
        <v>139</v>
      </c>
      <c r="H42" s="21" t="s">
        <v>5</v>
      </c>
      <c r="I42" s="19">
        <f>+966540018524</f>
        <v>966540018524</v>
      </c>
      <c r="J42" s="21" t="s">
        <v>6</v>
      </c>
      <c r="K42" s="19" t="s">
        <v>17</v>
      </c>
      <c r="L42" s="24"/>
    </row>
    <row r="43" ht="15.75" customHeight="1">
      <c r="A43" s="17">
        <v>43990.0</v>
      </c>
      <c r="B43" s="18" t="s">
        <v>8</v>
      </c>
      <c r="C43" s="1" t="s">
        <v>2</v>
      </c>
      <c r="D43" s="19" t="s">
        <v>140</v>
      </c>
      <c r="E43" s="19" t="s">
        <v>141</v>
      </c>
      <c r="F43" s="20" t="s">
        <v>4</v>
      </c>
      <c r="G43" s="14" t="s">
        <v>142</v>
      </c>
      <c r="H43" s="21" t="s">
        <v>5</v>
      </c>
      <c r="I43" s="19">
        <f>+919578785767</f>
        <v>919578785767</v>
      </c>
      <c r="J43" s="21" t="s">
        <v>6</v>
      </c>
      <c r="K43" s="19" t="s">
        <v>22</v>
      </c>
      <c r="L43" s="24"/>
    </row>
    <row r="44" ht="15.75" customHeight="1">
      <c r="A44" s="17">
        <v>43990.0</v>
      </c>
      <c r="B44" s="18" t="s">
        <v>8</v>
      </c>
      <c r="C44" s="1" t="s">
        <v>2</v>
      </c>
      <c r="D44" s="19" t="s">
        <v>143</v>
      </c>
      <c r="E44" s="19" t="s">
        <v>83</v>
      </c>
      <c r="F44" s="20" t="s">
        <v>4</v>
      </c>
      <c r="G44" s="14" t="s">
        <v>144</v>
      </c>
      <c r="H44" s="21" t="s">
        <v>5</v>
      </c>
      <c r="I44" s="19">
        <f>+923333847535</f>
        <v>923333847535</v>
      </c>
      <c r="J44" s="21" t="s">
        <v>6</v>
      </c>
      <c r="K44" s="19" t="s">
        <v>22</v>
      </c>
      <c r="L44" s="24"/>
    </row>
    <row r="45" ht="15.75" customHeight="1">
      <c r="A45" s="17">
        <v>43989.0</v>
      </c>
      <c r="B45" s="18" t="s">
        <v>8</v>
      </c>
      <c r="C45" s="1" t="s">
        <v>2</v>
      </c>
      <c r="D45" s="19" t="s">
        <v>145</v>
      </c>
      <c r="E45" s="19" t="s">
        <v>146</v>
      </c>
      <c r="F45" s="20" t="s">
        <v>4</v>
      </c>
      <c r="G45" s="14" t="s">
        <v>147</v>
      </c>
      <c r="H45" s="21" t="s">
        <v>5</v>
      </c>
      <c r="I45" s="19">
        <f>+923465457827</f>
        <v>923465457827</v>
      </c>
      <c r="J45" s="21" t="s">
        <v>6</v>
      </c>
      <c r="K45" s="19" t="s">
        <v>17</v>
      </c>
      <c r="L45" s="24"/>
    </row>
    <row r="46" ht="15.75" customHeight="1">
      <c r="A46" s="17">
        <v>43989.0</v>
      </c>
      <c r="B46" s="18" t="s">
        <v>8</v>
      </c>
      <c r="C46" s="1" t="s">
        <v>2</v>
      </c>
      <c r="D46" s="19" t="s">
        <v>148</v>
      </c>
      <c r="E46" s="19" t="s">
        <v>149</v>
      </c>
      <c r="F46" s="20" t="s">
        <v>4</v>
      </c>
      <c r="G46" s="14" t="s">
        <v>150</v>
      </c>
      <c r="H46" s="21" t="s">
        <v>5</v>
      </c>
      <c r="I46" s="19">
        <f>+9710508871520</f>
        <v>9710508871520</v>
      </c>
      <c r="J46" s="21" t="s">
        <v>6</v>
      </c>
      <c r="K46" s="19" t="s">
        <v>12</v>
      </c>
      <c r="L46" s="24"/>
    </row>
    <row r="47" ht="15.75" customHeight="1">
      <c r="A47" s="17">
        <v>43988.0</v>
      </c>
      <c r="B47" s="18" t="s">
        <v>8</v>
      </c>
      <c r="C47" s="1" t="s">
        <v>2</v>
      </c>
      <c r="D47" s="19" t="s">
        <v>151</v>
      </c>
      <c r="E47" s="19" t="s">
        <v>152</v>
      </c>
      <c r="F47" s="20" t="s">
        <v>4</v>
      </c>
      <c r="G47" s="14" t="s">
        <v>153</v>
      </c>
      <c r="H47" s="21" t="s">
        <v>5</v>
      </c>
      <c r="I47" s="19">
        <f>+971505430726</f>
        <v>971505430726</v>
      </c>
      <c r="J47" s="21" t="s">
        <v>6</v>
      </c>
      <c r="K47" s="19" t="s">
        <v>12</v>
      </c>
      <c r="L47" s="24"/>
    </row>
    <row r="48" ht="15.75" customHeight="1">
      <c r="A48" s="17">
        <v>43987.0</v>
      </c>
      <c r="B48" s="18" t="s">
        <v>8</v>
      </c>
      <c r="C48" s="1" t="s">
        <v>2</v>
      </c>
      <c r="D48" s="19" t="s">
        <v>154</v>
      </c>
      <c r="E48" s="19" t="s">
        <v>152</v>
      </c>
      <c r="F48" s="20" t="s">
        <v>4</v>
      </c>
      <c r="G48" s="14" t="s">
        <v>155</v>
      </c>
      <c r="H48" s="21" t="s">
        <v>5</v>
      </c>
      <c r="I48" s="19">
        <f>+923002608199</f>
        <v>923002608199</v>
      </c>
      <c r="J48" s="21" t="s">
        <v>6</v>
      </c>
      <c r="K48" s="19" t="s">
        <v>22</v>
      </c>
      <c r="L48" s="24"/>
    </row>
    <row r="49" ht="15.75" customHeight="1">
      <c r="A49" s="17">
        <v>43987.0</v>
      </c>
      <c r="B49" s="18" t="s">
        <v>8</v>
      </c>
      <c r="C49" s="1" t="s">
        <v>2</v>
      </c>
      <c r="D49" s="19" t="s">
        <v>156</v>
      </c>
      <c r="E49" s="19" t="s">
        <v>70</v>
      </c>
      <c r="F49" s="20" t="s">
        <v>4</v>
      </c>
      <c r="G49" s="14" t="s">
        <v>157</v>
      </c>
      <c r="H49" s="21" t="s">
        <v>5</v>
      </c>
      <c r="I49" s="19">
        <f>+923084444839</f>
        <v>923084444839</v>
      </c>
      <c r="J49" s="21" t="s">
        <v>6</v>
      </c>
      <c r="K49" s="19" t="s">
        <v>22</v>
      </c>
      <c r="L49" s="24"/>
    </row>
    <row r="50" ht="15.75" customHeight="1">
      <c r="A50" s="17">
        <v>43986.0</v>
      </c>
      <c r="B50" s="18" t="s">
        <v>8</v>
      </c>
      <c r="C50" s="1" t="s">
        <v>2</v>
      </c>
      <c r="D50" s="19" t="s">
        <v>83</v>
      </c>
      <c r="E50" s="19" t="s">
        <v>158</v>
      </c>
      <c r="F50" s="20" t="s">
        <v>4</v>
      </c>
      <c r="G50" s="14" t="s">
        <v>159</v>
      </c>
      <c r="H50" s="21" t="s">
        <v>5</v>
      </c>
      <c r="I50" s="19">
        <f>+923379228611</f>
        <v>923379228611</v>
      </c>
      <c r="J50" s="21" t="s">
        <v>6</v>
      </c>
      <c r="K50" s="19" t="s">
        <v>17</v>
      </c>
      <c r="L50" s="24"/>
    </row>
    <row r="51" ht="15.75" customHeight="1">
      <c r="A51" s="17">
        <v>43986.0</v>
      </c>
      <c r="B51" s="18" t="s">
        <v>8</v>
      </c>
      <c r="C51" s="1" t="s">
        <v>2</v>
      </c>
      <c r="D51" s="19" t="s">
        <v>160</v>
      </c>
      <c r="E51" s="19" t="s">
        <v>70</v>
      </c>
      <c r="F51" s="20" t="s">
        <v>4</v>
      </c>
      <c r="G51" s="14" t="s">
        <v>161</v>
      </c>
      <c r="H51" s="21" t="s">
        <v>5</v>
      </c>
      <c r="I51" s="19">
        <f>+923233766247</f>
        <v>923233766247</v>
      </c>
      <c r="J51" s="21" t="s">
        <v>6</v>
      </c>
      <c r="K51" s="19" t="s">
        <v>17</v>
      </c>
      <c r="L51" s="24"/>
    </row>
    <row r="52" ht="15.75" customHeight="1">
      <c r="A52" s="17">
        <v>43986.0</v>
      </c>
      <c r="B52" s="18" t="s">
        <v>8</v>
      </c>
      <c r="C52" s="1" t="s">
        <v>2</v>
      </c>
      <c r="D52" s="19" t="s">
        <v>162</v>
      </c>
      <c r="E52" s="19" t="s">
        <v>163</v>
      </c>
      <c r="F52" s="20" t="s">
        <v>4</v>
      </c>
      <c r="G52" s="14" t="s">
        <v>164</v>
      </c>
      <c r="H52" s="21" t="s">
        <v>5</v>
      </c>
      <c r="I52" s="19">
        <f>+971506940600</f>
        <v>971506940600</v>
      </c>
      <c r="J52" s="21" t="s">
        <v>6</v>
      </c>
      <c r="K52" s="19" t="s">
        <v>17</v>
      </c>
      <c r="L52" s="24"/>
    </row>
    <row r="53" ht="15.75" customHeight="1">
      <c r="A53" s="17">
        <v>43986.0</v>
      </c>
      <c r="B53" s="18" t="s">
        <v>8</v>
      </c>
      <c r="C53" s="1" t="s">
        <v>2</v>
      </c>
      <c r="D53" s="19" t="s">
        <v>165</v>
      </c>
      <c r="E53" s="19" t="s">
        <v>166</v>
      </c>
      <c r="F53" s="20" t="s">
        <v>4</v>
      </c>
      <c r="G53" s="14" t="s">
        <v>167</v>
      </c>
      <c r="H53" s="21" t="s">
        <v>5</v>
      </c>
      <c r="I53" s="19">
        <f>+919797000082</f>
        <v>919797000082</v>
      </c>
      <c r="J53" s="21" t="s">
        <v>6</v>
      </c>
      <c r="K53" s="19" t="s">
        <v>22</v>
      </c>
      <c r="L53" s="24"/>
    </row>
    <row r="54" ht="15.75" customHeight="1">
      <c r="A54" s="17">
        <v>43986.0</v>
      </c>
      <c r="B54" s="18" t="s">
        <v>8</v>
      </c>
      <c r="C54" s="1" t="s">
        <v>2</v>
      </c>
      <c r="D54" s="19" t="s">
        <v>168</v>
      </c>
      <c r="E54" s="19" t="s">
        <v>125</v>
      </c>
      <c r="F54" s="20" t="s">
        <v>4</v>
      </c>
      <c r="G54" s="14" t="s">
        <v>169</v>
      </c>
      <c r="H54" s="21" t="s">
        <v>5</v>
      </c>
      <c r="I54" s="19">
        <f>+16788962468</f>
        <v>16788962468</v>
      </c>
      <c r="J54" s="21" t="s">
        <v>6</v>
      </c>
      <c r="K54" s="19" t="s">
        <v>12</v>
      </c>
      <c r="L54" s="24"/>
    </row>
    <row r="55" ht="15.75" customHeight="1">
      <c r="A55" s="17">
        <v>43985.0</v>
      </c>
      <c r="B55" s="18" t="s">
        <v>8</v>
      </c>
      <c r="C55" s="1" t="s">
        <v>2</v>
      </c>
      <c r="D55" s="19" t="s">
        <v>102</v>
      </c>
      <c r="E55" s="19" t="s">
        <v>170</v>
      </c>
      <c r="F55" s="20" t="s">
        <v>4</v>
      </c>
      <c r="G55" s="14" t="s">
        <v>171</v>
      </c>
      <c r="H55" s="21" t="s">
        <v>5</v>
      </c>
      <c r="I55" s="19">
        <v>3.333886788E9</v>
      </c>
      <c r="J55" s="21" t="s">
        <v>6</v>
      </c>
      <c r="K55" s="19" t="s">
        <v>22</v>
      </c>
      <c r="L55" s="24"/>
    </row>
    <row r="56" ht="15.75" customHeight="1">
      <c r="A56" s="17">
        <v>43985.0</v>
      </c>
      <c r="B56" s="18" t="s">
        <v>8</v>
      </c>
      <c r="C56" s="1" t="s">
        <v>2</v>
      </c>
      <c r="D56" s="19" t="s">
        <v>172</v>
      </c>
      <c r="E56" s="19" t="s">
        <v>173</v>
      </c>
      <c r="F56" s="20" t="s">
        <v>4</v>
      </c>
      <c r="G56" s="14" t="s">
        <v>174</v>
      </c>
      <c r="H56" s="21" t="s">
        <v>5</v>
      </c>
      <c r="I56" s="19">
        <f>+9710526455422</f>
        <v>9710526455422</v>
      </c>
      <c r="J56" s="21" t="s">
        <v>6</v>
      </c>
      <c r="K56" s="19" t="s">
        <v>17</v>
      </c>
      <c r="L56" s="24"/>
    </row>
    <row r="57" ht="15.75" customHeight="1">
      <c r="A57" s="17">
        <v>43984.0</v>
      </c>
      <c r="B57" s="18" t="s">
        <v>8</v>
      </c>
      <c r="C57" s="1" t="s">
        <v>2</v>
      </c>
      <c r="D57" s="19" t="s">
        <v>59</v>
      </c>
      <c r="E57" s="19" t="s">
        <v>175</v>
      </c>
      <c r="F57" s="20" t="s">
        <v>4</v>
      </c>
      <c r="G57" s="14" t="s">
        <v>176</v>
      </c>
      <c r="H57" s="21" t="s">
        <v>5</v>
      </c>
      <c r="I57" s="19">
        <f>+923120212375</f>
        <v>923120212375</v>
      </c>
      <c r="J57" s="21" t="s">
        <v>6</v>
      </c>
      <c r="K57" s="19" t="s">
        <v>17</v>
      </c>
      <c r="L57" s="24"/>
    </row>
    <row r="58" ht="15.75" customHeight="1">
      <c r="A58" s="17">
        <v>43984.0</v>
      </c>
      <c r="B58" s="18" t="s">
        <v>8</v>
      </c>
      <c r="C58" s="1" t="s">
        <v>2</v>
      </c>
      <c r="D58" s="19" t="s">
        <v>177</v>
      </c>
      <c r="E58" s="19" t="s">
        <v>152</v>
      </c>
      <c r="F58" s="20" t="s">
        <v>4</v>
      </c>
      <c r="G58" s="14" t="s">
        <v>178</v>
      </c>
      <c r="H58" s="21" t="s">
        <v>5</v>
      </c>
      <c r="I58" s="19">
        <f>+923454233810</f>
        <v>923454233810</v>
      </c>
      <c r="J58" s="21" t="s">
        <v>6</v>
      </c>
      <c r="K58" s="19" t="s">
        <v>22</v>
      </c>
      <c r="L58" s="24"/>
    </row>
    <row r="59" ht="15.75" customHeight="1">
      <c r="A59" s="17">
        <v>43984.0</v>
      </c>
      <c r="B59" s="18" t="s">
        <v>8</v>
      </c>
      <c r="C59" s="1" t="s">
        <v>2</v>
      </c>
      <c r="D59" s="19" t="s">
        <v>179</v>
      </c>
      <c r="E59" s="19" t="s">
        <v>180</v>
      </c>
      <c r="F59" s="20" t="s">
        <v>4</v>
      </c>
      <c r="G59" s="14" t="s">
        <v>181</v>
      </c>
      <c r="H59" s="21" t="s">
        <v>5</v>
      </c>
      <c r="I59" s="19">
        <f>+923008555058</f>
        <v>923008555058</v>
      </c>
      <c r="J59" s="21" t="s">
        <v>6</v>
      </c>
      <c r="K59" s="19" t="s">
        <v>22</v>
      </c>
      <c r="L59" s="24"/>
    </row>
    <row r="60" ht="15.75" customHeight="1">
      <c r="A60" s="17">
        <v>43984.0</v>
      </c>
      <c r="B60" s="18" t="s">
        <v>8</v>
      </c>
      <c r="C60" s="1" t="s">
        <v>2</v>
      </c>
      <c r="D60" s="19" t="s">
        <v>182</v>
      </c>
      <c r="E60" s="19" t="s">
        <v>183</v>
      </c>
      <c r="F60" s="20" t="s">
        <v>4</v>
      </c>
      <c r="G60" s="14" t="s">
        <v>184</v>
      </c>
      <c r="H60" s="21" t="s">
        <v>5</v>
      </c>
      <c r="I60" s="19">
        <f>+923463643995</f>
        <v>923463643995</v>
      </c>
      <c r="J60" s="21" t="s">
        <v>6</v>
      </c>
      <c r="K60" s="19" t="s">
        <v>22</v>
      </c>
      <c r="L60" s="24"/>
    </row>
    <row r="61" ht="15.75" customHeight="1">
      <c r="A61" s="17">
        <v>43983.0</v>
      </c>
      <c r="B61" s="18" t="s">
        <v>8</v>
      </c>
      <c r="C61" s="1" t="s">
        <v>2</v>
      </c>
      <c r="D61" s="19" t="s">
        <v>185</v>
      </c>
      <c r="E61" s="19" t="s">
        <v>186</v>
      </c>
      <c r="F61" s="20" t="s">
        <v>4</v>
      </c>
      <c r="G61" s="14" t="s">
        <v>187</v>
      </c>
      <c r="H61" s="21" t="s">
        <v>5</v>
      </c>
      <c r="I61" s="19">
        <f>+923004764401</f>
        <v>923004764401</v>
      </c>
      <c r="J61" s="21" t="s">
        <v>6</v>
      </c>
      <c r="K61" s="19" t="s">
        <v>12</v>
      </c>
      <c r="L61" s="24"/>
    </row>
    <row r="62" ht="15.75" customHeight="1">
      <c r="A62" s="17">
        <v>43983.0</v>
      </c>
      <c r="B62" s="18" t="s">
        <v>8</v>
      </c>
      <c r="C62" s="1" t="s">
        <v>2</v>
      </c>
      <c r="D62" s="19" t="s">
        <v>188</v>
      </c>
      <c r="E62" s="19" t="s">
        <v>189</v>
      </c>
      <c r="F62" s="20" t="s">
        <v>4</v>
      </c>
      <c r="G62" s="14" t="s">
        <v>190</v>
      </c>
      <c r="H62" s="21" t="s">
        <v>5</v>
      </c>
      <c r="I62" s="19">
        <f>+971503130122</f>
        <v>971503130122</v>
      </c>
      <c r="J62" s="21" t="s">
        <v>6</v>
      </c>
      <c r="K62" s="19" t="s">
        <v>17</v>
      </c>
      <c r="L62" s="24"/>
    </row>
    <row r="63" ht="15.75" customHeight="1">
      <c r="A63" s="17">
        <v>43982.0</v>
      </c>
      <c r="B63" s="18" t="s">
        <v>8</v>
      </c>
      <c r="C63" s="1" t="s">
        <v>2</v>
      </c>
      <c r="D63" s="19" t="s">
        <v>191</v>
      </c>
      <c r="E63" s="19" t="s">
        <v>192</v>
      </c>
      <c r="F63" s="20" t="s">
        <v>4</v>
      </c>
      <c r="G63" s="14" t="s">
        <v>193</v>
      </c>
      <c r="H63" s="21" t="s">
        <v>5</v>
      </c>
      <c r="I63" s="19">
        <f>+923212264438</f>
        <v>923212264438</v>
      </c>
      <c r="J63" s="21" t="s">
        <v>6</v>
      </c>
      <c r="K63" s="19" t="s">
        <v>17</v>
      </c>
      <c r="L63" s="24"/>
    </row>
    <row r="64" ht="15.75" customHeight="1">
      <c r="A64" s="17">
        <v>43982.0</v>
      </c>
      <c r="B64" s="18" t="s">
        <v>8</v>
      </c>
      <c r="C64" s="1" t="s">
        <v>2</v>
      </c>
      <c r="D64" s="19" t="s">
        <v>194</v>
      </c>
      <c r="E64" s="19" t="s">
        <v>195</v>
      </c>
      <c r="F64" s="20" t="s">
        <v>4</v>
      </c>
      <c r="G64" s="14" t="s">
        <v>196</v>
      </c>
      <c r="H64" s="21" t="s">
        <v>5</v>
      </c>
      <c r="I64" s="19">
        <f>+923214448712</f>
        <v>923214448712</v>
      </c>
      <c r="J64" s="21" t="s">
        <v>6</v>
      </c>
      <c r="K64" s="19" t="s">
        <v>22</v>
      </c>
      <c r="L64" s="24"/>
    </row>
    <row r="65" ht="15.75" customHeight="1">
      <c r="A65" s="17">
        <v>43982.0</v>
      </c>
      <c r="B65" s="18" t="s">
        <v>8</v>
      </c>
      <c r="C65" s="1" t="s">
        <v>2</v>
      </c>
      <c r="D65" s="19" t="s">
        <v>59</v>
      </c>
      <c r="E65" s="19" t="s">
        <v>197</v>
      </c>
      <c r="F65" s="20" t="s">
        <v>4</v>
      </c>
      <c r="G65" s="14" t="s">
        <v>198</v>
      </c>
      <c r="H65" s="21" t="s">
        <v>5</v>
      </c>
      <c r="I65" s="19">
        <f>+923149022818</f>
        <v>923149022818</v>
      </c>
      <c r="J65" s="21" t="s">
        <v>6</v>
      </c>
      <c r="K65" s="19" t="s">
        <v>22</v>
      </c>
      <c r="L65" s="24"/>
    </row>
    <row r="66" ht="15.75" customHeight="1">
      <c r="A66" s="17">
        <v>43982.0</v>
      </c>
      <c r="B66" s="18" t="s">
        <v>8</v>
      </c>
      <c r="C66" s="1" t="s">
        <v>2</v>
      </c>
      <c r="D66" s="19" t="s">
        <v>199</v>
      </c>
      <c r="E66" s="19" t="s">
        <v>200</v>
      </c>
      <c r="F66" s="20" t="s">
        <v>4</v>
      </c>
      <c r="G66" s="14" t="s">
        <v>201</v>
      </c>
      <c r="H66" s="21" t="s">
        <v>5</v>
      </c>
      <c r="I66" s="19">
        <f>+9203224949208</f>
        <v>9203224949208</v>
      </c>
      <c r="J66" s="21" t="s">
        <v>6</v>
      </c>
      <c r="K66" s="19" t="s">
        <v>12</v>
      </c>
      <c r="L66" s="24"/>
    </row>
    <row r="67" ht="15.75" customHeight="1">
      <c r="A67" s="17">
        <v>43981.0</v>
      </c>
      <c r="B67" s="18" t="s">
        <v>8</v>
      </c>
      <c r="C67" s="1" t="s">
        <v>2</v>
      </c>
      <c r="D67" s="19" t="s">
        <v>54</v>
      </c>
      <c r="E67" s="19" t="s">
        <v>110</v>
      </c>
      <c r="F67" s="20" t="s">
        <v>4</v>
      </c>
      <c r="G67" s="14" t="s">
        <v>202</v>
      </c>
      <c r="H67" s="21" t="s">
        <v>5</v>
      </c>
      <c r="I67" s="19">
        <f>+923334234098</f>
        <v>923334234098</v>
      </c>
      <c r="J67" s="21" t="s">
        <v>6</v>
      </c>
      <c r="K67" s="19" t="s">
        <v>12</v>
      </c>
      <c r="L67" s="24"/>
    </row>
    <row r="68" ht="15.75" customHeight="1">
      <c r="A68" s="17">
        <v>43981.0</v>
      </c>
      <c r="B68" s="18" t="s">
        <v>8</v>
      </c>
      <c r="C68" s="1" t="s">
        <v>2</v>
      </c>
      <c r="D68" s="19" t="s">
        <v>203</v>
      </c>
      <c r="E68" s="19" t="s">
        <v>30</v>
      </c>
      <c r="F68" s="20" t="s">
        <v>4</v>
      </c>
      <c r="G68" s="14" t="s">
        <v>204</v>
      </c>
      <c r="H68" s="21" t="s">
        <v>5</v>
      </c>
      <c r="I68" s="19">
        <f>+966531325714</f>
        <v>966531325714</v>
      </c>
      <c r="J68" s="21" t="s">
        <v>6</v>
      </c>
      <c r="K68" s="19" t="s">
        <v>22</v>
      </c>
      <c r="L68" s="24"/>
    </row>
    <row r="69" ht="15.75" customHeight="1">
      <c r="A69" s="17">
        <v>43980.0</v>
      </c>
      <c r="B69" s="18" t="s">
        <v>8</v>
      </c>
      <c r="C69" s="1" t="s">
        <v>2</v>
      </c>
      <c r="D69" s="19" t="s">
        <v>205</v>
      </c>
      <c r="E69" s="19" t="s">
        <v>206</v>
      </c>
      <c r="F69" s="20" t="s">
        <v>4</v>
      </c>
      <c r="G69" s="14" t="s">
        <v>207</v>
      </c>
      <c r="H69" s="21" t="s">
        <v>5</v>
      </c>
      <c r="I69" s="19">
        <f>+923009251389</f>
        <v>923009251389</v>
      </c>
      <c r="J69" s="21" t="s">
        <v>6</v>
      </c>
      <c r="K69" s="19" t="s">
        <v>17</v>
      </c>
      <c r="L69" s="24"/>
    </row>
    <row r="70" ht="15.75" customHeight="1">
      <c r="A70" s="17">
        <v>43980.0</v>
      </c>
      <c r="B70" s="18" t="s">
        <v>8</v>
      </c>
      <c r="C70" s="1" t="s">
        <v>2</v>
      </c>
      <c r="D70" s="19" t="s">
        <v>208</v>
      </c>
      <c r="E70" s="19" t="s">
        <v>209</v>
      </c>
      <c r="F70" s="20" t="s">
        <v>4</v>
      </c>
      <c r="G70" s="14" t="s">
        <v>210</v>
      </c>
      <c r="H70" s="21" t="s">
        <v>5</v>
      </c>
      <c r="I70" s="19">
        <f>+923219247707</f>
        <v>923219247707</v>
      </c>
      <c r="J70" s="21" t="s">
        <v>6</v>
      </c>
      <c r="K70" s="19" t="s">
        <v>17</v>
      </c>
      <c r="L70" s="24"/>
    </row>
    <row r="71" ht="15.75" customHeight="1">
      <c r="A71" s="17">
        <v>43980.0</v>
      </c>
      <c r="B71" s="18" t="s">
        <v>8</v>
      </c>
      <c r="C71" s="1" t="s">
        <v>2</v>
      </c>
      <c r="D71" s="19" t="s">
        <v>211</v>
      </c>
      <c r="E71" s="19" t="s">
        <v>212</v>
      </c>
      <c r="F71" s="20" t="s">
        <v>4</v>
      </c>
      <c r="G71" s="14" t="s">
        <v>213</v>
      </c>
      <c r="H71" s="21" t="s">
        <v>5</v>
      </c>
      <c r="I71" s="19">
        <f>+923214342363</f>
        <v>923214342363</v>
      </c>
      <c r="J71" s="21" t="s">
        <v>6</v>
      </c>
      <c r="K71" s="19" t="s">
        <v>22</v>
      </c>
      <c r="L71" s="24"/>
    </row>
    <row r="72" ht="15.75" customHeight="1">
      <c r="A72" s="17">
        <v>43979.0</v>
      </c>
      <c r="B72" s="18" t="s">
        <v>8</v>
      </c>
      <c r="C72" s="1" t="s">
        <v>2</v>
      </c>
      <c r="D72" s="19" t="s">
        <v>214</v>
      </c>
      <c r="E72" s="19" t="s">
        <v>215</v>
      </c>
      <c r="F72" s="20" t="s">
        <v>4</v>
      </c>
      <c r="G72" s="14" t="s">
        <v>216</v>
      </c>
      <c r="H72" s="21" t="s">
        <v>5</v>
      </c>
      <c r="I72" s="19">
        <f>+923313609574</f>
        <v>923313609574</v>
      </c>
      <c r="J72" s="21" t="s">
        <v>6</v>
      </c>
      <c r="K72" s="19" t="s">
        <v>12</v>
      </c>
      <c r="L72" s="24"/>
    </row>
    <row r="73" ht="15.75" customHeight="1">
      <c r="A73" s="17">
        <v>43979.0</v>
      </c>
      <c r="B73" s="18" t="s">
        <v>8</v>
      </c>
      <c r="C73" s="1" t="s">
        <v>2</v>
      </c>
      <c r="D73" s="19" t="s">
        <v>217</v>
      </c>
      <c r="E73" s="19" t="s">
        <v>218</v>
      </c>
      <c r="F73" s="20" t="s">
        <v>4</v>
      </c>
      <c r="G73" s="14" t="s">
        <v>219</v>
      </c>
      <c r="H73" s="21" t="s">
        <v>5</v>
      </c>
      <c r="I73" s="19">
        <f>+966507950132</f>
        <v>966507950132</v>
      </c>
      <c r="J73" s="21" t="s">
        <v>6</v>
      </c>
      <c r="K73" s="19" t="s">
        <v>22</v>
      </c>
      <c r="L73" s="24"/>
    </row>
    <row r="74" ht="15.75" customHeight="1">
      <c r="A74" s="17">
        <v>43979.0</v>
      </c>
      <c r="B74" s="18" t="s">
        <v>8</v>
      </c>
      <c r="C74" s="1" t="s">
        <v>2</v>
      </c>
      <c r="D74" s="19" t="s">
        <v>220</v>
      </c>
      <c r="E74" s="19" t="s">
        <v>221</v>
      </c>
      <c r="F74" s="20" t="s">
        <v>4</v>
      </c>
      <c r="G74" s="14" t="s">
        <v>222</v>
      </c>
      <c r="H74" s="21" t="s">
        <v>5</v>
      </c>
      <c r="I74" s="19">
        <f>+971564645085</f>
        <v>971564645085</v>
      </c>
      <c r="J74" s="21" t="s">
        <v>6</v>
      </c>
      <c r="K74" s="19" t="s">
        <v>12</v>
      </c>
      <c r="L74" s="24"/>
    </row>
    <row r="75" ht="15.75" customHeight="1">
      <c r="A75" s="17">
        <v>43978.0</v>
      </c>
      <c r="B75" s="18" t="s">
        <v>8</v>
      </c>
      <c r="C75" s="1" t="s">
        <v>2</v>
      </c>
      <c r="D75" s="19" t="s">
        <v>14</v>
      </c>
      <c r="E75" s="19" t="s">
        <v>223</v>
      </c>
      <c r="F75" s="20" t="s">
        <v>4</v>
      </c>
      <c r="G75" s="14" t="s">
        <v>224</v>
      </c>
      <c r="H75" s="21" t="s">
        <v>5</v>
      </c>
      <c r="I75" s="19">
        <f>+923219281370</f>
        <v>923219281370</v>
      </c>
      <c r="J75" s="21" t="s">
        <v>6</v>
      </c>
      <c r="K75" s="19" t="s">
        <v>17</v>
      </c>
      <c r="L75" s="24"/>
    </row>
    <row r="76" ht="15.75" customHeight="1">
      <c r="A76" s="17">
        <v>43978.0</v>
      </c>
      <c r="B76" s="18" t="s">
        <v>8</v>
      </c>
      <c r="C76" s="1" t="s">
        <v>2</v>
      </c>
      <c r="D76" s="19" t="s">
        <v>225</v>
      </c>
      <c r="E76" s="19" t="s">
        <v>226</v>
      </c>
      <c r="F76" s="20" t="s">
        <v>4</v>
      </c>
      <c r="G76" s="14" t="s">
        <v>227</v>
      </c>
      <c r="H76" s="21" t="s">
        <v>5</v>
      </c>
      <c r="I76" s="19">
        <f>+971507591412</f>
        <v>971507591412</v>
      </c>
      <c r="J76" s="21" t="s">
        <v>6</v>
      </c>
      <c r="K76" s="19" t="s">
        <v>22</v>
      </c>
      <c r="L76" s="24"/>
    </row>
    <row r="77" ht="15.75" customHeight="1">
      <c r="A77" s="17">
        <v>43978.0</v>
      </c>
      <c r="B77" s="18" t="s">
        <v>8</v>
      </c>
      <c r="C77" s="1" t="s">
        <v>2</v>
      </c>
      <c r="D77" s="19" t="s">
        <v>228</v>
      </c>
      <c r="E77" s="19" t="s">
        <v>229</v>
      </c>
      <c r="F77" s="20" t="s">
        <v>4</v>
      </c>
      <c r="G77" s="14" t="s">
        <v>230</v>
      </c>
      <c r="H77" s="21" t="s">
        <v>5</v>
      </c>
      <c r="I77" s="19">
        <f>+971529595195</f>
        <v>971529595195</v>
      </c>
      <c r="J77" s="21" t="s">
        <v>6</v>
      </c>
      <c r="K77" s="19" t="s">
        <v>22</v>
      </c>
      <c r="L77" s="24"/>
    </row>
    <row r="78" ht="15.75" customHeight="1">
      <c r="A78" s="17">
        <v>43978.0</v>
      </c>
      <c r="B78" s="18" t="s">
        <v>8</v>
      </c>
      <c r="C78" s="1" t="s">
        <v>2</v>
      </c>
      <c r="D78" s="19" t="s">
        <v>231</v>
      </c>
      <c r="E78" s="19" t="s">
        <v>232</v>
      </c>
      <c r="F78" s="20" t="s">
        <v>4</v>
      </c>
      <c r="G78" s="14" t="s">
        <v>233</v>
      </c>
      <c r="H78" s="21" t="s">
        <v>5</v>
      </c>
      <c r="I78" s="19">
        <f>+9203454033328</f>
        <v>9203454033328</v>
      </c>
      <c r="J78" s="21" t="s">
        <v>6</v>
      </c>
      <c r="K78" s="19" t="s">
        <v>22</v>
      </c>
      <c r="L78" s="24"/>
    </row>
    <row r="79" ht="15.75" customHeight="1">
      <c r="A79" s="17">
        <v>43977.0</v>
      </c>
      <c r="B79" s="18" t="s">
        <v>8</v>
      </c>
      <c r="C79" s="1" t="s">
        <v>2</v>
      </c>
      <c r="D79" s="19" t="s">
        <v>234</v>
      </c>
      <c r="E79" s="19" t="s">
        <v>235</v>
      </c>
      <c r="F79" s="20" t="s">
        <v>4</v>
      </c>
      <c r="G79" s="14" t="s">
        <v>236</v>
      </c>
      <c r="H79" s="21" t="s">
        <v>5</v>
      </c>
      <c r="I79" s="19">
        <f>+923213313344</f>
        <v>923213313344</v>
      </c>
      <c r="J79" s="21" t="s">
        <v>6</v>
      </c>
      <c r="K79" s="19" t="s">
        <v>17</v>
      </c>
      <c r="L79" s="24"/>
    </row>
    <row r="80" ht="15.75" customHeight="1">
      <c r="A80" s="17">
        <v>43977.0</v>
      </c>
      <c r="B80" s="18" t="s">
        <v>8</v>
      </c>
      <c r="C80" s="1" t="s">
        <v>2</v>
      </c>
      <c r="D80" s="19" t="s">
        <v>237</v>
      </c>
      <c r="E80" s="19" t="s">
        <v>238</v>
      </c>
      <c r="F80" s="20" t="s">
        <v>4</v>
      </c>
      <c r="G80" s="14" t="s">
        <v>239</v>
      </c>
      <c r="H80" s="21" t="s">
        <v>5</v>
      </c>
      <c r="I80" s="19">
        <f>+971552575767</f>
        <v>971552575767</v>
      </c>
      <c r="J80" s="21" t="s">
        <v>6</v>
      </c>
      <c r="K80" s="19" t="s">
        <v>17</v>
      </c>
      <c r="L80" s="24"/>
    </row>
    <row r="81" ht="15.75" customHeight="1">
      <c r="A81" s="17">
        <v>43977.0</v>
      </c>
      <c r="B81" s="18" t="s">
        <v>8</v>
      </c>
      <c r="C81" s="1" t="s">
        <v>2</v>
      </c>
      <c r="D81" s="19" t="s">
        <v>240</v>
      </c>
      <c r="E81" s="19" t="s">
        <v>70</v>
      </c>
      <c r="F81" s="20" t="s">
        <v>4</v>
      </c>
      <c r="G81" s="14" t="s">
        <v>241</v>
      </c>
      <c r="H81" s="21" t="s">
        <v>5</v>
      </c>
      <c r="I81" s="19">
        <f>+923055550344</f>
        <v>923055550344</v>
      </c>
      <c r="J81" s="21" t="s">
        <v>6</v>
      </c>
      <c r="K81" s="19" t="s">
        <v>22</v>
      </c>
      <c r="L81" s="24"/>
    </row>
    <row r="82" ht="15.75" customHeight="1">
      <c r="A82" s="17">
        <v>43977.0</v>
      </c>
      <c r="B82" s="18" t="s">
        <v>8</v>
      </c>
      <c r="C82" s="1" t="s">
        <v>2</v>
      </c>
      <c r="D82" s="19" t="s">
        <v>242</v>
      </c>
      <c r="E82" s="19" t="s">
        <v>243</v>
      </c>
      <c r="F82" s="20" t="s">
        <v>4</v>
      </c>
      <c r="G82" s="14" t="s">
        <v>244</v>
      </c>
      <c r="H82" s="21" t="s">
        <v>5</v>
      </c>
      <c r="I82" s="19">
        <f>+923343329497</f>
        <v>923343329497</v>
      </c>
      <c r="J82" s="21" t="s">
        <v>6</v>
      </c>
      <c r="K82" s="19" t="s">
        <v>17</v>
      </c>
      <c r="L82" s="24"/>
    </row>
    <row r="83" ht="15.75" customHeight="1">
      <c r="A83" s="17">
        <v>43977.0</v>
      </c>
      <c r="B83" s="18" t="s">
        <v>8</v>
      </c>
      <c r="C83" s="1" t="s">
        <v>2</v>
      </c>
      <c r="D83" s="19" t="s">
        <v>199</v>
      </c>
      <c r="E83" s="19" t="s">
        <v>245</v>
      </c>
      <c r="F83" s="20" t="s">
        <v>4</v>
      </c>
      <c r="G83" s="14" t="s">
        <v>246</v>
      </c>
      <c r="H83" s="21" t="s">
        <v>5</v>
      </c>
      <c r="I83" s="19">
        <f>+9710552737837</f>
        <v>9710552737837</v>
      </c>
      <c r="J83" s="21" t="s">
        <v>6</v>
      </c>
      <c r="K83" s="19" t="s">
        <v>22</v>
      </c>
      <c r="L83" s="24"/>
    </row>
    <row r="84" ht="15.75" customHeight="1">
      <c r="A84" s="17">
        <v>43976.0</v>
      </c>
      <c r="B84" s="18" t="s">
        <v>8</v>
      </c>
      <c r="C84" s="1" t="s">
        <v>2</v>
      </c>
      <c r="D84" s="19" t="s">
        <v>247</v>
      </c>
      <c r="E84" s="19" t="s">
        <v>248</v>
      </c>
      <c r="F84" s="20" t="s">
        <v>4</v>
      </c>
      <c r="G84" s="14" t="s">
        <v>249</v>
      </c>
      <c r="H84" s="21" t="s">
        <v>5</v>
      </c>
      <c r="I84" s="19">
        <f>+971503404320</f>
        <v>971503404320</v>
      </c>
      <c r="J84" s="21" t="s">
        <v>6</v>
      </c>
      <c r="K84" s="19" t="s">
        <v>12</v>
      </c>
      <c r="L84" s="24"/>
    </row>
    <row r="85" ht="15.75" customHeight="1">
      <c r="A85" s="17">
        <v>43976.0</v>
      </c>
      <c r="B85" s="18" t="s">
        <v>8</v>
      </c>
      <c r="C85" s="1" t="s">
        <v>2</v>
      </c>
      <c r="D85" s="19" t="s">
        <v>250</v>
      </c>
      <c r="E85" s="19" t="s">
        <v>251</v>
      </c>
      <c r="F85" s="20" t="s">
        <v>4</v>
      </c>
      <c r="G85" s="14" t="s">
        <v>252</v>
      </c>
      <c r="H85" s="21" t="s">
        <v>5</v>
      </c>
      <c r="I85" s="19">
        <f>+923028555001</f>
        <v>923028555001</v>
      </c>
      <c r="J85" s="21" t="s">
        <v>6</v>
      </c>
      <c r="K85" s="19" t="s">
        <v>22</v>
      </c>
      <c r="L85" s="24"/>
    </row>
    <row r="86" ht="15.75" customHeight="1">
      <c r="A86" s="17">
        <v>43974.0</v>
      </c>
      <c r="B86" s="18" t="s">
        <v>8</v>
      </c>
      <c r="C86" s="1" t="s">
        <v>2</v>
      </c>
      <c r="D86" s="19" t="s">
        <v>253</v>
      </c>
      <c r="E86" s="19" t="s">
        <v>254</v>
      </c>
      <c r="F86" s="20" t="s">
        <v>4</v>
      </c>
      <c r="G86" s="14" t="s">
        <v>255</v>
      </c>
      <c r="H86" s="21" t="s">
        <v>5</v>
      </c>
      <c r="I86" s="19">
        <f>+966138441133</f>
        <v>966138441133</v>
      </c>
      <c r="J86" s="21" t="s">
        <v>6</v>
      </c>
      <c r="K86" s="19" t="s">
        <v>22</v>
      </c>
      <c r="L86" s="24"/>
    </row>
    <row r="87" ht="15.75" customHeight="1">
      <c r="A87" s="17">
        <v>43973.0</v>
      </c>
      <c r="B87" s="18" t="s">
        <v>8</v>
      </c>
      <c r="C87" s="1" t="s">
        <v>2</v>
      </c>
      <c r="D87" s="19" t="s">
        <v>172</v>
      </c>
      <c r="E87" s="19" t="s">
        <v>256</v>
      </c>
      <c r="F87" s="20" t="s">
        <v>4</v>
      </c>
      <c r="G87" s="14" t="s">
        <v>257</v>
      </c>
      <c r="H87" s="21" t="s">
        <v>5</v>
      </c>
      <c r="I87" s="19">
        <f>+966540403433</f>
        <v>966540403433</v>
      </c>
      <c r="J87" s="21" t="s">
        <v>6</v>
      </c>
      <c r="K87" s="19" t="s">
        <v>12</v>
      </c>
      <c r="L87" s="24"/>
    </row>
    <row r="88" ht="15.75" customHeight="1">
      <c r="A88" s="17">
        <v>43973.0</v>
      </c>
      <c r="B88" s="18" t="s">
        <v>8</v>
      </c>
      <c r="C88" s="1" t="s">
        <v>2</v>
      </c>
      <c r="D88" s="19" t="s">
        <v>258</v>
      </c>
      <c r="E88" s="19" t="s">
        <v>259</v>
      </c>
      <c r="F88" s="20" t="s">
        <v>4</v>
      </c>
      <c r="G88" s="14" t="s">
        <v>260</v>
      </c>
      <c r="H88" s="21" t="s">
        <v>5</v>
      </c>
      <c r="I88" s="19">
        <f>+330617028522</f>
        <v>330617028522</v>
      </c>
      <c r="J88" s="21" t="s">
        <v>6</v>
      </c>
      <c r="K88" s="19" t="s">
        <v>17</v>
      </c>
      <c r="L88" s="24"/>
    </row>
    <row r="89" ht="15.75" customHeight="1">
      <c r="A89" s="17">
        <v>43972.0</v>
      </c>
      <c r="B89" s="18" t="s">
        <v>8</v>
      </c>
      <c r="C89" s="1" t="s">
        <v>2</v>
      </c>
      <c r="D89" s="19" t="s">
        <v>261</v>
      </c>
      <c r="E89" s="19" t="s">
        <v>262</v>
      </c>
      <c r="F89" s="20" t="s">
        <v>4</v>
      </c>
      <c r="G89" s="14" t="s">
        <v>263</v>
      </c>
      <c r="H89" s="21" t="s">
        <v>5</v>
      </c>
      <c r="I89" s="19">
        <f>+923222210000</f>
        <v>923222210000</v>
      </c>
      <c r="J89" s="21" t="s">
        <v>6</v>
      </c>
      <c r="K89" s="19" t="s">
        <v>12</v>
      </c>
      <c r="L89" s="24"/>
    </row>
    <row r="90" ht="15.75" customHeight="1">
      <c r="A90" s="17">
        <v>43972.0</v>
      </c>
      <c r="B90" s="18" t="s">
        <v>8</v>
      </c>
      <c r="C90" s="1" t="s">
        <v>2</v>
      </c>
      <c r="D90" s="19" t="s">
        <v>264</v>
      </c>
      <c r="E90" s="19" t="s">
        <v>265</v>
      </c>
      <c r="F90" s="20" t="s">
        <v>4</v>
      </c>
      <c r="G90" s="14" t="s">
        <v>266</v>
      </c>
      <c r="H90" s="21" t="s">
        <v>5</v>
      </c>
      <c r="I90" s="19">
        <f>+9203214488888</f>
        <v>9203214488888</v>
      </c>
      <c r="J90" s="21" t="s">
        <v>6</v>
      </c>
      <c r="K90" s="19" t="s">
        <v>22</v>
      </c>
      <c r="L90" s="24"/>
    </row>
    <row r="91" ht="15.75" customHeight="1">
      <c r="A91" s="17">
        <v>43972.0</v>
      </c>
      <c r="B91" s="18" t="s">
        <v>8</v>
      </c>
      <c r="C91" s="1" t="s">
        <v>2</v>
      </c>
      <c r="D91" s="19" t="s">
        <v>250</v>
      </c>
      <c r="E91" s="19" t="s">
        <v>267</v>
      </c>
      <c r="F91" s="20" t="s">
        <v>4</v>
      </c>
      <c r="G91" s="14" t="s">
        <v>268</v>
      </c>
      <c r="H91" s="21" t="s">
        <v>5</v>
      </c>
      <c r="I91" s="19">
        <f>+971566308552</f>
        <v>971566308552</v>
      </c>
      <c r="J91" s="21" t="s">
        <v>6</v>
      </c>
      <c r="K91" s="19" t="s">
        <v>22</v>
      </c>
      <c r="L91" s="24"/>
    </row>
    <row r="92" ht="15.75" customHeight="1">
      <c r="A92" s="17">
        <v>43972.0</v>
      </c>
      <c r="B92" s="18" t="s">
        <v>8</v>
      </c>
      <c r="C92" s="1" t="s">
        <v>2</v>
      </c>
      <c r="D92" s="19" t="s">
        <v>83</v>
      </c>
      <c r="E92" s="19" t="s">
        <v>269</v>
      </c>
      <c r="F92" s="20" t="s">
        <v>4</v>
      </c>
      <c r="G92" s="14" t="s">
        <v>270</v>
      </c>
      <c r="H92" s="21" t="s">
        <v>5</v>
      </c>
      <c r="I92" s="19">
        <f>+923218208578</f>
        <v>923218208578</v>
      </c>
      <c r="J92" s="21" t="s">
        <v>6</v>
      </c>
      <c r="K92" s="19" t="s">
        <v>22</v>
      </c>
      <c r="L92" s="24"/>
    </row>
    <row r="93" ht="15.75" customHeight="1">
      <c r="A93" s="17">
        <v>43972.0</v>
      </c>
      <c r="B93" s="18" t="s">
        <v>8</v>
      </c>
      <c r="C93" s="1" t="s">
        <v>2</v>
      </c>
      <c r="D93" s="19" t="s">
        <v>271</v>
      </c>
      <c r="E93" s="19" t="s">
        <v>272</v>
      </c>
      <c r="F93" s="20" t="s">
        <v>4</v>
      </c>
      <c r="G93" s="14" t="s">
        <v>273</v>
      </c>
      <c r="H93" s="21" t="s">
        <v>5</v>
      </c>
      <c r="I93" s="19">
        <f>+923008233991</f>
        <v>923008233991</v>
      </c>
      <c r="J93" s="21" t="s">
        <v>6</v>
      </c>
      <c r="K93" s="19" t="s">
        <v>22</v>
      </c>
      <c r="L93" s="24"/>
    </row>
    <row r="94" ht="15.75" customHeight="1">
      <c r="A94" s="17">
        <v>43972.0</v>
      </c>
      <c r="B94" s="18" t="s">
        <v>8</v>
      </c>
      <c r="C94" s="1" t="s">
        <v>2</v>
      </c>
      <c r="D94" s="19" t="s">
        <v>274</v>
      </c>
      <c r="E94" s="19" t="s">
        <v>275</v>
      </c>
      <c r="F94" s="20" t="s">
        <v>4</v>
      </c>
      <c r="G94" s="14" t="s">
        <v>276</v>
      </c>
      <c r="H94" s="21" t="s">
        <v>5</v>
      </c>
      <c r="I94" s="19">
        <f>+923002429158</f>
        <v>923002429158</v>
      </c>
      <c r="J94" s="21" t="s">
        <v>6</v>
      </c>
      <c r="K94" s="19" t="s">
        <v>12</v>
      </c>
      <c r="L94" s="24"/>
    </row>
    <row r="95" ht="15.75" customHeight="1">
      <c r="A95" s="17">
        <v>43972.0</v>
      </c>
      <c r="B95" s="18" t="s">
        <v>8</v>
      </c>
      <c r="C95" s="1" t="s">
        <v>2</v>
      </c>
      <c r="D95" s="19" t="s">
        <v>277</v>
      </c>
      <c r="E95" s="19" t="s">
        <v>278</v>
      </c>
      <c r="F95" s="20" t="s">
        <v>4</v>
      </c>
      <c r="G95" s="14" t="s">
        <v>279</v>
      </c>
      <c r="H95" s="21" t="s">
        <v>5</v>
      </c>
      <c r="I95" s="19">
        <f>+971558586344</f>
        <v>971558586344</v>
      </c>
      <c r="J95" s="21" t="s">
        <v>6</v>
      </c>
      <c r="K95" s="19" t="s">
        <v>12</v>
      </c>
      <c r="L95" s="24"/>
    </row>
    <row r="96" ht="15.75" customHeight="1">
      <c r="A96" s="25">
        <v>44025.0</v>
      </c>
      <c r="B96" s="18" t="s">
        <v>8</v>
      </c>
      <c r="C96" s="1" t="s">
        <v>2</v>
      </c>
      <c r="D96" s="26" t="s">
        <v>280</v>
      </c>
      <c r="E96" s="27"/>
      <c r="F96" s="20" t="s">
        <v>4</v>
      </c>
      <c r="G96" s="27" t="s">
        <v>281</v>
      </c>
      <c r="H96" s="21" t="s">
        <v>5</v>
      </c>
      <c r="I96" s="27">
        <f>+9710502901516</f>
        <v>9710502901516</v>
      </c>
      <c r="J96" s="21" t="s">
        <v>6</v>
      </c>
      <c r="K96" s="24"/>
      <c r="L96" s="24"/>
    </row>
    <row r="97" ht="15.75" customHeight="1">
      <c r="A97" s="25">
        <v>44025.0</v>
      </c>
      <c r="B97" s="18" t="s">
        <v>8</v>
      </c>
      <c r="C97" s="1" t="s">
        <v>2</v>
      </c>
      <c r="D97" s="26" t="s">
        <v>282</v>
      </c>
      <c r="E97" s="27"/>
      <c r="F97" s="20" t="s">
        <v>4</v>
      </c>
      <c r="G97" s="27" t="s">
        <v>283</v>
      </c>
      <c r="H97" s="21" t="s">
        <v>5</v>
      </c>
      <c r="I97" s="27">
        <f>+905333599244</f>
        <v>905333599244</v>
      </c>
      <c r="J97" s="21" t="s">
        <v>6</v>
      </c>
      <c r="K97" s="24"/>
      <c r="L97" s="24"/>
    </row>
    <row r="98" ht="15.75" customHeight="1">
      <c r="A98" s="25">
        <v>44025.0</v>
      </c>
      <c r="B98" s="18" t="s">
        <v>8</v>
      </c>
      <c r="C98" s="1" t="s">
        <v>2</v>
      </c>
      <c r="D98" s="26" t="s">
        <v>284</v>
      </c>
      <c r="E98" s="27"/>
      <c r="F98" s="20" t="s">
        <v>4</v>
      </c>
      <c r="G98" s="27" t="s">
        <v>285</v>
      </c>
      <c r="H98" s="21" t="s">
        <v>5</v>
      </c>
      <c r="I98" s="27">
        <f>+9203155365555</f>
        <v>9203155365555</v>
      </c>
      <c r="J98" s="21" t="s">
        <v>6</v>
      </c>
      <c r="K98" s="24"/>
      <c r="L98" s="24"/>
    </row>
    <row r="99" ht="15.75" customHeight="1">
      <c r="A99" s="25">
        <v>44024.0</v>
      </c>
      <c r="B99" s="18" t="s">
        <v>8</v>
      </c>
      <c r="C99" s="1" t="s">
        <v>2</v>
      </c>
      <c r="D99" s="26" t="s">
        <v>286</v>
      </c>
      <c r="E99" s="27"/>
      <c r="F99" s="20" t="s">
        <v>4</v>
      </c>
      <c r="G99" s="27" t="s">
        <v>287</v>
      </c>
      <c r="H99" s="21" t="s">
        <v>5</v>
      </c>
      <c r="I99" s="27">
        <f>+966565165937</f>
        <v>966565165937</v>
      </c>
      <c r="J99" s="21" t="s">
        <v>6</v>
      </c>
      <c r="K99" s="24"/>
      <c r="L99" s="24"/>
    </row>
    <row r="100" ht="15.75" customHeight="1">
      <c r="A100" s="25">
        <v>44024.0</v>
      </c>
      <c r="B100" s="18" t="s">
        <v>8</v>
      </c>
      <c r="C100" s="1" t="s">
        <v>2</v>
      </c>
      <c r="D100" s="26" t="s">
        <v>288</v>
      </c>
      <c r="E100" s="27"/>
      <c r="F100" s="20" t="s">
        <v>4</v>
      </c>
      <c r="G100" s="27" t="s">
        <v>289</v>
      </c>
      <c r="H100" s="21" t="s">
        <v>5</v>
      </c>
      <c r="I100" s="27">
        <f>+9203368275285</f>
        <v>9203368275285</v>
      </c>
      <c r="J100" s="21" t="s">
        <v>6</v>
      </c>
      <c r="K100" s="24"/>
      <c r="L100" s="24"/>
    </row>
    <row r="101" ht="15.75" customHeight="1">
      <c r="A101" s="25">
        <v>44024.0</v>
      </c>
      <c r="B101" s="18" t="s">
        <v>8</v>
      </c>
      <c r="C101" s="1" t="s">
        <v>2</v>
      </c>
      <c r="D101" s="26" t="s">
        <v>290</v>
      </c>
      <c r="E101" s="27"/>
      <c r="F101" s="20" t="s">
        <v>4</v>
      </c>
      <c r="G101" s="27" t="s">
        <v>291</v>
      </c>
      <c r="H101" s="21" t="s">
        <v>5</v>
      </c>
      <c r="I101" s="27">
        <f>+966543876060</f>
        <v>966543876060</v>
      </c>
      <c r="J101" s="21" t="s">
        <v>6</v>
      </c>
      <c r="K101" s="24"/>
      <c r="L101" s="24"/>
    </row>
    <row r="102" ht="15.75" customHeight="1">
      <c r="A102" s="25">
        <v>44021.0</v>
      </c>
      <c r="B102" s="18" t="s">
        <v>8</v>
      </c>
      <c r="C102" s="1" t="s">
        <v>2</v>
      </c>
      <c r="D102" s="26" t="s">
        <v>292</v>
      </c>
      <c r="E102" s="27"/>
      <c r="F102" s="20" t="s">
        <v>4</v>
      </c>
      <c r="G102" s="27" t="s">
        <v>293</v>
      </c>
      <c r="H102" s="21" t="s">
        <v>5</v>
      </c>
      <c r="I102" s="27">
        <f>+923215999007</f>
        <v>923215999007</v>
      </c>
      <c r="J102" s="21" t="s">
        <v>6</v>
      </c>
      <c r="K102" s="24"/>
      <c r="L102" s="24"/>
    </row>
    <row r="103" ht="15.75" customHeight="1">
      <c r="A103" s="25">
        <v>44021.0</v>
      </c>
      <c r="B103" s="18" t="s">
        <v>8</v>
      </c>
      <c r="C103" s="1" t="s">
        <v>2</v>
      </c>
      <c r="D103" s="26" t="s">
        <v>294</v>
      </c>
      <c r="E103" s="27"/>
      <c r="F103" s="20" t="s">
        <v>4</v>
      </c>
      <c r="G103" s="27" t="s">
        <v>295</v>
      </c>
      <c r="H103" s="21" t="s">
        <v>5</v>
      </c>
      <c r="I103" s="27">
        <f>+923213737789</f>
        <v>923213737789</v>
      </c>
      <c r="J103" s="21" t="s">
        <v>6</v>
      </c>
      <c r="K103" s="24"/>
      <c r="L103" s="24"/>
    </row>
    <row r="104" ht="15.75" customHeight="1">
      <c r="A104" s="25">
        <v>44021.0</v>
      </c>
      <c r="B104" s="18" t="s">
        <v>8</v>
      </c>
      <c r="C104" s="1" t="s">
        <v>2</v>
      </c>
      <c r="D104" s="26" t="s">
        <v>296</v>
      </c>
      <c r="E104" s="27"/>
      <c r="F104" s="20" t="s">
        <v>4</v>
      </c>
      <c r="G104" s="27" t="s">
        <v>297</v>
      </c>
      <c r="H104" s="21" t="s">
        <v>5</v>
      </c>
      <c r="I104" s="27">
        <f>+971561187331</f>
        <v>971561187331</v>
      </c>
      <c r="J104" s="21" t="s">
        <v>6</v>
      </c>
      <c r="K104" s="24"/>
      <c r="L104" s="24"/>
    </row>
    <row r="105" ht="15.75" customHeight="1">
      <c r="A105" s="25">
        <v>44021.0</v>
      </c>
      <c r="B105" s="18" t="s">
        <v>8</v>
      </c>
      <c r="C105" s="1" t="s">
        <v>2</v>
      </c>
      <c r="D105" s="26" t="s">
        <v>298</v>
      </c>
      <c r="E105" s="27"/>
      <c r="F105" s="20" t="s">
        <v>4</v>
      </c>
      <c r="G105" s="27" t="s">
        <v>299</v>
      </c>
      <c r="H105" s="21" t="s">
        <v>5</v>
      </c>
      <c r="I105" s="27">
        <f>+971504568552</f>
        <v>971504568552</v>
      </c>
      <c r="J105" s="21" t="s">
        <v>6</v>
      </c>
      <c r="K105" s="24"/>
      <c r="L105" s="24"/>
    </row>
    <row r="106" ht="15.75" customHeight="1">
      <c r="A106" s="25">
        <v>44021.0</v>
      </c>
      <c r="B106" s="18" t="s">
        <v>8</v>
      </c>
      <c r="C106" s="1" t="s">
        <v>2</v>
      </c>
      <c r="D106" s="26" t="s">
        <v>300</v>
      </c>
      <c r="E106" s="27"/>
      <c r="F106" s="20" t="s">
        <v>4</v>
      </c>
      <c r="G106" s="27" t="s">
        <v>301</v>
      </c>
      <c r="H106" s="21" t="s">
        <v>5</v>
      </c>
      <c r="I106" s="27">
        <f>+923369883770</f>
        <v>923369883770</v>
      </c>
      <c r="J106" s="21" t="s">
        <v>6</v>
      </c>
      <c r="K106" s="24"/>
      <c r="L106" s="24"/>
    </row>
    <row r="107" ht="15.75" customHeight="1">
      <c r="A107" s="25">
        <v>44020.0</v>
      </c>
      <c r="B107" s="18" t="s">
        <v>8</v>
      </c>
      <c r="C107" s="1" t="s">
        <v>2</v>
      </c>
      <c r="D107" s="26" t="s">
        <v>302</v>
      </c>
      <c r="E107" s="27"/>
      <c r="F107" s="20" t="s">
        <v>4</v>
      </c>
      <c r="G107" s="27" t="s">
        <v>303</v>
      </c>
      <c r="H107" s="21" t="s">
        <v>5</v>
      </c>
      <c r="I107" s="27">
        <f>+9203328110100</f>
        <v>9203328110100</v>
      </c>
      <c r="J107" s="21" t="s">
        <v>6</v>
      </c>
      <c r="K107" s="24"/>
      <c r="L107" s="24"/>
    </row>
    <row r="108" ht="15.75" customHeight="1">
      <c r="A108" s="25">
        <v>44020.0</v>
      </c>
      <c r="B108" s="18" t="s">
        <v>8</v>
      </c>
      <c r="C108" s="1" t="s">
        <v>2</v>
      </c>
      <c r="D108" s="26" t="s">
        <v>304</v>
      </c>
      <c r="E108" s="27"/>
      <c r="F108" s="20" t="s">
        <v>4</v>
      </c>
      <c r="G108" s="27" t="s">
        <v>305</v>
      </c>
      <c r="H108" s="21" t="s">
        <v>5</v>
      </c>
      <c r="I108" s="27">
        <f>+971502733704</f>
        <v>971502733704</v>
      </c>
      <c r="J108" s="21" t="s">
        <v>6</v>
      </c>
      <c r="K108" s="24"/>
      <c r="L108" s="24"/>
    </row>
    <row r="109" ht="15.75" customHeight="1">
      <c r="A109" s="25">
        <v>44020.0</v>
      </c>
      <c r="B109" s="18" t="s">
        <v>8</v>
      </c>
      <c r="C109" s="1" t="s">
        <v>2</v>
      </c>
      <c r="D109" s="26" t="s">
        <v>306</v>
      </c>
      <c r="E109" s="27"/>
      <c r="F109" s="20" t="s">
        <v>4</v>
      </c>
      <c r="G109" s="27" t="s">
        <v>307</v>
      </c>
      <c r="H109" s="21" t="s">
        <v>5</v>
      </c>
      <c r="I109" s="27">
        <f>+971503630305</f>
        <v>971503630305</v>
      </c>
      <c r="J109" s="21" t="s">
        <v>6</v>
      </c>
      <c r="K109" s="24"/>
      <c r="L109" s="24"/>
    </row>
    <row r="110" ht="15.75" customHeight="1">
      <c r="A110" s="25">
        <v>44019.0</v>
      </c>
      <c r="B110" s="18" t="s">
        <v>8</v>
      </c>
      <c r="C110" s="1" t="s">
        <v>2</v>
      </c>
      <c r="D110" s="26" t="s">
        <v>308</v>
      </c>
      <c r="E110" s="27"/>
      <c r="F110" s="20" t="s">
        <v>4</v>
      </c>
      <c r="G110" s="27" t="s">
        <v>309</v>
      </c>
      <c r="H110" s="21" t="s">
        <v>5</v>
      </c>
      <c r="I110" s="27">
        <f>+966591408934</f>
        <v>966591408934</v>
      </c>
      <c r="J110" s="21" t="s">
        <v>6</v>
      </c>
      <c r="K110" s="24"/>
      <c r="L110" s="24"/>
    </row>
    <row r="111" ht="15.75" customHeight="1">
      <c r="A111" s="25">
        <v>44019.0</v>
      </c>
      <c r="B111" s="18" t="s">
        <v>8</v>
      </c>
      <c r="C111" s="1" t="s">
        <v>2</v>
      </c>
      <c r="D111" s="26" t="s">
        <v>310</v>
      </c>
      <c r="E111" s="27"/>
      <c r="F111" s="20" t="s">
        <v>4</v>
      </c>
      <c r="G111" s="27" t="s">
        <v>311</v>
      </c>
      <c r="H111" s="21" t="s">
        <v>5</v>
      </c>
      <c r="I111" s="27">
        <v>3.060111333E9</v>
      </c>
      <c r="J111" s="21" t="s">
        <v>6</v>
      </c>
      <c r="K111" s="24"/>
      <c r="L111" s="24"/>
    </row>
    <row r="112" ht="15.75" customHeight="1">
      <c r="A112" s="25">
        <v>44019.0</v>
      </c>
      <c r="B112" s="18" t="s">
        <v>8</v>
      </c>
      <c r="C112" s="1" t="s">
        <v>2</v>
      </c>
      <c r="D112" s="26" t="s">
        <v>312</v>
      </c>
      <c r="E112" s="27"/>
      <c r="F112" s="20" t="s">
        <v>4</v>
      </c>
      <c r="G112" s="27" t="s">
        <v>313</v>
      </c>
      <c r="H112" s="21" t="s">
        <v>5</v>
      </c>
      <c r="I112" s="27">
        <f>+923012794227</f>
        <v>923012794227</v>
      </c>
      <c r="J112" s="21" t="s">
        <v>6</v>
      </c>
      <c r="K112" s="24"/>
      <c r="L112" s="24"/>
    </row>
    <row r="113" ht="15.75" customHeight="1">
      <c r="A113" s="25">
        <v>44019.0</v>
      </c>
      <c r="B113" s="18" t="s">
        <v>8</v>
      </c>
      <c r="C113" s="1" t="s">
        <v>2</v>
      </c>
      <c r="D113" s="26" t="s">
        <v>314</v>
      </c>
      <c r="E113" s="27"/>
      <c r="F113" s="20" t="s">
        <v>4</v>
      </c>
      <c r="G113" s="27" t="s">
        <v>315</v>
      </c>
      <c r="H113" s="21" t="s">
        <v>5</v>
      </c>
      <c r="I113" s="27">
        <f>+923142613925</f>
        <v>923142613925</v>
      </c>
      <c r="J113" s="21" t="s">
        <v>6</v>
      </c>
      <c r="K113" s="24"/>
      <c r="L113" s="24"/>
    </row>
    <row r="114" ht="15.75" customHeight="1">
      <c r="A114" s="25">
        <v>44018.0</v>
      </c>
      <c r="B114" s="18" t="s">
        <v>8</v>
      </c>
      <c r="C114" s="1" t="s">
        <v>2</v>
      </c>
      <c r="D114" s="26" t="s">
        <v>316</v>
      </c>
      <c r="E114" s="27"/>
      <c r="F114" s="20" t="s">
        <v>4</v>
      </c>
      <c r="G114" s="27" t="s">
        <v>317</v>
      </c>
      <c r="H114" s="21" t="s">
        <v>5</v>
      </c>
      <c r="I114" s="27">
        <f>+971563712608</f>
        <v>971563712608</v>
      </c>
      <c r="J114" s="21" t="s">
        <v>6</v>
      </c>
      <c r="K114" s="24"/>
      <c r="L114" s="24"/>
    </row>
    <row r="115" ht="15.75" customHeight="1">
      <c r="A115" s="25">
        <v>44018.0</v>
      </c>
      <c r="B115" s="18" t="s">
        <v>8</v>
      </c>
      <c r="C115" s="1" t="s">
        <v>2</v>
      </c>
      <c r="D115" s="26" t="s">
        <v>318</v>
      </c>
      <c r="E115" s="27"/>
      <c r="F115" s="20" t="s">
        <v>4</v>
      </c>
      <c r="G115" s="27" t="s">
        <v>319</v>
      </c>
      <c r="H115" s="21" t="s">
        <v>5</v>
      </c>
      <c r="I115" s="27">
        <f>+14049538210</f>
        <v>14049538210</v>
      </c>
      <c r="J115" s="21" t="s">
        <v>6</v>
      </c>
      <c r="K115" s="24"/>
      <c r="L115" s="24"/>
    </row>
    <row r="116" ht="15.75" customHeight="1">
      <c r="A116" s="25">
        <v>44018.0</v>
      </c>
      <c r="B116" s="18" t="s">
        <v>8</v>
      </c>
      <c r="C116" s="1" t="s">
        <v>2</v>
      </c>
      <c r="D116" s="26" t="s">
        <v>320</v>
      </c>
      <c r="E116" s="27"/>
      <c r="F116" s="20" t="s">
        <v>4</v>
      </c>
      <c r="G116" s="27" t="s">
        <v>321</v>
      </c>
      <c r="H116" s="21" t="s">
        <v>5</v>
      </c>
      <c r="I116" s="27">
        <f>+966566996815</f>
        <v>966566996815</v>
      </c>
      <c r="J116" s="21" t="s">
        <v>6</v>
      </c>
      <c r="K116" s="24"/>
      <c r="L116" s="24"/>
    </row>
    <row r="117" ht="15.75" customHeight="1">
      <c r="A117" s="25">
        <v>44017.0</v>
      </c>
      <c r="B117" s="18" t="s">
        <v>8</v>
      </c>
      <c r="C117" s="1" t="s">
        <v>2</v>
      </c>
      <c r="D117" s="26" t="s">
        <v>322</v>
      </c>
      <c r="E117" s="27"/>
      <c r="F117" s="20" t="s">
        <v>4</v>
      </c>
      <c r="G117" s="27" t="s">
        <v>323</v>
      </c>
      <c r="H117" s="21" t="s">
        <v>5</v>
      </c>
      <c r="I117" s="27">
        <f>+923084508982</f>
        <v>923084508982</v>
      </c>
      <c r="J117" s="21" t="s">
        <v>6</v>
      </c>
      <c r="K117" s="24"/>
      <c r="L117" s="24"/>
    </row>
    <row r="118" ht="15.75" customHeight="1">
      <c r="A118" s="25">
        <v>44017.0</v>
      </c>
      <c r="B118" s="18" t="s">
        <v>8</v>
      </c>
      <c r="C118" s="1" t="s">
        <v>2</v>
      </c>
      <c r="D118" s="26" t="s">
        <v>324</v>
      </c>
      <c r="E118" s="27"/>
      <c r="F118" s="20" t="s">
        <v>4</v>
      </c>
      <c r="G118" s="27" t="s">
        <v>325</v>
      </c>
      <c r="H118" s="21" t="s">
        <v>5</v>
      </c>
      <c r="I118" s="27">
        <f>+9203334229988</f>
        <v>9203334229988</v>
      </c>
      <c r="J118" s="21" t="s">
        <v>6</v>
      </c>
      <c r="K118" s="24"/>
      <c r="L118" s="24"/>
    </row>
    <row r="119" ht="15.75" customHeight="1">
      <c r="A119" s="25">
        <v>44017.0</v>
      </c>
      <c r="B119" s="18" t="s">
        <v>8</v>
      </c>
      <c r="C119" s="1" t="s">
        <v>2</v>
      </c>
      <c r="D119" s="26" t="s">
        <v>326</v>
      </c>
      <c r="E119" s="27"/>
      <c r="F119" s="20" t="s">
        <v>4</v>
      </c>
      <c r="G119" s="27" t="s">
        <v>327</v>
      </c>
      <c r="H119" s="21" t="s">
        <v>5</v>
      </c>
      <c r="I119" s="27">
        <f>+923005553573</f>
        <v>923005553573</v>
      </c>
      <c r="J119" s="21" t="s">
        <v>6</v>
      </c>
      <c r="K119" s="24"/>
      <c r="L119" s="24"/>
    </row>
    <row r="120" ht="15.75" customHeight="1">
      <c r="A120" s="25">
        <v>44017.0</v>
      </c>
      <c r="B120" s="18" t="s">
        <v>8</v>
      </c>
      <c r="C120" s="1" t="s">
        <v>2</v>
      </c>
      <c r="D120" s="26" t="s">
        <v>328</v>
      </c>
      <c r="E120" s="27"/>
      <c r="F120" s="20" t="s">
        <v>4</v>
      </c>
      <c r="G120" s="27" t="s">
        <v>329</v>
      </c>
      <c r="H120" s="21" t="s">
        <v>5</v>
      </c>
      <c r="I120" s="27">
        <f>+923157949119</f>
        <v>923157949119</v>
      </c>
      <c r="J120" s="21" t="s">
        <v>6</v>
      </c>
      <c r="K120" s="24"/>
      <c r="L120" s="24"/>
    </row>
    <row r="121" ht="15.75" customHeight="1">
      <c r="A121" s="25">
        <v>44017.0</v>
      </c>
      <c r="B121" s="18" t="s">
        <v>8</v>
      </c>
      <c r="C121" s="1" t="s">
        <v>2</v>
      </c>
      <c r="D121" s="26" t="s">
        <v>330</v>
      </c>
      <c r="E121" s="27"/>
      <c r="F121" s="20" t="s">
        <v>4</v>
      </c>
      <c r="G121" s="27" t="s">
        <v>331</v>
      </c>
      <c r="H121" s="21" t="s">
        <v>5</v>
      </c>
      <c r="I121" s="27">
        <f>+923002299663</f>
        <v>923002299663</v>
      </c>
      <c r="J121" s="21" t="s">
        <v>6</v>
      </c>
      <c r="K121" s="24"/>
      <c r="L121" s="24"/>
    </row>
    <row r="122" ht="15.75" customHeight="1">
      <c r="A122" s="25">
        <v>44016.0</v>
      </c>
      <c r="B122" s="18" t="s">
        <v>8</v>
      </c>
      <c r="C122" s="1" t="s">
        <v>2</v>
      </c>
      <c r="D122" s="26" t="s">
        <v>332</v>
      </c>
      <c r="E122" s="27"/>
      <c r="F122" s="20" t="s">
        <v>4</v>
      </c>
      <c r="G122" s="27" t="s">
        <v>333</v>
      </c>
      <c r="H122" s="21" t="s">
        <v>5</v>
      </c>
      <c r="I122" s="27">
        <f>+966503017152</f>
        <v>966503017152</v>
      </c>
      <c r="J122" s="21" t="s">
        <v>6</v>
      </c>
      <c r="K122" s="24"/>
      <c r="L122" s="24"/>
    </row>
    <row r="123" ht="15.75" customHeight="1">
      <c r="A123" s="25">
        <v>44016.0</v>
      </c>
      <c r="B123" s="18" t="s">
        <v>8</v>
      </c>
      <c r="C123" s="1" t="s">
        <v>2</v>
      </c>
      <c r="D123" s="26" t="s">
        <v>334</v>
      </c>
      <c r="E123" s="27"/>
      <c r="F123" s="20" t="s">
        <v>4</v>
      </c>
      <c r="G123" s="27" t="s">
        <v>335</v>
      </c>
      <c r="H123" s="21" t="s">
        <v>5</v>
      </c>
      <c r="I123" s="27">
        <f>+966559540291</f>
        <v>966559540291</v>
      </c>
      <c r="J123" s="21" t="s">
        <v>6</v>
      </c>
      <c r="K123" s="24"/>
      <c r="L123" s="24"/>
    </row>
    <row r="124" ht="15.75" customHeight="1">
      <c r="A124" s="25">
        <v>44016.0</v>
      </c>
      <c r="B124" s="18" t="s">
        <v>8</v>
      </c>
      <c r="C124" s="1" t="s">
        <v>2</v>
      </c>
      <c r="D124" s="26" t="s">
        <v>336</v>
      </c>
      <c r="E124" s="27"/>
      <c r="F124" s="20" t="s">
        <v>4</v>
      </c>
      <c r="G124" s="27" t="s">
        <v>337</v>
      </c>
      <c r="H124" s="21" t="s">
        <v>5</v>
      </c>
      <c r="I124" s="27">
        <f>+971555537362</f>
        <v>971555537362</v>
      </c>
      <c r="J124" s="21" t="s">
        <v>6</v>
      </c>
      <c r="K124" s="24"/>
      <c r="L124" s="24"/>
    </row>
    <row r="125" ht="15.75" customHeight="1">
      <c r="A125" s="25">
        <v>44016.0</v>
      </c>
      <c r="B125" s="18" t="s">
        <v>8</v>
      </c>
      <c r="C125" s="1" t="s">
        <v>2</v>
      </c>
      <c r="D125" s="26" t="s">
        <v>338</v>
      </c>
      <c r="E125" s="27"/>
      <c r="F125" s="20" t="s">
        <v>4</v>
      </c>
      <c r="G125" s="27" t="s">
        <v>339</v>
      </c>
      <c r="H125" s="21" t="s">
        <v>5</v>
      </c>
      <c r="I125" s="27">
        <f>+96599113968</f>
        <v>96599113968</v>
      </c>
      <c r="J125" s="21" t="s">
        <v>6</v>
      </c>
      <c r="K125" s="24"/>
      <c r="L125" s="24"/>
    </row>
    <row r="126" ht="15.75" customHeight="1">
      <c r="A126" s="25">
        <v>44015.0</v>
      </c>
      <c r="B126" s="18" t="s">
        <v>8</v>
      </c>
      <c r="C126" s="1" t="s">
        <v>2</v>
      </c>
      <c r="D126" s="28" t="s">
        <v>340</v>
      </c>
      <c r="E126" s="27"/>
      <c r="F126" s="20" t="s">
        <v>4</v>
      </c>
      <c r="G126" s="27" t="s">
        <v>341</v>
      </c>
      <c r="H126" s="21" t="s">
        <v>5</v>
      </c>
      <c r="I126" s="27">
        <f>+923403709086</f>
        <v>923403709086</v>
      </c>
      <c r="J126" s="21" t="s">
        <v>6</v>
      </c>
      <c r="K126" s="24"/>
      <c r="L126" s="24"/>
    </row>
    <row r="127" ht="15.75" customHeight="1">
      <c r="A127" s="25">
        <v>44015.0</v>
      </c>
      <c r="B127" s="18" t="s">
        <v>8</v>
      </c>
      <c r="C127" s="1" t="s">
        <v>2</v>
      </c>
      <c r="D127" s="26" t="s">
        <v>342</v>
      </c>
      <c r="E127" s="27"/>
      <c r="F127" s="20" t="s">
        <v>4</v>
      </c>
      <c r="G127" s="27" t="s">
        <v>343</v>
      </c>
      <c r="H127" s="21" t="s">
        <v>5</v>
      </c>
      <c r="I127" s="27">
        <f>+923218217171</f>
        <v>923218217171</v>
      </c>
      <c r="J127" s="21" t="s">
        <v>6</v>
      </c>
      <c r="K127" s="24"/>
      <c r="L127" s="24"/>
    </row>
    <row r="128" ht="15.75" customHeight="1">
      <c r="A128" s="25">
        <v>44015.0</v>
      </c>
      <c r="B128" s="18" t="s">
        <v>8</v>
      </c>
      <c r="C128" s="1" t="s">
        <v>2</v>
      </c>
      <c r="D128" s="26" t="s">
        <v>344</v>
      </c>
      <c r="E128" s="27"/>
      <c r="F128" s="20" t="s">
        <v>4</v>
      </c>
      <c r="G128" s="27" t="s">
        <v>345</v>
      </c>
      <c r="H128" s="21" t="s">
        <v>5</v>
      </c>
      <c r="I128" s="27">
        <f>+971555550376</f>
        <v>971555550376</v>
      </c>
      <c r="J128" s="21" t="s">
        <v>6</v>
      </c>
      <c r="K128" s="24"/>
      <c r="L128" s="24"/>
    </row>
    <row r="129" ht="15.75" customHeight="1">
      <c r="A129" s="25">
        <v>44014.0</v>
      </c>
      <c r="B129" s="18" t="s">
        <v>8</v>
      </c>
      <c r="C129" s="1" t="s">
        <v>2</v>
      </c>
      <c r="D129" s="26" t="s">
        <v>346</v>
      </c>
      <c r="E129" s="27"/>
      <c r="F129" s="20" t="s">
        <v>4</v>
      </c>
      <c r="G129" s="27" t="s">
        <v>347</v>
      </c>
      <c r="H129" s="21" t="s">
        <v>5</v>
      </c>
      <c r="I129" s="27">
        <f>+923008619140</f>
        <v>923008619140</v>
      </c>
      <c r="J129" s="21" t="s">
        <v>6</v>
      </c>
      <c r="K129" s="24"/>
      <c r="L129" s="24"/>
    </row>
    <row r="130" ht="15.75" customHeight="1">
      <c r="A130" s="25">
        <v>44013.0</v>
      </c>
      <c r="B130" s="18" t="s">
        <v>8</v>
      </c>
      <c r="C130" s="1" t="s">
        <v>2</v>
      </c>
      <c r="D130" s="26" t="s">
        <v>348</v>
      </c>
      <c r="E130" s="27"/>
      <c r="F130" s="20" t="s">
        <v>4</v>
      </c>
      <c r="G130" s="27" t="s">
        <v>349</v>
      </c>
      <c r="H130" s="21" t="s">
        <v>5</v>
      </c>
      <c r="I130" s="27">
        <f>+971509404069</f>
        <v>971509404069</v>
      </c>
      <c r="J130" s="21" t="s">
        <v>6</v>
      </c>
      <c r="K130" s="24"/>
      <c r="L130" s="24"/>
    </row>
    <row r="131" ht="15.75" customHeight="1">
      <c r="A131" s="25">
        <v>44012.0</v>
      </c>
      <c r="B131" s="18" t="s">
        <v>8</v>
      </c>
      <c r="C131" s="1" t="s">
        <v>2</v>
      </c>
      <c r="D131" s="28" t="s">
        <v>350</v>
      </c>
      <c r="E131" s="27"/>
      <c r="F131" s="20" t="s">
        <v>4</v>
      </c>
      <c r="G131" s="27" t="s">
        <v>351</v>
      </c>
      <c r="H131" s="21" t="s">
        <v>5</v>
      </c>
      <c r="I131" s="27">
        <f>+966554449915</f>
        <v>966554449915</v>
      </c>
      <c r="J131" s="21" t="s">
        <v>6</v>
      </c>
      <c r="K131" s="24"/>
      <c r="L131" s="24"/>
    </row>
    <row r="132" ht="15.75" customHeight="1">
      <c r="A132" s="25">
        <v>44012.0</v>
      </c>
      <c r="B132" s="18" t="s">
        <v>8</v>
      </c>
      <c r="C132" s="1" t="s">
        <v>2</v>
      </c>
      <c r="D132" s="26" t="s">
        <v>352</v>
      </c>
      <c r="E132" s="27"/>
      <c r="F132" s="20" t="s">
        <v>4</v>
      </c>
      <c r="G132" s="27" t="s">
        <v>353</v>
      </c>
      <c r="H132" s="21" t="s">
        <v>5</v>
      </c>
      <c r="I132" s="27">
        <f>+26663123123</f>
        <v>26663123123</v>
      </c>
      <c r="J132" s="21" t="s">
        <v>6</v>
      </c>
      <c r="K132" s="24"/>
      <c r="L132" s="24"/>
    </row>
    <row r="133" ht="15.75" customHeight="1">
      <c r="A133" s="25">
        <v>44011.0</v>
      </c>
      <c r="B133" s="18" t="s">
        <v>8</v>
      </c>
      <c r="C133" s="1" t="s">
        <v>2</v>
      </c>
      <c r="D133" s="26" t="s">
        <v>354</v>
      </c>
      <c r="E133" s="27"/>
      <c r="F133" s="20" t="s">
        <v>4</v>
      </c>
      <c r="G133" s="29" t="s">
        <v>355</v>
      </c>
      <c r="H133" s="21" t="s">
        <v>5</v>
      </c>
      <c r="I133" s="27">
        <f>+923212406662</f>
        <v>923212406662</v>
      </c>
      <c r="J133" s="21" t="s">
        <v>6</v>
      </c>
      <c r="K133" s="24"/>
      <c r="L133" s="24"/>
    </row>
    <row r="134" ht="15.75" customHeight="1">
      <c r="A134" s="25">
        <v>44011.0</v>
      </c>
      <c r="B134" s="18" t="s">
        <v>8</v>
      </c>
      <c r="C134" s="1" t="s">
        <v>2</v>
      </c>
      <c r="D134" s="26" t="s">
        <v>356</v>
      </c>
      <c r="E134" s="27"/>
      <c r="F134" s="20" t="s">
        <v>4</v>
      </c>
      <c r="G134" s="29" t="s">
        <v>357</v>
      </c>
      <c r="H134" s="21" t="s">
        <v>5</v>
      </c>
      <c r="I134" s="27">
        <f>+923018456417</f>
        <v>923018456417</v>
      </c>
      <c r="J134" s="21" t="s">
        <v>6</v>
      </c>
      <c r="K134" s="24"/>
      <c r="L134" s="24"/>
    </row>
    <row r="135" ht="15.75" customHeight="1">
      <c r="A135" s="25">
        <v>44011.0</v>
      </c>
      <c r="B135" s="18" t="s">
        <v>8</v>
      </c>
      <c r="C135" s="1" t="s">
        <v>2</v>
      </c>
      <c r="D135" s="26" t="s">
        <v>358</v>
      </c>
      <c r="E135" s="27"/>
      <c r="F135" s="20" t="s">
        <v>4</v>
      </c>
      <c r="G135" s="29" t="s">
        <v>359</v>
      </c>
      <c r="H135" s="21" t="s">
        <v>5</v>
      </c>
      <c r="I135" s="27">
        <f>+923003509675</f>
        <v>923003509675</v>
      </c>
      <c r="J135" s="21" t="s">
        <v>6</v>
      </c>
      <c r="K135" s="24"/>
      <c r="L135" s="24"/>
    </row>
    <row r="136" ht="15.75" customHeight="1">
      <c r="A136" s="25">
        <v>44010.0</v>
      </c>
      <c r="B136" s="18" t="s">
        <v>8</v>
      </c>
      <c r="C136" s="1" t="s">
        <v>2</v>
      </c>
      <c r="D136" s="26" t="s">
        <v>360</v>
      </c>
      <c r="E136" s="27"/>
      <c r="F136" s="20" t="s">
        <v>4</v>
      </c>
      <c r="G136" s="29" t="s">
        <v>361</v>
      </c>
      <c r="H136" s="21" t="s">
        <v>5</v>
      </c>
      <c r="I136" s="27">
        <f>+9203056385555</f>
        <v>9203056385555</v>
      </c>
      <c r="J136" s="21" t="s">
        <v>6</v>
      </c>
      <c r="K136" s="24"/>
      <c r="L136" s="24"/>
    </row>
    <row r="137" ht="15.75" customHeight="1">
      <c r="A137" s="25">
        <v>44010.0</v>
      </c>
      <c r="B137" s="18" t="s">
        <v>8</v>
      </c>
      <c r="C137" s="1" t="s">
        <v>2</v>
      </c>
      <c r="D137" s="26" t="s">
        <v>362</v>
      </c>
      <c r="E137" s="27"/>
      <c r="F137" s="20" t="s">
        <v>4</v>
      </c>
      <c r="G137" s="29" t="s">
        <v>363</v>
      </c>
      <c r="H137" s="21" t="s">
        <v>5</v>
      </c>
      <c r="I137" s="27">
        <f>+9203222663007</f>
        <v>9203222663007</v>
      </c>
      <c r="J137" s="21" t="s">
        <v>6</v>
      </c>
      <c r="K137" s="24"/>
      <c r="L137" s="24"/>
    </row>
    <row r="138" ht="15.75" customHeight="1">
      <c r="A138" s="25">
        <v>44010.0</v>
      </c>
      <c r="B138" s="18" t="s">
        <v>8</v>
      </c>
      <c r="C138" s="1" t="s">
        <v>2</v>
      </c>
      <c r="D138" s="26" t="s">
        <v>364</v>
      </c>
      <c r="E138" s="27"/>
      <c r="F138" s="20" t="s">
        <v>4</v>
      </c>
      <c r="G138" s="29" t="s">
        <v>365</v>
      </c>
      <c r="H138" s="21" t="s">
        <v>5</v>
      </c>
      <c r="I138" s="27">
        <f>+923008565319</f>
        <v>923008565319</v>
      </c>
      <c r="J138" s="21" t="s">
        <v>6</v>
      </c>
      <c r="K138" s="24"/>
      <c r="L138" s="24"/>
    </row>
    <row r="139" ht="15.75" customHeight="1">
      <c r="A139" s="25">
        <v>44009.0</v>
      </c>
      <c r="B139" s="18" t="s">
        <v>8</v>
      </c>
      <c r="C139" s="1" t="s">
        <v>2</v>
      </c>
      <c r="D139" s="26" t="s">
        <v>366</v>
      </c>
      <c r="E139" s="27"/>
      <c r="F139" s="20" t="s">
        <v>4</v>
      </c>
      <c r="G139" s="29" t="s">
        <v>367</v>
      </c>
      <c r="H139" s="21" t="s">
        <v>5</v>
      </c>
      <c r="I139" s="27">
        <f>+923041361977</f>
        <v>923041361977</v>
      </c>
      <c r="J139" s="21" t="s">
        <v>6</v>
      </c>
      <c r="K139" s="24"/>
      <c r="L139" s="24"/>
    </row>
    <row r="140" ht="15.75" customHeight="1">
      <c r="A140" s="25">
        <v>44009.0</v>
      </c>
      <c r="B140" s="18" t="s">
        <v>8</v>
      </c>
      <c r="C140" s="1" t="s">
        <v>2</v>
      </c>
      <c r="D140" s="26" t="s">
        <v>368</v>
      </c>
      <c r="E140" s="27"/>
      <c r="F140" s="20" t="s">
        <v>4</v>
      </c>
      <c r="G140" s="29" t="s">
        <v>369</v>
      </c>
      <c r="H140" s="21" t="s">
        <v>5</v>
      </c>
      <c r="I140" s="27">
        <f>+971502369173</f>
        <v>971502369173</v>
      </c>
      <c r="J140" s="21" t="s">
        <v>6</v>
      </c>
      <c r="K140" s="24"/>
      <c r="L140" s="24"/>
    </row>
    <row r="141" ht="15.75" customHeight="1">
      <c r="A141" s="25">
        <v>44008.0</v>
      </c>
      <c r="B141" s="18" t="s">
        <v>8</v>
      </c>
      <c r="C141" s="1" t="s">
        <v>2</v>
      </c>
      <c r="D141" s="26" t="s">
        <v>370</v>
      </c>
      <c r="E141" s="27"/>
      <c r="F141" s="20" t="s">
        <v>4</v>
      </c>
      <c r="G141" s="29" t="s">
        <v>371</v>
      </c>
      <c r="H141" s="21" t="s">
        <v>5</v>
      </c>
      <c r="I141" s="27">
        <f>+3224949200</f>
        <v>3224949200</v>
      </c>
      <c r="J141" s="21" t="s">
        <v>6</v>
      </c>
      <c r="K141" s="24"/>
      <c r="L141" s="24"/>
    </row>
    <row r="142" ht="15.75" customHeight="1">
      <c r="A142" s="25">
        <v>44008.0</v>
      </c>
      <c r="B142" s="18" t="s">
        <v>8</v>
      </c>
      <c r="C142" s="1" t="s">
        <v>2</v>
      </c>
      <c r="D142" s="26" t="s">
        <v>372</v>
      </c>
      <c r="E142" s="27"/>
      <c r="F142" s="20" t="s">
        <v>4</v>
      </c>
      <c r="G142" s="29" t="s">
        <v>373</v>
      </c>
      <c r="H142" s="21" t="s">
        <v>5</v>
      </c>
      <c r="I142" s="27">
        <f>+923217827447</f>
        <v>923217827447</v>
      </c>
      <c r="J142" s="21" t="s">
        <v>6</v>
      </c>
      <c r="K142" s="24"/>
      <c r="L142" s="24"/>
    </row>
    <row r="143" ht="15.75" customHeight="1">
      <c r="A143" s="25">
        <v>44007.0</v>
      </c>
      <c r="B143" s="18" t="s">
        <v>8</v>
      </c>
      <c r="C143" s="1" t="s">
        <v>2</v>
      </c>
      <c r="D143" s="26" t="s">
        <v>374</v>
      </c>
      <c r="E143" s="27"/>
      <c r="F143" s="20" t="s">
        <v>4</v>
      </c>
      <c r="G143" s="29" t="s">
        <v>375</v>
      </c>
      <c r="H143" s="21" t="s">
        <v>5</v>
      </c>
      <c r="I143" s="27">
        <f>+923200238786</f>
        <v>923200238786</v>
      </c>
      <c r="J143" s="21" t="s">
        <v>6</v>
      </c>
      <c r="K143" s="24"/>
      <c r="L143" s="24"/>
    </row>
    <row r="144" ht="15.75" customHeight="1">
      <c r="A144" s="25">
        <v>44007.0</v>
      </c>
      <c r="B144" s="18" t="s">
        <v>8</v>
      </c>
      <c r="C144" s="1" t="s">
        <v>2</v>
      </c>
      <c r="D144" s="26" t="s">
        <v>376</v>
      </c>
      <c r="E144" s="27"/>
      <c r="F144" s="20" t="s">
        <v>4</v>
      </c>
      <c r="G144" s="29" t="s">
        <v>377</v>
      </c>
      <c r="H144" s="21" t="s">
        <v>5</v>
      </c>
      <c r="I144" s="27">
        <f>+9203000903862</f>
        <v>9203000903862</v>
      </c>
      <c r="J144" s="21" t="s">
        <v>6</v>
      </c>
      <c r="K144" s="24"/>
      <c r="L144" s="24"/>
    </row>
    <row r="145" ht="15.75" customHeight="1">
      <c r="A145" s="25">
        <v>44007.0</v>
      </c>
      <c r="B145" s="18" t="s">
        <v>8</v>
      </c>
      <c r="C145" s="1" t="s">
        <v>2</v>
      </c>
      <c r="D145" s="26" t="s">
        <v>378</v>
      </c>
      <c r="E145" s="27"/>
      <c r="F145" s="20" t="s">
        <v>4</v>
      </c>
      <c r="G145" s="29" t="s">
        <v>379</v>
      </c>
      <c r="H145" s="21" t="s">
        <v>5</v>
      </c>
      <c r="I145" s="27">
        <f>+923008202011</f>
        <v>923008202011</v>
      </c>
      <c r="J145" s="21" t="s">
        <v>6</v>
      </c>
      <c r="K145" s="24"/>
      <c r="L145" s="24"/>
    </row>
    <row r="146" ht="15.75" customHeight="1">
      <c r="A146" s="25">
        <v>44007.0</v>
      </c>
      <c r="B146" s="18" t="s">
        <v>8</v>
      </c>
      <c r="C146" s="1" t="s">
        <v>2</v>
      </c>
      <c r="D146" s="26" t="s">
        <v>380</v>
      </c>
      <c r="E146" s="27"/>
      <c r="F146" s="20" t="s">
        <v>4</v>
      </c>
      <c r="G146" s="29" t="s">
        <v>381</v>
      </c>
      <c r="H146" s="21" t="s">
        <v>5</v>
      </c>
      <c r="I146" s="27">
        <f>+971508030117</f>
        <v>971508030117</v>
      </c>
      <c r="J146" s="21" t="s">
        <v>6</v>
      </c>
      <c r="K146" s="24"/>
      <c r="L146" s="24"/>
    </row>
    <row r="147" ht="15.75" customHeight="1">
      <c r="A147" s="25">
        <v>44007.0</v>
      </c>
      <c r="B147" s="18" t="s">
        <v>8</v>
      </c>
      <c r="C147" s="1" t="s">
        <v>2</v>
      </c>
      <c r="D147" s="26" t="s">
        <v>382</v>
      </c>
      <c r="E147" s="27"/>
      <c r="F147" s="20" t="s">
        <v>4</v>
      </c>
      <c r="G147" s="29" t="s">
        <v>383</v>
      </c>
      <c r="H147" s="21" t="s">
        <v>5</v>
      </c>
      <c r="I147" s="27">
        <f>+923344346677</f>
        <v>923344346677</v>
      </c>
      <c r="J147" s="21" t="s">
        <v>6</v>
      </c>
      <c r="K147" s="24"/>
      <c r="L147" s="24"/>
    </row>
    <row r="148" ht="15.75" customHeight="1">
      <c r="A148" s="25">
        <v>44007.0</v>
      </c>
      <c r="B148" s="18" t="s">
        <v>8</v>
      </c>
      <c r="C148" s="1" t="s">
        <v>2</v>
      </c>
      <c r="D148" s="30" t="s">
        <v>384</v>
      </c>
      <c r="E148" s="27"/>
      <c r="F148" s="20" t="s">
        <v>4</v>
      </c>
      <c r="G148" s="29" t="s">
        <v>385</v>
      </c>
      <c r="H148" s="21" t="s">
        <v>5</v>
      </c>
      <c r="I148" s="27">
        <f>+923008483058</f>
        <v>923008483058</v>
      </c>
      <c r="J148" s="21" t="s">
        <v>6</v>
      </c>
      <c r="K148" s="24"/>
      <c r="L148" s="24"/>
    </row>
    <row r="149" ht="15.75" customHeight="1">
      <c r="A149" s="25">
        <v>44006.0</v>
      </c>
      <c r="B149" s="18" t="s">
        <v>8</v>
      </c>
      <c r="C149" s="1" t="s">
        <v>2</v>
      </c>
      <c r="D149" s="26" t="s">
        <v>386</v>
      </c>
      <c r="E149" s="27"/>
      <c r="F149" s="20" t="s">
        <v>4</v>
      </c>
      <c r="G149" s="29" t="s">
        <v>387</v>
      </c>
      <c r="H149" s="21" t="s">
        <v>5</v>
      </c>
      <c r="I149" s="27">
        <f>+923123000108</f>
        <v>923123000108</v>
      </c>
      <c r="J149" s="21" t="s">
        <v>6</v>
      </c>
      <c r="K149" s="24"/>
      <c r="L149" s="24"/>
    </row>
    <row r="150" ht="15.75" customHeight="1">
      <c r="A150" s="25">
        <v>44006.0</v>
      </c>
      <c r="B150" s="18" t="s">
        <v>8</v>
      </c>
      <c r="C150" s="1" t="s">
        <v>2</v>
      </c>
      <c r="D150" s="26" t="s">
        <v>388</v>
      </c>
      <c r="E150" s="27"/>
      <c r="F150" s="20" t="s">
        <v>4</v>
      </c>
      <c r="G150" s="29" t="s">
        <v>389</v>
      </c>
      <c r="H150" s="21" t="s">
        <v>5</v>
      </c>
      <c r="I150" s="27">
        <f>+966503490237</f>
        <v>966503490237</v>
      </c>
      <c r="J150" s="21" t="s">
        <v>6</v>
      </c>
      <c r="K150" s="24"/>
      <c r="L150" s="24"/>
    </row>
    <row r="151" ht="15.75" customHeight="1">
      <c r="A151" s="25">
        <v>44006.0</v>
      </c>
      <c r="B151" s="18" t="s">
        <v>8</v>
      </c>
      <c r="C151" s="1" t="s">
        <v>2</v>
      </c>
      <c r="D151" s="30" t="s">
        <v>390</v>
      </c>
      <c r="E151" s="27"/>
      <c r="F151" s="20" t="s">
        <v>4</v>
      </c>
      <c r="G151" s="29" t="s">
        <v>391</v>
      </c>
      <c r="H151" s="21" t="s">
        <v>5</v>
      </c>
      <c r="I151" s="27">
        <f>+971507545764</f>
        <v>971507545764</v>
      </c>
      <c r="J151" s="21" t="s">
        <v>6</v>
      </c>
      <c r="K151" s="24"/>
      <c r="L151" s="24"/>
    </row>
    <row r="152" ht="15.75" customHeight="1">
      <c r="A152" s="25">
        <v>44006.0</v>
      </c>
      <c r="B152" s="18" t="s">
        <v>8</v>
      </c>
      <c r="C152" s="1" t="s">
        <v>2</v>
      </c>
      <c r="D152" s="26" t="s">
        <v>392</v>
      </c>
      <c r="E152" s="27"/>
      <c r="F152" s="20" t="s">
        <v>4</v>
      </c>
      <c r="G152" s="29" t="s">
        <v>393</v>
      </c>
      <c r="H152" s="21" t="s">
        <v>5</v>
      </c>
      <c r="I152" s="27">
        <f>+923212217217</f>
        <v>923212217217</v>
      </c>
      <c r="J152" s="21" t="s">
        <v>6</v>
      </c>
      <c r="K152" s="24"/>
      <c r="L152" s="24"/>
    </row>
    <row r="153" ht="15.75" customHeight="1">
      <c r="A153" s="25">
        <v>44006.0</v>
      </c>
      <c r="B153" s="18" t="s">
        <v>8</v>
      </c>
      <c r="C153" s="1" t="s">
        <v>2</v>
      </c>
      <c r="D153" s="30" t="s">
        <v>394</v>
      </c>
      <c r="E153" s="27"/>
      <c r="F153" s="20" t="s">
        <v>4</v>
      </c>
      <c r="G153" s="29" t="s">
        <v>395</v>
      </c>
      <c r="H153" s="21" t="s">
        <v>5</v>
      </c>
      <c r="I153" s="27">
        <f>+923212148888</f>
        <v>923212148888</v>
      </c>
      <c r="J153" s="21" t="s">
        <v>6</v>
      </c>
      <c r="K153" s="24"/>
      <c r="L153" s="24"/>
    </row>
    <row r="154" ht="15.75" customHeight="1">
      <c r="A154" s="25">
        <v>44005.0</v>
      </c>
      <c r="B154" s="18" t="s">
        <v>8</v>
      </c>
      <c r="C154" s="1" t="s">
        <v>2</v>
      </c>
      <c r="D154" s="26" t="s">
        <v>396</v>
      </c>
      <c r="E154" s="27"/>
      <c r="F154" s="20" t="s">
        <v>4</v>
      </c>
      <c r="G154" s="29" t="s">
        <v>397</v>
      </c>
      <c r="H154" s="21" t="s">
        <v>5</v>
      </c>
      <c r="I154" s="27">
        <f>+923009211282</f>
        <v>923009211282</v>
      </c>
      <c r="J154" s="21" t="s">
        <v>6</v>
      </c>
      <c r="K154" s="24"/>
      <c r="L154" s="24"/>
    </row>
    <row r="155" ht="15.75" customHeight="1">
      <c r="A155" s="25">
        <v>44004.0</v>
      </c>
      <c r="B155" s="18" t="s">
        <v>8</v>
      </c>
      <c r="C155" s="1" t="s">
        <v>2</v>
      </c>
      <c r="D155" s="26" t="s">
        <v>398</v>
      </c>
      <c r="E155" s="27"/>
      <c r="F155" s="20" t="s">
        <v>4</v>
      </c>
      <c r="G155" s="29" t="s">
        <v>399</v>
      </c>
      <c r="H155" s="21" t="s">
        <v>5</v>
      </c>
      <c r="I155" s="27">
        <f>+923312441439</f>
        <v>923312441439</v>
      </c>
      <c r="J155" s="21" t="s">
        <v>6</v>
      </c>
      <c r="K155" s="24"/>
      <c r="L155" s="24"/>
    </row>
    <row r="156" ht="15.75" customHeight="1">
      <c r="A156" s="25">
        <v>44003.0</v>
      </c>
      <c r="B156" s="18" t="s">
        <v>8</v>
      </c>
      <c r="C156" s="1" t="s">
        <v>2</v>
      </c>
      <c r="D156" s="26" t="s">
        <v>400</v>
      </c>
      <c r="E156" s="27"/>
      <c r="F156" s="20" t="s">
        <v>4</v>
      </c>
      <c r="G156" s="29" t="s">
        <v>401</v>
      </c>
      <c r="H156" s="21" t="s">
        <v>5</v>
      </c>
      <c r="I156" s="27">
        <f>+966540009922</f>
        <v>966540009922</v>
      </c>
      <c r="J156" s="21" t="s">
        <v>6</v>
      </c>
      <c r="K156" s="24"/>
      <c r="L156" s="24"/>
    </row>
    <row r="157" ht="15.75" customHeight="1">
      <c r="A157" s="25">
        <v>44003.0</v>
      </c>
      <c r="B157" s="18" t="s">
        <v>8</v>
      </c>
      <c r="C157" s="1" t="s">
        <v>2</v>
      </c>
      <c r="D157" s="26" t="s">
        <v>402</v>
      </c>
      <c r="E157" s="27"/>
      <c r="F157" s="20" t="s">
        <v>4</v>
      </c>
      <c r="G157" s="29" t="s">
        <v>403</v>
      </c>
      <c r="H157" s="21" t="s">
        <v>5</v>
      </c>
      <c r="I157" s="27">
        <f>+923212304757</f>
        <v>923212304757</v>
      </c>
      <c r="J157" s="21" t="s">
        <v>6</v>
      </c>
      <c r="K157" s="24"/>
      <c r="L157" s="24"/>
    </row>
    <row r="158" ht="15.75" customHeight="1">
      <c r="D158" s="31"/>
      <c r="F158" s="32"/>
      <c r="G158" s="32"/>
      <c r="H158" s="32"/>
      <c r="I158" s="32"/>
    </row>
    <row r="159" ht="15.75" customHeight="1">
      <c r="F159" s="32"/>
      <c r="G159" s="32"/>
      <c r="H159" s="32"/>
      <c r="I159" s="32"/>
    </row>
    <row r="160" ht="15.75" customHeight="1">
      <c r="F160" s="32"/>
      <c r="G160" s="32"/>
      <c r="H160" s="32"/>
      <c r="I160" s="32"/>
    </row>
    <row r="161" ht="15.75" customHeight="1">
      <c r="F161" s="32"/>
      <c r="G161" s="32"/>
      <c r="H161" s="32"/>
      <c r="I161" s="32"/>
    </row>
    <row r="162" ht="15.75" customHeight="1">
      <c r="F162" s="32"/>
      <c r="G162" s="32"/>
      <c r="H162" s="32"/>
      <c r="I162" s="32"/>
    </row>
    <row r="163" ht="15.75" customHeight="1">
      <c r="F163" s="32"/>
      <c r="G163" s="32"/>
      <c r="H163" s="32"/>
      <c r="I163" s="32"/>
    </row>
    <row r="164" ht="15.75" customHeight="1">
      <c r="F164" s="32"/>
      <c r="G164" s="32"/>
      <c r="H164" s="32"/>
      <c r="I164" s="32"/>
    </row>
    <row r="165" ht="15.75" customHeight="1">
      <c r="F165" s="32"/>
      <c r="G165" s="32"/>
      <c r="H165" s="32"/>
      <c r="I165" s="32"/>
    </row>
    <row r="166" ht="15.75" customHeight="1">
      <c r="F166" s="32"/>
      <c r="G166" s="32"/>
      <c r="H166" s="32"/>
      <c r="I166" s="32"/>
    </row>
    <row r="167" ht="15.75" customHeight="1">
      <c r="F167" s="32"/>
      <c r="G167" s="32"/>
      <c r="H167" s="32"/>
      <c r="I167" s="32"/>
    </row>
    <row r="168" ht="15.75" customHeight="1">
      <c r="F168" s="32"/>
      <c r="G168" s="32"/>
      <c r="H168" s="32"/>
      <c r="I168" s="32"/>
    </row>
    <row r="169" ht="15.75" customHeight="1">
      <c r="F169" s="32"/>
      <c r="G169" s="32"/>
      <c r="H169" s="32"/>
      <c r="I169" s="32"/>
    </row>
    <row r="170" ht="15.75" customHeight="1">
      <c r="F170" s="32"/>
      <c r="G170" s="32"/>
      <c r="H170" s="32"/>
      <c r="I170" s="32"/>
    </row>
    <row r="171" ht="15.75" customHeight="1">
      <c r="F171" s="32"/>
      <c r="G171" s="32"/>
      <c r="H171" s="32"/>
      <c r="I171" s="32"/>
    </row>
    <row r="172" ht="15.75" customHeight="1">
      <c r="F172" s="32"/>
      <c r="G172" s="32"/>
      <c r="H172" s="32"/>
      <c r="I172" s="32"/>
    </row>
    <row r="173" ht="15.75" customHeight="1">
      <c r="F173" s="32"/>
      <c r="G173" s="32"/>
      <c r="H173" s="32"/>
      <c r="I173" s="32"/>
    </row>
    <row r="174" ht="15.75" customHeight="1">
      <c r="F174" s="32"/>
      <c r="G174" s="32"/>
      <c r="H174" s="32"/>
      <c r="I174" s="32"/>
    </row>
    <row r="175" ht="15.75" customHeight="1">
      <c r="F175" s="32"/>
      <c r="G175" s="32"/>
      <c r="H175" s="32"/>
      <c r="I175" s="32"/>
    </row>
    <row r="176" ht="15.75" customHeight="1">
      <c r="F176" s="32"/>
      <c r="G176" s="32"/>
      <c r="H176" s="32"/>
      <c r="I176" s="32"/>
    </row>
    <row r="177" ht="15.75" customHeight="1">
      <c r="F177" s="32"/>
      <c r="G177" s="32"/>
      <c r="H177" s="32"/>
      <c r="I177" s="32"/>
    </row>
    <row r="178" ht="15.75" customHeight="1">
      <c r="F178" s="32"/>
      <c r="G178" s="32"/>
      <c r="H178" s="32"/>
      <c r="I178" s="32"/>
    </row>
    <row r="179" ht="15.75" customHeight="1">
      <c r="F179" s="32"/>
      <c r="G179" s="32"/>
      <c r="H179" s="32"/>
      <c r="I179" s="32"/>
    </row>
    <row r="180" ht="15.75" customHeight="1">
      <c r="F180" s="32"/>
      <c r="G180" s="32"/>
      <c r="H180" s="32"/>
      <c r="I180" s="32"/>
    </row>
    <row r="181" ht="15.75" customHeight="1">
      <c r="F181" s="32"/>
      <c r="G181" s="32"/>
      <c r="H181" s="32"/>
      <c r="I181" s="32"/>
    </row>
    <row r="182" ht="15.75" customHeight="1">
      <c r="F182" s="32"/>
      <c r="G182" s="32"/>
      <c r="H182" s="32"/>
      <c r="I182" s="32"/>
    </row>
    <row r="183" ht="15.75" customHeight="1">
      <c r="F183" s="32"/>
      <c r="G183" s="32"/>
      <c r="H183" s="32"/>
      <c r="I183" s="32"/>
    </row>
    <row r="184" ht="15.75" customHeight="1">
      <c r="F184" s="32"/>
      <c r="G184" s="32"/>
      <c r="H184" s="32"/>
      <c r="I184" s="32"/>
    </row>
    <row r="185" ht="15.75" customHeight="1">
      <c r="F185" s="32"/>
      <c r="G185" s="32"/>
      <c r="H185" s="32"/>
      <c r="I185" s="32"/>
    </row>
    <row r="186" ht="15.75" customHeight="1">
      <c r="F186" s="32"/>
      <c r="G186" s="32"/>
      <c r="H186" s="32"/>
      <c r="I186" s="32"/>
    </row>
    <row r="187" ht="15.75" customHeight="1">
      <c r="F187" s="32"/>
      <c r="G187" s="32"/>
      <c r="H187" s="32"/>
      <c r="I187" s="32"/>
    </row>
    <row r="188" ht="15.75" customHeight="1">
      <c r="F188" s="32"/>
      <c r="G188" s="32"/>
      <c r="H188" s="32"/>
      <c r="I188" s="32"/>
    </row>
    <row r="189" ht="15.75" customHeight="1">
      <c r="F189" s="32"/>
      <c r="G189" s="32"/>
      <c r="H189" s="32"/>
      <c r="I189" s="32"/>
    </row>
    <row r="190" ht="15.75" customHeight="1">
      <c r="F190" s="32"/>
      <c r="G190" s="32"/>
      <c r="H190" s="32"/>
      <c r="I190" s="32"/>
    </row>
    <row r="191" ht="15.75" customHeight="1">
      <c r="F191" s="32"/>
      <c r="G191" s="32"/>
      <c r="H191" s="32"/>
      <c r="I191" s="32"/>
    </row>
    <row r="192" ht="15.75" customHeight="1">
      <c r="F192" s="32"/>
      <c r="G192" s="32"/>
      <c r="H192" s="32"/>
      <c r="I192" s="32"/>
    </row>
    <row r="193" ht="15.75" customHeight="1">
      <c r="F193" s="32"/>
      <c r="G193" s="32"/>
      <c r="H193" s="32"/>
      <c r="I193" s="32"/>
    </row>
    <row r="194" ht="15.75" customHeight="1">
      <c r="F194" s="32"/>
      <c r="G194" s="32"/>
      <c r="H194" s="32"/>
      <c r="I194" s="32"/>
    </row>
    <row r="195" ht="15.75" customHeight="1">
      <c r="F195" s="32"/>
      <c r="G195" s="32"/>
      <c r="H195" s="32"/>
      <c r="I195" s="32"/>
    </row>
    <row r="196" ht="15.75" customHeight="1">
      <c r="F196" s="32"/>
      <c r="G196" s="32"/>
      <c r="H196" s="32"/>
      <c r="I196" s="32"/>
    </row>
    <row r="197" ht="15.75" customHeight="1">
      <c r="F197" s="32"/>
      <c r="G197" s="32"/>
      <c r="H197" s="32"/>
      <c r="I197" s="32"/>
    </row>
    <row r="198" ht="15.75" customHeight="1">
      <c r="F198" s="32"/>
      <c r="G198" s="32"/>
      <c r="H198" s="32"/>
      <c r="I198" s="32"/>
    </row>
    <row r="199" ht="15.75" customHeight="1">
      <c r="F199" s="32"/>
      <c r="G199" s="32"/>
      <c r="H199" s="32"/>
      <c r="I199" s="32"/>
    </row>
    <row r="200" ht="15.75" customHeight="1">
      <c r="F200" s="32"/>
      <c r="G200" s="32"/>
      <c r="H200" s="32"/>
      <c r="I200" s="32"/>
    </row>
    <row r="201" ht="15.75" customHeight="1">
      <c r="F201" s="32"/>
      <c r="G201" s="32"/>
      <c r="H201" s="32"/>
      <c r="I201" s="32"/>
    </row>
    <row r="202" ht="15.75" customHeight="1">
      <c r="F202" s="32"/>
      <c r="G202" s="32"/>
      <c r="H202" s="32"/>
      <c r="I202" s="32"/>
    </row>
    <row r="203" ht="15.75" customHeight="1">
      <c r="F203" s="32"/>
      <c r="G203" s="32"/>
      <c r="H203" s="32"/>
      <c r="I203" s="32"/>
    </row>
    <row r="204" ht="15.75" customHeight="1">
      <c r="F204" s="32"/>
      <c r="G204" s="32"/>
      <c r="H204" s="32"/>
      <c r="I204" s="32"/>
    </row>
    <row r="205" ht="15.75" customHeight="1">
      <c r="F205" s="32"/>
      <c r="G205" s="32"/>
      <c r="H205" s="32"/>
      <c r="I205" s="32"/>
    </row>
    <row r="206" ht="15.75" customHeight="1">
      <c r="F206" s="32"/>
      <c r="G206" s="32"/>
      <c r="H206" s="32"/>
      <c r="I206" s="32"/>
    </row>
    <row r="207" ht="15.75" customHeight="1">
      <c r="F207" s="32"/>
      <c r="G207" s="32"/>
      <c r="H207" s="32"/>
      <c r="I207" s="32"/>
    </row>
    <row r="208" ht="15.75" customHeight="1">
      <c r="F208" s="32"/>
      <c r="G208" s="32"/>
      <c r="H208" s="32"/>
      <c r="I208" s="32"/>
    </row>
    <row r="209" ht="15.75" customHeight="1">
      <c r="F209" s="32"/>
      <c r="G209" s="32"/>
      <c r="H209" s="32"/>
      <c r="I209" s="32"/>
    </row>
    <row r="210" ht="15.75" customHeight="1">
      <c r="F210" s="32"/>
      <c r="G210" s="32"/>
      <c r="H210" s="32"/>
      <c r="I210" s="32"/>
    </row>
    <row r="211" ht="15.75" customHeight="1">
      <c r="F211" s="32"/>
      <c r="G211" s="32"/>
      <c r="H211" s="32"/>
      <c r="I211" s="32"/>
    </row>
    <row r="212" ht="15.75" customHeight="1">
      <c r="F212" s="32"/>
      <c r="G212" s="32"/>
      <c r="H212" s="32"/>
      <c r="I212" s="32"/>
    </row>
    <row r="213" ht="15.75" customHeight="1">
      <c r="F213" s="32"/>
      <c r="G213" s="32"/>
      <c r="H213" s="32"/>
      <c r="I213" s="32"/>
    </row>
    <row r="214" ht="15.75" customHeight="1">
      <c r="F214" s="32"/>
      <c r="G214" s="32"/>
      <c r="H214" s="32"/>
      <c r="I214" s="32"/>
    </row>
    <row r="215" ht="15.75" customHeight="1">
      <c r="F215" s="32"/>
      <c r="G215" s="32"/>
      <c r="H215" s="32"/>
      <c r="I215" s="32"/>
    </row>
    <row r="216" ht="15.75" customHeight="1">
      <c r="F216" s="32"/>
      <c r="G216" s="32"/>
      <c r="H216" s="32"/>
      <c r="I216" s="32"/>
    </row>
    <row r="217" ht="15.75" customHeight="1">
      <c r="F217" s="32"/>
      <c r="G217" s="32"/>
      <c r="H217" s="32"/>
      <c r="I217" s="32"/>
    </row>
    <row r="218" ht="15.75" customHeight="1">
      <c r="F218" s="32"/>
      <c r="G218" s="32"/>
      <c r="H218" s="32"/>
      <c r="I218" s="32"/>
    </row>
    <row r="219" ht="15.75" customHeight="1">
      <c r="F219" s="32"/>
      <c r="G219" s="32"/>
      <c r="H219" s="32"/>
      <c r="I219" s="32"/>
    </row>
    <row r="220" ht="15.75" customHeight="1">
      <c r="F220" s="32"/>
      <c r="G220" s="32"/>
      <c r="H220" s="32"/>
      <c r="I220" s="32"/>
    </row>
    <row r="221" ht="15.75" customHeight="1">
      <c r="F221" s="32"/>
      <c r="G221" s="32"/>
      <c r="H221" s="32"/>
      <c r="I221" s="32"/>
    </row>
    <row r="222" ht="15.75" customHeight="1">
      <c r="F222" s="32"/>
      <c r="G222" s="32"/>
      <c r="H222" s="32"/>
      <c r="I222" s="32"/>
    </row>
    <row r="223" ht="15.75" customHeight="1">
      <c r="F223" s="32"/>
      <c r="G223" s="32"/>
      <c r="H223" s="32"/>
      <c r="I223" s="32"/>
    </row>
    <row r="224" ht="15.75" customHeight="1">
      <c r="F224" s="32"/>
      <c r="G224" s="32"/>
      <c r="H224" s="32"/>
      <c r="I224" s="32"/>
    </row>
    <row r="225" ht="15.75" customHeight="1">
      <c r="F225" s="32"/>
      <c r="G225" s="32"/>
      <c r="H225" s="32"/>
      <c r="I225" s="32"/>
    </row>
    <row r="226" ht="15.75" customHeight="1">
      <c r="F226" s="32"/>
      <c r="G226" s="32"/>
      <c r="H226" s="32"/>
      <c r="I226" s="32"/>
    </row>
    <row r="227" ht="15.75" customHeight="1">
      <c r="F227" s="32"/>
      <c r="G227" s="32"/>
      <c r="H227" s="32"/>
      <c r="I227" s="32"/>
    </row>
    <row r="228" ht="15.75" customHeight="1">
      <c r="F228" s="32"/>
      <c r="G228" s="32"/>
      <c r="H228" s="32"/>
      <c r="I228" s="32"/>
    </row>
    <row r="229" ht="15.75" customHeight="1">
      <c r="F229" s="32"/>
      <c r="G229" s="32"/>
      <c r="H229" s="32"/>
      <c r="I229" s="32"/>
    </row>
    <row r="230" ht="15.75" customHeight="1">
      <c r="F230" s="32"/>
      <c r="G230" s="32"/>
      <c r="H230" s="32"/>
      <c r="I230" s="32"/>
    </row>
    <row r="231" ht="15.75" customHeight="1">
      <c r="F231" s="32"/>
      <c r="G231" s="32"/>
      <c r="H231" s="32"/>
      <c r="I231" s="32"/>
    </row>
    <row r="232" ht="15.75" customHeight="1">
      <c r="F232" s="32"/>
      <c r="G232" s="32"/>
      <c r="H232" s="32"/>
      <c r="I232" s="32"/>
    </row>
    <row r="233" ht="15.75" customHeight="1">
      <c r="F233" s="32"/>
      <c r="G233" s="32"/>
      <c r="H233" s="32"/>
      <c r="I233" s="32"/>
    </row>
    <row r="234" ht="15.75" customHeight="1">
      <c r="F234" s="32"/>
      <c r="G234" s="32"/>
      <c r="H234" s="32"/>
      <c r="I234" s="32"/>
    </row>
    <row r="235" ht="15.75" customHeight="1">
      <c r="F235" s="32"/>
      <c r="G235" s="32"/>
      <c r="H235" s="32"/>
      <c r="I235" s="32"/>
    </row>
    <row r="236" ht="15.75" customHeight="1">
      <c r="F236" s="32"/>
      <c r="G236" s="32"/>
      <c r="H236" s="32"/>
      <c r="I236" s="32"/>
    </row>
    <row r="237" ht="15.75" customHeight="1">
      <c r="F237" s="32"/>
      <c r="G237" s="32"/>
      <c r="H237" s="32"/>
      <c r="I237" s="32"/>
    </row>
    <row r="238" ht="15.75" customHeight="1">
      <c r="F238" s="32"/>
      <c r="G238" s="32"/>
      <c r="H238" s="32"/>
      <c r="I238" s="32"/>
    </row>
    <row r="239" ht="15.75" customHeight="1">
      <c r="F239" s="32"/>
      <c r="G239" s="32"/>
      <c r="H239" s="32"/>
      <c r="I239" s="32"/>
    </row>
    <row r="240" ht="15.75" customHeight="1">
      <c r="F240" s="32"/>
      <c r="G240" s="32"/>
      <c r="H240" s="32"/>
      <c r="I240" s="32"/>
    </row>
    <row r="241" ht="15.75" customHeight="1">
      <c r="F241" s="32"/>
      <c r="G241" s="32"/>
      <c r="H241" s="32"/>
      <c r="I241" s="32"/>
    </row>
    <row r="242" ht="15.75" customHeight="1">
      <c r="F242" s="32"/>
      <c r="G242" s="32"/>
      <c r="H242" s="32"/>
      <c r="I242" s="32"/>
    </row>
    <row r="243" ht="15.75" customHeight="1">
      <c r="F243" s="32"/>
      <c r="G243" s="32"/>
      <c r="H243" s="32"/>
      <c r="I243" s="32"/>
    </row>
    <row r="244" ht="15.75" customHeight="1">
      <c r="F244" s="32"/>
      <c r="G244" s="32"/>
      <c r="H244" s="32"/>
      <c r="I244" s="32"/>
    </row>
    <row r="245" ht="15.75" customHeight="1">
      <c r="F245" s="32"/>
      <c r="G245" s="32"/>
      <c r="H245" s="32"/>
      <c r="I245" s="32"/>
    </row>
    <row r="246" ht="15.75" customHeight="1">
      <c r="F246" s="32"/>
      <c r="G246" s="32"/>
      <c r="H246" s="32"/>
      <c r="I246" s="32"/>
    </row>
    <row r="247" ht="15.75" customHeight="1">
      <c r="F247" s="32"/>
      <c r="G247" s="32"/>
      <c r="H247" s="32"/>
      <c r="I247" s="32"/>
    </row>
    <row r="248" ht="15.75" customHeight="1">
      <c r="F248" s="32"/>
      <c r="G248" s="32"/>
      <c r="H248" s="32"/>
      <c r="I248" s="32"/>
    </row>
    <row r="249" ht="15.75" customHeight="1">
      <c r="F249" s="32"/>
      <c r="G249" s="32"/>
      <c r="H249" s="32"/>
      <c r="I249" s="32"/>
    </row>
    <row r="250" ht="15.75" customHeight="1">
      <c r="F250" s="32"/>
      <c r="G250" s="32"/>
      <c r="H250" s="32"/>
      <c r="I250" s="32"/>
    </row>
    <row r="251" ht="15.75" customHeight="1">
      <c r="F251" s="32"/>
      <c r="G251" s="32"/>
      <c r="H251" s="32"/>
      <c r="I251" s="32"/>
    </row>
    <row r="252" ht="15.75" customHeight="1">
      <c r="F252" s="32"/>
      <c r="G252" s="32"/>
      <c r="H252" s="32"/>
      <c r="I252" s="32"/>
    </row>
    <row r="253" ht="15.75" customHeight="1">
      <c r="F253" s="32"/>
      <c r="G253" s="32"/>
      <c r="H253" s="32"/>
      <c r="I253" s="32"/>
    </row>
    <row r="254" ht="15.75" customHeight="1">
      <c r="F254" s="32"/>
      <c r="G254" s="32"/>
      <c r="H254" s="32"/>
      <c r="I254" s="32"/>
    </row>
    <row r="255" ht="15.75" customHeight="1">
      <c r="F255" s="32"/>
      <c r="G255" s="32"/>
      <c r="H255" s="32"/>
      <c r="I255" s="32"/>
    </row>
    <row r="256" ht="15.75" customHeight="1">
      <c r="F256" s="32"/>
      <c r="G256" s="32"/>
      <c r="H256" s="32"/>
      <c r="I256" s="32"/>
    </row>
    <row r="257" ht="15.75" customHeight="1">
      <c r="F257" s="32"/>
      <c r="G257" s="32"/>
      <c r="H257" s="32"/>
      <c r="I257" s="32"/>
    </row>
    <row r="258" ht="15.75" customHeight="1">
      <c r="F258" s="32"/>
      <c r="G258" s="32"/>
      <c r="H258" s="32"/>
      <c r="I258" s="32"/>
    </row>
    <row r="259" ht="15.75" customHeight="1">
      <c r="F259" s="32"/>
      <c r="G259" s="32"/>
      <c r="H259" s="32"/>
      <c r="I259" s="32"/>
    </row>
    <row r="260" ht="15.75" customHeight="1">
      <c r="F260" s="32"/>
      <c r="G260" s="32"/>
      <c r="H260" s="32"/>
      <c r="I260" s="32"/>
    </row>
    <row r="261" ht="15.75" customHeight="1">
      <c r="F261" s="32"/>
      <c r="G261" s="32"/>
      <c r="H261" s="32"/>
      <c r="I261" s="32"/>
    </row>
    <row r="262" ht="15.75" customHeight="1">
      <c r="F262" s="32"/>
      <c r="G262" s="32"/>
      <c r="H262" s="32"/>
      <c r="I262" s="32"/>
    </row>
    <row r="263" ht="15.75" customHeight="1">
      <c r="F263" s="32"/>
      <c r="G263" s="32"/>
      <c r="H263" s="32"/>
      <c r="I263" s="32"/>
    </row>
    <row r="264" ht="15.75" customHeight="1">
      <c r="F264" s="32"/>
      <c r="G264" s="32"/>
      <c r="H264" s="32"/>
      <c r="I264" s="32"/>
    </row>
    <row r="265" ht="15.75" customHeight="1">
      <c r="F265" s="32"/>
      <c r="G265" s="32"/>
      <c r="H265" s="32"/>
      <c r="I265" s="32"/>
    </row>
    <row r="266" ht="15.75" customHeight="1">
      <c r="F266" s="32"/>
      <c r="G266" s="32"/>
      <c r="H266" s="32"/>
      <c r="I266" s="32"/>
    </row>
    <row r="267" ht="15.75" customHeight="1">
      <c r="F267" s="32"/>
      <c r="G267" s="32"/>
      <c r="H267" s="32"/>
      <c r="I267" s="32"/>
    </row>
    <row r="268" ht="15.75" customHeight="1">
      <c r="F268" s="32"/>
      <c r="G268" s="32"/>
      <c r="H268" s="32"/>
      <c r="I268" s="32"/>
    </row>
    <row r="269" ht="15.75" customHeight="1">
      <c r="F269" s="32"/>
      <c r="G269" s="32"/>
      <c r="H269" s="32"/>
      <c r="I269" s="32"/>
    </row>
    <row r="270" ht="15.75" customHeight="1">
      <c r="F270" s="32"/>
      <c r="G270" s="32"/>
      <c r="H270" s="32"/>
      <c r="I270" s="32"/>
    </row>
    <row r="271" ht="15.75" customHeight="1">
      <c r="F271" s="32"/>
      <c r="G271" s="32"/>
      <c r="H271" s="32"/>
      <c r="I271" s="32"/>
    </row>
    <row r="272" ht="15.75" customHeight="1">
      <c r="F272" s="32"/>
      <c r="G272" s="32"/>
      <c r="H272" s="32"/>
      <c r="I272" s="32"/>
    </row>
    <row r="273" ht="15.75" customHeight="1">
      <c r="F273" s="32"/>
      <c r="G273" s="32"/>
      <c r="H273" s="32"/>
      <c r="I273" s="32"/>
    </row>
    <row r="274" ht="15.75" customHeight="1">
      <c r="F274" s="32"/>
      <c r="G274" s="32"/>
      <c r="H274" s="32"/>
      <c r="I274" s="32"/>
    </row>
    <row r="275" ht="15.75" customHeight="1">
      <c r="F275" s="32"/>
      <c r="G275" s="32"/>
      <c r="H275" s="32"/>
      <c r="I275" s="32"/>
    </row>
    <row r="276" ht="15.75" customHeight="1">
      <c r="F276" s="32"/>
      <c r="G276" s="32"/>
      <c r="H276" s="32"/>
      <c r="I276" s="32"/>
    </row>
    <row r="277" ht="15.75" customHeight="1">
      <c r="F277" s="32"/>
      <c r="G277" s="32"/>
      <c r="H277" s="32"/>
      <c r="I277" s="32"/>
    </row>
    <row r="278" ht="15.75" customHeight="1">
      <c r="F278" s="32"/>
      <c r="G278" s="32"/>
      <c r="H278" s="32"/>
      <c r="I278" s="32"/>
    </row>
    <row r="279" ht="15.75" customHeight="1">
      <c r="F279" s="32"/>
      <c r="G279" s="32"/>
      <c r="H279" s="32"/>
      <c r="I279" s="32"/>
    </row>
    <row r="280" ht="15.75" customHeight="1">
      <c r="F280" s="32"/>
      <c r="G280" s="32"/>
      <c r="H280" s="32"/>
      <c r="I280" s="32"/>
    </row>
    <row r="281" ht="15.75" customHeight="1">
      <c r="F281" s="32"/>
      <c r="G281" s="32"/>
      <c r="H281" s="32"/>
      <c r="I281" s="32"/>
    </row>
    <row r="282" ht="15.75" customHeight="1">
      <c r="F282" s="32"/>
      <c r="G282" s="32"/>
      <c r="H282" s="32"/>
      <c r="I282" s="32"/>
    </row>
    <row r="283" ht="15.75" customHeight="1">
      <c r="F283" s="32"/>
      <c r="G283" s="32"/>
      <c r="H283" s="32"/>
      <c r="I283" s="32"/>
    </row>
    <row r="284" ht="15.75" customHeight="1">
      <c r="F284" s="32"/>
      <c r="G284" s="32"/>
      <c r="H284" s="32"/>
      <c r="I284" s="32"/>
    </row>
    <row r="285" ht="15.75" customHeight="1">
      <c r="F285" s="32"/>
      <c r="G285" s="32"/>
      <c r="H285" s="32"/>
      <c r="I285" s="32"/>
    </row>
    <row r="286" ht="15.75" customHeight="1">
      <c r="F286" s="32"/>
      <c r="G286" s="32"/>
      <c r="H286" s="32"/>
      <c r="I286" s="32"/>
    </row>
    <row r="287" ht="15.75" customHeight="1">
      <c r="F287" s="32"/>
      <c r="G287" s="32"/>
      <c r="H287" s="32"/>
      <c r="I287" s="32"/>
    </row>
    <row r="288" ht="15.75" customHeight="1">
      <c r="F288" s="32"/>
      <c r="G288" s="32"/>
      <c r="H288" s="32"/>
      <c r="I288" s="32"/>
    </row>
    <row r="289" ht="15.75" customHeight="1">
      <c r="F289" s="32"/>
      <c r="G289" s="32"/>
      <c r="H289" s="32"/>
      <c r="I289" s="32"/>
    </row>
    <row r="290" ht="15.75" customHeight="1">
      <c r="F290" s="32"/>
      <c r="G290" s="32"/>
      <c r="H290" s="32"/>
      <c r="I290" s="32"/>
    </row>
    <row r="291" ht="15.75" customHeight="1">
      <c r="F291" s="32"/>
      <c r="G291" s="32"/>
      <c r="H291" s="32"/>
      <c r="I291" s="32"/>
    </row>
    <row r="292" ht="15.75" customHeight="1">
      <c r="F292" s="32"/>
      <c r="G292" s="32"/>
      <c r="H292" s="32"/>
      <c r="I292" s="32"/>
    </row>
    <row r="293" ht="15.75" customHeight="1">
      <c r="F293" s="32"/>
      <c r="G293" s="32"/>
      <c r="H293" s="32"/>
      <c r="I293" s="32"/>
    </row>
    <row r="294" ht="15.75" customHeight="1">
      <c r="F294" s="32"/>
      <c r="G294" s="32"/>
      <c r="H294" s="32"/>
      <c r="I294" s="32"/>
    </row>
    <row r="295" ht="15.75" customHeight="1">
      <c r="F295" s="32"/>
      <c r="G295" s="32"/>
      <c r="H295" s="32"/>
      <c r="I295" s="32"/>
    </row>
    <row r="296" ht="15.75" customHeight="1">
      <c r="F296" s="32"/>
      <c r="G296" s="32"/>
      <c r="H296" s="32"/>
      <c r="I296" s="32"/>
    </row>
    <row r="297" ht="15.75" customHeight="1">
      <c r="F297" s="32"/>
      <c r="G297" s="32"/>
      <c r="H297" s="32"/>
      <c r="I297" s="32"/>
    </row>
    <row r="298" ht="15.75" customHeight="1">
      <c r="F298" s="32"/>
      <c r="G298" s="32"/>
      <c r="H298" s="32"/>
      <c r="I298" s="32"/>
    </row>
    <row r="299" ht="15.75" customHeight="1">
      <c r="F299" s="32"/>
      <c r="G299" s="32"/>
      <c r="H299" s="32"/>
      <c r="I299" s="32"/>
    </row>
    <row r="300" ht="15.75" customHeight="1">
      <c r="F300" s="32"/>
      <c r="G300" s="32"/>
      <c r="H300" s="32"/>
      <c r="I300" s="32"/>
    </row>
    <row r="301" ht="15.75" customHeight="1">
      <c r="F301" s="32"/>
      <c r="G301" s="32"/>
      <c r="H301" s="32"/>
      <c r="I301" s="32"/>
    </row>
    <row r="302" ht="15.75" customHeight="1">
      <c r="F302" s="32"/>
      <c r="G302" s="32"/>
      <c r="H302" s="32"/>
      <c r="I302" s="32"/>
    </row>
    <row r="303" ht="15.75" customHeight="1">
      <c r="F303" s="32"/>
      <c r="G303" s="32"/>
      <c r="H303" s="32"/>
      <c r="I303" s="32"/>
    </row>
    <row r="304" ht="15.75" customHeight="1">
      <c r="F304" s="32"/>
      <c r="G304" s="32"/>
      <c r="H304" s="32"/>
      <c r="I304" s="32"/>
    </row>
    <row r="305" ht="15.75" customHeight="1">
      <c r="F305" s="32"/>
      <c r="G305" s="32"/>
      <c r="H305" s="32"/>
      <c r="I305" s="32"/>
    </row>
    <row r="306" ht="15.75" customHeight="1">
      <c r="F306" s="32"/>
      <c r="G306" s="32"/>
      <c r="H306" s="32"/>
      <c r="I306" s="32"/>
    </row>
    <row r="307" ht="15.75" customHeight="1">
      <c r="F307" s="32"/>
      <c r="G307" s="32"/>
      <c r="H307" s="32"/>
      <c r="I307" s="32"/>
    </row>
    <row r="308" ht="15.75" customHeight="1">
      <c r="F308" s="32"/>
      <c r="G308" s="32"/>
      <c r="H308" s="32"/>
      <c r="I308" s="32"/>
    </row>
    <row r="309" ht="15.75" customHeight="1">
      <c r="F309" s="32"/>
      <c r="G309" s="32"/>
      <c r="H309" s="32"/>
      <c r="I309" s="32"/>
    </row>
    <row r="310" ht="15.75" customHeight="1">
      <c r="F310" s="32"/>
      <c r="G310" s="32"/>
      <c r="H310" s="32"/>
      <c r="I310" s="32"/>
    </row>
    <row r="311" ht="15.75" customHeight="1">
      <c r="F311" s="32"/>
      <c r="G311" s="32"/>
      <c r="H311" s="32"/>
      <c r="I311" s="32"/>
    </row>
    <row r="312" ht="15.75" customHeight="1">
      <c r="F312" s="32"/>
      <c r="G312" s="32"/>
      <c r="H312" s="32"/>
      <c r="I312" s="32"/>
    </row>
    <row r="313" ht="15.75" customHeight="1">
      <c r="F313" s="32"/>
      <c r="G313" s="32"/>
      <c r="H313" s="32"/>
      <c r="I313" s="32"/>
    </row>
    <row r="314" ht="15.75" customHeight="1">
      <c r="F314" s="32"/>
      <c r="G314" s="32"/>
      <c r="H314" s="32"/>
      <c r="I314" s="32"/>
    </row>
    <row r="315" ht="15.75" customHeight="1">
      <c r="F315" s="32"/>
      <c r="G315" s="32"/>
      <c r="H315" s="32"/>
      <c r="I315" s="32"/>
    </row>
    <row r="316" ht="15.75" customHeight="1">
      <c r="F316" s="32"/>
      <c r="G316" s="32"/>
      <c r="H316" s="32"/>
      <c r="I316" s="32"/>
    </row>
    <row r="317" ht="15.75" customHeight="1">
      <c r="F317" s="32"/>
      <c r="G317" s="32"/>
      <c r="H317" s="32"/>
      <c r="I317" s="32"/>
    </row>
    <row r="318" ht="15.75" customHeight="1">
      <c r="F318" s="32"/>
      <c r="G318" s="32"/>
      <c r="H318" s="32"/>
      <c r="I318" s="32"/>
    </row>
    <row r="319" ht="15.75" customHeight="1">
      <c r="F319" s="32"/>
      <c r="G319" s="32"/>
      <c r="H319" s="32"/>
      <c r="I319" s="32"/>
    </row>
    <row r="320" ht="15.75" customHeight="1">
      <c r="F320" s="32"/>
      <c r="G320" s="32"/>
      <c r="H320" s="32"/>
      <c r="I320" s="32"/>
    </row>
    <row r="321" ht="15.75" customHeight="1">
      <c r="F321" s="32"/>
      <c r="G321" s="32"/>
      <c r="H321" s="32"/>
      <c r="I321" s="32"/>
    </row>
    <row r="322" ht="15.75" customHeight="1">
      <c r="F322" s="32"/>
      <c r="G322" s="32"/>
      <c r="H322" s="32"/>
      <c r="I322" s="32"/>
    </row>
    <row r="323" ht="15.75" customHeight="1">
      <c r="F323" s="32"/>
      <c r="G323" s="32"/>
      <c r="H323" s="32"/>
      <c r="I323" s="32"/>
    </row>
    <row r="324" ht="15.75" customHeight="1">
      <c r="F324" s="32"/>
      <c r="G324" s="32"/>
      <c r="H324" s="32"/>
      <c r="I324" s="32"/>
    </row>
    <row r="325" ht="15.75" customHeight="1">
      <c r="F325" s="32"/>
      <c r="G325" s="32"/>
      <c r="H325" s="32"/>
      <c r="I325" s="32"/>
    </row>
    <row r="326" ht="15.75" customHeight="1">
      <c r="F326" s="32"/>
      <c r="G326" s="32"/>
      <c r="H326" s="32"/>
      <c r="I326" s="32"/>
    </row>
    <row r="327" ht="15.75" customHeight="1">
      <c r="F327" s="32"/>
      <c r="G327" s="32"/>
      <c r="H327" s="32"/>
      <c r="I327" s="32"/>
    </row>
    <row r="328" ht="15.75" customHeight="1">
      <c r="F328" s="32"/>
      <c r="G328" s="32"/>
      <c r="H328" s="32"/>
      <c r="I328" s="32"/>
    </row>
    <row r="329" ht="15.75" customHeight="1">
      <c r="F329" s="32"/>
      <c r="G329" s="32"/>
      <c r="H329" s="32"/>
      <c r="I329" s="32"/>
    </row>
    <row r="330" ht="15.75" customHeight="1">
      <c r="F330" s="32"/>
      <c r="G330" s="32"/>
      <c r="H330" s="32"/>
      <c r="I330" s="32"/>
    </row>
    <row r="331" ht="15.75" customHeight="1">
      <c r="F331" s="32"/>
      <c r="G331" s="32"/>
      <c r="H331" s="32"/>
      <c r="I331" s="32"/>
    </row>
    <row r="332" ht="15.75" customHeight="1">
      <c r="F332" s="32"/>
      <c r="G332" s="32"/>
      <c r="H332" s="32"/>
      <c r="I332" s="32"/>
    </row>
    <row r="333" ht="15.75" customHeight="1">
      <c r="F333" s="32"/>
      <c r="G333" s="32"/>
      <c r="H333" s="32"/>
      <c r="I333" s="32"/>
    </row>
    <row r="334" ht="15.75" customHeight="1">
      <c r="F334" s="32"/>
      <c r="G334" s="32"/>
      <c r="H334" s="32"/>
      <c r="I334" s="32"/>
    </row>
    <row r="335" ht="15.75" customHeight="1">
      <c r="F335" s="32"/>
      <c r="G335" s="32"/>
      <c r="H335" s="32"/>
      <c r="I335" s="32"/>
    </row>
    <row r="336" ht="15.75" customHeight="1">
      <c r="F336" s="32"/>
      <c r="G336" s="32"/>
      <c r="H336" s="32"/>
      <c r="I336" s="32"/>
    </row>
    <row r="337" ht="15.75" customHeight="1">
      <c r="F337" s="32"/>
      <c r="G337" s="32"/>
      <c r="H337" s="32"/>
      <c r="I337" s="32"/>
    </row>
    <row r="338" ht="15.75" customHeight="1">
      <c r="F338" s="32"/>
      <c r="G338" s="32"/>
      <c r="H338" s="32"/>
      <c r="I338" s="32"/>
    </row>
    <row r="339" ht="15.75" customHeight="1">
      <c r="F339" s="32"/>
      <c r="G339" s="32"/>
      <c r="H339" s="32"/>
      <c r="I339" s="32"/>
    </row>
    <row r="340" ht="15.75" customHeight="1">
      <c r="F340" s="32"/>
      <c r="G340" s="32"/>
      <c r="H340" s="32"/>
      <c r="I340" s="32"/>
    </row>
    <row r="341" ht="15.75" customHeight="1">
      <c r="F341" s="32"/>
      <c r="G341" s="32"/>
      <c r="H341" s="32"/>
      <c r="I341" s="32"/>
    </row>
    <row r="342" ht="15.75" customHeight="1">
      <c r="F342" s="32"/>
      <c r="G342" s="32"/>
      <c r="H342" s="32"/>
      <c r="I342" s="32"/>
    </row>
    <row r="343" ht="15.75" customHeight="1">
      <c r="F343" s="32"/>
      <c r="G343" s="32"/>
      <c r="H343" s="32"/>
      <c r="I343" s="32"/>
    </row>
    <row r="344" ht="15.75" customHeight="1">
      <c r="F344" s="32"/>
      <c r="G344" s="32"/>
      <c r="H344" s="32"/>
      <c r="I344" s="32"/>
    </row>
    <row r="345" ht="15.75" customHeight="1">
      <c r="F345" s="32"/>
      <c r="G345" s="32"/>
      <c r="H345" s="32"/>
      <c r="I345" s="32"/>
    </row>
    <row r="346" ht="15.75" customHeight="1">
      <c r="F346" s="32"/>
      <c r="G346" s="32"/>
      <c r="H346" s="32"/>
      <c r="I346" s="32"/>
    </row>
    <row r="347" ht="15.75" customHeight="1">
      <c r="F347" s="32"/>
      <c r="G347" s="32"/>
      <c r="H347" s="32"/>
      <c r="I347" s="32"/>
    </row>
    <row r="348" ht="15.75" customHeight="1">
      <c r="F348" s="32"/>
      <c r="G348" s="32"/>
      <c r="H348" s="32"/>
      <c r="I348" s="32"/>
    </row>
    <row r="349" ht="15.75" customHeight="1">
      <c r="F349" s="32"/>
      <c r="G349" s="32"/>
      <c r="H349" s="32"/>
      <c r="I349" s="32"/>
    </row>
    <row r="350" ht="15.75" customHeight="1">
      <c r="F350" s="32"/>
      <c r="G350" s="32"/>
      <c r="H350" s="32"/>
      <c r="I350" s="32"/>
    </row>
    <row r="351" ht="15.75" customHeight="1">
      <c r="F351" s="32"/>
      <c r="G351" s="32"/>
      <c r="H351" s="32"/>
      <c r="I351" s="32"/>
    </row>
    <row r="352" ht="15.75" customHeight="1">
      <c r="F352" s="32"/>
      <c r="G352" s="32"/>
      <c r="H352" s="32"/>
      <c r="I352" s="32"/>
    </row>
    <row r="353" ht="15.75" customHeight="1">
      <c r="F353" s="32"/>
      <c r="G353" s="32"/>
      <c r="H353" s="32"/>
      <c r="I353" s="32"/>
    </row>
    <row r="354" ht="15.75" customHeight="1">
      <c r="F354" s="32"/>
      <c r="G354" s="32"/>
      <c r="H354" s="32"/>
      <c r="I354" s="32"/>
    </row>
    <row r="355" ht="15.75" customHeight="1">
      <c r="F355" s="32"/>
      <c r="G355" s="32"/>
      <c r="H355" s="32"/>
      <c r="I355" s="32"/>
    </row>
    <row r="356" ht="15.75" customHeight="1">
      <c r="F356" s="32"/>
      <c r="G356" s="32"/>
      <c r="H356" s="32"/>
      <c r="I356" s="32"/>
    </row>
    <row r="357" ht="15.75" customHeight="1">
      <c r="F357" s="32"/>
      <c r="G357" s="32"/>
      <c r="H357" s="32"/>
      <c r="I357" s="32"/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7.0"/>
    <col customWidth="1" min="4" max="4" width="23.14"/>
    <col customWidth="1" min="5" max="5" width="14.43"/>
    <col customWidth="1" min="6" max="6" width="29.14"/>
    <col customWidth="1" min="7" max="7" width="11.86"/>
  </cols>
  <sheetData>
    <row r="1" ht="15.75" customHeight="1">
      <c r="A1" s="33" t="s">
        <v>404</v>
      </c>
      <c r="B1" s="34" t="s">
        <v>405</v>
      </c>
      <c r="C1" s="34" t="s">
        <v>406</v>
      </c>
      <c r="D1" s="34" t="s">
        <v>407</v>
      </c>
      <c r="E1" s="34" t="s">
        <v>408</v>
      </c>
      <c r="F1" s="34" t="s">
        <v>409</v>
      </c>
      <c r="G1" s="34" t="s">
        <v>6</v>
      </c>
      <c r="H1" s="34" t="s">
        <v>410</v>
      </c>
      <c r="I1" s="34" t="s">
        <v>411</v>
      </c>
      <c r="J1" s="34" t="s">
        <v>412</v>
      </c>
      <c r="K1" s="34" t="s">
        <v>413</v>
      </c>
    </row>
    <row r="2" ht="15.75" customHeight="1">
      <c r="A2" s="35" t="s">
        <v>414</v>
      </c>
      <c r="B2" s="35" t="s">
        <v>415</v>
      </c>
      <c r="C2" s="35" t="s">
        <v>416</v>
      </c>
      <c r="D2" s="36" t="s">
        <v>417</v>
      </c>
      <c r="E2" s="35">
        <f>+243812222220</f>
        <v>243812222220</v>
      </c>
      <c r="F2" s="36" t="s">
        <v>418</v>
      </c>
      <c r="G2" s="37"/>
      <c r="H2" s="35" t="s">
        <v>419</v>
      </c>
      <c r="I2" s="35" t="s">
        <v>420</v>
      </c>
      <c r="J2" s="37"/>
      <c r="K2" s="38" t="s">
        <v>421</v>
      </c>
    </row>
    <row r="3" ht="15.75" customHeight="1">
      <c r="A3" s="35" t="s">
        <v>414</v>
      </c>
      <c r="B3" s="35" t="s">
        <v>415</v>
      </c>
      <c r="C3" s="35" t="s">
        <v>416</v>
      </c>
      <c r="D3" s="35" t="s">
        <v>422</v>
      </c>
      <c r="E3" s="35">
        <f>+96170378378</f>
        <v>96170378378</v>
      </c>
      <c r="F3" s="35" t="s">
        <v>423</v>
      </c>
      <c r="G3" s="37"/>
      <c r="H3" s="35" t="s">
        <v>424</v>
      </c>
      <c r="I3" s="35" t="s">
        <v>420</v>
      </c>
      <c r="J3" s="37"/>
      <c r="K3" s="39" t="s">
        <v>421</v>
      </c>
    </row>
    <row r="4" ht="15.75" customHeight="1">
      <c r="A4" s="35" t="s">
        <v>414</v>
      </c>
      <c r="B4" s="35" t="s">
        <v>415</v>
      </c>
      <c r="C4" s="35" t="s">
        <v>416</v>
      </c>
      <c r="D4" s="35" t="s">
        <v>425</v>
      </c>
      <c r="E4" s="35">
        <f>+96170116883</f>
        <v>96170116883</v>
      </c>
      <c r="F4" s="35" t="s">
        <v>426</v>
      </c>
      <c r="G4" s="37"/>
      <c r="H4" s="35" t="s">
        <v>424</v>
      </c>
      <c r="I4" s="35" t="s">
        <v>420</v>
      </c>
      <c r="J4" s="37"/>
      <c r="K4" s="39" t="s">
        <v>427</v>
      </c>
    </row>
    <row r="5" ht="15.75" customHeight="1">
      <c r="A5" s="35" t="s">
        <v>414</v>
      </c>
      <c r="B5" s="35" t="s">
        <v>415</v>
      </c>
      <c r="C5" s="35" t="s">
        <v>416</v>
      </c>
      <c r="D5" s="35" t="s">
        <v>428</v>
      </c>
      <c r="E5" s="35">
        <f>+96176883329</f>
        <v>96176883329</v>
      </c>
      <c r="F5" s="35" t="s">
        <v>429</v>
      </c>
      <c r="G5" s="37"/>
      <c r="H5" s="35" t="s">
        <v>424</v>
      </c>
      <c r="I5" s="35" t="s">
        <v>420</v>
      </c>
      <c r="J5" s="37"/>
      <c r="K5" s="39" t="s">
        <v>421</v>
      </c>
    </row>
    <row r="6" ht="15.75" customHeight="1">
      <c r="A6" s="35" t="s">
        <v>414</v>
      </c>
      <c r="B6" s="35" t="s">
        <v>415</v>
      </c>
      <c r="C6" s="35" t="s">
        <v>416</v>
      </c>
      <c r="D6" s="35" t="s">
        <v>430</v>
      </c>
      <c r="E6" s="35">
        <f>+971506461275</f>
        <v>971506461275</v>
      </c>
      <c r="F6" s="35" t="s">
        <v>431</v>
      </c>
      <c r="G6" s="37"/>
      <c r="H6" s="35" t="s">
        <v>424</v>
      </c>
      <c r="I6" s="35" t="s">
        <v>420</v>
      </c>
      <c r="J6" s="37"/>
      <c r="K6" s="39" t="s">
        <v>432</v>
      </c>
    </row>
    <row r="7" ht="15.75" customHeight="1">
      <c r="A7" s="35" t="s">
        <v>414</v>
      </c>
      <c r="B7" s="35" t="s">
        <v>415</v>
      </c>
      <c r="C7" s="35" t="s">
        <v>416</v>
      </c>
      <c r="D7" s="35" t="s">
        <v>433</v>
      </c>
      <c r="E7" s="35">
        <f>+9613706534</f>
        <v>9613706534</v>
      </c>
      <c r="F7" s="35" t="s">
        <v>434</v>
      </c>
      <c r="G7" s="37"/>
      <c r="H7" s="35" t="s">
        <v>424</v>
      </c>
      <c r="I7" s="35" t="s">
        <v>420</v>
      </c>
      <c r="J7" s="37"/>
      <c r="K7" s="39" t="s">
        <v>421</v>
      </c>
    </row>
    <row r="8" ht="15.75" customHeight="1">
      <c r="A8" s="35" t="s">
        <v>414</v>
      </c>
      <c r="B8" s="35" t="s">
        <v>415</v>
      </c>
      <c r="C8" s="35" t="s">
        <v>416</v>
      </c>
      <c r="D8" s="35" t="s">
        <v>435</v>
      </c>
      <c r="E8" s="35">
        <f>+9613876393</f>
        <v>9613876393</v>
      </c>
      <c r="F8" s="35" t="s">
        <v>436</v>
      </c>
      <c r="G8" s="37"/>
      <c r="H8" s="35" t="s">
        <v>424</v>
      </c>
      <c r="I8" s="35" t="s">
        <v>420</v>
      </c>
      <c r="J8" s="37"/>
      <c r="K8" s="39" t="s">
        <v>437</v>
      </c>
    </row>
    <row r="9" ht="15.75" customHeight="1">
      <c r="A9" s="35" t="s">
        <v>414</v>
      </c>
      <c r="B9" s="35" t="s">
        <v>415</v>
      </c>
      <c r="C9" s="35" t="s">
        <v>416</v>
      </c>
      <c r="D9" s="35" t="s">
        <v>438</v>
      </c>
      <c r="E9" s="35">
        <f>+9613383700</f>
        <v>9613383700</v>
      </c>
      <c r="F9" s="35" t="s">
        <v>439</v>
      </c>
      <c r="G9" s="37"/>
      <c r="H9" s="35" t="s">
        <v>424</v>
      </c>
      <c r="I9" s="35" t="s">
        <v>420</v>
      </c>
      <c r="J9" s="37"/>
      <c r="K9" s="39" t="s">
        <v>440</v>
      </c>
    </row>
    <row r="10" ht="15.75" customHeight="1">
      <c r="A10" s="35" t="s">
        <v>414</v>
      </c>
      <c r="B10" s="35" t="s">
        <v>415</v>
      </c>
      <c r="C10" s="35" t="s">
        <v>416</v>
      </c>
      <c r="D10" s="35" t="s">
        <v>441</v>
      </c>
      <c r="E10" s="35">
        <f>+9613140471</f>
        <v>9613140471</v>
      </c>
      <c r="F10" s="35" t="s">
        <v>442</v>
      </c>
      <c r="G10" s="37"/>
      <c r="H10" s="35" t="s">
        <v>424</v>
      </c>
      <c r="I10" s="35" t="s">
        <v>420</v>
      </c>
      <c r="J10" s="37"/>
      <c r="K10" s="39" t="s">
        <v>443</v>
      </c>
    </row>
    <row r="11" ht="15.75" customHeight="1">
      <c r="A11" s="35" t="s">
        <v>414</v>
      </c>
      <c r="B11" s="35" t="s">
        <v>415</v>
      </c>
      <c r="C11" s="35" t="s">
        <v>416</v>
      </c>
      <c r="D11" s="35" t="s">
        <v>444</v>
      </c>
      <c r="E11" s="35">
        <f>+9613464561</f>
        <v>9613464561</v>
      </c>
      <c r="F11" s="35" t="s">
        <v>445</v>
      </c>
      <c r="G11" s="37"/>
      <c r="H11" s="35" t="s">
        <v>424</v>
      </c>
      <c r="I11" s="35" t="s">
        <v>420</v>
      </c>
      <c r="J11" s="37"/>
      <c r="K11" s="39" t="s">
        <v>446</v>
      </c>
    </row>
    <row r="12" ht="15.75" customHeight="1">
      <c r="A12" s="35" t="s">
        <v>414</v>
      </c>
      <c r="B12" s="35" t="s">
        <v>415</v>
      </c>
      <c r="C12" s="35" t="s">
        <v>416</v>
      </c>
      <c r="D12" s="35" t="s">
        <v>447</v>
      </c>
      <c r="E12" s="35">
        <f>+9613507097</f>
        <v>9613507097</v>
      </c>
      <c r="F12" s="35" t="s">
        <v>448</v>
      </c>
      <c r="G12" s="37"/>
      <c r="H12" s="35" t="s">
        <v>424</v>
      </c>
      <c r="I12" s="35" t="s">
        <v>420</v>
      </c>
      <c r="J12" s="37"/>
      <c r="K12" s="39" t="s">
        <v>421</v>
      </c>
    </row>
    <row r="13" ht="15.75" customHeight="1">
      <c r="A13" s="35" t="s">
        <v>414</v>
      </c>
      <c r="B13" s="35" t="s">
        <v>415</v>
      </c>
      <c r="C13" s="35" t="s">
        <v>416</v>
      </c>
      <c r="D13" s="35" t="s">
        <v>449</v>
      </c>
      <c r="E13" s="35">
        <f>+9613186842</f>
        <v>9613186842</v>
      </c>
      <c r="F13" s="35" t="s">
        <v>450</v>
      </c>
      <c r="G13" s="37"/>
      <c r="H13" s="35" t="s">
        <v>424</v>
      </c>
      <c r="I13" s="35" t="s">
        <v>420</v>
      </c>
      <c r="J13" s="37"/>
      <c r="K13" s="39" t="s">
        <v>421</v>
      </c>
    </row>
    <row r="14" ht="15.75" customHeight="1">
      <c r="A14" s="35" t="s">
        <v>414</v>
      </c>
      <c r="B14" s="35" t="s">
        <v>415</v>
      </c>
      <c r="C14" s="35" t="s">
        <v>416</v>
      </c>
      <c r="D14" s="35" t="s">
        <v>451</v>
      </c>
      <c r="E14" s="35">
        <f>+9613002322</f>
        <v>9613002322</v>
      </c>
      <c r="F14" s="35" t="s">
        <v>452</v>
      </c>
      <c r="G14" s="37"/>
      <c r="H14" s="35" t="s">
        <v>424</v>
      </c>
      <c r="I14" s="35" t="s">
        <v>420</v>
      </c>
      <c r="J14" s="37"/>
      <c r="K14" s="39" t="s">
        <v>421</v>
      </c>
    </row>
    <row r="15" ht="15.75" customHeight="1">
      <c r="A15" s="35" t="s">
        <v>414</v>
      </c>
      <c r="B15" s="35" t="s">
        <v>415</v>
      </c>
      <c r="C15" s="35" t="s">
        <v>416</v>
      </c>
      <c r="D15" s="35" t="s">
        <v>453</v>
      </c>
      <c r="E15" s="35">
        <f>+96171787610</f>
        <v>96171787610</v>
      </c>
      <c r="F15" s="35" t="s">
        <v>454</v>
      </c>
      <c r="G15" s="37"/>
      <c r="H15" s="35" t="s">
        <v>424</v>
      </c>
      <c r="I15" s="35" t="s">
        <v>420</v>
      </c>
      <c r="J15" s="37"/>
      <c r="K15" s="39" t="s">
        <v>421</v>
      </c>
    </row>
    <row r="16" ht="15.75" customHeight="1">
      <c r="A16" s="35" t="s">
        <v>414</v>
      </c>
      <c r="B16" s="35" t="s">
        <v>415</v>
      </c>
      <c r="C16" s="35" t="s">
        <v>416</v>
      </c>
      <c r="D16" s="35" t="s">
        <v>455</v>
      </c>
      <c r="E16" s="35">
        <v>9.6137565E9</v>
      </c>
      <c r="F16" s="35" t="s">
        <v>456</v>
      </c>
      <c r="G16" s="37"/>
      <c r="H16" s="35" t="s">
        <v>424</v>
      </c>
      <c r="I16" s="35" t="s">
        <v>420</v>
      </c>
      <c r="J16" s="37"/>
      <c r="K16" s="39" t="s">
        <v>421</v>
      </c>
    </row>
    <row r="17" ht="15.75" customHeight="1">
      <c r="A17" s="35" t="s">
        <v>414</v>
      </c>
      <c r="B17" s="35" t="s">
        <v>415</v>
      </c>
      <c r="C17" s="35" t="s">
        <v>416</v>
      </c>
      <c r="D17" s="35" t="s">
        <v>457</v>
      </c>
      <c r="E17" s="35">
        <f>+9613909772</f>
        <v>9613909772</v>
      </c>
      <c r="F17" s="35" t="s">
        <v>458</v>
      </c>
      <c r="G17" s="37"/>
      <c r="H17" s="35" t="s">
        <v>424</v>
      </c>
      <c r="I17" s="35" t="s">
        <v>420</v>
      </c>
      <c r="J17" s="37"/>
      <c r="K17" s="39" t="s">
        <v>421</v>
      </c>
    </row>
    <row r="18" ht="15.75" customHeight="1">
      <c r="A18" s="35" t="s">
        <v>414</v>
      </c>
      <c r="B18" s="35" t="s">
        <v>415</v>
      </c>
      <c r="C18" s="35" t="s">
        <v>416</v>
      </c>
      <c r="D18" s="35" t="s">
        <v>459</v>
      </c>
      <c r="E18" s="35">
        <f>+966555566744</f>
        <v>966555566744</v>
      </c>
      <c r="F18" s="35" t="s">
        <v>460</v>
      </c>
      <c r="G18" s="37"/>
      <c r="H18" s="35" t="s">
        <v>424</v>
      </c>
      <c r="I18" s="35" t="s">
        <v>420</v>
      </c>
      <c r="J18" s="37"/>
      <c r="K18" s="39" t="s">
        <v>421</v>
      </c>
    </row>
    <row r="19" ht="15.75" customHeight="1">
      <c r="A19" s="35" t="s">
        <v>414</v>
      </c>
      <c r="B19" s="35" t="s">
        <v>415</v>
      </c>
      <c r="C19" s="35" t="s">
        <v>416</v>
      </c>
      <c r="D19" s="35" t="s">
        <v>461</v>
      </c>
      <c r="E19" s="35">
        <f>+9613099060</f>
        <v>9613099060</v>
      </c>
      <c r="F19" s="35" t="s">
        <v>462</v>
      </c>
      <c r="G19" s="37"/>
      <c r="H19" s="35" t="s">
        <v>424</v>
      </c>
      <c r="I19" s="35" t="s">
        <v>420</v>
      </c>
      <c r="J19" s="37"/>
      <c r="K19" s="39" t="s">
        <v>421</v>
      </c>
    </row>
    <row r="20" ht="15.75" customHeight="1">
      <c r="A20" s="35" t="s">
        <v>414</v>
      </c>
      <c r="B20" s="35" t="s">
        <v>415</v>
      </c>
      <c r="C20" s="35" t="s">
        <v>416</v>
      </c>
      <c r="D20" s="35" t="s">
        <v>463</v>
      </c>
      <c r="E20" s="35">
        <f>+96103752970</f>
        <v>96103752970</v>
      </c>
      <c r="F20" s="35" t="s">
        <v>464</v>
      </c>
      <c r="G20" s="37"/>
      <c r="H20" s="35" t="s">
        <v>424</v>
      </c>
      <c r="I20" s="35" t="s">
        <v>420</v>
      </c>
      <c r="J20" s="37"/>
      <c r="K20" s="39" t="s">
        <v>421</v>
      </c>
    </row>
    <row r="21" ht="15.75" customHeight="1">
      <c r="A21" s="35" t="s">
        <v>414</v>
      </c>
      <c r="B21" s="35" t="s">
        <v>415</v>
      </c>
      <c r="C21" s="35" t="s">
        <v>416</v>
      </c>
      <c r="D21" s="35" t="s">
        <v>465</v>
      </c>
      <c r="E21" s="35">
        <f>+9613554659</f>
        <v>9613554659</v>
      </c>
      <c r="F21" s="35" t="s">
        <v>466</v>
      </c>
      <c r="G21" s="37"/>
      <c r="H21" s="35" t="s">
        <v>424</v>
      </c>
      <c r="I21" s="35" t="s">
        <v>420</v>
      </c>
      <c r="J21" s="35">
        <v>5.09881388E8</v>
      </c>
      <c r="K21" s="39" t="s">
        <v>421</v>
      </c>
    </row>
    <row r="22" ht="15.75" customHeight="1">
      <c r="A22" s="35" t="s">
        <v>414</v>
      </c>
      <c r="B22" s="35" t="s">
        <v>415</v>
      </c>
      <c r="C22" s="35" t="s">
        <v>416</v>
      </c>
      <c r="D22" s="35" t="s">
        <v>467</v>
      </c>
      <c r="E22" s="35">
        <f>+96170442447</f>
        <v>96170442447</v>
      </c>
      <c r="F22" s="35" t="s">
        <v>468</v>
      </c>
      <c r="G22" s="37"/>
      <c r="H22" s="35" t="s">
        <v>424</v>
      </c>
      <c r="I22" s="35" t="s">
        <v>420</v>
      </c>
      <c r="J22" s="37"/>
      <c r="K22" s="38" t="s">
        <v>469</v>
      </c>
    </row>
    <row r="23" ht="15.75" customHeight="1">
      <c r="A23" s="35" t="s">
        <v>414</v>
      </c>
      <c r="B23" s="35" t="s">
        <v>415</v>
      </c>
      <c r="C23" s="35" t="s">
        <v>416</v>
      </c>
      <c r="D23" s="35" t="s">
        <v>470</v>
      </c>
      <c r="E23" s="35">
        <f>+9613650115</f>
        <v>9613650115</v>
      </c>
      <c r="F23" s="35" t="s">
        <v>471</v>
      </c>
      <c r="G23" s="35"/>
      <c r="H23" s="35" t="s">
        <v>424</v>
      </c>
      <c r="I23" s="35" t="s">
        <v>420</v>
      </c>
      <c r="J23" s="37"/>
      <c r="K23" s="39" t="s">
        <v>472</v>
      </c>
    </row>
    <row r="24" ht="15.75" customHeight="1">
      <c r="A24" s="35" t="s">
        <v>414</v>
      </c>
      <c r="B24" s="35" t="s">
        <v>415</v>
      </c>
      <c r="C24" s="35" t="s">
        <v>416</v>
      </c>
      <c r="D24" s="35" t="s">
        <v>473</v>
      </c>
      <c r="E24" s="35">
        <f>+96103711227</f>
        <v>96103711227</v>
      </c>
      <c r="F24" s="35" t="s">
        <v>474</v>
      </c>
      <c r="G24" s="35"/>
      <c r="H24" s="35" t="s">
        <v>424</v>
      </c>
      <c r="I24" s="35" t="s">
        <v>420</v>
      </c>
      <c r="J24" s="37"/>
      <c r="K24" s="39" t="s">
        <v>469</v>
      </c>
    </row>
    <row r="25" ht="15.75" customHeight="1">
      <c r="A25" s="35" t="s">
        <v>414</v>
      </c>
      <c r="B25" s="35" t="s">
        <v>415</v>
      </c>
      <c r="C25" s="35" t="s">
        <v>416</v>
      </c>
      <c r="D25" s="35" t="s">
        <v>475</v>
      </c>
      <c r="E25" s="35">
        <f>+9613247778</f>
        <v>9613247778</v>
      </c>
      <c r="F25" s="35" t="s">
        <v>476</v>
      </c>
      <c r="G25" s="35"/>
      <c r="H25" s="35" t="s">
        <v>424</v>
      </c>
      <c r="I25" s="35" t="s">
        <v>420</v>
      </c>
      <c r="J25" s="37"/>
      <c r="K25" s="39" t="s">
        <v>477</v>
      </c>
    </row>
    <row r="26" ht="15.75" customHeight="1">
      <c r="A26" s="35" t="s">
        <v>414</v>
      </c>
      <c r="B26" s="35" t="s">
        <v>415</v>
      </c>
      <c r="C26" s="35" t="s">
        <v>416</v>
      </c>
      <c r="D26" s="35" t="s">
        <v>478</v>
      </c>
      <c r="E26" s="35">
        <v>9.6170799999E10</v>
      </c>
      <c r="F26" s="35" t="s">
        <v>479</v>
      </c>
      <c r="G26" s="35"/>
      <c r="H26" s="35" t="s">
        <v>424</v>
      </c>
      <c r="I26" s="35" t="s">
        <v>420</v>
      </c>
      <c r="J26" s="37"/>
      <c r="K26" s="39" t="s">
        <v>469</v>
      </c>
    </row>
    <row r="27" ht="15.75" customHeight="1">
      <c r="A27" s="35" t="s">
        <v>414</v>
      </c>
      <c r="B27" s="35" t="s">
        <v>415</v>
      </c>
      <c r="C27" s="35" t="s">
        <v>416</v>
      </c>
      <c r="D27" s="35" t="s">
        <v>480</v>
      </c>
      <c r="E27" s="35">
        <f>+96170071080</f>
        <v>96170071080</v>
      </c>
      <c r="F27" s="40" t="s">
        <v>481</v>
      </c>
      <c r="G27" s="35"/>
      <c r="H27" s="35" t="s">
        <v>424</v>
      </c>
      <c r="I27" s="35" t="s">
        <v>420</v>
      </c>
      <c r="J27" s="37"/>
      <c r="K27" s="39" t="s">
        <v>482</v>
      </c>
    </row>
    <row r="28" ht="15.75" customHeight="1">
      <c r="A28" s="35" t="s">
        <v>414</v>
      </c>
      <c r="B28" s="35" t="s">
        <v>415</v>
      </c>
      <c r="C28" s="35" t="s">
        <v>416</v>
      </c>
      <c r="D28" s="35" t="s">
        <v>483</v>
      </c>
      <c r="E28" s="35">
        <f>+9613015891</f>
        <v>9613015891</v>
      </c>
      <c r="F28" s="35" t="s">
        <v>484</v>
      </c>
      <c r="G28" s="35"/>
      <c r="H28" s="35" t="s">
        <v>424</v>
      </c>
      <c r="I28" s="35" t="s">
        <v>420</v>
      </c>
      <c r="J28" s="37"/>
      <c r="K28" s="39" t="s">
        <v>485</v>
      </c>
    </row>
    <row r="29" ht="15.75" customHeight="1">
      <c r="A29" s="35" t="s">
        <v>414</v>
      </c>
      <c r="B29" s="35" t="s">
        <v>415</v>
      </c>
      <c r="C29" s="35" t="s">
        <v>416</v>
      </c>
      <c r="D29" s="35" t="s">
        <v>486</v>
      </c>
      <c r="E29" s="35">
        <f>+96103739783</f>
        <v>96103739783</v>
      </c>
      <c r="F29" s="35" t="s">
        <v>487</v>
      </c>
      <c r="G29" s="35"/>
      <c r="H29" s="35" t="s">
        <v>424</v>
      </c>
      <c r="I29" s="35" t="s">
        <v>420</v>
      </c>
      <c r="J29" s="37"/>
      <c r="K29" s="39" t="s">
        <v>488</v>
      </c>
    </row>
    <row r="30" ht="15.75" customHeight="1">
      <c r="A30" s="35" t="s">
        <v>414</v>
      </c>
      <c r="B30" s="35" t="s">
        <v>415</v>
      </c>
      <c r="C30" s="35" t="s">
        <v>416</v>
      </c>
      <c r="D30" s="35" t="s">
        <v>489</v>
      </c>
      <c r="E30" s="35">
        <f>+9613903014</f>
        <v>9613903014</v>
      </c>
      <c r="F30" s="35" t="s">
        <v>490</v>
      </c>
      <c r="G30" s="35"/>
      <c r="H30" s="35" t="s">
        <v>424</v>
      </c>
      <c r="I30" s="35" t="s">
        <v>420</v>
      </c>
      <c r="J30" s="37"/>
      <c r="K30" s="39" t="s">
        <v>491</v>
      </c>
    </row>
    <row r="31" ht="15.75" customHeight="1">
      <c r="A31" s="35" t="s">
        <v>414</v>
      </c>
      <c r="B31" s="35" t="s">
        <v>415</v>
      </c>
      <c r="C31" s="35" t="s">
        <v>416</v>
      </c>
      <c r="D31" s="35" t="s">
        <v>492</v>
      </c>
      <c r="E31" s="35">
        <f>+971555160709</f>
        <v>971555160709</v>
      </c>
      <c r="F31" s="35" t="s">
        <v>493</v>
      </c>
      <c r="G31" s="35"/>
      <c r="H31" s="35" t="s">
        <v>424</v>
      </c>
      <c r="I31" s="35" t="s">
        <v>420</v>
      </c>
      <c r="J31" s="37"/>
      <c r="K31" s="39" t="s">
        <v>494</v>
      </c>
    </row>
    <row r="32" ht="15.75" customHeight="1">
      <c r="A32" s="35" t="s">
        <v>414</v>
      </c>
      <c r="B32" s="35" t="s">
        <v>415</v>
      </c>
      <c r="C32" s="35" t="s">
        <v>416</v>
      </c>
      <c r="D32" s="36" t="s">
        <v>495</v>
      </c>
      <c r="E32" s="35">
        <v>5.66824263E8</v>
      </c>
      <c r="F32" s="36" t="s">
        <v>496</v>
      </c>
      <c r="G32" s="37"/>
      <c r="H32" s="35" t="s">
        <v>419</v>
      </c>
      <c r="I32" s="35" t="s">
        <v>420</v>
      </c>
      <c r="J32" s="37"/>
      <c r="K32" s="39" t="s">
        <v>497</v>
      </c>
    </row>
    <row r="33" ht="15.75" customHeight="1">
      <c r="A33" s="35" t="s">
        <v>498</v>
      </c>
      <c r="B33" s="35" t="s">
        <v>415</v>
      </c>
      <c r="C33" s="35" t="s">
        <v>416</v>
      </c>
      <c r="D33" s="35" t="s">
        <v>499</v>
      </c>
      <c r="E33" s="35">
        <f>+96170255536</f>
        <v>96170255536</v>
      </c>
      <c r="F33" s="35" t="s">
        <v>500</v>
      </c>
      <c r="G33" s="35"/>
      <c r="H33" s="35" t="s">
        <v>424</v>
      </c>
      <c r="I33" s="35" t="s">
        <v>420</v>
      </c>
      <c r="J33" s="35"/>
      <c r="K33" s="38" t="s">
        <v>421</v>
      </c>
    </row>
    <row r="34" ht="15.75" customHeight="1">
      <c r="A34" s="35" t="s">
        <v>498</v>
      </c>
      <c r="B34" s="35" t="s">
        <v>415</v>
      </c>
      <c r="C34" s="35" t="s">
        <v>416</v>
      </c>
      <c r="D34" s="35" t="s">
        <v>501</v>
      </c>
      <c r="E34" s="35">
        <f>+9613867555</f>
        <v>9613867555</v>
      </c>
      <c r="F34" s="35" t="s">
        <v>502</v>
      </c>
      <c r="G34" s="35"/>
      <c r="H34" s="35" t="s">
        <v>424</v>
      </c>
      <c r="I34" s="35" t="s">
        <v>420</v>
      </c>
      <c r="J34" s="35"/>
      <c r="K34" s="38" t="s">
        <v>421</v>
      </c>
    </row>
    <row r="35" ht="15.75" customHeight="1">
      <c r="A35" s="35" t="s">
        <v>498</v>
      </c>
      <c r="B35" s="35" t="s">
        <v>415</v>
      </c>
      <c r="C35" s="35" t="s">
        <v>416</v>
      </c>
      <c r="D35" s="35" t="s">
        <v>503</v>
      </c>
      <c r="E35" s="35">
        <f>+9613714271</f>
        <v>9613714271</v>
      </c>
      <c r="F35" s="35" t="s">
        <v>504</v>
      </c>
      <c r="G35" s="35"/>
      <c r="H35" s="35" t="s">
        <v>424</v>
      </c>
      <c r="I35" s="35" t="s">
        <v>420</v>
      </c>
      <c r="J35" s="35"/>
      <c r="K35" s="38" t="s">
        <v>421</v>
      </c>
    </row>
    <row r="36" ht="15.75" customHeight="1">
      <c r="A36" s="35" t="s">
        <v>498</v>
      </c>
      <c r="B36" s="35" t="s">
        <v>415</v>
      </c>
      <c r="C36" s="35" t="s">
        <v>416</v>
      </c>
      <c r="D36" s="35" t="s">
        <v>505</v>
      </c>
      <c r="E36" s="35">
        <f>+9613396596</f>
        <v>9613396596</v>
      </c>
      <c r="F36" s="35" t="s">
        <v>506</v>
      </c>
      <c r="G36" s="35"/>
      <c r="H36" s="35" t="s">
        <v>424</v>
      </c>
      <c r="I36" s="35" t="s">
        <v>420</v>
      </c>
      <c r="J36" s="35"/>
      <c r="K36" s="38" t="s">
        <v>421</v>
      </c>
    </row>
    <row r="37" ht="15.75" customHeight="1">
      <c r="A37" s="35" t="s">
        <v>498</v>
      </c>
      <c r="B37" s="35" t="s">
        <v>415</v>
      </c>
      <c r="C37" s="35" t="s">
        <v>416</v>
      </c>
      <c r="D37" s="35" t="s">
        <v>507</v>
      </c>
      <c r="E37" s="35">
        <f>+9613324273</f>
        <v>9613324273</v>
      </c>
      <c r="F37" s="35" t="s">
        <v>508</v>
      </c>
      <c r="G37" s="35"/>
      <c r="H37" s="35" t="s">
        <v>424</v>
      </c>
      <c r="I37" s="35" t="s">
        <v>420</v>
      </c>
      <c r="J37" s="35"/>
      <c r="K37" s="38" t="s">
        <v>421</v>
      </c>
    </row>
    <row r="38" ht="15.75" customHeight="1">
      <c r="A38" s="35" t="s">
        <v>498</v>
      </c>
      <c r="B38" s="35" t="s">
        <v>415</v>
      </c>
      <c r="C38" s="35" t="s">
        <v>416</v>
      </c>
      <c r="D38" s="35" t="s">
        <v>509</v>
      </c>
      <c r="E38" s="35">
        <f>+96171365138</f>
        <v>96171365138</v>
      </c>
      <c r="F38" s="35" t="s">
        <v>510</v>
      </c>
      <c r="G38" s="35"/>
      <c r="H38" s="35" t="s">
        <v>424</v>
      </c>
      <c r="I38" s="35" t="s">
        <v>420</v>
      </c>
      <c r="J38" s="35"/>
      <c r="K38" s="38" t="s">
        <v>421</v>
      </c>
    </row>
    <row r="39" ht="15.75" customHeight="1">
      <c r="A39" s="35" t="s">
        <v>498</v>
      </c>
      <c r="B39" s="35" t="s">
        <v>415</v>
      </c>
      <c r="C39" s="35" t="s">
        <v>416</v>
      </c>
      <c r="D39" s="35" t="s">
        <v>511</v>
      </c>
      <c r="E39" s="35">
        <f>+9613984073</f>
        <v>9613984073</v>
      </c>
      <c r="F39" s="35" t="s">
        <v>512</v>
      </c>
      <c r="G39" s="35"/>
      <c r="H39" s="35" t="s">
        <v>424</v>
      </c>
      <c r="I39" s="35" t="s">
        <v>420</v>
      </c>
      <c r="J39" s="35"/>
      <c r="K39" s="38" t="s">
        <v>421</v>
      </c>
    </row>
    <row r="40" ht="15.75" customHeight="1">
      <c r="A40" s="35" t="s">
        <v>513</v>
      </c>
      <c r="B40" s="35" t="s">
        <v>415</v>
      </c>
      <c r="C40" s="35" t="s">
        <v>416</v>
      </c>
      <c r="D40" s="35" t="s">
        <v>514</v>
      </c>
      <c r="E40" s="35">
        <f>+9613010306</f>
        <v>9613010306</v>
      </c>
      <c r="F40" s="35" t="s">
        <v>515</v>
      </c>
      <c r="G40" s="37"/>
      <c r="H40" s="35" t="s">
        <v>424</v>
      </c>
      <c r="I40" s="35" t="s">
        <v>420</v>
      </c>
      <c r="J40" s="35"/>
      <c r="K40" s="38" t="s">
        <v>516</v>
      </c>
    </row>
    <row r="41" ht="15.75" customHeight="1">
      <c r="A41" s="35" t="s">
        <v>513</v>
      </c>
      <c r="B41" s="35" t="s">
        <v>415</v>
      </c>
      <c r="C41" s="35" t="s">
        <v>416</v>
      </c>
      <c r="D41" s="35" t="s">
        <v>517</v>
      </c>
      <c r="E41" s="35">
        <f>+9613702331</f>
        <v>9613702331</v>
      </c>
      <c r="F41" s="35" t="s">
        <v>518</v>
      </c>
      <c r="G41" s="37"/>
      <c r="H41" s="35" t="s">
        <v>424</v>
      </c>
      <c r="I41" s="35" t="s">
        <v>420</v>
      </c>
      <c r="J41" s="35"/>
      <c r="K41" s="38" t="s">
        <v>519</v>
      </c>
    </row>
    <row r="42" ht="15.75" customHeight="1">
      <c r="A42" s="35" t="s">
        <v>513</v>
      </c>
      <c r="B42" s="35" t="s">
        <v>415</v>
      </c>
      <c r="C42" s="35" t="s">
        <v>416</v>
      </c>
      <c r="D42" s="35" t="s">
        <v>520</v>
      </c>
      <c r="E42" s="35">
        <f>+96103789878</f>
        <v>96103789878</v>
      </c>
      <c r="F42" s="35" t="s">
        <v>521</v>
      </c>
      <c r="G42" s="37"/>
      <c r="H42" s="35" t="s">
        <v>424</v>
      </c>
      <c r="I42" s="35" t="s">
        <v>420</v>
      </c>
      <c r="J42" s="35"/>
      <c r="K42" s="38" t="s">
        <v>522</v>
      </c>
    </row>
    <row r="43" ht="15.75" customHeight="1">
      <c r="A43" s="35" t="s">
        <v>513</v>
      </c>
      <c r="B43" s="35" t="s">
        <v>415</v>
      </c>
      <c r="C43" s="35" t="s">
        <v>416</v>
      </c>
      <c r="D43" s="35" t="s">
        <v>523</v>
      </c>
      <c r="E43" s="35">
        <f>+96103804255</f>
        <v>96103804255</v>
      </c>
      <c r="F43" s="35" t="s">
        <v>524</v>
      </c>
      <c r="G43" s="37"/>
      <c r="H43" s="35" t="s">
        <v>424</v>
      </c>
      <c r="I43" s="35" t="s">
        <v>420</v>
      </c>
      <c r="J43" s="35"/>
      <c r="K43" s="38" t="s">
        <v>525</v>
      </c>
    </row>
    <row r="44" ht="15.75" customHeight="1">
      <c r="A44" s="35" t="s">
        <v>513</v>
      </c>
      <c r="B44" s="35" t="s">
        <v>415</v>
      </c>
      <c r="C44" s="35" t="s">
        <v>416</v>
      </c>
      <c r="D44" s="35" t="s">
        <v>526</v>
      </c>
      <c r="E44" s="35">
        <f>+9613849057</f>
        <v>9613849057</v>
      </c>
      <c r="F44" s="35" t="s">
        <v>527</v>
      </c>
      <c r="G44" s="37"/>
      <c r="H44" s="35" t="s">
        <v>424</v>
      </c>
      <c r="I44" s="35" t="s">
        <v>420</v>
      </c>
      <c r="J44" s="35"/>
      <c r="K44" s="38" t="s">
        <v>528</v>
      </c>
    </row>
    <row r="45" ht="15.75" customHeight="1">
      <c r="A45" s="35" t="s">
        <v>513</v>
      </c>
      <c r="B45" s="35" t="s">
        <v>415</v>
      </c>
      <c r="C45" s="35" t="s">
        <v>416</v>
      </c>
      <c r="D45" s="35" t="s">
        <v>529</v>
      </c>
      <c r="E45" s="35">
        <f>+9613177244</f>
        <v>9613177244</v>
      </c>
      <c r="F45" s="35" t="s">
        <v>530</v>
      </c>
      <c r="G45" s="37"/>
      <c r="H45" s="35" t="s">
        <v>424</v>
      </c>
      <c r="I45" s="35" t="s">
        <v>420</v>
      </c>
      <c r="J45" s="35"/>
      <c r="K45" s="38" t="s">
        <v>469</v>
      </c>
    </row>
    <row r="46" ht="15.75" customHeight="1">
      <c r="A46" s="35" t="s">
        <v>513</v>
      </c>
      <c r="B46" s="35" t="s">
        <v>415</v>
      </c>
      <c r="C46" s="35" t="s">
        <v>416</v>
      </c>
      <c r="D46" s="35" t="s">
        <v>531</v>
      </c>
      <c r="E46" s="35">
        <f>+9613929395</f>
        <v>9613929395</v>
      </c>
      <c r="F46" s="35" t="s">
        <v>532</v>
      </c>
      <c r="G46" s="37"/>
      <c r="H46" s="35" t="s">
        <v>424</v>
      </c>
      <c r="I46" s="35" t="s">
        <v>420</v>
      </c>
      <c r="J46" s="35"/>
      <c r="K46" s="38" t="s">
        <v>533</v>
      </c>
    </row>
    <row r="47" ht="15.75" customHeight="1">
      <c r="A47" s="35" t="s">
        <v>534</v>
      </c>
      <c r="B47" s="35" t="s">
        <v>415</v>
      </c>
      <c r="C47" s="35" t="s">
        <v>416</v>
      </c>
      <c r="D47" s="35" t="s">
        <v>535</v>
      </c>
      <c r="E47" s="35">
        <f>+9613034735</f>
        <v>9613034735</v>
      </c>
      <c r="F47" s="35" t="s">
        <v>536</v>
      </c>
      <c r="G47" s="37"/>
      <c r="H47" s="35" t="s">
        <v>424</v>
      </c>
      <c r="I47" s="35" t="s">
        <v>420</v>
      </c>
      <c r="J47" s="35"/>
      <c r="K47" s="38" t="s">
        <v>421</v>
      </c>
    </row>
    <row r="48" ht="15.75" customHeight="1">
      <c r="A48" s="35" t="s">
        <v>534</v>
      </c>
      <c r="B48" s="35" t="s">
        <v>415</v>
      </c>
      <c r="C48" s="35" t="s">
        <v>416</v>
      </c>
      <c r="D48" s="35" t="s">
        <v>537</v>
      </c>
      <c r="E48" s="35">
        <f>+96170334300</f>
        <v>96170334300</v>
      </c>
      <c r="F48" s="35" t="s">
        <v>538</v>
      </c>
      <c r="G48" s="37"/>
      <c r="H48" s="35" t="s">
        <v>424</v>
      </c>
      <c r="I48" s="35" t="s">
        <v>420</v>
      </c>
      <c r="J48" s="35"/>
      <c r="K48" s="38" t="s">
        <v>421</v>
      </c>
    </row>
    <row r="49" ht="15.75" customHeight="1">
      <c r="A49" s="35" t="s">
        <v>534</v>
      </c>
      <c r="B49" s="35" t="s">
        <v>415</v>
      </c>
      <c r="C49" s="35" t="s">
        <v>416</v>
      </c>
      <c r="D49" s="35" t="s">
        <v>539</v>
      </c>
      <c r="E49" s="35">
        <f>+96170614000</f>
        <v>96170614000</v>
      </c>
      <c r="F49" s="35" t="s">
        <v>540</v>
      </c>
      <c r="G49" s="37"/>
      <c r="H49" s="35" t="s">
        <v>424</v>
      </c>
      <c r="I49" s="35" t="s">
        <v>420</v>
      </c>
      <c r="J49" s="35"/>
      <c r="K49" s="41" t="s">
        <v>541</v>
      </c>
    </row>
    <row r="50" ht="15.75" customHeight="1">
      <c r="A50" s="35" t="s">
        <v>542</v>
      </c>
      <c r="B50" s="35" t="s">
        <v>415</v>
      </c>
      <c r="C50" s="35" t="s">
        <v>416</v>
      </c>
      <c r="D50" s="35" t="s">
        <v>543</v>
      </c>
      <c r="E50" s="35">
        <f>+9613907773</f>
        <v>9613907773</v>
      </c>
      <c r="F50" s="35" t="s">
        <v>544</v>
      </c>
      <c r="G50" s="35"/>
      <c r="H50" s="35" t="s">
        <v>424</v>
      </c>
      <c r="I50" s="35" t="s">
        <v>420</v>
      </c>
      <c r="J50" s="37"/>
      <c r="K50" s="39" t="s">
        <v>545</v>
      </c>
    </row>
    <row r="51" ht="15.75" customHeight="1">
      <c r="A51" s="35" t="s">
        <v>542</v>
      </c>
      <c r="B51" s="35" t="s">
        <v>415</v>
      </c>
      <c r="C51" s="35" t="s">
        <v>416</v>
      </c>
      <c r="D51" s="35" t="s">
        <v>546</v>
      </c>
      <c r="E51" s="35">
        <f>+96170924964</f>
        <v>96170924964</v>
      </c>
      <c r="F51" s="35" t="s">
        <v>547</v>
      </c>
      <c r="G51" s="35"/>
      <c r="H51" s="35" t="s">
        <v>424</v>
      </c>
      <c r="I51" s="35" t="s">
        <v>420</v>
      </c>
      <c r="J51" s="37"/>
      <c r="K51" s="39" t="s">
        <v>548</v>
      </c>
    </row>
    <row r="52" ht="15.75" customHeight="1">
      <c r="A52" s="35" t="s">
        <v>542</v>
      </c>
      <c r="B52" s="35" t="s">
        <v>415</v>
      </c>
      <c r="C52" s="35" t="s">
        <v>416</v>
      </c>
      <c r="D52" s="35" t="s">
        <v>549</v>
      </c>
      <c r="E52" s="35">
        <f>+9710555714208</f>
        <v>9710555714208</v>
      </c>
      <c r="F52" s="35" t="s">
        <v>550</v>
      </c>
      <c r="G52" s="35"/>
      <c r="H52" s="35" t="s">
        <v>424</v>
      </c>
      <c r="I52" s="35" t="s">
        <v>420</v>
      </c>
      <c r="J52" s="37"/>
      <c r="K52" s="39" t="s">
        <v>551</v>
      </c>
    </row>
    <row r="53" ht="15.75" customHeight="1">
      <c r="A53" s="35" t="s">
        <v>542</v>
      </c>
      <c r="B53" s="35" t="s">
        <v>415</v>
      </c>
      <c r="C53" s="35" t="s">
        <v>416</v>
      </c>
      <c r="D53" s="35" t="s">
        <v>552</v>
      </c>
      <c r="E53" s="35">
        <f>+96181266268</f>
        <v>96181266268</v>
      </c>
      <c r="F53" s="35" t="s">
        <v>553</v>
      </c>
      <c r="G53" s="35"/>
      <c r="H53" s="35" t="s">
        <v>424</v>
      </c>
      <c r="I53" s="35" t="s">
        <v>420</v>
      </c>
      <c r="J53" s="37"/>
      <c r="K53" s="39" t="s">
        <v>554</v>
      </c>
    </row>
    <row r="54" ht="15.75" customHeight="1">
      <c r="A54" s="35" t="s">
        <v>542</v>
      </c>
      <c r="B54" s="35" t="s">
        <v>415</v>
      </c>
      <c r="C54" s="35" t="s">
        <v>416</v>
      </c>
      <c r="D54" s="35" t="s">
        <v>555</v>
      </c>
      <c r="E54" s="35">
        <f>+9613396330</f>
        <v>9613396330</v>
      </c>
      <c r="F54" s="35" t="s">
        <v>556</v>
      </c>
      <c r="G54" s="35"/>
      <c r="H54" s="35" t="s">
        <v>424</v>
      </c>
      <c r="I54" s="35" t="s">
        <v>420</v>
      </c>
      <c r="J54" s="37"/>
      <c r="K54" s="39" t="s">
        <v>557</v>
      </c>
    </row>
    <row r="55" ht="15.75" customHeight="1">
      <c r="A55" s="35" t="s">
        <v>542</v>
      </c>
      <c r="B55" s="35" t="s">
        <v>415</v>
      </c>
      <c r="C55" s="35" t="s">
        <v>416</v>
      </c>
      <c r="D55" s="35" t="s">
        <v>558</v>
      </c>
      <c r="E55" s="35">
        <f>+9613791581</f>
        <v>9613791581</v>
      </c>
      <c r="F55" s="35" t="s">
        <v>559</v>
      </c>
      <c r="G55" s="35"/>
      <c r="H55" s="35" t="s">
        <v>424</v>
      </c>
      <c r="I55" s="35" t="s">
        <v>420</v>
      </c>
      <c r="J55" s="37"/>
      <c r="K55" s="39" t="s">
        <v>560</v>
      </c>
    </row>
    <row r="56" ht="15.75" customHeight="1">
      <c r="A56" s="35" t="s">
        <v>542</v>
      </c>
      <c r="B56" s="35" t="s">
        <v>415</v>
      </c>
      <c r="C56" s="35" t="s">
        <v>416</v>
      </c>
      <c r="D56" s="35" t="s">
        <v>561</v>
      </c>
      <c r="E56" s="35">
        <f>+9613167299</f>
        <v>9613167299</v>
      </c>
      <c r="F56" s="35" t="s">
        <v>562</v>
      </c>
      <c r="G56" s="35"/>
      <c r="H56" s="35" t="s">
        <v>424</v>
      </c>
      <c r="I56" s="35" t="s">
        <v>420</v>
      </c>
      <c r="J56" s="37"/>
      <c r="K56" s="39" t="s">
        <v>563</v>
      </c>
    </row>
    <row r="57" ht="15.75" customHeight="1">
      <c r="A57" s="35" t="s">
        <v>542</v>
      </c>
      <c r="B57" s="35" t="s">
        <v>415</v>
      </c>
      <c r="C57" s="35" t="s">
        <v>416</v>
      </c>
      <c r="D57" s="35" t="s">
        <v>564</v>
      </c>
      <c r="E57" s="35">
        <f>+9613424265</f>
        <v>9613424265</v>
      </c>
      <c r="F57" s="35" t="s">
        <v>565</v>
      </c>
      <c r="G57" s="35"/>
      <c r="H57" s="35" t="s">
        <v>424</v>
      </c>
      <c r="I57" s="35" t="s">
        <v>420</v>
      </c>
      <c r="J57" s="37"/>
      <c r="K57" s="39" t="s">
        <v>566</v>
      </c>
    </row>
    <row r="58" ht="15.75" customHeight="1">
      <c r="A58" s="35" t="s">
        <v>567</v>
      </c>
      <c r="B58" s="35" t="s">
        <v>415</v>
      </c>
      <c r="C58" s="35" t="s">
        <v>568</v>
      </c>
      <c r="D58" s="35" t="s">
        <v>569</v>
      </c>
      <c r="E58" s="35">
        <f>+9613754561</f>
        <v>9613754561</v>
      </c>
      <c r="F58" s="35" t="s">
        <v>570</v>
      </c>
      <c r="G58" s="37"/>
      <c r="H58" s="35" t="s">
        <v>424</v>
      </c>
      <c r="I58" s="35" t="s">
        <v>420</v>
      </c>
      <c r="J58" s="35">
        <v>9.613754561E9</v>
      </c>
      <c r="K58" s="39" t="s">
        <v>528</v>
      </c>
    </row>
    <row r="59" ht="15.75" customHeight="1">
      <c r="A59" s="35" t="s">
        <v>567</v>
      </c>
      <c r="B59" s="35" t="s">
        <v>415</v>
      </c>
      <c r="C59" s="35" t="s">
        <v>568</v>
      </c>
      <c r="D59" s="35" t="s">
        <v>571</v>
      </c>
      <c r="E59" s="35">
        <f>+9613172732</f>
        <v>9613172732</v>
      </c>
      <c r="F59" s="35" t="s">
        <v>572</v>
      </c>
      <c r="G59" s="37"/>
      <c r="H59" s="35" t="s">
        <v>424</v>
      </c>
      <c r="I59" s="35" t="s">
        <v>420</v>
      </c>
      <c r="J59" s="35">
        <f>+9613172732</f>
        <v>9613172732</v>
      </c>
      <c r="K59" s="39" t="s">
        <v>421</v>
      </c>
    </row>
    <row r="60" ht="15.75" customHeight="1">
      <c r="A60" s="35" t="s">
        <v>567</v>
      </c>
      <c r="B60" s="35" t="s">
        <v>415</v>
      </c>
      <c r="C60" s="35" t="s">
        <v>568</v>
      </c>
      <c r="D60" s="35" t="s">
        <v>573</v>
      </c>
      <c r="E60" s="35">
        <f>+9613201027</f>
        <v>9613201027</v>
      </c>
      <c r="F60" s="35" t="s">
        <v>574</v>
      </c>
      <c r="G60" s="37"/>
      <c r="H60" s="35" t="s">
        <v>424</v>
      </c>
      <c r="I60" s="35" t="s">
        <v>420</v>
      </c>
      <c r="J60" s="35" t="s">
        <v>575</v>
      </c>
      <c r="K60" s="39" t="s">
        <v>576</v>
      </c>
    </row>
    <row r="61" ht="15.75" customHeight="1">
      <c r="A61" s="35" t="s">
        <v>577</v>
      </c>
      <c r="B61" s="35" t="s">
        <v>415</v>
      </c>
      <c r="C61" s="35" t="s">
        <v>578</v>
      </c>
      <c r="D61" s="36" t="s">
        <v>579</v>
      </c>
      <c r="E61" s="35">
        <f>+9710502707838</f>
        <v>9710502707838</v>
      </c>
      <c r="F61" s="36" t="s">
        <v>580</v>
      </c>
      <c r="G61" s="37"/>
      <c r="H61" s="35" t="s">
        <v>419</v>
      </c>
      <c r="I61" s="35" t="s">
        <v>420</v>
      </c>
      <c r="J61" s="37"/>
      <c r="K61" s="38" t="s">
        <v>421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F2"/>
    <hyperlink r:id="rId3" ref="D32"/>
    <hyperlink r:id="rId4" ref="F32"/>
    <hyperlink r:id="rId5" ref="D61"/>
    <hyperlink r:id="rId6" ref="F61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min="2" max="6" width="14.43"/>
  </cols>
  <sheetData>
    <row r="1" ht="15.75" customHeight="1">
      <c r="A1" s="33" t="s">
        <v>581</v>
      </c>
      <c r="B1" s="33" t="s">
        <v>404</v>
      </c>
      <c r="C1" s="34" t="s">
        <v>405</v>
      </c>
      <c r="D1" s="34" t="s">
        <v>406</v>
      </c>
      <c r="E1" s="34" t="s">
        <v>407</v>
      </c>
      <c r="F1" s="34" t="s">
        <v>408</v>
      </c>
      <c r="G1" s="34" t="s">
        <v>409</v>
      </c>
      <c r="H1" s="34" t="s">
        <v>6</v>
      </c>
      <c r="I1" s="34" t="s">
        <v>410</v>
      </c>
      <c r="J1" s="34" t="s">
        <v>411</v>
      </c>
      <c r="K1" s="34" t="s">
        <v>412</v>
      </c>
      <c r="L1" s="34" t="s">
        <v>413</v>
      </c>
    </row>
    <row r="2" ht="15.75" customHeight="1">
      <c r="A2" s="42">
        <v>1.0</v>
      </c>
      <c r="B2" s="35" t="s">
        <v>582</v>
      </c>
      <c r="C2" s="35" t="s">
        <v>583</v>
      </c>
      <c r="D2" s="35" t="s">
        <v>584</v>
      </c>
      <c r="E2" s="43" t="s">
        <v>585</v>
      </c>
      <c r="F2" s="35">
        <f>+9720509405544</f>
        <v>9720509405544</v>
      </c>
      <c r="G2" s="44" t="s">
        <v>586</v>
      </c>
      <c r="H2" s="45"/>
      <c r="I2" s="35" t="s">
        <v>419</v>
      </c>
      <c r="J2" s="46" t="s">
        <v>420</v>
      </c>
      <c r="K2" s="45"/>
      <c r="L2" s="45"/>
    </row>
    <row r="3" ht="15.75" customHeight="1">
      <c r="A3" s="42">
        <v>2.0</v>
      </c>
      <c r="B3" s="35" t="s">
        <v>582</v>
      </c>
      <c r="C3" s="35" t="s">
        <v>583</v>
      </c>
      <c r="D3" s="35" t="s">
        <v>584</v>
      </c>
      <c r="E3" s="36" t="s">
        <v>587</v>
      </c>
      <c r="F3" s="35">
        <f>+972584440522</f>
        <v>972584440522</v>
      </c>
      <c r="G3" s="44" t="s">
        <v>588</v>
      </c>
      <c r="H3" s="45"/>
      <c r="I3" s="35" t="s">
        <v>419</v>
      </c>
      <c r="J3" s="35" t="s">
        <v>420</v>
      </c>
      <c r="K3" s="35"/>
      <c r="L3" s="45"/>
    </row>
    <row r="4" ht="15.75" customHeight="1">
      <c r="A4" s="42">
        <v>3.0</v>
      </c>
      <c r="B4" s="35" t="s">
        <v>582</v>
      </c>
      <c r="C4" s="35" t="s">
        <v>589</v>
      </c>
      <c r="D4" s="46" t="s">
        <v>590</v>
      </c>
      <c r="E4" s="46" t="s">
        <v>591</v>
      </c>
      <c r="F4" s="46">
        <v>5.46111877E8</v>
      </c>
      <c r="G4" s="46" t="s">
        <v>592</v>
      </c>
      <c r="H4" s="45"/>
      <c r="I4" s="46" t="s">
        <v>424</v>
      </c>
      <c r="J4" s="46" t="s">
        <v>593</v>
      </c>
      <c r="K4" s="46" t="s">
        <v>594</v>
      </c>
      <c r="L4" s="45"/>
    </row>
    <row r="5" ht="15.75" customHeight="1">
      <c r="A5" s="42">
        <v>4.0</v>
      </c>
      <c r="B5" s="35" t="s">
        <v>582</v>
      </c>
      <c r="C5" s="35" t="s">
        <v>589</v>
      </c>
      <c r="D5" s="46" t="s">
        <v>590</v>
      </c>
      <c r="E5" s="46" t="s">
        <v>595</v>
      </c>
      <c r="F5" s="46">
        <f>+972528600026</f>
        <v>972528600026</v>
      </c>
      <c r="G5" s="46" t="s">
        <v>596</v>
      </c>
      <c r="H5" s="45"/>
      <c r="I5" s="46" t="s">
        <v>424</v>
      </c>
      <c r="J5" s="46" t="s">
        <v>593</v>
      </c>
      <c r="K5" s="46" t="s">
        <v>594</v>
      </c>
      <c r="L5" s="45"/>
    </row>
    <row r="6" ht="15.75" customHeight="1">
      <c r="A6" s="42">
        <v>5.0</v>
      </c>
      <c r="B6" s="35" t="s">
        <v>582</v>
      </c>
      <c r="C6" s="35" t="s">
        <v>589</v>
      </c>
      <c r="D6" s="46" t="s">
        <v>590</v>
      </c>
      <c r="E6" s="47" t="s">
        <v>597</v>
      </c>
      <c r="F6" s="46">
        <f>+972525273778</f>
        <v>972525273778</v>
      </c>
      <c r="G6" s="46" t="s">
        <v>598</v>
      </c>
      <c r="H6" s="45"/>
      <c r="I6" s="46" t="s">
        <v>424</v>
      </c>
      <c r="J6" s="46" t="s">
        <v>420</v>
      </c>
      <c r="K6" s="46" t="s">
        <v>594</v>
      </c>
      <c r="L6" s="45"/>
    </row>
    <row r="7" ht="15.75" customHeight="1">
      <c r="A7" s="42">
        <v>6.0</v>
      </c>
      <c r="B7" s="35" t="s">
        <v>582</v>
      </c>
      <c r="C7" s="35" t="s">
        <v>589</v>
      </c>
      <c r="D7" s="48" t="s">
        <v>590</v>
      </c>
      <c r="E7" s="49" t="s">
        <v>599</v>
      </c>
      <c r="F7" s="48">
        <f>+972502343273</f>
        <v>972502343273</v>
      </c>
      <c r="G7" s="44" t="s">
        <v>600</v>
      </c>
      <c r="H7" s="45"/>
      <c r="I7" s="48" t="s">
        <v>419</v>
      </c>
      <c r="J7" s="46" t="s">
        <v>593</v>
      </c>
      <c r="K7" s="45"/>
      <c r="L7" s="45"/>
    </row>
    <row r="8" ht="15.75" customHeight="1">
      <c r="A8" s="42">
        <v>7.0</v>
      </c>
      <c r="B8" s="35" t="s">
        <v>582</v>
      </c>
      <c r="C8" s="35" t="s">
        <v>589</v>
      </c>
      <c r="D8" s="35" t="s">
        <v>601</v>
      </c>
      <c r="E8" s="36" t="s">
        <v>602</v>
      </c>
      <c r="F8" s="35">
        <f>+972526656266</f>
        <v>972526656266</v>
      </c>
      <c r="G8" s="44" t="s">
        <v>603</v>
      </c>
      <c r="H8" s="45"/>
      <c r="I8" s="35" t="s">
        <v>419</v>
      </c>
      <c r="J8" s="46" t="s">
        <v>593</v>
      </c>
      <c r="K8" s="45"/>
      <c r="L8" s="45"/>
    </row>
    <row r="9" ht="15.75" customHeight="1">
      <c r="A9" s="42">
        <v>8.0</v>
      </c>
      <c r="B9" s="35" t="s">
        <v>582</v>
      </c>
      <c r="C9" s="35" t="s">
        <v>589</v>
      </c>
      <c r="D9" s="35" t="s">
        <v>601</v>
      </c>
      <c r="E9" s="36" t="s">
        <v>604</v>
      </c>
      <c r="F9" s="35">
        <f>+972548085460</f>
        <v>972548085460</v>
      </c>
      <c r="G9" s="44" t="s">
        <v>605</v>
      </c>
      <c r="H9" s="45"/>
      <c r="I9" s="35" t="s">
        <v>419</v>
      </c>
      <c r="J9" s="46" t="s">
        <v>420</v>
      </c>
      <c r="K9" s="45"/>
      <c r="L9" s="45"/>
    </row>
    <row r="10" ht="15.75" customHeight="1">
      <c r="A10" s="42">
        <v>9.0</v>
      </c>
      <c r="B10" s="35" t="s">
        <v>582</v>
      </c>
      <c r="C10" s="35" t="s">
        <v>589</v>
      </c>
      <c r="D10" s="35" t="s">
        <v>601</v>
      </c>
      <c r="E10" s="36" t="s">
        <v>606</v>
      </c>
      <c r="F10" s="35">
        <f>+972587347777</f>
        <v>972587347777</v>
      </c>
      <c r="G10" s="44" t="s">
        <v>607</v>
      </c>
      <c r="H10" s="45"/>
      <c r="I10" s="35" t="s">
        <v>419</v>
      </c>
      <c r="J10" s="46" t="s">
        <v>420</v>
      </c>
      <c r="K10" s="45"/>
      <c r="L10" s="45"/>
    </row>
    <row r="11" ht="15.75" customHeight="1">
      <c r="A11" s="42">
        <v>10.0</v>
      </c>
      <c r="B11" s="35" t="s">
        <v>582</v>
      </c>
      <c r="C11" s="35" t="s">
        <v>583</v>
      </c>
      <c r="D11" s="35" t="s">
        <v>584</v>
      </c>
      <c r="E11" s="50" t="s">
        <v>608</v>
      </c>
      <c r="F11" s="48">
        <f>+9720505400760</f>
        <v>9720505400760</v>
      </c>
      <c r="G11" s="44" t="s">
        <v>609</v>
      </c>
      <c r="H11" s="45"/>
      <c r="I11" s="48" t="s">
        <v>419</v>
      </c>
      <c r="J11" s="46" t="s">
        <v>420</v>
      </c>
      <c r="K11" s="45"/>
      <c r="L11" s="45"/>
    </row>
    <row r="12" ht="15.75" customHeight="1">
      <c r="A12" s="42">
        <v>11.0</v>
      </c>
      <c r="B12" s="35" t="s">
        <v>582</v>
      </c>
      <c r="C12" s="37"/>
      <c r="D12" s="48" t="s">
        <v>610</v>
      </c>
      <c r="E12" s="49" t="s">
        <v>611</v>
      </c>
      <c r="F12" s="48">
        <f>+972525553567</f>
        <v>972525553567</v>
      </c>
      <c r="G12" s="44" t="s">
        <v>612</v>
      </c>
      <c r="H12" s="35"/>
      <c r="I12" s="48" t="s">
        <v>419</v>
      </c>
      <c r="J12" s="35" t="s">
        <v>613</v>
      </c>
      <c r="K12" s="35"/>
      <c r="L12" s="45"/>
    </row>
    <row r="13" ht="15.75" customHeight="1">
      <c r="A13" s="42">
        <v>12.0</v>
      </c>
      <c r="B13" s="35" t="s">
        <v>614</v>
      </c>
      <c r="C13" s="35" t="s">
        <v>589</v>
      </c>
      <c r="D13" s="51" t="s">
        <v>615</v>
      </c>
      <c r="E13" s="52" t="s">
        <v>616</v>
      </c>
      <c r="F13" s="51">
        <f>+972508876737</f>
        <v>972508876737</v>
      </c>
      <c r="G13" s="36" t="s">
        <v>617</v>
      </c>
      <c r="H13" s="37"/>
      <c r="I13" s="51" t="s">
        <v>419</v>
      </c>
      <c r="J13" s="51" t="s">
        <v>420</v>
      </c>
      <c r="K13" s="37"/>
      <c r="L13" s="37"/>
    </row>
    <row r="14" ht="15.75" customHeight="1">
      <c r="A14" s="42">
        <v>13.0</v>
      </c>
      <c r="B14" s="35" t="s">
        <v>614</v>
      </c>
      <c r="C14" s="35" t="s">
        <v>589</v>
      </c>
      <c r="D14" s="53" t="s">
        <v>590</v>
      </c>
      <c r="E14" s="54" t="s">
        <v>618</v>
      </c>
      <c r="F14" s="37">
        <f>+9720544271685</f>
        <v>9720544271685</v>
      </c>
      <c r="G14" s="53" t="s">
        <v>619</v>
      </c>
      <c r="H14" s="37"/>
      <c r="I14" s="53" t="s">
        <v>424</v>
      </c>
      <c r="J14" s="53" t="s">
        <v>593</v>
      </c>
      <c r="K14" s="37"/>
      <c r="L14" s="37"/>
    </row>
    <row r="15" ht="15.75" customHeight="1">
      <c r="A15" s="42">
        <v>14.0</v>
      </c>
      <c r="B15" s="35" t="s">
        <v>614</v>
      </c>
      <c r="C15" s="35" t="s">
        <v>589</v>
      </c>
      <c r="D15" s="53" t="s">
        <v>590</v>
      </c>
      <c r="E15" s="37" t="s">
        <v>620</v>
      </c>
      <c r="F15" s="37">
        <f>+972544477568</f>
        <v>972544477568</v>
      </c>
      <c r="G15" s="53" t="s">
        <v>621</v>
      </c>
      <c r="H15" s="37"/>
      <c r="I15" s="37" t="s">
        <v>424</v>
      </c>
      <c r="J15" s="53" t="s">
        <v>593</v>
      </c>
      <c r="K15" s="37"/>
      <c r="L15" s="37"/>
    </row>
    <row r="16" ht="15.75" customHeight="1">
      <c r="A16" s="42">
        <v>15.0</v>
      </c>
      <c r="B16" s="35" t="s">
        <v>614</v>
      </c>
      <c r="C16" s="35" t="s">
        <v>589</v>
      </c>
      <c r="D16" s="53" t="s">
        <v>590</v>
      </c>
      <c r="E16" s="37" t="s">
        <v>622</v>
      </c>
      <c r="F16" s="37">
        <f>+972529573988</f>
        <v>972529573988</v>
      </c>
      <c r="G16" s="53" t="s">
        <v>623</v>
      </c>
      <c r="H16" s="37"/>
      <c r="I16" s="37" t="s">
        <v>424</v>
      </c>
      <c r="J16" s="53" t="s">
        <v>593</v>
      </c>
      <c r="K16" s="37"/>
      <c r="L16" s="37"/>
    </row>
    <row r="17" ht="15.75" customHeight="1">
      <c r="A17" s="42">
        <v>16.0</v>
      </c>
      <c r="B17" s="35" t="s">
        <v>614</v>
      </c>
      <c r="C17" s="35" t="s">
        <v>589</v>
      </c>
      <c r="D17" s="53" t="s">
        <v>590</v>
      </c>
      <c r="E17" s="37" t="s">
        <v>624</v>
      </c>
      <c r="F17" s="37">
        <f>+9720584374252</f>
        <v>9720584374252</v>
      </c>
      <c r="G17" s="53" t="s">
        <v>625</v>
      </c>
      <c r="H17" s="37"/>
      <c r="I17" s="37" t="s">
        <v>424</v>
      </c>
      <c r="J17" s="53" t="s">
        <v>593</v>
      </c>
      <c r="K17" s="37"/>
      <c r="L17" s="37"/>
    </row>
    <row r="18" ht="15.75" customHeight="1">
      <c r="A18" s="42">
        <v>17.0</v>
      </c>
      <c r="B18" s="35" t="s">
        <v>614</v>
      </c>
      <c r="C18" s="35" t="s">
        <v>589</v>
      </c>
      <c r="D18" s="53" t="s">
        <v>590</v>
      </c>
      <c r="E18" s="37" t="s">
        <v>626</v>
      </c>
      <c r="F18" s="37">
        <f>+9720533210083</f>
        <v>9720533210083</v>
      </c>
      <c r="G18" s="53" t="s">
        <v>627</v>
      </c>
      <c r="H18" s="37"/>
      <c r="I18" s="37" t="s">
        <v>424</v>
      </c>
      <c r="J18" s="53" t="s">
        <v>628</v>
      </c>
      <c r="K18" s="37"/>
      <c r="L18" s="37"/>
    </row>
    <row r="19" ht="15.75" customHeight="1">
      <c r="A19" s="42">
        <v>18.0</v>
      </c>
      <c r="B19" s="35" t="s">
        <v>614</v>
      </c>
      <c r="C19" s="35" t="s">
        <v>589</v>
      </c>
      <c r="D19" s="53" t="s">
        <v>590</v>
      </c>
      <c r="E19" s="37" t="s">
        <v>629</v>
      </c>
      <c r="F19" s="37">
        <f>+972503832224</f>
        <v>972503832224</v>
      </c>
      <c r="G19" s="53" t="s">
        <v>630</v>
      </c>
      <c r="H19" s="37"/>
      <c r="I19" s="37" t="s">
        <v>424</v>
      </c>
      <c r="J19" s="53" t="s">
        <v>628</v>
      </c>
      <c r="K19" s="37"/>
      <c r="L19" s="37"/>
    </row>
    <row r="20" ht="15.75" customHeight="1">
      <c r="A20" s="42">
        <v>19.0</v>
      </c>
      <c r="B20" s="35" t="s">
        <v>614</v>
      </c>
      <c r="C20" s="35" t="s">
        <v>589</v>
      </c>
      <c r="D20" s="53" t="s">
        <v>590</v>
      </c>
      <c r="E20" s="37" t="s">
        <v>631</v>
      </c>
      <c r="F20" s="37">
        <f>+972522394102</f>
        <v>972522394102</v>
      </c>
      <c r="G20" s="53" t="s">
        <v>632</v>
      </c>
      <c r="H20" s="37"/>
      <c r="I20" s="37" t="s">
        <v>424</v>
      </c>
      <c r="J20" s="53" t="s">
        <v>628</v>
      </c>
      <c r="K20" s="37"/>
      <c r="L20" s="37"/>
    </row>
    <row r="21" ht="15.75" customHeight="1">
      <c r="A21" s="42">
        <v>20.0</v>
      </c>
      <c r="B21" s="35" t="s">
        <v>614</v>
      </c>
      <c r="C21" s="35" t="s">
        <v>589</v>
      </c>
      <c r="D21" s="53" t="s">
        <v>590</v>
      </c>
      <c r="E21" s="54" t="s">
        <v>633</v>
      </c>
      <c r="F21" s="37">
        <f>+972543253994</f>
        <v>972543253994</v>
      </c>
      <c r="G21" s="53" t="s">
        <v>634</v>
      </c>
      <c r="H21" s="37"/>
      <c r="I21" s="37" t="s">
        <v>424</v>
      </c>
      <c r="J21" s="53" t="s">
        <v>628</v>
      </c>
      <c r="K21" s="37"/>
      <c r="L21" s="37"/>
    </row>
    <row r="22" ht="15.75" customHeight="1">
      <c r="A22" s="42">
        <v>21.0</v>
      </c>
      <c r="B22" s="35" t="s">
        <v>614</v>
      </c>
      <c r="C22" s="37"/>
      <c r="D22" s="55" t="s">
        <v>635</v>
      </c>
      <c r="E22" s="56" t="s">
        <v>636</v>
      </c>
      <c r="F22" s="55">
        <f>+9720537257710</f>
        <v>9720537257710</v>
      </c>
      <c r="G22" s="57" t="s">
        <v>637</v>
      </c>
      <c r="H22" s="45"/>
      <c r="I22" s="55" t="s">
        <v>419</v>
      </c>
      <c r="J22" s="46" t="s">
        <v>420</v>
      </c>
      <c r="K22" s="45"/>
      <c r="L22" s="45"/>
    </row>
    <row r="23" ht="15.75" customHeight="1">
      <c r="A23" s="42">
        <v>22.0</v>
      </c>
      <c r="B23" s="35" t="s">
        <v>638</v>
      </c>
      <c r="C23" s="45"/>
      <c r="D23" s="35" t="s">
        <v>590</v>
      </c>
      <c r="E23" s="36" t="s">
        <v>639</v>
      </c>
      <c r="F23" s="35">
        <f>+972523753333</f>
        <v>972523753333</v>
      </c>
      <c r="G23" s="44" t="s">
        <v>640</v>
      </c>
      <c r="H23" s="45"/>
      <c r="I23" s="35" t="s">
        <v>419</v>
      </c>
      <c r="J23" s="35" t="s">
        <v>593</v>
      </c>
      <c r="K23" s="45"/>
      <c r="L23" s="45"/>
    </row>
    <row r="24" ht="15.75" customHeight="1">
      <c r="A24" s="42">
        <v>23.0</v>
      </c>
      <c r="B24" s="35" t="s">
        <v>638</v>
      </c>
      <c r="C24" s="35" t="s">
        <v>589</v>
      </c>
      <c r="D24" s="35" t="s">
        <v>635</v>
      </c>
      <c r="E24" s="36" t="s">
        <v>641</v>
      </c>
      <c r="F24" s="35">
        <f>+972545629631</f>
        <v>972545629631</v>
      </c>
      <c r="G24" s="44" t="s">
        <v>642</v>
      </c>
      <c r="H24" s="45"/>
      <c r="I24" s="35" t="s">
        <v>419</v>
      </c>
      <c r="J24" s="35" t="s">
        <v>593</v>
      </c>
      <c r="K24" s="35"/>
      <c r="L24" s="45"/>
    </row>
    <row r="25" ht="15.75" customHeight="1">
      <c r="A25" s="42">
        <v>24.0</v>
      </c>
      <c r="B25" s="35" t="s">
        <v>638</v>
      </c>
      <c r="C25" s="35" t="s">
        <v>589</v>
      </c>
      <c r="D25" s="35" t="s">
        <v>635</v>
      </c>
      <c r="E25" s="43" t="s">
        <v>643</v>
      </c>
      <c r="F25" s="35">
        <f>+972522808266</f>
        <v>972522808266</v>
      </c>
      <c r="G25" s="44" t="s">
        <v>644</v>
      </c>
      <c r="H25" s="45"/>
      <c r="I25" s="35" t="s">
        <v>419</v>
      </c>
      <c r="J25" s="35" t="s">
        <v>593</v>
      </c>
      <c r="K25" s="35"/>
      <c r="L25" s="45"/>
    </row>
    <row r="26" ht="15.75" customHeight="1">
      <c r="A26" s="42">
        <v>25.0</v>
      </c>
      <c r="B26" s="35" t="s">
        <v>638</v>
      </c>
      <c r="C26" s="35" t="s">
        <v>589</v>
      </c>
      <c r="D26" s="35" t="s">
        <v>635</v>
      </c>
      <c r="E26" s="36" t="s">
        <v>645</v>
      </c>
      <c r="F26" s="35">
        <f>+330555555555</f>
        <v>330555555555</v>
      </c>
      <c r="G26" s="44" t="s">
        <v>646</v>
      </c>
      <c r="H26" s="45"/>
      <c r="I26" s="35" t="s">
        <v>419</v>
      </c>
      <c r="J26" s="35" t="s">
        <v>89</v>
      </c>
      <c r="K26" s="35"/>
      <c r="L26" s="45"/>
    </row>
    <row r="27" ht="15.75" customHeight="1">
      <c r="A27" s="42">
        <v>26.0</v>
      </c>
      <c r="B27" s="35" t="s">
        <v>638</v>
      </c>
      <c r="C27" s="35" t="s">
        <v>589</v>
      </c>
      <c r="D27" s="35" t="s">
        <v>635</v>
      </c>
      <c r="E27" s="36" t="s">
        <v>647</v>
      </c>
      <c r="F27" s="35">
        <f>+972545777663</f>
        <v>972545777663</v>
      </c>
      <c r="G27" s="44" t="s">
        <v>648</v>
      </c>
      <c r="H27" s="45"/>
      <c r="I27" s="35" t="s">
        <v>419</v>
      </c>
      <c r="J27" s="35" t="s">
        <v>593</v>
      </c>
      <c r="K27" s="35"/>
      <c r="L27" s="45"/>
    </row>
    <row r="28" ht="15.75" customHeight="1">
      <c r="A28" s="42">
        <v>27.0</v>
      </c>
      <c r="B28" s="35" t="s">
        <v>638</v>
      </c>
      <c r="C28" s="35" t="s">
        <v>589</v>
      </c>
      <c r="D28" s="35" t="s">
        <v>635</v>
      </c>
      <c r="E28" s="36" t="s">
        <v>649</v>
      </c>
      <c r="F28" s="35">
        <f>+9720542331554</f>
        <v>9720542331554</v>
      </c>
      <c r="G28" s="44" t="s">
        <v>650</v>
      </c>
      <c r="H28" s="45"/>
      <c r="I28" s="35" t="s">
        <v>419</v>
      </c>
      <c r="J28" s="35" t="s">
        <v>593</v>
      </c>
      <c r="K28" s="35"/>
      <c r="L28" s="45"/>
    </row>
    <row r="29" ht="15.75" customHeight="1">
      <c r="A29" s="42">
        <v>28.0</v>
      </c>
      <c r="B29" s="35" t="s">
        <v>638</v>
      </c>
      <c r="C29" s="35" t="s">
        <v>589</v>
      </c>
      <c r="D29" s="35" t="s">
        <v>635</v>
      </c>
      <c r="E29" s="36" t="s">
        <v>651</v>
      </c>
      <c r="F29" s="35">
        <f>+972545785567</f>
        <v>972545785567</v>
      </c>
      <c r="G29" s="44" t="s">
        <v>652</v>
      </c>
      <c r="H29" s="45"/>
      <c r="I29" s="35" t="s">
        <v>419</v>
      </c>
      <c r="J29" s="35" t="s">
        <v>593</v>
      </c>
      <c r="K29" s="35"/>
      <c r="L29" s="45"/>
    </row>
    <row r="30" ht="15.75" customHeight="1">
      <c r="A30" s="42">
        <v>29.0</v>
      </c>
      <c r="B30" s="35" t="s">
        <v>638</v>
      </c>
      <c r="C30" s="35" t="s">
        <v>589</v>
      </c>
      <c r="D30" s="35" t="s">
        <v>635</v>
      </c>
      <c r="E30" s="36" t="s">
        <v>653</v>
      </c>
      <c r="F30" s="35">
        <f>+972529526078</f>
        <v>972529526078</v>
      </c>
      <c r="G30" s="44" t="s">
        <v>654</v>
      </c>
      <c r="H30" s="45"/>
      <c r="I30" s="35" t="s">
        <v>419</v>
      </c>
      <c r="J30" s="35" t="s">
        <v>593</v>
      </c>
      <c r="K30" s="35"/>
      <c r="L30" s="45"/>
    </row>
    <row r="31" ht="15.75" customHeight="1">
      <c r="A31" s="42">
        <v>30.0</v>
      </c>
      <c r="B31" s="35" t="s">
        <v>638</v>
      </c>
      <c r="C31" s="35" t="s">
        <v>589</v>
      </c>
      <c r="D31" s="35" t="s">
        <v>635</v>
      </c>
      <c r="E31" s="36" t="s">
        <v>655</v>
      </c>
      <c r="F31" s="35">
        <f>+972544909055</f>
        <v>972544909055</v>
      </c>
      <c r="G31" s="44" t="s">
        <v>656</v>
      </c>
      <c r="H31" s="45"/>
      <c r="I31" s="35" t="s">
        <v>419</v>
      </c>
      <c r="J31" s="35" t="s">
        <v>593</v>
      </c>
      <c r="K31" s="35"/>
      <c r="L31" s="45"/>
    </row>
    <row r="32" ht="15.75" customHeight="1">
      <c r="A32" s="42">
        <v>31.0</v>
      </c>
      <c r="B32" s="35" t="s">
        <v>638</v>
      </c>
      <c r="C32" s="35" t="s">
        <v>589</v>
      </c>
      <c r="D32" s="35" t="s">
        <v>635</v>
      </c>
      <c r="E32" s="36" t="s">
        <v>657</v>
      </c>
      <c r="F32" s="35">
        <f>+9720542525140</f>
        <v>9720542525140</v>
      </c>
      <c r="G32" s="44" t="s">
        <v>658</v>
      </c>
      <c r="H32" s="45"/>
      <c r="I32" s="35" t="s">
        <v>419</v>
      </c>
      <c r="J32" s="35" t="s">
        <v>420</v>
      </c>
      <c r="K32" s="45"/>
      <c r="L32" s="45"/>
    </row>
    <row r="33" ht="15.75" customHeight="1">
      <c r="A33" s="42">
        <v>32.0</v>
      </c>
      <c r="B33" s="35" t="s">
        <v>638</v>
      </c>
      <c r="C33" s="35" t="s">
        <v>589</v>
      </c>
      <c r="D33" s="35" t="s">
        <v>635</v>
      </c>
      <c r="E33" s="36" t="s">
        <v>659</v>
      </c>
      <c r="F33" s="35">
        <f>+972506617421</f>
        <v>972506617421</v>
      </c>
      <c r="G33" s="44" t="s">
        <v>660</v>
      </c>
      <c r="H33" s="45"/>
      <c r="I33" s="35" t="s">
        <v>419</v>
      </c>
      <c r="J33" s="35" t="s">
        <v>420</v>
      </c>
      <c r="K33" s="45"/>
      <c r="L33" s="45"/>
    </row>
    <row r="34" ht="15.75" customHeight="1">
      <c r="A34" s="42">
        <v>33.0</v>
      </c>
      <c r="B34" s="35" t="s">
        <v>638</v>
      </c>
      <c r="C34" s="35" t="s">
        <v>589</v>
      </c>
      <c r="D34" s="35" t="s">
        <v>635</v>
      </c>
      <c r="E34" s="49" t="s">
        <v>661</v>
      </c>
      <c r="F34" s="48">
        <f>+972503921085</f>
        <v>972503921085</v>
      </c>
      <c r="G34" s="44" t="s">
        <v>662</v>
      </c>
      <c r="H34" s="45"/>
      <c r="I34" s="48" t="s">
        <v>419</v>
      </c>
      <c r="J34" s="35" t="s">
        <v>420</v>
      </c>
      <c r="K34" s="45"/>
      <c r="L34" s="45"/>
    </row>
    <row r="35" ht="15.75" customHeight="1">
      <c r="A35" s="42">
        <v>34.0</v>
      </c>
      <c r="B35" s="35" t="s">
        <v>638</v>
      </c>
      <c r="C35" s="35" t="s">
        <v>589</v>
      </c>
      <c r="D35" s="35" t="s">
        <v>635</v>
      </c>
      <c r="E35" s="43" t="s">
        <v>663</v>
      </c>
      <c r="F35" s="35">
        <f>+972545700539</f>
        <v>972545700539</v>
      </c>
      <c r="G35" s="44" t="s">
        <v>664</v>
      </c>
      <c r="H35" s="45"/>
      <c r="I35" s="35" t="s">
        <v>419</v>
      </c>
      <c r="J35" s="35" t="s">
        <v>420</v>
      </c>
      <c r="K35" s="45"/>
      <c r="L35" s="45"/>
    </row>
    <row r="36" ht="15.75" customHeight="1">
      <c r="A36" s="42">
        <v>35.0</v>
      </c>
      <c r="B36" s="35" t="s">
        <v>638</v>
      </c>
      <c r="C36" s="35" t="s">
        <v>589</v>
      </c>
      <c r="D36" s="35" t="s">
        <v>635</v>
      </c>
      <c r="E36" s="36" t="s">
        <v>665</v>
      </c>
      <c r="F36" s="35">
        <f>+972505766923</f>
        <v>972505766923</v>
      </c>
      <c r="G36" s="44" t="s">
        <v>666</v>
      </c>
      <c r="H36" s="45"/>
      <c r="I36" s="35" t="s">
        <v>419</v>
      </c>
      <c r="J36" s="35" t="s">
        <v>420</v>
      </c>
      <c r="K36" s="35"/>
      <c r="L36" s="45"/>
    </row>
    <row r="37" ht="15.75" customHeight="1">
      <c r="A37" s="42">
        <v>36.0</v>
      </c>
      <c r="B37" s="35" t="s">
        <v>638</v>
      </c>
      <c r="C37" s="35" t="s">
        <v>589</v>
      </c>
      <c r="D37" s="35" t="s">
        <v>635</v>
      </c>
      <c r="E37" s="36" t="s">
        <v>667</v>
      </c>
      <c r="F37" s="35">
        <f>+234080035715761</f>
        <v>234080035715761</v>
      </c>
      <c r="G37" s="44" t="s">
        <v>668</v>
      </c>
      <c r="H37" s="45"/>
      <c r="I37" s="35" t="s">
        <v>419</v>
      </c>
      <c r="J37" s="35" t="s">
        <v>669</v>
      </c>
      <c r="K37" s="35"/>
      <c r="L37" s="45"/>
    </row>
    <row r="38" ht="15.75" customHeight="1">
      <c r="A38" s="42">
        <v>37.0</v>
      </c>
      <c r="B38" s="35" t="s">
        <v>638</v>
      </c>
      <c r="C38" s="35" t="s">
        <v>589</v>
      </c>
      <c r="D38" s="35" t="s">
        <v>635</v>
      </c>
      <c r="E38" s="36" t="s">
        <v>670</v>
      </c>
      <c r="F38" s="35">
        <f>+972545662235</f>
        <v>972545662235</v>
      </c>
      <c r="G38" s="44" t="s">
        <v>671</v>
      </c>
      <c r="H38" s="45"/>
      <c r="I38" s="35" t="s">
        <v>419</v>
      </c>
      <c r="J38" s="35" t="s">
        <v>420</v>
      </c>
      <c r="K38" s="35"/>
      <c r="L38" s="45"/>
    </row>
    <row r="39" ht="15.75" customHeight="1">
      <c r="A39" s="42">
        <v>38.0</v>
      </c>
      <c r="B39" s="35" t="s">
        <v>638</v>
      </c>
      <c r="C39" s="35" t="s">
        <v>589</v>
      </c>
      <c r="D39" s="35" t="s">
        <v>635</v>
      </c>
      <c r="E39" s="36" t="s">
        <v>672</v>
      </c>
      <c r="F39" s="35">
        <f>+972524715378</f>
        <v>972524715378</v>
      </c>
      <c r="G39" s="44" t="s">
        <v>673</v>
      </c>
      <c r="H39" s="45"/>
      <c r="I39" s="35" t="s">
        <v>419</v>
      </c>
      <c r="J39" s="35" t="s">
        <v>420</v>
      </c>
      <c r="K39" s="35"/>
      <c r="L39" s="45"/>
    </row>
    <row r="40" ht="15.75" customHeight="1">
      <c r="A40" s="42">
        <v>39.0</v>
      </c>
      <c r="B40" s="35" t="s">
        <v>638</v>
      </c>
      <c r="C40" s="35" t="s">
        <v>589</v>
      </c>
      <c r="D40" s="35" t="s">
        <v>674</v>
      </c>
      <c r="E40" s="36" t="s">
        <v>675</v>
      </c>
      <c r="F40" s="35">
        <f>+9720542217178</f>
        <v>9720542217178</v>
      </c>
      <c r="G40" s="44" t="s">
        <v>676</v>
      </c>
      <c r="H40" s="45"/>
      <c r="I40" s="35" t="s">
        <v>419</v>
      </c>
      <c r="J40" s="35" t="s">
        <v>420</v>
      </c>
      <c r="K40" s="35"/>
      <c r="L40" s="45"/>
    </row>
    <row r="41" ht="15.75" customHeight="1">
      <c r="A41" s="42">
        <v>40.0</v>
      </c>
      <c r="B41" s="35" t="s">
        <v>638</v>
      </c>
      <c r="C41" s="35" t="s">
        <v>589</v>
      </c>
      <c r="D41" s="35" t="s">
        <v>674</v>
      </c>
      <c r="E41" s="43" t="s">
        <v>677</v>
      </c>
      <c r="F41" s="35">
        <f>+972524345526</f>
        <v>972524345526</v>
      </c>
      <c r="G41" s="44" t="s">
        <v>678</v>
      </c>
      <c r="H41" s="45"/>
      <c r="I41" s="35" t="s">
        <v>419</v>
      </c>
      <c r="J41" s="35" t="s">
        <v>420</v>
      </c>
      <c r="K41" s="35"/>
      <c r="L41" s="45"/>
    </row>
    <row r="42" ht="15.75" customHeight="1">
      <c r="A42" s="42">
        <v>41.0</v>
      </c>
      <c r="B42" s="35" t="s">
        <v>638</v>
      </c>
      <c r="C42" s="35" t="s">
        <v>589</v>
      </c>
      <c r="D42" s="35" t="s">
        <v>679</v>
      </c>
      <c r="E42" s="36" t="s">
        <v>680</v>
      </c>
      <c r="F42" s="35">
        <f>+972547284194</f>
        <v>972547284194</v>
      </c>
      <c r="G42" s="44" t="s">
        <v>681</v>
      </c>
      <c r="H42" s="45"/>
      <c r="I42" s="35" t="s">
        <v>419</v>
      </c>
      <c r="J42" s="35" t="s">
        <v>420</v>
      </c>
      <c r="K42" s="45"/>
      <c r="L42" s="45"/>
    </row>
    <row r="43" ht="15.75" customHeight="1">
      <c r="A43" s="42">
        <v>42.0</v>
      </c>
      <c r="B43" s="35" t="s">
        <v>638</v>
      </c>
      <c r="C43" s="35" t="s">
        <v>589</v>
      </c>
      <c r="D43" s="35" t="s">
        <v>635</v>
      </c>
      <c r="E43" s="36" t="s">
        <v>682</v>
      </c>
      <c r="F43" s="35">
        <f>+972502222326</f>
        <v>972502222326</v>
      </c>
      <c r="G43" s="44" t="s">
        <v>683</v>
      </c>
      <c r="H43" s="45"/>
      <c r="I43" s="35" t="s">
        <v>419</v>
      </c>
      <c r="J43" s="46" t="s">
        <v>684</v>
      </c>
      <c r="K43" s="45"/>
      <c r="L43" s="45"/>
    </row>
    <row r="44" ht="15.75" customHeight="1">
      <c r="A44" s="42">
        <v>43.0</v>
      </c>
      <c r="B44" s="35" t="s">
        <v>638</v>
      </c>
      <c r="C44" s="37"/>
      <c r="D44" s="35" t="s">
        <v>635</v>
      </c>
      <c r="E44" s="43" t="s">
        <v>685</v>
      </c>
      <c r="F44" s="35">
        <f>+972505359348</f>
        <v>972505359348</v>
      </c>
      <c r="G44" s="44" t="s">
        <v>686</v>
      </c>
      <c r="H44" s="45"/>
      <c r="I44" s="35" t="s">
        <v>419</v>
      </c>
      <c r="J44" s="46" t="s">
        <v>684</v>
      </c>
      <c r="K44" s="45"/>
      <c r="L44" s="45"/>
    </row>
    <row r="45" ht="15.75" customHeight="1">
      <c r="A45" s="42">
        <v>44.0</v>
      </c>
      <c r="B45" s="35" t="s">
        <v>638</v>
      </c>
      <c r="C45" s="35" t="s">
        <v>589</v>
      </c>
      <c r="D45" s="35" t="s">
        <v>635</v>
      </c>
      <c r="E45" s="36" t="s">
        <v>687</v>
      </c>
      <c r="F45" s="35">
        <f>+972524787336</f>
        <v>972524787336</v>
      </c>
      <c r="G45" s="44" t="s">
        <v>688</v>
      </c>
      <c r="H45" s="45"/>
      <c r="I45" s="35" t="s">
        <v>419</v>
      </c>
      <c r="J45" s="46" t="s">
        <v>420</v>
      </c>
      <c r="K45" s="45"/>
      <c r="L45" s="45"/>
    </row>
    <row r="46" ht="15.75" customHeight="1">
      <c r="A46" s="42">
        <v>45.0</v>
      </c>
      <c r="B46" s="35" t="s">
        <v>638</v>
      </c>
      <c r="C46" s="35" t="s">
        <v>589</v>
      </c>
      <c r="D46" s="35" t="s">
        <v>635</v>
      </c>
      <c r="E46" s="36" t="s">
        <v>689</v>
      </c>
      <c r="F46" s="35">
        <f>+971503391737</f>
        <v>971503391737</v>
      </c>
      <c r="G46" s="44" t="s">
        <v>690</v>
      </c>
      <c r="H46" s="45"/>
      <c r="I46" s="35" t="s">
        <v>419</v>
      </c>
      <c r="J46" s="45"/>
      <c r="K46" s="45"/>
      <c r="L46" s="45"/>
    </row>
    <row r="47" ht="15.75" customHeight="1">
      <c r="A47" s="42">
        <v>46.0</v>
      </c>
      <c r="B47" s="35" t="s">
        <v>638</v>
      </c>
      <c r="C47" s="46" t="s">
        <v>589</v>
      </c>
      <c r="D47" s="35" t="s">
        <v>635</v>
      </c>
      <c r="E47" s="43" t="s">
        <v>691</v>
      </c>
      <c r="F47" s="35">
        <f>+972525569743</f>
        <v>972525569743</v>
      </c>
      <c r="G47" s="44" t="s">
        <v>692</v>
      </c>
      <c r="H47" s="45"/>
      <c r="I47" s="35" t="s">
        <v>419</v>
      </c>
      <c r="J47" s="45" t="s">
        <v>593</v>
      </c>
      <c r="K47" s="45"/>
      <c r="L47" s="45"/>
    </row>
    <row r="48" ht="15.75" customHeight="1">
      <c r="A48" s="42">
        <v>47.0</v>
      </c>
      <c r="B48" s="35" t="s">
        <v>638</v>
      </c>
      <c r="C48" s="35" t="s">
        <v>589</v>
      </c>
      <c r="D48" s="35" t="s">
        <v>635</v>
      </c>
      <c r="E48" s="36" t="s">
        <v>693</v>
      </c>
      <c r="F48" s="35">
        <f>+9720536662125</f>
        <v>9720536662125</v>
      </c>
      <c r="G48" s="44" t="s">
        <v>694</v>
      </c>
      <c r="H48" s="45"/>
      <c r="I48" s="35" t="s">
        <v>419</v>
      </c>
      <c r="J48" s="45" t="s">
        <v>593</v>
      </c>
      <c r="K48" s="45"/>
      <c r="L48" s="45"/>
    </row>
    <row r="49" ht="15.75" customHeight="1">
      <c r="A49" s="42">
        <v>48.0</v>
      </c>
      <c r="B49" s="35" t="s">
        <v>638</v>
      </c>
      <c r="C49" s="35" t="s">
        <v>589</v>
      </c>
      <c r="D49" s="35" t="s">
        <v>635</v>
      </c>
      <c r="E49" s="43" t="s">
        <v>695</v>
      </c>
      <c r="F49" s="35">
        <f>+9720523064611</f>
        <v>9720523064611</v>
      </c>
      <c r="G49" s="44" t="s">
        <v>696</v>
      </c>
      <c r="H49" s="45"/>
      <c r="I49" s="35" t="s">
        <v>419</v>
      </c>
      <c r="J49" s="45" t="s">
        <v>420</v>
      </c>
      <c r="K49" s="45"/>
      <c r="L49" s="45"/>
    </row>
    <row r="50" ht="15.75" customHeight="1">
      <c r="A50" s="42">
        <v>49.0</v>
      </c>
      <c r="B50" s="35" t="s">
        <v>638</v>
      </c>
      <c r="C50" s="35" t="s">
        <v>589</v>
      </c>
      <c r="D50" s="35" t="s">
        <v>635</v>
      </c>
      <c r="E50" s="49" t="s">
        <v>697</v>
      </c>
      <c r="F50" s="48">
        <f>+972504203637</f>
        <v>972504203637</v>
      </c>
      <c r="G50" s="44" t="s">
        <v>698</v>
      </c>
      <c r="H50" s="45"/>
      <c r="I50" s="58" t="s">
        <v>419</v>
      </c>
      <c r="J50" s="45" t="s">
        <v>684</v>
      </c>
      <c r="K50" s="45"/>
      <c r="L50" s="45"/>
    </row>
    <row r="51" ht="15.75" customHeight="1">
      <c r="A51" s="42">
        <v>50.0</v>
      </c>
      <c r="B51" s="35" t="s">
        <v>638</v>
      </c>
      <c r="C51" s="35" t="s">
        <v>589</v>
      </c>
      <c r="D51" s="48" t="s">
        <v>635</v>
      </c>
      <c r="E51" s="49" t="s">
        <v>699</v>
      </c>
      <c r="F51" s="48">
        <f>+972587655222</f>
        <v>972587655222</v>
      </c>
      <c r="G51" s="44" t="s">
        <v>700</v>
      </c>
      <c r="H51" s="45"/>
      <c r="I51" s="58" t="s">
        <v>419</v>
      </c>
      <c r="J51" s="45" t="s">
        <v>420</v>
      </c>
      <c r="K51" s="45"/>
      <c r="L51" s="45"/>
    </row>
    <row r="52" ht="15.75" customHeight="1">
      <c r="A52" s="42">
        <v>51.0</v>
      </c>
      <c r="B52" s="35" t="s">
        <v>638</v>
      </c>
      <c r="C52" s="37"/>
      <c r="D52" s="35" t="s">
        <v>635</v>
      </c>
      <c r="E52" s="36" t="s">
        <v>701</v>
      </c>
      <c r="F52" s="35">
        <f>+972536616259</f>
        <v>972536616259</v>
      </c>
      <c r="G52" s="44" t="s">
        <v>702</v>
      </c>
      <c r="H52" s="45"/>
      <c r="I52" s="35" t="s">
        <v>419</v>
      </c>
      <c r="J52" s="46" t="s">
        <v>684</v>
      </c>
      <c r="K52" s="45"/>
      <c r="L52" s="45"/>
    </row>
    <row r="53" ht="15.75" customHeight="1">
      <c r="A53" s="42">
        <v>52.0</v>
      </c>
      <c r="B53" s="35" t="s">
        <v>638</v>
      </c>
      <c r="C53" s="37"/>
      <c r="D53" s="48" t="s">
        <v>635</v>
      </c>
      <c r="E53" s="49" t="s">
        <v>703</v>
      </c>
      <c r="F53" s="48">
        <f>+972543907999</f>
        <v>972543907999</v>
      </c>
      <c r="G53" s="44" t="s">
        <v>704</v>
      </c>
      <c r="H53" s="45"/>
      <c r="I53" s="48" t="s">
        <v>419</v>
      </c>
      <c r="J53" s="46" t="s">
        <v>420</v>
      </c>
      <c r="K53" s="45"/>
      <c r="L53" s="4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G2"/>
    <hyperlink r:id="rId3" ref="E3"/>
    <hyperlink r:id="rId4" ref="G3"/>
    <hyperlink r:id="rId5" ref="E7"/>
    <hyperlink r:id="rId6" ref="G7"/>
    <hyperlink r:id="rId7" ref="E8"/>
    <hyperlink r:id="rId8" ref="G8"/>
    <hyperlink r:id="rId9" ref="E9"/>
    <hyperlink r:id="rId10" ref="G9"/>
    <hyperlink r:id="rId11" ref="E10"/>
    <hyperlink r:id="rId12" ref="G10"/>
    <hyperlink r:id="rId13" ref="E11"/>
    <hyperlink r:id="rId14" ref="G11"/>
    <hyperlink r:id="rId15" ref="E12"/>
    <hyperlink r:id="rId16" ref="G12"/>
    <hyperlink r:id="rId17" ref="E13"/>
    <hyperlink r:id="rId18" ref="G13"/>
    <hyperlink r:id="rId19" ref="E22"/>
    <hyperlink r:id="rId20" ref="G22"/>
    <hyperlink r:id="rId21" ref="E23"/>
    <hyperlink r:id="rId22" ref="G23"/>
    <hyperlink r:id="rId23" ref="E24"/>
    <hyperlink r:id="rId24" ref="G24"/>
    <hyperlink r:id="rId25" ref="E25"/>
    <hyperlink r:id="rId26" ref="G25"/>
    <hyperlink r:id="rId27" ref="E26"/>
    <hyperlink r:id="rId28" ref="G26"/>
    <hyperlink r:id="rId29" ref="E27"/>
    <hyperlink r:id="rId30" ref="G27"/>
    <hyperlink r:id="rId31" ref="E28"/>
    <hyperlink r:id="rId32" ref="G28"/>
    <hyperlink r:id="rId33" ref="E29"/>
    <hyperlink r:id="rId34" ref="G29"/>
    <hyperlink r:id="rId35" ref="E30"/>
    <hyperlink r:id="rId36" ref="G30"/>
    <hyperlink r:id="rId37" ref="E31"/>
    <hyperlink r:id="rId38" ref="G31"/>
    <hyperlink r:id="rId39" ref="E32"/>
    <hyperlink r:id="rId40" ref="G32"/>
    <hyperlink r:id="rId41" ref="E33"/>
    <hyperlink r:id="rId42" ref="G33"/>
    <hyperlink r:id="rId43" ref="E34"/>
    <hyperlink r:id="rId44" ref="G34"/>
    <hyperlink r:id="rId45" ref="E35"/>
    <hyperlink r:id="rId46" ref="G35"/>
    <hyperlink r:id="rId47" ref="E36"/>
    <hyperlink r:id="rId48" ref="G36"/>
    <hyperlink r:id="rId49" ref="E37"/>
    <hyperlink r:id="rId50" ref="G37"/>
    <hyperlink r:id="rId51" ref="E38"/>
    <hyperlink r:id="rId52" ref="G38"/>
    <hyperlink r:id="rId53" ref="E39"/>
    <hyperlink r:id="rId54" ref="G39"/>
    <hyperlink r:id="rId55" ref="E40"/>
    <hyperlink r:id="rId56" ref="G40"/>
    <hyperlink r:id="rId57" ref="E41"/>
    <hyperlink r:id="rId58" ref="G41"/>
    <hyperlink r:id="rId59" ref="E42"/>
    <hyperlink r:id="rId60" ref="G42"/>
    <hyperlink r:id="rId61" ref="E43"/>
    <hyperlink r:id="rId62" ref="G43"/>
    <hyperlink r:id="rId63" ref="E44"/>
    <hyperlink r:id="rId64" ref="G44"/>
    <hyperlink r:id="rId65" ref="E45"/>
    <hyperlink r:id="rId66" ref="G45"/>
    <hyperlink r:id="rId67" ref="E46"/>
    <hyperlink r:id="rId68" ref="G46"/>
    <hyperlink r:id="rId69" ref="E47"/>
    <hyperlink r:id="rId70" ref="G47"/>
    <hyperlink r:id="rId71" ref="E48"/>
    <hyperlink r:id="rId72" ref="G48"/>
    <hyperlink r:id="rId73" ref="E49"/>
    <hyperlink r:id="rId74" ref="G49"/>
    <hyperlink r:id="rId75" ref="E50"/>
    <hyperlink r:id="rId76" ref="G50"/>
    <hyperlink r:id="rId77" ref="E51"/>
    <hyperlink r:id="rId78" ref="G51"/>
    <hyperlink r:id="rId79" ref="E52"/>
    <hyperlink r:id="rId80" ref="G52"/>
    <hyperlink r:id="rId81" ref="E53"/>
    <hyperlink r:id="rId82" ref="G53"/>
  </hyperlinks>
  <drawing r:id="rId8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14.43"/>
    <col customWidth="1" min="4" max="4" width="16.71"/>
    <col customWidth="1" min="5" max="5" width="29.29"/>
    <col customWidth="1" min="6" max="6" width="14.43"/>
    <col customWidth="1" min="7" max="7" width="28.0"/>
  </cols>
  <sheetData>
    <row r="1" ht="15.75" customHeight="1">
      <c r="A1" s="33" t="s">
        <v>581</v>
      </c>
      <c r="B1" s="33" t="s">
        <v>404</v>
      </c>
      <c r="C1" s="34" t="s">
        <v>405</v>
      </c>
      <c r="D1" s="34" t="s">
        <v>406</v>
      </c>
      <c r="E1" s="34" t="s">
        <v>407</v>
      </c>
      <c r="F1" s="34" t="s">
        <v>408</v>
      </c>
      <c r="G1" s="34" t="s">
        <v>409</v>
      </c>
      <c r="H1" s="34" t="s">
        <v>6</v>
      </c>
      <c r="I1" s="34" t="s">
        <v>410</v>
      </c>
      <c r="J1" s="34" t="s">
        <v>411</v>
      </c>
      <c r="K1" s="34" t="s">
        <v>412</v>
      </c>
      <c r="L1" s="34" t="s">
        <v>413</v>
      </c>
    </row>
    <row r="2" ht="15.75" customHeight="1">
      <c r="A2" s="42">
        <v>1.0</v>
      </c>
      <c r="B2" s="35" t="s">
        <v>705</v>
      </c>
      <c r="C2" s="35" t="s">
        <v>706</v>
      </c>
      <c r="D2" s="35" t="s">
        <v>707</v>
      </c>
      <c r="E2" s="36" t="s">
        <v>708</v>
      </c>
      <c r="F2" s="35">
        <f>+22509103139</f>
        <v>22509103139</v>
      </c>
      <c r="G2" s="36" t="s">
        <v>709</v>
      </c>
      <c r="H2" s="37"/>
      <c r="I2" s="35" t="s">
        <v>419</v>
      </c>
      <c r="J2" s="35" t="s">
        <v>710</v>
      </c>
      <c r="K2" s="37"/>
      <c r="L2" s="39" t="s">
        <v>711</v>
      </c>
    </row>
    <row r="3" ht="15.75" customHeight="1">
      <c r="A3" s="42">
        <v>2.0</v>
      </c>
      <c r="B3" s="35" t="s">
        <v>705</v>
      </c>
      <c r="C3" s="35" t="s">
        <v>706</v>
      </c>
      <c r="D3" s="35" t="s">
        <v>707</v>
      </c>
      <c r="E3" s="36" t="s">
        <v>712</v>
      </c>
      <c r="F3" s="35">
        <f>+22577671168</f>
        <v>22577671168</v>
      </c>
      <c r="G3" s="36" t="s">
        <v>713</v>
      </c>
      <c r="H3" s="37"/>
      <c r="I3" s="35" t="s">
        <v>419</v>
      </c>
      <c r="J3" s="35" t="s">
        <v>710</v>
      </c>
      <c r="K3" s="37"/>
      <c r="L3" s="39" t="s">
        <v>714</v>
      </c>
    </row>
    <row r="4" ht="15.75" customHeight="1">
      <c r="A4" s="42">
        <v>3.0</v>
      </c>
      <c r="B4" s="35" t="s">
        <v>705</v>
      </c>
      <c r="C4" s="35" t="s">
        <v>706</v>
      </c>
      <c r="D4" s="35" t="s">
        <v>707</v>
      </c>
      <c r="E4" s="36" t="s">
        <v>715</v>
      </c>
      <c r="F4" s="35">
        <f>+22509910181</f>
        <v>22509910181</v>
      </c>
      <c r="G4" s="36" t="s">
        <v>716</v>
      </c>
      <c r="H4" s="37"/>
      <c r="I4" s="35" t="s">
        <v>419</v>
      </c>
      <c r="J4" s="35" t="s">
        <v>669</v>
      </c>
      <c r="K4" s="37"/>
      <c r="L4" s="39" t="s">
        <v>717</v>
      </c>
    </row>
    <row r="5" ht="15.75" customHeight="1">
      <c r="A5" s="42">
        <v>4.0</v>
      </c>
      <c r="B5" s="35" t="s">
        <v>705</v>
      </c>
      <c r="C5" s="35" t="s">
        <v>706</v>
      </c>
      <c r="D5" s="35" t="s">
        <v>707</v>
      </c>
      <c r="E5" s="36" t="s">
        <v>718</v>
      </c>
      <c r="F5" s="35">
        <f>+22507650000</f>
        <v>22507650000</v>
      </c>
      <c r="G5" s="36" t="s">
        <v>719</v>
      </c>
      <c r="H5" s="37"/>
      <c r="I5" s="35" t="s">
        <v>419</v>
      </c>
      <c r="J5" s="35" t="s">
        <v>669</v>
      </c>
      <c r="K5" s="37"/>
      <c r="L5" s="39" t="s">
        <v>720</v>
      </c>
    </row>
    <row r="6" ht="15.75" customHeight="1">
      <c r="A6" s="42">
        <v>5.0</v>
      </c>
      <c r="B6" s="35" t="s">
        <v>705</v>
      </c>
      <c r="C6" s="35" t="s">
        <v>706</v>
      </c>
      <c r="D6" s="35" t="s">
        <v>721</v>
      </c>
      <c r="E6" s="36" t="s">
        <v>722</v>
      </c>
      <c r="F6" s="35">
        <f>+22508626895</f>
        <v>22508626895</v>
      </c>
      <c r="G6" s="36" t="s">
        <v>723</v>
      </c>
      <c r="H6" s="37"/>
      <c r="I6" s="35" t="s">
        <v>419</v>
      </c>
      <c r="J6" s="35" t="s">
        <v>710</v>
      </c>
      <c r="K6" s="35"/>
      <c r="L6" s="59" t="s">
        <v>724</v>
      </c>
    </row>
    <row r="7" ht="15.75" customHeight="1">
      <c r="A7" s="42">
        <v>6.0</v>
      </c>
      <c r="B7" s="35" t="s">
        <v>705</v>
      </c>
      <c r="C7" s="35" t="s">
        <v>706</v>
      </c>
      <c r="D7" s="35" t="s">
        <v>721</v>
      </c>
      <c r="E7" s="36" t="s">
        <v>725</v>
      </c>
      <c r="F7" s="35">
        <f>+22502022105</f>
        <v>22502022105</v>
      </c>
      <c r="G7" s="36" t="s">
        <v>726</v>
      </c>
      <c r="H7" s="37"/>
      <c r="I7" s="35" t="s">
        <v>419</v>
      </c>
      <c r="J7" s="35" t="s">
        <v>669</v>
      </c>
      <c r="K7" s="35"/>
      <c r="L7" s="60" t="s">
        <v>727</v>
      </c>
    </row>
    <row r="8" ht="15.75" customHeight="1">
      <c r="A8" s="42">
        <v>7.0</v>
      </c>
      <c r="B8" s="35" t="s">
        <v>705</v>
      </c>
      <c r="C8" s="35" t="s">
        <v>706</v>
      </c>
      <c r="D8" s="35" t="s">
        <v>721</v>
      </c>
      <c r="E8" s="36" t="s">
        <v>728</v>
      </c>
      <c r="F8" s="35">
        <f>+22556402021</f>
        <v>22556402021</v>
      </c>
      <c r="G8" s="36" t="s">
        <v>729</v>
      </c>
      <c r="H8" s="37"/>
      <c r="I8" s="35" t="s">
        <v>419</v>
      </c>
      <c r="J8" s="35" t="s">
        <v>710</v>
      </c>
      <c r="K8" s="37"/>
      <c r="L8" s="39" t="s">
        <v>730</v>
      </c>
    </row>
    <row r="9" ht="15.75" customHeight="1">
      <c r="A9" s="42">
        <v>8.0</v>
      </c>
      <c r="B9" s="35" t="s">
        <v>731</v>
      </c>
      <c r="C9" s="35" t="s">
        <v>706</v>
      </c>
      <c r="D9" s="35" t="s">
        <v>707</v>
      </c>
      <c r="E9" s="35" t="s">
        <v>732</v>
      </c>
      <c r="F9" s="35">
        <f>+33606790763</f>
        <v>33606790763</v>
      </c>
      <c r="G9" s="35" t="s">
        <v>733</v>
      </c>
      <c r="H9" s="35" t="s">
        <v>734</v>
      </c>
      <c r="I9" s="35" t="s">
        <v>424</v>
      </c>
      <c r="J9" s="35" t="s">
        <v>710</v>
      </c>
      <c r="K9" s="37"/>
      <c r="L9" s="39" t="s">
        <v>735</v>
      </c>
    </row>
    <row r="10" ht="15.75" customHeight="1">
      <c r="A10" s="42">
        <v>9.0</v>
      </c>
      <c r="B10" s="35" t="s">
        <v>731</v>
      </c>
      <c r="C10" s="35" t="s">
        <v>706</v>
      </c>
      <c r="D10" s="35" t="s">
        <v>707</v>
      </c>
      <c r="E10" s="35" t="s">
        <v>736</v>
      </c>
      <c r="F10" s="35">
        <f>+22508080766</f>
        <v>22508080766</v>
      </c>
      <c r="G10" s="35" t="s">
        <v>737</v>
      </c>
      <c r="H10" s="35" t="s">
        <v>738</v>
      </c>
      <c r="I10" s="35" t="s">
        <v>424</v>
      </c>
      <c r="J10" s="35" t="s">
        <v>710</v>
      </c>
      <c r="K10" s="37"/>
      <c r="L10" s="39" t="s">
        <v>739</v>
      </c>
    </row>
    <row r="11" ht="15.75" customHeight="1">
      <c r="A11" s="42">
        <v>10.0</v>
      </c>
      <c r="B11" s="35" t="s">
        <v>731</v>
      </c>
      <c r="C11" s="35" t="s">
        <v>706</v>
      </c>
      <c r="D11" s="35" t="s">
        <v>707</v>
      </c>
      <c r="E11" s="35" t="s">
        <v>740</v>
      </c>
      <c r="F11" s="35">
        <f>+22509989999</f>
        <v>22509989999</v>
      </c>
      <c r="G11" s="35" t="s">
        <v>741</v>
      </c>
      <c r="H11" s="35" t="s">
        <v>742</v>
      </c>
      <c r="I11" s="35" t="s">
        <v>424</v>
      </c>
      <c r="J11" s="35" t="s">
        <v>710</v>
      </c>
      <c r="K11" s="37"/>
      <c r="L11" s="39" t="s">
        <v>735</v>
      </c>
    </row>
    <row r="12" ht="15.75" customHeight="1">
      <c r="A12" s="42">
        <v>11.0</v>
      </c>
      <c r="B12" s="35" t="s">
        <v>731</v>
      </c>
      <c r="C12" s="35" t="s">
        <v>706</v>
      </c>
      <c r="D12" s="35" t="s">
        <v>707</v>
      </c>
      <c r="E12" s="35" t="s">
        <v>743</v>
      </c>
      <c r="F12" s="35">
        <f>+22507886623</f>
        <v>22507886623</v>
      </c>
      <c r="G12" s="35" t="s">
        <v>744</v>
      </c>
      <c r="H12" s="35" t="s">
        <v>734</v>
      </c>
      <c r="I12" s="35" t="s">
        <v>424</v>
      </c>
      <c r="J12" s="35" t="s">
        <v>710</v>
      </c>
      <c r="K12" s="37"/>
      <c r="L12" s="39" t="s">
        <v>735</v>
      </c>
    </row>
    <row r="13" ht="15.75" customHeight="1">
      <c r="A13" s="42">
        <v>12.0</v>
      </c>
      <c r="B13" s="35" t="s">
        <v>731</v>
      </c>
      <c r="C13" s="35" t="s">
        <v>706</v>
      </c>
      <c r="D13" s="35" t="s">
        <v>707</v>
      </c>
      <c r="E13" s="35" t="s">
        <v>745</v>
      </c>
      <c r="F13" s="35">
        <f>+22554872415</f>
        <v>22554872415</v>
      </c>
      <c r="G13" s="35" t="s">
        <v>746</v>
      </c>
      <c r="H13" s="35" t="s">
        <v>742</v>
      </c>
      <c r="I13" s="35" t="s">
        <v>424</v>
      </c>
      <c r="J13" s="35" t="s">
        <v>710</v>
      </c>
      <c r="K13" s="37"/>
      <c r="L13" s="35" t="s">
        <v>714</v>
      </c>
    </row>
    <row r="14" ht="15.75" customHeight="1">
      <c r="A14" s="42">
        <v>13.0</v>
      </c>
      <c r="B14" s="35" t="s">
        <v>731</v>
      </c>
      <c r="C14" s="35" t="s">
        <v>706</v>
      </c>
      <c r="D14" s="35" t="s">
        <v>707</v>
      </c>
      <c r="E14" s="35" t="s">
        <v>747</v>
      </c>
      <c r="F14" s="35">
        <f>+22577878788</f>
        <v>22577878788</v>
      </c>
      <c r="G14" s="35" t="s">
        <v>748</v>
      </c>
      <c r="H14" s="35" t="s">
        <v>738</v>
      </c>
      <c r="I14" s="35" t="s">
        <v>424</v>
      </c>
      <c r="J14" s="35" t="s">
        <v>710</v>
      </c>
      <c r="K14" s="37"/>
      <c r="L14" s="39" t="s">
        <v>735</v>
      </c>
    </row>
    <row r="15" ht="15.75" customHeight="1">
      <c r="A15" s="42">
        <v>14.0</v>
      </c>
      <c r="B15" s="35" t="s">
        <v>731</v>
      </c>
      <c r="C15" s="35" t="s">
        <v>706</v>
      </c>
      <c r="D15" s="35" t="s">
        <v>707</v>
      </c>
      <c r="E15" s="35" t="s">
        <v>749</v>
      </c>
      <c r="F15" s="35">
        <f>+22504183006</f>
        <v>22504183006</v>
      </c>
      <c r="G15" s="35" t="s">
        <v>750</v>
      </c>
      <c r="H15" s="35" t="s">
        <v>734</v>
      </c>
      <c r="I15" s="35" t="s">
        <v>424</v>
      </c>
      <c r="J15" s="35" t="s">
        <v>710</v>
      </c>
      <c r="K15" s="37"/>
      <c r="L15" s="39" t="s">
        <v>735</v>
      </c>
    </row>
    <row r="16" ht="15.75" customHeight="1">
      <c r="A16" s="42">
        <v>15.0</v>
      </c>
      <c r="B16" s="35" t="s">
        <v>731</v>
      </c>
      <c r="C16" s="35" t="s">
        <v>706</v>
      </c>
      <c r="D16" s="35" t="s">
        <v>707</v>
      </c>
      <c r="E16" s="35" t="s">
        <v>751</v>
      </c>
      <c r="F16" s="35">
        <f>+22554064247</f>
        <v>22554064247</v>
      </c>
      <c r="G16" s="35" t="s">
        <v>752</v>
      </c>
      <c r="H16" s="35" t="s">
        <v>742</v>
      </c>
      <c r="I16" s="35" t="s">
        <v>424</v>
      </c>
      <c r="J16" s="35" t="s">
        <v>710</v>
      </c>
      <c r="K16" s="37"/>
      <c r="L16" s="39" t="s">
        <v>735</v>
      </c>
    </row>
    <row r="17" ht="15.75" customHeight="1">
      <c r="A17" s="42">
        <v>16.0</v>
      </c>
      <c r="B17" s="35" t="s">
        <v>731</v>
      </c>
      <c r="C17" s="35" t="s">
        <v>706</v>
      </c>
      <c r="D17" s="35" t="s">
        <v>707</v>
      </c>
      <c r="E17" s="35" t="s">
        <v>753</v>
      </c>
      <c r="F17" s="35">
        <f>+22501169700</f>
        <v>22501169700</v>
      </c>
      <c r="G17" s="35" t="s">
        <v>754</v>
      </c>
      <c r="H17" s="35" t="s">
        <v>738</v>
      </c>
      <c r="I17" s="35" t="s">
        <v>424</v>
      </c>
      <c r="J17" s="35" t="s">
        <v>710</v>
      </c>
      <c r="K17" s="37"/>
      <c r="L17" s="39" t="s">
        <v>735</v>
      </c>
    </row>
    <row r="18" ht="15.75" customHeight="1">
      <c r="A18" s="42">
        <v>17.0</v>
      </c>
      <c r="B18" s="35" t="s">
        <v>731</v>
      </c>
      <c r="C18" s="35" t="s">
        <v>706</v>
      </c>
      <c r="D18" s="35" t="s">
        <v>707</v>
      </c>
      <c r="E18" s="35" t="s">
        <v>755</v>
      </c>
      <c r="F18" s="35">
        <f>+22508060676</f>
        <v>22508060676</v>
      </c>
      <c r="G18" s="35" t="s">
        <v>756</v>
      </c>
      <c r="H18" s="35" t="s">
        <v>734</v>
      </c>
      <c r="I18" s="35" t="s">
        <v>424</v>
      </c>
      <c r="J18" s="35" t="s">
        <v>669</v>
      </c>
      <c r="K18" s="37"/>
      <c r="L18" s="39" t="s">
        <v>757</v>
      </c>
    </row>
    <row r="19" ht="15.75" customHeight="1">
      <c r="A19" s="42">
        <v>18.0</v>
      </c>
      <c r="B19" s="35" t="s">
        <v>731</v>
      </c>
      <c r="C19" s="35" t="s">
        <v>706</v>
      </c>
      <c r="D19" s="35" t="s">
        <v>707</v>
      </c>
      <c r="E19" s="35" t="s">
        <v>758</v>
      </c>
      <c r="F19" s="35">
        <f>+22504081901</f>
        <v>22504081901</v>
      </c>
      <c r="G19" s="35" t="s">
        <v>759</v>
      </c>
      <c r="H19" s="35" t="s">
        <v>734</v>
      </c>
      <c r="I19" s="35" t="s">
        <v>424</v>
      </c>
      <c r="J19" s="35" t="s">
        <v>669</v>
      </c>
      <c r="K19" s="37"/>
      <c r="L19" s="39" t="s">
        <v>760</v>
      </c>
    </row>
    <row r="20" ht="15.75" customHeight="1">
      <c r="A20" s="42">
        <v>19.0</v>
      </c>
      <c r="B20" s="35" t="s">
        <v>731</v>
      </c>
      <c r="C20" s="35" t="s">
        <v>706</v>
      </c>
      <c r="D20" s="35" t="s">
        <v>707</v>
      </c>
      <c r="E20" s="35" t="s">
        <v>761</v>
      </c>
      <c r="F20" s="35">
        <f>+22509608899</f>
        <v>22509608899</v>
      </c>
      <c r="G20" s="35" t="s">
        <v>762</v>
      </c>
      <c r="H20" s="35" t="s">
        <v>738</v>
      </c>
      <c r="I20" s="35" t="s">
        <v>424</v>
      </c>
      <c r="J20" s="35" t="s">
        <v>669</v>
      </c>
      <c r="K20" s="37"/>
      <c r="L20" s="39" t="s">
        <v>763</v>
      </c>
    </row>
    <row r="21" ht="15.75" customHeight="1">
      <c r="A21" s="42">
        <v>20.0</v>
      </c>
      <c r="B21" s="35" t="s">
        <v>731</v>
      </c>
      <c r="C21" s="35" t="s">
        <v>706</v>
      </c>
      <c r="D21" s="35" t="s">
        <v>707</v>
      </c>
      <c r="E21" s="35" t="s">
        <v>764</v>
      </c>
      <c r="F21" s="35">
        <f>+14045383874</f>
        <v>14045383874</v>
      </c>
      <c r="G21" s="35" t="s">
        <v>765</v>
      </c>
      <c r="H21" s="35" t="s">
        <v>738</v>
      </c>
      <c r="I21" s="35" t="s">
        <v>424</v>
      </c>
      <c r="J21" s="35" t="s">
        <v>669</v>
      </c>
      <c r="K21" s="37"/>
      <c r="L21" s="39" t="s">
        <v>766</v>
      </c>
    </row>
    <row r="22" ht="15.75" customHeight="1">
      <c r="A22" s="42">
        <v>21.0</v>
      </c>
      <c r="B22" s="35" t="s">
        <v>731</v>
      </c>
      <c r="C22" s="35" t="s">
        <v>706</v>
      </c>
      <c r="D22" s="35" t="s">
        <v>707</v>
      </c>
      <c r="E22" s="35" t="s">
        <v>767</v>
      </c>
      <c r="F22" s="35">
        <f>+22507091524</f>
        <v>22507091524</v>
      </c>
      <c r="G22" s="35" t="s">
        <v>768</v>
      </c>
      <c r="H22" s="35" t="s">
        <v>738</v>
      </c>
      <c r="I22" s="35" t="s">
        <v>424</v>
      </c>
      <c r="J22" s="35" t="s">
        <v>669</v>
      </c>
      <c r="K22" s="37"/>
      <c r="L22" s="39" t="s">
        <v>769</v>
      </c>
    </row>
    <row r="23" ht="15.75" customHeight="1">
      <c r="A23" s="42">
        <v>22.0</v>
      </c>
      <c r="B23" s="35" t="s">
        <v>731</v>
      </c>
      <c r="C23" s="35" t="s">
        <v>706</v>
      </c>
      <c r="D23" s="35" t="s">
        <v>707</v>
      </c>
      <c r="E23" s="35" t="s">
        <v>770</v>
      </c>
      <c r="F23" s="35">
        <f>+22554463520</f>
        <v>22554463520</v>
      </c>
      <c r="G23" s="35" t="s">
        <v>771</v>
      </c>
      <c r="H23" s="35" t="s">
        <v>738</v>
      </c>
      <c r="I23" s="35" t="s">
        <v>424</v>
      </c>
      <c r="J23" s="35" t="s">
        <v>669</v>
      </c>
      <c r="K23" s="37"/>
      <c r="L23" s="39" t="s">
        <v>772</v>
      </c>
    </row>
    <row r="24" ht="15.75" customHeight="1">
      <c r="A24" s="42">
        <v>23.0</v>
      </c>
      <c r="B24" s="35" t="s">
        <v>731</v>
      </c>
      <c r="C24" s="35" t="s">
        <v>706</v>
      </c>
      <c r="D24" s="35" t="s">
        <v>707</v>
      </c>
      <c r="E24" s="35" t="s">
        <v>773</v>
      </c>
      <c r="F24" s="35">
        <f>+989224093897</f>
        <v>989224093897</v>
      </c>
      <c r="G24" s="35" t="s">
        <v>774</v>
      </c>
      <c r="H24" s="35" t="s">
        <v>738</v>
      </c>
      <c r="I24" s="35" t="s">
        <v>424</v>
      </c>
      <c r="J24" s="35" t="s">
        <v>669</v>
      </c>
      <c r="K24" s="37"/>
      <c r="L24" s="39" t="s">
        <v>775</v>
      </c>
    </row>
    <row r="25" ht="15.75" customHeight="1">
      <c r="A25" s="42">
        <v>24.0</v>
      </c>
      <c r="B25" s="35" t="s">
        <v>731</v>
      </c>
      <c r="C25" s="35" t="s">
        <v>706</v>
      </c>
      <c r="D25" s="35" t="s">
        <v>707</v>
      </c>
      <c r="E25" s="35" t="s">
        <v>776</v>
      </c>
      <c r="F25" s="35">
        <f>+22542429068</f>
        <v>22542429068</v>
      </c>
      <c r="G25" s="35" t="s">
        <v>777</v>
      </c>
      <c r="H25" s="35" t="s">
        <v>738</v>
      </c>
      <c r="I25" s="35" t="s">
        <v>424</v>
      </c>
      <c r="J25" s="35" t="s">
        <v>669</v>
      </c>
      <c r="K25" s="37"/>
      <c r="L25" s="39" t="s">
        <v>778</v>
      </c>
    </row>
    <row r="26" ht="15.75" customHeight="1">
      <c r="A26" s="42">
        <v>25.0</v>
      </c>
      <c r="B26" s="35" t="s">
        <v>731</v>
      </c>
      <c r="C26" s="35" t="s">
        <v>706</v>
      </c>
      <c r="D26" s="35" t="s">
        <v>707</v>
      </c>
      <c r="E26" s="35" t="s">
        <v>779</v>
      </c>
      <c r="F26" s="35">
        <f>+22507505012</f>
        <v>22507505012</v>
      </c>
      <c r="G26" s="35" t="s">
        <v>780</v>
      </c>
      <c r="H26" s="35" t="s">
        <v>738</v>
      </c>
      <c r="I26" s="35" t="s">
        <v>424</v>
      </c>
      <c r="J26" s="35" t="s">
        <v>669</v>
      </c>
      <c r="K26" s="37"/>
      <c r="L26" s="39" t="s">
        <v>760</v>
      </c>
    </row>
    <row r="27" ht="15.75" customHeight="1">
      <c r="A27" s="42">
        <v>26.0</v>
      </c>
      <c r="B27" s="35" t="s">
        <v>731</v>
      </c>
      <c r="C27" s="35" t="s">
        <v>706</v>
      </c>
      <c r="D27" s="35" t="s">
        <v>707</v>
      </c>
      <c r="E27" s="36" t="s">
        <v>781</v>
      </c>
      <c r="F27" s="35">
        <f>+22548771515</f>
        <v>22548771515</v>
      </c>
      <c r="G27" s="36" t="s">
        <v>782</v>
      </c>
      <c r="H27" s="37"/>
      <c r="I27" s="35" t="s">
        <v>419</v>
      </c>
      <c r="J27" s="35" t="s">
        <v>710</v>
      </c>
      <c r="K27" s="37"/>
      <c r="L27" s="39" t="s">
        <v>735</v>
      </c>
    </row>
    <row r="28" ht="15.75" customHeight="1">
      <c r="A28" s="42">
        <v>27.0</v>
      </c>
      <c r="B28" s="35" t="s">
        <v>731</v>
      </c>
      <c r="C28" s="35" t="s">
        <v>706</v>
      </c>
      <c r="D28" s="35" t="s">
        <v>707</v>
      </c>
      <c r="E28" s="43" t="s">
        <v>783</v>
      </c>
      <c r="F28" s="35">
        <f>+22548653266</f>
        <v>22548653266</v>
      </c>
      <c r="G28" s="36" t="s">
        <v>784</v>
      </c>
      <c r="H28" s="37"/>
      <c r="I28" s="35" t="s">
        <v>419</v>
      </c>
      <c r="J28" s="35" t="s">
        <v>669</v>
      </c>
      <c r="K28" s="37"/>
      <c r="L28" s="39" t="s">
        <v>785</v>
      </c>
    </row>
    <row r="29" ht="15.75" customHeight="1">
      <c r="A29" s="42">
        <v>28.0</v>
      </c>
      <c r="B29" s="35" t="s">
        <v>731</v>
      </c>
      <c r="C29" s="35" t="s">
        <v>706</v>
      </c>
      <c r="D29" s="35" t="s">
        <v>707</v>
      </c>
      <c r="E29" s="36" t="s">
        <v>786</v>
      </c>
      <c r="F29" s="35">
        <f>+22503346553</f>
        <v>22503346553</v>
      </c>
      <c r="G29" s="36" t="s">
        <v>787</v>
      </c>
      <c r="H29" s="37"/>
      <c r="I29" s="35" t="s">
        <v>419</v>
      </c>
      <c r="J29" s="35" t="s">
        <v>710</v>
      </c>
      <c r="K29" s="37"/>
      <c r="L29" s="39" t="s">
        <v>788</v>
      </c>
    </row>
    <row r="30" ht="15.75" customHeight="1">
      <c r="A30" s="42">
        <v>29.0</v>
      </c>
      <c r="B30" s="35" t="s">
        <v>731</v>
      </c>
      <c r="C30" s="35" t="s">
        <v>706</v>
      </c>
      <c r="D30" s="35" t="s">
        <v>707</v>
      </c>
      <c r="E30" s="36" t="s">
        <v>789</v>
      </c>
      <c r="F30" s="35">
        <f>+22509577492</f>
        <v>22509577492</v>
      </c>
      <c r="G30" s="36" t="s">
        <v>790</v>
      </c>
      <c r="H30" s="37"/>
      <c r="I30" s="35" t="s">
        <v>419</v>
      </c>
      <c r="J30" s="35" t="s">
        <v>669</v>
      </c>
      <c r="K30" s="37"/>
      <c r="L30" s="39" t="s">
        <v>791</v>
      </c>
    </row>
    <row r="31" ht="15.75" customHeight="1">
      <c r="A31" s="42">
        <v>30.0</v>
      </c>
      <c r="B31" s="35" t="s">
        <v>731</v>
      </c>
      <c r="C31" s="35" t="s">
        <v>706</v>
      </c>
      <c r="D31" s="35" t="s">
        <v>707</v>
      </c>
      <c r="E31" s="36" t="s">
        <v>792</v>
      </c>
      <c r="F31" s="35">
        <f>+22564533034</f>
        <v>22564533034</v>
      </c>
      <c r="G31" s="36" t="s">
        <v>793</v>
      </c>
      <c r="H31" s="35"/>
      <c r="I31" s="35" t="s">
        <v>419</v>
      </c>
      <c r="J31" s="35" t="s">
        <v>710</v>
      </c>
      <c r="K31" s="37"/>
      <c r="L31" s="38" t="s">
        <v>735</v>
      </c>
    </row>
    <row r="32" ht="15.75" customHeight="1">
      <c r="A32" s="42">
        <v>31.0</v>
      </c>
      <c r="B32" s="35" t="s">
        <v>731</v>
      </c>
      <c r="C32" s="35" t="s">
        <v>706</v>
      </c>
      <c r="D32" s="35" t="s">
        <v>707</v>
      </c>
      <c r="E32" s="36" t="s">
        <v>794</v>
      </c>
      <c r="F32" s="35">
        <f>+22558560450</f>
        <v>22558560450</v>
      </c>
      <c r="G32" s="36" t="s">
        <v>795</v>
      </c>
      <c r="H32" s="37"/>
      <c r="I32" s="35" t="s">
        <v>419</v>
      </c>
      <c r="J32" s="35" t="s">
        <v>669</v>
      </c>
      <c r="K32" s="37"/>
      <c r="L32" s="38" t="s">
        <v>796</v>
      </c>
    </row>
    <row r="33" ht="15.75" customHeight="1">
      <c r="A33" s="42">
        <v>32.0</v>
      </c>
      <c r="B33" s="35" t="s">
        <v>731</v>
      </c>
      <c r="C33" s="35" t="s">
        <v>706</v>
      </c>
      <c r="D33" s="35" t="s">
        <v>707</v>
      </c>
      <c r="E33" s="36" t="s">
        <v>797</v>
      </c>
      <c r="F33" s="35">
        <f>+22589206534</f>
        <v>22589206534</v>
      </c>
      <c r="G33" s="36" t="s">
        <v>798</v>
      </c>
      <c r="H33" s="37"/>
      <c r="I33" s="35" t="s">
        <v>419</v>
      </c>
      <c r="J33" s="35" t="s">
        <v>710</v>
      </c>
      <c r="K33" s="37"/>
      <c r="L33" s="39" t="s">
        <v>563</v>
      </c>
    </row>
    <row r="34" ht="15.75" customHeight="1">
      <c r="A34" s="42">
        <v>33.0</v>
      </c>
      <c r="B34" s="35" t="s">
        <v>731</v>
      </c>
      <c r="C34" s="35" t="s">
        <v>706</v>
      </c>
      <c r="D34" s="35" t="s">
        <v>707</v>
      </c>
      <c r="E34" s="36" t="s">
        <v>799</v>
      </c>
      <c r="F34" s="35">
        <f>+22507310707</f>
        <v>22507310707</v>
      </c>
      <c r="G34" s="36" t="s">
        <v>800</v>
      </c>
      <c r="H34" s="37"/>
      <c r="I34" s="35" t="s">
        <v>419</v>
      </c>
      <c r="J34" s="53" t="s">
        <v>710</v>
      </c>
      <c r="K34" s="37"/>
      <c r="L34" s="39" t="s">
        <v>801</v>
      </c>
    </row>
    <row r="35" ht="15.75" customHeight="1">
      <c r="A35" s="42">
        <v>34.0</v>
      </c>
      <c r="B35" s="35" t="s">
        <v>731</v>
      </c>
      <c r="C35" s="35" t="s">
        <v>706</v>
      </c>
      <c r="D35" s="35" t="s">
        <v>707</v>
      </c>
      <c r="E35" s="36" t="s">
        <v>802</v>
      </c>
      <c r="F35" s="35">
        <f>+22558023957</f>
        <v>22558023957</v>
      </c>
      <c r="G35" s="36" t="s">
        <v>803</v>
      </c>
      <c r="H35" s="37"/>
      <c r="I35" s="35" t="s">
        <v>419</v>
      </c>
      <c r="J35" s="53" t="s">
        <v>669</v>
      </c>
      <c r="K35" s="37"/>
      <c r="L35" s="39" t="s">
        <v>804</v>
      </c>
    </row>
    <row r="36" ht="15.75" customHeight="1">
      <c r="A36" s="42">
        <v>35.0</v>
      </c>
      <c r="B36" s="35" t="s">
        <v>731</v>
      </c>
      <c r="C36" s="35" t="s">
        <v>706</v>
      </c>
      <c r="D36" s="35" t="s">
        <v>721</v>
      </c>
      <c r="E36" s="36" t="s">
        <v>805</v>
      </c>
      <c r="F36" s="35">
        <f>+22577647082</f>
        <v>22577647082</v>
      </c>
      <c r="G36" s="36" t="s">
        <v>806</v>
      </c>
      <c r="H36" s="37"/>
      <c r="I36" s="35" t="s">
        <v>419</v>
      </c>
      <c r="J36" s="53" t="s">
        <v>669</v>
      </c>
      <c r="K36" s="53" t="s">
        <v>807</v>
      </c>
      <c r="L36" s="39" t="s">
        <v>808</v>
      </c>
    </row>
    <row r="37" ht="15.75" customHeight="1">
      <c r="A37" s="42">
        <v>36.0</v>
      </c>
      <c r="B37" s="35" t="s">
        <v>731</v>
      </c>
      <c r="C37" s="35" t="s">
        <v>706</v>
      </c>
      <c r="D37" s="35" t="s">
        <v>707</v>
      </c>
      <c r="E37" s="36" t="s">
        <v>809</v>
      </c>
      <c r="F37" s="35">
        <f>+22546002633</f>
        <v>22546002633</v>
      </c>
      <c r="G37" s="36" t="s">
        <v>810</v>
      </c>
      <c r="H37" s="37"/>
      <c r="I37" s="35" t="s">
        <v>419</v>
      </c>
      <c r="J37" s="35" t="s">
        <v>710</v>
      </c>
      <c r="K37" s="37"/>
      <c r="L37" s="39" t="s">
        <v>735</v>
      </c>
    </row>
    <row r="38" ht="15.75" customHeight="1">
      <c r="A38" s="42">
        <v>37.0</v>
      </c>
      <c r="B38" s="35" t="s">
        <v>731</v>
      </c>
      <c r="C38" s="35" t="s">
        <v>706</v>
      </c>
      <c r="D38" s="35" t="s">
        <v>707</v>
      </c>
      <c r="E38" s="36" t="s">
        <v>811</v>
      </c>
      <c r="F38" s="35">
        <f>+22507110001</f>
        <v>22507110001</v>
      </c>
      <c r="G38" s="36" t="s">
        <v>812</v>
      </c>
      <c r="H38" s="37"/>
      <c r="I38" s="35" t="s">
        <v>419</v>
      </c>
      <c r="J38" s="35" t="s">
        <v>710</v>
      </c>
      <c r="K38" s="37"/>
      <c r="L38" s="39" t="s">
        <v>735</v>
      </c>
    </row>
    <row r="39" ht="15.75" customHeight="1">
      <c r="A39" s="42">
        <v>38.0</v>
      </c>
      <c r="B39" s="35" t="s">
        <v>731</v>
      </c>
      <c r="C39" s="35" t="s">
        <v>706</v>
      </c>
      <c r="D39" s="35" t="s">
        <v>707</v>
      </c>
      <c r="E39" s="36" t="s">
        <v>813</v>
      </c>
      <c r="F39" s="35">
        <f>+22509168284</f>
        <v>22509168284</v>
      </c>
      <c r="G39" s="36" t="s">
        <v>814</v>
      </c>
      <c r="H39" s="37"/>
      <c r="I39" s="35" t="s">
        <v>419</v>
      </c>
      <c r="J39" s="35" t="s">
        <v>669</v>
      </c>
      <c r="K39" s="37"/>
      <c r="L39" s="39" t="s">
        <v>815</v>
      </c>
    </row>
    <row r="40" ht="15.75" customHeight="1">
      <c r="A40" s="42">
        <v>39.0</v>
      </c>
      <c r="B40" s="35" t="s">
        <v>731</v>
      </c>
      <c r="C40" s="35" t="s">
        <v>706</v>
      </c>
      <c r="D40" s="35" t="s">
        <v>707</v>
      </c>
      <c r="E40" s="36" t="s">
        <v>816</v>
      </c>
      <c r="F40" s="35">
        <f>+22508172995</f>
        <v>22508172995</v>
      </c>
      <c r="G40" s="36" t="s">
        <v>817</v>
      </c>
      <c r="H40" s="37"/>
      <c r="I40" s="35" t="s">
        <v>419</v>
      </c>
      <c r="J40" s="35" t="s">
        <v>669</v>
      </c>
      <c r="K40" s="37"/>
      <c r="L40" s="38" t="s">
        <v>818</v>
      </c>
    </row>
    <row r="41" ht="15.75" customHeight="1">
      <c r="A41" s="42">
        <v>40.0</v>
      </c>
      <c r="B41" s="35" t="s">
        <v>731</v>
      </c>
      <c r="C41" s="35" t="s">
        <v>706</v>
      </c>
      <c r="D41" s="35" t="s">
        <v>707</v>
      </c>
      <c r="E41" s="36" t="s">
        <v>819</v>
      </c>
      <c r="F41" s="35">
        <f>+22567348559</f>
        <v>22567348559</v>
      </c>
      <c r="G41" s="36" t="s">
        <v>820</v>
      </c>
      <c r="H41" s="37"/>
      <c r="I41" s="35" t="s">
        <v>419</v>
      </c>
      <c r="J41" s="53" t="s">
        <v>710</v>
      </c>
      <c r="K41" s="37"/>
      <c r="L41" s="39" t="s">
        <v>788</v>
      </c>
    </row>
    <row r="42" ht="15.75" customHeight="1">
      <c r="A42" s="42">
        <v>41.0</v>
      </c>
      <c r="B42" s="35" t="s">
        <v>731</v>
      </c>
      <c r="C42" s="35" t="s">
        <v>706</v>
      </c>
      <c r="D42" s="35" t="s">
        <v>707</v>
      </c>
      <c r="E42" s="36" t="s">
        <v>821</v>
      </c>
      <c r="F42" s="35">
        <f>+22507019500</f>
        <v>22507019500</v>
      </c>
      <c r="G42" s="36" t="s">
        <v>822</v>
      </c>
      <c r="H42" s="37"/>
      <c r="I42" s="35" t="s">
        <v>419</v>
      </c>
      <c r="J42" s="35" t="s">
        <v>669</v>
      </c>
      <c r="K42" s="37"/>
      <c r="L42" s="39" t="s">
        <v>823</v>
      </c>
    </row>
    <row r="43" ht="15.75" customHeight="1">
      <c r="A43" s="42">
        <v>42.0</v>
      </c>
      <c r="B43" s="35" t="s">
        <v>731</v>
      </c>
      <c r="C43" s="35" t="s">
        <v>706</v>
      </c>
      <c r="D43" s="35" t="s">
        <v>707</v>
      </c>
      <c r="E43" s="36" t="s">
        <v>824</v>
      </c>
      <c r="F43" s="35">
        <f>+22509000026</f>
        <v>22509000026</v>
      </c>
      <c r="G43" s="36" t="s">
        <v>825</v>
      </c>
      <c r="H43" s="35"/>
      <c r="I43" s="35" t="s">
        <v>419</v>
      </c>
      <c r="J43" s="35" t="s">
        <v>669</v>
      </c>
      <c r="K43" s="35"/>
      <c r="L43" s="38" t="s">
        <v>826</v>
      </c>
    </row>
    <row r="44" ht="15.75" customHeight="1">
      <c r="A44" s="42">
        <v>43.0</v>
      </c>
      <c r="B44" s="35" t="s">
        <v>731</v>
      </c>
      <c r="C44" s="35" t="s">
        <v>706</v>
      </c>
      <c r="D44" s="35" t="s">
        <v>721</v>
      </c>
      <c r="E44" s="36" t="s">
        <v>827</v>
      </c>
      <c r="F44" s="35">
        <f>+22507980798</f>
        <v>22507980798</v>
      </c>
      <c r="G44" s="36" t="s">
        <v>828</v>
      </c>
      <c r="H44" s="35"/>
      <c r="I44" s="35" t="s">
        <v>419</v>
      </c>
      <c r="J44" s="35" t="s">
        <v>669</v>
      </c>
      <c r="K44" s="37"/>
      <c r="L44" s="39" t="s">
        <v>829</v>
      </c>
    </row>
    <row r="45" ht="15.75" customHeight="1">
      <c r="A45" s="42">
        <v>44.0</v>
      </c>
      <c r="B45" s="35" t="s">
        <v>731</v>
      </c>
      <c r="C45" s="35" t="s">
        <v>706</v>
      </c>
      <c r="D45" s="35" t="s">
        <v>707</v>
      </c>
      <c r="E45" s="36" t="s">
        <v>830</v>
      </c>
      <c r="F45" s="35">
        <f>+22587944300</f>
        <v>22587944300</v>
      </c>
      <c r="G45" s="36" t="s">
        <v>831</v>
      </c>
      <c r="H45" s="37"/>
      <c r="I45" s="35" t="s">
        <v>419</v>
      </c>
      <c r="J45" s="35" t="s">
        <v>710</v>
      </c>
      <c r="K45" s="37"/>
      <c r="L45" s="39" t="s">
        <v>735</v>
      </c>
    </row>
    <row r="46" ht="15.75" customHeight="1">
      <c r="A46" s="42">
        <v>45.0</v>
      </c>
      <c r="B46" s="35" t="s">
        <v>577</v>
      </c>
      <c r="C46" s="35" t="s">
        <v>706</v>
      </c>
      <c r="D46" s="35" t="s">
        <v>707</v>
      </c>
      <c r="E46" s="36" t="s">
        <v>832</v>
      </c>
      <c r="F46" s="35">
        <f>+22508240500</f>
        <v>22508240500</v>
      </c>
      <c r="G46" s="36" t="s">
        <v>833</v>
      </c>
      <c r="H46" s="37"/>
      <c r="I46" s="35" t="s">
        <v>419</v>
      </c>
      <c r="J46" s="35" t="s">
        <v>710</v>
      </c>
      <c r="K46" s="37"/>
      <c r="L46" s="38" t="s">
        <v>735</v>
      </c>
    </row>
    <row r="47" ht="15.75" customHeight="1">
      <c r="A47" s="42">
        <v>46.0</v>
      </c>
      <c r="B47" s="35" t="s">
        <v>577</v>
      </c>
      <c r="C47" s="35" t="s">
        <v>706</v>
      </c>
      <c r="D47" s="35" t="s">
        <v>707</v>
      </c>
      <c r="E47" s="35" t="s">
        <v>834</v>
      </c>
      <c r="F47" s="35">
        <f>+22549290403</f>
        <v>22549290403</v>
      </c>
      <c r="G47" s="35" t="s">
        <v>835</v>
      </c>
      <c r="H47" s="35" t="s">
        <v>738</v>
      </c>
      <c r="I47" s="35" t="s">
        <v>424</v>
      </c>
      <c r="J47" s="35" t="s">
        <v>710</v>
      </c>
      <c r="K47" s="37"/>
      <c r="L47" s="38" t="s">
        <v>735</v>
      </c>
    </row>
    <row r="48" ht="15.75" customHeight="1">
      <c r="A48" s="42">
        <v>47.0</v>
      </c>
      <c r="B48" s="35" t="s">
        <v>577</v>
      </c>
      <c r="C48" s="35" t="s">
        <v>706</v>
      </c>
      <c r="D48" s="35" t="s">
        <v>707</v>
      </c>
      <c r="E48" s="35" t="s">
        <v>836</v>
      </c>
      <c r="F48" s="35">
        <f>+22507692216</f>
        <v>22507692216</v>
      </c>
      <c r="G48" s="35" t="s">
        <v>837</v>
      </c>
      <c r="H48" s="35" t="s">
        <v>738</v>
      </c>
      <c r="I48" s="35" t="s">
        <v>424</v>
      </c>
      <c r="J48" s="35" t="s">
        <v>710</v>
      </c>
      <c r="K48" s="37"/>
      <c r="L48" s="38" t="s">
        <v>735</v>
      </c>
    </row>
    <row r="49" ht="15.75" customHeight="1">
      <c r="A49" s="42">
        <v>48.0</v>
      </c>
      <c r="B49" s="35" t="s">
        <v>577</v>
      </c>
      <c r="C49" s="35" t="s">
        <v>706</v>
      </c>
      <c r="D49" s="35" t="s">
        <v>707</v>
      </c>
      <c r="E49" s="35" t="s">
        <v>838</v>
      </c>
      <c r="F49" s="35">
        <f>+22549012252</f>
        <v>22549012252</v>
      </c>
      <c r="G49" s="35" t="s">
        <v>839</v>
      </c>
      <c r="H49" s="35" t="s">
        <v>738</v>
      </c>
      <c r="I49" s="35" t="s">
        <v>424</v>
      </c>
      <c r="J49" s="35" t="s">
        <v>710</v>
      </c>
      <c r="K49" s="37"/>
      <c r="L49" s="38" t="s">
        <v>735</v>
      </c>
    </row>
    <row r="50" ht="15.75" customHeight="1">
      <c r="A50" s="42">
        <v>49.0</v>
      </c>
      <c r="B50" s="35" t="s">
        <v>577</v>
      </c>
      <c r="C50" s="35" t="s">
        <v>706</v>
      </c>
      <c r="D50" s="35" t="s">
        <v>707</v>
      </c>
      <c r="E50" s="35" t="s">
        <v>840</v>
      </c>
      <c r="F50" s="35">
        <f>+22558992498</f>
        <v>22558992498</v>
      </c>
      <c r="G50" s="35" t="s">
        <v>841</v>
      </c>
      <c r="H50" s="35" t="s">
        <v>738</v>
      </c>
      <c r="I50" s="35" t="s">
        <v>424</v>
      </c>
      <c r="J50" s="35" t="s">
        <v>710</v>
      </c>
      <c r="K50" s="37"/>
      <c r="L50" s="38" t="s">
        <v>842</v>
      </c>
    </row>
    <row r="51" ht="15.75" customHeight="1">
      <c r="A51" s="42">
        <v>50.0</v>
      </c>
      <c r="B51" s="35" t="s">
        <v>577</v>
      </c>
      <c r="C51" s="35" t="s">
        <v>706</v>
      </c>
      <c r="D51" s="35" t="s">
        <v>707</v>
      </c>
      <c r="E51" s="35" t="s">
        <v>843</v>
      </c>
      <c r="F51" s="35">
        <f>+22508024979</f>
        <v>22508024979</v>
      </c>
      <c r="G51" s="35" t="s">
        <v>844</v>
      </c>
      <c r="H51" s="35" t="s">
        <v>738</v>
      </c>
      <c r="I51" s="35" t="s">
        <v>424</v>
      </c>
      <c r="J51" s="53" t="s">
        <v>669</v>
      </c>
      <c r="K51" s="37"/>
      <c r="L51" s="38" t="s">
        <v>845</v>
      </c>
    </row>
    <row r="52" ht="15.75" customHeight="1">
      <c r="A52" s="42">
        <v>51.0</v>
      </c>
      <c r="B52" s="35" t="s">
        <v>577</v>
      </c>
      <c r="C52" s="35" t="s">
        <v>706</v>
      </c>
      <c r="D52" s="35" t="s">
        <v>707</v>
      </c>
      <c r="E52" s="35" t="s">
        <v>846</v>
      </c>
      <c r="F52" s="35">
        <f>+22545453131</f>
        <v>22545453131</v>
      </c>
      <c r="G52" s="35" t="s">
        <v>847</v>
      </c>
      <c r="H52" s="35" t="s">
        <v>734</v>
      </c>
      <c r="I52" s="35" t="s">
        <v>424</v>
      </c>
      <c r="J52" s="35" t="s">
        <v>669</v>
      </c>
      <c r="K52" s="37"/>
      <c r="L52" s="38" t="s">
        <v>848</v>
      </c>
    </row>
    <row r="53" ht="15.75" customHeight="1">
      <c r="A53" s="42">
        <v>52.0</v>
      </c>
      <c r="B53" s="35" t="s">
        <v>577</v>
      </c>
      <c r="C53" s="35" t="s">
        <v>706</v>
      </c>
      <c r="D53" s="35" t="s">
        <v>707</v>
      </c>
      <c r="E53" s="35" t="s">
        <v>849</v>
      </c>
      <c r="F53" s="35">
        <f>+22559170186</f>
        <v>22559170186</v>
      </c>
      <c r="G53" s="35" t="s">
        <v>850</v>
      </c>
      <c r="H53" s="35" t="s">
        <v>738</v>
      </c>
      <c r="I53" s="35" t="s">
        <v>424</v>
      </c>
      <c r="J53" s="35" t="s">
        <v>669</v>
      </c>
      <c r="K53" s="37"/>
      <c r="L53" s="38" t="s">
        <v>851</v>
      </c>
    </row>
    <row r="54" ht="15.75" customHeight="1">
      <c r="A54" s="42">
        <v>53.0</v>
      </c>
      <c r="B54" s="35" t="s">
        <v>577</v>
      </c>
      <c r="C54" s="35" t="s">
        <v>706</v>
      </c>
      <c r="D54" s="35" t="s">
        <v>707</v>
      </c>
      <c r="E54" s="35" t="s">
        <v>852</v>
      </c>
      <c r="F54" s="35">
        <f>+22508069559</f>
        <v>22508069559</v>
      </c>
      <c r="G54" s="35" t="s">
        <v>853</v>
      </c>
      <c r="H54" s="35" t="s">
        <v>738</v>
      </c>
      <c r="I54" s="35" t="s">
        <v>424</v>
      </c>
      <c r="J54" s="35" t="s">
        <v>669</v>
      </c>
      <c r="K54" s="37"/>
      <c r="L54" s="38" t="s">
        <v>854</v>
      </c>
    </row>
    <row r="55" ht="15.75" customHeight="1">
      <c r="A55" s="42">
        <v>54.0</v>
      </c>
      <c r="B55" s="35" t="s">
        <v>577</v>
      </c>
      <c r="C55" s="35" t="s">
        <v>706</v>
      </c>
      <c r="D55" s="35" t="s">
        <v>707</v>
      </c>
      <c r="E55" s="35" t="s">
        <v>855</v>
      </c>
      <c r="F55" s="35">
        <f>+22557365385</f>
        <v>22557365385</v>
      </c>
      <c r="G55" s="35" t="s">
        <v>856</v>
      </c>
      <c r="H55" s="35" t="s">
        <v>738</v>
      </c>
      <c r="I55" s="35" t="s">
        <v>424</v>
      </c>
      <c r="J55" s="35" t="s">
        <v>669</v>
      </c>
      <c r="K55" s="37"/>
      <c r="L55" s="38" t="s">
        <v>857</v>
      </c>
    </row>
    <row r="56" ht="15.75" customHeight="1">
      <c r="A56" s="42">
        <v>55.0</v>
      </c>
      <c r="B56" s="35" t="s">
        <v>858</v>
      </c>
      <c r="C56" s="35" t="s">
        <v>706</v>
      </c>
      <c r="D56" s="35" t="s">
        <v>707</v>
      </c>
      <c r="E56" s="35" t="s">
        <v>859</v>
      </c>
      <c r="F56" s="35">
        <f>+22507696868</f>
        <v>22507696868</v>
      </c>
      <c r="G56" s="35" t="s">
        <v>860</v>
      </c>
      <c r="H56" s="35" t="s">
        <v>734</v>
      </c>
      <c r="I56" s="35" t="s">
        <v>424</v>
      </c>
      <c r="J56" s="35" t="s">
        <v>710</v>
      </c>
      <c r="K56" s="37"/>
      <c r="L56" s="38" t="s">
        <v>563</v>
      </c>
    </row>
    <row r="57" ht="15.75" customHeight="1">
      <c r="A57" s="42">
        <v>56.0</v>
      </c>
      <c r="B57" s="35" t="s">
        <v>858</v>
      </c>
      <c r="C57" s="35" t="s">
        <v>706</v>
      </c>
      <c r="D57" s="35" t="s">
        <v>707</v>
      </c>
      <c r="E57" s="35" t="s">
        <v>861</v>
      </c>
      <c r="F57" s="35">
        <f>+22509076005</f>
        <v>22509076005</v>
      </c>
      <c r="G57" s="35" t="s">
        <v>862</v>
      </c>
      <c r="H57" s="35" t="s">
        <v>738</v>
      </c>
      <c r="I57" s="35" t="s">
        <v>424</v>
      </c>
      <c r="J57" s="35" t="s">
        <v>710</v>
      </c>
      <c r="K57" s="37"/>
      <c r="L57" s="38" t="s">
        <v>863</v>
      </c>
    </row>
    <row r="58" ht="15.75" customHeight="1">
      <c r="A58" s="42">
        <v>57.0</v>
      </c>
      <c r="B58" s="35" t="s">
        <v>858</v>
      </c>
      <c r="C58" s="35" t="s">
        <v>706</v>
      </c>
      <c r="D58" s="35" t="s">
        <v>707</v>
      </c>
      <c r="E58" s="35" t="s">
        <v>864</v>
      </c>
      <c r="F58" s="35">
        <f>+22507413569</f>
        <v>22507413569</v>
      </c>
      <c r="G58" s="35" t="s">
        <v>865</v>
      </c>
      <c r="H58" s="35" t="s">
        <v>738</v>
      </c>
      <c r="I58" s="35" t="s">
        <v>424</v>
      </c>
      <c r="J58" s="35" t="s">
        <v>710</v>
      </c>
      <c r="K58" s="37"/>
      <c r="L58" s="38" t="s">
        <v>866</v>
      </c>
    </row>
    <row r="59" ht="15.75" customHeight="1">
      <c r="A59" s="42">
        <v>58.0</v>
      </c>
      <c r="B59" s="35" t="s">
        <v>858</v>
      </c>
      <c r="C59" s="35" t="s">
        <v>706</v>
      </c>
      <c r="D59" s="35" t="s">
        <v>707</v>
      </c>
      <c r="E59" s="35" t="s">
        <v>867</v>
      </c>
      <c r="F59" s="35">
        <f>+22503066416</f>
        <v>22503066416</v>
      </c>
      <c r="G59" s="35" t="s">
        <v>868</v>
      </c>
      <c r="H59" s="35" t="s">
        <v>734</v>
      </c>
      <c r="I59" s="35" t="s">
        <v>424</v>
      </c>
      <c r="J59" s="35" t="s">
        <v>710</v>
      </c>
      <c r="K59" s="37"/>
      <c r="L59" s="38" t="s">
        <v>563</v>
      </c>
    </row>
    <row r="60" ht="15.75" customHeight="1">
      <c r="A60" s="42">
        <v>59.0</v>
      </c>
      <c r="B60" s="35" t="s">
        <v>858</v>
      </c>
      <c r="C60" s="35" t="s">
        <v>706</v>
      </c>
      <c r="D60" s="35" t="s">
        <v>707</v>
      </c>
      <c r="E60" s="35" t="s">
        <v>869</v>
      </c>
      <c r="F60" s="35">
        <f>+22567253617</f>
        <v>22567253617</v>
      </c>
      <c r="G60" s="35" t="s">
        <v>870</v>
      </c>
      <c r="H60" s="35" t="s">
        <v>738</v>
      </c>
      <c r="I60" s="35" t="s">
        <v>424</v>
      </c>
      <c r="J60" s="35" t="s">
        <v>669</v>
      </c>
      <c r="K60" s="37"/>
      <c r="L60" s="38" t="s">
        <v>871</v>
      </c>
    </row>
    <row r="61" ht="15.75" customHeight="1">
      <c r="A61" s="42">
        <v>60.0</v>
      </c>
      <c r="B61" s="35" t="s">
        <v>858</v>
      </c>
      <c r="C61" s="35" t="s">
        <v>706</v>
      </c>
      <c r="D61" s="35" t="s">
        <v>707</v>
      </c>
      <c r="E61" s="35" t="s">
        <v>872</v>
      </c>
      <c r="F61" s="35">
        <f>+22507318808</f>
        <v>22507318808</v>
      </c>
      <c r="G61" s="35" t="s">
        <v>873</v>
      </c>
      <c r="H61" s="35" t="s">
        <v>742</v>
      </c>
      <c r="I61" s="35" t="s">
        <v>424</v>
      </c>
      <c r="J61" s="35" t="s">
        <v>669</v>
      </c>
      <c r="K61" s="37"/>
      <c r="L61" s="38" t="s">
        <v>874</v>
      </c>
    </row>
    <row r="62" ht="15.75" customHeight="1">
      <c r="A62" s="42">
        <v>61.0</v>
      </c>
      <c r="B62" s="35" t="s">
        <v>858</v>
      </c>
      <c r="C62" s="35" t="s">
        <v>706</v>
      </c>
      <c r="D62" s="35" t="s">
        <v>707</v>
      </c>
      <c r="E62" s="35" t="s">
        <v>875</v>
      </c>
      <c r="F62" s="35">
        <f>+22509007798</f>
        <v>22509007798</v>
      </c>
      <c r="G62" s="35" t="s">
        <v>876</v>
      </c>
      <c r="H62" s="35" t="s">
        <v>742</v>
      </c>
      <c r="I62" s="35" t="s">
        <v>424</v>
      </c>
      <c r="J62" s="35" t="s">
        <v>669</v>
      </c>
      <c r="K62" s="37"/>
      <c r="L62" s="38" t="s">
        <v>877</v>
      </c>
    </row>
    <row r="63" ht="15.75" customHeight="1">
      <c r="A63" s="42">
        <v>62.0</v>
      </c>
      <c r="B63" s="35" t="s">
        <v>858</v>
      </c>
      <c r="C63" s="35" t="s">
        <v>706</v>
      </c>
      <c r="D63" s="35" t="s">
        <v>721</v>
      </c>
      <c r="E63" s="36" t="s">
        <v>878</v>
      </c>
      <c r="F63" s="35">
        <f>+22577052878</f>
        <v>22577052878</v>
      </c>
      <c r="G63" s="36" t="s">
        <v>879</v>
      </c>
      <c r="H63" s="37"/>
      <c r="I63" s="35" t="s">
        <v>419</v>
      </c>
      <c r="J63" s="35" t="s">
        <v>669</v>
      </c>
      <c r="K63" s="37"/>
      <c r="L63" s="41" t="s">
        <v>880</v>
      </c>
    </row>
    <row r="64" ht="15.75" customHeight="1">
      <c r="A64" s="42">
        <v>63.0</v>
      </c>
      <c r="B64" s="35" t="s">
        <v>858</v>
      </c>
      <c r="C64" s="35" t="s">
        <v>706</v>
      </c>
      <c r="D64" s="35" t="s">
        <v>707</v>
      </c>
      <c r="E64" s="36" t="s">
        <v>881</v>
      </c>
      <c r="F64" s="35">
        <f>+22557569459</f>
        <v>22557569459</v>
      </c>
      <c r="G64" s="36" t="s">
        <v>882</v>
      </c>
      <c r="H64" s="37"/>
      <c r="I64" s="35" t="s">
        <v>419</v>
      </c>
      <c r="J64" s="35" t="s">
        <v>669</v>
      </c>
      <c r="K64" s="35"/>
      <c r="L64" s="38" t="s">
        <v>883</v>
      </c>
    </row>
    <row r="65" ht="15.75" customHeight="1">
      <c r="A65" s="42">
        <v>64.0</v>
      </c>
      <c r="B65" s="35" t="s">
        <v>858</v>
      </c>
      <c r="C65" s="35" t="s">
        <v>706</v>
      </c>
      <c r="D65" s="35" t="s">
        <v>707</v>
      </c>
      <c r="E65" s="36" t="s">
        <v>884</v>
      </c>
      <c r="F65" s="35">
        <f>+22508626258</f>
        <v>22508626258</v>
      </c>
      <c r="G65" s="36" t="s">
        <v>885</v>
      </c>
      <c r="H65" s="37"/>
      <c r="I65" s="35" t="s">
        <v>419</v>
      </c>
      <c r="J65" s="35" t="s">
        <v>710</v>
      </c>
      <c r="K65" s="37"/>
      <c r="L65" s="38" t="s">
        <v>886</v>
      </c>
    </row>
    <row r="66" ht="15.75" customHeight="1">
      <c r="A66" s="42">
        <v>65.0</v>
      </c>
      <c r="B66" s="35" t="s">
        <v>858</v>
      </c>
      <c r="C66" s="35" t="s">
        <v>706</v>
      </c>
      <c r="D66" s="35" t="s">
        <v>707</v>
      </c>
      <c r="E66" s="36" t="s">
        <v>887</v>
      </c>
      <c r="F66" s="35">
        <f>+22506722628</f>
        <v>22506722628</v>
      </c>
      <c r="G66" s="36" t="s">
        <v>888</v>
      </c>
      <c r="H66" s="37"/>
      <c r="I66" s="35" t="s">
        <v>419</v>
      </c>
      <c r="J66" s="35" t="s">
        <v>669</v>
      </c>
      <c r="K66" s="37"/>
      <c r="L66" s="38" t="s">
        <v>889</v>
      </c>
    </row>
    <row r="67" ht="15.75" customHeight="1">
      <c r="A67" s="42">
        <v>66.0</v>
      </c>
      <c r="B67" s="35" t="s">
        <v>858</v>
      </c>
      <c r="C67" s="35" t="s">
        <v>706</v>
      </c>
      <c r="D67" s="53" t="s">
        <v>707</v>
      </c>
      <c r="E67" s="53" t="s">
        <v>890</v>
      </c>
      <c r="F67" s="53">
        <f>+22508051145</f>
        <v>22508051145</v>
      </c>
      <c r="G67" s="53" t="s">
        <v>891</v>
      </c>
      <c r="H67" s="53" t="s">
        <v>738</v>
      </c>
      <c r="I67" s="35" t="s">
        <v>424</v>
      </c>
      <c r="J67" s="35" t="s">
        <v>710</v>
      </c>
      <c r="K67" s="37"/>
      <c r="L67" s="38" t="s">
        <v>735</v>
      </c>
    </row>
    <row r="68" ht="15.75" customHeight="1">
      <c r="A68" s="42">
        <v>67.0</v>
      </c>
      <c r="B68" s="35" t="s">
        <v>858</v>
      </c>
      <c r="C68" s="35" t="s">
        <v>706</v>
      </c>
      <c r="D68" s="35" t="s">
        <v>707</v>
      </c>
      <c r="E68" s="35" t="s">
        <v>892</v>
      </c>
      <c r="F68" s="35">
        <f>+22559062892</f>
        <v>22559062892</v>
      </c>
      <c r="G68" s="35" t="s">
        <v>893</v>
      </c>
      <c r="H68" s="35" t="s">
        <v>424</v>
      </c>
      <c r="I68" s="37"/>
      <c r="J68" s="35" t="s">
        <v>669</v>
      </c>
      <c r="K68" s="37"/>
      <c r="L68" s="38" t="s">
        <v>894</v>
      </c>
    </row>
    <row r="69" ht="15.75" customHeight="1">
      <c r="A69" s="42">
        <v>68.0</v>
      </c>
      <c r="B69" s="35" t="s">
        <v>895</v>
      </c>
      <c r="C69" s="35" t="s">
        <v>706</v>
      </c>
      <c r="D69" s="35" t="s">
        <v>707</v>
      </c>
      <c r="E69" s="35" t="s">
        <v>896</v>
      </c>
      <c r="F69" s="35">
        <f>+66868890495</f>
        <v>66868890495</v>
      </c>
      <c r="G69" s="35" t="s">
        <v>897</v>
      </c>
      <c r="H69" s="35" t="s">
        <v>738</v>
      </c>
      <c r="I69" s="35" t="s">
        <v>424</v>
      </c>
      <c r="J69" s="35" t="s">
        <v>710</v>
      </c>
      <c r="K69" s="37"/>
      <c r="L69" s="38" t="s">
        <v>735</v>
      </c>
    </row>
    <row r="70" ht="15.75" customHeight="1">
      <c r="A70" s="42">
        <v>69.0</v>
      </c>
      <c r="B70" s="35" t="s">
        <v>895</v>
      </c>
      <c r="C70" s="35" t="s">
        <v>706</v>
      </c>
      <c r="D70" s="35" t="s">
        <v>707</v>
      </c>
      <c r="E70" s="35" t="s">
        <v>898</v>
      </c>
      <c r="F70" s="35">
        <f>+22501636911</f>
        <v>22501636911</v>
      </c>
      <c r="G70" s="35" t="s">
        <v>899</v>
      </c>
      <c r="H70" s="35" t="s">
        <v>734</v>
      </c>
      <c r="I70" s="35" t="s">
        <v>424</v>
      </c>
      <c r="J70" s="35" t="s">
        <v>710</v>
      </c>
      <c r="K70" s="37"/>
      <c r="L70" s="38" t="s">
        <v>735</v>
      </c>
    </row>
    <row r="71" ht="15.75" customHeight="1">
      <c r="A71" s="42">
        <v>70.0</v>
      </c>
      <c r="B71" s="35" t="s">
        <v>895</v>
      </c>
      <c r="C71" s="35" t="s">
        <v>706</v>
      </c>
      <c r="D71" s="35" t="s">
        <v>707</v>
      </c>
      <c r="E71" s="35" t="s">
        <v>900</v>
      </c>
      <c r="F71" s="35">
        <f>+22558173122</f>
        <v>22558173122</v>
      </c>
      <c r="G71" s="35" t="s">
        <v>901</v>
      </c>
      <c r="H71" s="35" t="s">
        <v>734</v>
      </c>
      <c r="I71" s="35" t="s">
        <v>424</v>
      </c>
      <c r="J71" s="35" t="s">
        <v>710</v>
      </c>
      <c r="K71" s="37"/>
      <c r="L71" s="38" t="s">
        <v>735</v>
      </c>
    </row>
    <row r="72" ht="15.75" customHeight="1">
      <c r="A72" s="42">
        <v>71.0</v>
      </c>
      <c r="B72" s="35" t="s">
        <v>895</v>
      </c>
      <c r="C72" s="35" t="s">
        <v>706</v>
      </c>
      <c r="D72" s="35" t="s">
        <v>707</v>
      </c>
      <c r="E72" s="35" t="s">
        <v>902</v>
      </c>
      <c r="F72" s="35">
        <f>+22507528052</f>
        <v>22507528052</v>
      </c>
      <c r="G72" s="35" t="s">
        <v>903</v>
      </c>
      <c r="H72" s="35" t="s">
        <v>734</v>
      </c>
      <c r="I72" s="35" t="s">
        <v>424</v>
      </c>
      <c r="J72" s="35" t="s">
        <v>710</v>
      </c>
      <c r="K72" s="37"/>
      <c r="L72" s="38" t="s">
        <v>904</v>
      </c>
    </row>
    <row r="73" ht="15.75" customHeight="1">
      <c r="A73" s="42">
        <v>72.0</v>
      </c>
      <c r="B73" s="35" t="s">
        <v>895</v>
      </c>
      <c r="C73" s="35" t="s">
        <v>706</v>
      </c>
      <c r="D73" s="35" t="s">
        <v>707</v>
      </c>
      <c r="E73" s="35" t="s">
        <v>905</v>
      </c>
      <c r="F73" s="35">
        <f>+22508667107</f>
        <v>22508667107</v>
      </c>
      <c r="G73" s="35" t="s">
        <v>906</v>
      </c>
      <c r="H73" s="35" t="s">
        <v>738</v>
      </c>
      <c r="I73" s="35" t="s">
        <v>424</v>
      </c>
      <c r="J73" s="35" t="s">
        <v>669</v>
      </c>
      <c r="K73" s="37"/>
      <c r="L73" s="38" t="s">
        <v>907</v>
      </c>
    </row>
    <row r="74" ht="15.75" customHeight="1">
      <c r="A74" s="42">
        <v>73.0</v>
      </c>
      <c r="B74" s="35" t="s">
        <v>895</v>
      </c>
      <c r="C74" s="35" t="s">
        <v>706</v>
      </c>
      <c r="D74" s="35" t="s">
        <v>707</v>
      </c>
      <c r="E74" s="35" t="s">
        <v>908</v>
      </c>
      <c r="F74" s="35">
        <f>+22546000017</f>
        <v>22546000017</v>
      </c>
      <c r="G74" s="35" t="s">
        <v>909</v>
      </c>
      <c r="H74" s="35" t="s">
        <v>738</v>
      </c>
      <c r="I74" s="35" t="s">
        <v>424</v>
      </c>
      <c r="J74" s="35" t="s">
        <v>669</v>
      </c>
      <c r="K74" s="37"/>
      <c r="L74" s="38" t="s">
        <v>910</v>
      </c>
    </row>
    <row r="75" ht="15.75" customHeight="1">
      <c r="A75" s="42">
        <v>74.0</v>
      </c>
      <c r="B75" s="35" t="s">
        <v>895</v>
      </c>
      <c r="C75" s="35" t="s">
        <v>706</v>
      </c>
      <c r="D75" s="35" t="s">
        <v>707</v>
      </c>
      <c r="E75" s="35" t="s">
        <v>911</v>
      </c>
      <c r="F75" s="35">
        <f>+22507081189</f>
        <v>22507081189</v>
      </c>
      <c r="G75" s="35" t="s">
        <v>912</v>
      </c>
      <c r="H75" s="35" t="s">
        <v>742</v>
      </c>
      <c r="I75" s="35" t="s">
        <v>424</v>
      </c>
      <c r="J75" s="35" t="s">
        <v>669</v>
      </c>
      <c r="K75" s="37"/>
      <c r="L75" s="38" t="s">
        <v>913</v>
      </c>
    </row>
    <row r="76" ht="15.75" customHeight="1">
      <c r="A76" s="42">
        <v>75.0</v>
      </c>
      <c r="B76" s="35" t="s">
        <v>895</v>
      </c>
      <c r="C76" s="35" t="s">
        <v>706</v>
      </c>
      <c r="D76" s="35" t="s">
        <v>707</v>
      </c>
      <c r="E76" s="35" t="s">
        <v>914</v>
      </c>
      <c r="F76" s="35">
        <f>+22507606746</f>
        <v>22507606746</v>
      </c>
      <c r="G76" s="35" t="s">
        <v>915</v>
      </c>
      <c r="H76" s="35" t="s">
        <v>738</v>
      </c>
      <c r="I76" s="35" t="s">
        <v>424</v>
      </c>
      <c r="J76" s="35" t="s">
        <v>669</v>
      </c>
      <c r="K76" s="37"/>
      <c r="L76" s="38" t="s">
        <v>916</v>
      </c>
    </row>
    <row r="77" ht="15.75" customHeight="1">
      <c r="A77" s="42">
        <v>76.0</v>
      </c>
      <c r="B77" s="35" t="s">
        <v>895</v>
      </c>
      <c r="C77" s="35" t="s">
        <v>706</v>
      </c>
      <c r="D77" s="35" t="s">
        <v>707</v>
      </c>
      <c r="E77" s="36" t="s">
        <v>917</v>
      </c>
      <c r="F77" s="35">
        <f>+22507338420</f>
        <v>22507338420</v>
      </c>
      <c r="G77" s="36" t="s">
        <v>918</v>
      </c>
      <c r="H77" s="37"/>
      <c r="I77" s="35" t="s">
        <v>419</v>
      </c>
      <c r="J77" s="35" t="s">
        <v>669</v>
      </c>
      <c r="K77" s="37"/>
      <c r="L77" s="38" t="s">
        <v>919</v>
      </c>
    </row>
    <row r="78" ht="15.75" customHeight="1">
      <c r="A78" s="42">
        <v>77.0</v>
      </c>
      <c r="B78" s="35" t="s">
        <v>895</v>
      </c>
      <c r="C78" s="35" t="s">
        <v>706</v>
      </c>
      <c r="D78" s="35" t="s">
        <v>721</v>
      </c>
      <c r="E78" s="36" t="s">
        <v>920</v>
      </c>
      <c r="F78" s="35">
        <f>+22507079153</f>
        <v>22507079153</v>
      </c>
      <c r="G78" s="36" t="s">
        <v>921</v>
      </c>
      <c r="H78" s="37"/>
      <c r="I78" s="35" t="s">
        <v>419</v>
      </c>
      <c r="J78" s="35" t="s">
        <v>710</v>
      </c>
      <c r="K78" s="37"/>
      <c r="L78" s="38" t="s">
        <v>922</v>
      </c>
    </row>
    <row r="79" ht="15.75" customHeight="1">
      <c r="A79" s="42">
        <v>78.0</v>
      </c>
      <c r="B79" s="35" t="s">
        <v>895</v>
      </c>
      <c r="C79" s="35" t="s">
        <v>706</v>
      </c>
      <c r="D79" s="35" t="s">
        <v>707</v>
      </c>
      <c r="E79" s="36" t="s">
        <v>923</v>
      </c>
      <c r="F79" s="35">
        <f>+22546003768</f>
        <v>22546003768</v>
      </c>
      <c r="G79" s="36" t="s">
        <v>924</v>
      </c>
      <c r="H79" s="37"/>
      <c r="I79" s="35" t="s">
        <v>419</v>
      </c>
      <c r="J79" s="35" t="s">
        <v>669</v>
      </c>
      <c r="K79" s="35" t="s">
        <v>925</v>
      </c>
      <c r="L79" s="39" t="s">
        <v>926</v>
      </c>
    </row>
    <row r="80" ht="15.75" customHeight="1">
      <c r="A80" s="42">
        <v>79.0</v>
      </c>
      <c r="B80" s="35" t="s">
        <v>895</v>
      </c>
      <c r="C80" s="35" t="s">
        <v>706</v>
      </c>
      <c r="D80" s="35" t="s">
        <v>707</v>
      </c>
      <c r="E80" s="36" t="s">
        <v>927</v>
      </c>
      <c r="F80" s="35">
        <f>+22997773177</f>
        <v>22997773177</v>
      </c>
      <c r="G80" s="36" t="s">
        <v>928</v>
      </c>
      <c r="H80" s="37"/>
      <c r="I80" s="35" t="s">
        <v>419</v>
      </c>
      <c r="J80" s="35" t="s">
        <v>669</v>
      </c>
      <c r="K80" s="35" t="s">
        <v>742</v>
      </c>
      <c r="L80" s="39" t="s">
        <v>929</v>
      </c>
    </row>
    <row r="81" ht="15.75" customHeight="1">
      <c r="A81" s="42">
        <v>80.0</v>
      </c>
      <c r="B81" s="35" t="s">
        <v>895</v>
      </c>
      <c r="C81" s="35" t="s">
        <v>706</v>
      </c>
      <c r="D81" s="35" t="s">
        <v>721</v>
      </c>
      <c r="E81" s="36" t="s">
        <v>930</v>
      </c>
      <c r="F81" s="35">
        <f>+22505159106</f>
        <v>22505159106</v>
      </c>
      <c r="G81" s="36" t="s">
        <v>931</v>
      </c>
      <c r="H81" s="37"/>
      <c r="I81" s="35" t="s">
        <v>419</v>
      </c>
      <c r="J81" s="35" t="s">
        <v>710</v>
      </c>
      <c r="K81" s="35" t="s">
        <v>932</v>
      </c>
      <c r="L81" s="39" t="s">
        <v>933</v>
      </c>
    </row>
    <row r="82" ht="15.75" customHeight="1">
      <c r="A82" s="42">
        <v>81.0</v>
      </c>
      <c r="B82" s="35" t="s">
        <v>895</v>
      </c>
      <c r="C82" s="35" t="s">
        <v>706</v>
      </c>
      <c r="D82" s="35" t="s">
        <v>721</v>
      </c>
      <c r="E82" s="36" t="s">
        <v>934</v>
      </c>
      <c r="F82" s="35">
        <f>+22554878154</f>
        <v>22554878154</v>
      </c>
      <c r="G82" s="36" t="s">
        <v>935</v>
      </c>
      <c r="H82" s="37"/>
      <c r="I82" s="35" t="s">
        <v>419</v>
      </c>
      <c r="J82" s="35" t="s">
        <v>710</v>
      </c>
      <c r="K82" s="35" t="s">
        <v>932</v>
      </c>
      <c r="L82" s="39" t="s">
        <v>735</v>
      </c>
    </row>
    <row r="83" ht="15.75" customHeight="1">
      <c r="A83" s="42">
        <v>82.0</v>
      </c>
      <c r="B83" s="61" t="s">
        <v>936</v>
      </c>
      <c r="C83" s="61" t="s">
        <v>706</v>
      </c>
      <c r="D83" s="61" t="s">
        <v>707</v>
      </c>
      <c r="E83" s="61" t="s">
        <v>937</v>
      </c>
      <c r="F83" s="61">
        <f>+491623101967</f>
        <v>491623101967</v>
      </c>
      <c r="G83" s="61" t="s">
        <v>938</v>
      </c>
      <c r="H83" s="61" t="s">
        <v>738</v>
      </c>
      <c r="I83" s="61" t="s">
        <v>424</v>
      </c>
      <c r="J83" s="61" t="s">
        <v>710</v>
      </c>
      <c r="K83" s="62"/>
      <c r="L83" s="63" t="s">
        <v>563</v>
      </c>
    </row>
    <row r="84" ht="15.75" customHeight="1">
      <c r="A84" s="42">
        <v>83.0</v>
      </c>
      <c r="B84" s="61" t="s">
        <v>936</v>
      </c>
      <c r="C84" s="61" t="s">
        <v>706</v>
      </c>
      <c r="D84" s="61" t="s">
        <v>707</v>
      </c>
      <c r="E84" s="61" t="s">
        <v>939</v>
      </c>
      <c r="F84" s="61">
        <f>+22569166516</f>
        <v>22569166516</v>
      </c>
      <c r="G84" s="61" t="s">
        <v>940</v>
      </c>
      <c r="H84" s="61" t="s">
        <v>738</v>
      </c>
      <c r="I84" s="61" t="s">
        <v>424</v>
      </c>
      <c r="J84" s="61" t="s">
        <v>710</v>
      </c>
      <c r="K84" s="62"/>
      <c r="L84" s="63" t="s">
        <v>941</v>
      </c>
    </row>
    <row r="85" ht="15.75" customHeight="1">
      <c r="A85" s="42">
        <v>84.0</v>
      </c>
      <c r="B85" s="61" t="s">
        <v>936</v>
      </c>
      <c r="C85" s="61" t="s">
        <v>706</v>
      </c>
      <c r="D85" s="62" t="s">
        <v>707</v>
      </c>
      <c r="E85" s="64" t="s">
        <v>942</v>
      </c>
      <c r="F85" s="61">
        <f>+22540087997</f>
        <v>22540087997</v>
      </c>
      <c r="G85" s="64" t="s">
        <v>943</v>
      </c>
      <c r="H85" s="62"/>
      <c r="I85" s="62" t="s">
        <v>419</v>
      </c>
      <c r="J85" s="61" t="s">
        <v>669</v>
      </c>
      <c r="K85" s="62"/>
      <c r="L85" s="63" t="s">
        <v>432</v>
      </c>
    </row>
    <row r="86" ht="15.75" customHeight="1">
      <c r="A86" s="42">
        <v>85.0</v>
      </c>
      <c r="B86" s="61" t="s">
        <v>936</v>
      </c>
      <c r="C86" s="61" t="s">
        <v>706</v>
      </c>
      <c r="D86" s="62" t="s">
        <v>707</v>
      </c>
      <c r="E86" s="64" t="s">
        <v>944</v>
      </c>
      <c r="F86" s="61">
        <f>+17204770219</f>
        <v>17204770219</v>
      </c>
      <c r="G86" s="64" t="s">
        <v>945</v>
      </c>
      <c r="H86" s="62"/>
      <c r="I86" s="62" t="s">
        <v>419</v>
      </c>
      <c r="J86" s="61" t="s">
        <v>669</v>
      </c>
      <c r="K86" s="62"/>
      <c r="L86" s="65" t="s">
        <v>946</v>
      </c>
    </row>
    <row r="87" ht="15.75" customHeight="1">
      <c r="A87" s="42">
        <v>86.0</v>
      </c>
      <c r="B87" s="61" t="s">
        <v>936</v>
      </c>
      <c r="C87" s="66" t="s">
        <v>947</v>
      </c>
      <c r="D87" s="62" t="s">
        <v>707</v>
      </c>
      <c r="E87" s="64" t="s">
        <v>948</v>
      </c>
      <c r="F87" s="61">
        <f>+22549492368</f>
        <v>22549492368</v>
      </c>
      <c r="G87" s="62" t="s">
        <v>949</v>
      </c>
      <c r="H87" s="62"/>
      <c r="I87" s="62" t="s">
        <v>419</v>
      </c>
      <c r="J87" s="61" t="s">
        <v>710</v>
      </c>
      <c r="K87" s="62"/>
      <c r="L87" s="67" t="s">
        <v>735</v>
      </c>
    </row>
    <row r="88" ht="15.75" customHeight="1">
      <c r="A88" s="42">
        <v>87.0</v>
      </c>
      <c r="B88" s="61" t="s">
        <v>936</v>
      </c>
      <c r="C88" s="61" t="s">
        <v>947</v>
      </c>
      <c r="D88" s="62" t="s">
        <v>707</v>
      </c>
      <c r="E88" s="64" t="s">
        <v>950</v>
      </c>
      <c r="F88" s="61">
        <f>+22507265782</f>
        <v>22507265782</v>
      </c>
      <c r="G88" s="64" t="s">
        <v>951</v>
      </c>
      <c r="H88" s="62"/>
      <c r="I88" s="62" t="s">
        <v>419</v>
      </c>
      <c r="J88" s="61" t="s">
        <v>710</v>
      </c>
      <c r="K88" s="62"/>
      <c r="L88" s="67" t="s">
        <v>735</v>
      </c>
    </row>
    <row r="89" ht="15.75" customHeight="1">
      <c r="A89" s="42">
        <v>88.0</v>
      </c>
      <c r="B89" s="61" t="s">
        <v>936</v>
      </c>
      <c r="C89" s="61" t="s">
        <v>947</v>
      </c>
      <c r="D89" s="62" t="s">
        <v>721</v>
      </c>
      <c r="E89" s="64" t="s">
        <v>952</v>
      </c>
      <c r="F89" s="61">
        <f>+22507414887</f>
        <v>22507414887</v>
      </c>
      <c r="G89" s="64" t="s">
        <v>953</v>
      </c>
      <c r="H89" s="62"/>
      <c r="I89" s="62" t="s">
        <v>419</v>
      </c>
      <c r="J89" s="68" t="s">
        <v>669</v>
      </c>
      <c r="K89" s="62"/>
      <c r="L89" s="69" t="s">
        <v>954</v>
      </c>
    </row>
    <row r="90" ht="15.75" customHeight="1">
      <c r="A90" s="42">
        <v>89.0</v>
      </c>
      <c r="B90" s="35" t="s">
        <v>955</v>
      </c>
      <c r="C90" s="35" t="s">
        <v>947</v>
      </c>
      <c r="D90" s="53" t="s">
        <v>707</v>
      </c>
      <c r="E90" s="53" t="s">
        <v>956</v>
      </c>
      <c r="F90" s="53">
        <f>+22509028286</f>
        <v>22509028286</v>
      </c>
      <c r="G90" s="53" t="s">
        <v>957</v>
      </c>
      <c r="H90" s="53" t="s">
        <v>738</v>
      </c>
      <c r="I90" s="53" t="s">
        <v>424</v>
      </c>
      <c r="J90" s="53" t="s">
        <v>710</v>
      </c>
      <c r="K90" s="37"/>
      <c r="L90" s="37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G2"/>
    <hyperlink r:id="rId3" ref="E3"/>
    <hyperlink r:id="rId4" ref="G3"/>
    <hyperlink r:id="rId5" ref="E4"/>
    <hyperlink r:id="rId6" ref="G4"/>
    <hyperlink r:id="rId7" ref="E5"/>
    <hyperlink r:id="rId8" ref="G5"/>
    <hyperlink r:id="rId9" ref="E6"/>
    <hyperlink r:id="rId10" ref="G6"/>
    <hyperlink r:id="rId11" ref="E7"/>
    <hyperlink r:id="rId12" ref="G7"/>
    <hyperlink r:id="rId13" ref="E8"/>
    <hyperlink r:id="rId14" ref="G8"/>
    <hyperlink r:id="rId15" ref="E27"/>
    <hyperlink r:id="rId16" ref="G27"/>
    <hyperlink r:id="rId17" ref="E28"/>
    <hyperlink r:id="rId18" ref="G28"/>
    <hyperlink r:id="rId19" ref="E29"/>
    <hyperlink r:id="rId20" ref="G29"/>
    <hyperlink r:id="rId21" ref="E30"/>
    <hyperlink r:id="rId22" ref="G30"/>
    <hyperlink r:id="rId23" ref="E31"/>
    <hyperlink r:id="rId24" ref="G31"/>
    <hyperlink r:id="rId25" ref="E32"/>
    <hyperlink r:id="rId26" ref="G32"/>
    <hyperlink r:id="rId27" ref="E33"/>
    <hyperlink r:id="rId28" ref="G33"/>
    <hyperlink r:id="rId29" ref="E34"/>
    <hyperlink r:id="rId30" ref="G34"/>
    <hyperlink r:id="rId31" ref="E35"/>
    <hyperlink r:id="rId32" ref="G35"/>
    <hyperlink r:id="rId33" ref="E36"/>
    <hyperlink r:id="rId34" ref="G36"/>
    <hyperlink r:id="rId35" ref="E37"/>
    <hyperlink r:id="rId36" ref="G37"/>
    <hyperlink r:id="rId37" ref="E38"/>
    <hyperlink r:id="rId38" ref="G38"/>
    <hyperlink r:id="rId39" ref="E39"/>
    <hyperlink r:id="rId40" ref="G39"/>
    <hyperlink r:id="rId41" ref="E40"/>
    <hyperlink r:id="rId42" ref="G40"/>
    <hyperlink r:id="rId43" ref="E41"/>
    <hyperlink r:id="rId44" ref="G41"/>
    <hyperlink r:id="rId45" ref="E42"/>
    <hyperlink r:id="rId46" ref="G42"/>
    <hyperlink r:id="rId47" ref="E43"/>
    <hyperlink r:id="rId48" ref="G43"/>
    <hyperlink r:id="rId49" ref="E44"/>
    <hyperlink r:id="rId50" ref="G44"/>
    <hyperlink r:id="rId51" ref="E45"/>
    <hyperlink r:id="rId52" ref="G45"/>
    <hyperlink r:id="rId53" ref="E46"/>
    <hyperlink r:id="rId54" ref="G46"/>
    <hyperlink r:id="rId55" ref="E63"/>
    <hyperlink r:id="rId56" ref="G63"/>
    <hyperlink r:id="rId57" ref="E64"/>
    <hyperlink r:id="rId58" ref="G64"/>
    <hyperlink r:id="rId59" ref="E65"/>
    <hyperlink r:id="rId60" ref="G65"/>
    <hyperlink r:id="rId61" ref="E66"/>
    <hyperlink r:id="rId62" ref="G66"/>
    <hyperlink r:id="rId63" ref="E77"/>
    <hyperlink r:id="rId64" ref="G77"/>
    <hyperlink r:id="rId65" ref="E78"/>
    <hyperlink r:id="rId66" ref="G78"/>
    <hyperlink r:id="rId67" ref="E79"/>
    <hyperlink r:id="rId68" ref="G79"/>
    <hyperlink r:id="rId69" ref="E80"/>
    <hyperlink r:id="rId70" ref="G80"/>
    <hyperlink r:id="rId71" ref="E81"/>
    <hyperlink r:id="rId72" ref="G81"/>
    <hyperlink r:id="rId73" ref="E82"/>
    <hyperlink r:id="rId74" ref="G82"/>
    <hyperlink r:id="rId75" ref="E85"/>
    <hyperlink r:id="rId76" ref="G85"/>
    <hyperlink r:id="rId77" ref="E86"/>
    <hyperlink r:id="rId78" ref="G86"/>
    <hyperlink r:id="rId79" ref="E87"/>
    <hyperlink r:id="rId80" ref="E88"/>
    <hyperlink r:id="rId81" ref="G88"/>
    <hyperlink r:id="rId82" ref="E89"/>
    <hyperlink r:id="rId83" ref="G89"/>
  </hyperlinks>
  <drawing r:id="rId8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26.71"/>
    <col customWidth="1" min="3" max="3" width="20.0"/>
    <col customWidth="1" min="4" max="4" width="35.0"/>
    <col customWidth="1" min="5" max="5" width="20.86"/>
    <col customWidth="1" min="6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70" t="s">
        <v>7</v>
      </c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ht="15.75" customHeight="1">
      <c r="A2" s="72">
        <v>44037.0</v>
      </c>
      <c r="B2" s="26" t="s">
        <v>958</v>
      </c>
      <c r="C2" s="28" t="s">
        <v>959</v>
      </c>
      <c r="D2" s="26" t="s">
        <v>960</v>
      </c>
      <c r="E2" s="26">
        <f>+966553850064</f>
        <v>966553850064</v>
      </c>
      <c r="F2" s="73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ht="15.75" customHeight="1">
      <c r="A3" s="72">
        <v>44037.0</v>
      </c>
      <c r="B3" s="26" t="s">
        <v>958</v>
      </c>
      <c r="C3" s="28" t="s">
        <v>961</v>
      </c>
      <c r="D3" s="26" t="s">
        <v>962</v>
      </c>
      <c r="E3" s="26">
        <f>+9660598253267</f>
        <v>9660598253267</v>
      </c>
      <c r="F3" s="73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</row>
    <row r="4" ht="15.75" customHeight="1">
      <c r="A4" s="72">
        <v>44036.0</v>
      </c>
      <c r="B4" s="26" t="s">
        <v>958</v>
      </c>
      <c r="C4" s="28" t="s">
        <v>963</v>
      </c>
      <c r="D4" s="26" t="s">
        <v>964</v>
      </c>
      <c r="E4" s="26">
        <f>+966532967321</f>
        <v>966532967321</v>
      </c>
      <c r="F4" s="74"/>
    </row>
    <row r="5" ht="15.75" customHeight="1">
      <c r="A5" s="72">
        <v>44036.0</v>
      </c>
      <c r="B5" s="26" t="s">
        <v>958</v>
      </c>
      <c r="C5" s="26" t="s">
        <v>965</v>
      </c>
      <c r="D5" s="26" t="s">
        <v>966</v>
      </c>
      <c r="E5" s="26">
        <f>+9660544622231</f>
        <v>9660544622231</v>
      </c>
      <c r="F5" s="74"/>
    </row>
    <row r="6" ht="15.75" customHeight="1">
      <c r="A6" s="72">
        <v>44036.0</v>
      </c>
      <c r="B6" s="26" t="s">
        <v>958</v>
      </c>
      <c r="C6" s="28" t="s">
        <v>967</v>
      </c>
      <c r="D6" s="26" t="s">
        <v>968</v>
      </c>
      <c r="E6" s="26">
        <f>+966500208641</f>
        <v>966500208641</v>
      </c>
      <c r="F6" s="74"/>
    </row>
    <row r="7" ht="15.75" customHeight="1">
      <c r="A7" s="72">
        <v>44036.0</v>
      </c>
      <c r="B7" s="26" t="s">
        <v>958</v>
      </c>
      <c r="C7" s="28" t="s">
        <v>969</v>
      </c>
      <c r="D7" s="26" t="s">
        <v>970</v>
      </c>
      <c r="E7" s="26">
        <f>+966541118373</f>
        <v>966541118373</v>
      </c>
      <c r="F7" s="74"/>
    </row>
    <row r="8" ht="15.75" customHeight="1">
      <c r="A8" s="72">
        <v>44035.0</v>
      </c>
      <c r="B8" s="26" t="s">
        <v>958</v>
      </c>
      <c r="C8" s="28" t="s">
        <v>971</v>
      </c>
      <c r="D8" s="26" t="s">
        <v>972</v>
      </c>
      <c r="E8" s="26">
        <f>+966559697383</f>
        <v>966559697383</v>
      </c>
      <c r="F8" s="74"/>
    </row>
    <row r="9" ht="15.75" customHeight="1">
      <c r="A9" s="72">
        <v>44035.0</v>
      </c>
      <c r="B9" s="26" t="s">
        <v>958</v>
      </c>
      <c r="C9" s="26" t="s">
        <v>973</v>
      </c>
      <c r="D9" s="26" t="s">
        <v>974</v>
      </c>
      <c r="E9" s="26">
        <f>+966555800776</f>
        <v>966555800776</v>
      </c>
      <c r="F9" s="74"/>
    </row>
    <row r="10" ht="15.75" customHeight="1">
      <c r="A10" s="72">
        <v>44034.0</v>
      </c>
      <c r="B10" s="26" t="s">
        <v>958</v>
      </c>
      <c r="C10" s="28" t="s">
        <v>975</v>
      </c>
      <c r="D10" s="26" t="s">
        <v>976</v>
      </c>
      <c r="E10" s="26">
        <f>+966599711429</f>
        <v>966599711429</v>
      </c>
      <c r="F10" s="74"/>
    </row>
    <row r="11" ht="15.75" customHeight="1">
      <c r="A11" s="72">
        <v>44034.0</v>
      </c>
      <c r="B11" s="26" t="s">
        <v>958</v>
      </c>
      <c r="C11" s="26" t="s">
        <v>977</v>
      </c>
      <c r="D11" s="26" t="s">
        <v>978</v>
      </c>
      <c r="E11" s="26">
        <f>+966548594182</f>
        <v>966548594182</v>
      </c>
      <c r="F11" s="74"/>
    </row>
    <row r="12" ht="15.75" customHeight="1">
      <c r="A12" s="72">
        <v>44033.0</v>
      </c>
      <c r="B12" s="26" t="s">
        <v>958</v>
      </c>
      <c r="C12" s="26" t="s">
        <v>979</v>
      </c>
      <c r="D12" s="26" t="s">
        <v>980</v>
      </c>
      <c r="E12" s="26">
        <f>+966556034760</f>
        <v>966556034760</v>
      </c>
      <c r="F12" s="74"/>
    </row>
    <row r="13" ht="15.75" customHeight="1">
      <c r="A13" s="72">
        <v>44033.0</v>
      </c>
      <c r="B13" s="26" t="s">
        <v>958</v>
      </c>
      <c r="C13" s="28" t="s">
        <v>981</v>
      </c>
      <c r="D13" s="26" t="s">
        <v>982</v>
      </c>
      <c r="E13" s="26">
        <f>+249912551639</f>
        <v>249912551639</v>
      </c>
      <c r="F13" s="74"/>
    </row>
    <row r="14" ht="15.75" customHeight="1">
      <c r="A14" s="72">
        <v>44031.0</v>
      </c>
      <c r="B14" s="26" t="s">
        <v>958</v>
      </c>
      <c r="C14" s="28" t="s">
        <v>983</v>
      </c>
      <c r="D14" s="26" t="s">
        <v>984</v>
      </c>
      <c r="E14" s="26">
        <f>+966500341661</f>
        <v>966500341661</v>
      </c>
      <c r="F14" s="74"/>
    </row>
    <row r="15" ht="15.75" customHeight="1">
      <c r="A15" s="72">
        <v>44031.0</v>
      </c>
      <c r="B15" s="26" t="s">
        <v>958</v>
      </c>
      <c r="C15" s="28" t="s">
        <v>985</v>
      </c>
      <c r="D15" s="26" t="s">
        <v>986</v>
      </c>
      <c r="E15" s="26">
        <f>+966540644514</f>
        <v>966540644514</v>
      </c>
      <c r="F15" s="74"/>
    </row>
    <row r="16" ht="15.75" customHeight="1">
      <c r="A16" s="72">
        <v>44030.0</v>
      </c>
      <c r="B16" s="26" t="s">
        <v>958</v>
      </c>
      <c r="C16" s="26" t="s">
        <v>987</v>
      </c>
      <c r="D16" s="26" t="s">
        <v>988</v>
      </c>
      <c r="E16" s="26">
        <f>+966509253905</f>
        <v>966509253905</v>
      </c>
      <c r="F16" s="74"/>
    </row>
    <row r="17" ht="15.75" customHeight="1">
      <c r="A17" s="72">
        <v>44030.0</v>
      </c>
      <c r="B17" s="26" t="s">
        <v>958</v>
      </c>
      <c r="C17" s="28" t="s">
        <v>989</v>
      </c>
      <c r="D17" s="26" t="s">
        <v>990</v>
      </c>
      <c r="E17" s="26">
        <f>+966555870004</f>
        <v>966555870004</v>
      </c>
      <c r="F17" s="74"/>
    </row>
    <row r="18" ht="15.75" customHeight="1">
      <c r="A18" s="72">
        <v>44028.0</v>
      </c>
      <c r="B18" s="26" t="s">
        <v>958</v>
      </c>
      <c r="C18" s="28" t="s">
        <v>991</v>
      </c>
      <c r="D18" s="26" t="s">
        <v>992</v>
      </c>
      <c r="E18" s="26">
        <f>+966505813813</f>
        <v>966505813813</v>
      </c>
      <c r="F18" s="74"/>
    </row>
    <row r="19" ht="15.75" customHeight="1">
      <c r="A19" s="72">
        <v>44026.0</v>
      </c>
      <c r="B19" s="26" t="s">
        <v>958</v>
      </c>
      <c r="C19" s="28" t="s">
        <v>993</v>
      </c>
      <c r="D19" s="26" t="s">
        <v>994</v>
      </c>
      <c r="E19" s="26">
        <f>+966572727659</f>
        <v>966572727659</v>
      </c>
      <c r="F19" s="74"/>
    </row>
    <row r="20" ht="15.75" customHeight="1">
      <c r="A20" s="72">
        <v>44026.0</v>
      </c>
      <c r="B20" s="26" t="s">
        <v>958</v>
      </c>
      <c r="C20" s="28" t="s">
        <v>995</v>
      </c>
      <c r="D20" s="26" t="s">
        <v>996</v>
      </c>
      <c r="E20" s="26">
        <f>+966506465256</f>
        <v>966506465256</v>
      </c>
      <c r="F20" s="74"/>
    </row>
    <row r="21" ht="15.75" customHeight="1">
      <c r="A21" s="72">
        <v>44025.0</v>
      </c>
      <c r="B21" s="26" t="s">
        <v>958</v>
      </c>
      <c r="C21" s="28" t="s">
        <v>997</v>
      </c>
      <c r="D21" s="26" t="s">
        <v>998</v>
      </c>
      <c r="E21" s="26">
        <f>+966503344911</f>
        <v>966503344911</v>
      </c>
      <c r="F21" s="74"/>
    </row>
    <row r="22" ht="15.75" customHeight="1">
      <c r="A22" s="72">
        <v>44025.0</v>
      </c>
      <c r="B22" s="26" t="s">
        <v>958</v>
      </c>
      <c r="C22" s="26" t="s">
        <v>999</v>
      </c>
      <c r="D22" s="26" t="s">
        <v>1000</v>
      </c>
      <c r="E22" s="26">
        <f>+966563555879</f>
        <v>966563555879</v>
      </c>
      <c r="F22" s="74"/>
    </row>
    <row r="23" ht="15.75" customHeight="1">
      <c r="A23" s="72">
        <v>44025.0</v>
      </c>
      <c r="B23" s="26" t="s">
        <v>958</v>
      </c>
      <c r="C23" s="28" t="s">
        <v>1001</v>
      </c>
      <c r="D23" s="26" t="s">
        <v>1002</v>
      </c>
      <c r="E23" s="26">
        <f>+966503361251</f>
        <v>966503361251</v>
      </c>
      <c r="F23" s="74"/>
    </row>
    <row r="24" ht="15.75" customHeight="1">
      <c r="A24" s="72">
        <v>44025.0</v>
      </c>
      <c r="B24" s="26" t="s">
        <v>958</v>
      </c>
      <c r="C24" s="28" t="s">
        <v>1003</v>
      </c>
      <c r="D24" s="26" t="s">
        <v>1004</v>
      </c>
      <c r="E24" s="26">
        <f>+966508216645</f>
        <v>966508216645</v>
      </c>
      <c r="F24" s="74"/>
    </row>
    <row r="25" ht="15.75" customHeight="1">
      <c r="A25" s="72">
        <v>44024.0</v>
      </c>
      <c r="B25" s="26" t="s">
        <v>958</v>
      </c>
      <c r="C25" s="28" t="s">
        <v>1005</v>
      </c>
      <c r="D25" s="26" t="s">
        <v>1006</v>
      </c>
      <c r="E25" s="26">
        <f>+966565333321</f>
        <v>966565333321</v>
      </c>
      <c r="F25" s="74"/>
    </row>
    <row r="26" ht="15.75" customHeight="1">
      <c r="A26" s="72">
        <v>44023.0</v>
      </c>
      <c r="B26" s="26" t="s">
        <v>958</v>
      </c>
      <c r="C26" s="28" t="s">
        <v>1007</v>
      </c>
      <c r="D26" s="26" t="s">
        <v>1008</v>
      </c>
      <c r="E26" s="26">
        <f>+966504575411</f>
        <v>966504575411</v>
      </c>
      <c r="F26" s="74"/>
    </row>
    <row r="27" ht="15.75" customHeight="1">
      <c r="A27" s="72">
        <v>44023.0</v>
      </c>
      <c r="B27" s="26" t="s">
        <v>958</v>
      </c>
      <c r="C27" s="28" t="s">
        <v>1009</v>
      </c>
      <c r="D27" s="26" t="s">
        <v>1010</v>
      </c>
      <c r="E27" s="26">
        <f>+966560806077</f>
        <v>966560806077</v>
      </c>
      <c r="F27" s="74"/>
    </row>
    <row r="28" ht="15.75" customHeight="1">
      <c r="A28" s="72">
        <v>44023.0</v>
      </c>
      <c r="B28" s="26" t="s">
        <v>958</v>
      </c>
      <c r="C28" s="26" t="s">
        <v>1011</v>
      </c>
      <c r="D28" s="26" t="s">
        <v>1012</v>
      </c>
      <c r="E28" s="26">
        <f>+966594010110</f>
        <v>966594010110</v>
      </c>
      <c r="F28" s="74"/>
    </row>
    <row r="29" ht="15.75" customHeight="1">
      <c r="A29" s="72">
        <v>44021.0</v>
      </c>
      <c r="B29" s="26" t="s">
        <v>958</v>
      </c>
      <c r="C29" s="26" t="s">
        <v>1013</v>
      </c>
      <c r="D29" s="26" t="s">
        <v>1014</v>
      </c>
      <c r="E29" s="26">
        <f>+9660544404241</f>
        <v>9660544404241</v>
      </c>
      <c r="F29" s="74"/>
    </row>
    <row r="30" ht="15.75" customHeight="1">
      <c r="A30" s="72">
        <v>44021.0</v>
      </c>
      <c r="B30" s="26" t="s">
        <v>958</v>
      </c>
      <c r="C30" s="28" t="s">
        <v>1015</v>
      </c>
      <c r="D30" s="26" t="s">
        <v>1016</v>
      </c>
      <c r="E30" s="26">
        <f>+966567212251</f>
        <v>966567212251</v>
      </c>
      <c r="F30" s="74"/>
    </row>
    <row r="31" ht="15.75" customHeight="1">
      <c r="A31" s="72">
        <v>44021.0</v>
      </c>
      <c r="B31" s="26" t="s">
        <v>958</v>
      </c>
      <c r="C31" s="26" t="s">
        <v>1017</v>
      </c>
      <c r="D31" s="26" t="s">
        <v>1018</v>
      </c>
      <c r="E31" s="26">
        <f>+966545604669</f>
        <v>966545604669</v>
      </c>
      <c r="F31" s="74"/>
    </row>
    <row r="32" ht="15.75" customHeight="1">
      <c r="A32" s="72">
        <v>44021.0</v>
      </c>
      <c r="B32" s="26" t="s">
        <v>958</v>
      </c>
      <c r="C32" s="28" t="s">
        <v>1019</v>
      </c>
      <c r="D32" s="26" t="s">
        <v>1020</v>
      </c>
      <c r="E32" s="26">
        <f>+966541129774</f>
        <v>966541129774</v>
      </c>
      <c r="F32" s="74"/>
    </row>
    <row r="33" ht="15.75" customHeight="1">
      <c r="A33" s="72">
        <v>44019.0</v>
      </c>
      <c r="B33" s="26" t="s">
        <v>958</v>
      </c>
      <c r="C33" s="26" t="s">
        <v>1021</v>
      </c>
      <c r="D33" s="26" t="s">
        <v>1022</v>
      </c>
      <c r="E33" s="26">
        <f>+9660545541474</f>
        <v>9660545541474</v>
      </c>
      <c r="F33" s="74"/>
    </row>
    <row r="34" ht="15.75" customHeight="1">
      <c r="A34" s="72">
        <v>44018.0</v>
      </c>
      <c r="B34" s="26" t="s">
        <v>958</v>
      </c>
      <c r="C34" s="28" t="s">
        <v>1023</v>
      </c>
      <c r="D34" s="26" t="s">
        <v>1024</v>
      </c>
      <c r="E34" s="26">
        <f>+966530166898</f>
        <v>966530166898</v>
      </c>
      <c r="F34" s="74"/>
    </row>
    <row r="35" ht="15.75" customHeight="1">
      <c r="A35" s="72">
        <v>44017.0</v>
      </c>
      <c r="B35" s="26" t="s">
        <v>958</v>
      </c>
      <c r="C35" s="26" t="s">
        <v>1025</v>
      </c>
      <c r="D35" s="26" t="s">
        <v>1026</v>
      </c>
      <c r="E35" s="26">
        <f>+966583574794</f>
        <v>966583574794</v>
      </c>
      <c r="F35" s="74"/>
    </row>
    <row r="36" ht="15.75" customHeight="1">
      <c r="A36" s="72">
        <v>44016.0</v>
      </c>
      <c r="B36" s="26" t="s">
        <v>958</v>
      </c>
      <c r="C36" s="28" t="s">
        <v>1027</v>
      </c>
      <c r="D36" s="26" t="s">
        <v>1028</v>
      </c>
      <c r="E36" s="26">
        <f>+966501691213</f>
        <v>966501691213</v>
      </c>
      <c r="F36" s="74"/>
    </row>
    <row r="37" ht="15.75" customHeight="1">
      <c r="A37" s="72">
        <v>44016.0</v>
      </c>
      <c r="B37" s="26" t="s">
        <v>958</v>
      </c>
      <c r="C37" s="28" t="s">
        <v>1029</v>
      </c>
      <c r="D37" s="26" t="s">
        <v>1030</v>
      </c>
      <c r="E37" s="26">
        <f>+966535461111</f>
        <v>966535461111</v>
      </c>
      <c r="F37" s="74"/>
    </row>
    <row r="38" ht="15.75" customHeight="1">
      <c r="A38" s="72">
        <v>44016.0</v>
      </c>
      <c r="B38" s="26" t="s">
        <v>958</v>
      </c>
      <c r="C38" s="28" t="s">
        <v>1031</v>
      </c>
      <c r="D38" s="26" t="s">
        <v>1032</v>
      </c>
      <c r="E38" s="26">
        <f>+966501598591</f>
        <v>966501598591</v>
      </c>
      <c r="F38" s="74"/>
    </row>
    <row r="39" ht="15.75" customHeight="1">
      <c r="A39" s="72">
        <v>44015.0</v>
      </c>
      <c r="B39" s="26" t="s">
        <v>958</v>
      </c>
      <c r="C39" s="26" t="s">
        <v>1033</v>
      </c>
      <c r="D39" s="26" t="s">
        <v>1034</v>
      </c>
      <c r="E39" s="26">
        <f>+9660503094555</f>
        <v>9660503094555</v>
      </c>
      <c r="F39" s="74"/>
    </row>
    <row r="40" ht="15.75" customHeight="1">
      <c r="A40" s="72">
        <v>44015.0</v>
      </c>
      <c r="B40" s="26" t="s">
        <v>958</v>
      </c>
      <c r="C40" s="28" t="s">
        <v>1035</v>
      </c>
      <c r="D40" s="26" t="s">
        <v>1036</v>
      </c>
      <c r="E40" s="26">
        <f>+966537446594</f>
        <v>966537446594</v>
      </c>
      <c r="F40" s="74"/>
    </row>
    <row r="41" ht="15.75" customHeight="1">
      <c r="A41" s="72">
        <v>44014.0</v>
      </c>
      <c r="B41" s="26" t="s">
        <v>958</v>
      </c>
      <c r="C41" s="28" t="s">
        <v>1037</v>
      </c>
      <c r="D41" s="26" t="s">
        <v>1038</v>
      </c>
      <c r="E41" s="26">
        <f>+966543216119</f>
        <v>966543216119</v>
      </c>
      <c r="F41" s="74"/>
    </row>
    <row r="42" ht="15.75" customHeight="1">
      <c r="A42" s="72">
        <v>44014.0</v>
      </c>
      <c r="B42" s="26" t="s">
        <v>958</v>
      </c>
      <c r="C42" s="28" t="s">
        <v>1039</v>
      </c>
      <c r="D42" s="26" t="s">
        <v>1040</v>
      </c>
      <c r="E42" s="26">
        <f>+966581060725</f>
        <v>966581060725</v>
      </c>
      <c r="F42" s="74"/>
    </row>
    <row r="43" ht="15.75" customHeight="1">
      <c r="A43" s="72">
        <v>44013.0</v>
      </c>
      <c r="B43" s="26" t="s">
        <v>958</v>
      </c>
      <c r="C43" s="28" t="s">
        <v>1041</v>
      </c>
      <c r="D43" s="26" t="s">
        <v>1042</v>
      </c>
      <c r="E43" s="26">
        <v>5.52920281E8</v>
      </c>
      <c r="F43" s="74"/>
    </row>
    <row r="44" ht="15.75" customHeight="1">
      <c r="A44" s="72">
        <v>44012.0</v>
      </c>
      <c r="B44" s="26" t="s">
        <v>958</v>
      </c>
      <c r="C44" s="26" t="s">
        <v>1043</v>
      </c>
      <c r="D44" s="26" t="s">
        <v>1044</v>
      </c>
      <c r="E44" s="26">
        <f>+966504849669</f>
        <v>966504849669</v>
      </c>
      <c r="F44" s="74"/>
    </row>
    <row r="45" ht="15.75" customHeight="1">
      <c r="A45" s="72">
        <v>44011.0</v>
      </c>
      <c r="B45" s="26" t="s">
        <v>958</v>
      </c>
      <c r="C45" s="28" t="s">
        <v>1045</v>
      </c>
      <c r="D45" s="26" t="s">
        <v>1046</v>
      </c>
      <c r="E45" s="26">
        <f>+9660503209136</f>
        <v>9660503209136</v>
      </c>
      <c r="F45" s="74"/>
    </row>
    <row r="46" ht="15.75" customHeight="1">
      <c r="A46" s="72">
        <v>44011.0</v>
      </c>
      <c r="B46" s="26" t="s">
        <v>958</v>
      </c>
      <c r="C46" s="28" t="s">
        <v>1047</v>
      </c>
      <c r="D46" s="26" t="s">
        <v>1048</v>
      </c>
      <c r="E46" s="26">
        <f>+9660556379916</f>
        <v>9660556379916</v>
      </c>
      <c r="F46" s="74"/>
    </row>
    <row r="47" ht="15.75" customHeight="1">
      <c r="A47" s="72">
        <v>44009.0</v>
      </c>
      <c r="B47" s="26" t="s">
        <v>958</v>
      </c>
      <c r="C47" s="26" t="s">
        <v>1049</v>
      </c>
      <c r="D47" s="26" t="s">
        <v>1050</v>
      </c>
      <c r="E47" s="26">
        <f>+966504412078</f>
        <v>966504412078</v>
      </c>
      <c r="F47" s="74"/>
    </row>
    <row r="48" ht="15.75" customHeight="1">
      <c r="A48" s="72">
        <v>44009.0</v>
      </c>
      <c r="B48" s="26" t="s">
        <v>958</v>
      </c>
      <c r="C48" s="26" t="s">
        <v>1051</v>
      </c>
      <c r="D48" s="26" t="s">
        <v>1052</v>
      </c>
      <c r="E48" s="26">
        <f>+966503601570</f>
        <v>966503601570</v>
      </c>
      <c r="F48" s="74"/>
    </row>
    <row r="49" ht="15.75" customHeight="1">
      <c r="A49" s="72">
        <v>44008.0</v>
      </c>
      <c r="B49" s="26" t="s">
        <v>958</v>
      </c>
      <c r="C49" s="28" t="s">
        <v>1053</v>
      </c>
      <c r="D49" s="26" t="s">
        <v>1054</v>
      </c>
      <c r="E49" s="26">
        <f>+966559265592</f>
        <v>966559265592</v>
      </c>
      <c r="F49" s="74"/>
    </row>
    <row r="50" ht="15.75" customHeight="1">
      <c r="A50" s="72">
        <v>44008.0</v>
      </c>
      <c r="B50" s="26" t="s">
        <v>958</v>
      </c>
      <c r="C50" s="26" t="s">
        <v>1055</v>
      </c>
      <c r="D50" s="26" t="s">
        <v>1056</v>
      </c>
      <c r="E50" s="26">
        <v>5.65577663E8</v>
      </c>
      <c r="F50" s="74"/>
    </row>
    <row r="51" ht="15.75" customHeight="1">
      <c r="A51" s="72">
        <v>44007.0</v>
      </c>
      <c r="B51" s="26" t="s">
        <v>958</v>
      </c>
      <c r="C51" s="28" t="s">
        <v>1057</v>
      </c>
      <c r="D51" s="26" t="s">
        <v>1058</v>
      </c>
      <c r="E51" s="26">
        <f>+9660505769613</f>
        <v>9660505769613</v>
      </c>
      <c r="F51" s="74"/>
    </row>
    <row r="52" ht="15.75" customHeight="1">
      <c r="A52" s="72">
        <v>44006.0</v>
      </c>
      <c r="B52" s="26" t="s">
        <v>958</v>
      </c>
      <c r="C52" s="26" t="s">
        <v>1059</v>
      </c>
      <c r="D52" s="26" t="s">
        <v>1060</v>
      </c>
      <c r="E52" s="26">
        <f>+966505914783</f>
        <v>966505914783</v>
      </c>
      <c r="F52" s="74"/>
    </row>
    <row r="53" ht="15.75" customHeight="1">
      <c r="A53" s="72">
        <v>44004.0</v>
      </c>
      <c r="B53" s="26" t="s">
        <v>958</v>
      </c>
      <c r="C53" s="26" t="s">
        <v>1061</v>
      </c>
      <c r="D53" s="26" t="s">
        <v>1062</v>
      </c>
      <c r="E53" s="26">
        <f>+966531415247</f>
        <v>966531415247</v>
      </c>
      <c r="F53" s="74"/>
    </row>
    <row r="54" ht="15.75" customHeight="1">
      <c r="A54" s="32"/>
    </row>
    <row r="55" ht="15.75" customHeight="1">
      <c r="A55" s="32"/>
    </row>
    <row r="56" ht="15.75" customHeight="1">
      <c r="A56" s="32"/>
    </row>
    <row r="57" ht="15.75" customHeight="1">
      <c r="A57" s="32"/>
    </row>
    <row r="58" ht="15.75" customHeight="1">
      <c r="A58" s="32"/>
    </row>
    <row r="59" ht="15.75" customHeight="1">
      <c r="A59" s="32"/>
    </row>
    <row r="60" ht="15.75" customHeight="1">
      <c r="A60" s="32"/>
    </row>
    <row r="61" ht="15.75" customHeight="1">
      <c r="A61" s="32"/>
    </row>
    <row r="62" ht="15.75" customHeight="1">
      <c r="A62" s="32"/>
    </row>
    <row r="63" ht="15.75" customHeight="1">
      <c r="A63" s="32"/>
    </row>
    <row r="64" ht="15.75" customHeight="1">
      <c r="A64" s="32"/>
    </row>
    <row r="65" ht="15.75" customHeight="1">
      <c r="A65" s="32"/>
    </row>
    <row r="66" ht="15.75" customHeight="1">
      <c r="A66" s="32"/>
    </row>
    <row r="67" ht="15.75" customHeight="1">
      <c r="A67" s="32"/>
    </row>
    <row r="68" ht="15.75" customHeight="1">
      <c r="A68" s="32"/>
    </row>
    <row r="69" ht="15.75" customHeight="1">
      <c r="A69" s="32"/>
    </row>
    <row r="70" ht="15.75" customHeight="1">
      <c r="A70" s="32"/>
    </row>
    <row r="71" ht="15.75" customHeight="1">
      <c r="A71" s="32"/>
    </row>
    <row r="72" ht="15.75" customHeight="1">
      <c r="A72" s="32"/>
    </row>
    <row r="73" ht="15.75" customHeight="1">
      <c r="A73" s="32"/>
    </row>
    <row r="74" ht="15.75" customHeight="1">
      <c r="A74" s="32"/>
    </row>
    <row r="75" ht="15.75" customHeight="1">
      <c r="A75" s="32"/>
    </row>
    <row r="76" ht="15.75" customHeight="1">
      <c r="A76" s="32"/>
    </row>
    <row r="77" ht="15.75" customHeight="1">
      <c r="A77" s="32"/>
    </row>
    <row r="78" ht="15.75" customHeight="1">
      <c r="A78" s="32"/>
    </row>
    <row r="79" ht="15.75" customHeight="1">
      <c r="A79" s="32"/>
    </row>
    <row r="80" ht="15.75" customHeight="1">
      <c r="A80" s="32"/>
    </row>
    <row r="81" ht="15.75" customHeight="1">
      <c r="A81" s="32"/>
    </row>
    <row r="82" ht="15.75" customHeight="1">
      <c r="A82" s="32"/>
    </row>
    <row r="83" ht="15.75" customHeight="1">
      <c r="A83" s="32"/>
    </row>
    <row r="84" ht="15.75" customHeight="1">
      <c r="A84" s="32"/>
    </row>
    <row r="85" ht="15.75" customHeight="1">
      <c r="A85" s="32"/>
    </row>
    <row r="86" ht="15.75" customHeight="1">
      <c r="A86" s="32"/>
    </row>
    <row r="87" ht="15.75" customHeight="1">
      <c r="A87" s="32"/>
    </row>
    <row r="88" ht="15.75" customHeight="1">
      <c r="A88" s="32"/>
    </row>
    <row r="89" ht="15.75" customHeight="1">
      <c r="A89" s="32"/>
    </row>
    <row r="90" ht="15.75" customHeight="1">
      <c r="A90" s="32"/>
    </row>
    <row r="91" ht="15.75" customHeight="1">
      <c r="A91" s="32"/>
    </row>
    <row r="92" ht="15.75" customHeight="1">
      <c r="A92" s="32"/>
    </row>
    <row r="93" ht="15.75" customHeight="1">
      <c r="A93" s="32"/>
    </row>
    <row r="94" ht="15.75" customHeight="1">
      <c r="A94" s="32"/>
    </row>
    <row r="95" ht="15.75" customHeight="1">
      <c r="A95" s="32"/>
    </row>
    <row r="96" ht="15.75" customHeight="1">
      <c r="A96" s="32"/>
    </row>
    <row r="97" ht="15.75" customHeight="1">
      <c r="A97" s="32"/>
    </row>
    <row r="98" ht="15.75" customHeight="1">
      <c r="A98" s="32"/>
    </row>
    <row r="99" ht="15.75" customHeight="1">
      <c r="A99" s="32"/>
    </row>
    <row r="100" ht="15.75" customHeight="1">
      <c r="A100" s="32"/>
    </row>
    <row r="101" ht="15.75" customHeight="1">
      <c r="A101" s="32"/>
    </row>
    <row r="102" ht="15.75" customHeight="1">
      <c r="A102" s="32"/>
    </row>
    <row r="103" ht="15.75" customHeight="1">
      <c r="A103" s="32"/>
    </row>
    <row r="104" ht="15.75" customHeight="1">
      <c r="A104" s="32"/>
    </row>
    <row r="105" ht="15.75" customHeight="1">
      <c r="A105" s="32"/>
    </row>
    <row r="106" ht="15.75" customHeight="1">
      <c r="A106" s="32"/>
    </row>
    <row r="107" ht="15.75" customHeight="1">
      <c r="A107" s="32"/>
    </row>
    <row r="108" ht="15.75" customHeight="1">
      <c r="A108" s="32"/>
    </row>
    <row r="109" ht="15.75" customHeight="1">
      <c r="A109" s="32"/>
    </row>
    <row r="110" ht="15.75" customHeight="1">
      <c r="A110" s="32"/>
    </row>
    <row r="111" ht="15.75" customHeight="1">
      <c r="A111" s="32"/>
    </row>
    <row r="112" ht="15.75" customHeight="1">
      <c r="A112" s="32"/>
    </row>
    <row r="113" ht="15.75" customHeight="1">
      <c r="A113" s="32"/>
    </row>
    <row r="114" ht="15.75" customHeight="1">
      <c r="A114" s="32"/>
    </row>
    <row r="115" ht="15.75" customHeight="1">
      <c r="A115" s="32"/>
    </row>
    <row r="116" ht="15.75" customHeight="1">
      <c r="A116" s="32"/>
    </row>
    <row r="117" ht="15.75" customHeight="1">
      <c r="A117" s="32"/>
    </row>
    <row r="118" ht="15.75" customHeight="1">
      <c r="A118" s="32"/>
    </row>
    <row r="119" ht="15.75" customHeight="1">
      <c r="A119" s="32"/>
    </row>
    <row r="120" ht="15.75" customHeight="1">
      <c r="A120" s="32"/>
    </row>
    <row r="121" ht="15.75" customHeight="1">
      <c r="A121" s="32"/>
    </row>
    <row r="122" ht="15.75" customHeight="1">
      <c r="A122" s="32"/>
    </row>
    <row r="123" ht="15.75" customHeight="1">
      <c r="A123" s="32"/>
    </row>
    <row r="124" ht="15.75" customHeight="1">
      <c r="A124" s="32"/>
    </row>
    <row r="125" ht="15.75" customHeight="1">
      <c r="A125" s="32"/>
    </row>
    <row r="126" ht="15.75" customHeight="1">
      <c r="A126" s="32"/>
    </row>
    <row r="127" ht="15.75" customHeight="1">
      <c r="A127" s="32"/>
    </row>
    <row r="128" ht="15.75" customHeight="1">
      <c r="A128" s="32"/>
    </row>
    <row r="129" ht="15.75" customHeight="1">
      <c r="A129" s="32"/>
    </row>
    <row r="130" ht="15.75" customHeight="1">
      <c r="A130" s="32"/>
    </row>
    <row r="131" ht="15.75" customHeight="1">
      <c r="A131" s="32"/>
    </row>
    <row r="132" ht="15.75" customHeight="1">
      <c r="A132" s="32"/>
    </row>
    <row r="133" ht="15.75" customHeight="1">
      <c r="A133" s="32"/>
    </row>
    <row r="134" ht="15.75" customHeight="1">
      <c r="A134" s="32"/>
    </row>
    <row r="135" ht="15.75" customHeight="1">
      <c r="A135" s="32"/>
    </row>
    <row r="136" ht="15.75" customHeight="1">
      <c r="A136" s="32"/>
    </row>
    <row r="137" ht="15.75" customHeight="1">
      <c r="A137" s="32"/>
    </row>
    <row r="138" ht="15.75" customHeight="1">
      <c r="A138" s="32"/>
    </row>
    <row r="139" ht="15.75" customHeight="1">
      <c r="A139" s="32"/>
    </row>
    <row r="140" ht="15.75" customHeight="1">
      <c r="A140" s="32"/>
    </row>
    <row r="141" ht="15.75" customHeight="1">
      <c r="A141" s="32"/>
    </row>
    <row r="142" ht="15.75" customHeight="1">
      <c r="A142" s="32"/>
    </row>
    <row r="143" ht="15.75" customHeight="1">
      <c r="A143" s="32"/>
    </row>
    <row r="144" ht="15.75" customHeight="1">
      <c r="A144" s="32"/>
    </row>
    <row r="145" ht="15.75" customHeight="1">
      <c r="A145" s="32"/>
    </row>
    <row r="146" ht="15.75" customHeight="1">
      <c r="A146" s="32"/>
    </row>
    <row r="147" ht="15.75" customHeight="1">
      <c r="A147" s="32"/>
    </row>
    <row r="148" ht="15.75" customHeight="1">
      <c r="A148" s="32"/>
    </row>
    <row r="149" ht="15.75" customHeight="1">
      <c r="A149" s="32"/>
    </row>
    <row r="150" ht="15.75" customHeight="1">
      <c r="A150" s="32"/>
    </row>
    <row r="151" ht="15.75" customHeight="1">
      <c r="A151" s="32"/>
    </row>
    <row r="152" ht="15.75" customHeight="1">
      <c r="A152" s="32"/>
    </row>
    <row r="153" ht="15.75" customHeight="1">
      <c r="A153" s="32"/>
    </row>
    <row r="154" ht="15.75" customHeight="1">
      <c r="A154" s="32"/>
    </row>
    <row r="155" ht="15.75" customHeight="1">
      <c r="A155" s="32"/>
    </row>
    <row r="156" ht="15.75" customHeight="1">
      <c r="A156" s="32"/>
    </row>
    <row r="157" ht="15.75" customHeight="1">
      <c r="A157" s="32"/>
    </row>
    <row r="158" ht="15.75" customHeight="1">
      <c r="A158" s="32"/>
    </row>
    <row r="159" ht="15.75" customHeight="1">
      <c r="A159" s="32"/>
    </row>
    <row r="160" ht="15.75" customHeight="1">
      <c r="A160" s="32"/>
    </row>
    <row r="161" ht="15.75" customHeight="1">
      <c r="A161" s="32"/>
    </row>
    <row r="162" ht="15.75" customHeight="1">
      <c r="A162" s="32"/>
    </row>
    <row r="163" ht="15.75" customHeight="1">
      <c r="A163" s="32"/>
    </row>
    <row r="164" ht="15.75" customHeight="1">
      <c r="A164" s="32"/>
    </row>
    <row r="165" ht="15.75" customHeight="1">
      <c r="A165" s="32"/>
    </row>
    <row r="166" ht="15.75" customHeight="1">
      <c r="A166" s="32"/>
    </row>
    <row r="167" ht="15.75" customHeight="1">
      <c r="A167" s="32"/>
    </row>
    <row r="168" ht="15.75" customHeight="1">
      <c r="A168" s="32"/>
    </row>
    <row r="169" ht="15.75" customHeight="1">
      <c r="A169" s="32"/>
    </row>
    <row r="170" ht="15.75" customHeight="1">
      <c r="A170" s="32"/>
    </row>
    <row r="171" ht="15.75" customHeight="1">
      <c r="A171" s="32"/>
    </row>
    <row r="172" ht="15.75" customHeight="1">
      <c r="A172" s="32"/>
    </row>
    <row r="173" ht="15.75" customHeight="1">
      <c r="A173" s="32"/>
    </row>
    <row r="174" ht="15.75" customHeight="1">
      <c r="A174" s="32"/>
    </row>
    <row r="175" ht="15.75" customHeight="1">
      <c r="A175" s="32"/>
    </row>
    <row r="176" ht="15.75" customHeight="1">
      <c r="A176" s="32"/>
    </row>
    <row r="177" ht="15.75" customHeight="1">
      <c r="A177" s="32"/>
    </row>
    <row r="178" ht="15.75" customHeight="1">
      <c r="A178" s="32"/>
    </row>
    <row r="179" ht="15.75" customHeight="1">
      <c r="A179" s="32"/>
    </row>
    <row r="180" ht="15.75" customHeight="1">
      <c r="A180" s="32"/>
    </row>
    <row r="181" ht="15.75" customHeight="1">
      <c r="A181" s="32"/>
    </row>
    <row r="182" ht="15.75" customHeight="1">
      <c r="A182" s="32"/>
    </row>
    <row r="183" ht="15.75" customHeight="1">
      <c r="A183" s="32"/>
    </row>
    <row r="184" ht="15.75" customHeight="1">
      <c r="A184" s="32"/>
    </row>
    <row r="185" ht="15.75" customHeight="1">
      <c r="A185" s="32"/>
    </row>
    <row r="186" ht="15.75" customHeight="1">
      <c r="A186" s="32"/>
    </row>
    <row r="187" ht="15.75" customHeight="1">
      <c r="A187" s="32"/>
    </row>
    <row r="188" ht="15.75" customHeight="1">
      <c r="A188" s="32"/>
    </row>
    <row r="189" ht="15.75" customHeight="1">
      <c r="A189" s="32"/>
    </row>
    <row r="190" ht="15.75" customHeight="1">
      <c r="A190" s="32"/>
    </row>
    <row r="191" ht="15.75" customHeight="1">
      <c r="A191" s="32"/>
    </row>
    <row r="192" ht="15.75" customHeight="1">
      <c r="A192" s="32"/>
    </row>
    <row r="193" ht="15.75" customHeight="1">
      <c r="A193" s="32"/>
    </row>
    <row r="194" ht="15.75" customHeight="1">
      <c r="A194" s="32"/>
    </row>
    <row r="195" ht="15.75" customHeight="1">
      <c r="A195" s="32"/>
    </row>
    <row r="196" ht="15.75" customHeight="1">
      <c r="A196" s="32"/>
    </row>
    <row r="197" ht="15.75" customHeight="1">
      <c r="A197" s="32"/>
    </row>
    <row r="198" ht="15.75" customHeight="1">
      <c r="A198" s="32"/>
    </row>
    <row r="199" ht="15.75" customHeight="1">
      <c r="A199" s="32"/>
    </row>
    <row r="200" ht="15.75" customHeight="1">
      <c r="A200" s="32"/>
    </row>
    <row r="201" ht="15.75" customHeight="1">
      <c r="A201" s="32"/>
    </row>
    <row r="202" ht="15.75" customHeight="1">
      <c r="A202" s="32"/>
    </row>
    <row r="203" ht="15.75" customHeight="1">
      <c r="A203" s="32"/>
    </row>
    <row r="204" ht="15.75" customHeight="1">
      <c r="A204" s="32"/>
    </row>
    <row r="205" ht="15.75" customHeight="1">
      <c r="A205" s="32"/>
    </row>
    <row r="206" ht="15.75" customHeight="1">
      <c r="A206" s="32"/>
    </row>
    <row r="207" ht="15.75" customHeight="1">
      <c r="A207" s="32"/>
    </row>
    <row r="208" ht="15.75" customHeight="1">
      <c r="A208" s="32"/>
    </row>
    <row r="209" ht="15.75" customHeight="1">
      <c r="A209" s="32"/>
    </row>
    <row r="210" ht="15.75" customHeight="1">
      <c r="A210" s="32"/>
    </row>
    <row r="211" ht="15.75" customHeight="1">
      <c r="A211" s="32"/>
    </row>
    <row r="212" ht="15.75" customHeight="1">
      <c r="A212" s="32"/>
    </row>
    <row r="213" ht="15.75" customHeight="1">
      <c r="A213" s="32"/>
    </row>
    <row r="214" ht="15.75" customHeight="1">
      <c r="A214" s="32"/>
    </row>
    <row r="215" ht="15.75" customHeight="1">
      <c r="A215" s="32"/>
    </row>
    <row r="216" ht="15.75" customHeight="1">
      <c r="A216" s="32"/>
    </row>
    <row r="217" ht="15.75" customHeight="1">
      <c r="A217" s="32"/>
    </row>
    <row r="218" ht="15.75" customHeight="1">
      <c r="A218" s="32"/>
    </row>
    <row r="219" ht="15.75" customHeight="1">
      <c r="A219" s="32"/>
    </row>
    <row r="220" ht="15.75" customHeight="1">
      <c r="A220" s="32"/>
    </row>
    <row r="221" ht="15.75" customHeight="1">
      <c r="A221" s="32"/>
    </row>
    <row r="222" ht="15.75" customHeight="1">
      <c r="A222" s="32"/>
    </row>
    <row r="223" ht="15.75" customHeight="1">
      <c r="A223" s="32"/>
    </row>
    <row r="224" ht="15.75" customHeight="1">
      <c r="A224" s="32"/>
    </row>
    <row r="225" ht="15.75" customHeight="1">
      <c r="A225" s="32"/>
    </row>
    <row r="226" ht="15.75" customHeight="1">
      <c r="A226" s="32"/>
    </row>
    <row r="227" ht="15.75" customHeight="1">
      <c r="A227" s="32"/>
    </row>
    <row r="228" ht="15.75" customHeight="1">
      <c r="A228" s="32"/>
    </row>
    <row r="229" ht="15.75" customHeight="1">
      <c r="A229" s="32"/>
    </row>
    <row r="230" ht="15.75" customHeight="1">
      <c r="A230" s="32"/>
    </row>
    <row r="231" ht="15.75" customHeight="1">
      <c r="A231" s="32"/>
    </row>
    <row r="232" ht="15.75" customHeight="1">
      <c r="A232" s="32"/>
    </row>
    <row r="233" ht="15.75" customHeight="1">
      <c r="A233" s="32"/>
    </row>
    <row r="234" ht="15.75" customHeight="1">
      <c r="A234" s="32"/>
    </row>
    <row r="235" ht="15.75" customHeight="1">
      <c r="A235" s="32"/>
    </row>
    <row r="236" ht="15.75" customHeight="1">
      <c r="A236" s="32"/>
    </row>
    <row r="237" ht="15.75" customHeight="1">
      <c r="A237" s="32"/>
    </row>
    <row r="238" ht="15.75" customHeight="1">
      <c r="A238" s="32"/>
    </row>
    <row r="239" ht="15.75" customHeight="1">
      <c r="A239" s="32"/>
    </row>
    <row r="240" ht="15.75" customHeight="1">
      <c r="A240" s="32"/>
    </row>
    <row r="241" ht="15.75" customHeight="1">
      <c r="A241" s="32"/>
    </row>
    <row r="242" ht="15.75" customHeight="1">
      <c r="A242" s="32"/>
    </row>
    <row r="243" ht="15.75" customHeight="1">
      <c r="A243" s="32"/>
    </row>
    <row r="244" ht="15.75" customHeight="1">
      <c r="A244" s="32"/>
    </row>
    <row r="245" ht="15.75" customHeight="1">
      <c r="A245" s="32"/>
    </row>
    <row r="246" ht="15.75" customHeight="1">
      <c r="A246" s="32"/>
    </row>
    <row r="247" ht="15.75" customHeight="1">
      <c r="A247" s="32"/>
    </row>
    <row r="248" ht="15.75" customHeight="1">
      <c r="A248" s="32"/>
    </row>
    <row r="249" ht="15.75" customHeight="1">
      <c r="A249" s="32"/>
    </row>
    <row r="250" ht="15.75" customHeight="1">
      <c r="A250" s="32"/>
    </row>
    <row r="251" ht="15.75" customHeight="1">
      <c r="A251" s="32"/>
    </row>
    <row r="252" ht="15.75" customHeight="1">
      <c r="A252" s="32"/>
    </row>
    <row r="253" ht="15.75" customHeight="1">
      <c r="A253" s="32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29.29"/>
    <col customWidth="1" min="3" max="3" width="27.71"/>
    <col customWidth="1" min="4" max="4" width="30.29"/>
    <col customWidth="1" min="5" max="5" width="18.71"/>
    <col customWidth="1" min="6" max="6" width="14.43"/>
  </cols>
  <sheetData>
    <row r="1" ht="15.75" customHeight="1">
      <c r="A1" s="75" t="s">
        <v>0</v>
      </c>
      <c r="B1" s="75" t="s">
        <v>1</v>
      </c>
      <c r="C1" s="75" t="s">
        <v>2</v>
      </c>
      <c r="D1" s="75" t="s">
        <v>4</v>
      </c>
      <c r="E1" s="75" t="s">
        <v>5</v>
      </c>
      <c r="F1" s="71"/>
      <c r="G1" s="71"/>
      <c r="H1" s="71"/>
      <c r="I1" s="71"/>
      <c r="J1" s="71"/>
      <c r="K1" s="71"/>
      <c r="L1" s="71"/>
      <c r="M1" s="71"/>
    </row>
    <row r="2" ht="15.75" customHeight="1">
      <c r="A2" s="76">
        <v>44034.0</v>
      </c>
      <c r="B2" s="27" t="s">
        <v>1063</v>
      </c>
      <c r="C2" s="27" t="s">
        <v>1064</v>
      </c>
      <c r="D2" s="27" t="s">
        <v>1065</v>
      </c>
      <c r="E2" s="27">
        <f>+16046579318</f>
        <v>16046579318</v>
      </c>
      <c r="F2" s="71"/>
      <c r="G2" s="71"/>
      <c r="H2" s="71"/>
      <c r="I2" s="71"/>
      <c r="J2" s="71"/>
      <c r="K2" s="71"/>
      <c r="L2" s="71"/>
      <c r="M2" s="71"/>
    </row>
    <row r="3" ht="15.75" customHeight="1">
      <c r="A3" s="76">
        <v>44033.0</v>
      </c>
      <c r="B3" s="27" t="s">
        <v>1063</v>
      </c>
      <c r="C3" s="27" t="s">
        <v>1066</v>
      </c>
      <c r="D3" s="27" t="s">
        <v>1067</v>
      </c>
      <c r="E3" s="27">
        <f>+61452086881</f>
        <v>61452086881</v>
      </c>
      <c r="F3" s="71"/>
      <c r="G3" s="71"/>
      <c r="H3" s="71"/>
      <c r="I3" s="71"/>
      <c r="J3" s="71"/>
      <c r="K3" s="71"/>
      <c r="L3" s="71"/>
      <c r="M3" s="71"/>
    </row>
    <row r="4" ht="15.75" customHeight="1">
      <c r="A4" s="76">
        <v>44033.0</v>
      </c>
      <c r="B4" s="27" t="s">
        <v>1063</v>
      </c>
      <c r="C4" s="27" t="s">
        <v>1068</v>
      </c>
      <c r="D4" s="27" t="s">
        <v>1069</v>
      </c>
      <c r="E4" s="27">
        <f>+886937871493</f>
        <v>886937871493</v>
      </c>
      <c r="F4" s="71"/>
      <c r="G4" s="71"/>
      <c r="H4" s="71"/>
      <c r="I4" s="71"/>
      <c r="J4" s="71"/>
      <c r="K4" s="71"/>
      <c r="L4" s="71"/>
      <c r="M4" s="71"/>
    </row>
    <row r="5" ht="15.75" customHeight="1">
      <c r="A5" s="76">
        <v>44033.0</v>
      </c>
      <c r="B5" s="27" t="s">
        <v>1063</v>
      </c>
      <c r="C5" s="27" t="s">
        <v>1070</v>
      </c>
      <c r="D5" s="27" t="s">
        <v>1071</v>
      </c>
      <c r="E5" s="27">
        <f>+447748643324</f>
        <v>447748643324</v>
      </c>
    </row>
    <row r="6" ht="15.75" customHeight="1">
      <c r="A6" s="76">
        <v>44032.0</v>
      </c>
      <c r="B6" s="27" t="s">
        <v>1063</v>
      </c>
      <c r="C6" s="27" t="s">
        <v>1072</v>
      </c>
      <c r="D6" s="27" t="s">
        <v>1073</v>
      </c>
      <c r="E6" s="27">
        <f>+14036068808</f>
        <v>14036068808</v>
      </c>
    </row>
    <row r="7" ht="15.75" customHeight="1">
      <c r="A7" s="76">
        <v>44031.0</v>
      </c>
      <c r="B7" s="27" t="s">
        <v>1063</v>
      </c>
      <c r="C7" s="27" t="s">
        <v>1074</v>
      </c>
      <c r="D7" s="27" t="s">
        <v>1075</v>
      </c>
      <c r="E7" s="27">
        <f>+14168397826</f>
        <v>14168397826</v>
      </c>
    </row>
    <row r="8" ht="15.75" customHeight="1">
      <c r="A8" s="76">
        <v>44031.0</v>
      </c>
      <c r="B8" s="27" t="s">
        <v>1063</v>
      </c>
      <c r="C8" s="27" t="s">
        <v>1076</v>
      </c>
      <c r="D8" s="27" t="s">
        <v>1077</v>
      </c>
      <c r="E8" s="27">
        <f>+8613809252554</f>
        <v>8613809252554</v>
      </c>
    </row>
    <row r="9" ht="15.75" customHeight="1">
      <c r="A9" s="76">
        <v>44031.0</v>
      </c>
      <c r="B9" s="27" t="s">
        <v>1063</v>
      </c>
      <c r="C9" s="27" t="s">
        <v>1078</v>
      </c>
      <c r="D9" s="27" t="s">
        <v>1079</v>
      </c>
      <c r="E9" s="27">
        <f>+61437289979</f>
        <v>61437289979</v>
      </c>
    </row>
    <row r="10" ht="15.75" customHeight="1">
      <c r="A10" s="76">
        <v>44031.0</v>
      </c>
      <c r="B10" s="27" t="s">
        <v>1063</v>
      </c>
      <c r="C10" s="27" t="s">
        <v>1080</v>
      </c>
      <c r="D10" s="27" t="s">
        <v>1081</v>
      </c>
      <c r="E10" s="27">
        <f>+16042183288</f>
        <v>16042183288</v>
      </c>
    </row>
    <row r="11" ht="15.75" customHeight="1">
      <c r="A11" s="76">
        <v>44031.0</v>
      </c>
      <c r="B11" s="27" t="s">
        <v>1063</v>
      </c>
      <c r="C11" s="27" t="s">
        <v>1082</v>
      </c>
      <c r="D11" s="27" t="s">
        <v>1083</v>
      </c>
      <c r="E11" s="27">
        <f>+61497996563</f>
        <v>61497996563</v>
      </c>
    </row>
    <row r="12" ht="15.75" customHeight="1">
      <c r="A12" s="76">
        <v>44030.0</v>
      </c>
      <c r="B12" s="27" t="s">
        <v>1063</v>
      </c>
      <c r="C12" s="27" t="s">
        <v>1084</v>
      </c>
      <c r="D12" s="27" t="s">
        <v>1085</v>
      </c>
      <c r="E12" s="27">
        <f>+60133609161</f>
        <v>60133609161</v>
      </c>
    </row>
    <row r="13" ht="15.75" customHeight="1">
      <c r="A13" s="76">
        <v>44029.0</v>
      </c>
      <c r="B13" s="27" t="s">
        <v>1063</v>
      </c>
      <c r="C13" s="27" t="s">
        <v>1086</v>
      </c>
      <c r="D13" s="27" t="s">
        <v>1087</v>
      </c>
      <c r="E13" s="27">
        <f>+8613022167559</f>
        <v>8613022167559</v>
      </c>
    </row>
    <row r="14" ht="15.75" customHeight="1">
      <c r="A14" s="76">
        <v>44029.0</v>
      </c>
      <c r="B14" s="27" t="s">
        <v>1063</v>
      </c>
      <c r="C14" s="27" t="s">
        <v>1088</v>
      </c>
      <c r="D14" s="27" t="s">
        <v>1089</v>
      </c>
      <c r="E14" s="27">
        <f>+61414787828</f>
        <v>61414787828</v>
      </c>
    </row>
    <row r="15" ht="15.75" customHeight="1">
      <c r="A15" s="76">
        <v>44028.0</v>
      </c>
      <c r="B15" s="27" t="s">
        <v>1063</v>
      </c>
      <c r="C15" s="27" t="s">
        <v>1090</v>
      </c>
      <c r="D15" s="27" t="s">
        <v>1091</v>
      </c>
      <c r="E15" s="27">
        <f>+85292351428</f>
        <v>85292351428</v>
      </c>
    </row>
    <row r="16" ht="15.75" customHeight="1">
      <c r="A16" s="76">
        <v>44028.0</v>
      </c>
      <c r="B16" s="27" t="s">
        <v>1063</v>
      </c>
      <c r="C16" s="27" t="s">
        <v>1092</v>
      </c>
      <c r="D16" s="27" t="s">
        <v>1093</v>
      </c>
      <c r="E16" s="27">
        <f>+16472987797</f>
        <v>16472987797</v>
      </c>
    </row>
    <row r="17" ht="15.75" customHeight="1">
      <c r="A17" s="76">
        <v>44027.0</v>
      </c>
      <c r="B17" s="27" t="s">
        <v>1063</v>
      </c>
      <c r="C17" s="27" t="s">
        <v>1094</v>
      </c>
      <c r="D17" s="27" t="s">
        <v>1095</v>
      </c>
      <c r="E17" s="27">
        <f>+60174053857</f>
        <v>60174053857</v>
      </c>
    </row>
    <row r="18" ht="15.75" customHeight="1">
      <c r="A18" s="76">
        <v>44026.0</v>
      </c>
      <c r="B18" s="27" t="s">
        <v>1063</v>
      </c>
      <c r="C18" s="27" t="s">
        <v>1096</v>
      </c>
      <c r="D18" s="27" t="s">
        <v>1097</v>
      </c>
      <c r="E18" s="27">
        <f>+447826754981</f>
        <v>447826754981</v>
      </c>
    </row>
    <row r="19" ht="15.75" customHeight="1">
      <c r="A19" s="76">
        <v>44026.0</v>
      </c>
      <c r="B19" s="27" t="s">
        <v>1063</v>
      </c>
      <c r="C19" s="27" t="s">
        <v>1098</v>
      </c>
      <c r="D19" s="27" t="s">
        <v>1099</v>
      </c>
      <c r="E19" s="27">
        <f>+447723812385</f>
        <v>447723812385</v>
      </c>
    </row>
    <row r="20" ht="15.75" customHeight="1">
      <c r="A20" s="76">
        <v>44026.0</v>
      </c>
      <c r="B20" s="27" t="s">
        <v>1063</v>
      </c>
      <c r="C20" s="27" t="s">
        <v>1100</v>
      </c>
      <c r="D20" s="27" t="s">
        <v>1101</v>
      </c>
      <c r="E20" s="27">
        <f>+8613880130400</f>
        <v>8613880130400</v>
      </c>
    </row>
    <row r="21" ht="15.75" customHeight="1">
      <c r="A21" s="76">
        <v>44026.0</v>
      </c>
      <c r="B21" s="27" t="s">
        <v>1063</v>
      </c>
      <c r="C21" s="27" t="s">
        <v>1102</v>
      </c>
      <c r="D21" s="27" t="s">
        <v>1103</v>
      </c>
      <c r="E21" s="27">
        <f>+447795363288</f>
        <v>447795363288</v>
      </c>
    </row>
    <row r="22" ht="15.75" customHeight="1">
      <c r="A22" s="76">
        <v>44023.0</v>
      </c>
      <c r="B22" s="27" t="s">
        <v>1063</v>
      </c>
      <c r="C22" s="27" t="s">
        <v>1104</v>
      </c>
      <c r="D22" s="27" t="s">
        <v>1105</v>
      </c>
      <c r="E22" s="27">
        <f>+16048391518</f>
        <v>16048391518</v>
      </c>
    </row>
    <row r="23" ht="15.75" customHeight="1">
      <c r="A23" s="76">
        <v>44022.0</v>
      </c>
      <c r="B23" s="27" t="s">
        <v>1063</v>
      </c>
      <c r="C23" s="27" t="s">
        <v>1106</v>
      </c>
      <c r="D23" s="27" t="s">
        <v>1107</v>
      </c>
      <c r="E23" s="27">
        <f>+15145851548</f>
        <v>15145851548</v>
      </c>
    </row>
    <row r="24" ht="15.75" customHeight="1">
      <c r="A24" s="76">
        <v>44021.0</v>
      </c>
      <c r="B24" s="27" t="s">
        <v>1063</v>
      </c>
      <c r="C24" s="27" t="s">
        <v>1108</v>
      </c>
      <c r="D24" s="27" t="s">
        <v>1109</v>
      </c>
      <c r="E24" s="27">
        <f>+886975527300</f>
        <v>886975527300</v>
      </c>
    </row>
    <row r="25" ht="15.75" customHeight="1">
      <c r="A25" s="76">
        <v>44020.0</v>
      </c>
      <c r="B25" s="27" t="s">
        <v>1063</v>
      </c>
      <c r="C25" s="27" t="s">
        <v>1110</v>
      </c>
      <c r="D25" s="27" t="s">
        <v>1111</v>
      </c>
      <c r="E25" s="27">
        <f>+61411128015</f>
        <v>61411128015</v>
      </c>
    </row>
    <row r="26" ht="15.75" customHeight="1">
      <c r="A26" s="76">
        <v>44020.0</v>
      </c>
      <c r="B26" s="27" t="s">
        <v>1063</v>
      </c>
      <c r="C26" s="27" t="s">
        <v>1112</v>
      </c>
      <c r="D26" s="27" t="s">
        <v>1113</v>
      </c>
      <c r="E26" s="27">
        <f>+610452261520</f>
        <v>610452261520</v>
      </c>
    </row>
    <row r="27" ht="15.75" customHeight="1">
      <c r="A27" s="76">
        <v>44020.0</v>
      </c>
      <c r="B27" s="27" t="s">
        <v>1063</v>
      </c>
      <c r="C27" s="27" t="s">
        <v>1114</v>
      </c>
      <c r="D27" s="27" t="s">
        <v>1115</v>
      </c>
      <c r="E27" s="27">
        <f>+447770663388</f>
        <v>447770663388</v>
      </c>
    </row>
    <row r="28" ht="15.75" customHeight="1">
      <c r="A28" s="76">
        <v>44020.0</v>
      </c>
      <c r="B28" s="27" t="s">
        <v>1063</v>
      </c>
      <c r="C28" s="27" t="s">
        <v>1116</v>
      </c>
      <c r="D28" s="27" t="s">
        <v>1117</v>
      </c>
      <c r="E28" s="27">
        <f>+447545241568</f>
        <v>447545241568</v>
      </c>
    </row>
    <row r="29" ht="15.75" customHeight="1">
      <c r="A29" s="76">
        <v>44019.0</v>
      </c>
      <c r="B29" s="27" t="s">
        <v>1063</v>
      </c>
      <c r="C29" s="27" t="s">
        <v>1118</v>
      </c>
      <c r="D29" s="27" t="s">
        <v>1119</v>
      </c>
      <c r="E29" s="27">
        <f>+8618664000952</f>
        <v>8618664000952</v>
      </c>
    </row>
    <row r="30" ht="15.75" customHeight="1">
      <c r="A30" s="76">
        <v>44018.0</v>
      </c>
      <c r="B30" s="27" t="s">
        <v>1063</v>
      </c>
      <c r="C30" s="27" t="s">
        <v>1120</v>
      </c>
      <c r="D30" s="27" t="s">
        <v>1121</v>
      </c>
      <c r="E30" s="27">
        <f>+8613176685918</f>
        <v>8613176685918</v>
      </c>
    </row>
    <row r="31" ht="15.75" customHeight="1">
      <c r="A31" s="76">
        <v>44018.0</v>
      </c>
      <c r="B31" s="27" t="s">
        <v>1063</v>
      </c>
      <c r="C31" s="27" t="s">
        <v>1122</v>
      </c>
      <c r="D31" s="27" t="s">
        <v>1123</v>
      </c>
      <c r="E31" s="27">
        <f>+447919181988</f>
        <v>447919181988</v>
      </c>
    </row>
    <row r="32" ht="15.75" customHeight="1">
      <c r="A32" s="76">
        <v>44018.0</v>
      </c>
      <c r="B32" s="27" t="s">
        <v>1063</v>
      </c>
      <c r="C32" s="27" t="s">
        <v>1124</v>
      </c>
      <c r="D32" s="27" t="s">
        <v>1125</v>
      </c>
      <c r="E32" s="27">
        <f>+14166664843</f>
        <v>14166664843</v>
      </c>
    </row>
    <row r="33" ht="15.75" customHeight="1">
      <c r="A33" s="76">
        <v>44018.0</v>
      </c>
      <c r="B33" s="27" t="s">
        <v>1063</v>
      </c>
      <c r="C33" s="27" t="s">
        <v>1126</v>
      </c>
      <c r="D33" s="27" t="s">
        <v>1127</v>
      </c>
      <c r="E33" s="27">
        <f>+8613771406586</f>
        <v>8613771406586</v>
      </c>
    </row>
    <row r="34" ht="15.75" customHeight="1">
      <c r="A34" s="76">
        <v>44018.0</v>
      </c>
      <c r="B34" s="27" t="s">
        <v>1063</v>
      </c>
      <c r="C34" s="27" t="s">
        <v>1128</v>
      </c>
      <c r="D34" s="27" t="s">
        <v>1129</v>
      </c>
      <c r="E34" s="27">
        <f>+61424029693</f>
        <v>61424029693</v>
      </c>
    </row>
    <row r="35" ht="15.75" customHeight="1">
      <c r="A35" s="76">
        <v>44016.0</v>
      </c>
      <c r="B35" s="27" t="s">
        <v>1063</v>
      </c>
      <c r="C35" s="27" t="s">
        <v>1130</v>
      </c>
      <c r="D35" s="27" t="s">
        <v>1131</v>
      </c>
      <c r="E35" s="27">
        <f>+85294844298</f>
        <v>85294844298</v>
      </c>
    </row>
    <row r="36" ht="15.75" customHeight="1">
      <c r="A36" s="76">
        <v>44016.0</v>
      </c>
      <c r="B36" s="27" t="s">
        <v>1063</v>
      </c>
      <c r="C36" s="27" t="s">
        <v>1132</v>
      </c>
      <c r="D36" s="27" t="s">
        <v>1133</v>
      </c>
      <c r="E36" s="27">
        <f>+393398883555</f>
        <v>393398883555</v>
      </c>
    </row>
    <row r="37" ht="15.75" customHeight="1">
      <c r="A37" s="76">
        <v>44015.0</v>
      </c>
      <c r="B37" s="27" t="s">
        <v>1063</v>
      </c>
      <c r="C37" s="27" t="s">
        <v>1134</v>
      </c>
      <c r="D37" s="27" t="s">
        <v>1135</v>
      </c>
      <c r="E37" s="27">
        <f>+16476272899</f>
        <v>16476272899</v>
      </c>
    </row>
    <row r="38" ht="15.75" customHeight="1">
      <c r="A38" s="76">
        <v>44013.0</v>
      </c>
      <c r="B38" s="27" t="s">
        <v>1063</v>
      </c>
      <c r="C38" s="27" t="s">
        <v>1136</v>
      </c>
      <c r="D38" s="27" t="s">
        <v>1137</v>
      </c>
      <c r="E38" s="27">
        <f>+85291245200</f>
        <v>85291245200</v>
      </c>
    </row>
    <row r="39" ht="15.75" customHeight="1">
      <c r="A39" s="76">
        <v>44013.0</v>
      </c>
      <c r="B39" s="27" t="s">
        <v>1063</v>
      </c>
      <c r="C39" s="27" t="s">
        <v>1138</v>
      </c>
      <c r="D39" s="27" t="s">
        <v>1139</v>
      </c>
      <c r="E39" s="27">
        <f>+85290944455</f>
        <v>85290944455</v>
      </c>
    </row>
    <row r="40" ht="15.75" customHeight="1">
      <c r="A40" s="76">
        <v>44013.0</v>
      </c>
      <c r="B40" s="27" t="s">
        <v>1063</v>
      </c>
      <c r="C40" s="27" t="s">
        <v>1140</v>
      </c>
      <c r="D40" s="27" t="s">
        <v>1141</v>
      </c>
      <c r="E40" s="27">
        <f>+85268016477</f>
        <v>85268016477</v>
      </c>
    </row>
    <row r="41" ht="15.75" customHeight="1">
      <c r="A41" s="76">
        <v>44012.0</v>
      </c>
      <c r="B41" s="27" t="s">
        <v>1063</v>
      </c>
      <c r="C41" s="27" t="s">
        <v>1142</v>
      </c>
      <c r="D41" s="27" t="s">
        <v>1143</v>
      </c>
      <c r="E41" s="27">
        <f>+85268781266</f>
        <v>85268781266</v>
      </c>
    </row>
    <row r="42" ht="15.75" customHeight="1">
      <c r="A42" s="76">
        <v>44012.0</v>
      </c>
      <c r="B42" s="27" t="s">
        <v>1063</v>
      </c>
      <c r="C42" s="27" t="s">
        <v>1144</v>
      </c>
      <c r="D42" s="27" t="s">
        <v>1145</v>
      </c>
      <c r="E42" s="27">
        <f>+85269981650</f>
        <v>85269981650</v>
      </c>
    </row>
    <row r="43" ht="15.75" customHeight="1">
      <c r="A43" s="76">
        <v>44011.0</v>
      </c>
      <c r="B43" s="27" t="s">
        <v>1063</v>
      </c>
      <c r="C43" s="27" t="s">
        <v>1146</v>
      </c>
      <c r="D43" s="27" t="s">
        <v>1147</v>
      </c>
      <c r="E43" s="27">
        <f>+61432093968</f>
        <v>61432093968</v>
      </c>
    </row>
    <row r="44" ht="15.75" customHeight="1">
      <c r="A44" s="76">
        <v>44010.0</v>
      </c>
      <c r="B44" s="27" t="s">
        <v>1063</v>
      </c>
      <c r="C44" s="27" t="s">
        <v>1148</v>
      </c>
      <c r="D44" s="27" t="s">
        <v>1149</v>
      </c>
      <c r="E44" s="27">
        <f>+16044424448</f>
        <v>16044424448</v>
      </c>
    </row>
    <row r="45" ht="15.75" customHeight="1">
      <c r="A45" s="76">
        <v>44010.0</v>
      </c>
      <c r="B45" s="27" t="s">
        <v>1063</v>
      </c>
      <c r="C45" s="27" t="s">
        <v>1150</v>
      </c>
      <c r="D45" s="27" t="s">
        <v>1151</v>
      </c>
      <c r="E45" s="27">
        <f>+17789914488</f>
        <v>17789914488</v>
      </c>
    </row>
    <row r="46" ht="15.75" customHeight="1">
      <c r="A46" s="76">
        <v>44010.0</v>
      </c>
      <c r="B46" s="27" t="s">
        <v>1063</v>
      </c>
      <c r="C46" s="27" t="s">
        <v>1152</v>
      </c>
      <c r="D46" s="27" t="s">
        <v>1153</v>
      </c>
      <c r="E46" s="27">
        <f>+447902876026</f>
        <v>447902876026</v>
      </c>
    </row>
    <row r="47" ht="15.75" customHeight="1">
      <c r="A47" s="76">
        <v>44010.0</v>
      </c>
      <c r="B47" s="27" t="s">
        <v>1063</v>
      </c>
      <c r="C47" s="27" t="s">
        <v>1154</v>
      </c>
      <c r="D47" s="27" t="s">
        <v>1155</v>
      </c>
      <c r="E47" s="27">
        <f>+447392421911</f>
        <v>447392421911</v>
      </c>
    </row>
    <row r="48" ht="15.75" customHeight="1">
      <c r="A48" s="76">
        <v>44009.0</v>
      </c>
      <c r="B48" s="27" t="s">
        <v>1063</v>
      </c>
      <c r="C48" s="27" t="s">
        <v>1156</v>
      </c>
      <c r="D48" s="27" t="s">
        <v>1157</v>
      </c>
      <c r="E48" s="27">
        <f>+85261126711</f>
        <v>85261126711</v>
      </c>
    </row>
    <row r="49" ht="15.75" customHeight="1">
      <c r="A49" s="76">
        <v>44008.0</v>
      </c>
      <c r="B49" s="27" t="s">
        <v>1063</v>
      </c>
      <c r="C49" s="27" t="s">
        <v>1158</v>
      </c>
      <c r="D49" s="27" t="s">
        <v>1159</v>
      </c>
      <c r="E49" s="27">
        <f>+8613008994148</f>
        <v>8613008994148</v>
      </c>
    </row>
    <row r="50" ht="15.75" customHeight="1">
      <c r="A50" s="76">
        <v>44007.0</v>
      </c>
      <c r="B50" s="27" t="s">
        <v>1063</v>
      </c>
      <c r="C50" s="27" t="s">
        <v>1160</v>
      </c>
      <c r="D50" s="27" t="s">
        <v>1161</v>
      </c>
      <c r="E50" s="27">
        <f>+447447323363</f>
        <v>447447323363</v>
      </c>
    </row>
    <row r="51" ht="15.75" customHeight="1">
      <c r="A51" s="76">
        <v>44007.0</v>
      </c>
      <c r="B51" s="27" t="s">
        <v>1063</v>
      </c>
      <c r="C51" s="27" t="s">
        <v>1162</v>
      </c>
      <c r="D51" s="27" t="s">
        <v>1163</v>
      </c>
      <c r="E51" s="27">
        <f>+4407756168688</f>
        <v>4407756168688</v>
      </c>
    </row>
    <row r="52" ht="15.75" customHeight="1">
      <c r="A52" s="76">
        <v>44007.0</v>
      </c>
      <c r="B52" s="27" t="s">
        <v>1063</v>
      </c>
      <c r="C52" s="27" t="s">
        <v>1164</v>
      </c>
      <c r="D52" s="27" t="s">
        <v>1165</v>
      </c>
      <c r="E52" s="27">
        <f>+61413302282</f>
        <v>61413302282</v>
      </c>
    </row>
    <row r="53" ht="15.75" customHeight="1">
      <c r="A53" s="76">
        <v>44006.0</v>
      </c>
      <c r="B53" s="27" t="s">
        <v>1063</v>
      </c>
      <c r="C53" s="27" t="s">
        <v>1166</v>
      </c>
      <c r="D53" s="27" t="s">
        <v>1167</v>
      </c>
      <c r="E53" s="27">
        <f>+18177367214</f>
        <v>18177367214</v>
      </c>
    </row>
    <row r="54" ht="15.75" customHeight="1">
      <c r="A54" s="76">
        <v>44006.0</v>
      </c>
      <c r="B54" s="27" t="s">
        <v>1063</v>
      </c>
      <c r="C54" s="27" t="s">
        <v>1168</v>
      </c>
      <c r="D54" s="27" t="s">
        <v>1169</v>
      </c>
      <c r="E54" s="27">
        <f>+6592398065</f>
        <v>6592398065</v>
      </c>
    </row>
    <row r="55" ht="15.75" customHeight="1">
      <c r="A55" s="76">
        <v>44006.0</v>
      </c>
      <c r="B55" s="27" t="s">
        <v>1063</v>
      </c>
      <c r="C55" s="27" t="s">
        <v>1170</v>
      </c>
      <c r="D55" s="27" t="s">
        <v>1171</v>
      </c>
      <c r="E55" s="27">
        <f>+61405806733</f>
        <v>61405806733</v>
      </c>
    </row>
    <row r="56" ht="15.75" customHeight="1">
      <c r="A56" s="76">
        <v>44005.0</v>
      </c>
      <c r="B56" s="27" t="s">
        <v>1063</v>
      </c>
      <c r="C56" s="27" t="s">
        <v>1172</v>
      </c>
      <c r="D56" s="27" t="s">
        <v>1173</v>
      </c>
      <c r="E56" s="27">
        <f>+447720705576</f>
        <v>447720705576</v>
      </c>
    </row>
    <row r="57" ht="15.75" customHeight="1">
      <c r="A57" s="76">
        <v>44004.0</v>
      </c>
      <c r="B57" s="27" t="s">
        <v>1063</v>
      </c>
      <c r="C57" s="27" t="s">
        <v>1174</v>
      </c>
      <c r="D57" s="27" t="s">
        <v>1175</v>
      </c>
      <c r="E57" s="27">
        <f>+447572325063</f>
        <v>447572325063</v>
      </c>
    </row>
    <row r="58" ht="15.75" customHeight="1">
      <c r="A58" s="76">
        <v>44004.0</v>
      </c>
      <c r="B58" s="27" t="s">
        <v>1063</v>
      </c>
      <c r="C58" s="27" t="s">
        <v>1176</v>
      </c>
      <c r="D58" s="27" t="s">
        <v>1177</v>
      </c>
      <c r="E58" s="27">
        <f>+4407805407004</f>
        <v>4407805407004</v>
      </c>
    </row>
    <row r="59" ht="15.75" customHeight="1">
      <c r="A59" s="76">
        <v>44003.0</v>
      </c>
      <c r="B59" s="27" t="s">
        <v>1063</v>
      </c>
      <c r="C59" s="27" t="s">
        <v>1178</v>
      </c>
      <c r="D59" s="27" t="s">
        <v>1179</v>
      </c>
      <c r="E59" s="27">
        <f>+8613802704398</f>
        <v>8613802704398</v>
      </c>
    </row>
    <row r="60" ht="15.75" customHeight="1">
      <c r="A60" s="76">
        <v>44002.0</v>
      </c>
      <c r="B60" s="27" t="s">
        <v>1063</v>
      </c>
      <c r="C60" s="27" t="s">
        <v>1180</v>
      </c>
      <c r="D60" s="27" t="s">
        <v>1181</v>
      </c>
      <c r="E60" s="27">
        <f>+4407515478367</f>
        <v>4407515478367</v>
      </c>
    </row>
    <row r="61" ht="15.75" customHeight="1">
      <c r="A61" s="76">
        <v>44002.0</v>
      </c>
      <c r="B61" s="27" t="s">
        <v>1063</v>
      </c>
      <c r="C61" s="27" t="s">
        <v>1182</v>
      </c>
      <c r="D61" s="27" t="s">
        <v>1183</v>
      </c>
      <c r="E61" s="27">
        <f>+610430820878</f>
        <v>610430820878</v>
      </c>
    </row>
    <row r="62" ht="15.75" customHeight="1">
      <c r="A62" s="76">
        <v>44002.0</v>
      </c>
      <c r="B62" s="27" t="s">
        <v>1063</v>
      </c>
      <c r="C62" s="27" t="s">
        <v>1184</v>
      </c>
      <c r="D62" s="27" t="s">
        <v>1185</v>
      </c>
      <c r="E62" s="27">
        <f>+447367324844</f>
        <v>447367324844</v>
      </c>
    </row>
    <row r="63" ht="15.75" customHeight="1">
      <c r="A63" s="76">
        <v>44000.0</v>
      </c>
      <c r="B63" s="27" t="s">
        <v>1063</v>
      </c>
      <c r="C63" s="27" t="s">
        <v>1186</v>
      </c>
      <c r="D63" s="27" t="s">
        <v>1187</v>
      </c>
      <c r="E63" s="27">
        <f>+610421516128</f>
        <v>610421516128</v>
      </c>
    </row>
    <row r="64" ht="15.75" customHeight="1">
      <c r="A64" s="76">
        <v>44000.0</v>
      </c>
      <c r="B64" s="27" t="s">
        <v>1063</v>
      </c>
      <c r="C64" s="27" t="s">
        <v>1188</v>
      </c>
      <c r="D64" s="27" t="s">
        <v>1189</v>
      </c>
      <c r="E64" s="27">
        <f>+85267044313</f>
        <v>85267044313</v>
      </c>
    </row>
    <row r="65" ht="15.75" customHeight="1">
      <c r="A65" s="32"/>
    </row>
    <row r="66" ht="15.75" customHeight="1">
      <c r="A66" s="32"/>
    </row>
    <row r="67" ht="15.75" customHeight="1">
      <c r="A67" s="32"/>
    </row>
    <row r="68" ht="15.75" customHeight="1">
      <c r="A68" s="32"/>
    </row>
    <row r="69" ht="15.75" customHeight="1">
      <c r="A69" s="32"/>
    </row>
    <row r="70" ht="15.75" customHeight="1">
      <c r="A70" s="32"/>
    </row>
    <row r="71" ht="15.75" customHeight="1">
      <c r="A71" s="32"/>
    </row>
    <row r="72" ht="15.75" customHeight="1">
      <c r="A72" s="32"/>
    </row>
    <row r="73" ht="15.75" customHeight="1">
      <c r="A73" s="32"/>
    </row>
    <row r="74" ht="15.75" customHeight="1">
      <c r="A74" s="32"/>
    </row>
    <row r="75" ht="15.75" customHeight="1">
      <c r="A75" s="32"/>
    </row>
    <row r="76" ht="15.75" customHeight="1">
      <c r="A76" s="32"/>
    </row>
    <row r="77" ht="15.75" customHeight="1">
      <c r="A77" s="32"/>
    </row>
    <row r="78" ht="15.75" customHeight="1">
      <c r="A78" s="32"/>
    </row>
    <row r="79" ht="15.75" customHeight="1">
      <c r="A79" s="32"/>
    </row>
    <row r="80" ht="15.75" customHeight="1">
      <c r="A80" s="32"/>
    </row>
    <row r="81" ht="15.75" customHeight="1">
      <c r="A81" s="32"/>
    </row>
    <row r="82" ht="15.75" customHeight="1">
      <c r="A82" s="32"/>
    </row>
    <row r="83" ht="15.75" customHeight="1">
      <c r="A83" s="32"/>
    </row>
    <row r="84" ht="15.75" customHeight="1">
      <c r="A84" s="32"/>
    </row>
    <row r="85" ht="15.75" customHeight="1">
      <c r="A85" s="32"/>
    </row>
    <row r="86" ht="15.75" customHeight="1">
      <c r="A86" s="32"/>
    </row>
    <row r="87" ht="15.75" customHeight="1">
      <c r="A87" s="32"/>
    </row>
    <row r="88" ht="15.75" customHeight="1">
      <c r="A88" s="32"/>
    </row>
    <row r="89" ht="15.75" customHeight="1">
      <c r="A89" s="32"/>
    </row>
    <row r="90" ht="15.75" customHeight="1">
      <c r="A90" s="32"/>
    </row>
    <row r="91" ht="15.75" customHeight="1">
      <c r="A91" s="32"/>
    </row>
    <row r="92" ht="15.75" customHeight="1">
      <c r="A92" s="32"/>
    </row>
    <row r="93" ht="15.75" customHeight="1">
      <c r="A93" s="32"/>
    </row>
    <row r="94" ht="15.75" customHeight="1">
      <c r="A94" s="32"/>
    </row>
    <row r="95" ht="15.75" customHeight="1">
      <c r="A95" s="32"/>
    </row>
    <row r="96" ht="15.75" customHeight="1">
      <c r="A96" s="32"/>
    </row>
    <row r="97" ht="15.75" customHeight="1">
      <c r="A97" s="32"/>
    </row>
    <row r="98" ht="15.75" customHeight="1">
      <c r="A98" s="32"/>
    </row>
    <row r="99" ht="15.75" customHeight="1">
      <c r="A99" s="32"/>
    </row>
    <row r="100" ht="15.75" customHeight="1">
      <c r="A100" s="32"/>
    </row>
    <row r="101" ht="15.75" customHeight="1">
      <c r="A101" s="32"/>
    </row>
    <row r="102" ht="15.75" customHeight="1">
      <c r="A102" s="32"/>
    </row>
    <row r="103" ht="15.75" customHeight="1">
      <c r="A103" s="32"/>
    </row>
    <row r="104" ht="15.75" customHeight="1">
      <c r="A104" s="32"/>
    </row>
    <row r="105" ht="15.75" customHeight="1">
      <c r="A105" s="32"/>
    </row>
    <row r="106" ht="15.75" customHeight="1">
      <c r="A106" s="32"/>
    </row>
    <row r="107" ht="15.75" customHeight="1">
      <c r="A107" s="32"/>
    </row>
    <row r="108" ht="15.75" customHeight="1">
      <c r="A108" s="32"/>
    </row>
    <row r="109" ht="15.75" customHeight="1">
      <c r="A109" s="32"/>
    </row>
    <row r="110" ht="15.75" customHeight="1">
      <c r="A110" s="32"/>
    </row>
    <row r="111" ht="15.75" customHeight="1">
      <c r="A111" s="32"/>
    </row>
    <row r="112" ht="15.75" customHeight="1">
      <c r="A112" s="32"/>
    </row>
    <row r="113" ht="15.75" customHeight="1">
      <c r="A113" s="32"/>
    </row>
    <row r="114" ht="15.75" customHeight="1">
      <c r="A114" s="32"/>
    </row>
    <row r="115" ht="15.75" customHeight="1">
      <c r="A115" s="32"/>
    </row>
    <row r="116" ht="15.75" customHeight="1">
      <c r="A116" s="32"/>
    </row>
    <row r="117" ht="15.75" customHeight="1">
      <c r="A117" s="32"/>
    </row>
    <row r="118" ht="15.75" customHeight="1">
      <c r="A118" s="32"/>
    </row>
    <row r="119" ht="15.75" customHeight="1">
      <c r="A119" s="32"/>
    </row>
    <row r="120" ht="15.75" customHeight="1">
      <c r="A120" s="32"/>
    </row>
    <row r="121" ht="15.75" customHeight="1">
      <c r="A121" s="32"/>
    </row>
    <row r="122" ht="15.75" customHeight="1">
      <c r="A122" s="32"/>
    </row>
    <row r="123" ht="15.75" customHeight="1">
      <c r="A123" s="32"/>
    </row>
    <row r="124" ht="15.75" customHeight="1">
      <c r="A124" s="32"/>
    </row>
    <row r="125" ht="15.75" customHeight="1">
      <c r="A125" s="32"/>
    </row>
    <row r="126" ht="15.75" customHeight="1">
      <c r="A126" s="32"/>
    </row>
    <row r="127" ht="15.75" customHeight="1">
      <c r="A127" s="32"/>
    </row>
    <row r="128" ht="15.75" customHeight="1">
      <c r="A128" s="32"/>
    </row>
    <row r="129" ht="15.75" customHeight="1">
      <c r="A129" s="32"/>
    </row>
    <row r="130" ht="15.75" customHeight="1">
      <c r="A130" s="32"/>
    </row>
    <row r="131" ht="15.75" customHeight="1">
      <c r="A131" s="32"/>
    </row>
    <row r="132" ht="15.75" customHeight="1">
      <c r="A132" s="32"/>
    </row>
    <row r="133" ht="15.75" customHeight="1">
      <c r="A133" s="32"/>
    </row>
    <row r="134" ht="15.75" customHeight="1">
      <c r="A134" s="32"/>
    </row>
    <row r="135" ht="15.75" customHeight="1">
      <c r="A135" s="32"/>
    </row>
    <row r="136" ht="15.75" customHeight="1">
      <c r="A136" s="32"/>
    </row>
    <row r="137" ht="15.75" customHeight="1">
      <c r="A137" s="32"/>
    </row>
    <row r="138" ht="15.75" customHeight="1">
      <c r="A138" s="32"/>
    </row>
    <row r="139" ht="15.75" customHeight="1">
      <c r="A139" s="32"/>
    </row>
    <row r="140" ht="15.75" customHeight="1">
      <c r="A140" s="32"/>
    </row>
    <row r="141" ht="15.75" customHeight="1">
      <c r="A141" s="32"/>
    </row>
    <row r="142" ht="15.75" customHeight="1">
      <c r="A142" s="32"/>
    </row>
    <row r="143" ht="15.75" customHeight="1">
      <c r="A143" s="32"/>
    </row>
    <row r="144" ht="15.75" customHeight="1">
      <c r="A144" s="32"/>
    </row>
    <row r="145" ht="15.75" customHeight="1">
      <c r="A145" s="32"/>
    </row>
    <row r="146" ht="15.75" customHeight="1">
      <c r="A146" s="32"/>
    </row>
    <row r="147" ht="15.75" customHeight="1">
      <c r="A147" s="32"/>
    </row>
    <row r="148" ht="15.75" customHeight="1">
      <c r="A148" s="32"/>
    </row>
    <row r="149" ht="15.75" customHeight="1">
      <c r="A149" s="32"/>
    </row>
    <row r="150" ht="15.75" customHeight="1">
      <c r="A150" s="32"/>
    </row>
    <row r="151" ht="15.75" customHeight="1">
      <c r="A151" s="32"/>
    </row>
    <row r="152" ht="15.75" customHeight="1">
      <c r="A152" s="32"/>
    </row>
    <row r="153" ht="15.75" customHeight="1">
      <c r="A153" s="32"/>
    </row>
    <row r="154" ht="15.75" customHeight="1">
      <c r="A154" s="32"/>
    </row>
    <row r="155" ht="15.75" customHeight="1">
      <c r="A155" s="32"/>
    </row>
    <row r="156" ht="15.75" customHeight="1">
      <c r="A156" s="32"/>
    </row>
    <row r="157" ht="15.75" customHeight="1">
      <c r="A157" s="32"/>
    </row>
    <row r="158" ht="15.75" customHeight="1">
      <c r="A158" s="32"/>
    </row>
    <row r="159" ht="15.75" customHeight="1">
      <c r="A159" s="32"/>
    </row>
    <row r="160" ht="15.75" customHeight="1">
      <c r="A160" s="32"/>
    </row>
    <row r="161" ht="15.75" customHeight="1">
      <c r="A161" s="32"/>
    </row>
    <row r="162" ht="15.75" customHeight="1">
      <c r="A162" s="32"/>
    </row>
    <row r="163" ht="15.75" customHeight="1">
      <c r="A163" s="32"/>
    </row>
    <row r="164" ht="15.75" customHeight="1">
      <c r="A164" s="32"/>
    </row>
    <row r="165" ht="15.75" customHeight="1">
      <c r="A165" s="32"/>
    </row>
    <row r="166" ht="15.75" customHeight="1">
      <c r="A166" s="32"/>
    </row>
    <row r="167" ht="15.75" customHeight="1">
      <c r="A167" s="32"/>
    </row>
    <row r="168" ht="15.75" customHeight="1">
      <c r="A168" s="32"/>
    </row>
    <row r="169" ht="15.75" customHeight="1">
      <c r="A169" s="32"/>
    </row>
    <row r="170" ht="15.75" customHeight="1">
      <c r="A170" s="32"/>
    </row>
    <row r="171" ht="15.75" customHeight="1">
      <c r="A171" s="32"/>
    </row>
    <row r="172" ht="15.75" customHeight="1">
      <c r="A172" s="32"/>
    </row>
    <row r="173" ht="15.75" customHeight="1">
      <c r="A173" s="32"/>
    </row>
    <row r="174" ht="15.75" customHeight="1">
      <c r="A174" s="32"/>
    </row>
    <row r="175" ht="15.75" customHeight="1">
      <c r="A175" s="32"/>
    </row>
    <row r="176" ht="15.75" customHeight="1">
      <c r="A176" s="32"/>
    </row>
    <row r="177" ht="15.75" customHeight="1">
      <c r="A177" s="32"/>
    </row>
    <row r="178" ht="15.75" customHeight="1">
      <c r="A178" s="32"/>
    </row>
    <row r="179" ht="15.75" customHeight="1">
      <c r="A179" s="32"/>
    </row>
    <row r="180" ht="15.75" customHeight="1">
      <c r="A180" s="32"/>
    </row>
    <row r="181" ht="15.75" customHeight="1">
      <c r="A181" s="32"/>
    </row>
    <row r="182" ht="15.75" customHeight="1">
      <c r="A182" s="32"/>
    </row>
    <row r="183" ht="15.75" customHeight="1">
      <c r="A183" s="32"/>
    </row>
    <row r="184" ht="15.75" customHeight="1">
      <c r="A184" s="32"/>
    </row>
    <row r="185" ht="15.75" customHeight="1">
      <c r="A185" s="32"/>
    </row>
    <row r="186" ht="15.75" customHeight="1">
      <c r="A186" s="32"/>
    </row>
    <row r="187" ht="15.75" customHeight="1">
      <c r="A187" s="32"/>
    </row>
    <row r="188" ht="15.75" customHeight="1">
      <c r="A188" s="32"/>
    </row>
    <row r="189" ht="15.75" customHeight="1">
      <c r="A189" s="32"/>
    </row>
    <row r="190" ht="15.75" customHeight="1">
      <c r="A190" s="32"/>
    </row>
    <row r="191" ht="15.75" customHeight="1">
      <c r="A191" s="32"/>
    </row>
    <row r="192" ht="15.75" customHeight="1">
      <c r="A192" s="32"/>
    </row>
    <row r="193" ht="15.75" customHeight="1">
      <c r="A193" s="32"/>
    </row>
    <row r="194" ht="15.75" customHeight="1">
      <c r="A194" s="32"/>
    </row>
    <row r="195" ht="15.75" customHeight="1">
      <c r="A195" s="32"/>
    </row>
    <row r="196" ht="15.75" customHeight="1">
      <c r="A196" s="32"/>
    </row>
    <row r="197" ht="15.75" customHeight="1">
      <c r="A197" s="32"/>
    </row>
    <row r="198" ht="15.75" customHeight="1">
      <c r="A198" s="32"/>
    </row>
    <row r="199" ht="15.75" customHeight="1">
      <c r="A199" s="32"/>
    </row>
    <row r="200" ht="15.75" customHeight="1">
      <c r="A200" s="32"/>
    </row>
    <row r="201" ht="15.75" customHeight="1">
      <c r="A201" s="32"/>
    </row>
    <row r="202" ht="15.75" customHeight="1">
      <c r="A202" s="32"/>
    </row>
    <row r="203" ht="15.75" customHeight="1">
      <c r="A203" s="32"/>
    </row>
    <row r="204" ht="15.75" customHeight="1">
      <c r="A204" s="32"/>
    </row>
    <row r="205" ht="15.75" customHeight="1">
      <c r="A205" s="32"/>
    </row>
    <row r="206" ht="15.75" customHeight="1">
      <c r="A206" s="32"/>
    </row>
    <row r="207" ht="15.75" customHeight="1">
      <c r="A207" s="32"/>
    </row>
    <row r="208" ht="15.75" customHeight="1">
      <c r="A208" s="32"/>
    </row>
    <row r="209" ht="15.75" customHeight="1">
      <c r="A209" s="32"/>
    </row>
    <row r="210" ht="15.75" customHeight="1">
      <c r="A210" s="32"/>
    </row>
    <row r="211" ht="15.75" customHeight="1">
      <c r="A211" s="32"/>
    </row>
    <row r="212" ht="15.75" customHeight="1">
      <c r="A212" s="32"/>
    </row>
    <row r="213" ht="15.75" customHeight="1">
      <c r="A213" s="32"/>
    </row>
    <row r="214" ht="15.75" customHeight="1">
      <c r="A214" s="32"/>
    </row>
    <row r="215" ht="15.75" customHeight="1">
      <c r="A215" s="32"/>
    </row>
    <row r="216" ht="15.75" customHeight="1">
      <c r="A216" s="32"/>
    </row>
    <row r="217" ht="15.75" customHeight="1">
      <c r="A217" s="32"/>
    </row>
    <row r="218" ht="15.75" customHeight="1">
      <c r="A218" s="32"/>
    </row>
    <row r="219" ht="15.75" customHeight="1">
      <c r="A219" s="32"/>
    </row>
    <row r="220" ht="15.75" customHeight="1">
      <c r="A220" s="32"/>
    </row>
    <row r="221" ht="15.75" customHeight="1">
      <c r="A221" s="32"/>
    </row>
    <row r="222" ht="15.75" customHeight="1">
      <c r="A222" s="32"/>
    </row>
    <row r="223" ht="15.75" customHeight="1">
      <c r="A223" s="32"/>
    </row>
    <row r="224" ht="15.75" customHeight="1">
      <c r="A224" s="32"/>
    </row>
    <row r="225" ht="15.75" customHeight="1">
      <c r="A225" s="32"/>
    </row>
    <row r="226" ht="15.75" customHeight="1">
      <c r="A226" s="32"/>
    </row>
    <row r="227" ht="15.75" customHeight="1">
      <c r="A227" s="32"/>
    </row>
    <row r="228" ht="15.75" customHeight="1">
      <c r="A228" s="32"/>
    </row>
    <row r="229" ht="15.75" customHeight="1">
      <c r="A229" s="32"/>
    </row>
    <row r="230" ht="15.75" customHeight="1">
      <c r="A230" s="32"/>
    </row>
    <row r="231" ht="15.75" customHeight="1">
      <c r="A231" s="32"/>
    </row>
    <row r="232" ht="15.75" customHeight="1">
      <c r="A232" s="32"/>
    </row>
    <row r="233" ht="15.75" customHeight="1">
      <c r="A233" s="32"/>
    </row>
    <row r="234" ht="15.75" customHeight="1">
      <c r="A234" s="32"/>
    </row>
    <row r="235" ht="15.75" customHeight="1">
      <c r="A235" s="32"/>
    </row>
    <row r="236" ht="15.75" customHeight="1">
      <c r="A236" s="32"/>
    </row>
    <row r="237" ht="15.75" customHeight="1">
      <c r="A237" s="32"/>
    </row>
    <row r="238" ht="15.75" customHeight="1">
      <c r="A238" s="32"/>
    </row>
    <row r="239" ht="15.75" customHeight="1">
      <c r="A239" s="32"/>
    </row>
    <row r="240" ht="15.75" customHeight="1">
      <c r="A240" s="32"/>
    </row>
    <row r="241" ht="15.75" customHeight="1">
      <c r="A241" s="32"/>
    </row>
    <row r="242" ht="15.75" customHeight="1">
      <c r="A242" s="32"/>
    </row>
    <row r="243" ht="15.75" customHeight="1">
      <c r="A243" s="32"/>
    </row>
    <row r="244" ht="15.75" customHeight="1">
      <c r="A244" s="32"/>
    </row>
    <row r="245" ht="15.75" customHeight="1">
      <c r="A245" s="32"/>
    </row>
    <row r="246" ht="15.75" customHeight="1">
      <c r="A246" s="32"/>
    </row>
    <row r="247" ht="15.75" customHeight="1">
      <c r="A247" s="32"/>
    </row>
    <row r="248" ht="15.75" customHeight="1">
      <c r="A248" s="32"/>
    </row>
    <row r="249" ht="15.75" customHeight="1">
      <c r="A249" s="32"/>
    </row>
    <row r="250" ht="15.75" customHeight="1">
      <c r="A250" s="32"/>
    </row>
    <row r="251" ht="15.75" customHeight="1">
      <c r="A251" s="32"/>
    </row>
    <row r="252" ht="15.75" customHeight="1">
      <c r="A252" s="32"/>
    </row>
    <row r="253" ht="15.75" customHeight="1">
      <c r="A253" s="32"/>
    </row>
    <row r="254" ht="15.75" customHeight="1">
      <c r="A254" s="32"/>
    </row>
    <row r="255" ht="15.75" customHeight="1">
      <c r="A255" s="32"/>
    </row>
    <row r="256" ht="15.75" customHeight="1">
      <c r="A256" s="32"/>
    </row>
    <row r="257" ht="15.75" customHeight="1">
      <c r="A257" s="32"/>
    </row>
    <row r="258" ht="15.75" customHeight="1">
      <c r="A258" s="32"/>
    </row>
    <row r="259" ht="15.75" customHeight="1">
      <c r="A259" s="32"/>
    </row>
    <row r="260" ht="15.75" customHeight="1">
      <c r="A260" s="32"/>
    </row>
    <row r="261" ht="15.75" customHeight="1">
      <c r="A261" s="32"/>
    </row>
    <row r="262" ht="15.75" customHeight="1">
      <c r="A262" s="32"/>
    </row>
    <row r="263" ht="15.75" customHeight="1">
      <c r="A263" s="32"/>
    </row>
    <row r="264" ht="15.75" customHeight="1">
      <c r="A264" s="32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28.86"/>
    <col customWidth="1" min="3" max="4" width="14.43"/>
    <col customWidth="1" min="5" max="5" width="20.14"/>
    <col customWidth="1" min="6" max="6" width="24.43"/>
    <col customWidth="1" min="7" max="7" width="23.14"/>
    <col customWidth="1" min="8" max="8" width="20.86"/>
  </cols>
  <sheetData>
    <row r="1" ht="15.75" customHeight="1">
      <c r="A1" s="13" t="s">
        <v>0</v>
      </c>
      <c r="B1" s="77" t="s">
        <v>1</v>
      </c>
      <c r="C1" s="77" t="s">
        <v>2</v>
      </c>
      <c r="D1" s="77" t="s">
        <v>3</v>
      </c>
      <c r="E1" s="77" t="s">
        <v>5</v>
      </c>
      <c r="F1" s="77" t="s">
        <v>4</v>
      </c>
      <c r="G1" s="77" t="s">
        <v>6</v>
      </c>
      <c r="H1" s="78" t="s">
        <v>7</v>
      </c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 ht="15.75" customHeight="1">
      <c r="A2" s="11">
        <v>43996.0</v>
      </c>
      <c r="B2" s="12" t="s">
        <v>1190</v>
      </c>
      <c r="C2" s="12" t="s">
        <v>1191</v>
      </c>
      <c r="D2" s="12" t="s">
        <v>1192</v>
      </c>
      <c r="E2" s="12">
        <f>+966509102703</f>
        <v>966509102703</v>
      </c>
      <c r="F2" s="12" t="s">
        <v>1193</v>
      </c>
      <c r="G2" s="12" t="s">
        <v>1194</v>
      </c>
      <c r="H2" s="80" t="s">
        <v>1195</v>
      </c>
    </row>
    <row r="3" ht="15.75" customHeight="1">
      <c r="A3" s="11">
        <v>43994.0</v>
      </c>
      <c r="B3" s="12" t="s">
        <v>1190</v>
      </c>
      <c r="C3" s="12" t="s">
        <v>1196</v>
      </c>
      <c r="D3" s="12" t="s">
        <v>1197</v>
      </c>
      <c r="E3" s="12">
        <f>+97455569447</f>
        <v>97455569447</v>
      </c>
      <c r="F3" s="12" t="s">
        <v>1198</v>
      </c>
      <c r="G3" s="81" t="s">
        <v>1194</v>
      </c>
      <c r="H3" s="80" t="s">
        <v>1199</v>
      </c>
    </row>
    <row r="4" ht="15.75" customHeight="1">
      <c r="A4" s="11">
        <v>43993.0</v>
      </c>
      <c r="B4" s="12" t="s">
        <v>1190</v>
      </c>
      <c r="C4" s="12" t="s">
        <v>1200</v>
      </c>
      <c r="D4" s="12" t="s">
        <v>42</v>
      </c>
      <c r="E4" s="12">
        <f>+966503646330</f>
        <v>966503646330</v>
      </c>
      <c r="F4" s="12" t="s">
        <v>1201</v>
      </c>
      <c r="G4" s="12" t="s">
        <v>1202</v>
      </c>
      <c r="H4" s="80" t="s">
        <v>1199</v>
      </c>
    </row>
    <row r="5" ht="15.75" customHeight="1">
      <c r="A5" s="11">
        <v>43993.0</v>
      </c>
      <c r="B5" s="12" t="s">
        <v>1190</v>
      </c>
      <c r="C5" s="12" t="s">
        <v>1203</v>
      </c>
      <c r="D5" s="12" t="s">
        <v>1204</v>
      </c>
      <c r="E5" s="12">
        <f>+971566073054</f>
        <v>971566073054</v>
      </c>
      <c r="F5" s="12" t="s">
        <v>1205</v>
      </c>
      <c r="G5" s="12" t="s">
        <v>1194</v>
      </c>
      <c r="H5" s="80" t="s">
        <v>1195</v>
      </c>
    </row>
    <row r="6" ht="15.75" customHeight="1">
      <c r="A6" s="11">
        <v>43992.0</v>
      </c>
      <c r="B6" s="12" t="s">
        <v>1190</v>
      </c>
      <c r="C6" s="12" t="s">
        <v>1206</v>
      </c>
      <c r="D6" s="12" t="s">
        <v>262</v>
      </c>
      <c r="E6" s="12">
        <f>+966561100968</f>
        <v>966561100968</v>
      </c>
      <c r="F6" s="12" t="s">
        <v>1207</v>
      </c>
      <c r="G6" s="12" t="s">
        <v>1194</v>
      </c>
      <c r="H6" s="82"/>
    </row>
    <row r="7" ht="15.75" customHeight="1">
      <c r="A7" s="11">
        <v>43992.0</v>
      </c>
      <c r="B7" s="12" t="s">
        <v>1190</v>
      </c>
      <c r="C7" s="83" t="s">
        <v>1208</v>
      </c>
      <c r="D7" s="83" t="s">
        <v>1209</v>
      </c>
      <c r="E7" s="12">
        <f>+971565513090</f>
        <v>971565513090</v>
      </c>
      <c r="F7" s="12" t="s">
        <v>1210</v>
      </c>
      <c r="G7" s="12" t="s">
        <v>1211</v>
      </c>
      <c r="H7" s="82"/>
    </row>
    <row r="8" ht="15.75" customHeight="1">
      <c r="A8" s="11">
        <v>43992.0</v>
      </c>
      <c r="B8" s="12" t="s">
        <v>1190</v>
      </c>
      <c r="C8" s="12" t="s">
        <v>1212</v>
      </c>
      <c r="D8" s="12" t="s">
        <v>1213</v>
      </c>
      <c r="E8" s="12">
        <f>+9710567250809</f>
        <v>9710567250809</v>
      </c>
      <c r="F8" s="12" t="s">
        <v>1214</v>
      </c>
      <c r="G8" s="12" t="s">
        <v>1194</v>
      </c>
      <c r="H8" s="82"/>
    </row>
    <row r="9" ht="15.75" customHeight="1">
      <c r="A9" s="11">
        <v>43991.0</v>
      </c>
      <c r="B9" s="12" t="s">
        <v>1190</v>
      </c>
      <c r="C9" s="12" t="s">
        <v>125</v>
      </c>
      <c r="D9" s="12" t="s">
        <v>1215</v>
      </c>
      <c r="E9" s="12">
        <f>+9660503602193</f>
        <v>9660503602193</v>
      </c>
      <c r="F9" s="12" t="s">
        <v>1216</v>
      </c>
      <c r="G9" s="12" t="s">
        <v>1194</v>
      </c>
      <c r="H9" s="82"/>
    </row>
    <row r="10" ht="15.75" customHeight="1">
      <c r="A10" s="11">
        <v>43991.0</v>
      </c>
      <c r="B10" s="12" t="s">
        <v>1190</v>
      </c>
      <c r="C10" s="12" t="s">
        <v>1217</v>
      </c>
      <c r="D10" s="12" t="s">
        <v>1218</v>
      </c>
      <c r="E10" s="12">
        <f>+966564762525</f>
        <v>966564762525</v>
      </c>
      <c r="F10" s="12" t="s">
        <v>1219</v>
      </c>
      <c r="G10" s="12" t="s">
        <v>1211</v>
      </c>
      <c r="H10" s="82"/>
    </row>
    <row r="11" ht="15.75" customHeight="1">
      <c r="A11" s="11">
        <v>43991.0</v>
      </c>
      <c r="B11" s="12" t="s">
        <v>1190</v>
      </c>
      <c r="C11" s="12" t="s">
        <v>1212</v>
      </c>
      <c r="D11" s="12" t="s">
        <v>199</v>
      </c>
      <c r="E11" s="12">
        <f>+966557286347</f>
        <v>966557286347</v>
      </c>
      <c r="F11" s="12" t="s">
        <v>1220</v>
      </c>
      <c r="G11" s="12" t="s">
        <v>1221</v>
      </c>
      <c r="H11" s="82"/>
    </row>
    <row r="12" ht="15.75" customHeight="1">
      <c r="A12" s="11">
        <v>43990.0</v>
      </c>
      <c r="B12" s="12" t="s">
        <v>1190</v>
      </c>
      <c r="C12" s="12" t="s">
        <v>1206</v>
      </c>
      <c r="D12" s="12" t="s">
        <v>1222</v>
      </c>
      <c r="E12" s="12">
        <f>+97366666280</f>
        <v>97366666280</v>
      </c>
      <c r="F12" s="12" t="s">
        <v>1223</v>
      </c>
      <c r="G12" s="12" t="s">
        <v>1211</v>
      </c>
      <c r="H12" s="82"/>
    </row>
    <row r="13" ht="15.75" customHeight="1">
      <c r="A13" s="11">
        <v>43989.0</v>
      </c>
      <c r="B13" s="12" t="s">
        <v>1190</v>
      </c>
      <c r="C13" s="12" t="s">
        <v>1224</v>
      </c>
      <c r="D13" s="12" t="s">
        <v>1225</v>
      </c>
      <c r="E13" s="12">
        <f>+971544924109</f>
        <v>971544924109</v>
      </c>
      <c r="F13" s="12" t="s">
        <v>1226</v>
      </c>
      <c r="G13" s="12" t="s">
        <v>1194</v>
      </c>
      <c r="H13" s="82"/>
    </row>
    <row r="14" ht="15.75" customHeight="1">
      <c r="A14" s="11">
        <v>43989.0</v>
      </c>
      <c r="B14" s="12" t="s">
        <v>1190</v>
      </c>
      <c r="C14" s="12" t="s">
        <v>1227</v>
      </c>
      <c r="D14" s="12" t="s">
        <v>1228</v>
      </c>
      <c r="E14" s="12">
        <f>+9710567353935</f>
        <v>9710567353935</v>
      </c>
      <c r="F14" s="12" t="s">
        <v>1229</v>
      </c>
      <c r="G14" s="12" t="s">
        <v>1211</v>
      </c>
      <c r="H14" s="82"/>
    </row>
    <row r="15" ht="15.75" customHeight="1">
      <c r="A15" s="11">
        <v>43989.0</v>
      </c>
      <c r="B15" s="12" t="s">
        <v>1190</v>
      </c>
      <c r="C15" s="12" t="s">
        <v>1230</v>
      </c>
      <c r="D15" s="12" t="s">
        <v>1231</v>
      </c>
      <c r="E15" s="12">
        <f>+971504562165</f>
        <v>971504562165</v>
      </c>
      <c r="F15" s="12" t="s">
        <v>1232</v>
      </c>
      <c r="G15" s="12" t="s">
        <v>1194</v>
      </c>
      <c r="H15" s="82"/>
    </row>
    <row r="16" ht="15.75" customHeight="1">
      <c r="A16" s="11">
        <v>43989.0</v>
      </c>
      <c r="B16" s="12" t="s">
        <v>1190</v>
      </c>
      <c r="C16" s="12" t="s">
        <v>1233</v>
      </c>
      <c r="D16" s="12" t="s">
        <v>1234</v>
      </c>
      <c r="E16" s="12">
        <f>+971505560944</f>
        <v>971505560944</v>
      </c>
      <c r="F16" s="12" t="s">
        <v>1235</v>
      </c>
      <c r="G16" s="12" t="s">
        <v>1202</v>
      </c>
      <c r="H16" s="82"/>
    </row>
    <row r="17" ht="15.75" customHeight="1">
      <c r="A17" s="11">
        <v>43988.0</v>
      </c>
      <c r="B17" s="12" t="s">
        <v>1190</v>
      </c>
      <c r="C17" s="12" t="s">
        <v>1236</v>
      </c>
      <c r="D17" s="12" t="s">
        <v>1237</v>
      </c>
      <c r="E17" s="12">
        <f>+966530905025</f>
        <v>966530905025</v>
      </c>
      <c r="F17" s="12" t="s">
        <v>1238</v>
      </c>
      <c r="G17" s="12" t="s">
        <v>1194</v>
      </c>
      <c r="H17" s="82"/>
    </row>
    <row r="18" ht="15.75" customHeight="1">
      <c r="A18" s="11">
        <v>43988.0</v>
      </c>
      <c r="B18" s="12" t="s">
        <v>1190</v>
      </c>
      <c r="C18" s="83" t="s">
        <v>1239</v>
      </c>
      <c r="D18" s="83" t="s">
        <v>1240</v>
      </c>
      <c r="E18" s="12">
        <f>+97477176920</f>
        <v>97477176920</v>
      </c>
      <c r="F18" s="12" t="s">
        <v>1241</v>
      </c>
      <c r="G18" s="12" t="s">
        <v>1221</v>
      </c>
      <c r="H18" s="82"/>
    </row>
    <row r="19" ht="15.75" customHeight="1">
      <c r="A19" s="11">
        <v>43988.0</v>
      </c>
      <c r="B19" s="12" t="s">
        <v>1190</v>
      </c>
      <c r="C19" s="12" t="s">
        <v>1242</v>
      </c>
      <c r="D19" s="12" t="s">
        <v>1243</v>
      </c>
      <c r="E19" s="12">
        <f>+966565905287</f>
        <v>966565905287</v>
      </c>
      <c r="F19" s="12" t="s">
        <v>1244</v>
      </c>
      <c r="G19" s="12" t="s">
        <v>1211</v>
      </c>
      <c r="H19" s="82"/>
    </row>
    <row r="20" ht="15.75" customHeight="1">
      <c r="A20" s="11">
        <v>43988.0</v>
      </c>
      <c r="B20" s="12" t="s">
        <v>1190</v>
      </c>
      <c r="C20" s="12" t="s">
        <v>1245</v>
      </c>
      <c r="D20" s="12" t="s">
        <v>1192</v>
      </c>
      <c r="E20" s="12">
        <f>+97466558267</f>
        <v>97466558267</v>
      </c>
      <c r="F20" s="12" t="s">
        <v>1246</v>
      </c>
      <c r="G20" s="12" t="s">
        <v>1202</v>
      </c>
      <c r="H20" s="82"/>
    </row>
    <row r="21" ht="15.75" customHeight="1">
      <c r="A21" s="11">
        <v>43987.0</v>
      </c>
      <c r="B21" s="12" t="s">
        <v>1190</v>
      </c>
      <c r="C21" s="83" t="s">
        <v>1247</v>
      </c>
      <c r="D21" s="83" t="s">
        <v>1248</v>
      </c>
      <c r="E21" s="12">
        <f>+971563783694</f>
        <v>971563783694</v>
      </c>
      <c r="F21" s="12" t="s">
        <v>1249</v>
      </c>
      <c r="G21" s="12" t="s">
        <v>1202</v>
      </c>
      <c r="H21" s="82"/>
    </row>
    <row r="22" ht="15.75" customHeight="1">
      <c r="A22" s="11">
        <v>43987.0</v>
      </c>
      <c r="B22" s="12" t="s">
        <v>1190</v>
      </c>
      <c r="C22" s="12" t="s">
        <v>1250</v>
      </c>
      <c r="D22" s="12" t="s">
        <v>1251</v>
      </c>
      <c r="E22" s="12">
        <f>+9713630005</f>
        <v>9713630005</v>
      </c>
      <c r="F22" s="12" t="s">
        <v>1252</v>
      </c>
      <c r="G22" s="12" t="s">
        <v>1194</v>
      </c>
      <c r="H22" s="82"/>
    </row>
    <row r="23" ht="15.75" customHeight="1">
      <c r="A23" s="11">
        <v>43987.0</v>
      </c>
      <c r="B23" s="12" t="s">
        <v>1190</v>
      </c>
      <c r="C23" s="12" t="s">
        <v>27</v>
      </c>
      <c r="D23" s="12" t="s">
        <v>1253</v>
      </c>
      <c r="E23" s="12">
        <f>+9710566647995</f>
        <v>9710566647995</v>
      </c>
      <c r="F23" s="12" t="s">
        <v>1254</v>
      </c>
      <c r="G23" s="12" t="s">
        <v>1194</v>
      </c>
      <c r="H23" s="82"/>
    </row>
    <row r="24" ht="15.75" customHeight="1">
      <c r="A24" s="11">
        <v>43986.0</v>
      </c>
      <c r="B24" s="12" t="s">
        <v>1190</v>
      </c>
      <c r="C24" s="12" t="s">
        <v>1255</v>
      </c>
      <c r="D24" s="12" t="s">
        <v>1256</v>
      </c>
      <c r="E24" s="12">
        <f>+9660541929789</f>
        <v>9660541929789</v>
      </c>
      <c r="F24" s="12" t="s">
        <v>1257</v>
      </c>
      <c r="G24" s="12" t="s">
        <v>1194</v>
      </c>
      <c r="H24" s="82"/>
    </row>
    <row r="25" ht="15.75" customHeight="1">
      <c r="A25" s="11">
        <v>43986.0</v>
      </c>
      <c r="B25" s="12" t="s">
        <v>1190</v>
      </c>
      <c r="C25" s="12" t="s">
        <v>1258</v>
      </c>
      <c r="D25" s="12" t="s">
        <v>1259</v>
      </c>
      <c r="E25" s="12">
        <f>+97430139585</f>
        <v>97430139585</v>
      </c>
      <c r="F25" s="12" t="s">
        <v>1260</v>
      </c>
      <c r="G25" s="12" t="s">
        <v>1211</v>
      </c>
      <c r="H25" s="82"/>
    </row>
    <row r="26" ht="15.75" customHeight="1">
      <c r="A26" s="11">
        <v>43986.0</v>
      </c>
      <c r="B26" s="12" t="s">
        <v>1190</v>
      </c>
      <c r="C26" s="12" t="s">
        <v>42</v>
      </c>
      <c r="D26" s="12" t="s">
        <v>1261</v>
      </c>
      <c r="E26" s="12">
        <f>+9710559218481</f>
        <v>9710559218481</v>
      </c>
      <c r="F26" s="12" t="s">
        <v>1262</v>
      </c>
      <c r="G26" s="12" t="s">
        <v>1202</v>
      </c>
      <c r="H26" s="82"/>
    </row>
    <row r="27" ht="15.75" customHeight="1">
      <c r="A27" s="11">
        <v>43986.0</v>
      </c>
      <c r="B27" s="12" t="s">
        <v>1190</v>
      </c>
      <c r="C27" s="12" t="s">
        <v>1263</v>
      </c>
      <c r="D27" s="12" t="s">
        <v>1264</v>
      </c>
      <c r="E27" s="12">
        <f>+971557356736</f>
        <v>971557356736</v>
      </c>
      <c r="F27" s="12" t="s">
        <v>1265</v>
      </c>
      <c r="G27" s="12" t="s">
        <v>1194</v>
      </c>
      <c r="H27" s="82"/>
    </row>
    <row r="28" ht="15.75" customHeight="1">
      <c r="A28" s="11">
        <v>43985.0</v>
      </c>
      <c r="B28" s="12" t="s">
        <v>1190</v>
      </c>
      <c r="C28" s="83" t="s">
        <v>1266</v>
      </c>
      <c r="D28" s="83" t="s">
        <v>1267</v>
      </c>
      <c r="E28" s="12">
        <f>+97433400067</f>
        <v>97433400067</v>
      </c>
      <c r="F28" s="12" t="s">
        <v>1268</v>
      </c>
      <c r="G28" s="12" t="s">
        <v>1194</v>
      </c>
      <c r="H28" s="82"/>
    </row>
    <row r="29" ht="15.75" customHeight="1">
      <c r="A29" s="11">
        <v>43985.0</v>
      </c>
      <c r="B29" s="12" t="s">
        <v>1190</v>
      </c>
      <c r="C29" s="12" t="s">
        <v>1269</v>
      </c>
      <c r="D29" s="12" t="s">
        <v>199</v>
      </c>
      <c r="E29" s="12">
        <f>+9710527227225</f>
        <v>9710527227225</v>
      </c>
      <c r="F29" s="12" t="s">
        <v>1270</v>
      </c>
      <c r="G29" s="12" t="s">
        <v>1194</v>
      </c>
      <c r="H29" s="82"/>
    </row>
    <row r="30" ht="15.75" customHeight="1">
      <c r="A30" s="11">
        <v>43984.0</v>
      </c>
      <c r="B30" s="12" t="s">
        <v>1190</v>
      </c>
      <c r="C30" s="12" t="s">
        <v>1271</v>
      </c>
      <c r="D30" s="12" t="s">
        <v>199</v>
      </c>
      <c r="E30" s="12">
        <f>+97455428244</f>
        <v>97455428244</v>
      </c>
      <c r="F30" s="12" t="s">
        <v>1272</v>
      </c>
      <c r="G30" s="12" t="s">
        <v>1202</v>
      </c>
      <c r="H30" s="82"/>
    </row>
    <row r="31" ht="15.75" customHeight="1">
      <c r="A31" s="11">
        <v>43984.0</v>
      </c>
      <c r="B31" s="12" t="s">
        <v>1190</v>
      </c>
      <c r="C31" s="12" t="s">
        <v>1273</v>
      </c>
      <c r="D31" s="12" t="s">
        <v>1274</v>
      </c>
      <c r="E31" s="12">
        <f>+966569017999</f>
        <v>966569017999</v>
      </c>
      <c r="F31" s="12" t="s">
        <v>1275</v>
      </c>
      <c r="G31" s="12" t="s">
        <v>1202</v>
      </c>
      <c r="H31" s="82"/>
    </row>
    <row r="32" ht="15.75" customHeight="1">
      <c r="A32" s="11">
        <v>43984.0</v>
      </c>
      <c r="B32" s="12" t="s">
        <v>1190</v>
      </c>
      <c r="C32" s="12" t="s">
        <v>1276</v>
      </c>
      <c r="D32" s="12" t="s">
        <v>1277</v>
      </c>
      <c r="E32" s="12">
        <f>+966555593975</f>
        <v>966555593975</v>
      </c>
      <c r="F32" s="12" t="s">
        <v>1278</v>
      </c>
      <c r="G32" s="12" t="s">
        <v>1202</v>
      </c>
      <c r="H32" s="82"/>
    </row>
    <row r="33" ht="15.75" customHeight="1">
      <c r="A33" s="11">
        <v>43982.0</v>
      </c>
      <c r="B33" s="12" t="s">
        <v>1190</v>
      </c>
      <c r="C33" s="12" t="s">
        <v>1279</v>
      </c>
      <c r="D33" s="12" t="s">
        <v>28</v>
      </c>
      <c r="E33" s="12">
        <f>+971565025042</f>
        <v>971565025042</v>
      </c>
      <c r="F33" s="12" t="s">
        <v>1280</v>
      </c>
      <c r="G33" s="12" t="s">
        <v>1194</v>
      </c>
      <c r="H33" s="82"/>
    </row>
    <row r="34" ht="15.75" customHeight="1">
      <c r="A34" s="11">
        <v>43982.0</v>
      </c>
      <c r="B34" s="12" t="s">
        <v>1190</v>
      </c>
      <c r="C34" s="12" t="s">
        <v>113</v>
      </c>
      <c r="D34" s="12" t="s">
        <v>1281</v>
      </c>
      <c r="E34" s="12">
        <f>+966569332493</f>
        <v>966569332493</v>
      </c>
      <c r="F34" s="12" t="s">
        <v>1282</v>
      </c>
      <c r="G34" s="12" t="s">
        <v>1194</v>
      </c>
      <c r="H34" s="82"/>
    </row>
    <row r="35" ht="15.75" customHeight="1">
      <c r="A35" s="11">
        <v>43981.0</v>
      </c>
      <c r="B35" s="12" t="s">
        <v>1190</v>
      </c>
      <c r="C35" s="12" t="s">
        <v>1283</v>
      </c>
      <c r="D35" s="12" t="s">
        <v>1284</v>
      </c>
      <c r="E35" s="12">
        <f>+97455312782</f>
        <v>97455312782</v>
      </c>
      <c r="F35" s="12" t="s">
        <v>1285</v>
      </c>
      <c r="G35" s="12" t="s">
        <v>1202</v>
      </c>
      <c r="H35" s="82"/>
    </row>
    <row r="36" ht="15.75" customHeight="1">
      <c r="A36" s="11">
        <v>43981.0</v>
      </c>
      <c r="B36" s="12" t="s">
        <v>1190</v>
      </c>
      <c r="C36" s="12" t="s">
        <v>1286</v>
      </c>
      <c r="D36" s="12" t="s">
        <v>1287</v>
      </c>
      <c r="E36" s="12">
        <f>+9660561190544</f>
        <v>9660561190544</v>
      </c>
      <c r="F36" s="12" t="s">
        <v>1288</v>
      </c>
      <c r="G36" s="12" t="s">
        <v>1194</v>
      </c>
      <c r="H36" s="82"/>
    </row>
    <row r="37" ht="15.75" customHeight="1">
      <c r="A37" s="11">
        <v>43981.0</v>
      </c>
      <c r="B37" s="12" t="s">
        <v>1190</v>
      </c>
      <c r="C37" s="12" t="s">
        <v>1206</v>
      </c>
      <c r="D37" s="12" t="s">
        <v>1289</v>
      </c>
      <c r="E37" s="12">
        <f>+97433253433</f>
        <v>97433253433</v>
      </c>
      <c r="F37" s="12" t="s">
        <v>1290</v>
      </c>
      <c r="G37" s="12" t="s">
        <v>1194</v>
      </c>
      <c r="H37" s="82"/>
    </row>
    <row r="38" ht="15.75" customHeight="1">
      <c r="A38" s="11">
        <v>43981.0</v>
      </c>
      <c r="B38" s="12" t="s">
        <v>1190</v>
      </c>
      <c r="C38" s="12" t="s">
        <v>1291</v>
      </c>
      <c r="D38" s="12" t="s">
        <v>1292</v>
      </c>
      <c r="E38" s="12">
        <f>+9710509971142</f>
        <v>9710509971142</v>
      </c>
      <c r="F38" s="12" t="s">
        <v>1293</v>
      </c>
      <c r="G38" s="12" t="s">
        <v>1194</v>
      </c>
      <c r="H38" s="82"/>
    </row>
    <row r="39" ht="15.75" customHeight="1">
      <c r="A39" s="11">
        <v>43981.0</v>
      </c>
      <c r="B39" s="12" t="s">
        <v>1190</v>
      </c>
      <c r="C39" s="12" t="s">
        <v>1206</v>
      </c>
      <c r="D39" s="12" t="s">
        <v>1294</v>
      </c>
      <c r="E39" s="12">
        <f>+966549875501</f>
        <v>966549875501</v>
      </c>
      <c r="F39" s="12" t="s">
        <v>1295</v>
      </c>
      <c r="G39" s="12" t="s">
        <v>1202</v>
      </c>
      <c r="H39" s="82"/>
    </row>
    <row r="40" ht="15.75" customHeight="1">
      <c r="A40" s="11">
        <v>43981.0</v>
      </c>
      <c r="B40" s="12" t="s">
        <v>1190</v>
      </c>
      <c r="C40" s="12" t="s">
        <v>1296</v>
      </c>
      <c r="D40" s="12" t="s">
        <v>1297</v>
      </c>
      <c r="E40" s="12">
        <f>+966502951324</f>
        <v>966502951324</v>
      </c>
      <c r="F40" s="12" t="s">
        <v>1298</v>
      </c>
      <c r="G40" s="12" t="s">
        <v>1194</v>
      </c>
      <c r="H40" s="82"/>
    </row>
    <row r="41" ht="15.75" customHeight="1">
      <c r="A41" s="11">
        <v>43981.0</v>
      </c>
      <c r="B41" s="12" t="s">
        <v>1190</v>
      </c>
      <c r="C41" s="12" t="s">
        <v>125</v>
      </c>
      <c r="D41" s="12" t="s">
        <v>1299</v>
      </c>
      <c r="E41" s="12">
        <f>+9710555513809</f>
        <v>9710555513809</v>
      </c>
      <c r="F41" s="12" t="s">
        <v>1300</v>
      </c>
      <c r="G41" s="12" t="s">
        <v>1194</v>
      </c>
      <c r="H41" s="82"/>
    </row>
    <row r="42" ht="15.75" customHeight="1">
      <c r="A42" s="11">
        <v>43981.0</v>
      </c>
      <c r="B42" s="12" t="s">
        <v>1190</v>
      </c>
      <c r="C42" s="12" t="s">
        <v>125</v>
      </c>
      <c r="D42" s="12" t="s">
        <v>1301</v>
      </c>
      <c r="E42" s="12">
        <f>+966530866683</f>
        <v>966530866683</v>
      </c>
      <c r="F42" s="12" t="s">
        <v>1302</v>
      </c>
      <c r="G42" s="12" t="s">
        <v>1221</v>
      </c>
      <c r="H42" s="82"/>
    </row>
    <row r="43" ht="15.75" customHeight="1">
      <c r="A43" s="11">
        <v>43980.0</v>
      </c>
      <c r="B43" s="12" t="s">
        <v>1190</v>
      </c>
      <c r="C43" s="12" t="s">
        <v>27</v>
      </c>
      <c r="D43" s="12" t="s">
        <v>1303</v>
      </c>
      <c r="E43" s="12">
        <f>+971509680914</f>
        <v>971509680914</v>
      </c>
      <c r="F43" s="12" t="s">
        <v>1304</v>
      </c>
      <c r="G43" s="12" t="s">
        <v>1202</v>
      </c>
      <c r="H43" s="82"/>
    </row>
    <row r="44" ht="15.75" customHeight="1">
      <c r="A44" s="11">
        <v>43980.0</v>
      </c>
      <c r="B44" s="12" t="s">
        <v>1190</v>
      </c>
      <c r="C44" s="12" t="s">
        <v>1224</v>
      </c>
      <c r="D44" s="12" t="s">
        <v>1305</v>
      </c>
      <c r="E44" s="12">
        <f>+966592630730</f>
        <v>966592630730</v>
      </c>
      <c r="F44" s="12" t="s">
        <v>1306</v>
      </c>
      <c r="G44" s="12" t="s">
        <v>1211</v>
      </c>
      <c r="H44" s="82"/>
    </row>
    <row r="45" ht="15.75" customHeight="1">
      <c r="A45" s="11">
        <v>43980.0</v>
      </c>
      <c r="B45" s="12" t="s">
        <v>1190</v>
      </c>
      <c r="C45" s="12" t="s">
        <v>1307</v>
      </c>
      <c r="D45" s="12" t="s">
        <v>1196</v>
      </c>
      <c r="E45" s="12">
        <f>+971555559292</f>
        <v>971555559292</v>
      </c>
      <c r="F45" s="12" t="s">
        <v>1308</v>
      </c>
      <c r="G45" s="12" t="s">
        <v>1194</v>
      </c>
      <c r="H45" s="82"/>
    </row>
    <row r="46" ht="15.75" customHeight="1">
      <c r="A46" s="11">
        <v>43980.0</v>
      </c>
      <c r="B46" s="12" t="s">
        <v>1190</v>
      </c>
      <c r="C46" s="12" t="s">
        <v>1309</v>
      </c>
      <c r="D46" s="12" t="s">
        <v>1310</v>
      </c>
      <c r="E46" s="12">
        <f>+447956236317</f>
        <v>447956236317</v>
      </c>
      <c r="F46" s="12" t="s">
        <v>1311</v>
      </c>
      <c r="G46" s="12" t="s">
        <v>1194</v>
      </c>
      <c r="H46" s="82"/>
    </row>
    <row r="47" ht="15.75" customHeight="1">
      <c r="A47" s="11">
        <v>43979.0</v>
      </c>
      <c r="B47" s="12" t="s">
        <v>1190</v>
      </c>
      <c r="C47" s="12" t="s">
        <v>1312</v>
      </c>
      <c r="D47" s="12" t="s">
        <v>1313</v>
      </c>
      <c r="E47" s="12">
        <f>+971503525598</f>
        <v>971503525598</v>
      </c>
      <c r="F47" s="12" t="s">
        <v>1314</v>
      </c>
      <c r="G47" s="12" t="s">
        <v>1221</v>
      </c>
      <c r="H47" s="82"/>
    </row>
    <row r="48" ht="15.75" customHeight="1">
      <c r="A48" s="11">
        <v>43979.0</v>
      </c>
      <c r="B48" s="12" t="s">
        <v>1190</v>
      </c>
      <c r="C48" s="12" t="s">
        <v>113</v>
      </c>
      <c r="D48" s="12" t="s">
        <v>1315</v>
      </c>
      <c r="E48" s="12">
        <f>+9710508088399</f>
        <v>9710508088399</v>
      </c>
      <c r="F48" s="12" t="s">
        <v>1316</v>
      </c>
      <c r="G48" s="12" t="s">
        <v>1211</v>
      </c>
      <c r="H48" s="82"/>
    </row>
    <row r="49" ht="15.75" customHeight="1">
      <c r="A49" s="11">
        <v>43979.0</v>
      </c>
      <c r="B49" s="12" t="s">
        <v>1190</v>
      </c>
      <c r="C49" s="12" t="s">
        <v>1317</v>
      </c>
      <c r="D49" s="12" t="s">
        <v>1318</v>
      </c>
      <c r="E49" s="12">
        <f>+966543111888</f>
        <v>966543111888</v>
      </c>
      <c r="F49" s="12" t="s">
        <v>1319</v>
      </c>
      <c r="G49" s="12" t="s">
        <v>1194</v>
      </c>
      <c r="H49" s="82"/>
    </row>
    <row r="50" ht="15.75" customHeight="1">
      <c r="A50" s="11">
        <v>43978.0</v>
      </c>
      <c r="B50" s="12" t="s">
        <v>1190</v>
      </c>
      <c r="C50" s="12" t="s">
        <v>1320</v>
      </c>
      <c r="D50" s="12" t="s">
        <v>1206</v>
      </c>
      <c r="E50" s="12">
        <f>+966553880987</f>
        <v>966553880987</v>
      </c>
      <c r="F50" s="12" t="s">
        <v>1321</v>
      </c>
      <c r="G50" s="12" t="s">
        <v>1221</v>
      </c>
      <c r="H50" s="82"/>
    </row>
    <row r="51" ht="15.75" customHeight="1">
      <c r="A51" s="11">
        <v>43978.0</v>
      </c>
      <c r="B51" s="12" t="s">
        <v>1190</v>
      </c>
      <c r="C51" s="12" t="s">
        <v>125</v>
      </c>
      <c r="D51" s="12" t="s">
        <v>1322</v>
      </c>
      <c r="E51" s="12">
        <f>+971564555832</f>
        <v>971564555832</v>
      </c>
      <c r="F51" s="12" t="s">
        <v>1323</v>
      </c>
      <c r="G51" s="12" t="s">
        <v>1211</v>
      </c>
      <c r="H51" s="82"/>
    </row>
    <row r="52" ht="15.75" customHeight="1">
      <c r="A52" s="11">
        <v>43978.0</v>
      </c>
      <c r="B52" s="12" t="s">
        <v>1190</v>
      </c>
      <c r="C52" s="12" t="s">
        <v>42</v>
      </c>
      <c r="D52" s="12" t="s">
        <v>1324</v>
      </c>
      <c r="E52" s="12">
        <f>+971526720538</f>
        <v>971526720538</v>
      </c>
      <c r="F52" s="12" t="s">
        <v>1325</v>
      </c>
      <c r="G52" s="12" t="s">
        <v>1194</v>
      </c>
      <c r="H52" s="82"/>
    </row>
    <row r="53" ht="15.75" customHeight="1">
      <c r="A53" s="11">
        <v>43978.0</v>
      </c>
      <c r="B53" s="12" t="s">
        <v>1190</v>
      </c>
      <c r="C53" s="12" t="s">
        <v>1312</v>
      </c>
      <c r="D53" s="12" t="s">
        <v>1326</v>
      </c>
      <c r="E53" s="12">
        <f>+971555391231</f>
        <v>971555391231</v>
      </c>
      <c r="F53" s="12" t="s">
        <v>1327</v>
      </c>
      <c r="G53" s="12" t="s">
        <v>1211</v>
      </c>
      <c r="H53" s="82"/>
    </row>
    <row r="54" ht="15.75" customHeight="1">
      <c r="A54" s="11">
        <v>43978.0</v>
      </c>
      <c r="B54" s="12" t="s">
        <v>1190</v>
      </c>
      <c r="C54" s="12" t="s">
        <v>173</v>
      </c>
      <c r="D54" s="12" t="s">
        <v>1328</v>
      </c>
      <c r="E54" s="12">
        <f>+97470055931</f>
        <v>97470055931</v>
      </c>
      <c r="F54" s="12" t="s">
        <v>1329</v>
      </c>
      <c r="G54" s="12" t="s">
        <v>1221</v>
      </c>
      <c r="H54" s="82"/>
    </row>
    <row r="55" ht="15.75" customHeight="1">
      <c r="A55" s="11">
        <v>43977.0</v>
      </c>
      <c r="B55" s="12" t="s">
        <v>1190</v>
      </c>
      <c r="C55" s="12" t="s">
        <v>42</v>
      </c>
      <c r="D55" s="12" t="s">
        <v>1330</v>
      </c>
      <c r="E55" s="12">
        <f>+966564919202</f>
        <v>966564919202</v>
      </c>
      <c r="F55" s="12" t="s">
        <v>1331</v>
      </c>
      <c r="G55" s="12" t="s">
        <v>1221</v>
      </c>
      <c r="H55" s="82"/>
    </row>
    <row r="56" ht="15.75" customHeight="1">
      <c r="A56" s="11">
        <v>43976.0</v>
      </c>
      <c r="B56" s="12" t="s">
        <v>1190</v>
      </c>
      <c r="C56" s="12" t="s">
        <v>1332</v>
      </c>
      <c r="D56" s="12" t="s">
        <v>1333</v>
      </c>
      <c r="E56" s="12">
        <f>+971557281261</f>
        <v>971557281261</v>
      </c>
      <c r="F56" s="12" t="s">
        <v>1334</v>
      </c>
      <c r="G56" s="12" t="s">
        <v>1221</v>
      </c>
      <c r="H56" s="82"/>
    </row>
    <row r="57" ht="15.75" customHeight="1">
      <c r="A57" s="11">
        <v>43976.0</v>
      </c>
      <c r="B57" s="12" t="s">
        <v>1190</v>
      </c>
      <c r="C57" s="12" t="s">
        <v>1335</v>
      </c>
      <c r="D57" s="12" t="s">
        <v>1336</v>
      </c>
      <c r="E57" s="12">
        <f>+9660505177005</f>
        <v>9660505177005</v>
      </c>
      <c r="F57" s="12" t="s">
        <v>1337</v>
      </c>
      <c r="G57" s="12" t="s">
        <v>1202</v>
      </c>
      <c r="H57" s="82"/>
    </row>
    <row r="58" ht="15.75" customHeight="1">
      <c r="A58" s="11">
        <v>43975.0</v>
      </c>
      <c r="B58" s="12" t="s">
        <v>1190</v>
      </c>
      <c r="C58" s="12" t="s">
        <v>173</v>
      </c>
      <c r="D58" s="12" t="s">
        <v>1338</v>
      </c>
      <c r="E58" s="12">
        <f>+97455754006</f>
        <v>97455754006</v>
      </c>
      <c r="F58" s="12" t="s">
        <v>1339</v>
      </c>
      <c r="G58" s="12" t="s">
        <v>1194</v>
      </c>
      <c r="H58" s="82"/>
    </row>
    <row r="59" ht="15.75" customHeight="1">
      <c r="A59" s="11">
        <v>43975.0</v>
      </c>
      <c r="B59" s="12" t="s">
        <v>1190</v>
      </c>
      <c r="C59" s="12" t="s">
        <v>1340</v>
      </c>
      <c r="D59" s="12" t="s">
        <v>1341</v>
      </c>
      <c r="E59" s="12">
        <f>+971559915882</f>
        <v>971559915882</v>
      </c>
      <c r="F59" s="12" t="s">
        <v>1342</v>
      </c>
      <c r="G59" s="12" t="s">
        <v>1194</v>
      </c>
      <c r="H59" s="82"/>
    </row>
    <row r="60" ht="15.75" customHeight="1">
      <c r="A60" s="11">
        <v>43975.0</v>
      </c>
      <c r="B60" s="12" t="s">
        <v>1190</v>
      </c>
      <c r="C60" s="83" t="s">
        <v>1343</v>
      </c>
      <c r="D60" s="12" t="s">
        <v>1206</v>
      </c>
      <c r="E60" s="12">
        <f>+971506404220</f>
        <v>971506404220</v>
      </c>
      <c r="F60" s="12" t="s">
        <v>1344</v>
      </c>
      <c r="G60" s="12" t="s">
        <v>1202</v>
      </c>
      <c r="H60" s="82"/>
    </row>
    <row r="61" ht="15.75" customHeight="1">
      <c r="A61" s="11">
        <v>43974.0</v>
      </c>
      <c r="B61" s="12" t="s">
        <v>1190</v>
      </c>
      <c r="C61" s="12" t="s">
        <v>1345</v>
      </c>
      <c r="D61" s="12" t="s">
        <v>1206</v>
      </c>
      <c r="E61" s="12">
        <f>+97455686727</f>
        <v>97455686727</v>
      </c>
      <c r="F61" s="12" t="s">
        <v>1346</v>
      </c>
      <c r="G61" s="12" t="s">
        <v>1194</v>
      </c>
      <c r="H61" s="82"/>
    </row>
    <row r="62" ht="15.75" customHeight="1">
      <c r="A62" s="11">
        <v>43974.0</v>
      </c>
      <c r="B62" s="12" t="s">
        <v>1190</v>
      </c>
      <c r="C62" s="12" t="s">
        <v>1206</v>
      </c>
      <c r="D62" s="12" t="s">
        <v>1347</v>
      </c>
      <c r="E62" s="12">
        <f>+971555537260</f>
        <v>971555537260</v>
      </c>
      <c r="F62" s="12" t="s">
        <v>1348</v>
      </c>
      <c r="G62" s="12" t="s">
        <v>1211</v>
      </c>
      <c r="H62" s="82"/>
    </row>
    <row r="63" ht="15.75" customHeight="1">
      <c r="A63" s="11">
        <v>43974.0</v>
      </c>
      <c r="B63" s="12" t="s">
        <v>1190</v>
      </c>
      <c r="C63" s="12" t="s">
        <v>125</v>
      </c>
      <c r="D63" s="12" t="s">
        <v>1349</v>
      </c>
      <c r="E63" s="12">
        <f>+966536024245</f>
        <v>966536024245</v>
      </c>
      <c r="F63" s="12" t="s">
        <v>1350</v>
      </c>
      <c r="G63" s="12" t="s">
        <v>1194</v>
      </c>
      <c r="H63" s="82"/>
    </row>
    <row r="64" ht="15.75" customHeight="1">
      <c r="A64" s="11">
        <v>43973.0</v>
      </c>
      <c r="B64" s="12" t="s">
        <v>1190</v>
      </c>
      <c r="C64" s="12" t="s">
        <v>1351</v>
      </c>
      <c r="D64" s="12" t="s">
        <v>1352</v>
      </c>
      <c r="E64" s="12">
        <f>+966503457189</f>
        <v>966503457189</v>
      </c>
      <c r="F64" s="12" t="s">
        <v>1353</v>
      </c>
      <c r="G64" s="12" t="s">
        <v>1221</v>
      </c>
      <c r="H64" s="82"/>
    </row>
    <row r="65" ht="15.75" customHeight="1">
      <c r="A65" s="11">
        <v>43973.0</v>
      </c>
      <c r="B65" s="12" t="s">
        <v>1190</v>
      </c>
      <c r="C65" s="12" t="s">
        <v>1354</v>
      </c>
      <c r="D65" s="12" t="s">
        <v>163</v>
      </c>
      <c r="E65" s="12">
        <f>+97450220989</f>
        <v>97450220989</v>
      </c>
      <c r="F65" s="12" t="s">
        <v>1355</v>
      </c>
      <c r="G65" s="12" t="s">
        <v>1194</v>
      </c>
      <c r="H65" s="82"/>
    </row>
    <row r="66" ht="15.75" customHeight="1">
      <c r="A66" s="11">
        <v>43973.0</v>
      </c>
      <c r="B66" s="12" t="s">
        <v>1190</v>
      </c>
      <c r="C66" s="12" t="s">
        <v>1236</v>
      </c>
      <c r="D66" s="12" t="s">
        <v>1356</v>
      </c>
      <c r="E66" s="12">
        <f>+966505253624</f>
        <v>966505253624</v>
      </c>
      <c r="F66" s="12" t="s">
        <v>1357</v>
      </c>
      <c r="G66" s="12" t="s">
        <v>1221</v>
      </c>
      <c r="H66" s="82"/>
    </row>
    <row r="67" ht="15.75" customHeight="1">
      <c r="A67" s="11">
        <v>43973.0</v>
      </c>
      <c r="B67" s="12" t="s">
        <v>1190</v>
      </c>
      <c r="C67" s="12" t="s">
        <v>125</v>
      </c>
      <c r="D67" s="12" t="s">
        <v>1358</v>
      </c>
      <c r="E67" s="12">
        <f>+9710508078410</f>
        <v>9710508078410</v>
      </c>
      <c r="F67" s="12" t="s">
        <v>1359</v>
      </c>
      <c r="G67" s="12" t="s">
        <v>1211</v>
      </c>
      <c r="H67" s="82"/>
    </row>
    <row r="68" ht="15.75" customHeight="1">
      <c r="A68" s="11">
        <v>43973.0</v>
      </c>
      <c r="B68" s="12" t="s">
        <v>1190</v>
      </c>
      <c r="C68" s="12" t="s">
        <v>1317</v>
      </c>
      <c r="D68" s="12" t="s">
        <v>1360</v>
      </c>
      <c r="E68" s="12">
        <f>+966555520609</f>
        <v>966555520609</v>
      </c>
      <c r="F68" s="12" t="s">
        <v>1361</v>
      </c>
      <c r="G68" s="12" t="s">
        <v>1221</v>
      </c>
      <c r="H68" s="82"/>
    </row>
    <row r="69" ht="15.75" customHeight="1">
      <c r="A69" s="11">
        <v>43971.0</v>
      </c>
      <c r="B69" s="12" t="s">
        <v>1190</v>
      </c>
      <c r="C69" s="12" t="s">
        <v>1362</v>
      </c>
      <c r="D69" s="12" t="s">
        <v>1363</v>
      </c>
      <c r="E69" s="12">
        <f>+9710552006428</f>
        <v>9710552006428</v>
      </c>
      <c r="F69" s="12" t="s">
        <v>1364</v>
      </c>
      <c r="G69" s="12" t="s">
        <v>1211</v>
      </c>
      <c r="H69" s="82"/>
    </row>
    <row r="70" ht="15.75" customHeight="1">
      <c r="A70" s="11">
        <v>43971.0</v>
      </c>
      <c r="B70" s="12" t="s">
        <v>1190</v>
      </c>
      <c r="C70" s="12" t="s">
        <v>1365</v>
      </c>
      <c r="D70" s="12" t="s">
        <v>1366</v>
      </c>
      <c r="E70" s="12">
        <f>+97455828500</f>
        <v>97455828500</v>
      </c>
      <c r="F70" s="12" t="s">
        <v>1367</v>
      </c>
      <c r="G70" s="12" t="s">
        <v>1202</v>
      </c>
      <c r="H70" s="82"/>
    </row>
    <row r="71" ht="15.75" customHeight="1">
      <c r="A71" s="11">
        <v>43971.0</v>
      </c>
      <c r="B71" s="12" t="s">
        <v>1190</v>
      </c>
      <c r="C71" s="12" t="s">
        <v>1368</v>
      </c>
      <c r="D71" s="12" t="s">
        <v>1369</v>
      </c>
      <c r="E71" s="12">
        <f>+971506534009</f>
        <v>971506534009</v>
      </c>
      <c r="F71" s="12" t="s">
        <v>1370</v>
      </c>
      <c r="G71" s="12" t="s">
        <v>1211</v>
      </c>
      <c r="H71" s="82"/>
    </row>
    <row r="72" ht="15.75" customHeight="1">
      <c r="A72" s="11">
        <v>43970.0</v>
      </c>
      <c r="B72" s="12" t="s">
        <v>1190</v>
      </c>
      <c r="C72" s="12" t="s">
        <v>1371</v>
      </c>
      <c r="D72" s="12" t="s">
        <v>1372</v>
      </c>
      <c r="E72" s="12">
        <f>+9660505901848</f>
        <v>9660505901848</v>
      </c>
      <c r="F72" s="12" t="s">
        <v>1373</v>
      </c>
      <c r="G72" s="12" t="s">
        <v>1211</v>
      </c>
      <c r="H72" s="82"/>
    </row>
    <row r="73" ht="15.75" customHeight="1">
      <c r="A73" s="11">
        <v>43970.0</v>
      </c>
      <c r="B73" s="12" t="s">
        <v>1190</v>
      </c>
      <c r="C73" s="12" t="s">
        <v>125</v>
      </c>
      <c r="D73" s="12" t="s">
        <v>1374</v>
      </c>
      <c r="E73" s="12">
        <f>+97466161415</f>
        <v>97466161415</v>
      </c>
      <c r="F73" s="12" t="s">
        <v>1375</v>
      </c>
      <c r="G73" s="12" t="s">
        <v>1211</v>
      </c>
      <c r="H73" s="82"/>
    </row>
    <row r="74" ht="15.75" customHeight="1">
      <c r="A74" s="11">
        <v>43970.0</v>
      </c>
      <c r="B74" s="12" t="s">
        <v>1190</v>
      </c>
      <c r="C74" s="12" t="s">
        <v>256</v>
      </c>
      <c r="D74" s="12" t="s">
        <v>1376</v>
      </c>
      <c r="E74" s="12">
        <f>+97455844012</f>
        <v>97455844012</v>
      </c>
      <c r="F74" s="12" t="s">
        <v>1377</v>
      </c>
      <c r="G74" s="12" t="s">
        <v>1194</v>
      </c>
      <c r="H74" s="82"/>
    </row>
    <row r="75" ht="15.75" customHeight="1">
      <c r="A75" s="11">
        <v>43970.0</v>
      </c>
      <c r="B75" s="12" t="s">
        <v>1190</v>
      </c>
      <c r="C75" s="12" t="s">
        <v>1378</v>
      </c>
      <c r="D75" s="12" t="s">
        <v>1379</v>
      </c>
      <c r="E75" s="12">
        <f>+966559003433</f>
        <v>966559003433</v>
      </c>
      <c r="F75" s="12" t="s">
        <v>1380</v>
      </c>
      <c r="G75" s="12" t="s">
        <v>1221</v>
      </c>
      <c r="H75" s="82"/>
    </row>
    <row r="76" ht="15.75" customHeight="1">
      <c r="A76" s="11">
        <v>43970.0</v>
      </c>
      <c r="B76" s="12" t="s">
        <v>1190</v>
      </c>
      <c r="C76" s="12" t="s">
        <v>1381</v>
      </c>
      <c r="D76" s="12" t="s">
        <v>1382</v>
      </c>
      <c r="E76" s="12">
        <f>+971506342714</f>
        <v>971506342714</v>
      </c>
      <c r="F76" s="12" t="s">
        <v>1383</v>
      </c>
      <c r="G76" s="12" t="s">
        <v>1194</v>
      </c>
      <c r="H76" s="82"/>
    </row>
    <row r="77" ht="15.75" customHeight="1">
      <c r="A77" s="11">
        <v>43970.0</v>
      </c>
      <c r="B77" s="12" t="s">
        <v>1190</v>
      </c>
      <c r="C77" s="12" t="s">
        <v>1384</v>
      </c>
      <c r="D77" s="12" t="s">
        <v>1385</v>
      </c>
      <c r="E77" s="12">
        <f>+9710557008246</f>
        <v>9710557008246</v>
      </c>
      <c r="F77" s="12" t="s">
        <v>1386</v>
      </c>
      <c r="G77" s="12" t="s">
        <v>1221</v>
      </c>
      <c r="H77" s="82"/>
    </row>
    <row r="78" ht="15.75" customHeight="1">
      <c r="A78" s="11">
        <v>43969.0</v>
      </c>
      <c r="B78" s="12" t="s">
        <v>1190</v>
      </c>
      <c r="C78" s="12" t="s">
        <v>1387</v>
      </c>
      <c r="D78" s="12" t="s">
        <v>1388</v>
      </c>
      <c r="E78" s="12">
        <f>+9710504525317</f>
        <v>9710504525317</v>
      </c>
      <c r="F78" s="12" t="s">
        <v>1389</v>
      </c>
      <c r="G78" s="12" t="s">
        <v>1202</v>
      </c>
      <c r="H78" s="82"/>
    </row>
    <row r="79" ht="15.75" customHeight="1">
      <c r="A79" s="11">
        <v>43969.0</v>
      </c>
      <c r="B79" s="12" t="s">
        <v>1190</v>
      </c>
      <c r="C79" s="12" t="s">
        <v>1206</v>
      </c>
      <c r="D79" s="12" t="s">
        <v>1390</v>
      </c>
      <c r="E79" s="12">
        <f>+9715886593427</f>
        <v>9715886593427</v>
      </c>
      <c r="F79" s="12" t="s">
        <v>1391</v>
      </c>
      <c r="G79" s="12" t="s">
        <v>1194</v>
      </c>
      <c r="H79" s="82"/>
    </row>
    <row r="80" ht="15.75" customHeight="1">
      <c r="A80" s="11">
        <v>43968.0</v>
      </c>
      <c r="B80" s="12" t="s">
        <v>1190</v>
      </c>
      <c r="C80" s="12" t="s">
        <v>1212</v>
      </c>
      <c r="D80" s="12" t="s">
        <v>1392</v>
      </c>
      <c r="E80" s="12">
        <f>+971506868584</f>
        <v>971506868584</v>
      </c>
      <c r="F80" s="12" t="s">
        <v>1393</v>
      </c>
      <c r="G80" s="12" t="s">
        <v>1194</v>
      </c>
      <c r="H80" s="82"/>
    </row>
    <row r="81" ht="15.75" customHeight="1">
      <c r="A81" s="11">
        <v>43968.0</v>
      </c>
      <c r="B81" s="12" t="s">
        <v>1190</v>
      </c>
      <c r="C81" s="12" t="s">
        <v>1394</v>
      </c>
      <c r="D81" s="12" t="s">
        <v>125</v>
      </c>
      <c r="E81" s="12">
        <f>+9710509005851</f>
        <v>9710509005851</v>
      </c>
      <c r="F81" s="12" t="s">
        <v>1395</v>
      </c>
      <c r="G81" s="12" t="s">
        <v>1194</v>
      </c>
      <c r="H81" s="82"/>
    </row>
    <row r="82" ht="15.75" customHeight="1">
      <c r="A82" s="11">
        <v>43968.0</v>
      </c>
      <c r="B82" s="12" t="s">
        <v>1190</v>
      </c>
      <c r="C82" s="12" t="s">
        <v>1396</v>
      </c>
      <c r="D82" s="12" t="s">
        <v>274</v>
      </c>
      <c r="E82" s="12">
        <f>+966552020882</f>
        <v>966552020882</v>
      </c>
      <c r="F82" s="12" t="s">
        <v>1397</v>
      </c>
      <c r="G82" s="12" t="s">
        <v>1194</v>
      </c>
      <c r="H82" s="82"/>
    </row>
    <row r="83" ht="15.75" customHeight="1">
      <c r="A83" s="11">
        <v>43967.0</v>
      </c>
      <c r="B83" s="12" t="s">
        <v>1190</v>
      </c>
      <c r="C83" s="12" t="s">
        <v>1398</v>
      </c>
      <c r="D83" s="12" t="s">
        <v>1399</v>
      </c>
      <c r="E83" s="12">
        <f>+97466749095</f>
        <v>97466749095</v>
      </c>
      <c r="F83" s="12" t="s">
        <v>1400</v>
      </c>
      <c r="G83" s="12" t="s">
        <v>1202</v>
      </c>
      <c r="H83" s="82"/>
    </row>
    <row r="84" ht="15.75" customHeight="1">
      <c r="A84" s="11">
        <v>43967.0</v>
      </c>
      <c r="B84" s="12" t="s">
        <v>1190</v>
      </c>
      <c r="C84" s="12" t="s">
        <v>1401</v>
      </c>
      <c r="D84" s="12" t="s">
        <v>1402</v>
      </c>
      <c r="E84" s="12">
        <f>+2001004639364</f>
        <v>2001004639364</v>
      </c>
      <c r="F84" s="12" t="s">
        <v>1403</v>
      </c>
      <c r="G84" s="12" t="s">
        <v>1194</v>
      </c>
      <c r="H84" s="82"/>
    </row>
    <row r="85" ht="15.75" customHeight="1">
      <c r="A85" s="11">
        <v>43967.0</v>
      </c>
      <c r="B85" s="12" t="s">
        <v>1190</v>
      </c>
      <c r="C85" s="12" t="s">
        <v>125</v>
      </c>
      <c r="D85" s="12" t="s">
        <v>1404</v>
      </c>
      <c r="E85" s="12">
        <f>+971553233839</f>
        <v>971553233839</v>
      </c>
      <c r="F85" s="12" t="s">
        <v>1405</v>
      </c>
      <c r="G85" s="12" t="s">
        <v>1221</v>
      </c>
      <c r="H85" s="82"/>
    </row>
    <row r="86" ht="15.75" customHeight="1">
      <c r="A86" s="11">
        <v>43967.0</v>
      </c>
      <c r="B86" s="12" t="s">
        <v>1190</v>
      </c>
      <c r="C86" s="12" t="s">
        <v>1406</v>
      </c>
      <c r="D86" s="12" t="s">
        <v>1407</v>
      </c>
      <c r="E86" s="12">
        <f>+966507702735</f>
        <v>966507702735</v>
      </c>
      <c r="F86" s="12" t="s">
        <v>1408</v>
      </c>
      <c r="G86" s="12" t="s">
        <v>1211</v>
      </c>
      <c r="H86" s="82"/>
    </row>
    <row r="87" ht="15.75" customHeight="1">
      <c r="A87" s="11">
        <v>43967.0</v>
      </c>
      <c r="B87" s="12" t="s">
        <v>1190</v>
      </c>
      <c r="C87" s="12" t="s">
        <v>1312</v>
      </c>
      <c r="D87" s="12" t="s">
        <v>1409</v>
      </c>
      <c r="E87" s="12">
        <f>+971528764705</f>
        <v>971528764705</v>
      </c>
      <c r="F87" s="12" t="s">
        <v>1410</v>
      </c>
      <c r="G87" s="12" t="s">
        <v>1202</v>
      </c>
      <c r="H87" s="82"/>
    </row>
    <row r="88" ht="15.75" customHeight="1">
      <c r="A88" s="11">
        <v>43967.0</v>
      </c>
      <c r="B88" s="12" t="s">
        <v>1190</v>
      </c>
      <c r="C88" s="12" t="s">
        <v>1411</v>
      </c>
      <c r="D88" s="12" t="s">
        <v>1412</v>
      </c>
      <c r="E88" s="12">
        <f>+9660560582324</f>
        <v>9660560582324</v>
      </c>
      <c r="F88" s="12" t="s">
        <v>1413</v>
      </c>
      <c r="G88" s="12" t="s">
        <v>1211</v>
      </c>
      <c r="H88" s="82"/>
    </row>
    <row r="89" ht="15.75" customHeight="1">
      <c r="A89" s="11">
        <v>43967.0</v>
      </c>
      <c r="B89" s="12" t="s">
        <v>1190</v>
      </c>
      <c r="C89" s="12" t="s">
        <v>1224</v>
      </c>
      <c r="D89" s="12" t="s">
        <v>1414</v>
      </c>
      <c r="E89" s="12">
        <f>+9710529004544</f>
        <v>9710529004544</v>
      </c>
      <c r="F89" s="12" t="s">
        <v>1415</v>
      </c>
      <c r="G89" s="12" t="s">
        <v>1211</v>
      </c>
      <c r="H89" s="82"/>
    </row>
    <row r="90" ht="15.75" customHeight="1">
      <c r="A90" s="11">
        <v>43965.0</v>
      </c>
      <c r="B90" s="12" t="s">
        <v>1190</v>
      </c>
      <c r="C90" s="12" t="s">
        <v>1416</v>
      </c>
      <c r="D90" s="12" t="s">
        <v>1417</v>
      </c>
      <c r="E90" s="12">
        <f>+97455176462</f>
        <v>97455176462</v>
      </c>
      <c r="F90" s="12" t="s">
        <v>1418</v>
      </c>
      <c r="G90" s="12" t="s">
        <v>1221</v>
      </c>
      <c r="H90" s="82"/>
    </row>
    <row r="91" ht="15.75" customHeight="1">
      <c r="A91" s="11">
        <v>43965.0</v>
      </c>
      <c r="B91" s="12" t="s">
        <v>1190</v>
      </c>
      <c r="C91" s="12" t="s">
        <v>1419</v>
      </c>
      <c r="D91" s="12" t="s">
        <v>1420</v>
      </c>
      <c r="E91" s="12">
        <f>+201094987203</f>
        <v>201094987203</v>
      </c>
      <c r="F91" s="12" t="s">
        <v>1421</v>
      </c>
      <c r="G91" s="12" t="s">
        <v>1221</v>
      </c>
      <c r="H91" s="82"/>
    </row>
    <row r="92" ht="15.75" customHeight="1">
      <c r="A92" s="11">
        <v>43964.0</v>
      </c>
      <c r="B92" s="12" t="s">
        <v>1190</v>
      </c>
      <c r="C92" s="12" t="s">
        <v>1422</v>
      </c>
      <c r="D92" s="12" t="s">
        <v>1423</v>
      </c>
      <c r="E92" s="12">
        <f>+97466736456</f>
        <v>97466736456</v>
      </c>
      <c r="F92" s="12" t="s">
        <v>1424</v>
      </c>
      <c r="G92" s="12" t="s">
        <v>1211</v>
      </c>
      <c r="H92" s="82"/>
    </row>
    <row r="93" ht="15.75" customHeight="1">
      <c r="A93" s="11">
        <v>43964.0</v>
      </c>
      <c r="B93" s="12" t="s">
        <v>1190</v>
      </c>
      <c r="C93" s="12" t="s">
        <v>1425</v>
      </c>
      <c r="D93" s="12" t="s">
        <v>1426</v>
      </c>
      <c r="E93" s="12">
        <f>+9710556300023</f>
        <v>9710556300023</v>
      </c>
      <c r="F93" s="12" t="s">
        <v>1427</v>
      </c>
      <c r="G93" s="12" t="s">
        <v>1202</v>
      </c>
      <c r="H93" s="82"/>
    </row>
    <row r="94" ht="15.75" customHeight="1">
      <c r="A94" s="11">
        <v>43964.0</v>
      </c>
      <c r="B94" s="12" t="s">
        <v>1190</v>
      </c>
      <c r="C94" s="12" t="s">
        <v>1428</v>
      </c>
      <c r="D94" s="12" t="s">
        <v>1429</v>
      </c>
      <c r="E94" s="12">
        <f>+971556550774</f>
        <v>971556550774</v>
      </c>
      <c r="F94" s="12" t="s">
        <v>1430</v>
      </c>
      <c r="G94" s="12" t="s">
        <v>1194</v>
      </c>
      <c r="H94" s="82"/>
    </row>
    <row r="95" ht="15.75" customHeight="1">
      <c r="A95" s="11">
        <v>43963.0</v>
      </c>
      <c r="B95" s="12" t="s">
        <v>1190</v>
      </c>
      <c r="C95" s="12" t="s">
        <v>1431</v>
      </c>
      <c r="D95" s="12" t="s">
        <v>189</v>
      </c>
      <c r="E95" s="12">
        <f>+971507148312</f>
        <v>971507148312</v>
      </c>
      <c r="F95" s="12" t="s">
        <v>1432</v>
      </c>
      <c r="G95" s="12" t="s">
        <v>1221</v>
      </c>
      <c r="H95" s="82"/>
    </row>
    <row r="96" ht="15.75" customHeight="1">
      <c r="A96" s="11">
        <v>43963.0</v>
      </c>
      <c r="B96" s="12" t="s">
        <v>1190</v>
      </c>
      <c r="C96" s="12" t="s">
        <v>1433</v>
      </c>
      <c r="D96" s="12" t="s">
        <v>1243</v>
      </c>
      <c r="E96" s="12">
        <f>+971567442588</f>
        <v>971567442588</v>
      </c>
      <c r="F96" s="12" t="s">
        <v>1434</v>
      </c>
      <c r="G96" s="12" t="s">
        <v>1194</v>
      </c>
      <c r="H96" s="82"/>
    </row>
    <row r="97" ht="15.75" customHeight="1">
      <c r="A97" s="11">
        <v>43963.0</v>
      </c>
      <c r="B97" s="12" t="s">
        <v>1190</v>
      </c>
      <c r="C97" s="12" t="s">
        <v>1435</v>
      </c>
      <c r="D97" s="12" t="s">
        <v>1436</v>
      </c>
      <c r="E97" s="12">
        <f>+971554044142</f>
        <v>971554044142</v>
      </c>
      <c r="F97" s="12" t="s">
        <v>1437</v>
      </c>
      <c r="G97" s="12" t="s">
        <v>1211</v>
      </c>
      <c r="H97" s="82"/>
    </row>
    <row r="98" ht="15.75" customHeight="1">
      <c r="A98" s="11">
        <v>43963.0</v>
      </c>
      <c r="B98" s="12" t="s">
        <v>1190</v>
      </c>
      <c r="C98" s="12" t="s">
        <v>1382</v>
      </c>
      <c r="D98" s="12" t="s">
        <v>1438</v>
      </c>
      <c r="E98" s="12">
        <f>+97455541488</f>
        <v>97455541488</v>
      </c>
      <c r="F98" s="12" t="s">
        <v>1439</v>
      </c>
      <c r="G98" s="12" t="s">
        <v>1202</v>
      </c>
      <c r="H98" s="82"/>
    </row>
    <row r="99" ht="15.75" customHeight="1">
      <c r="A99" s="11">
        <v>43962.0</v>
      </c>
      <c r="B99" s="12" t="s">
        <v>1190</v>
      </c>
      <c r="C99" s="12" t="s">
        <v>1224</v>
      </c>
      <c r="D99" s="12" t="s">
        <v>1440</v>
      </c>
      <c r="E99" s="12">
        <f>+97450049508</f>
        <v>97450049508</v>
      </c>
      <c r="F99" s="12" t="s">
        <v>1441</v>
      </c>
      <c r="G99" s="12" t="s">
        <v>1194</v>
      </c>
      <c r="H99" s="82"/>
    </row>
    <row r="100" ht="15.75" customHeight="1">
      <c r="A100" s="11">
        <v>43962.0</v>
      </c>
      <c r="B100" s="12" t="s">
        <v>1190</v>
      </c>
      <c r="C100" s="12" t="s">
        <v>1433</v>
      </c>
      <c r="D100" s="12" t="s">
        <v>1442</v>
      </c>
      <c r="E100" s="12">
        <f>+97430603770</f>
        <v>97430603770</v>
      </c>
      <c r="F100" s="12" t="s">
        <v>1443</v>
      </c>
      <c r="G100" s="12" t="s">
        <v>1194</v>
      </c>
      <c r="H100" s="82"/>
    </row>
    <row r="101" ht="15.75" customHeight="1">
      <c r="A101" s="11">
        <v>43962.0</v>
      </c>
      <c r="B101" s="12" t="s">
        <v>1190</v>
      </c>
      <c r="C101" s="12" t="s">
        <v>1444</v>
      </c>
      <c r="D101" s="12" t="s">
        <v>1445</v>
      </c>
      <c r="E101" s="12">
        <f>+97455902922</f>
        <v>97455902922</v>
      </c>
      <c r="F101" s="12" t="s">
        <v>1446</v>
      </c>
      <c r="G101" s="12" t="s">
        <v>1202</v>
      </c>
      <c r="H101" s="82"/>
    </row>
    <row r="102" ht="15.75" customHeight="1">
      <c r="A102" s="11">
        <v>43962.0</v>
      </c>
      <c r="B102" s="12" t="s">
        <v>1190</v>
      </c>
      <c r="C102" s="12" t="s">
        <v>1318</v>
      </c>
      <c r="D102" s="12" t="s">
        <v>1447</v>
      </c>
      <c r="E102" s="12">
        <f>+9660504453355</f>
        <v>9660504453355</v>
      </c>
      <c r="F102" s="12" t="s">
        <v>1448</v>
      </c>
      <c r="G102" s="12" t="s">
        <v>1221</v>
      </c>
      <c r="H102" s="82"/>
    </row>
    <row r="103" ht="15.75" customHeight="1">
      <c r="A103" s="11">
        <v>43962.0</v>
      </c>
      <c r="B103" s="12" t="s">
        <v>1190</v>
      </c>
      <c r="C103" s="12" t="s">
        <v>1449</v>
      </c>
      <c r="D103" s="12" t="s">
        <v>1450</v>
      </c>
      <c r="E103" s="12">
        <f>+966506215723</f>
        <v>966506215723</v>
      </c>
      <c r="F103" s="12" t="s">
        <v>1451</v>
      </c>
      <c r="G103" s="12" t="s">
        <v>1221</v>
      </c>
      <c r="H103" s="82"/>
    </row>
    <row r="104" ht="15.75" customHeight="1">
      <c r="A104" s="11">
        <v>43962.0</v>
      </c>
      <c r="B104" s="12" t="s">
        <v>1190</v>
      </c>
      <c r="C104" s="12" t="s">
        <v>42</v>
      </c>
      <c r="D104" s="12" t="s">
        <v>1452</v>
      </c>
      <c r="E104" s="12">
        <f>+966500635407</f>
        <v>966500635407</v>
      </c>
      <c r="F104" s="12" t="s">
        <v>1453</v>
      </c>
      <c r="G104" s="12" t="s">
        <v>1221</v>
      </c>
      <c r="H104" s="82"/>
    </row>
    <row r="105" ht="15.75" customHeight="1">
      <c r="A105" s="11">
        <v>43962.0</v>
      </c>
      <c r="B105" s="12" t="s">
        <v>1190</v>
      </c>
      <c r="C105" s="12" t="s">
        <v>1454</v>
      </c>
      <c r="D105" s="12" t="s">
        <v>1341</v>
      </c>
      <c r="E105" s="12">
        <f>+966598866555</f>
        <v>966598866555</v>
      </c>
      <c r="F105" s="12" t="s">
        <v>1455</v>
      </c>
      <c r="G105" s="12" t="s">
        <v>1221</v>
      </c>
      <c r="H105" s="82"/>
    </row>
    <row r="106" ht="15.75" customHeight="1">
      <c r="A106" s="11">
        <v>43961.0</v>
      </c>
      <c r="B106" s="12" t="s">
        <v>1190</v>
      </c>
      <c r="C106" s="12" t="s">
        <v>1230</v>
      </c>
      <c r="D106" s="12" t="s">
        <v>1456</v>
      </c>
      <c r="E106" s="12">
        <f>+9660554618035</f>
        <v>9660554618035</v>
      </c>
      <c r="F106" s="12" t="s">
        <v>1457</v>
      </c>
      <c r="G106" s="12" t="s">
        <v>1211</v>
      </c>
      <c r="H106" s="82"/>
    </row>
    <row r="107" ht="15.75" customHeight="1">
      <c r="A107" s="84">
        <v>44010.0</v>
      </c>
      <c r="B107" s="85" t="s">
        <v>1458</v>
      </c>
      <c r="C107" s="86" t="s">
        <v>1459</v>
      </c>
      <c r="D107" s="85"/>
      <c r="E107" s="86">
        <f>+966593954406</f>
        <v>966593954406</v>
      </c>
      <c r="F107" s="86" t="s">
        <v>1460</v>
      </c>
      <c r="G107" s="82"/>
      <c r="H107" s="82"/>
    </row>
    <row r="108" ht="15.75" customHeight="1">
      <c r="A108" s="84">
        <v>44009.0</v>
      </c>
      <c r="B108" s="85" t="s">
        <v>1458</v>
      </c>
      <c r="C108" s="86" t="s">
        <v>1461</v>
      </c>
      <c r="D108" s="85"/>
      <c r="E108" s="86">
        <f>+966502947680</f>
        <v>966502947680</v>
      </c>
      <c r="F108" s="86" t="s">
        <v>1462</v>
      </c>
      <c r="G108" s="82"/>
      <c r="H108" s="82"/>
    </row>
    <row r="109" ht="15.75" customHeight="1">
      <c r="A109" s="84">
        <v>44008.0</v>
      </c>
      <c r="B109" s="85" t="s">
        <v>1458</v>
      </c>
      <c r="C109" s="86" t="s">
        <v>1463</v>
      </c>
      <c r="D109" s="85"/>
      <c r="E109" s="86">
        <f>+971503752308</f>
        <v>971503752308</v>
      </c>
      <c r="F109" s="86" t="s">
        <v>1464</v>
      </c>
      <c r="G109" s="82"/>
      <c r="H109" s="82"/>
    </row>
    <row r="110" ht="15.75" customHeight="1">
      <c r="A110" s="84">
        <v>44007.0</v>
      </c>
      <c r="B110" s="85" t="s">
        <v>1458</v>
      </c>
      <c r="C110" s="86" t="s">
        <v>1465</v>
      </c>
      <c r="D110" s="86"/>
      <c r="E110" s="86">
        <f>+971556000546</f>
        <v>971556000546</v>
      </c>
      <c r="F110" s="86" t="s">
        <v>1466</v>
      </c>
      <c r="G110" s="82"/>
      <c r="H110" s="82"/>
    </row>
    <row r="111" ht="15.75" customHeight="1">
      <c r="A111" s="84">
        <v>43996.0</v>
      </c>
      <c r="B111" s="85" t="s">
        <v>1467</v>
      </c>
      <c r="C111" s="86" t="s">
        <v>1191</v>
      </c>
      <c r="D111" s="86" t="s">
        <v>1192</v>
      </c>
      <c r="E111" s="86">
        <f>+966509102703</f>
        <v>966509102703</v>
      </c>
      <c r="F111" s="86" t="s">
        <v>1193</v>
      </c>
      <c r="H111" s="82"/>
    </row>
    <row r="112" ht="15.75" customHeight="1">
      <c r="A112" s="84">
        <v>43995.0</v>
      </c>
      <c r="B112" s="85" t="s">
        <v>1467</v>
      </c>
      <c r="C112" s="86" t="s">
        <v>1196</v>
      </c>
      <c r="D112" s="86" t="s">
        <v>1197</v>
      </c>
      <c r="E112" s="86">
        <f>+97455569447</f>
        <v>97455569447</v>
      </c>
      <c r="F112" s="86" t="s">
        <v>1198</v>
      </c>
      <c r="H112" s="82"/>
    </row>
    <row r="113" ht="15.75" customHeight="1">
      <c r="A113" s="84">
        <v>43992.0</v>
      </c>
      <c r="B113" s="85" t="s">
        <v>1467</v>
      </c>
      <c r="C113" s="86" t="s">
        <v>14</v>
      </c>
      <c r="D113" s="86" t="s">
        <v>1468</v>
      </c>
      <c r="E113" s="86">
        <f>+966554003003</f>
        <v>966554003003</v>
      </c>
      <c r="F113" s="86" t="s">
        <v>1469</v>
      </c>
      <c r="H113" s="82"/>
    </row>
    <row r="114" ht="15.75" customHeight="1">
      <c r="A114" s="84">
        <v>43992.0</v>
      </c>
      <c r="B114" s="85" t="s">
        <v>1467</v>
      </c>
      <c r="C114" s="86" t="s">
        <v>1332</v>
      </c>
      <c r="D114" s="86" t="s">
        <v>1192</v>
      </c>
      <c r="E114" s="86">
        <f>+97430073278</f>
        <v>97430073278</v>
      </c>
      <c r="F114" s="86" t="s">
        <v>1470</v>
      </c>
      <c r="H114" s="82"/>
    </row>
    <row r="115" ht="15.75" customHeight="1">
      <c r="A115" s="84">
        <v>43990.0</v>
      </c>
      <c r="B115" s="85" t="s">
        <v>1467</v>
      </c>
      <c r="C115" s="86" t="s">
        <v>1471</v>
      </c>
      <c r="D115" s="86" t="s">
        <v>1472</v>
      </c>
      <c r="E115" s="86">
        <f>+971543460478</f>
        <v>971543460478</v>
      </c>
      <c r="F115" s="86" t="s">
        <v>1473</v>
      </c>
      <c r="H115" s="82"/>
    </row>
    <row r="116" ht="15.75" customHeight="1">
      <c r="A116" s="84">
        <v>43990.0</v>
      </c>
      <c r="B116" s="85" t="s">
        <v>1467</v>
      </c>
      <c r="C116" s="86" t="s">
        <v>120</v>
      </c>
      <c r="D116" s="86" t="s">
        <v>1196</v>
      </c>
      <c r="E116" s="86">
        <f>+966542300077</f>
        <v>966542300077</v>
      </c>
      <c r="F116" s="86" t="s">
        <v>1474</v>
      </c>
      <c r="H116" s="82"/>
    </row>
    <row r="117" ht="15.75" customHeight="1">
      <c r="A117" s="84">
        <v>43989.0</v>
      </c>
      <c r="B117" s="85" t="s">
        <v>1467</v>
      </c>
      <c r="C117" s="86" t="s">
        <v>1475</v>
      </c>
      <c r="D117" s="86" t="s">
        <v>1476</v>
      </c>
      <c r="E117" s="86">
        <f>+966599701112</f>
        <v>966599701112</v>
      </c>
      <c r="F117" s="86" t="s">
        <v>1477</v>
      </c>
      <c r="H117" s="82"/>
    </row>
    <row r="118" ht="15.75" customHeight="1">
      <c r="A118" s="84">
        <v>43988.0</v>
      </c>
      <c r="B118" s="85" t="s">
        <v>1467</v>
      </c>
      <c r="C118" s="86" t="s">
        <v>1411</v>
      </c>
      <c r="D118" s="86" t="s">
        <v>1206</v>
      </c>
      <c r="E118" s="86">
        <f>+9710508027667</f>
        <v>9710508027667</v>
      </c>
      <c r="F118" s="86" t="s">
        <v>1478</v>
      </c>
      <c r="H118" s="82"/>
    </row>
    <row r="119" ht="15.75" customHeight="1">
      <c r="A119" s="84">
        <v>43987.0</v>
      </c>
      <c r="B119" s="85" t="s">
        <v>1467</v>
      </c>
      <c r="C119" s="86" t="s">
        <v>1479</v>
      </c>
      <c r="D119" s="86" t="s">
        <v>1480</v>
      </c>
      <c r="E119" s="86">
        <f>+97433163322</f>
        <v>97433163322</v>
      </c>
      <c r="F119" s="86" t="s">
        <v>1481</v>
      </c>
      <c r="H119" s="82"/>
    </row>
    <row r="120" ht="15.75" customHeight="1">
      <c r="A120" s="84">
        <v>43987.0</v>
      </c>
      <c r="B120" s="85" t="s">
        <v>1467</v>
      </c>
      <c r="C120" s="86" t="s">
        <v>1482</v>
      </c>
      <c r="D120" s="86" t="s">
        <v>1483</v>
      </c>
      <c r="E120" s="86">
        <f>+9660549999474</f>
        <v>9660549999474</v>
      </c>
      <c r="F120" s="86" t="s">
        <v>1484</v>
      </c>
      <c r="H120" s="82"/>
    </row>
    <row r="121" ht="15.75" customHeight="1">
      <c r="A121" s="87"/>
      <c r="B121" s="82"/>
      <c r="C121" s="82"/>
      <c r="D121" s="82"/>
      <c r="E121" s="82"/>
      <c r="F121" s="82"/>
      <c r="G121" s="82"/>
      <c r="H121" s="82"/>
    </row>
    <row r="122" ht="15.75" customHeight="1">
      <c r="A122" s="87"/>
      <c r="B122" s="82"/>
      <c r="C122" s="82"/>
      <c r="D122" s="82"/>
      <c r="E122" s="82"/>
      <c r="F122" s="82"/>
      <c r="G122" s="82"/>
      <c r="H122" s="82"/>
    </row>
    <row r="123" ht="15.75" customHeight="1">
      <c r="A123" s="87"/>
      <c r="B123" s="82"/>
      <c r="C123" s="82"/>
      <c r="D123" s="82"/>
      <c r="E123" s="82"/>
      <c r="F123" s="82"/>
      <c r="G123" s="82"/>
      <c r="H123" s="82"/>
    </row>
    <row r="124" ht="15.75" customHeight="1">
      <c r="A124" s="87"/>
      <c r="B124" s="82"/>
      <c r="C124" s="82"/>
      <c r="D124" s="82"/>
      <c r="E124" s="82"/>
      <c r="F124" s="82"/>
      <c r="G124" s="82"/>
      <c r="H124" s="82"/>
    </row>
    <row r="125" ht="15.75" customHeight="1">
      <c r="A125" s="87"/>
      <c r="B125" s="82"/>
      <c r="C125" s="82"/>
      <c r="D125" s="82"/>
      <c r="E125" s="82"/>
      <c r="F125" s="82"/>
      <c r="G125" s="82"/>
      <c r="H125" s="82"/>
    </row>
    <row r="126" ht="15.75" customHeight="1">
      <c r="A126" s="87"/>
      <c r="B126" s="82"/>
      <c r="C126" s="82"/>
      <c r="D126" s="82"/>
      <c r="E126" s="82"/>
      <c r="F126" s="82"/>
      <c r="G126" s="82"/>
      <c r="H126" s="82"/>
    </row>
    <row r="127" ht="15.75" customHeight="1">
      <c r="A127" s="87"/>
      <c r="B127" s="82"/>
      <c r="C127" s="82"/>
      <c r="D127" s="82"/>
      <c r="E127" s="82"/>
      <c r="F127" s="82"/>
      <c r="G127" s="82"/>
      <c r="H127" s="82"/>
    </row>
    <row r="128" ht="15.75" customHeight="1">
      <c r="A128" s="87"/>
      <c r="B128" s="82"/>
      <c r="C128" s="82"/>
      <c r="D128" s="82"/>
      <c r="E128" s="82"/>
      <c r="F128" s="82"/>
      <c r="G128" s="82"/>
      <c r="H128" s="82"/>
    </row>
    <row r="129" ht="15.75" customHeight="1">
      <c r="A129" s="87"/>
      <c r="B129" s="82"/>
      <c r="C129" s="82"/>
      <c r="D129" s="82"/>
      <c r="E129" s="82"/>
      <c r="F129" s="82"/>
      <c r="G129" s="82"/>
      <c r="H129" s="82"/>
    </row>
    <row r="130" ht="15.75" customHeight="1">
      <c r="A130" s="87"/>
      <c r="B130" s="82"/>
      <c r="C130" s="82"/>
      <c r="D130" s="82"/>
      <c r="E130" s="82"/>
      <c r="F130" s="82"/>
      <c r="G130" s="82"/>
      <c r="H130" s="82"/>
    </row>
    <row r="131" ht="15.75" customHeight="1">
      <c r="A131" s="87"/>
      <c r="B131" s="82"/>
      <c r="C131" s="82"/>
      <c r="D131" s="82"/>
      <c r="E131" s="82"/>
      <c r="F131" s="82"/>
      <c r="G131" s="82"/>
      <c r="H131" s="82"/>
    </row>
    <row r="132" ht="15.75" customHeight="1">
      <c r="A132" s="87"/>
      <c r="B132" s="82"/>
      <c r="C132" s="82"/>
      <c r="D132" s="82"/>
      <c r="E132" s="82"/>
      <c r="F132" s="82"/>
      <c r="G132" s="82"/>
      <c r="H132" s="82"/>
    </row>
    <row r="133" ht="15.75" customHeight="1">
      <c r="A133" s="87"/>
      <c r="B133" s="82"/>
      <c r="C133" s="82"/>
      <c r="D133" s="82"/>
      <c r="E133" s="82"/>
      <c r="F133" s="82"/>
      <c r="G133" s="82"/>
      <c r="H133" s="82"/>
    </row>
    <row r="134" ht="15.75" customHeight="1">
      <c r="A134" s="87"/>
      <c r="B134" s="82"/>
      <c r="C134" s="82"/>
      <c r="D134" s="82"/>
      <c r="E134" s="82"/>
      <c r="F134" s="82"/>
      <c r="G134" s="82"/>
      <c r="H134" s="82"/>
    </row>
    <row r="135" ht="15.75" customHeight="1">
      <c r="A135" s="87"/>
      <c r="B135" s="82"/>
      <c r="C135" s="82"/>
      <c r="D135" s="82"/>
      <c r="E135" s="82"/>
      <c r="F135" s="82"/>
      <c r="G135" s="82"/>
      <c r="H135" s="82"/>
    </row>
    <row r="136" ht="15.75" customHeight="1">
      <c r="A136" s="87"/>
      <c r="B136" s="82"/>
      <c r="C136" s="82"/>
      <c r="D136" s="82"/>
      <c r="E136" s="82"/>
      <c r="F136" s="82"/>
      <c r="G136" s="82"/>
      <c r="H136" s="82"/>
    </row>
    <row r="137" ht="15.75" customHeight="1">
      <c r="A137" s="87"/>
      <c r="B137" s="82"/>
      <c r="C137" s="82"/>
      <c r="D137" s="82"/>
      <c r="E137" s="82"/>
      <c r="F137" s="82"/>
      <c r="G137" s="82"/>
      <c r="H137" s="82"/>
    </row>
    <row r="138" ht="15.75" customHeight="1">
      <c r="A138" s="87"/>
      <c r="B138" s="82"/>
      <c r="C138" s="82"/>
      <c r="D138" s="82"/>
      <c r="E138" s="82"/>
      <c r="F138" s="82"/>
      <c r="G138" s="82"/>
      <c r="H138" s="82"/>
    </row>
    <row r="139" ht="15.75" customHeight="1">
      <c r="A139" s="87"/>
      <c r="B139" s="82"/>
      <c r="C139" s="82"/>
      <c r="D139" s="82"/>
      <c r="E139" s="82"/>
      <c r="F139" s="82"/>
      <c r="G139" s="82"/>
      <c r="H139" s="82"/>
    </row>
    <row r="140" ht="15.75" customHeight="1">
      <c r="A140" s="87"/>
      <c r="B140" s="82"/>
      <c r="C140" s="82"/>
      <c r="D140" s="82"/>
      <c r="E140" s="82"/>
      <c r="F140" s="82"/>
      <c r="G140" s="82"/>
      <c r="H140" s="82"/>
    </row>
    <row r="141" ht="15.75" customHeight="1">
      <c r="A141" s="87"/>
      <c r="B141" s="82"/>
      <c r="C141" s="82"/>
      <c r="D141" s="82"/>
      <c r="E141" s="82"/>
      <c r="F141" s="82"/>
      <c r="G141" s="82"/>
      <c r="H141" s="82"/>
    </row>
    <row r="142" ht="15.75" customHeight="1">
      <c r="A142" s="87"/>
      <c r="B142" s="82"/>
      <c r="C142" s="82"/>
      <c r="D142" s="82"/>
      <c r="E142" s="82"/>
      <c r="F142" s="82"/>
      <c r="G142" s="82"/>
      <c r="H142" s="82"/>
    </row>
    <row r="143" ht="15.75" customHeight="1">
      <c r="A143" s="87"/>
      <c r="B143" s="82"/>
      <c r="C143" s="82"/>
      <c r="D143" s="82"/>
      <c r="E143" s="82"/>
      <c r="F143" s="82"/>
      <c r="G143" s="82"/>
      <c r="H143" s="82"/>
    </row>
    <row r="144" ht="15.75" customHeight="1">
      <c r="A144" s="87"/>
      <c r="B144" s="82"/>
      <c r="C144" s="82"/>
      <c r="D144" s="82"/>
      <c r="E144" s="82"/>
      <c r="F144" s="82"/>
      <c r="G144" s="82"/>
      <c r="H144" s="82"/>
    </row>
    <row r="145" ht="15.75" customHeight="1">
      <c r="A145" s="87"/>
      <c r="B145" s="82"/>
      <c r="C145" s="82"/>
      <c r="D145" s="82"/>
      <c r="E145" s="82"/>
      <c r="F145" s="82"/>
      <c r="G145" s="82"/>
      <c r="H145" s="82"/>
    </row>
    <row r="146" ht="15.75" customHeight="1">
      <c r="A146" s="87"/>
      <c r="B146" s="82"/>
      <c r="C146" s="82"/>
      <c r="D146" s="82"/>
      <c r="E146" s="82"/>
      <c r="F146" s="82"/>
      <c r="G146" s="82"/>
      <c r="H146" s="82"/>
    </row>
    <row r="147" ht="15.75" customHeight="1">
      <c r="A147" s="87"/>
      <c r="B147" s="82"/>
      <c r="C147" s="82"/>
      <c r="D147" s="82"/>
      <c r="E147" s="82"/>
      <c r="F147" s="82"/>
      <c r="G147" s="82"/>
      <c r="H147" s="82"/>
    </row>
    <row r="148" ht="15.75" customHeight="1">
      <c r="A148" s="87"/>
      <c r="B148" s="82"/>
      <c r="C148" s="82"/>
      <c r="D148" s="82"/>
      <c r="E148" s="82"/>
      <c r="F148" s="82"/>
      <c r="G148" s="82"/>
      <c r="H148" s="82"/>
    </row>
    <row r="149" ht="15.75" customHeight="1">
      <c r="A149" s="87"/>
      <c r="B149" s="82"/>
      <c r="C149" s="82"/>
      <c r="D149" s="82"/>
      <c r="E149" s="82"/>
      <c r="F149" s="82"/>
      <c r="G149" s="82"/>
      <c r="H149" s="82"/>
    </row>
    <row r="150" ht="15.75" customHeight="1">
      <c r="A150" s="87"/>
      <c r="B150" s="82"/>
      <c r="C150" s="82"/>
      <c r="D150" s="82"/>
      <c r="E150" s="82"/>
      <c r="F150" s="82"/>
      <c r="G150" s="82"/>
      <c r="H150" s="82"/>
    </row>
    <row r="151" ht="15.75" customHeight="1">
      <c r="A151" s="87"/>
      <c r="B151" s="82"/>
      <c r="C151" s="82"/>
      <c r="D151" s="82"/>
      <c r="E151" s="82"/>
      <c r="F151" s="82"/>
      <c r="G151" s="82"/>
      <c r="H151" s="82"/>
    </row>
    <row r="152" ht="15.75" customHeight="1">
      <c r="A152" s="87"/>
      <c r="B152" s="82"/>
      <c r="C152" s="82"/>
      <c r="D152" s="82"/>
      <c r="E152" s="82"/>
      <c r="F152" s="82"/>
      <c r="G152" s="82"/>
      <c r="H152" s="82"/>
    </row>
    <row r="153" ht="15.75" customHeight="1">
      <c r="A153" s="87"/>
      <c r="B153" s="82"/>
      <c r="C153" s="82"/>
      <c r="D153" s="82"/>
      <c r="E153" s="82"/>
      <c r="F153" s="82"/>
      <c r="G153" s="82"/>
      <c r="H153" s="82"/>
    </row>
    <row r="154" ht="15.75" customHeight="1">
      <c r="A154" s="87"/>
      <c r="B154" s="82"/>
      <c r="C154" s="82"/>
      <c r="D154" s="82"/>
      <c r="E154" s="82"/>
      <c r="F154" s="82"/>
      <c r="G154" s="82"/>
      <c r="H154" s="82"/>
    </row>
    <row r="155" ht="15.75" customHeight="1">
      <c r="A155" s="87"/>
      <c r="B155" s="82"/>
      <c r="C155" s="82"/>
      <c r="D155" s="82"/>
      <c r="E155" s="82"/>
      <c r="F155" s="82"/>
      <c r="G155" s="82"/>
      <c r="H155" s="82"/>
    </row>
    <row r="156" ht="15.75" customHeight="1">
      <c r="A156" s="87"/>
      <c r="B156" s="82"/>
      <c r="C156" s="82"/>
      <c r="D156" s="82"/>
      <c r="E156" s="82"/>
      <c r="F156" s="82"/>
      <c r="G156" s="82"/>
      <c r="H156" s="82"/>
    </row>
    <row r="157" ht="15.75" customHeight="1">
      <c r="A157" s="87"/>
      <c r="B157" s="82"/>
      <c r="C157" s="82"/>
      <c r="D157" s="82"/>
      <c r="E157" s="82"/>
      <c r="F157" s="82"/>
      <c r="G157" s="82"/>
      <c r="H157" s="82"/>
    </row>
    <row r="158" ht="15.75" customHeight="1">
      <c r="A158" s="87"/>
      <c r="B158" s="82"/>
      <c r="C158" s="82"/>
      <c r="D158" s="82"/>
      <c r="E158" s="82"/>
      <c r="F158" s="82"/>
      <c r="G158" s="82"/>
      <c r="H158" s="82"/>
    </row>
    <row r="159" ht="15.75" customHeight="1">
      <c r="A159" s="87"/>
      <c r="B159" s="82"/>
      <c r="C159" s="82"/>
      <c r="D159" s="82"/>
      <c r="E159" s="82"/>
      <c r="F159" s="82"/>
      <c r="G159" s="82"/>
      <c r="H159" s="82"/>
    </row>
    <row r="160" ht="15.75" customHeight="1">
      <c r="A160" s="87"/>
      <c r="B160" s="82"/>
      <c r="C160" s="82"/>
      <c r="D160" s="82"/>
      <c r="E160" s="82"/>
      <c r="F160" s="82"/>
      <c r="G160" s="82"/>
      <c r="H160" s="82"/>
    </row>
    <row r="161" ht="15.75" customHeight="1">
      <c r="A161" s="87"/>
      <c r="B161" s="82"/>
      <c r="C161" s="82"/>
      <c r="D161" s="82"/>
      <c r="E161" s="82"/>
      <c r="F161" s="82"/>
      <c r="G161" s="82"/>
      <c r="H161" s="82"/>
    </row>
    <row r="162" ht="15.75" customHeight="1">
      <c r="A162" s="87"/>
      <c r="B162" s="82"/>
      <c r="C162" s="82"/>
      <c r="D162" s="82"/>
      <c r="E162" s="82"/>
      <c r="F162" s="82"/>
      <c r="G162" s="82"/>
      <c r="H162" s="82"/>
    </row>
    <row r="163" ht="15.75" customHeight="1">
      <c r="A163" s="87"/>
      <c r="B163" s="82"/>
      <c r="C163" s="82"/>
      <c r="D163" s="82"/>
      <c r="E163" s="82"/>
      <c r="F163" s="82"/>
      <c r="G163" s="82"/>
      <c r="H163" s="82"/>
    </row>
    <row r="164" ht="15.75" customHeight="1">
      <c r="A164" s="87"/>
      <c r="B164" s="82"/>
      <c r="C164" s="82"/>
      <c r="D164" s="82"/>
      <c r="E164" s="82"/>
      <c r="F164" s="82"/>
      <c r="G164" s="82"/>
      <c r="H164" s="82"/>
    </row>
    <row r="165" ht="15.75" customHeight="1">
      <c r="A165" s="87"/>
      <c r="B165" s="82"/>
      <c r="C165" s="82"/>
      <c r="D165" s="82"/>
      <c r="E165" s="82"/>
      <c r="F165" s="82"/>
      <c r="G165" s="82"/>
      <c r="H165" s="82"/>
    </row>
    <row r="166" ht="15.75" customHeight="1">
      <c r="A166" s="87"/>
      <c r="B166" s="82"/>
      <c r="C166" s="82"/>
      <c r="D166" s="82"/>
      <c r="E166" s="82"/>
      <c r="F166" s="82"/>
      <c r="G166" s="82"/>
      <c r="H166" s="82"/>
    </row>
    <row r="167" ht="15.75" customHeight="1">
      <c r="A167" s="87"/>
      <c r="B167" s="82"/>
      <c r="C167" s="82"/>
      <c r="D167" s="82"/>
      <c r="E167" s="82"/>
      <c r="F167" s="82"/>
      <c r="G167" s="82"/>
      <c r="H167" s="82"/>
    </row>
    <row r="168" ht="15.75" customHeight="1">
      <c r="A168" s="87"/>
      <c r="B168" s="82"/>
      <c r="C168" s="82"/>
      <c r="D168" s="82"/>
      <c r="E168" s="82"/>
      <c r="F168" s="82"/>
      <c r="G168" s="82"/>
      <c r="H168" s="82"/>
    </row>
    <row r="169" ht="15.75" customHeight="1">
      <c r="A169" s="87"/>
      <c r="B169" s="82"/>
      <c r="C169" s="82"/>
      <c r="D169" s="82"/>
      <c r="E169" s="82"/>
      <c r="F169" s="82"/>
      <c r="G169" s="82"/>
      <c r="H169" s="82"/>
    </row>
    <row r="170" ht="15.75" customHeight="1">
      <c r="A170" s="87"/>
      <c r="B170" s="82"/>
      <c r="C170" s="82"/>
      <c r="D170" s="82"/>
      <c r="E170" s="82"/>
      <c r="F170" s="82"/>
      <c r="G170" s="82"/>
      <c r="H170" s="82"/>
    </row>
    <row r="171" ht="15.75" customHeight="1">
      <c r="A171" s="87"/>
      <c r="B171" s="82"/>
      <c r="C171" s="82"/>
      <c r="D171" s="82"/>
      <c r="E171" s="82"/>
      <c r="F171" s="82"/>
      <c r="G171" s="82"/>
      <c r="H171" s="82"/>
    </row>
    <row r="172" ht="15.75" customHeight="1">
      <c r="A172" s="87"/>
      <c r="B172" s="82"/>
      <c r="C172" s="82"/>
      <c r="D172" s="82"/>
      <c r="E172" s="82"/>
      <c r="F172" s="82"/>
      <c r="G172" s="82"/>
      <c r="H172" s="82"/>
    </row>
    <row r="173" ht="15.75" customHeight="1">
      <c r="A173" s="87"/>
      <c r="B173" s="82"/>
      <c r="C173" s="82"/>
      <c r="D173" s="82"/>
      <c r="E173" s="82"/>
      <c r="F173" s="82"/>
      <c r="G173" s="82"/>
      <c r="H173" s="82"/>
    </row>
    <row r="174" ht="15.75" customHeight="1">
      <c r="A174" s="87"/>
      <c r="B174" s="82"/>
      <c r="C174" s="82"/>
      <c r="D174" s="82"/>
      <c r="E174" s="82"/>
      <c r="F174" s="82"/>
      <c r="G174" s="82"/>
      <c r="H174" s="82"/>
    </row>
    <row r="175" ht="15.75" customHeight="1">
      <c r="A175" s="87"/>
      <c r="B175" s="82"/>
      <c r="C175" s="82"/>
      <c r="D175" s="82"/>
      <c r="E175" s="82"/>
      <c r="F175" s="82"/>
      <c r="G175" s="82"/>
      <c r="H175" s="82"/>
    </row>
    <row r="176" ht="15.75" customHeight="1">
      <c r="A176" s="87"/>
      <c r="B176" s="82"/>
      <c r="C176" s="82"/>
      <c r="D176" s="82"/>
      <c r="E176" s="82"/>
      <c r="F176" s="82"/>
      <c r="G176" s="82"/>
      <c r="H176" s="82"/>
    </row>
    <row r="177" ht="15.75" customHeight="1">
      <c r="A177" s="87"/>
      <c r="B177" s="82"/>
      <c r="C177" s="82"/>
      <c r="D177" s="82"/>
      <c r="E177" s="82"/>
      <c r="F177" s="82"/>
      <c r="G177" s="82"/>
      <c r="H177" s="82"/>
    </row>
    <row r="178" ht="15.75" customHeight="1">
      <c r="A178" s="87"/>
      <c r="B178" s="82"/>
      <c r="C178" s="82"/>
      <c r="D178" s="82"/>
      <c r="E178" s="82"/>
      <c r="F178" s="82"/>
      <c r="G178" s="82"/>
      <c r="H178" s="82"/>
    </row>
    <row r="179" ht="15.75" customHeight="1">
      <c r="A179" s="87"/>
      <c r="B179" s="82"/>
      <c r="C179" s="82"/>
      <c r="D179" s="82"/>
      <c r="E179" s="82"/>
      <c r="F179" s="82"/>
      <c r="G179" s="82"/>
      <c r="H179" s="82"/>
    </row>
    <row r="180" ht="15.75" customHeight="1">
      <c r="A180" s="87"/>
      <c r="B180" s="82"/>
      <c r="C180" s="82"/>
      <c r="D180" s="82"/>
      <c r="E180" s="82"/>
      <c r="F180" s="82"/>
      <c r="G180" s="82"/>
      <c r="H180" s="82"/>
    </row>
    <row r="181" ht="15.75" customHeight="1">
      <c r="A181" s="87"/>
      <c r="B181" s="82"/>
      <c r="C181" s="82"/>
      <c r="D181" s="82"/>
      <c r="E181" s="82"/>
      <c r="F181" s="82"/>
      <c r="G181" s="82"/>
      <c r="H181" s="82"/>
    </row>
    <row r="182" ht="15.75" customHeight="1">
      <c r="A182" s="87"/>
      <c r="B182" s="82"/>
      <c r="C182" s="82"/>
      <c r="D182" s="82"/>
      <c r="E182" s="82"/>
      <c r="F182" s="82"/>
      <c r="G182" s="82"/>
      <c r="H182" s="82"/>
    </row>
    <row r="183" ht="15.75" customHeight="1">
      <c r="A183" s="87"/>
      <c r="B183" s="82"/>
      <c r="C183" s="82"/>
      <c r="D183" s="82"/>
      <c r="E183" s="82"/>
      <c r="F183" s="82"/>
      <c r="G183" s="82"/>
      <c r="H183" s="82"/>
    </row>
    <row r="184" ht="15.75" customHeight="1">
      <c r="A184" s="87"/>
      <c r="B184" s="82"/>
      <c r="C184" s="82"/>
      <c r="D184" s="82"/>
      <c r="E184" s="82"/>
      <c r="F184" s="82"/>
      <c r="G184" s="82"/>
      <c r="H184" s="82"/>
    </row>
    <row r="185" ht="15.75" customHeight="1">
      <c r="A185" s="87"/>
      <c r="B185" s="82"/>
      <c r="C185" s="82"/>
      <c r="D185" s="82"/>
      <c r="E185" s="82"/>
      <c r="F185" s="82"/>
      <c r="G185" s="82"/>
      <c r="H185" s="82"/>
    </row>
    <row r="186" ht="15.75" customHeight="1">
      <c r="A186" s="87"/>
      <c r="B186" s="82"/>
      <c r="C186" s="82"/>
      <c r="D186" s="82"/>
      <c r="E186" s="82"/>
      <c r="F186" s="82"/>
      <c r="G186" s="82"/>
      <c r="H186" s="82"/>
    </row>
    <row r="187" ht="15.75" customHeight="1">
      <c r="A187" s="87"/>
      <c r="B187" s="82"/>
      <c r="C187" s="82"/>
      <c r="D187" s="82"/>
      <c r="E187" s="82"/>
      <c r="F187" s="82"/>
      <c r="G187" s="82"/>
      <c r="H187" s="82"/>
    </row>
    <row r="188" ht="15.75" customHeight="1">
      <c r="A188" s="87"/>
      <c r="B188" s="82"/>
      <c r="C188" s="82"/>
      <c r="D188" s="82"/>
      <c r="E188" s="82"/>
      <c r="F188" s="82"/>
      <c r="G188" s="82"/>
      <c r="H188" s="82"/>
    </row>
    <row r="189" ht="15.75" customHeight="1">
      <c r="A189" s="87"/>
      <c r="B189" s="82"/>
      <c r="C189" s="82"/>
      <c r="D189" s="82"/>
      <c r="E189" s="82"/>
      <c r="F189" s="82"/>
      <c r="G189" s="82"/>
      <c r="H189" s="82"/>
    </row>
    <row r="190" ht="15.75" customHeight="1">
      <c r="A190" s="87"/>
      <c r="B190" s="82"/>
      <c r="C190" s="82"/>
      <c r="D190" s="82"/>
      <c r="E190" s="82"/>
      <c r="F190" s="82"/>
      <c r="G190" s="82"/>
      <c r="H190" s="82"/>
    </row>
    <row r="191" ht="15.75" customHeight="1">
      <c r="A191" s="87"/>
      <c r="B191" s="82"/>
      <c r="C191" s="82"/>
      <c r="D191" s="82"/>
      <c r="E191" s="82"/>
      <c r="F191" s="82"/>
      <c r="G191" s="82"/>
      <c r="H191" s="82"/>
    </row>
    <row r="192" ht="15.75" customHeight="1">
      <c r="A192" s="87"/>
      <c r="B192" s="82"/>
      <c r="C192" s="82"/>
      <c r="D192" s="82"/>
      <c r="E192" s="82"/>
      <c r="F192" s="82"/>
      <c r="G192" s="82"/>
      <c r="H192" s="82"/>
    </row>
    <row r="193" ht="15.75" customHeight="1">
      <c r="A193" s="87"/>
      <c r="B193" s="82"/>
      <c r="C193" s="82"/>
      <c r="D193" s="82"/>
      <c r="E193" s="82"/>
      <c r="F193" s="82"/>
      <c r="G193" s="82"/>
      <c r="H193" s="82"/>
    </row>
    <row r="194" ht="15.75" customHeight="1">
      <c r="A194" s="87"/>
      <c r="B194" s="82"/>
      <c r="C194" s="82"/>
      <c r="D194" s="82"/>
      <c r="E194" s="82"/>
      <c r="F194" s="82"/>
      <c r="G194" s="82"/>
      <c r="H194" s="82"/>
    </row>
    <row r="195" ht="15.75" customHeight="1">
      <c r="A195" s="87"/>
      <c r="B195" s="82"/>
      <c r="C195" s="82"/>
      <c r="D195" s="82"/>
      <c r="E195" s="82"/>
      <c r="F195" s="82"/>
      <c r="G195" s="82"/>
      <c r="H195" s="82"/>
    </row>
    <row r="196" ht="15.75" customHeight="1">
      <c r="A196" s="87"/>
      <c r="B196" s="82"/>
      <c r="C196" s="82"/>
      <c r="D196" s="82"/>
      <c r="E196" s="82"/>
      <c r="F196" s="82"/>
      <c r="G196" s="82"/>
      <c r="H196" s="82"/>
    </row>
    <row r="197" ht="15.75" customHeight="1">
      <c r="A197" s="87"/>
      <c r="B197" s="82"/>
      <c r="C197" s="82"/>
      <c r="D197" s="82"/>
      <c r="E197" s="82"/>
      <c r="F197" s="82"/>
      <c r="G197" s="82"/>
      <c r="H197" s="82"/>
    </row>
    <row r="198" ht="15.75" customHeight="1">
      <c r="A198" s="87"/>
      <c r="B198" s="82"/>
      <c r="C198" s="82"/>
      <c r="D198" s="82"/>
      <c r="E198" s="82"/>
      <c r="F198" s="82"/>
      <c r="G198" s="82"/>
      <c r="H198" s="82"/>
    </row>
    <row r="199" ht="15.75" customHeight="1">
      <c r="A199" s="87"/>
      <c r="B199" s="82"/>
      <c r="C199" s="82"/>
      <c r="D199" s="82"/>
      <c r="E199" s="82"/>
      <c r="F199" s="82"/>
      <c r="G199" s="82"/>
      <c r="H199" s="82"/>
    </row>
    <row r="200" ht="15.75" customHeight="1">
      <c r="A200" s="87"/>
      <c r="B200" s="82"/>
      <c r="C200" s="82"/>
      <c r="D200" s="82"/>
      <c r="E200" s="82"/>
      <c r="F200" s="82"/>
      <c r="G200" s="82"/>
      <c r="H200" s="82"/>
    </row>
    <row r="201" ht="15.75" customHeight="1">
      <c r="A201" s="87"/>
      <c r="B201" s="82"/>
      <c r="C201" s="82"/>
      <c r="D201" s="82"/>
      <c r="E201" s="82"/>
      <c r="F201" s="82"/>
      <c r="G201" s="82"/>
      <c r="H201" s="82"/>
    </row>
    <row r="202" ht="15.75" customHeight="1">
      <c r="A202" s="87"/>
      <c r="B202" s="82"/>
      <c r="C202" s="82"/>
      <c r="D202" s="82"/>
      <c r="E202" s="82"/>
      <c r="F202" s="82"/>
      <c r="G202" s="82"/>
      <c r="H202" s="82"/>
    </row>
    <row r="203" ht="15.75" customHeight="1">
      <c r="A203" s="87"/>
      <c r="B203" s="82"/>
      <c r="C203" s="82"/>
      <c r="D203" s="82"/>
      <c r="E203" s="82"/>
      <c r="F203" s="82"/>
      <c r="G203" s="82"/>
      <c r="H203" s="82"/>
    </row>
    <row r="204" ht="15.75" customHeight="1">
      <c r="A204" s="87"/>
      <c r="B204" s="82"/>
      <c r="C204" s="82"/>
      <c r="D204" s="82"/>
      <c r="E204" s="82"/>
      <c r="F204" s="82"/>
      <c r="G204" s="82"/>
      <c r="H204" s="82"/>
    </row>
    <row r="205" ht="15.75" customHeight="1">
      <c r="A205" s="87"/>
      <c r="B205" s="82"/>
      <c r="C205" s="82"/>
      <c r="D205" s="82"/>
      <c r="E205" s="82"/>
      <c r="F205" s="82"/>
      <c r="G205" s="82"/>
      <c r="H205" s="82"/>
    </row>
    <row r="206" ht="15.75" customHeight="1">
      <c r="A206" s="87"/>
      <c r="B206" s="82"/>
      <c r="C206" s="82"/>
      <c r="D206" s="82"/>
      <c r="E206" s="82"/>
      <c r="F206" s="82"/>
      <c r="G206" s="82"/>
      <c r="H206" s="82"/>
    </row>
    <row r="207" ht="15.75" customHeight="1">
      <c r="A207" s="87"/>
      <c r="B207" s="82"/>
      <c r="C207" s="82"/>
      <c r="D207" s="82"/>
      <c r="E207" s="82"/>
      <c r="F207" s="82"/>
      <c r="G207" s="82"/>
      <c r="H207" s="82"/>
    </row>
    <row r="208" ht="15.75" customHeight="1">
      <c r="A208" s="87"/>
      <c r="B208" s="82"/>
      <c r="C208" s="82"/>
      <c r="D208" s="82"/>
      <c r="E208" s="82"/>
      <c r="F208" s="82"/>
      <c r="G208" s="82"/>
      <c r="H208" s="82"/>
    </row>
    <row r="209" ht="15.75" customHeight="1">
      <c r="A209" s="87"/>
      <c r="B209" s="82"/>
      <c r="C209" s="82"/>
      <c r="D209" s="82"/>
      <c r="E209" s="82"/>
      <c r="F209" s="82"/>
      <c r="G209" s="82"/>
      <c r="H209" s="82"/>
    </row>
    <row r="210" ht="15.75" customHeight="1">
      <c r="A210" s="87"/>
      <c r="B210" s="82"/>
      <c r="C210" s="82"/>
      <c r="D210" s="82"/>
      <c r="E210" s="82"/>
      <c r="F210" s="82"/>
      <c r="G210" s="82"/>
      <c r="H210" s="82"/>
    </row>
    <row r="211" ht="15.75" customHeight="1">
      <c r="A211" s="87"/>
      <c r="B211" s="82"/>
      <c r="C211" s="82"/>
      <c r="D211" s="82"/>
      <c r="E211" s="82"/>
      <c r="F211" s="82"/>
      <c r="G211" s="82"/>
      <c r="H211" s="82"/>
    </row>
    <row r="212" ht="15.75" customHeight="1">
      <c r="A212" s="87"/>
      <c r="B212" s="82"/>
      <c r="C212" s="82"/>
      <c r="D212" s="82"/>
      <c r="E212" s="82"/>
      <c r="F212" s="82"/>
      <c r="G212" s="82"/>
      <c r="H212" s="82"/>
    </row>
    <row r="213" ht="15.75" customHeight="1">
      <c r="A213" s="87"/>
      <c r="B213" s="82"/>
      <c r="C213" s="82"/>
      <c r="D213" s="82"/>
      <c r="E213" s="82"/>
      <c r="F213" s="82"/>
      <c r="G213" s="82"/>
      <c r="H213" s="82"/>
    </row>
    <row r="214" ht="15.75" customHeight="1">
      <c r="A214" s="87"/>
      <c r="B214" s="82"/>
      <c r="C214" s="82"/>
      <c r="D214" s="82"/>
      <c r="E214" s="82"/>
      <c r="F214" s="82"/>
      <c r="G214" s="82"/>
      <c r="H214" s="82"/>
    </row>
    <row r="215" ht="15.75" customHeight="1">
      <c r="A215" s="87"/>
      <c r="B215" s="82"/>
      <c r="C215" s="82"/>
      <c r="D215" s="82"/>
      <c r="E215" s="82"/>
      <c r="F215" s="82"/>
      <c r="G215" s="82"/>
      <c r="H215" s="82"/>
    </row>
    <row r="216" ht="15.75" customHeight="1">
      <c r="A216" s="87"/>
      <c r="B216" s="82"/>
      <c r="C216" s="82"/>
      <c r="D216" s="82"/>
      <c r="E216" s="82"/>
      <c r="F216" s="82"/>
      <c r="G216" s="82"/>
      <c r="H216" s="82"/>
    </row>
    <row r="217" ht="15.75" customHeight="1">
      <c r="A217" s="87"/>
      <c r="B217" s="82"/>
      <c r="C217" s="82"/>
      <c r="D217" s="82"/>
      <c r="E217" s="82"/>
      <c r="F217" s="82"/>
      <c r="G217" s="82"/>
      <c r="H217" s="82"/>
    </row>
    <row r="218" ht="15.75" customHeight="1">
      <c r="A218" s="87"/>
      <c r="B218" s="82"/>
      <c r="C218" s="82"/>
      <c r="D218" s="82"/>
      <c r="E218" s="82"/>
      <c r="F218" s="82"/>
      <c r="G218" s="82"/>
      <c r="H218" s="82"/>
    </row>
    <row r="219" ht="15.75" customHeight="1">
      <c r="A219" s="87"/>
      <c r="B219" s="82"/>
      <c r="C219" s="82"/>
      <c r="D219" s="82"/>
      <c r="E219" s="82"/>
      <c r="F219" s="82"/>
      <c r="G219" s="82"/>
      <c r="H219" s="82"/>
    </row>
    <row r="220" ht="15.75" customHeight="1">
      <c r="A220" s="87"/>
      <c r="B220" s="82"/>
      <c r="C220" s="82"/>
      <c r="D220" s="82"/>
      <c r="E220" s="82"/>
      <c r="F220" s="82"/>
      <c r="G220" s="82"/>
      <c r="H220" s="82"/>
    </row>
    <row r="221" ht="15.75" customHeight="1">
      <c r="A221" s="87"/>
      <c r="B221" s="82"/>
      <c r="C221" s="82"/>
      <c r="D221" s="82"/>
      <c r="E221" s="82"/>
      <c r="F221" s="82"/>
      <c r="G221" s="82"/>
      <c r="H221" s="82"/>
    </row>
    <row r="222" ht="15.75" customHeight="1">
      <c r="A222" s="87"/>
      <c r="B222" s="82"/>
      <c r="C222" s="82"/>
      <c r="D222" s="82"/>
      <c r="E222" s="82"/>
      <c r="F222" s="82"/>
      <c r="G222" s="82"/>
      <c r="H222" s="82"/>
    </row>
    <row r="223" ht="15.75" customHeight="1">
      <c r="A223" s="87"/>
      <c r="B223" s="82"/>
      <c r="C223" s="82"/>
      <c r="D223" s="82"/>
      <c r="E223" s="82"/>
      <c r="F223" s="82"/>
      <c r="G223" s="82"/>
      <c r="H223" s="82"/>
    </row>
    <row r="224" ht="15.75" customHeight="1">
      <c r="A224" s="87"/>
      <c r="B224" s="82"/>
      <c r="C224" s="82"/>
      <c r="D224" s="82"/>
      <c r="E224" s="82"/>
      <c r="F224" s="82"/>
      <c r="G224" s="82"/>
      <c r="H224" s="82"/>
    </row>
    <row r="225" ht="15.75" customHeight="1">
      <c r="A225" s="87"/>
      <c r="B225" s="82"/>
      <c r="C225" s="82"/>
      <c r="D225" s="82"/>
      <c r="E225" s="82"/>
      <c r="F225" s="82"/>
      <c r="G225" s="82"/>
      <c r="H225" s="82"/>
    </row>
    <row r="226" ht="15.75" customHeight="1">
      <c r="A226" s="87"/>
      <c r="B226" s="82"/>
      <c r="C226" s="82"/>
      <c r="D226" s="82"/>
      <c r="E226" s="82"/>
      <c r="F226" s="82"/>
      <c r="G226" s="82"/>
      <c r="H226" s="82"/>
    </row>
    <row r="227" ht="15.75" customHeight="1">
      <c r="A227" s="87"/>
      <c r="B227" s="82"/>
      <c r="C227" s="82"/>
      <c r="D227" s="82"/>
      <c r="E227" s="82"/>
      <c r="F227" s="82"/>
      <c r="G227" s="82"/>
      <c r="H227" s="82"/>
    </row>
    <row r="228" ht="15.75" customHeight="1">
      <c r="A228" s="87"/>
      <c r="B228" s="82"/>
      <c r="C228" s="82"/>
      <c r="D228" s="82"/>
      <c r="E228" s="82"/>
      <c r="F228" s="82"/>
      <c r="G228" s="82"/>
      <c r="H228" s="82"/>
    </row>
    <row r="229" ht="15.75" customHeight="1">
      <c r="A229" s="87"/>
      <c r="B229" s="82"/>
      <c r="C229" s="82"/>
      <c r="D229" s="82"/>
      <c r="E229" s="82"/>
      <c r="F229" s="82"/>
      <c r="G229" s="82"/>
      <c r="H229" s="82"/>
    </row>
    <row r="230" ht="15.75" customHeight="1">
      <c r="A230" s="87"/>
      <c r="B230" s="82"/>
      <c r="C230" s="82"/>
      <c r="D230" s="82"/>
      <c r="E230" s="82"/>
      <c r="F230" s="82"/>
      <c r="G230" s="82"/>
      <c r="H230" s="82"/>
    </row>
    <row r="231" ht="15.75" customHeight="1">
      <c r="A231" s="87"/>
      <c r="B231" s="82"/>
      <c r="C231" s="82"/>
      <c r="D231" s="82"/>
      <c r="E231" s="82"/>
      <c r="F231" s="82"/>
      <c r="G231" s="82"/>
      <c r="H231" s="82"/>
    </row>
    <row r="232" ht="15.75" customHeight="1">
      <c r="A232" s="87"/>
      <c r="B232" s="82"/>
      <c r="C232" s="82"/>
      <c r="D232" s="82"/>
      <c r="E232" s="82"/>
      <c r="F232" s="82"/>
      <c r="G232" s="82"/>
      <c r="H232" s="82"/>
    </row>
    <row r="233" ht="15.75" customHeight="1">
      <c r="A233" s="87"/>
      <c r="B233" s="82"/>
      <c r="C233" s="82"/>
      <c r="D233" s="82"/>
      <c r="E233" s="82"/>
      <c r="F233" s="82"/>
      <c r="G233" s="82"/>
      <c r="H233" s="82"/>
    </row>
    <row r="234" ht="15.75" customHeight="1">
      <c r="A234" s="87"/>
      <c r="B234" s="82"/>
      <c r="C234" s="82"/>
      <c r="D234" s="82"/>
      <c r="E234" s="82"/>
      <c r="F234" s="82"/>
      <c r="G234" s="82"/>
      <c r="H234" s="82"/>
    </row>
    <row r="235" ht="15.75" customHeight="1">
      <c r="A235" s="87"/>
      <c r="B235" s="82"/>
      <c r="C235" s="82"/>
      <c r="D235" s="82"/>
      <c r="E235" s="82"/>
      <c r="F235" s="82"/>
      <c r="G235" s="82"/>
      <c r="H235" s="82"/>
    </row>
    <row r="236" ht="15.75" customHeight="1">
      <c r="A236" s="87"/>
      <c r="B236" s="82"/>
      <c r="C236" s="82"/>
      <c r="D236" s="82"/>
      <c r="E236" s="82"/>
      <c r="F236" s="82"/>
      <c r="G236" s="82"/>
      <c r="H236" s="82"/>
    </row>
    <row r="237" ht="15.75" customHeight="1">
      <c r="A237" s="87"/>
      <c r="B237" s="82"/>
      <c r="C237" s="82"/>
      <c r="D237" s="82"/>
      <c r="E237" s="82"/>
      <c r="F237" s="82"/>
      <c r="G237" s="82"/>
      <c r="H237" s="82"/>
    </row>
    <row r="238" ht="15.75" customHeight="1">
      <c r="A238" s="87"/>
      <c r="B238" s="82"/>
      <c r="C238" s="82"/>
      <c r="D238" s="82"/>
      <c r="E238" s="82"/>
      <c r="F238" s="82"/>
      <c r="G238" s="82"/>
      <c r="H238" s="82"/>
    </row>
    <row r="239" ht="15.75" customHeight="1">
      <c r="A239" s="87"/>
      <c r="B239" s="82"/>
      <c r="C239" s="82"/>
      <c r="D239" s="82"/>
      <c r="E239" s="82"/>
      <c r="F239" s="82"/>
      <c r="G239" s="82"/>
      <c r="H239" s="82"/>
    </row>
    <row r="240" ht="15.75" customHeight="1">
      <c r="A240" s="87"/>
      <c r="B240" s="82"/>
      <c r="C240" s="82"/>
      <c r="D240" s="82"/>
      <c r="E240" s="82"/>
      <c r="F240" s="82"/>
      <c r="G240" s="82"/>
      <c r="H240" s="82"/>
    </row>
    <row r="241" ht="15.75" customHeight="1">
      <c r="A241" s="87"/>
      <c r="B241" s="82"/>
      <c r="C241" s="82"/>
      <c r="D241" s="82"/>
      <c r="E241" s="82"/>
      <c r="F241" s="82"/>
      <c r="G241" s="82"/>
      <c r="H241" s="82"/>
    </row>
    <row r="242" ht="15.75" customHeight="1">
      <c r="A242" s="87"/>
      <c r="B242" s="82"/>
      <c r="C242" s="82"/>
      <c r="D242" s="82"/>
      <c r="E242" s="82"/>
      <c r="F242" s="82"/>
      <c r="G242" s="82"/>
      <c r="H242" s="82"/>
    </row>
    <row r="243" ht="15.75" customHeight="1">
      <c r="A243" s="87"/>
      <c r="B243" s="82"/>
      <c r="C243" s="82"/>
      <c r="D243" s="82"/>
      <c r="E243" s="82"/>
      <c r="F243" s="82"/>
      <c r="G243" s="82"/>
      <c r="H243" s="82"/>
    </row>
    <row r="244" ht="15.75" customHeight="1">
      <c r="A244" s="87"/>
      <c r="B244" s="82"/>
      <c r="C244" s="82"/>
      <c r="D244" s="82"/>
      <c r="E244" s="82"/>
      <c r="F244" s="82"/>
      <c r="G244" s="82"/>
      <c r="H244" s="82"/>
    </row>
    <row r="245" ht="15.75" customHeight="1">
      <c r="A245" s="87"/>
      <c r="B245" s="82"/>
      <c r="C245" s="82"/>
      <c r="D245" s="82"/>
      <c r="E245" s="82"/>
      <c r="F245" s="82"/>
      <c r="G245" s="82"/>
      <c r="H245" s="82"/>
    </row>
    <row r="246" ht="15.75" customHeight="1">
      <c r="A246" s="87"/>
      <c r="B246" s="82"/>
      <c r="C246" s="82"/>
      <c r="D246" s="82"/>
      <c r="E246" s="82"/>
      <c r="F246" s="82"/>
      <c r="G246" s="82"/>
      <c r="H246" s="82"/>
    </row>
    <row r="247" ht="15.75" customHeight="1">
      <c r="A247" s="87"/>
      <c r="B247" s="82"/>
      <c r="C247" s="82"/>
      <c r="D247" s="82"/>
      <c r="E247" s="82"/>
      <c r="F247" s="82"/>
      <c r="G247" s="82"/>
      <c r="H247" s="82"/>
    </row>
    <row r="248" ht="15.75" customHeight="1">
      <c r="A248" s="87"/>
      <c r="B248" s="82"/>
      <c r="C248" s="82"/>
      <c r="D248" s="82"/>
      <c r="E248" s="82"/>
      <c r="F248" s="82"/>
      <c r="G248" s="82"/>
      <c r="H248" s="82"/>
    </row>
    <row r="249" ht="15.75" customHeight="1">
      <c r="A249" s="87"/>
      <c r="B249" s="82"/>
      <c r="C249" s="82"/>
      <c r="D249" s="82"/>
      <c r="E249" s="82"/>
      <c r="F249" s="82"/>
      <c r="G249" s="82"/>
      <c r="H249" s="82"/>
    </row>
    <row r="250" ht="15.75" customHeight="1">
      <c r="A250" s="87"/>
      <c r="B250" s="82"/>
      <c r="C250" s="82"/>
      <c r="D250" s="82"/>
      <c r="E250" s="82"/>
      <c r="F250" s="82"/>
      <c r="G250" s="82"/>
      <c r="H250" s="82"/>
    </row>
    <row r="251" ht="15.75" customHeight="1">
      <c r="A251" s="87"/>
      <c r="B251" s="82"/>
      <c r="C251" s="82"/>
      <c r="D251" s="82"/>
      <c r="E251" s="82"/>
      <c r="F251" s="82"/>
      <c r="G251" s="82"/>
      <c r="H251" s="82"/>
    </row>
    <row r="252" ht="15.75" customHeight="1">
      <c r="A252" s="87"/>
      <c r="B252" s="82"/>
      <c r="C252" s="82"/>
      <c r="D252" s="82"/>
      <c r="E252" s="82"/>
      <c r="F252" s="82"/>
      <c r="G252" s="82"/>
      <c r="H252" s="82"/>
    </row>
    <row r="253" ht="15.75" customHeight="1">
      <c r="A253" s="87"/>
      <c r="B253" s="82"/>
      <c r="C253" s="82"/>
      <c r="D253" s="82"/>
      <c r="E253" s="82"/>
      <c r="F253" s="82"/>
      <c r="G253" s="82"/>
      <c r="H253" s="82"/>
    </row>
    <row r="254" ht="15.75" customHeight="1">
      <c r="A254" s="87"/>
      <c r="B254" s="82"/>
      <c r="C254" s="82"/>
      <c r="D254" s="82"/>
      <c r="E254" s="82"/>
      <c r="F254" s="82"/>
      <c r="G254" s="82"/>
      <c r="H254" s="82"/>
    </row>
    <row r="255" ht="15.75" customHeight="1">
      <c r="A255" s="87"/>
      <c r="B255" s="82"/>
      <c r="C255" s="82"/>
      <c r="D255" s="82"/>
      <c r="E255" s="82"/>
      <c r="F255" s="82"/>
      <c r="G255" s="82"/>
      <c r="H255" s="82"/>
    </row>
    <row r="256" ht="15.75" customHeight="1">
      <c r="A256" s="87"/>
      <c r="B256" s="82"/>
      <c r="C256" s="82"/>
      <c r="D256" s="82"/>
      <c r="E256" s="82"/>
      <c r="F256" s="82"/>
      <c r="G256" s="82"/>
      <c r="H256" s="82"/>
    </row>
    <row r="257" ht="15.75" customHeight="1">
      <c r="A257" s="87"/>
      <c r="B257" s="82"/>
      <c r="C257" s="82"/>
      <c r="D257" s="82"/>
      <c r="E257" s="82"/>
      <c r="F257" s="82"/>
      <c r="G257" s="82"/>
      <c r="H257" s="82"/>
    </row>
    <row r="258" ht="15.75" customHeight="1">
      <c r="A258" s="87"/>
      <c r="B258" s="82"/>
      <c r="C258" s="82"/>
      <c r="D258" s="82"/>
      <c r="E258" s="82"/>
      <c r="F258" s="82"/>
      <c r="G258" s="82"/>
      <c r="H258" s="82"/>
    </row>
    <row r="259" ht="15.75" customHeight="1">
      <c r="A259" s="87"/>
      <c r="B259" s="82"/>
      <c r="C259" s="82"/>
      <c r="D259" s="82"/>
      <c r="E259" s="82"/>
      <c r="F259" s="82"/>
      <c r="G259" s="82"/>
      <c r="H259" s="82"/>
    </row>
    <row r="260" ht="15.75" customHeight="1">
      <c r="A260" s="87"/>
      <c r="B260" s="82"/>
      <c r="C260" s="82"/>
      <c r="D260" s="82"/>
      <c r="E260" s="82"/>
      <c r="F260" s="82"/>
      <c r="G260" s="82"/>
      <c r="H260" s="82"/>
    </row>
    <row r="261" ht="15.75" customHeight="1">
      <c r="A261" s="87"/>
      <c r="B261" s="82"/>
      <c r="C261" s="82"/>
      <c r="D261" s="82"/>
      <c r="E261" s="82"/>
      <c r="F261" s="82"/>
      <c r="G261" s="82"/>
      <c r="H261" s="82"/>
    </row>
    <row r="262" ht="15.75" customHeight="1">
      <c r="A262" s="87"/>
      <c r="B262" s="82"/>
      <c r="C262" s="82"/>
      <c r="D262" s="82"/>
      <c r="E262" s="82"/>
      <c r="F262" s="82"/>
      <c r="G262" s="82"/>
      <c r="H262" s="82"/>
    </row>
    <row r="263" ht="15.75" customHeight="1">
      <c r="A263" s="87"/>
      <c r="B263" s="82"/>
      <c r="C263" s="82"/>
      <c r="D263" s="82"/>
      <c r="E263" s="82"/>
      <c r="F263" s="82"/>
      <c r="G263" s="82"/>
      <c r="H263" s="82"/>
    </row>
    <row r="264" ht="15.75" customHeight="1">
      <c r="A264" s="87"/>
      <c r="B264" s="82"/>
      <c r="C264" s="82"/>
      <c r="D264" s="82"/>
      <c r="E264" s="82"/>
      <c r="F264" s="82"/>
      <c r="G264" s="82"/>
      <c r="H264" s="82"/>
    </row>
    <row r="265" ht="15.75" customHeight="1">
      <c r="A265" s="87"/>
      <c r="B265" s="82"/>
      <c r="C265" s="82"/>
      <c r="D265" s="82"/>
      <c r="E265" s="82"/>
      <c r="F265" s="82"/>
      <c r="G265" s="82"/>
      <c r="H265" s="82"/>
    </row>
    <row r="266" ht="15.75" customHeight="1">
      <c r="A266" s="87"/>
      <c r="B266" s="82"/>
      <c r="C266" s="82"/>
      <c r="D266" s="82"/>
      <c r="E266" s="82"/>
      <c r="F266" s="82"/>
      <c r="G266" s="82"/>
      <c r="H266" s="82"/>
    </row>
    <row r="267" ht="15.75" customHeight="1">
      <c r="A267" s="87"/>
      <c r="B267" s="82"/>
      <c r="C267" s="82"/>
      <c r="D267" s="82"/>
      <c r="E267" s="82"/>
      <c r="F267" s="82"/>
      <c r="G267" s="82"/>
      <c r="H267" s="82"/>
    </row>
    <row r="268" ht="15.75" customHeight="1">
      <c r="A268" s="87"/>
      <c r="B268" s="82"/>
      <c r="C268" s="82"/>
      <c r="D268" s="82"/>
      <c r="E268" s="82"/>
      <c r="F268" s="82"/>
      <c r="G268" s="82"/>
      <c r="H268" s="82"/>
    </row>
    <row r="269" ht="15.75" customHeight="1">
      <c r="A269" s="87"/>
      <c r="B269" s="82"/>
      <c r="C269" s="82"/>
      <c r="D269" s="82"/>
      <c r="E269" s="82"/>
      <c r="F269" s="82"/>
      <c r="G269" s="82"/>
      <c r="H269" s="82"/>
    </row>
    <row r="270" ht="15.75" customHeight="1">
      <c r="A270" s="87"/>
      <c r="B270" s="82"/>
      <c r="C270" s="82"/>
      <c r="D270" s="82"/>
      <c r="E270" s="82"/>
      <c r="F270" s="82"/>
      <c r="G270" s="82"/>
      <c r="H270" s="82"/>
    </row>
    <row r="271" ht="15.75" customHeight="1">
      <c r="A271" s="87"/>
      <c r="B271" s="82"/>
      <c r="C271" s="82"/>
      <c r="D271" s="82"/>
      <c r="E271" s="82"/>
      <c r="F271" s="82"/>
      <c r="G271" s="82"/>
      <c r="H271" s="82"/>
    </row>
    <row r="272" ht="15.75" customHeight="1">
      <c r="A272" s="87"/>
      <c r="B272" s="82"/>
      <c r="C272" s="82"/>
      <c r="D272" s="82"/>
      <c r="E272" s="82"/>
      <c r="F272" s="82"/>
      <c r="G272" s="82"/>
      <c r="H272" s="82"/>
    </row>
    <row r="273" ht="15.75" customHeight="1">
      <c r="A273" s="87"/>
      <c r="B273" s="82"/>
      <c r="C273" s="82"/>
      <c r="D273" s="82"/>
      <c r="E273" s="82"/>
      <c r="F273" s="82"/>
      <c r="G273" s="82"/>
      <c r="H273" s="82"/>
    </row>
    <row r="274" ht="15.75" customHeight="1">
      <c r="A274" s="87"/>
      <c r="B274" s="82"/>
      <c r="C274" s="82"/>
      <c r="D274" s="82"/>
      <c r="E274" s="82"/>
      <c r="F274" s="82"/>
      <c r="G274" s="82"/>
      <c r="H274" s="82"/>
    </row>
    <row r="275" ht="15.75" customHeight="1">
      <c r="A275" s="87"/>
      <c r="B275" s="82"/>
      <c r="C275" s="82"/>
      <c r="D275" s="82"/>
      <c r="E275" s="82"/>
      <c r="F275" s="82"/>
      <c r="G275" s="82"/>
      <c r="H275" s="82"/>
    </row>
    <row r="276" ht="15.75" customHeight="1">
      <c r="A276" s="87"/>
      <c r="B276" s="82"/>
      <c r="C276" s="82"/>
      <c r="D276" s="82"/>
      <c r="E276" s="82"/>
      <c r="F276" s="82"/>
      <c r="G276" s="82"/>
      <c r="H276" s="82"/>
    </row>
    <row r="277" ht="15.75" customHeight="1">
      <c r="A277" s="87"/>
      <c r="B277" s="82"/>
      <c r="C277" s="82"/>
      <c r="D277" s="82"/>
      <c r="E277" s="82"/>
      <c r="F277" s="82"/>
      <c r="G277" s="82"/>
      <c r="H277" s="82"/>
    </row>
    <row r="278" ht="15.75" customHeight="1">
      <c r="A278" s="87"/>
      <c r="B278" s="82"/>
      <c r="C278" s="82"/>
      <c r="D278" s="82"/>
      <c r="E278" s="82"/>
      <c r="F278" s="82"/>
      <c r="G278" s="82"/>
      <c r="H278" s="82"/>
    </row>
    <row r="279" ht="15.75" customHeight="1">
      <c r="A279" s="87"/>
      <c r="B279" s="82"/>
      <c r="C279" s="82"/>
      <c r="D279" s="82"/>
      <c r="E279" s="82"/>
      <c r="F279" s="82"/>
      <c r="G279" s="82"/>
      <c r="H279" s="82"/>
    </row>
    <row r="280" ht="15.75" customHeight="1">
      <c r="A280" s="87"/>
      <c r="B280" s="82"/>
      <c r="C280" s="82"/>
      <c r="D280" s="82"/>
      <c r="E280" s="82"/>
      <c r="F280" s="82"/>
      <c r="G280" s="82"/>
      <c r="H280" s="82"/>
    </row>
    <row r="281" ht="15.75" customHeight="1">
      <c r="A281" s="87"/>
      <c r="B281" s="82"/>
      <c r="C281" s="82"/>
      <c r="D281" s="82"/>
      <c r="E281" s="82"/>
      <c r="F281" s="82"/>
      <c r="G281" s="82"/>
      <c r="H281" s="82"/>
    </row>
    <row r="282" ht="15.75" customHeight="1">
      <c r="A282" s="87"/>
      <c r="B282" s="82"/>
      <c r="C282" s="82"/>
      <c r="D282" s="82"/>
      <c r="E282" s="82"/>
      <c r="F282" s="82"/>
      <c r="G282" s="82"/>
      <c r="H282" s="82"/>
    </row>
    <row r="283" ht="15.75" customHeight="1">
      <c r="A283" s="87"/>
      <c r="B283" s="82"/>
      <c r="C283" s="82"/>
      <c r="D283" s="82"/>
      <c r="E283" s="82"/>
      <c r="F283" s="82"/>
      <c r="G283" s="82"/>
      <c r="H283" s="82"/>
    </row>
    <row r="284" ht="15.75" customHeight="1">
      <c r="A284" s="87"/>
      <c r="B284" s="82"/>
      <c r="C284" s="82"/>
      <c r="D284" s="82"/>
      <c r="E284" s="82"/>
      <c r="F284" s="82"/>
      <c r="G284" s="82"/>
      <c r="H284" s="82"/>
    </row>
    <row r="285" ht="15.75" customHeight="1">
      <c r="A285" s="87"/>
      <c r="B285" s="82"/>
      <c r="C285" s="82"/>
      <c r="D285" s="82"/>
      <c r="E285" s="82"/>
      <c r="F285" s="82"/>
      <c r="G285" s="82"/>
      <c r="H285" s="82"/>
    </row>
    <row r="286" ht="15.75" customHeight="1">
      <c r="A286" s="87"/>
      <c r="B286" s="82"/>
      <c r="C286" s="82"/>
      <c r="D286" s="82"/>
      <c r="E286" s="82"/>
      <c r="F286" s="82"/>
      <c r="G286" s="82"/>
      <c r="H286" s="82"/>
    </row>
    <row r="287" ht="15.75" customHeight="1">
      <c r="A287" s="87"/>
      <c r="B287" s="82"/>
      <c r="C287" s="82"/>
      <c r="D287" s="82"/>
      <c r="E287" s="82"/>
      <c r="F287" s="82"/>
      <c r="G287" s="82"/>
      <c r="H287" s="82"/>
    </row>
    <row r="288" ht="15.75" customHeight="1">
      <c r="A288" s="87"/>
      <c r="B288" s="82"/>
      <c r="C288" s="82"/>
      <c r="D288" s="82"/>
      <c r="E288" s="82"/>
      <c r="F288" s="82"/>
      <c r="G288" s="82"/>
      <c r="H288" s="82"/>
    </row>
    <row r="289" ht="15.75" customHeight="1">
      <c r="A289" s="87"/>
      <c r="B289" s="82"/>
      <c r="C289" s="82"/>
      <c r="D289" s="82"/>
      <c r="E289" s="82"/>
      <c r="F289" s="82"/>
      <c r="G289" s="82"/>
      <c r="H289" s="82"/>
    </row>
    <row r="290" ht="15.75" customHeight="1">
      <c r="A290" s="87"/>
      <c r="B290" s="82"/>
      <c r="C290" s="82"/>
      <c r="D290" s="82"/>
      <c r="E290" s="82"/>
      <c r="F290" s="82"/>
      <c r="G290" s="82"/>
      <c r="H290" s="82"/>
    </row>
    <row r="291" ht="15.75" customHeight="1">
      <c r="A291" s="87"/>
      <c r="B291" s="82"/>
      <c r="C291" s="82"/>
      <c r="D291" s="82"/>
      <c r="E291" s="82"/>
      <c r="F291" s="82"/>
      <c r="G291" s="82"/>
      <c r="H291" s="82"/>
    </row>
    <row r="292" ht="15.75" customHeight="1">
      <c r="A292" s="87"/>
      <c r="B292" s="82"/>
      <c r="C292" s="82"/>
      <c r="D292" s="82"/>
      <c r="E292" s="82"/>
      <c r="F292" s="82"/>
      <c r="G292" s="82"/>
      <c r="H292" s="82"/>
    </row>
    <row r="293" ht="15.75" customHeight="1">
      <c r="A293" s="87"/>
      <c r="B293" s="82"/>
      <c r="C293" s="82"/>
      <c r="D293" s="82"/>
      <c r="E293" s="82"/>
      <c r="F293" s="82"/>
      <c r="G293" s="82"/>
      <c r="H293" s="82"/>
    </row>
    <row r="294" ht="15.75" customHeight="1">
      <c r="A294" s="87"/>
      <c r="B294" s="82"/>
      <c r="C294" s="82"/>
      <c r="D294" s="82"/>
      <c r="E294" s="82"/>
      <c r="F294" s="82"/>
      <c r="G294" s="82"/>
      <c r="H294" s="82"/>
    </row>
    <row r="295" ht="15.75" customHeight="1">
      <c r="A295" s="87"/>
      <c r="B295" s="82"/>
      <c r="C295" s="82"/>
      <c r="D295" s="82"/>
      <c r="E295" s="82"/>
      <c r="F295" s="82"/>
      <c r="G295" s="82"/>
      <c r="H295" s="82"/>
    </row>
    <row r="296" ht="15.75" customHeight="1">
      <c r="A296" s="87"/>
      <c r="B296" s="82"/>
      <c r="C296" s="82"/>
      <c r="D296" s="82"/>
      <c r="E296" s="82"/>
      <c r="F296" s="82"/>
      <c r="G296" s="82"/>
      <c r="H296" s="82"/>
    </row>
    <row r="297" ht="15.75" customHeight="1">
      <c r="A297" s="87"/>
      <c r="B297" s="82"/>
      <c r="C297" s="82"/>
      <c r="D297" s="82"/>
      <c r="E297" s="82"/>
      <c r="F297" s="82"/>
      <c r="G297" s="82"/>
      <c r="H297" s="82"/>
    </row>
    <row r="298" ht="15.75" customHeight="1">
      <c r="A298" s="87"/>
      <c r="B298" s="82"/>
      <c r="C298" s="82"/>
      <c r="D298" s="82"/>
      <c r="E298" s="82"/>
      <c r="F298" s="82"/>
      <c r="G298" s="82"/>
      <c r="H298" s="82"/>
    </row>
    <row r="299" ht="15.75" customHeight="1">
      <c r="A299" s="87"/>
      <c r="B299" s="82"/>
      <c r="C299" s="82"/>
      <c r="D299" s="82"/>
      <c r="E299" s="82"/>
      <c r="F299" s="82"/>
      <c r="G299" s="82"/>
      <c r="H299" s="82"/>
    </row>
    <row r="300" ht="15.75" customHeight="1">
      <c r="A300" s="87"/>
      <c r="B300" s="82"/>
      <c r="C300" s="82"/>
      <c r="D300" s="82"/>
      <c r="E300" s="82"/>
      <c r="F300" s="82"/>
      <c r="G300" s="82"/>
      <c r="H300" s="82"/>
    </row>
    <row r="301" ht="15.75" customHeight="1">
      <c r="A301" s="87"/>
      <c r="B301" s="82"/>
      <c r="C301" s="82"/>
      <c r="D301" s="82"/>
      <c r="E301" s="82"/>
      <c r="F301" s="82"/>
      <c r="G301" s="82"/>
      <c r="H301" s="82"/>
    </row>
    <row r="302" ht="15.75" customHeight="1">
      <c r="A302" s="87"/>
      <c r="B302" s="82"/>
      <c r="C302" s="82"/>
      <c r="D302" s="82"/>
      <c r="E302" s="82"/>
      <c r="F302" s="82"/>
      <c r="G302" s="82"/>
      <c r="H302" s="82"/>
    </row>
    <row r="303" ht="15.75" customHeight="1">
      <c r="A303" s="87"/>
      <c r="B303" s="82"/>
      <c r="C303" s="82"/>
      <c r="D303" s="82"/>
      <c r="E303" s="82"/>
      <c r="F303" s="82"/>
      <c r="G303" s="82"/>
      <c r="H303" s="82"/>
    </row>
    <row r="304" ht="15.75" customHeight="1">
      <c r="A304" s="87"/>
      <c r="B304" s="82"/>
      <c r="C304" s="82"/>
      <c r="D304" s="82"/>
      <c r="E304" s="82"/>
      <c r="F304" s="82"/>
      <c r="G304" s="82"/>
      <c r="H304" s="82"/>
    </row>
    <row r="305" ht="15.75" customHeight="1">
      <c r="A305" s="87"/>
      <c r="B305" s="82"/>
      <c r="C305" s="82"/>
      <c r="D305" s="82"/>
      <c r="E305" s="82"/>
      <c r="F305" s="82"/>
      <c r="G305" s="82"/>
      <c r="H305" s="82"/>
    </row>
    <row r="306" ht="15.75" customHeight="1">
      <c r="A306" s="87"/>
      <c r="B306" s="82"/>
      <c r="C306" s="82"/>
      <c r="D306" s="82"/>
      <c r="E306" s="82"/>
      <c r="F306" s="82"/>
      <c r="G306" s="82"/>
      <c r="H306" s="82"/>
    </row>
    <row r="307" ht="15.75" customHeight="1">
      <c r="A307" s="87"/>
      <c r="B307" s="82"/>
      <c r="C307" s="82"/>
      <c r="D307" s="82"/>
      <c r="E307" s="82"/>
      <c r="F307" s="82"/>
      <c r="G307" s="82"/>
      <c r="H307" s="82"/>
    </row>
    <row r="308" ht="15.75" customHeight="1">
      <c r="A308" s="87"/>
      <c r="B308" s="82"/>
      <c r="C308" s="82"/>
      <c r="D308" s="82"/>
      <c r="E308" s="82"/>
      <c r="F308" s="82"/>
      <c r="G308" s="82"/>
      <c r="H308" s="82"/>
    </row>
    <row r="309" ht="15.75" customHeight="1">
      <c r="A309" s="87"/>
      <c r="B309" s="82"/>
      <c r="C309" s="82"/>
      <c r="D309" s="82"/>
      <c r="E309" s="82"/>
      <c r="F309" s="82"/>
      <c r="G309" s="82"/>
      <c r="H309" s="82"/>
    </row>
    <row r="310" ht="15.75" customHeight="1">
      <c r="A310" s="87"/>
      <c r="B310" s="82"/>
      <c r="C310" s="82"/>
      <c r="D310" s="82"/>
      <c r="E310" s="82"/>
      <c r="F310" s="82"/>
      <c r="G310" s="82"/>
      <c r="H310" s="82"/>
    </row>
    <row r="311" ht="15.75" customHeight="1">
      <c r="A311" s="87"/>
      <c r="B311" s="82"/>
      <c r="C311" s="82"/>
      <c r="D311" s="82"/>
      <c r="E311" s="82"/>
      <c r="F311" s="82"/>
      <c r="G311" s="82"/>
      <c r="H311" s="82"/>
    </row>
    <row r="312" ht="15.75" customHeight="1">
      <c r="A312" s="87"/>
      <c r="B312" s="82"/>
      <c r="C312" s="82"/>
      <c r="D312" s="82"/>
      <c r="E312" s="82"/>
      <c r="F312" s="82"/>
      <c r="G312" s="82"/>
      <c r="H312" s="82"/>
    </row>
    <row r="313" ht="15.75" customHeight="1">
      <c r="A313" s="87"/>
      <c r="B313" s="82"/>
      <c r="C313" s="82"/>
      <c r="D313" s="82"/>
      <c r="E313" s="82"/>
      <c r="F313" s="82"/>
      <c r="G313" s="82"/>
      <c r="H313" s="82"/>
    </row>
    <row r="314" ht="15.75" customHeight="1">
      <c r="A314" s="87"/>
      <c r="B314" s="82"/>
      <c r="C314" s="82"/>
      <c r="D314" s="82"/>
      <c r="E314" s="82"/>
      <c r="F314" s="82"/>
      <c r="G314" s="82"/>
      <c r="H314" s="82"/>
    </row>
    <row r="315" ht="15.75" customHeight="1">
      <c r="A315" s="87"/>
      <c r="B315" s="82"/>
      <c r="C315" s="82"/>
      <c r="D315" s="82"/>
      <c r="E315" s="82"/>
      <c r="F315" s="82"/>
      <c r="G315" s="82"/>
      <c r="H315" s="82"/>
    </row>
    <row r="316" ht="15.75" customHeight="1">
      <c r="A316" s="87"/>
      <c r="B316" s="82"/>
      <c r="C316" s="82"/>
      <c r="D316" s="82"/>
      <c r="E316" s="82"/>
      <c r="F316" s="82"/>
      <c r="G316" s="82"/>
      <c r="H316" s="82"/>
    </row>
    <row r="317" ht="15.75" customHeight="1">
      <c r="A317" s="87"/>
      <c r="B317" s="82"/>
      <c r="C317" s="82"/>
      <c r="D317" s="82"/>
      <c r="E317" s="82"/>
      <c r="F317" s="82"/>
      <c r="G317" s="82"/>
      <c r="H317" s="82"/>
    </row>
    <row r="318" ht="15.75" customHeight="1">
      <c r="A318" s="87"/>
      <c r="B318" s="82"/>
      <c r="C318" s="82"/>
      <c r="D318" s="82"/>
      <c r="E318" s="82"/>
      <c r="F318" s="82"/>
      <c r="G318" s="82"/>
      <c r="H318" s="82"/>
    </row>
    <row r="319" ht="15.75" customHeight="1">
      <c r="A319" s="87"/>
      <c r="B319" s="82"/>
      <c r="C319" s="82"/>
      <c r="D319" s="82"/>
      <c r="E319" s="82"/>
      <c r="F319" s="82"/>
      <c r="G319" s="82"/>
      <c r="H319" s="82"/>
    </row>
    <row r="320" ht="15.75" customHeight="1">
      <c r="A320" s="87"/>
      <c r="B320" s="82"/>
      <c r="C320" s="82"/>
      <c r="D320" s="82"/>
      <c r="E320" s="82"/>
      <c r="F320" s="82"/>
      <c r="G320" s="82"/>
      <c r="H320" s="82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6.57"/>
    <col customWidth="1" min="3" max="3" width="23.14"/>
    <col customWidth="1" min="4" max="4" width="31.0"/>
    <col customWidth="1" min="5" max="5" width="21.29"/>
    <col customWidth="1" min="6" max="6" width="17.0"/>
  </cols>
  <sheetData>
    <row r="1" ht="22.5" customHeight="1">
      <c r="A1" s="88" t="s">
        <v>0</v>
      </c>
      <c r="B1" s="88" t="s">
        <v>1</v>
      </c>
      <c r="C1" s="88" t="s">
        <v>2</v>
      </c>
      <c r="D1" s="88" t="s">
        <v>4</v>
      </c>
      <c r="E1" s="88" t="s">
        <v>5</v>
      </c>
      <c r="F1" s="89" t="s">
        <v>7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5.75" customHeight="1">
      <c r="A2" s="72">
        <v>44037.0</v>
      </c>
      <c r="B2" s="26" t="s">
        <v>1485</v>
      </c>
      <c r="C2" s="26" t="s">
        <v>1486</v>
      </c>
      <c r="D2" s="26" t="s">
        <v>1487</v>
      </c>
      <c r="E2" s="26">
        <f>+966561091133</f>
        <v>966561091133</v>
      </c>
      <c r="F2" s="74"/>
    </row>
    <row r="3" ht="15.75" customHeight="1">
      <c r="A3" s="72">
        <v>44036.0</v>
      </c>
      <c r="B3" s="26" t="s">
        <v>1485</v>
      </c>
      <c r="C3" s="26" t="s">
        <v>1488</v>
      </c>
      <c r="D3" s="26" t="s">
        <v>1489</v>
      </c>
      <c r="E3" s="26">
        <f>+966550232445</f>
        <v>966550232445</v>
      </c>
      <c r="F3" s="74"/>
    </row>
    <row r="4" ht="15.75" customHeight="1">
      <c r="A4" s="72">
        <v>44036.0</v>
      </c>
      <c r="B4" s="26" t="s">
        <v>1485</v>
      </c>
      <c r="C4" s="28" t="s">
        <v>1490</v>
      </c>
      <c r="D4" s="26" t="s">
        <v>1491</v>
      </c>
      <c r="E4" s="26">
        <f>+966508908853</f>
        <v>966508908853</v>
      </c>
      <c r="F4" s="74"/>
    </row>
    <row r="5" ht="15.75" customHeight="1">
      <c r="A5" s="72">
        <v>44036.0</v>
      </c>
      <c r="B5" s="26" t="s">
        <v>1485</v>
      </c>
      <c r="C5" s="28" t="s">
        <v>1492</v>
      </c>
      <c r="D5" s="26" t="s">
        <v>1493</v>
      </c>
      <c r="E5" s="26">
        <f>+966502145017</f>
        <v>966502145017</v>
      </c>
      <c r="F5" s="74"/>
    </row>
    <row r="6" ht="15.75" customHeight="1">
      <c r="A6" s="72">
        <v>44036.0</v>
      </c>
      <c r="B6" s="26" t="s">
        <v>1485</v>
      </c>
      <c r="C6" s="26" t="s">
        <v>1494</v>
      </c>
      <c r="D6" s="26" t="s">
        <v>1495</v>
      </c>
      <c r="E6" s="26">
        <f>+9660545647186</f>
        <v>9660545647186</v>
      </c>
      <c r="F6" s="74"/>
    </row>
    <row r="7" ht="15.75" customHeight="1">
      <c r="A7" s="72">
        <v>44036.0</v>
      </c>
      <c r="B7" s="26" t="s">
        <v>1485</v>
      </c>
      <c r="C7" s="28" t="s">
        <v>1496</v>
      </c>
      <c r="D7" s="26" t="s">
        <v>1497</v>
      </c>
      <c r="E7" s="26">
        <f>+966507110338</f>
        <v>966507110338</v>
      </c>
      <c r="F7" s="74"/>
    </row>
    <row r="8" ht="15.75" customHeight="1">
      <c r="A8" s="72">
        <v>44035.0</v>
      </c>
      <c r="B8" s="26" t="s">
        <v>1485</v>
      </c>
      <c r="C8" s="28" t="s">
        <v>1498</v>
      </c>
      <c r="D8" s="26" t="s">
        <v>1499</v>
      </c>
      <c r="E8" s="26">
        <f>+966501560600</f>
        <v>966501560600</v>
      </c>
      <c r="F8" s="74"/>
    </row>
    <row r="9" ht="15.75" customHeight="1">
      <c r="A9" s="72">
        <v>44035.0</v>
      </c>
      <c r="B9" s="26" t="s">
        <v>1485</v>
      </c>
      <c r="C9" s="26" t="s">
        <v>1500</v>
      </c>
      <c r="D9" s="26" t="s">
        <v>1501</v>
      </c>
      <c r="E9" s="26">
        <f>+966504499420</f>
        <v>966504499420</v>
      </c>
      <c r="F9" s="74"/>
    </row>
    <row r="10" ht="15.75" customHeight="1">
      <c r="A10" s="72">
        <v>44034.0</v>
      </c>
      <c r="B10" s="26" t="s">
        <v>1485</v>
      </c>
      <c r="C10" s="26" t="s">
        <v>1502</v>
      </c>
      <c r="D10" s="26" t="s">
        <v>1503</v>
      </c>
      <c r="E10" s="26">
        <f>+966500724172</f>
        <v>966500724172</v>
      </c>
      <c r="F10" s="74"/>
    </row>
    <row r="11" ht="15.75" customHeight="1">
      <c r="A11" s="72">
        <v>44034.0</v>
      </c>
      <c r="B11" s="26" t="s">
        <v>1485</v>
      </c>
      <c r="C11" s="28" t="s">
        <v>1504</v>
      </c>
      <c r="D11" s="26" t="s">
        <v>1505</v>
      </c>
      <c r="E11" s="26">
        <f>+966509535157</f>
        <v>966509535157</v>
      </c>
      <c r="F11" s="74"/>
    </row>
    <row r="12" ht="15.75" customHeight="1">
      <c r="A12" s="72">
        <v>44034.0</v>
      </c>
      <c r="B12" s="26" t="s">
        <v>1485</v>
      </c>
      <c r="C12" s="28" t="s">
        <v>1506</v>
      </c>
      <c r="D12" s="26" t="s">
        <v>1507</v>
      </c>
      <c r="E12" s="26">
        <f>+966506999141</f>
        <v>966506999141</v>
      </c>
      <c r="F12" s="74"/>
    </row>
    <row r="13" ht="15.75" customHeight="1">
      <c r="A13" s="72">
        <v>44034.0</v>
      </c>
      <c r="B13" s="26" t="s">
        <v>1485</v>
      </c>
      <c r="C13" s="26" t="s">
        <v>1508</v>
      </c>
      <c r="D13" s="26" t="s">
        <v>1509</v>
      </c>
      <c r="E13" s="26">
        <f>+966542282619</f>
        <v>966542282619</v>
      </c>
      <c r="F13" s="74"/>
    </row>
    <row r="14" ht="15.75" customHeight="1">
      <c r="A14" s="72">
        <v>44033.0</v>
      </c>
      <c r="B14" s="26" t="s">
        <v>1485</v>
      </c>
      <c r="C14" s="26" t="s">
        <v>1510</v>
      </c>
      <c r="D14" s="26" t="s">
        <v>1511</v>
      </c>
      <c r="E14" s="26">
        <f>+966554465498</f>
        <v>966554465498</v>
      </c>
      <c r="F14" s="74"/>
    </row>
    <row r="15" ht="15.75" customHeight="1">
      <c r="A15" s="72">
        <v>44033.0</v>
      </c>
      <c r="B15" s="26" t="s">
        <v>1485</v>
      </c>
      <c r="C15" s="26" t="s">
        <v>1512</v>
      </c>
      <c r="D15" s="26" t="s">
        <v>1513</v>
      </c>
      <c r="E15" s="26">
        <f>+966580037772</f>
        <v>966580037772</v>
      </c>
      <c r="F15" s="74"/>
    </row>
    <row r="16" ht="15.75" customHeight="1">
      <c r="A16" s="72">
        <v>44033.0</v>
      </c>
      <c r="B16" s="26" t="s">
        <v>1485</v>
      </c>
      <c r="C16" s="28" t="s">
        <v>1514</v>
      </c>
      <c r="D16" s="26" t="s">
        <v>1515</v>
      </c>
      <c r="E16" s="26">
        <f>+966590209944</f>
        <v>966590209944</v>
      </c>
      <c r="F16" s="74"/>
    </row>
    <row r="17" ht="15.75" customHeight="1">
      <c r="A17" s="72">
        <v>44033.0</v>
      </c>
      <c r="B17" s="26" t="s">
        <v>1485</v>
      </c>
      <c r="C17" s="28" t="s">
        <v>1516</v>
      </c>
      <c r="D17" s="26" t="s">
        <v>1517</v>
      </c>
      <c r="E17" s="26">
        <f>+966545655393</f>
        <v>966545655393</v>
      </c>
      <c r="F17" s="74"/>
    </row>
    <row r="18" ht="15.75" customHeight="1">
      <c r="A18" s="72">
        <v>44033.0</v>
      </c>
      <c r="B18" s="26" t="s">
        <v>1485</v>
      </c>
      <c r="C18" s="26" t="s">
        <v>1518</v>
      </c>
      <c r="D18" s="26" t="s">
        <v>1519</v>
      </c>
      <c r="E18" s="26">
        <f>+966541242762</f>
        <v>966541242762</v>
      </c>
      <c r="F18" s="74"/>
    </row>
    <row r="19" ht="15.75" customHeight="1">
      <c r="A19" s="72">
        <v>44032.0</v>
      </c>
      <c r="B19" s="26" t="s">
        <v>1485</v>
      </c>
      <c r="C19" s="26" t="s">
        <v>1520</v>
      </c>
      <c r="D19" s="26" t="s">
        <v>1521</v>
      </c>
      <c r="E19" s="26">
        <f>+966561676130</f>
        <v>966561676130</v>
      </c>
      <c r="F19" s="74"/>
    </row>
    <row r="20" ht="15.75" customHeight="1">
      <c r="A20" s="72">
        <v>44032.0</v>
      </c>
      <c r="B20" s="26" t="s">
        <v>1485</v>
      </c>
      <c r="C20" s="26" t="s">
        <v>1522</v>
      </c>
      <c r="D20" s="26" t="s">
        <v>1523</v>
      </c>
      <c r="E20" s="26">
        <f>+966552212044</f>
        <v>966552212044</v>
      </c>
      <c r="F20" s="74"/>
    </row>
    <row r="21" ht="15.75" customHeight="1">
      <c r="A21" s="72">
        <v>44031.0</v>
      </c>
      <c r="B21" s="26" t="s">
        <v>1485</v>
      </c>
      <c r="C21" s="28" t="s">
        <v>1524</v>
      </c>
      <c r="D21" s="26" t="s">
        <v>1525</v>
      </c>
      <c r="E21" s="26">
        <f>+966565858530</f>
        <v>966565858530</v>
      </c>
      <c r="F21" s="74"/>
    </row>
    <row r="22" ht="15.75" customHeight="1">
      <c r="A22" s="72">
        <v>44031.0</v>
      </c>
      <c r="B22" s="26" t="s">
        <v>1485</v>
      </c>
      <c r="C22" s="28" t="s">
        <v>1526</v>
      </c>
      <c r="D22" s="26" t="s">
        <v>1527</v>
      </c>
      <c r="E22" s="26">
        <f>+966566469692</f>
        <v>966566469692</v>
      </c>
      <c r="F22" s="74"/>
    </row>
    <row r="23" ht="15.75" customHeight="1">
      <c r="A23" s="72">
        <v>44031.0</v>
      </c>
      <c r="B23" s="26" t="s">
        <v>1485</v>
      </c>
      <c r="C23" s="28" t="s">
        <v>1528</v>
      </c>
      <c r="D23" s="26" t="s">
        <v>1529</v>
      </c>
      <c r="E23" s="26">
        <f>+966504840595</f>
        <v>966504840595</v>
      </c>
      <c r="F23" s="74"/>
    </row>
    <row r="24" ht="15.75" customHeight="1">
      <c r="A24" s="72">
        <v>44030.0</v>
      </c>
      <c r="B24" s="26" t="s">
        <v>1485</v>
      </c>
      <c r="C24" s="26" t="s">
        <v>1530</v>
      </c>
      <c r="D24" s="26" t="s">
        <v>1531</v>
      </c>
      <c r="E24" s="26">
        <f>+966576277221</f>
        <v>966576277221</v>
      </c>
      <c r="F24" s="74"/>
    </row>
    <row r="25" ht="15.75" customHeight="1">
      <c r="A25" s="72">
        <v>44030.0</v>
      </c>
      <c r="B25" s="26" t="s">
        <v>1485</v>
      </c>
      <c r="C25" s="26" t="s">
        <v>1532</v>
      </c>
      <c r="D25" s="26" t="s">
        <v>1533</v>
      </c>
      <c r="E25" s="26">
        <f>+966542390891</f>
        <v>966542390891</v>
      </c>
      <c r="F25" s="74"/>
    </row>
    <row r="26" ht="15.75" customHeight="1">
      <c r="A26" s="72">
        <v>44030.0</v>
      </c>
      <c r="B26" s="26" t="s">
        <v>1485</v>
      </c>
      <c r="C26" s="26" t="s">
        <v>1534</v>
      </c>
      <c r="D26" s="26" t="s">
        <v>1535</v>
      </c>
      <c r="E26" s="26">
        <f>+966590915310</f>
        <v>966590915310</v>
      </c>
      <c r="F26" s="74"/>
    </row>
    <row r="27" ht="15.75" customHeight="1">
      <c r="A27" s="72">
        <v>44030.0</v>
      </c>
      <c r="B27" s="26" t="s">
        <v>1485</v>
      </c>
      <c r="C27" s="26" t="s">
        <v>1536</v>
      </c>
      <c r="D27" s="26" t="s">
        <v>1537</v>
      </c>
      <c r="E27" s="26">
        <f>+971561878772</f>
        <v>971561878772</v>
      </c>
      <c r="F27" s="74"/>
    </row>
    <row r="28" ht="15.75" customHeight="1">
      <c r="A28" s="72">
        <v>44030.0</v>
      </c>
      <c r="B28" s="26" t="s">
        <v>1485</v>
      </c>
      <c r="C28" s="26" t="s">
        <v>1538</v>
      </c>
      <c r="D28" s="26" t="s">
        <v>1539</v>
      </c>
      <c r="E28" s="26">
        <f>+966576506423</f>
        <v>966576506423</v>
      </c>
      <c r="F28" s="74"/>
    </row>
    <row r="29" ht="15.75" customHeight="1">
      <c r="A29" s="72">
        <v>44030.0</v>
      </c>
      <c r="B29" s="26" t="s">
        <v>1485</v>
      </c>
      <c r="C29" s="26" t="s">
        <v>1540</v>
      </c>
      <c r="D29" s="26" t="s">
        <v>1541</v>
      </c>
      <c r="E29" s="26">
        <f>+9710562740244</f>
        <v>9710562740244</v>
      </c>
      <c r="F29" s="74"/>
    </row>
    <row r="30" ht="15.75" customHeight="1">
      <c r="A30" s="72">
        <v>44030.0</v>
      </c>
      <c r="B30" s="26" t="s">
        <v>1485</v>
      </c>
      <c r="C30" s="26" t="s">
        <v>1227</v>
      </c>
      <c r="D30" s="26" t="s">
        <v>1542</v>
      </c>
      <c r="E30" s="26">
        <f>+966505845168</f>
        <v>966505845168</v>
      </c>
      <c r="F30" s="74"/>
    </row>
    <row r="31" ht="15.75" customHeight="1">
      <c r="A31" s="72">
        <v>44029.0</v>
      </c>
      <c r="B31" s="26" t="s">
        <v>1485</v>
      </c>
      <c r="C31" s="26" t="s">
        <v>1543</v>
      </c>
      <c r="D31" s="26" t="s">
        <v>1544</v>
      </c>
      <c r="E31" s="26">
        <f>+966504648414</f>
        <v>966504648414</v>
      </c>
      <c r="F31" s="74"/>
    </row>
    <row r="32" ht="15.75" customHeight="1">
      <c r="A32" s="72">
        <v>44029.0</v>
      </c>
      <c r="B32" s="26" t="s">
        <v>1485</v>
      </c>
      <c r="C32" s="26" t="s">
        <v>1545</v>
      </c>
      <c r="D32" s="26" t="s">
        <v>1546</v>
      </c>
      <c r="E32" s="26">
        <f>+966509172931</f>
        <v>966509172931</v>
      </c>
      <c r="F32" s="74"/>
    </row>
    <row r="33" ht="15.75" customHeight="1">
      <c r="A33" s="72">
        <v>44028.0</v>
      </c>
      <c r="B33" s="26" t="s">
        <v>1485</v>
      </c>
      <c r="C33" s="26" t="s">
        <v>1547</v>
      </c>
      <c r="D33" s="26" t="s">
        <v>1548</v>
      </c>
      <c r="E33" s="26">
        <f>+918499815755</f>
        <v>918499815755</v>
      </c>
      <c r="F33" s="74"/>
    </row>
    <row r="34" ht="15.75" customHeight="1">
      <c r="A34" s="72">
        <v>44027.0</v>
      </c>
      <c r="B34" s="26" t="s">
        <v>1485</v>
      </c>
      <c r="C34" s="28" t="s">
        <v>1549</v>
      </c>
      <c r="D34" s="26" t="s">
        <v>1550</v>
      </c>
      <c r="E34" s="26">
        <f>+966555769341</f>
        <v>966555769341</v>
      </c>
      <c r="F34" s="74"/>
    </row>
    <row r="35" ht="15.75" customHeight="1">
      <c r="A35" s="72">
        <v>44027.0</v>
      </c>
      <c r="B35" s="26" t="s">
        <v>1485</v>
      </c>
      <c r="C35" s="28" t="s">
        <v>1551</v>
      </c>
      <c r="D35" s="26" t="s">
        <v>1552</v>
      </c>
      <c r="E35" s="26">
        <f>+966569677073</f>
        <v>966569677073</v>
      </c>
      <c r="F35" s="74"/>
    </row>
    <row r="36" ht="15.75" customHeight="1">
      <c r="A36" s="72">
        <v>44027.0</v>
      </c>
      <c r="B36" s="26" t="s">
        <v>1485</v>
      </c>
      <c r="C36" s="26" t="s">
        <v>1553</v>
      </c>
      <c r="D36" s="26" t="s">
        <v>1554</v>
      </c>
      <c r="E36" s="26">
        <f>+201012224008</f>
        <v>201012224008</v>
      </c>
      <c r="F36" s="74"/>
    </row>
    <row r="37" ht="15.75" customHeight="1">
      <c r="A37" s="72">
        <v>44026.0</v>
      </c>
      <c r="B37" s="26" t="s">
        <v>1485</v>
      </c>
      <c r="C37" s="28" t="s">
        <v>1555</v>
      </c>
      <c r="D37" s="26" t="s">
        <v>1556</v>
      </c>
      <c r="E37" s="26">
        <f>+966556013932</f>
        <v>966556013932</v>
      </c>
      <c r="F37" s="74"/>
    </row>
    <row r="38" ht="15.75" customHeight="1">
      <c r="A38" s="72">
        <v>44025.0</v>
      </c>
      <c r="B38" s="26" t="s">
        <v>1485</v>
      </c>
      <c r="C38" s="28" t="s">
        <v>1557</v>
      </c>
      <c r="D38" s="26" t="s">
        <v>1558</v>
      </c>
      <c r="E38" s="26">
        <f>+966506703270</f>
        <v>966506703270</v>
      </c>
      <c r="F38" s="74"/>
    </row>
    <row r="39" ht="15.75" customHeight="1">
      <c r="A39" s="72">
        <v>44025.0</v>
      </c>
      <c r="B39" s="26" t="s">
        <v>1485</v>
      </c>
      <c r="C39" s="26" t="s">
        <v>1559</v>
      </c>
      <c r="D39" s="26" t="s">
        <v>1560</v>
      </c>
      <c r="E39" s="26">
        <f>+966503803968</f>
        <v>966503803968</v>
      </c>
      <c r="F39" s="74"/>
    </row>
    <row r="40" ht="15.75" customHeight="1">
      <c r="A40" s="72">
        <v>44025.0</v>
      </c>
      <c r="B40" s="26" t="s">
        <v>1485</v>
      </c>
      <c r="C40" s="26" t="s">
        <v>1561</v>
      </c>
      <c r="D40" s="26" t="s">
        <v>1562</v>
      </c>
      <c r="E40" s="26">
        <f>+966501758936</f>
        <v>966501758936</v>
      </c>
      <c r="F40" s="74"/>
    </row>
    <row r="41" ht="15.75" customHeight="1">
      <c r="A41" s="72">
        <v>44025.0</v>
      </c>
      <c r="B41" s="26" t="s">
        <v>1485</v>
      </c>
      <c r="C41" s="26" t="s">
        <v>1563</v>
      </c>
      <c r="D41" s="26" t="s">
        <v>1564</v>
      </c>
      <c r="E41" s="26">
        <f>+966548456634</f>
        <v>966548456634</v>
      </c>
      <c r="F41" s="74"/>
    </row>
    <row r="42" ht="15.75" customHeight="1">
      <c r="A42" s="72">
        <v>44024.0</v>
      </c>
      <c r="B42" s="26" t="s">
        <v>1485</v>
      </c>
      <c r="C42" s="26" t="s">
        <v>1565</v>
      </c>
      <c r="D42" s="26" t="s">
        <v>1566</v>
      </c>
      <c r="E42" s="26">
        <f>+9660543070837</f>
        <v>9660543070837</v>
      </c>
      <c r="F42" s="74"/>
    </row>
    <row r="43" ht="15.75" customHeight="1">
      <c r="A43" s="72">
        <v>44024.0</v>
      </c>
      <c r="B43" s="26" t="s">
        <v>1485</v>
      </c>
      <c r="C43" s="26" t="s">
        <v>173</v>
      </c>
      <c r="D43" s="26" t="s">
        <v>1567</v>
      </c>
      <c r="E43" s="26">
        <f>+966564105404</f>
        <v>966564105404</v>
      </c>
      <c r="F43" s="74"/>
    </row>
    <row r="44" ht="15.75" customHeight="1">
      <c r="A44" s="72">
        <v>44024.0</v>
      </c>
      <c r="B44" s="26" t="s">
        <v>1485</v>
      </c>
      <c r="C44" s="26" t="s">
        <v>1568</v>
      </c>
      <c r="D44" s="26" t="s">
        <v>1569</v>
      </c>
      <c r="E44" s="26">
        <f>+14159397889</f>
        <v>14159397889</v>
      </c>
      <c r="F44" s="74"/>
    </row>
    <row r="45" ht="15.75" customHeight="1">
      <c r="A45" s="72">
        <v>44023.0</v>
      </c>
      <c r="B45" s="26" t="s">
        <v>1485</v>
      </c>
      <c r="C45" s="26" t="s">
        <v>1570</v>
      </c>
      <c r="D45" s="26" t="s">
        <v>1571</v>
      </c>
      <c r="E45" s="26">
        <f>+966532934280</f>
        <v>966532934280</v>
      </c>
      <c r="F45" s="74"/>
    </row>
    <row r="46" ht="15.75" customHeight="1">
      <c r="A46" s="72">
        <v>44023.0</v>
      </c>
      <c r="B46" s="26" t="s">
        <v>1485</v>
      </c>
      <c r="C46" s="28" t="s">
        <v>1572</v>
      </c>
      <c r="D46" s="26" t="s">
        <v>1573</v>
      </c>
      <c r="E46" s="26">
        <f>+966505221288</f>
        <v>966505221288</v>
      </c>
      <c r="F46" s="74"/>
    </row>
    <row r="47" ht="15.75" customHeight="1">
      <c r="A47" s="72">
        <v>44023.0</v>
      </c>
      <c r="B47" s="26" t="s">
        <v>1485</v>
      </c>
      <c r="C47" s="28" t="s">
        <v>1574</v>
      </c>
      <c r="D47" s="26" t="s">
        <v>1575</v>
      </c>
      <c r="E47" s="26">
        <v>9.66500066162E11</v>
      </c>
      <c r="F47" s="74"/>
    </row>
    <row r="48" ht="15.75" customHeight="1">
      <c r="A48" s="72">
        <v>44023.0</v>
      </c>
      <c r="B48" s="26" t="s">
        <v>1485</v>
      </c>
      <c r="C48" s="26" t="s">
        <v>1576</v>
      </c>
      <c r="D48" s="26" t="s">
        <v>1577</v>
      </c>
      <c r="E48" s="26">
        <f>+966501072727</f>
        <v>966501072727</v>
      </c>
      <c r="F48" s="74"/>
    </row>
    <row r="49" ht="15.75" customHeight="1">
      <c r="A49" s="72">
        <v>44022.0</v>
      </c>
      <c r="B49" s="26" t="s">
        <v>1485</v>
      </c>
      <c r="C49" s="28" t="s">
        <v>1578</v>
      </c>
      <c r="D49" s="26" t="s">
        <v>1579</v>
      </c>
      <c r="E49" s="26">
        <f>+966505906108</f>
        <v>966505906108</v>
      </c>
      <c r="F49" s="74"/>
    </row>
    <row r="50" ht="15.75" customHeight="1">
      <c r="A50" s="72">
        <v>44021.0</v>
      </c>
      <c r="B50" s="26" t="s">
        <v>1485</v>
      </c>
      <c r="C50" s="28" t="s">
        <v>1580</v>
      </c>
      <c r="D50" s="26" t="s">
        <v>1581</v>
      </c>
      <c r="E50" s="26">
        <f>+966583362999</f>
        <v>966583362999</v>
      </c>
      <c r="F50" s="74"/>
    </row>
    <row r="51" ht="15.75" customHeight="1">
      <c r="A51" s="72">
        <v>44020.0</v>
      </c>
      <c r="B51" s="26" t="s">
        <v>1485</v>
      </c>
      <c r="C51" s="26" t="s">
        <v>1055</v>
      </c>
      <c r="D51" s="26" t="s">
        <v>1056</v>
      </c>
      <c r="E51" s="26">
        <v>5.03838552E8</v>
      </c>
      <c r="F51" s="74"/>
    </row>
    <row r="52" ht="15.75" customHeight="1">
      <c r="A52" s="72">
        <v>44020.0</v>
      </c>
      <c r="B52" s="26" t="s">
        <v>1485</v>
      </c>
      <c r="C52" s="28" t="s">
        <v>1582</v>
      </c>
      <c r="D52" s="26" t="s">
        <v>1583</v>
      </c>
      <c r="E52" s="26">
        <f>+966503632073</f>
        <v>966503632073</v>
      </c>
      <c r="F52" s="74"/>
    </row>
    <row r="53" ht="15.75" customHeight="1">
      <c r="A53" s="72">
        <v>44020.0</v>
      </c>
      <c r="B53" s="26" t="s">
        <v>1485</v>
      </c>
      <c r="C53" s="26" t="s">
        <v>1584</v>
      </c>
      <c r="D53" s="26" t="s">
        <v>1585</v>
      </c>
      <c r="E53" s="26">
        <f>+966552525507</f>
        <v>966552525507</v>
      </c>
      <c r="F53" s="74"/>
    </row>
    <row r="54" ht="15.75" customHeight="1">
      <c r="A54" s="72">
        <v>44020.0</v>
      </c>
      <c r="B54" s="26" t="s">
        <v>1485</v>
      </c>
      <c r="C54" s="26" t="s">
        <v>1586</v>
      </c>
      <c r="D54" s="26" t="s">
        <v>1587</v>
      </c>
      <c r="E54" s="26">
        <f>+966555110917</f>
        <v>966555110917</v>
      </c>
      <c r="F54" s="74"/>
    </row>
    <row r="55" ht="15.75" customHeight="1">
      <c r="A55" s="72">
        <v>44019.0</v>
      </c>
      <c r="B55" s="26" t="s">
        <v>1485</v>
      </c>
      <c r="C55" s="26" t="s">
        <v>1588</v>
      </c>
      <c r="D55" s="26" t="s">
        <v>1589</v>
      </c>
      <c r="E55" s="26">
        <v>9.66505215757E11</v>
      </c>
      <c r="F55" s="74"/>
    </row>
    <row r="56" ht="15.75" customHeight="1">
      <c r="A56" s="72">
        <v>44018.0</v>
      </c>
      <c r="B56" s="26" t="s">
        <v>1485</v>
      </c>
      <c r="C56" s="28" t="s">
        <v>1590</v>
      </c>
      <c r="D56" s="26" t="s">
        <v>1591</v>
      </c>
      <c r="E56" s="26">
        <f>+966537092480</f>
        <v>966537092480</v>
      </c>
      <c r="F56" s="74"/>
    </row>
    <row r="57" ht="15.75" customHeight="1">
      <c r="A57" s="72">
        <v>44018.0</v>
      </c>
      <c r="B57" s="26" t="s">
        <v>1485</v>
      </c>
      <c r="C57" s="26" t="s">
        <v>1592</v>
      </c>
      <c r="D57" s="26" t="s">
        <v>1593</v>
      </c>
      <c r="E57" s="26">
        <f>+966548190000</f>
        <v>966548190000</v>
      </c>
      <c r="F57" s="74"/>
    </row>
    <row r="58" ht="15.75" customHeight="1">
      <c r="A58" s="72">
        <v>44018.0</v>
      </c>
      <c r="B58" s="26" t="s">
        <v>1485</v>
      </c>
      <c r="C58" s="26" t="s">
        <v>1594</v>
      </c>
      <c r="D58" s="26" t="s">
        <v>1595</v>
      </c>
      <c r="E58" s="26">
        <f>+966567300389</f>
        <v>966567300389</v>
      </c>
      <c r="F58" s="74"/>
    </row>
    <row r="59" ht="15.75" customHeight="1">
      <c r="A59" s="72">
        <v>44016.0</v>
      </c>
      <c r="B59" s="26" t="s">
        <v>1485</v>
      </c>
      <c r="C59" s="28" t="s">
        <v>1596</v>
      </c>
      <c r="D59" s="26" t="s">
        <v>1597</v>
      </c>
      <c r="E59" s="26">
        <f>+966542718161</f>
        <v>966542718161</v>
      </c>
      <c r="F59" s="74"/>
    </row>
    <row r="60" ht="15.75" customHeight="1">
      <c r="A60" s="72">
        <v>44016.0</v>
      </c>
      <c r="B60" s="26" t="s">
        <v>1485</v>
      </c>
      <c r="C60" s="28" t="s">
        <v>1598</v>
      </c>
      <c r="D60" s="26" t="s">
        <v>1599</v>
      </c>
      <c r="E60" s="26">
        <f>+9660505841804</f>
        <v>9660505841804</v>
      </c>
      <c r="F60" s="74"/>
    </row>
    <row r="61" ht="15.75" customHeight="1">
      <c r="A61" s="72">
        <v>44015.0</v>
      </c>
      <c r="B61" s="26" t="s">
        <v>1485</v>
      </c>
      <c r="C61" s="28" t="s">
        <v>1600</v>
      </c>
      <c r="D61" s="26" t="s">
        <v>1601</v>
      </c>
      <c r="E61" s="26">
        <f>+201222338998</f>
        <v>201222338998</v>
      </c>
      <c r="F61" s="74"/>
    </row>
    <row r="62" ht="15.75" customHeight="1">
      <c r="A62" s="72">
        <v>44014.0</v>
      </c>
      <c r="B62" s="26" t="s">
        <v>1485</v>
      </c>
      <c r="C62" s="26" t="s">
        <v>1602</v>
      </c>
      <c r="D62" s="26" t="s">
        <v>1603</v>
      </c>
      <c r="E62" s="26">
        <f>+966555353088</f>
        <v>966555353088</v>
      </c>
      <c r="F62" s="74"/>
    </row>
    <row r="63" ht="15.75" customHeight="1">
      <c r="A63" s="72">
        <v>44013.0</v>
      </c>
      <c r="B63" s="26" t="s">
        <v>1485</v>
      </c>
      <c r="C63" s="26" t="s">
        <v>1604</v>
      </c>
      <c r="D63" s="26" t="s">
        <v>1605</v>
      </c>
      <c r="E63" s="26">
        <v>9.66505667384E11</v>
      </c>
      <c r="F63" s="74"/>
    </row>
    <row r="64" ht="15.75" customHeight="1">
      <c r="A64" s="72">
        <v>44013.0</v>
      </c>
      <c r="B64" s="26" t="s">
        <v>1485</v>
      </c>
      <c r="C64" s="26" t="s">
        <v>1606</v>
      </c>
      <c r="D64" s="26" t="s">
        <v>1607</v>
      </c>
      <c r="E64" s="26">
        <f>+966540248444</f>
        <v>966540248444</v>
      </c>
      <c r="F64" s="74"/>
    </row>
    <row r="65" ht="15.75" customHeight="1">
      <c r="A65" s="72">
        <v>44013.0</v>
      </c>
      <c r="B65" s="26" t="s">
        <v>1485</v>
      </c>
      <c r="C65" s="26" t="s">
        <v>1608</v>
      </c>
      <c r="D65" s="26" t="s">
        <v>1609</v>
      </c>
      <c r="E65" s="26">
        <f>+966546907451</f>
        <v>966546907451</v>
      </c>
      <c r="F65" s="74"/>
    </row>
    <row r="66" ht="15.75" customHeight="1">
      <c r="A66" s="72">
        <v>44013.0</v>
      </c>
      <c r="B66" s="26" t="s">
        <v>1485</v>
      </c>
      <c r="C66" s="26" t="s">
        <v>1610</v>
      </c>
      <c r="D66" s="26" t="s">
        <v>1611</v>
      </c>
      <c r="E66" s="26">
        <f>+971501554243</f>
        <v>971501554243</v>
      </c>
      <c r="F66" s="74"/>
    </row>
    <row r="67" ht="15.75" customHeight="1">
      <c r="A67" s="72">
        <v>44012.0</v>
      </c>
      <c r="B67" s="26" t="s">
        <v>1485</v>
      </c>
      <c r="C67" s="26" t="s">
        <v>1612</v>
      </c>
      <c r="D67" s="26" t="s">
        <v>1613</v>
      </c>
      <c r="E67" s="26">
        <f>+9660556364364</f>
        <v>9660556364364</v>
      </c>
      <c r="F67" s="74"/>
    </row>
    <row r="68" ht="15.75" customHeight="1">
      <c r="A68" s="72">
        <v>44012.0</v>
      </c>
      <c r="B68" s="26" t="s">
        <v>1485</v>
      </c>
      <c r="C68" s="28" t="s">
        <v>1614</v>
      </c>
      <c r="D68" s="26" t="s">
        <v>1615</v>
      </c>
      <c r="E68" s="26">
        <f>+966536570643</f>
        <v>966536570643</v>
      </c>
      <c r="F68" s="74"/>
    </row>
    <row r="69" ht="15.75" customHeight="1">
      <c r="A69" s="72">
        <v>44012.0</v>
      </c>
      <c r="B69" s="26" t="s">
        <v>1485</v>
      </c>
      <c r="C69" s="26" t="s">
        <v>1616</v>
      </c>
      <c r="D69" s="26" t="s">
        <v>1617</v>
      </c>
      <c r="E69" s="26">
        <v>5.98365108E8</v>
      </c>
      <c r="F69" s="74"/>
    </row>
    <row r="70" ht="15.75" customHeight="1">
      <c r="A70" s="72">
        <v>44012.0</v>
      </c>
      <c r="B70" s="26" t="s">
        <v>1485</v>
      </c>
      <c r="C70" s="26" t="s">
        <v>1618</v>
      </c>
      <c r="D70" s="26" t="s">
        <v>1619</v>
      </c>
      <c r="E70" s="26">
        <f>+966544900777</f>
        <v>966544900777</v>
      </c>
      <c r="F70" s="74"/>
    </row>
    <row r="71" ht="15.75" customHeight="1">
      <c r="A71" s="72">
        <v>44011.0</v>
      </c>
      <c r="B71" s="26" t="s">
        <v>1485</v>
      </c>
      <c r="C71" s="26" t="s">
        <v>1620</v>
      </c>
      <c r="D71" s="26" t="s">
        <v>1621</v>
      </c>
      <c r="E71" s="26">
        <f>+966555739171</f>
        <v>966555739171</v>
      </c>
      <c r="F71" s="74"/>
    </row>
    <row r="72" ht="15.75" customHeight="1">
      <c r="A72" s="72">
        <v>44011.0</v>
      </c>
      <c r="B72" s="26" t="s">
        <v>1485</v>
      </c>
      <c r="C72" s="28" t="s">
        <v>1622</v>
      </c>
      <c r="D72" s="26" t="s">
        <v>1623</v>
      </c>
      <c r="E72" s="26">
        <f>+966540443888</f>
        <v>966540443888</v>
      </c>
      <c r="F72" s="74"/>
    </row>
    <row r="73" ht="15.75" customHeight="1">
      <c r="A73" s="72">
        <v>44011.0</v>
      </c>
      <c r="B73" s="26" t="s">
        <v>1485</v>
      </c>
      <c r="C73" s="26" t="s">
        <v>1624</v>
      </c>
      <c r="D73" s="26" t="s">
        <v>1625</v>
      </c>
      <c r="E73" s="26">
        <f>+966599711369</f>
        <v>966599711369</v>
      </c>
      <c r="F73" s="74"/>
    </row>
    <row r="74" ht="15.75" customHeight="1">
      <c r="A74" s="72">
        <v>44010.0</v>
      </c>
      <c r="B74" s="26" t="s">
        <v>1485</v>
      </c>
      <c r="C74" s="26" t="s">
        <v>1626</v>
      </c>
      <c r="D74" s="26" t="s">
        <v>1627</v>
      </c>
      <c r="E74" s="26">
        <f>+9660505644118</f>
        <v>9660505644118</v>
      </c>
      <c r="F74" s="74"/>
    </row>
    <row r="75" ht="15.75" customHeight="1">
      <c r="A75" s="72">
        <v>44010.0</v>
      </c>
      <c r="B75" s="26" t="s">
        <v>1485</v>
      </c>
      <c r="C75" s="26" t="s">
        <v>1628</v>
      </c>
      <c r="D75" s="26" t="s">
        <v>1629</v>
      </c>
      <c r="E75" s="26">
        <f>+966505691745</f>
        <v>966505691745</v>
      </c>
      <c r="F75" s="74"/>
    </row>
    <row r="76" ht="15.75" customHeight="1">
      <c r="A76" s="72">
        <v>44010.0</v>
      </c>
      <c r="B76" s="26" t="s">
        <v>1485</v>
      </c>
      <c r="C76" s="28" t="s">
        <v>1630</v>
      </c>
      <c r="D76" s="26" t="s">
        <v>1631</v>
      </c>
      <c r="E76" s="26">
        <f>+966562485922</f>
        <v>966562485922</v>
      </c>
      <c r="F76" s="74"/>
    </row>
    <row r="77" ht="15.75" customHeight="1">
      <c r="A77" s="72">
        <v>44010.0</v>
      </c>
      <c r="B77" s="26" t="s">
        <v>1485</v>
      </c>
      <c r="C77" s="26" t="s">
        <v>1632</v>
      </c>
      <c r="D77" s="26" t="s">
        <v>1633</v>
      </c>
      <c r="E77" s="26">
        <f>+966505266647</f>
        <v>966505266647</v>
      </c>
      <c r="F77" s="74"/>
    </row>
    <row r="78" ht="15.75" customHeight="1">
      <c r="A78" s="72">
        <v>44010.0</v>
      </c>
      <c r="B78" s="26" t="s">
        <v>1485</v>
      </c>
      <c r="C78" s="26" t="s">
        <v>1634</v>
      </c>
      <c r="D78" s="26" t="s">
        <v>1635</v>
      </c>
      <c r="E78" s="26">
        <f>+966556850003</f>
        <v>966556850003</v>
      </c>
      <c r="F78" s="74"/>
    </row>
    <row r="79" ht="15.75" customHeight="1">
      <c r="A79" s="72">
        <v>44009.0</v>
      </c>
      <c r="B79" s="26" t="s">
        <v>1485</v>
      </c>
      <c r="C79" s="26" t="s">
        <v>1636</v>
      </c>
      <c r="D79" s="26" t="s">
        <v>1637</v>
      </c>
      <c r="E79" s="26">
        <f>+447488548858</f>
        <v>447488548858</v>
      </c>
      <c r="F79" s="74"/>
    </row>
    <row r="80" ht="15.75" customHeight="1">
      <c r="A80" s="72">
        <v>44009.0</v>
      </c>
      <c r="B80" s="26" t="s">
        <v>1485</v>
      </c>
      <c r="C80" s="26" t="s">
        <v>1638</v>
      </c>
      <c r="D80" s="26" t="s">
        <v>1639</v>
      </c>
      <c r="E80" s="26">
        <f>+966500128019</f>
        <v>966500128019</v>
      </c>
      <c r="F80" s="74"/>
    </row>
    <row r="81" ht="15.75" customHeight="1">
      <c r="A81" s="72">
        <v>44009.0</v>
      </c>
      <c r="B81" s="26" t="s">
        <v>1485</v>
      </c>
      <c r="C81" s="26" t="s">
        <v>1640</v>
      </c>
      <c r="D81" s="26" t="s">
        <v>1641</v>
      </c>
      <c r="E81" s="26">
        <v>5.53367961E8</v>
      </c>
      <c r="F81" s="74"/>
    </row>
    <row r="82" ht="15.75" customHeight="1">
      <c r="A82" s="72">
        <v>44009.0</v>
      </c>
      <c r="B82" s="26" t="s">
        <v>1485</v>
      </c>
      <c r="C82" s="26" t="s">
        <v>1642</v>
      </c>
      <c r="D82" s="26" t="s">
        <v>1643</v>
      </c>
      <c r="E82" s="26">
        <f>+966591545300</f>
        <v>966591545300</v>
      </c>
      <c r="F82" s="74"/>
    </row>
    <row r="83" ht="15.75" customHeight="1">
      <c r="A83" s="72">
        <v>44009.0</v>
      </c>
      <c r="B83" s="26" t="s">
        <v>1485</v>
      </c>
      <c r="C83" s="26" t="s">
        <v>1644</v>
      </c>
      <c r="D83" s="26" t="s">
        <v>1645</v>
      </c>
      <c r="E83" s="26">
        <f>+966530707561</f>
        <v>966530707561</v>
      </c>
      <c r="F83" s="74"/>
    </row>
    <row r="84" ht="15.75" customHeight="1">
      <c r="A84" s="72">
        <v>44009.0</v>
      </c>
      <c r="B84" s="26" t="s">
        <v>1485</v>
      </c>
      <c r="C84" s="28" t="s">
        <v>1646</v>
      </c>
      <c r="D84" s="26" t="s">
        <v>1647</v>
      </c>
      <c r="E84" s="26">
        <f>+9660593210774</f>
        <v>9660593210774</v>
      </c>
      <c r="F84" s="74"/>
    </row>
    <row r="85" ht="15.75" customHeight="1">
      <c r="A85" s="72">
        <v>44008.0</v>
      </c>
      <c r="B85" s="26" t="s">
        <v>1485</v>
      </c>
      <c r="C85" s="26" t="s">
        <v>1648</v>
      </c>
      <c r="D85" s="26" t="s">
        <v>1649</v>
      </c>
      <c r="E85" s="26">
        <f>+966505309628</f>
        <v>966505309628</v>
      </c>
      <c r="F85" s="74"/>
    </row>
    <row r="86" ht="15.75" customHeight="1">
      <c r="A86" s="72">
        <v>44007.0</v>
      </c>
      <c r="B86" s="26" t="s">
        <v>1485</v>
      </c>
      <c r="C86" s="26" t="s">
        <v>1650</v>
      </c>
      <c r="D86" s="26" t="s">
        <v>1651</v>
      </c>
      <c r="E86" s="26">
        <f>+966501765644</f>
        <v>966501765644</v>
      </c>
      <c r="F86" s="74"/>
    </row>
    <row r="87" ht="15.75" customHeight="1">
      <c r="A87" s="72">
        <v>44007.0</v>
      </c>
      <c r="B87" s="26" t="s">
        <v>1485</v>
      </c>
      <c r="C87" s="26" t="s">
        <v>1652</v>
      </c>
      <c r="D87" s="26" t="s">
        <v>1653</v>
      </c>
      <c r="E87" s="26">
        <f>+966550929777</f>
        <v>966550929777</v>
      </c>
      <c r="F87" s="74"/>
    </row>
    <row r="88" ht="15.75" customHeight="1">
      <c r="A88" s="72">
        <v>44007.0</v>
      </c>
      <c r="B88" s="26" t="s">
        <v>1485</v>
      </c>
      <c r="C88" s="26" t="s">
        <v>1654</v>
      </c>
      <c r="D88" s="26" t="s">
        <v>1655</v>
      </c>
      <c r="E88" s="26">
        <f>+966553007499</f>
        <v>966553007499</v>
      </c>
      <c r="F88" s="74"/>
    </row>
    <row r="89" ht="15.75" customHeight="1">
      <c r="A89" s="32"/>
    </row>
    <row r="90" ht="15.75" customHeight="1">
      <c r="A90" s="32"/>
    </row>
    <row r="91" ht="15.75" customHeight="1">
      <c r="A91" s="32"/>
    </row>
    <row r="92" ht="15.75" customHeight="1">
      <c r="A92" s="32"/>
    </row>
    <row r="93" ht="15.75" customHeight="1">
      <c r="A93" s="32"/>
    </row>
    <row r="94" ht="15.75" customHeight="1">
      <c r="A94" s="32"/>
    </row>
    <row r="95" ht="15.75" customHeight="1">
      <c r="A95" s="32"/>
    </row>
    <row r="96" ht="15.75" customHeight="1">
      <c r="A96" s="32"/>
    </row>
    <row r="97" ht="15.75" customHeight="1">
      <c r="A97" s="32"/>
    </row>
    <row r="98" ht="15.75" customHeight="1">
      <c r="A98" s="32"/>
    </row>
    <row r="99" ht="15.75" customHeight="1">
      <c r="A99" s="32"/>
    </row>
    <row r="100" ht="15.75" customHeight="1">
      <c r="A100" s="32"/>
    </row>
    <row r="101" ht="15.75" customHeight="1">
      <c r="A101" s="32"/>
    </row>
    <row r="102" ht="15.75" customHeight="1">
      <c r="A102" s="32"/>
    </row>
    <row r="103" ht="15.75" customHeight="1">
      <c r="A103" s="32"/>
    </row>
    <row r="104" ht="15.75" customHeight="1">
      <c r="A104" s="32"/>
    </row>
    <row r="105" ht="15.75" customHeight="1">
      <c r="A105" s="32"/>
    </row>
    <row r="106" ht="15.75" customHeight="1">
      <c r="A106" s="32"/>
    </row>
    <row r="107" ht="15.75" customHeight="1">
      <c r="A107" s="32"/>
    </row>
    <row r="108" ht="15.75" customHeight="1">
      <c r="A108" s="32"/>
    </row>
    <row r="109" ht="15.75" customHeight="1">
      <c r="A109" s="32"/>
    </row>
    <row r="110" ht="15.75" customHeight="1">
      <c r="A110" s="32"/>
    </row>
    <row r="111" ht="15.75" customHeight="1">
      <c r="A111" s="32"/>
    </row>
    <row r="112" ht="15.75" customHeight="1">
      <c r="A112" s="32"/>
    </row>
    <row r="113" ht="15.75" customHeight="1">
      <c r="A113" s="32"/>
    </row>
    <row r="114" ht="15.75" customHeight="1">
      <c r="A114" s="32"/>
    </row>
    <row r="115" ht="15.75" customHeight="1">
      <c r="A115" s="32"/>
    </row>
    <row r="116" ht="15.75" customHeight="1">
      <c r="A116" s="32"/>
    </row>
    <row r="117" ht="15.75" customHeight="1">
      <c r="A117" s="32"/>
    </row>
    <row r="118" ht="15.75" customHeight="1">
      <c r="A118" s="32"/>
    </row>
    <row r="119" ht="15.75" customHeight="1">
      <c r="A119" s="32"/>
    </row>
    <row r="120" ht="15.75" customHeight="1">
      <c r="A120" s="32"/>
    </row>
    <row r="121" ht="15.75" customHeight="1">
      <c r="A121" s="32"/>
    </row>
    <row r="122" ht="15.75" customHeight="1">
      <c r="A122" s="32"/>
    </row>
    <row r="123" ht="15.75" customHeight="1">
      <c r="A123" s="32"/>
    </row>
    <row r="124" ht="15.75" customHeight="1">
      <c r="A124" s="32"/>
    </row>
    <row r="125" ht="15.75" customHeight="1">
      <c r="A125" s="32"/>
    </row>
    <row r="126" ht="15.75" customHeight="1">
      <c r="A126" s="32"/>
    </row>
    <row r="127" ht="15.75" customHeight="1">
      <c r="A127" s="32"/>
    </row>
    <row r="128" ht="15.75" customHeight="1">
      <c r="A128" s="32"/>
    </row>
    <row r="129" ht="15.75" customHeight="1">
      <c r="A129" s="32"/>
    </row>
    <row r="130" ht="15.75" customHeight="1">
      <c r="A130" s="32"/>
    </row>
    <row r="131" ht="15.75" customHeight="1">
      <c r="A131" s="32"/>
    </row>
    <row r="132" ht="15.75" customHeight="1">
      <c r="A132" s="32"/>
    </row>
    <row r="133" ht="15.75" customHeight="1">
      <c r="A133" s="32"/>
    </row>
    <row r="134" ht="15.75" customHeight="1">
      <c r="A134" s="32"/>
    </row>
    <row r="135" ht="15.75" customHeight="1">
      <c r="A135" s="32"/>
    </row>
    <row r="136" ht="15.75" customHeight="1">
      <c r="A136" s="32"/>
    </row>
    <row r="137" ht="15.75" customHeight="1">
      <c r="A137" s="32"/>
    </row>
    <row r="138" ht="15.75" customHeight="1">
      <c r="A138" s="32"/>
    </row>
    <row r="139" ht="15.75" customHeight="1">
      <c r="A139" s="32"/>
    </row>
    <row r="140" ht="15.75" customHeight="1">
      <c r="A140" s="32"/>
    </row>
    <row r="141" ht="15.75" customHeight="1">
      <c r="A141" s="32"/>
    </row>
    <row r="142" ht="15.75" customHeight="1">
      <c r="A142" s="32"/>
    </row>
    <row r="143" ht="15.75" customHeight="1">
      <c r="A143" s="32"/>
    </row>
    <row r="144" ht="15.75" customHeight="1">
      <c r="A144" s="32"/>
    </row>
    <row r="145" ht="15.75" customHeight="1">
      <c r="A145" s="32"/>
    </row>
    <row r="146" ht="15.75" customHeight="1">
      <c r="A146" s="32"/>
    </row>
    <row r="147" ht="15.75" customHeight="1">
      <c r="A147" s="32"/>
    </row>
    <row r="148" ht="15.75" customHeight="1">
      <c r="A148" s="32"/>
    </row>
    <row r="149" ht="15.75" customHeight="1">
      <c r="A149" s="32"/>
    </row>
    <row r="150" ht="15.75" customHeight="1">
      <c r="A150" s="32"/>
    </row>
    <row r="151" ht="15.75" customHeight="1">
      <c r="A151" s="32"/>
    </row>
    <row r="152" ht="15.75" customHeight="1">
      <c r="A152" s="32"/>
    </row>
    <row r="153" ht="15.75" customHeight="1">
      <c r="A153" s="32"/>
    </row>
    <row r="154" ht="15.75" customHeight="1">
      <c r="A154" s="32"/>
    </row>
    <row r="155" ht="15.75" customHeight="1">
      <c r="A155" s="32"/>
    </row>
    <row r="156" ht="15.75" customHeight="1">
      <c r="A156" s="32"/>
    </row>
    <row r="157" ht="15.75" customHeight="1">
      <c r="A157" s="32"/>
    </row>
    <row r="158" ht="15.75" customHeight="1">
      <c r="A158" s="32"/>
    </row>
    <row r="159" ht="15.75" customHeight="1">
      <c r="A159" s="32"/>
    </row>
    <row r="160" ht="15.75" customHeight="1">
      <c r="A160" s="32"/>
    </row>
    <row r="161" ht="15.75" customHeight="1">
      <c r="A161" s="32"/>
    </row>
    <row r="162" ht="15.75" customHeight="1">
      <c r="A162" s="32"/>
    </row>
    <row r="163" ht="15.75" customHeight="1">
      <c r="A163" s="32"/>
    </row>
    <row r="164" ht="15.75" customHeight="1">
      <c r="A164" s="32"/>
    </row>
    <row r="165" ht="15.75" customHeight="1">
      <c r="A165" s="32"/>
    </row>
    <row r="166" ht="15.75" customHeight="1">
      <c r="A166" s="32"/>
    </row>
    <row r="167" ht="15.75" customHeight="1">
      <c r="A167" s="32"/>
    </row>
    <row r="168" ht="15.75" customHeight="1">
      <c r="A168" s="32"/>
    </row>
    <row r="169" ht="15.75" customHeight="1">
      <c r="A169" s="32"/>
    </row>
    <row r="170" ht="15.75" customHeight="1">
      <c r="A170" s="32"/>
    </row>
    <row r="171" ht="15.75" customHeight="1">
      <c r="A171" s="32"/>
    </row>
    <row r="172" ht="15.75" customHeight="1">
      <c r="A172" s="32"/>
    </row>
    <row r="173" ht="15.75" customHeight="1">
      <c r="A173" s="32"/>
    </row>
    <row r="174" ht="15.75" customHeight="1">
      <c r="A174" s="32"/>
    </row>
    <row r="175" ht="15.75" customHeight="1">
      <c r="A175" s="32"/>
    </row>
    <row r="176" ht="15.75" customHeight="1">
      <c r="A176" s="32"/>
    </row>
    <row r="177" ht="15.75" customHeight="1">
      <c r="A177" s="32"/>
    </row>
    <row r="178" ht="15.75" customHeight="1">
      <c r="A178" s="32"/>
    </row>
    <row r="179" ht="15.75" customHeight="1">
      <c r="A179" s="32"/>
    </row>
    <row r="180" ht="15.75" customHeight="1">
      <c r="A180" s="32"/>
    </row>
    <row r="181" ht="15.75" customHeight="1">
      <c r="A181" s="32"/>
    </row>
    <row r="182" ht="15.75" customHeight="1">
      <c r="A182" s="32"/>
    </row>
    <row r="183" ht="15.75" customHeight="1">
      <c r="A183" s="32"/>
    </row>
    <row r="184" ht="15.75" customHeight="1">
      <c r="A184" s="32"/>
    </row>
    <row r="185" ht="15.75" customHeight="1">
      <c r="A185" s="32"/>
    </row>
    <row r="186" ht="15.75" customHeight="1">
      <c r="A186" s="32"/>
    </row>
    <row r="187" ht="15.75" customHeight="1">
      <c r="A187" s="32"/>
    </row>
    <row r="188" ht="15.75" customHeight="1">
      <c r="A188" s="32"/>
    </row>
    <row r="189" ht="15.75" customHeight="1">
      <c r="A189" s="32"/>
    </row>
    <row r="190" ht="15.75" customHeight="1">
      <c r="A190" s="32"/>
    </row>
    <row r="191" ht="15.75" customHeight="1">
      <c r="A191" s="32"/>
    </row>
    <row r="192" ht="15.75" customHeight="1">
      <c r="A192" s="32"/>
    </row>
    <row r="193" ht="15.75" customHeight="1">
      <c r="A193" s="32"/>
    </row>
    <row r="194" ht="15.75" customHeight="1">
      <c r="A194" s="32"/>
    </row>
    <row r="195" ht="15.75" customHeight="1">
      <c r="A195" s="32"/>
    </row>
    <row r="196" ht="15.75" customHeight="1">
      <c r="A196" s="32"/>
    </row>
    <row r="197" ht="15.75" customHeight="1">
      <c r="A197" s="32"/>
    </row>
    <row r="198" ht="15.75" customHeight="1">
      <c r="A198" s="32"/>
    </row>
    <row r="199" ht="15.75" customHeight="1">
      <c r="A199" s="32"/>
    </row>
    <row r="200" ht="15.75" customHeight="1">
      <c r="A200" s="32"/>
    </row>
    <row r="201" ht="15.75" customHeight="1">
      <c r="A201" s="32"/>
    </row>
    <row r="202" ht="15.75" customHeight="1">
      <c r="A202" s="32"/>
    </row>
    <row r="203" ht="15.75" customHeight="1">
      <c r="A203" s="32"/>
    </row>
    <row r="204" ht="15.75" customHeight="1">
      <c r="A204" s="32"/>
    </row>
    <row r="205" ht="15.75" customHeight="1">
      <c r="A205" s="32"/>
    </row>
    <row r="206" ht="15.75" customHeight="1">
      <c r="A206" s="32"/>
    </row>
    <row r="207" ht="15.75" customHeight="1">
      <c r="A207" s="32"/>
    </row>
    <row r="208" ht="15.75" customHeight="1">
      <c r="A208" s="32"/>
    </row>
    <row r="209" ht="15.75" customHeight="1">
      <c r="A209" s="32"/>
    </row>
    <row r="210" ht="15.75" customHeight="1">
      <c r="A210" s="32"/>
    </row>
    <row r="211" ht="15.75" customHeight="1">
      <c r="A211" s="32"/>
    </row>
    <row r="212" ht="15.75" customHeight="1">
      <c r="A212" s="32"/>
    </row>
    <row r="213" ht="15.75" customHeight="1">
      <c r="A213" s="32"/>
    </row>
    <row r="214" ht="15.75" customHeight="1">
      <c r="A214" s="32"/>
    </row>
    <row r="215" ht="15.75" customHeight="1">
      <c r="A215" s="32"/>
    </row>
    <row r="216" ht="15.75" customHeight="1">
      <c r="A216" s="32"/>
    </row>
    <row r="217" ht="15.75" customHeight="1">
      <c r="A217" s="32"/>
    </row>
    <row r="218" ht="15.75" customHeight="1">
      <c r="A218" s="32"/>
    </row>
    <row r="219" ht="15.75" customHeight="1">
      <c r="A219" s="32"/>
    </row>
    <row r="220" ht="15.75" customHeight="1">
      <c r="A220" s="32"/>
    </row>
    <row r="221" ht="15.75" customHeight="1">
      <c r="A221" s="32"/>
    </row>
    <row r="222" ht="15.75" customHeight="1">
      <c r="A222" s="32"/>
    </row>
    <row r="223" ht="15.75" customHeight="1">
      <c r="A223" s="32"/>
    </row>
    <row r="224" ht="15.75" customHeight="1">
      <c r="A224" s="32"/>
    </row>
    <row r="225" ht="15.75" customHeight="1">
      <c r="A225" s="32"/>
    </row>
    <row r="226" ht="15.75" customHeight="1">
      <c r="A226" s="32"/>
    </row>
    <row r="227" ht="15.75" customHeight="1">
      <c r="A227" s="32"/>
    </row>
    <row r="228" ht="15.75" customHeight="1">
      <c r="A228" s="32"/>
    </row>
    <row r="229" ht="15.75" customHeight="1">
      <c r="A229" s="32"/>
    </row>
    <row r="230" ht="15.75" customHeight="1">
      <c r="A230" s="32"/>
    </row>
    <row r="231" ht="15.75" customHeight="1">
      <c r="A231" s="32"/>
    </row>
    <row r="232" ht="15.75" customHeight="1">
      <c r="A232" s="32"/>
    </row>
    <row r="233" ht="15.75" customHeight="1">
      <c r="A233" s="32"/>
    </row>
    <row r="234" ht="15.75" customHeight="1">
      <c r="A234" s="32"/>
    </row>
    <row r="235" ht="15.75" customHeight="1">
      <c r="A235" s="32"/>
    </row>
    <row r="236" ht="15.75" customHeight="1">
      <c r="A236" s="32"/>
    </row>
    <row r="237" ht="15.75" customHeight="1">
      <c r="A237" s="32"/>
    </row>
    <row r="238" ht="15.75" customHeight="1">
      <c r="A238" s="32"/>
    </row>
    <row r="239" ht="15.75" customHeight="1">
      <c r="A239" s="32"/>
    </row>
    <row r="240" ht="15.75" customHeight="1">
      <c r="A240" s="32"/>
    </row>
    <row r="241" ht="15.75" customHeight="1">
      <c r="A241" s="32"/>
    </row>
    <row r="242" ht="15.75" customHeight="1">
      <c r="A242" s="32"/>
    </row>
    <row r="243" ht="15.75" customHeight="1">
      <c r="A243" s="32"/>
    </row>
    <row r="244" ht="15.75" customHeight="1">
      <c r="A244" s="32"/>
    </row>
    <row r="245" ht="15.75" customHeight="1">
      <c r="A245" s="32"/>
    </row>
    <row r="246" ht="15.75" customHeight="1">
      <c r="A246" s="32"/>
    </row>
    <row r="247" ht="15.75" customHeight="1">
      <c r="A247" s="32"/>
    </row>
    <row r="248" ht="15.75" customHeight="1">
      <c r="A248" s="32"/>
    </row>
    <row r="249" ht="15.75" customHeight="1">
      <c r="A249" s="32"/>
    </row>
    <row r="250" ht="15.75" customHeight="1">
      <c r="A250" s="32"/>
    </row>
    <row r="251" ht="15.75" customHeight="1">
      <c r="A251" s="32"/>
    </row>
    <row r="252" ht="15.75" customHeight="1">
      <c r="A252" s="32"/>
    </row>
    <row r="253" ht="15.75" customHeight="1">
      <c r="A253" s="32"/>
    </row>
    <row r="254" ht="15.75" customHeight="1">
      <c r="A254" s="32"/>
    </row>
    <row r="255" ht="15.75" customHeight="1">
      <c r="A255" s="32"/>
    </row>
    <row r="256" ht="15.75" customHeight="1">
      <c r="A256" s="32"/>
    </row>
    <row r="257" ht="15.75" customHeight="1">
      <c r="A257" s="32"/>
    </row>
    <row r="258" ht="15.75" customHeight="1">
      <c r="A258" s="32"/>
    </row>
    <row r="259" ht="15.75" customHeight="1">
      <c r="A259" s="32"/>
    </row>
    <row r="260" ht="15.75" customHeight="1">
      <c r="A260" s="32"/>
    </row>
    <row r="261" ht="15.75" customHeight="1">
      <c r="A261" s="32"/>
    </row>
    <row r="262" ht="15.75" customHeight="1">
      <c r="A262" s="32"/>
    </row>
    <row r="263" ht="15.75" customHeight="1">
      <c r="A263" s="32"/>
    </row>
    <row r="264" ht="15.75" customHeight="1">
      <c r="A264" s="32"/>
    </row>
    <row r="265" ht="15.75" customHeight="1">
      <c r="A265" s="32"/>
    </row>
    <row r="266" ht="15.75" customHeight="1">
      <c r="A266" s="32"/>
    </row>
    <row r="267" ht="15.75" customHeight="1">
      <c r="A267" s="32"/>
    </row>
    <row r="268" ht="15.75" customHeight="1">
      <c r="A268" s="32"/>
    </row>
    <row r="269" ht="15.75" customHeight="1">
      <c r="A269" s="32"/>
    </row>
    <row r="270" ht="15.75" customHeight="1">
      <c r="A270" s="32"/>
    </row>
    <row r="271" ht="15.75" customHeight="1">
      <c r="A271" s="32"/>
    </row>
    <row r="272" ht="15.75" customHeight="1">
      <c r="A272" s="32"/>
    </row>
    <row r="273" ht="15.75" customHeight="1">
      <c r="A273" s="32"/>
    </row>
    <row r="274" ht="15.75" customHeight="1">
      <c r="A274" s="32"/>
    </row>
    <row r="275" ht="15.75" customHeight="1">
      <c r="A275" s="32"/>
    </row>
    <row r="276" ht="15.75" customHeight="1">
      <c r="A276" s="32"/>
    </row>
    <row r="277" ht="15.75" customHeight="1">
      <c r="A277" s="32"/>
    </row>
    <row r="278" ht="15.75" customHeight="1">
      <c r="A278" s="32"/>
    </row>
    <row r="279" ht="15.75" customHeight="1">
      <c r="A279" s="32"/>
    </row>
    <row r="280" ht="15.75" customHeight="1">
      <c r="A280" s="32"/>
    </row>
    <row r="281" ht="15.75" customHeight="1">
      <c r="A281" s="32"/>
    </row>
    <row r="282" ht="15.75" customHeight="1">
      <c r="A282" s="32"/>
    </row>
    <row r="283" ht="15.75" customHeight="1">
      <c r="A283" s="32"/>
    </row>
    <row r="284" ht="15.75" customHeight="1">
      <c r="A284" s="32"/>
    </row>
    <row r="285" ht="15.75" customHeight="1">
      <c r="A285" s="32"/>
    </row>
    <row r="286" ht="15.75" customHeight="1">
      <c r="A286" s="32"/>
    </row>
    <row r="287" ht="15.75" customHeight="1">
      <c r="A287" s="32"/>
    </row>
    <row r="288" ht="15.75" customHeight="1">
      <c r="A288" s="32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35.43"/>
    <col customWidth="1" min="3" max="3" width="7.86"/>
    <col customWidth="1" min="4" max="4" width="19.14"/>
    <col customWidth="1" min="5" max="5" width="8.86"/>
    <col customWidth="1" min="6" max="6" width="23.29"/>
    <col customWidth="1" min="7" max="7" width="10.57"/>
    <col customWidth="1" min="8" max="8" width="20.57"/>
    <col customWidth="1" min="11" max="11" width="23.29"/>
  </cols>
  <sheetData>
    <row r="1" ht="15.75" customHeight="1">
      <c r="A1" s="90" t="s">
        <v>0</v>
      </c>
      <c r="B1" s="78" t="s">
        <v>1</v>
      </c>
      <c r="C1" s="77" t="s">
        <v>2</v>
      </c>
      <c r="D1" s="77" t="s">
        <v>2</v>
      </c>
      <c r="E1" s="77" t="s">
        <v>4</v>
      </c>
      <c r="F1" s="77" t="s">
        <v>4</v>
      </c>
      <c r="G1" s="77" t="s">
        <v>5</v>
      </c>
      <c r="H1" s="77" t="s">
        <v>5</v>
      </c>
      <c r="I1" s="77" t="s">
        <v>6</v>
      </c>
      <c r="J1" s="77" t="s">
        <v>6</v>
      </c>
      <c r="K1" s="78" t="s">
        <v>7</v>
      </c>
    </row>
    <row r="2" ht="15.75" customHeight="1">
      <c r="A2" s="91">
        <v>44009.0</v>
      </c>
      <c r="B2" s="82" t="s">
        <v>1656</v>
      </c>
      <c r="C2" s="77" t="s">
        <v>2</v>
      </c>
      <c r="D2" s="92" t="s">
        <v>1657</v>
      </c>
      <c r="E2" s="77" t="s">
        <v>4</v>
      </c>
      <c r="F2" s="92" t="s">
        <v>1658</v>
      </c>
      <c r="G2" s="77" t="s">
        <v>5</v>
      </c>
      <c r="H2" s="93">
        <f>+79127839349</f>
        <v>79127839349</v>
      </c>
      <c r="I2" s="77"/>
      <c r="J2" s="92" t="s">
        <v>742</v>
      </c>
    </row>
    <row r="3" ht="15.75" customHeight="1">
      <c r="A3" s="91">
        <v>44007.0</v>
      </c>
      <c r="B3" s="82" t="s">
        <v>1656</v>
      </c>
      <c r="C3" s="77" t="s">
        <v>2</v>
      </c>
      <c r="D3" s="92" t="s">
        <v>1659</v>
      </c>
      <c r="E3" s="77" t="s">
        <v>4</v>
      </c>
      <c r="F3" s="92" t="s">
        <v>1660</v>
      </c>
      <c r="G3" s="77" t="s">
        <v>5</v>
      </c>
      <c r="H3" s="93">
        <f>+3590883388861</f>
        <v>3590883388861</v>
      </c>
      <c r="I3" s="77"/>
      <c r="J3" s="92" t="s">
        <v>1661</v>
      </c>
    </row>
    <row r="4" ht="15.75" customHeight="1">
      <c r="A4" s="91">
        <v>44007.0</v>
      </c>
      <c r="B4" s="82" t="s">
        <v>1656</v>
      </c>
      <c r="C4" s="77" t="s">
        <v>2</v>
      </c>
      <c r="D4" s="92" t="s">
        <v>1662</v>
      </c>
      <c r="E4" s="77" t="s">
        <v>4</v>
      </c>
      <c r="F4" s="92" t="s">
        <v>1663</v>
      </c>
      <c r="G4" s="77" t="s">
        <v>5</v>
      </c>
      <c r="H4" s="93">
        <f>+34678338986</f>
        <v>34678338986</v>
      </c>
      <c r="I4" s="77"/>
      <c r="J4" s="92" t="s">
        <v>1664</v>
      </c>
    </row>
    <row r="5" ht="15.75" customHeight="1">
      <c r="A5" s="91">
        <v>44005.0</v>
      </c>
      <c r="B5" s="82" t="s">
        <v>1656</v>
      </c>
      <c r="C5" s="77" t="s">
        <v>2</v>
      </c>
      <c r="D5" s="92" t="s">
        <v>1665</v>
      </c>
      <c r="E5" s="77" t="s">
        <v>4</v>
      </c>
      <c r="F5" s="92" t="s">
        <v>1666</v>
      </c>
      <c r="G5" s="77" t="s">
        <v>5</v>
      </c>
      <c r="H5" s="93">
        <f>+380984165116</f>
        <v>380984165116</v>
      </c>
      <c r="I5" s="77"/>
      <c r="J5" s="92" t="s">
        <v>742</v>
      </c>
    </row>
    <row r="6" ht="15.75" customHeight="1">
      <c r="A6" s="91">
        <v>44005.0</v>
      </c>
      <c r="B6" s="82" t="s">
        <v>1656</v>
      </c>
      <c r="C6" s="77" t="s">
        <v>2</v>
      </c>
      <c r="D6" s="92" t="s">
        <v>1667</v>
      </c>
      <c r="E6" s="77" t="s">
        <v>4</v>
      </c>
      <c r="F6" s="92" t="s">
        <v>1668</v>
      </c>
      <c r="G6" s="77" t="s">
        <v>5</v>
      </c>
      <c r="H6" s="93">
        <f>+37377845040</f>
        <v>37377845040</v>
      </c>
      <c r="I6" s="77"/>
      <c r="J6" s="92" t="s">
        <v>1661</v>
      </c>
    </row>
    <row r="7" ht="15.75" customHeight="1">
      <c r="A7" s="91">
        <v>44004.0</v>
      </c>
      <c r="B7" s="82" t="s">
        <v>1656</v>
      </c>
      <c r="C7" s="77" t="s">
        <v>2</v>
      </c>
      <c r="D7" s="92" t="s">
        <v>1669</v>
      </c>
      <c r="E7" s="77" t="s">
        <v>4</v>
      </c>
      <c r="F7" s="92" t="s">
        <v>1670</v>
      </c>
      <c r="G7" s="77" t="s">
        <v>5</v>
      </c>
      <c r="H7" s="93">
        <f>+37369863005</f>
        <v>37369863005</v>
      </c>
      <c r="I7" s="77"/>
      <c r="J7" s="92" t="s">
        <v>742</v>
      </c>
    </row>
    <row r="8" ht="15.75" customHeight="1">
      <c r="A8" s="91">
        <v>44004.0</v>
      </c>
      <c r="B8" s="82" t="s">
        <v>1656</v>
      </c>
      <c r="C8" s="77" t="s">
        <v>2</v>
      </c>
      <c r="D8" s="92" t="s">
        <v>1671</v>
      </c>
      <c r="E8" s="77" t="s">
        <v>4</v>
      </c>
      <c r="F8" s="92" t="s">
        <v>1672</v>
      </c>
      <c r="G8" s="77" t="s">
        <v>5</v>
      </c>
      <c r="H8" s="93">
        <f>+37376069909</f>
        <v>37376069909</v>
      </c>
      <c r="J8" s="92" t="s">
        <v>1661</v>
      </c>
    </row>
    <row r="9" ht="15.75" customHeight="1">
      <c r="A9" s="91">
        <v>44000.0</v>
      </c>
      <c r="B9" s="82" t="s">
        <v>1656</v>
      </c>
      <c r="C9" s="77" t="s">
        <v>2</v>
      </c>
      <c r="D9" s="92" t="s">
        <v>1673</v>
      </c>
      <c r="E9" s="77" t="s">
        <v>4</v>
      </c>
      <c r="F9" s="92" t="s">
        <v>1674</v>
      </c>
      <c r="G9" s="77" t="s">
        <v>5</v>
      </c>
      <c r="H9" s="93">
        <f>+380967413587</f>
        <v>380967413587</v>
      </c>
      <c r="I9" s="77" t="s">
        <v>6</v>
      </c>
      <c r="J9" s="92" t="s">
        <v>742</v>
      </c>
      <c r="K9" s="92"/>
      <c r="L9" s="92"/>
    </row>
    <row r="10" ht="15.75" customHeight="1">
      <c r="A10" s="91">
        <v>43999.0</v>
      </c>
      <c r="B10" s="82" t="s">
        <v>1656</v>
      </c>
      <c r="C10" s="77" t="s">
        <v>2</v>
      </c>
      <c r="D10" s="92" t="s">
        <v>1675</v>
      </c>
      <c r="E10" s="77" t="s">
        <v>4</v>
      </c>
      <c r="F10" s="92" t="s">
        <v>1676</v>
      </c>
      <c r="G10" s="77" t="s">
        <v>5</v>
      </c>
      <c r="H10" s="93">
        <f>+49016090477777</f>
        <v>49016090477777</v>
      </c>
      <c r="I10" s="77" t="s">
        <v>6</v>
      </c>
      <c r="J10" s="92" t="s">
        <v>742</v>
      </c>
      <c r="K10" s="92"/>
      <c r="L10" s="92"/>
    </row>
    <row r="11" ht="15.75" customHeight="1">
      <c r="A11" s="91">
        <v>43998.0</v>
      </c>
      <c r="B11" s="82" t="s">
        <v>1656</v>
      </c>
      <c r="C11" s="77" t="s">
        <v>2</v>
      </c>
      <c r="D11" s="92" t="s">
        <v>1677</v>
      </c>
      <c r="E11" s="77" t="s">
        <v>4</v>
      </c>
      <c r="F11" s="92" t="s">
        <v>1678</v>
      </c>
      <c r="G11" s="77" t="s">
        <v>5</v>
      </c>
      <c r="H11" s="93">
        <f>+40740304033</f>
        <v>40740304033</v>
      </c>
      <c r="I11" s="77" t="s">
        <v>6</v>
      </c>
      <c r="J11" s="92" t="s">
        <v>742</v>
      </c>
      <c r="K11" s="92"/>
      <c r="L11" s="92"/>
    </row>
    <row r="12" ht="15.75" customHeight="1">
      <c r="A12" s="91">
        <v>43998.0</v>
      </c>
      <c r="B12" s="82" t="s">
        <v>1656</v>
      </c>
      <c r="C12" s="77" t="s">
        <v>2</v>
      </c>
      <c r="D12" s="92" t="s">
        <v>1679</v>
      </c>
      <c r="E12" s="77" t="s">
        <v>4</v>
      </c>
      <c r="F12" s="92" t="s">
        <v>1680</v>
      </c>
      <c r="G12" s="77" t="s">
        <v>5</v>
      </c>
      <c r="H12" s="93">
        <f>+380504741469</f>
        <v>380504741469</v>
      </c>
      <c r="I12" s="77" t="s">
        <v>6</v>
      </c>
      <c r="J12" s="92" t="s">
        <v>742</v>
      </c>
      <c r="K12" s="92"/>
      <c r="L12" s="92"/>
    </row>
    <row r="13" ht="15.75" customHeight="1">
      <c r="A13" s="91">
        <v>43998.0</v>
      </c>
      <c r="B13" s="82" t="s">
        <v>1656</v>
      </c>
      <c r="C13" s="77" t="s">
        <v>2</v>
      </c>
      <c r="D13" s="92" t="s">
        <v>1681</v>
      </c>
      <c r="E13" s="77" t="s">
        <v>4</v>
      </c>
      <c r="F13" s="92" t="s">
        <v>1682</v>
      </c>
      <c r="G13" s="77" t="s">
        <v>5</v>
      </c>
      <c r="H13" s="93">
        <f>+40740806397</f>
        <v>40740806397</v>
      </c>
      <c r="I13" s="77" t="s">
        <v>6</v>
      </c>
      <c r="J13" s="92" t="s">
        <v>1661</v>
      </c>
      <c r="K13" s="92"/>
      <c r="L13" s="92"/>
    </row>
    <row r="14" ht="15.75" customHeight="1">
      <c r="A14" s="91">
        <v>43997.0</v>
      </c>
      <c r="B14" s="82" t="s">
        <v>1656</v>
      </c>
      <c r="C14" s="77" t="s">
        <v>2</v>
      </c>
      <c r="D14" s="92" t="s">
        <v>1683</v>
      </c>
      <c r="E14" s="77" t="s">
        <v>4</v>
      </c>
      <c r="F14" s="92" t="s">
        <v>1684</v>
      </c>
      <c r="G14" s="77" t="s">
        <v>5</v>
      </c>
      <c r="H14" s="93">
        <f>+380997444933</f>
        <v>380997444933</v>
      </c>
      <c r="I14" s="77" t="s">
        <v>6</v>
      </c>
      <c r="J14" s="92" t="s">
        <v>1661</v>
      </c>
      <c r="K14" s="92"/>
      <c r="L14" s="92"/>
    </row>
    <row r="15" ht="15.75" customHeight="1">
      <c r="A15" s="94">
        <v>43996.0</v>
      </c>
      <c r="B15" s="82" t="s">
        <v>1656</v>
      </c>
      <c r="C15" s="77" t="s">
        <v>2</v>
      </c>
      <c r="D15" s="12" t="s">
        <v>1685</v>
      </c>
      <c r="E15" s="77" t="s">
        <v>4</v>
      </c>
      <c r="F15" s="12" t="s">
        <v>1686</v>
      </c>
      <c r="G15" s="77" t="s">
        <v>5</v>
      </c>
      <c r="H15" s="18">
        <f>+380676732791</f>
        <v>380676732791</v>
      </c>
      <c r="I15" s="77" t="s">
        <v>6</v>
      </c>
      <c r="J15" s="12" t="s">
        <v>1661</v>
      </c>
      <c r="K15" s="80" t="s">
        <v>1687</v>
      </c>
    </row>
    <row r="16" ht="15.75" customHeight="1">
      <c r="A16" s="94">
        <v>43996.0</v>
      </c>
      <c r="B16" s="82" t="s">
        <v>1656</v>
      </c>
      <c r="C16" s="77" t="s">
        <v>2</v>
      </c>
      <c r="D16" s="12" t="s">
        <v>1688</v>
      </c>
      <c r="E16" s="77" t="s">
        <v>4</v>
      </c>
      <c r="F16" s="12" t="s">
        <v>1689</v>
      </c>
      <c r="G16" s="77" t="s">
        <v>5</v>
      </c>
      <c r="H16" s="18">
        <f>+380977938212</f>
        <v>380977938212</v>
      </c>
      <c r="I16" s="77" t="s">
        <v>6</v>
      </c>
      <c r="J16" s="12" t="s">
        <v>742</v>
      </c>
      <c r="K16" s="80" t="s">
        <v>1690</v>
      </c>
    </row>
    <row r="17" ht="15.75" customHeight="1">
      <c r="A17" s="94">
        <v>43994.0</v>
      </c>
      <c r="B17" s="82" t="s">
        <v>1656</v>
      </c>
      <c r="C17" s="77" t="s">
        <v>2</v>
      </c>
      <c r="D17" s="12" t="s">
        <v>1691</v>
      </c>
      <c r="E17" s="77" t="s">
        <v>4</v>
      </c>
      <c r="F17" s="12" t="s">
        <v>1692</v>
      </c>
      <c r="G17" s="77" t="s">
        <v>5</v>
      </c>
      <c r="H17" s="18">
        <f>+380636472112</f>
        <v>380636472112</v>
      </c>
      <c r="I17" s="77" t="s">
        <v>6</v>
      </c>
      <c r="J17" s="12" t="s">
        <v>1661</v>
      </c>
      <c r="K17" s="80" t="s">
        <v>1687</v>
      </c>
    </row>
    <row r="18" ht="15.75" customHeight="1">
      <c r="A18" s="94">
        <v>43994.0</v>
      </c>
      <c r="B18" s="82" t="s">
        <v>1656</v>
      </c>
      <c r="C18" s="77" t="s">
        <v>2</v>
      </c>
      <c r="D18" s="12" t="s">
        <v>1693</v>
      </c>
      <c r="E18" s="77" t="s">
        <v>4</v>
      </c>
      <c r="F18" s="12" t="s">
        <v>1694</v>
      </c>
      <c r="G18" s="77" t="s">
        <v>5</v>
      </c>
      <c r="H18" s="18">
        <f>+380995017506</f>
        <v>380995017506</v>
      </c>
      <c r="I18" s="77" t="s">
        <v>6</v>
      </c>
      <c r="J18" s="12" t="s">
        <v>742</v>
      </c>
      <c r="K18" s="80" t="s">
        <v>1695</v>
      </c>
    </row>
    <row r="19" ht="15.75" customHeight="1">
      <c r="A19" s="94">
        <v>43994.0</v>
      </c>
      <c r="B19" s="82" t="s">
        <v>1656</v>
      </c>
      <c r="C19" s="77" t="s">
        <v>2</v>
      </c>
      <c r="D19" s="12" t="s">
        <v>1696</v>
      </c>
      <c r="E19" s="77" t="s">
        <v>4</v>
      </c>
      <c r="F19" s="12" t="s">
        <v>1697</v>
      </c>
      <c r="G19" s="77" t="s">
        <v>5</v>
      </c>
      <c r="H19" s="18">
        <f>+32499694658</f>
        <v>32499694658</v>
      </c>
      <c r="I19" s="77" t="s">
        <v>6</v>
      </c>
      <c r="J19" s="12" t="s">
        <v>1661</v>
      </c>
      <c r="K19" s="80" t="s">
        <v>1690</v>
      </c>
    </row>
    <row r="20" ht="15.75" customHeight="1">
      <c r="A20" s="94">
        <v>43993.0</v>
      </c>
      <c r="B20" s="82" t="s">
        <v>1656</v>
      </c>
      <c r="C20" s="77" t="s">
        <v>2</v>
      </c>
      <c r="D20" s="12" t="s">
        <v>1698</v>
      </c>
      <c r="E20" s="77" t="s">
        <v>4</v>
      </c>
      <c r="F20" s="12" t="s">
        <v>1699</v>
      </c>
      <c r="G20" s="77" t="s">
        <v>5</v>
      </c>
      <c r="H20" s="18">
        <f>+375333503723</f>
        <v>375333503723</v>
      </c>
      <c r="I20" s="77" t="s">
        <v>6</v>
      </c>
      <c r="J20" s="12" t="s">
        <v>1664</v>
      </c>
      <c r="K20" s="80" t="s">
        <v>1687</v>
      </c>
    </row>
    <row r="21" ht="15.75" customHeight="1">
      <c r="A21" s="94">
        <v>43993.0</v>
      </c>
      <c r="B21" s="82" t="s">
        <v>1656</v>
      </c>
      <c r="C21" s="77" t="s">
        <v>2</v>
      </c>
      <c r="D21" s="12" t="s">
        <v>1700</v>
      </c>
      <c r="E21" s="77" t="s">
        <v>4</v>
      </c>
      <c r="F21" s="12" t="s">
        <v>1701</v>
      </c>
      <c r="G21" s="77" t="s">
        <v>5</v>
      </c>
      <c r="H21" s="18">
        <f>+787012508888</f>
        <v>787012508888</v>
      </c>
      <c r="I21" s="77" t="s">
        <v>6</v>
      </c>
      <c r="J21" s="12" t="s">
        <v>742</v>
      </c>
      <c r="K21" s="80" t="s">
        <v>1690</v>
      </c>
    </row>
    <row r="22" ht="15.75" customHeight="1">
      <c r="A22" s="94">
        <v>43993.0</v>
      </c>
      <c r="B22" s="82" t="s">
        <v>1656</v>
      </c>
      <c r="C22" s="77" t="s">
        <v>2</v>
      </c>
      <c r="D22" s="12" t="s">
        <v>1702</v>
      </c>
      <c r="E22" s="77" t="s">
        <v>4</v>
      </c>
      <c r="F22" s="12" t="s">
        <v>1703</v>
      </c>
      <c r="G22" s="77" t="s">
        <v>5</v>
      </c>
      <c r="H22" s="18">
        <f>+36305555555</f>
        <v>36305555555</v>
      </c>
      <c r="I22" s="77" t="s">
        <v>6</v>
      </c>
      <c r="J22" s="12" t="s">
        <v>742</v>
      </c>
      <c r="K22" s="80" t="s">
        <v>1695</v>
      </c>
    </row>
    <row r="23" ht="15.75" customHeight="1">
      <c r="A23" s="87"/>
      <c r="B23" s="82" t="s">
        <v>1656</v>
      </c>
      <c r="C23" s="77" t="s">
        <v>2</v>
      </c>
      <c r="D23" s="12" t="s">
        <v>1704</v>
      </c>
      <c r="E23" s="77" t="s">
        <v>4</v>
      </c>
      <c r="F23" s="12" t="s">
        <v>1705</v>
      </c>
      <c r="G23" s="77" t="s">
        <v>5</v>
      </c>
      <c r="H23" s="18">
        <f>+306995383426</f>
        <v>306995383426</v>
      </c>
      <c r="I23" s="77" t="s">
        <v>6</v>
      </c>
      <c r="J23" s="12" t="s">
        <v>1661</v>
      </c>
    </row>
    <row r="24" ht="15.75" customHeight="1">
      <c r="A24" s="87"/>
      <c r="B24" s="82" t="s">
        <v>1656</v>
      </c>
      <c r="C24" s="77" t="s">
        <v>2</v>
      </c>
      <c r="D24" s="12" t="s">
        <v>1706</v>
      </c>
      <c r="E24" s="77" t="s">
        <v>4</v>
      </c>
      <c r="F24" s="12" t="s">
        <v>1707</v>
      </c>
      <c r="G24" s="77" t="s">
        <v>5</v>
      </c>
      <c r="H24" s="18">
        <f>+37580291817423</f>
        <v>37580291817423</v>
      </c>
      <c r="I24" s="77" t="s">
        <v>6</v>
      </c>
      <c r="J24" s="12" t="s">
        <v>1664</v>
      </c>
    </row>
    <row r="25" ht="15.75" customHeight="1">
      <c r="A25" s="87"/>
      <c r="B25" s="82" t="s">
        <v>1656</v>
      </c>
      <c r="C25" s="77" t="s">
        <v>2</v>
      </c>
      <c r="D25" s="12" t="s">
        <v>1708</v>
      </c>
      <c r="E25" s="77" t="s">
        <v>4</v>
      </c>
      <c r="F25" s="12" t="s">
        <v>1709</v>
      </c>
      <c r="G25" s="77" t="s">
        <v>5</v>
      </c>
      <c r="H25" s="18">
        <f>+79200148525</f>
        <v>79200148525</v>
      </c>
      <c r="I25" s="77" t="s">
        <v>6</v>
      </c>
      <c r="J25" s="12" t="s">
        <v>742</v>
      </c>
    </row>
    <row r="26" ht="15.75" customHeight="1">
      <c r="A26" s="87"/>
      <c r="B26" s="82" t="s">
        <v>1656</v>
      </c>
      <c r="C26" s="77" t="s">
        <v>2</v>
      </c>
      <c r="D26" s="12" t="s">
        <v>1710</v>
      </c>
      <c r="E26" s="77" t="s">
        <v>4</v>
      </c>
      <c r="F26" s="12" t="s">
        <v>1711</v>
      </c>
      <c r="G26" s="77" t="s">
        <v>5</v>
      </c>
      <c r="H26" s="18">
        <f>+380504541703</f>
        <v>380504541703</v>
      </c>
      <c r="I26" s="77" t="s">
        <v>6</v>
      </c>
      <c r="J26" s="12" t="s">
        <v>742</v>
      </c>
    </row>
    <row r="27" ht="15.75" customHeight="1">
      <c r="A27" s="87"/>
      <c r="B27" s="82" t="s">
        <v>1656</v>
      </c>
      <c r="C27" s="77" t="s">
        <v>2</v>
      </c>
      <c r="D27" s="12" t="s">
        <v>1712</v>
      </c>
      <c r="E27" s="77" t="s">
        <v>4</v>
      </c>
      <c r="F27" s="12" t="s">
        <v>1713</v>
      </c>
      <c r="G27" s="77" t="s">
        <v>5</v>
      </c>
      <c r="H27" s="18">
        <f>+79671913990</f>
        <v>79671913990</v>
      </c>
      <c r="I27" s="77" t="s">
        <v>6</v>
      </c>
      <c r="J27" s="12" t="s">
        <v>1661</v>
      </c>
    </row>
    <row r="28" ht="15.75" customHeight="1">
      <c r="A28" s="87"/>
      <c r="B28" s="82" t="s">
        <v>1656</v>
      </c>
      <c r="C28" s="77" t="s">
        <v>2</v>
      </c>
      <c r="D28" s="12" t="s">
        <v>1714</v>
      </c>
      <c r="E28" s="77" t="s">
        <v>4</v>
      </c>
      <c r="F28" s="12" t="s">
        <v>1715</v>
      </c>
      <c r="G28" s="77" t="s">
        <v>5</v>
      </c>
      <c r="H28" s="18">
        <f>+49491747851414</f>
        <v>49491747851414</v>
      </c>
      <c r="I28" s="77" t="s">
        <v>6</v>
      </c>
      <c r="J28" s="12" t="s">
        <v>1661</v>
      </c>
    </row>
    <row r="29" ht="15.75" customHeight="1">
      <c r="A29" s="87"/>
      <c r="B29" s="82" t="s">
        <v>1656</v>
      </c>
      <c r="C29" s="77" t="s">
        <v>2</v>
      </c>
      <c r="D29" s="12" t="s">
        <v>1716</v>
      </c>
      <c r="E29" s="77" t="s">
        <v>4</v>
      </c>
      <c r="F29" s="12" t="s">
        <v>1717</v>
      </c>
      <c r="G29" s="77" t="s">
        <v>5</v>
      </c>
      <c r="H29" s="18">
        <f>+37379993337</f>
        <v>37379993337</v>
      </c>
      <c r="I29" s="77" t="s">
        <v>6</v>
      </c>
      <c r="J29" s="12" t="s">
        <v>742</v>
      </c>
    </row>
    <row r="30" ht="15.75" customHeight="1">
      <c r="A30" s="87"/>
      <c r="B30" s="82" t="s">
        <v>1656</v>
      </c>
      <c r="C30" s="77" t="s">
        <v>2</v>
      </c>
      <c r="D30" s="12" t="s">
        <v>1718</v>
      </c>
      <c r="E30" s="77" t="s">
        <v>4</v>
      </c>
      <c r="F30" s="12" t="s">
        <v>1719</v>
      </c>
      <c r="G30" s="77" t="s">
        <v>5</v>
      </c>
      <c r="H30" s="18">
        <f>+3800675555551</f>
        <v>3800675555551</v>
      </c>
      <c r="I30" s="77" t="s">
        <v>6</v>
      </c>
      <c r="J30" s="12" t="s">
        <v>1661</v>
      </c>
    </row>
    <row r="31" ht="15.75" customHeight="1">
      <c r="A31" s="87"/>
      <c r="B31" s="82" t="s">
        <v>1656</v>
      </c>
      <c r="C31" s="77" t="s">
        <v>2</v>
      </c>
      <c r="D31" s="12" t="s">
        <v>1720</v>
      </c>
      <c r="E31" s="77" t="s">
        <v>4</v>
      </c>
      <c r="F31" s="12" t="s">
        <v>1721</v>
      </c>
      <c r="G31" s="77" t="s">
        <v>5</v>
      </c>
      <c r="H31" s="18">
        <f>+353866031375</f>
        <v>353866031375</v>
      </c>
      <c r="I31" s="77" t="s">
        <v>6</v>
      </c>
      <c r="J31" s="12" t="s">
        <v>1661</v>
      </c>
    </row>
    <row r="32" ht="15.75" customHeight="1">
      <c r="A32" s="87"/>
      <c r="B32" s="82" t="s">
        <v>1656</v>
      </c>
      <c r="C32" s="77" t="s">
        <v>2</v>
      </c>
      <c r="D32" s="12" t="s">
        <v>1722</v>
      </c>
      <c r="E32" s="77" t="s">
        <v>4</v>
      </c>
      <c r="F32" s="12" t="s">
        <v>1723</v>
      </c>
      <c r="G32" s="77" t="s">
        <v>5</v>
      </c>
      <c r="H32" s="18">
        <f>+79015102685</f>
        <v>79015102685</v>
      </c>
      <c r="I32" s="77" t="s">
        <v>6</v>
      </c>
      <c r="J32" s="12" t="s">
        <v>1664</v>
      </c>
    </row>
    <row r="33" ht="15.75" customHeight="1">
      <c r="A33" s="87"/>
      <c r="B33" s="82" t="s">
        <v>1656</v>
      </c>
      <c r="C33" s="77" t="s">
        <v>2</v>
      </c>
      <c r="D33" s="12" t="s">
        <v>1724</v>
      </c>
      <c r="E33" s="77" t="s">
        <v>4</v>
      </c>
      <c r="F33" s="12" t="s">
        <v>1725</v>
      </c>
      <c r="G33" s="77" t="s">
        <v>5</v>
      </c>
      <c r="H33" s="18">
        <f>+37369372323</f>
        <v>37369372323</v>
      </c>
      <c r="I33" s="77" t="s">
        <v>6</v>
      </c>
      <c r="J33" s="12" t="s">
        <v>1661</v>
      </c>
    </row>
    <row r="34" ht="15.75" customHeight="1">
      <c r="A34" s="87"/>
      <c r="B34" s="82" t="s">
        <v>1656</v>
      </c>
      <c r="C34" s="77" t="s">
        <v>2</v>
      </c>
      <c r="D34" s="12" t="s">
        <v>1726</v>
      </c>
      <c r="E34" s="77" t="s">
        <v>4</v>
      </c>
      <c r="F34" s="12" t="s">
        <v>1727</v>
      </c>
      <c r="G34" s="77" t="s">
        <v>5</v>
      </c>
      <c r="H34" s="18">
        <f>+37368010157</f>
        <v>37368010157</v>
      </c>
      <c r="I34" s="77" t="s">
        <v>6</v>
      </c>
      <c r="J34" s="12" t="s">
        <v>742</v>
      </c>
    </row>
    <row r="35" ht="15.75" customHeight="1">
      <c r="A35" s="87"/>
      <c r="B35" s="82" t="s">
        <v>1656</v>
      </c>
      <c r="C35" s="77" t="s">
        <v>2</v>
      </c>
      <c r="D35" s="12" t="s">
        <v>1728</v>
      </c>
      <c r="E35" s="77" t="s">
        <v>4</v>
      </c>
      <c r="F35" s="12" t="s">
        <v>1729</v>
      </c>
      <c r="G35" s="77" t="s">
        <v>5</v>
      </c>
      <c r="H35" s="18">
        <f>+789872927327</f>
        <v>789872927327</v>
      </c>
      <c r="I35" s="77" t="s">
        <v>6</v>
      </c>
      <c r="J35" s="12" t="s">
        <v>1664</v>
      </c>
    </row>
    <row r="36" ht="15.75" customHeight="1">
      <c r="A36" s="87"/>
      <c r="B36" s="82" t="s">
        <v>1656</v>
      </c>
      <c r="C36" s="77" t="s">
        <v>2</v>
      </c>
      <c r="D36" s="12" t="s">
        <v>1730</v>
      </c>
      <c r="E36" s="77" t="s">
        <v>4</v>
      </c>
      <c r="F36" s="12" t="s">
        <v>1731</v>
      </c>
      <c r="G36" s="77" t="s">
        <v>5</v>
      </c>
      <c r="H36" s="18">
        <f>+380634463230</f>
        <v>380634463230</v>
      </c>
      <c r="I36" s="77" t="s">
        <v>6</v>
      </c>
      <c r="J36" s="12" t="s">
        <v>742</v>
      </c>
    </row>
    <row r="37" ht="15.75" customHeight="1">
      <c r="A37" s="87"/>
      <c r="B37" s="82" t="s">
        <v>1656</v>
      </c>
      <c r="C37" s="77" t="s">
        <v>2</v>
      </c>
      <c r="D37" s="12" t="s">
        <v>1732</v>
      </c>
      <c r="E37" s="77" t="s">
        <v>4</v>
      </c>
      <c r="F37" s="12" t="s">
        <v>1733</v>
      </c>
      <c r="G37" s="77" t="s">
        <v>5</v>
      </c>
      <c r="H37" s="18">
        <f>+3800674737873</f>
        <v>3800674737873</v>
      </c>
      <c r="I37" s="77" t="s">
        <v>6</v>
      </c>
      <c r="J37" s="12" t="s">
        <v>742</v>
      </c>
    </row>
    <row r="38" ht="15.75" customHeight="1">
      <c r="A38" s="87"/>
      <c r="B38" s="82" t="s">
        <v>1656</v>
      </c>
      <c r="C38" s="77" t="s">
        <v>2</v>
      </c>
      <c r="D38" s="12" t="s">
        <v>1734</v>
      </c>
      <c r="E38" s="77" t="s">
        <v>4</v>
      </c>
      <c r="F38" s="12" t="s">
        <v>1735</v>
      </c>
      <c r="G38" s="77" t="s">
        <v>5</v>
      </c>
      <c r="H38" s="18">
        <v>3.7529193E7</v>
      </c>
      <c r="I38" s="77" t="s">
        <v>6</v>
      </c>
      <c r="J38" s="12" t="s">
        <v>742</v>
      </c>
    </row>
    <row r="39" ht="15.75" customHeight="1">
      <c r="A39" s="87"/>
      <c r="B39" s="82" t="s">
        <v>1656</v>
      </c>
      <c r="C39" s="77" t="s">
        <v>2</v>
      </c>
      <c r="D39" s="12" t="s">
        <v>1736</v>
      </c>
      <c r="E39" s="77" t="s">
        <v>4</v>
      </c>
      <c r="F39" s="12" t="s">
        <v>1737</v>
      </c>
      <c r="G39" s="77" t="s">
        <v>5</v>
      </c>
      <c r="H39" s="18">
        <f>+37129110507</f>
        <v>37129110507</v>
      </c>
      <c r="I39" s="77" t="s">
        <v>6</v>
      </c>
      <c r="J39" s="12" t="s">
        <v>1661</v>
      </c>
    </row>
    <row r="40" ht="15.75" customHeight="1">
      <c r="A40" s="87"/>
      <c r="B40" s="82" t="s">
        <v>1656</v>
      </c>
      <c r="C40" s="77" t="s">
        <v>2</v>
      </c>
      <c r="D40" s="12" t="s">
        <v>1738</v>
      </c>
      <c r="E40" s="77" t="s">
        <v>4</v>
      </c>
      <c r="F40" s="12" t="s">
        <v>1739</v>
      </c>
      <c r="G40" s="77" t="s">
        <v>5</v>
      </c>
      <c r="H40" s="18">
        <f>+381641078185</f>
        <v>381641078185</v>
      </c>
      <c r="I40" s="77" t="s">
        <v>6</v>
      </c>
      <c r="J40" s="12" t="s">
        <v>1661</v>
      </c>
    </row>
    <row r="41" ht="15.75" customHeight="1">
      <c r="A41" s="87"/>
      <c r="B41" s="82" t="s">
        <v>1656</v>
      </c>
      <c r="C41" s="77" t="s">
        <v>2</v>
      </c>
      <c r="D41" s="12" t="s">
        <v>1740</v>
      </c>
      <c r="E41" s="77" t="s">
        <v>4</v>
      </c>
      <c r="F41" s="12" t="s">
        <v>1741</v>
      </c>
      <c r="G41" s="77" t="s">
        <v>5</v>
      </c>
      <c r="H41" s="18">
        <f>+3800669473799</f>
        <v>3800669473799</v>
      </c>
      <c r="I41" s="77" t="s">
        <v>6</v>
      </c>
      <c r="J41" s="12" t="s">
        <v>1661</v>
      </c>
    </row>
    <row r="42" ht="15.75" customHeight="1">
      <c r="A42" s="87"/>
      <c r="B42" s="82" t="s">
        <v>1656</v>
      </c>
      <c r="C42" s="77" t="s">
        <v>2</v>
      </c>
      <c r="D42" s="12" t="s">
        <v>1742</v>
      </c>
      <c r="E42" s="77" t="s">
        <v>4</v>
      </c>
      <c r="F42" s="12" t="s">
        <v>1743</v>
      </c>
      <c r="G42" s="77" t="s">
        <v>5</v>
      </c>
      <c r="H42" s="18">
        <f>+375296754378</f>
        <v>375296754378</v>
      </c>
      <c r="I42" s="77" t="s">
        <v>6</v>
      </c>
      <c r="J42" s="12" t="s">
        <v>1661</v>
      </c>
    </row>
    <row r="43" ht="15.75" customHeight="1">
      <c r="A43" s="87"/>
      <c r="B43" s="82" t="s">
        <v>1656</v>
      </c>
      <c r="C43" s="77" t="s">
        <v>2</v>
      </c>
      <c r="D43" s="12" t="s">
        <v>1744</v>
      </c>
      <c r="E43" s="77" t="s">
        <v>4</v>
      </c>
      <c r="F43" s="12" t="s">
        <v>1745</v>
      </c>
      <c r="G43" s="77" t="s">
        <v>5</v>
      </c>
      <c r="H43" s="18">
        <f>+19177508560</f>
        <v>19177508560</v>
      </c>
      <c r="I43" s="77" t="s">
        <v>6</v>
      </c>
      <c r="J43" s="12" t="s">
        <v>1664</v>
      </c>
    </row>
    <row r="44" ht="15.75" customHeight="1">
      <c r="A44" s="87"/>
      <c r="B44" s="82" t="s">
        <v>1656</v>
      </c>
      <c r="C44" s="77" t="s">
        <v>2</v>
      </c>
      <c r="D44" s="12" t="s">
        <v>1746</v>
      </c>
      <c r="E44" s="77" t="s">
        <v>4</v>
      </c>
      <c r="F44" s="12" t="s">
        <v>1747</v>
      </c>
      <c r="G44" s="77" t="s">
        <v>5</v>
      </c>
      <c r="H44" s="18">
        <f>+79162392193</f>
        <v>79162392193</v>
      </c>
      <c r="I44" s="77" t="s">
        <v>6</v>
      </c>
      <c r="J44" s="12" t="s">
        <v>1664</v>
      </c>
    </row>
    <row r="45" ht="15.75" customHeight="1">
      <c r="A45" s="87"/>
      <c r="B45" s="82" t="s">
        <v>1656</v>
      </c>
      <c r="C45" s="77" t="s">
        <v>2</v>
      </c>
      <c r="D45" s="12" t="s">
        <v>1748</v>
      </c>
      <c r="E45" s="77" t="s">
        <v>4</v>
      </c>
      <c r="F45" s="12" t="s">
        <v>1749</v>
      </c>
      <c r="G45" s="77" t="s">
        <v>5</v>
      </c>
      <c r="H45" s="18">
        <f>+77775995745</f>
        <v>77775995745</v>
      </c>
      <c r="I45" s="77" t="s">
        <v>6</v>
      </c>
      <c r="J45" s="12" t="s">
        <v>1661</v>
      </c>
    </row>
    <row r="46" ht="15.75" customHeight="1">
      <c r="A46" s="87"/>
      <c r="B46" s="82" t="s">
        <v>1656</v>
      </c>
      <c r="C46" s="77" t="s">
        <v>2</v>
      </c>
      <c r="D46" s="12" t="s">
        <v>1750</v>
      </c>
      <c r="E46" s="77" t="s">
        <v>4</v>
      </c>
      <c r="F46" s="12" t="s">
        <v>1751</v>
      </c>
      <c r="G46" s="77" t="s">
        <v>5</v>
      </c>
      <c r="H46" s="18">
        <f>+3800933920928</f>
        <v>3800933920928</v>
      </c>
      <c r="I46" s="77" t="s">
        <v>6</v>
      </c>
      <c r="J46" s="12" t="s">
        <v>742</v>
      </c>
    </row>
    <row r="47" ht="15.75" customHeight="1">
      <c r="A47" s="87"/>
      <c r="B47" s="82" t="s">
        <v>1656</v>
      </c>
      <c r="C47" s="77" t="s">
        <v>2</v>
      </c>
      <c r="D47" s="12" t="s">
        <v>1752</v>
      </c>
      <c r="E47" s="77" t="s">
        <v>4</v>
      </c>
      <c r="F47" s="12" t="s">
        <v>1753</v>
      </c>
      <c r="G47" s="77" t="s">
        <v>5</v>
      </c>
      <c r="H47" s="18">
        <f>+37256812252</f>
        <v>37256812252</v>
      </c>
      <c r="I47" s="77" t="s">
        <v>6</v>
      </c>
      <c r="J47" s="12" t="s">
        <v>1664</v>
      </c>
    </row>
    <row r="48" ht="15.75" customHeight="1">
      <c r="A48" s="87"/>
      <c r="B48" s="82" t="s">
        <v>1656</v>
      </c>
      <c r="C48" s="77" t="s">
        <v>2</v>
      </c>
      <c r="D48" s="12" t="s">
        <v>1754</v>
      </c>
      <c r="E48" s="77" t="s">
        <v>4</v>
      </c>
      <c r="F48" s="12" t="s">
        <v>1755</v>
      </c>
      <c r="G48" s="77" t="s">
        <v>5</v>
      </c>
      <c r="H48" s="18">
        <f>+37129116472</f>
        <v>37129116472</v>
      </c>
      <c r="I48" s="77" t="s">
        <v>6</v>
      </c>
      <c r="J48" s="12" t="s">
        <v>1661</v>
      </c>
    </row>
    <row r="49" ht="15.75" customHeight="1">
      <c r="A49" s="87"/>
      <c r="B49" s="82" t="s">
        <v>1656</v>
      </c>
      <c r="C49" s="77" t="s">
        <v>2</v>
      </c>
      <c r="D49" s="12" t="s">
        <v>1756</v>
      </c>
      <c r="E49" s="77" t="s">
        <v>4</v>
      </c>
      <c r="F49" s="12" t="s">
        <v>1757</v>
      </c>
      <c r="G49" s="77" t="s">
        <v>5</v>
      </c>
      <c r="H49" s="18">
        <f>+79046719348</f>
        <v>79046719348</v>
      </c>
      <c r="I49" s="77" t="s">
        <v>6</v>
      </c>
      <c r="J49" s="12" t="s">
        <v>1661</v>
      </c>
    </row>
    <row r="50" ht="15.75" customHeight="1">
      <c r="A50" s="87"/>
      <c r="B50" s="82" t="s">
        <v>1656</v>
      </c>
      <c r="C50" s="77" t="s">
        <v>2</v>
      </c>
      <c r="D50" s="12" t="s">
        <v>1758</v>
      </c>
      <c r="E50" s="77" t="s">
        <v>4</v>
      </c>
      <c r="F50" s="12" t="s">
        <v>1759</v>
      </c>
      <c r="G50" s="77" t="s">
        <v>5</v>
      </c>
      <c r="H50" s="18">
        <f>+380501975702</f>
        <v>380501975702</v>
      </c>
      <c r="I50" s="77" t="s">
        <v>6</v>
      </c>
      <c r="J50" s="12" t="s">
        <v>1664</v>
      </c>
    </row>
    <row r="51" ht="15.75" customHeight="1">
      <c r="A51" s="87"/>
      <c r="B51" s="82" t="s">
        <v>1656</v>
      </c>
      <c r="C51" s="77" t="s">
        <v>2</v>
      </c>
      <c r="D51" s="12" t="s">
        <v>1760</v>
      </c>
      <c r="E51" s="77" t="s">
        <v>4</v>
      </c>
      <c r="F51" s="12" t="s">
        <v>1761</v>
      </c>
      <c r="G51" s="77" t="s">
        <v>5</v>
      </c>
      <c r="H51" s="18">
        <f>+380663367396</f>
        <v>380663367396</v>
      </c>
      <c r="I51" s="77" t="s">
        <v>6</v>
      </c>
      <c r="J51" s="12" t="s">
        <v>742</v>
      </c>
    </row>
    <row r="52" ht="15.75" customHeight="1">
      <c r="A52" s="87"/>
      <c r="B52" s="82" t="s">
        <v>1656</v>
      </c>
      <c r="C52" s="77" t="s">
        <v>2</v>
      </c>
      <c r="D52" s="95" t="s">
        <v>1762</v>
      </c>
      <c r="E52" s="77" t="s">
        <v>4</v>
      </c>
      <c r="F52" s="12" t="s">
        <v>1763</v>
      </c>
      <c r="G52" s="77" t="s">
        <v>5</v>
      </c>
      <c r="H52" s="96"/>
      <c r="I52" s="77" t="s">
        <v>6</v>
      </c>
      <c r="J52" s="12" t="s">
        <v>742</v>
      </c>
    </row>
    <row r="53" ht="15.75" customHeight="1">
      <c r="A53" s="87"/>
      <c r="B53" s="82" t="s">
        <v>1656</v>
      </c>
      <c r="C53" s="77" t="s">
        <v>2</v>
      </c>
      <c r="D53" s="95" t="s">
        <v>1764</v>
      </c>
      <c r="E53" s="77" t="s">
        <v>4</v>
      </c>
      <c r="F53" s="12" t="s">
        <v>1765</v>
      </c>
      <c r="G53" s="77" t="s">
        <v>5</v>
      </c>
      <c r="H53" s="96">
        <f>79248751080</f>
        <v>79248751080</v>
      </c>
      <c r="I53" s="77" t="s">
        <v>6</v>
      </c>
      <c r="J53" s="12" t="s">
        <v>1664</v>
      </c>
    </row>
    <row r="54" ht="15.75" customHeight="1">
      <c r="A54" s="87"/>
      <c r="B54" s="82" t="s">
        <v>1656</v>
      </c>
      <c r="C54" s="77" t="s">
        <v>2</v>
      </c>
      <c r="D54" s="95" t="s">
        <v>1766</v>
      </c>
      <c r="E54" s="77" t="s">
        <v>4</v>
      </c>
      <c r="F54" s="12" t="s">
        <v>1767</v>
      </c>
      <c r="G54" s="77" t="s">
        <v>5</v>
      </c>
      <c r="H54" s="96"/>
      <c r="I54" s="77" t="s">
        <v>6</v>
      </c>
      <c r="J54" s="12" t="s">
        <v>742</v>
      </c>
    </row>
    <row r="55" ht="15.75" customHeight="1">
      <c r="A55" s="87"/>
      <c r="B55" s="82" t="s">
        <v>1656</v>
      </c>
      <c r="C55" s="77" t="s">
        <v>2</v>
      </c>
      <c r="D55" s="95" t="s">
        <v>1768</v>
      </c>
      <c r="E55" s="77" t="s">
        <v>4</v>
      </c>
      <c r="F55" s="12" t="s">
        <v>1769</v>
      </c>
      <c r="G55" s="77" t="s">
        <v>5</v>
      </c>
      <c r="H55" s="96"/>
      <c r="I55" s="77" t="s">
        <v>6</v>
      </c>
      <c r="J55" s="12" t="s">
        <v>1661</v>
      </c>
    </row>
    <row r="56" ht="15.75" customHeight="1">
      <c r="A56" s="87"/>
      <c r="B56" s="82" t="s">
        <v>1656</v>
      </c>
      <c r="C56" s="77" t="s">
        <v>2</v>
      </c>
      <c r="D56" s="97" t="s">
        <v>1770</v>
      </c>
      <c r="E56" s="77" t="s">
        <v>4</v>
      </c>
      <c r="F56" s="12" t="s">
        <v>1771</v>
      </c>
      <c r="G56" s="77" t="s">
        <v>5</v>
      </c>
      <c r="H56" s="96"/>
      <c r="I56" s="77" t="s">
        <v>6</v>
      </c>
      <c r="J56" s="12" t="s">
        <v>742</v>
      </c>
    </row>
    <row r="57" ht="15.75" customHeight="1">
      <c r="A57" s="87"/>
      <c r="B57" s="82" t="s">
        <v>1656</v>
      </c>
      <c r="C57" s="77" t="s">
        <v>2</v>
      </c>
      <c r="D57" s="95" t="s">
        <v>1772</v>
      </c>
      <c r="E57" s="77" t="s">
        <v>4</v>
      </c>
      <c r="F57" s="12" t="s">
        <v>1773</v>
      </c>
      <c r="G57" s="77" t="s">
        <v>5</v>
      </c>
      <c r="H57" s="96"/>
      <c r="I57" s="77" t="s">
        <v>6</v>
      </c>
      <c r="J57" s="12" t="s">
        <v>1664</v>
      </c>
    </row>
    <row r="58" ht="15.75" customHeight="1">
      <c r="A58" s="87"/>
      <c r="B58" s="82" t="s">
        <v>1656</v>
      </c>
      <c r="C58" s="77" t="s">
        <v>2</v>
      </c>
      <c r="D58" s="95" t="s">
        <v>1774</v>
      </c>
      <c r="E58" s="77" t="s">
        <v>4</v>
      </c>
      <c r="F58" s="12" t="s">
        <v>1775</v>
      </c>
      <c r="G58" s="77" t="s">
        <v>5</v>
      </c>
      <c r="H58" s="96"/>
      <c r="I58" s="77" t="s">
        <v>6</v>
      </c>
      <c r="J58" s="12" t="s">
        <v>1661</v>
      </c>
    </row>
    <row r="59" ht="15.75" customHeight="1">
      <c r="A59" s="87"/>
      <c r="B59" s="82" t="s">
        <v>1656</v>
      </c>
      <c r="C59" s="77" t="s">
        <v>2</v>
      </c>
      <c r="E59" s="77" t="s">
        <v>4</v>
      </c>
      <c r="F59" s="12" t="s">
        <v>1776</v>
      </c>
      <c r="G59" s="77" t="s">
        <v>5</v>
      </c>
      <c r="H59" s="96"/>
      <c r="I59" s="77" t="s">
        <v>6</v>
      </c>
      <c r="J59" s="12" t="s">
        <v>1661</v>
      </c>
    </row>
    <row r="60" ht="15.75" customHeight="1">
      <c r="A60" s="87"/>
      <c r="B60" s="82" t="s">
        <v>1656</v>
      </c>
      <c r="C60" s="77" t="s">
        <v>2</v>
      </c>
      <c r="D60" s="95" t="s">
        <v>1777</v>
      </c>
      <c r="E60" s="77" t="s">
        <v>4</v>
      </c>
      <c r="F60" s="12" t="s">
        <v>1778</v>
      </c>
      <c r="G60" s="77" t="s">
        <v>5</v>
      </c>
      <c r="H60" s="96"/>
      <c r="I60" s="77" t="s">
        <v>6</v>
      </c>
      <c r="J60" s="12" t="s">
        <v>1661</v>
      </c>
    </row>
    <row r="61" ht="15.75" customHeight="1">
      <c r="A61" s="87"/>
      <c r="B61" s="82" t="s">
        <v>1656</v>
      </c>
      <c r="C61" s="77" t="s">
        <v>2</v>
      </c>
      <c r="D61" s="95" t="s">
        <v>1779</v>
      </c>
      <c r="E61" s="77" t="s">
        <v>4</v>
      </c>
      <c r="F61" s="12" t="s">
        <v>1780</v>
      </c>
      <c r="G61" s="77" t="s">
        <v>5</v>
      </c>
      <c r="H61" s="96"/>
      <c r="I61" s="77" t="s">
        <v>6</v>
      </c>
      <c r="J61" s="12" t="s">
        <v>1664</v>
      </c>
    </row>
    <row r="62" ht="15.75" customHeight="1">
      <c r="A62" s="87"/>
      <c r="B62" s="82" t="s">
        <v>1656</v>
      </c>
      <c r="C62" s="77" t="s">
        <v>2</v>
      </c>
      <c r="D62" s="95" t="s">
        <v>1781</v>
      </c>
      <c r="E62" s="77" t="s">
        <v>4</v>
      </c>
      <c r="F62" s="12" t="s">
        <v>1782</v>
      </c>
      <c r="G62" s="77" t="s">
        <v>5</v>
      </c>
      <c r="H62" s="96"/>
      <c r="I62" s="77" t="s">
        <v>6</v>
      </c>
      <c r="J62" s="12" t="s">
        <v>1664</v>
      </c>
    </row>
    <row r="63" ht="15.75" customHeight="1">
      <c r="A63" s="87"/>
      <c r="B63" s="82" t="s">
        <v>1656</v>
      </c>
      <c r="C63" s="77" t="s">
        <v>2</v>
      </c>
      <c r="D63" s="95" t="s">
        <v>1783</v>
      </c>
      <c r="E63" s="77" t="s">
        <v>4</v>
      </c>
      <c r="F63" s="12" t="s">
        <v>1784</v>
      </c>
      <c r="G63" s="77" t="s">
        <v>5</v>
      </c>
      <c r="H63" s="96"/>
      <c r="I63" s="77" t="s">
        <v>6</v>
      </c>
      <c r="J63" s="12" t="s">
        <v>1664</v>
      </c>
    </row>
    <row r="64" ht="15.75" customHeight="1">
      <c r="A64" s="87"/>
      <c r="B64" s="82" t="s">
        <v>1656</v>
      </c>
      <c r="C64" s="77" t="s">
        <v>2</v>
      </c>
      <c r="D64" s="95" t="s">
        <v>1785</v>
      </c>
      <c r="E64" s="77" t="s">
        <v>4</v>
      </c>
      <c r="F64" s="12" t="s">
        <v>1786</v>
      </c>
      <c r="G64" s="77" t="s">
        <v>5</v>
      </c>
      <c r="H64" s="96"/>
      <c r="I64" s="77" t="s">
        <v>6</v>
      </c>
      <c r="J64" s="12" t="s">
        <v>1664</v>
      </c>
    </row>
    <row r="65" ht="15.75" customHeight="1">
      <c r="A65" s="87"/>
      <c r="B65" s="82" t="s">
        <v>1656</v>
      </c>
      <c r="C65" s="77" t="s">
        <v>2</v>
      </c>
      <c r="D65" s="95" t="s">
        <v>1787</v>
      </c>
      <c r="E65" s="77" t="s">
        <v>4</v>
      </c>
      <c r="F65" s="12" t="s">
        <v>1788</v>
      </c>
      <c r="G65" s="77" t="s">
        <v>5</v>
      </c>
      <c r="H65" s="96"/>
      <c r="I65" s="77" t="s">
        <v>6</v>
      </c>
      <c r="J65" s="12" t="s">
        <v>1661</v>
      </c>
    </row>
    <row r="66" ht="15.75" customHeight="1">
      <c r="A66" s="87"/>
      <c r="B66" s="82" t="s">
        <v>1656</v>
      </c>
      <c r="C66" s="77" t="s">
        <v>2</v>
      </c>
      <c r="D66" s="95" t="s">
        <v>1789</v>
      </c>
      <c r="E66" s="77" t="s">
        <v>4</v>
      </c>
      <c r="F66" s="12" t="s">
        <v>1790</v>
      </c>
      <c r="G66" s="77" t="s">
        <v>5</v>
      </c>
      <c r="H66" s="96"/>
      <c r="I66" s="77" t="s">
        <v>6</v>
      </c>
      <c r="J66" s="12" t="s">
        <v>1661</v>
      </c>
    </row>
    <row r="67" ht="15.75" customHeight="1">
      <c r="A67" s="87"/>
      <c r="B67" s="82" t="s">
        <v>1656</v>
      </c>
      <c r="C67" s="77" t="s">
        <v>2</v>
      </c>
      <c r="D67" s="95" t="s">
        <v>1791</v>
      </c>
      <c r="E67" s="77" t="s">
        <v>4</v>
      </c>
      <c r="F67" s="12" t="s">
        <v>1792</v>
      </c>
      <c r="G67" s="77" t="s">
        <v>5</v>
      </c>
      <c r="H67" s="96"/>
      <c r="I67" s="77" t="s">
        <v>6</v>
      </c>
      <c r="J67" s="12" t="s">
        <v>1661</v>
      </c>
    </row>
    <row r="68" ht="15.75" customHeight="1">
      <c r="A68" s="87"/>
      <c r="B68" s="82" t="s">
        <v>1656</v>
      </c>
      <c r="C68" s="77" t="s">
        <v>2</v>
      </c>
      <c r="D68" s="97" t="s">
        <v>1793</v>
      </c>
      <c r="E68" s="77" t="s">
        <v>4</v>
      </c>
      <c r="F68" s="12" t="s">
        <v>1794</v>
      </c>
      <c r="G68" s="77" t="s">
        <v>5</v>
      </c>
      <c r="H68" s="96"/>
      <c r="I68" s="77" t="s">
        <v>6</v>
      </c>
      <c r="J68" s="12" t="s">
        <v>1661</v>
      </c>
    </row>
    <row r="69" ht="15.75" customHeight="1">
      <c r="A69" s="87"/>
      <c r="B69" s="82" t="s">
        <v>1656</v>
      </c>
      <c r="C69" s="77" t="s">
        <v>2</v>
      </c>
      <c r="D69" s="95" t="s">
        <v>1795</v>
      </c>
      <c r="E69" s="77" t="s">
        <v>4</v>
      </c>
      <c r="F69" s="12" t="s">
        <v>1796</v>
      </c>
      <c r="G69" s="77" t="s">
        <v>5</v>
      </c>
      <c r="H69" s="96"/>
      <c r="I69" s="77" t="s">
        <v>6</v>
      </c>
      <c r="J69" s="12" t="s">
        <v>742</v>
      </c>
    </row>
    <row r="70" ht="15.75" customHeight="1">
      <c r="A70" s="87"/>
      <c r="B70" s="82" t="s">
        <v>1656</v>
      </c>
      <c r="C70" s="77" t="s">
        <v>2</v>
      </c>
      <c r="D70" s="95" t="s">
        <v>1797</v>
      </c>
      <c r="E70" s="77" t="s">
        <v>4</v>
      </c>
      <c r="F70" s="12" t="s">
        <v>1798</v>
      </c>
      <c r="G70" s="77" t="s">
        <v>5</v>
      </c>
      <c r="H70" s="96"/>
      <c r="I70" s="77" t="s">
        <v>6</v>
      </c>
      <c r="J70" s="12" t="s">
        <v>1661</v>
      </c>
    </row>
    <row r="71" ht="15.75" customHeight="1">
      <c r="A71" s="87"/>
      <c r="B71" s="82" t="s">
        <v>1656</v>
      </c>
      <c r="C71" s="77" t="s">
        <v>2</v>
      </c>
      <c r="E71" s="77" t="s">
        <v>4</v>
      </c>
      <c r="F71" s="12" t="s">
        <v>1799</v>
      </c>
      <c r="G71" s="77" t="s">
        <v>5</v>
      </c>
      <c r="H71" s="96"/>
      <c r="I71" s="77" t="s">
        <v>6</v>
      </c>
      <c r="J71" s="12" t="s">
        <v>742</v>
      </c>
    </row>
    <row r="72" ht="15.75" customHeight="1">
      <c r="A72" s="87"/>
      <c r="B72" s="82" t="s">
        <v>1656</v>
      </c>
      <c r="C72" s="77" t="s">
        <v>2</v>
      </c>
      <c r="D72" s="12" t="s">
        <v>1800</v>
      </c>
      <c r="E72" s="77" t="s">
        <v>4</v>
      </c>
      <c r="F72" s="12" t="s">
        <v>1801</v>
      </c>
      <c r="G72" s="77" t="s">
        <v>5</v>
      </c>
      <c r="H72" s="18">
        <f>+37369296454</f>
        <v>37369296454</v>
      </c>
      <c r="I72" s="77" t="s">
        <v>6</v>
      </c>
    </row>
    <row r="73" ht="15.75" customHeight="1">
      <c r="A73" s="87"/>
      <c r="B73" s="82" t="s">
        <v>1656</v>
      </c>
      <c r="C73" s="77" t="s">
        <v>2</v>
      </c>
      <c r="D73" s="12" t="s">
        <v>1752</v>
      </c>
      <c r="E73" s="77" t="s">
        <v>4</v>
      </c>
      <c r="F73" s="12" t="s">
        <v>1753</v>
      </c>
      <c r="G73" s="77" t="s">
        <v>5</v>
      </c>
      <c r="H73" s="18">
        <f>+37256812252</f>
        <v>37256812252</v>
      </c>
      <c r="I73" s="77" t="s">
        <v>6</v>
      </c>
    </row>
    <row r="74" ht="15.75" customHeight="1">
      <c r="A74" s="87"/>
      <c r="B74" s="82" t="s">
        <v>1656</v>
      </c>
      <c r="C74" s="77" t="s">
        <v>2</v>
      </c>
      <c r="D74" s="12" t="s">
        <v>1802</v>
      </c>
      <c r="E74" s="77" t="s">
        <v>4</v>
      </c>
      <c r="F74" s="12" t="s">
        <v>1803</v>
      </c>
      <c r="G74" s="77" t="s">
        <v>5</v>
      </c>
      <c r="H74" s="18">
        <f>+393409000878</f>
        <v>393409000878</v>
      </c>
      <c r="I74" s="77" t="s">
        <v>6</v>
      </c>
    </row>
    <row r="75" ht="15.75" customHeight="1">
      <c r="A75" s="87"/>
      <c r="B75" s="82" t="s">
        <v>1656</v>
      </c>
      <c r="C75" s="77" t="s">
        <v>2</v>
      </c>
      <c r="D75" s="12" t="s">
        <v>1804</v>
      </c>
      <c r="E75" s="77" t="s">
        <v>4</v>
      </c>
      <c r="F75" s="12" t="s">
        <v>1805</v>
      </c>
      <c r="G75" s="77" t="s">
        <v>5</v>
      </c>
      <c r="H75" s="18">
        <f>+380503129554</f>
        <v>380503129554</v>
      </c>
      <c r="I75" s="77" t="s">
        <v>6</v>
      </c>
    </row>
    <row r="76" ht="15.75" customHeight="1">
      <c r="A76" s="87"/>
      <c r="B76" s="82" t="s">
        <v>1656</v>
      </c>
      <c r="C76" s="77" t="s">
        <v>2</v>
      </c>
      <c r="D76" s="12" t="s">
        <v>1806</v>
      </c>
      <c r="E76" s="77" t="s">
        <v>4</v>
      </c>
      <c r="F76" s="12" t="s">
        <v>1807</v>
      </c>
      <c r="G76" s="77" t="s">
        <v>5</v>
      </c>
      <c r="H76" s="18">
        <f>+77078395132</f>
        <v>77078395132</v>
      </c>
      <c r="I76" s="77" t="s">
        <v>6</v>
      </c>
    </row>
    <row r="77" ht="15.75" customHeight="1">
      <c r="A77" s="87"/>
      <c r="B77" s="82" t="s">
        <v>1656</v>
      </c>
      <c r="C77" s="77" t="s">
        <v>2</v>
      </c>
      <c r="D77" s="12" t="s">
        <v>1808</v>
      </c>
      <c r="E77" s="77" t="s">
        <v>4</v>
      </c>
      <c r="F77" s="12" t="s">
        <v>1809</v>
      </c>
      <c r="G77" s="77" t="s">
        <v>5</v>
      </c>
      <c r="H77" s="18">
        <f>+393284217202</f>
        <v>393284217202</v>
      </c>
      <c r="I77" s="77" t="s">
        <v>6</v>
      </c>
    </row>
    <row r="78" ht="15.75" customHeight="1">
      <c r="A78" s="87"/>
      <c r="B78" s="82" t="s">
        <v>1656</v>
      </c>
      <c r="C78" s="77" t="s">
        <v>2</v>
      </c>
      <c r="D78" s="12" t="s">
        <v>1810</v>
      </c>
      <c r="E78" s="77" t="s">
        <v>4</v>
      </c>
      <c r="F78" s="12" t="s">
        <v>1811</v>
      </c>
      <c r="G78" s="77" t="s">
        <v>5</v>
      </c>
      <c r="H78" s="18">
        <f>+4915216608775</f>
        <v>4915216608775</v>
      </c>
      <c r="I78" s="77" t="s">
        <v>6</v>
      </c>
    </row>
    <row r="79" ht="15.75" customHeight="1">
      <c r="A79" s="87"/>
      <c r="B79" s="82" t="s">
        <v>1656</v>
      </c>
      <c r="C79" s="77" t="s">
        <v>2</v>
      </c>
      <c r="D79" s="12" t="s">
        <v>1812</v>
      </c>
      <c r="E79" s="77" t="s">
        <v>4</v>
      </c>
      <c r="F79" s="12" t="s">
        <v>1813</v>
      </c>
      <c r="G79" s="77" t="s">
        <v>5</v>
      </c>
      <c r="H79" s="18">
        <f>+789163419035</f>
        <v>789163419035</v>
      </c>
      <c r="I79" s="77" t="s">
        <v>6</v>
      </c>
    </row>
    <row r="80" ht="15.75" customHeight="1">
      <c r="A80" s="32"/>
      <c r="H80" s="96"/>
    </row>
    <row r="81" ht="15.75" customHeight="1">
      <c r="A81" s="32"/>
      <c r="H81" s="96"/>
    </row>
    <row r="82" ht="15.75" customHeight="1">
      <c r="A82" s="32"/>
      <c r="H82" s="96"/>
    </row>
    <row r="83" ht="15.75" customHeight="1">
      <c r="A83" s="32"/>
      <c r="H83" s="96"/>
    </row>
    <row r="84" ht="15.75" customHeight="1">
      <c r="A84" s="32"/>
      <c r="H84" s="96"/>
    </row>
    <row r="85" ht="15.75" customHeight="1">
      <c r="A85" s="32"/>
      <c r="H85" s="96"/>
    </row>
    <row r="86" ht="15.75" customHeight="1">
      <c r="A86" s="32"/>
      <c r="H86" s="96"/>
    </row>
    <row r="87" ht="15.75" customHeight="1">
      <c r="A87" s="32"/>
      <c r="H87" s="96"/>
    </row>
    <row r="88" ht="15.75" customHeight="1">
      <c r="A88" s="32"/>
      <c r="H88" s="96"/>
    </row>
    <row r="89" ht="15.75" customHeight="1">
      <c r="A89" s="32"/>
      <c r="H89" s="96"/>
    </row>
    <row r="90" ht="15.75" customHeight="1">
      <c r="A90" s="32"/>
      <c r="H90" s="96"/>
    </row>
    <row r="91" ht="15.75" customHeight="1">
      <c r="A91" s="32"/>
      <c r="H91" s="96"/>
    </row>
    <row r="92" ht="15.75" customHeight="1">
      <c r="A92" s="32"/>
      <c r="H92" s="96"/>
    </row>
    <row r="93" ht="15.75" customHeight="1">
      <c r="A93" s="32"/>
      <c r="H93" s="96"/>
    </row>
    <row r="94" ht="15.75" customHeight="1">
      <c r="A94" s="32"/>
      <c r="H94" s="96"/>
    </row>
    <row r="95" ht="15.75" customHeight="1">
      <c r="A95" s="32"/>
      <c r="H95" s="96"/>
    </row>
    <row r="96" ht="15.75" customHeight="1">
      <c r="A96" s="32"/>
      <c r="H96" s="96"/>
    </row>
    <row r="97" ht="15.75" customHeight="1">
      <c r="A97" s="32"/>
      <c r="H97" s="96"/>
    </row>
    <row r="98" ht="15.75" customHeight="1">
      <c r="A98" s="32"/>
      <c r="H98" s="96"/>
    </row>
    <row r="99" ht="15.75" customHeight="1">
      <c r="A99" s="32"/>
      <c r="H99" s="96"/>
    </row>
    <row r="100" ht="15.75" customHeight="1">
      <c r="A100" s="32"/>
      <c r="H100" s="96"/>
    </row>
    <row r="101" ht="15.75" customHeight="1">
      <c r="A101" s="32"/>
      <c r="H101" s="96"/>
    </row>
    <row r="102" ht="15.75" customHeight="1">
      <c r="A102" s="32"/>
      <c r="H102" s="96"/>
    </row>
    <row r="103" ht="15.75" customHeight="1">
      <c r="A103" s="32"/>
      <c r="H103" s="96"/>
    </row>
    <row r="104" ht="15.75" customHeight="1">
      <c r="A104" s="32"/>
      <c r="H104" s="96"/>
    </row>
    <row r="105" ht="15.75" customHeight="1">
      <c r="A105" s="32"/>
      <c r="H105" s="96"/>
    </row>
    <row r="106" ht="15.75" customHeight="1">
      <c r="A106" s="32"/>
      <c r="H106" s="96"/>
    </row>
    <row r="107" ht="15.75" customHeight="1">
      <c r="A107" s="32"/>
      <c r="H107" s="96"/>
    </row>
    <row r="108" ht="15.75" customHeight="1">
      <c r="A108" s="32"/>
      <c r="H108" s="96"/>
    </row>
    <row r="109" ht="15.75" customHeight="1">
      <c r="A109" s="32"/>
      <c r="H109" s="96"/>
    </row>
    <row r="110" ht="15.75" customHeight="1">
      <c r="A110" s="32"/>
      <c r="H110" s="96"/>
    </row>
    <row r="111" ht="15.75" customHeight="1">
      <c r="A111" s="32"/>
      <c r="H111" s="96"/>
    </row>
    <row r="112" ht="15.75" customHeight="1">
      <c r="A112" s="32"/>
      <c r="H112" s="96"/>
    </row>
    <row r="113" ht="15.75" customHeight="1">
      <c r="A113" s="32"/>
      <c r="H113" s="96"/>
    </row>
    <row r="114" ht="15.75" customHeight="1">
      <c r="A114" s="32"/>
      <c r="H114" s="96"/>
    </row>
    <row r="115" ht="15.75" customHeight="1">
      <c r="A115" s="32"/>
      <c r="H115" s="96"/>
    </row>
    <row r="116" ht="15.75" customHeight="1">
      <c r="A116" s="32"/>
      <c r="H116" s="96"/>
    </row>
    <row r="117" ht="15.75" customHeight="1">
      <c r="A117" s="32"/>
      <c r="H117" s="96"/>
    </row>
    <row r="118" ht="15.75" customHeight="1">
      <c r="A118" s="32"/>
      <c r="H118" s="96"/>
    </row>
    <row r="119" ht="15.75" customHeight="1">
      <c r="A119" s="32"/>
      <c r="H119" s="96"/>
    </row>
    <row r="120" ht="15.75" customHeight="1">
      <c r="A120" s="32"/>
      <c r="H120" s="96"/>
    </row>
    <row r="121" ht="15.75" customHeight="1">
      <c r="A121" s="32"/>
      <c r="H121" s="96"/>
    </row>
    <row r="122" ht="15.75" customHeight="1">
      <c r="A122" s="32"/>
      <c r="H122" s="96"/>
    </row>
    <row r="123" ht="15.75" customHeight="1">
      <c r="A123" s="32"/>
      <c r="H123" s="96"/>
    </row>
    <row r="124" ht="15.75" customHeight="1">
      <c r="A124" s="32"/>
      <c r="H124" s="96"/>
    </row>
    <row r="125" ht="15.75" customHeight="1">
      <c r="A125" s="32"/>
      <c r="H125" s="96"/>
    </row>
    <row r="126" ht="15.75" customHeight="1">
      <c r="A126" s="32"/>
      <c r="H126" s="96"/>
    </row>
    <row r="127" ht="15.75" customHeight="1">
      <c r="A127" s="32"/>
      <c r="H127" s="96"/>
    </row>
    <row r="128" ht="15.75" customHeight="1">
      <c r="A128" s="32"/>
      <c r="H128" s="96"/>
    </row>
    <row r="129" ht="15.75" customHeight="1">
      <c r="A129" s="32"/>
      <c r="H129" s="96"/>
    </row>
    <row r="130" ht="15.75" customHeight="1">
      <c r="A130" s="32"/>
      <c r="H130" s="96"/>
    </row>
    <row r="131" ht="15.75" customHeight="1">
      <c r="A131" s="32"/>
      <c r="H131" s="96"/>
    </row>
    <row r="132" ht="15.75" customHeight="1">
      <c r="A132" s="32"/>
      <c r="H132" s="96"/>
    </row>
    <row r="133" ht="15.75" customHeight="1">
      <c r="A133" s="32"/>
      <c r="H133" s="96"/>
    </row>
    <row r="134" ht="15.75" customHeight="1">
      <c r="A134" s="32"/>
      <c r="H134" s="96"/>
    </row>
    <row r="135" ht="15.75" customHeight="1">
      <c r="A135" s="32"/>
      <c r="H135" s="96"/>
    </row>
    <row r="136" ht="15.75" customHeight="1">
      <c r="A136" s="32"/>
      <c r="H136" s="96"/>
    </row>
    <row r="137" ht="15.75" customHeight="1">
      <c r="A137" s="32"/>
      <c r="H137" s="96"/>
    </row>
    <row r="138" ht="15.75" customHeight="1">
      <c r="A138" s="32"/>
      <c r="H138" s="96"/>
    </row>
    <row r="139" ht="15.75" customHeight="1">
      <c r="A139" s="32"/>
      <c r="H139" s="96"/>
    </row>
    <row r="140" ht="15.75" customHeight="1">
      <c r="A140" s="32"/>
      <c r="H140" s="96"/>
    </row>
    <row r="141" ht="15.75" customHeight="1">
      <c r="A141" s="32"/>
      <c r="H141" s="96"/>
    </row>
    <row r="142" ht="15.75" customHeight="1">
      <c r="A142" s="32"/>
      <c r="H142" s="96"/>
    </row>
    <row r="143" ht="15.75" customHeight="1">
      <c r="A143" s="32"/>
      <c r="H143" s="96"/>
    </row>
    <row r="144" ht="15.75" customHeight="1">
      <c r="A144" s="32"/>
      <c r="H144" s="96"/>
    </row>
    <row r="145" ht="15.75" customHeight="1">
      <c r="A145" s="32"/>
      <c r="H145" s="96"/>
    </row>
    <row r="146" ht="15.75" customHeight="1">
      <c r="A146" s="32"/>
      <c r="H146" s="96"/>
    </row>
    <row r="147" ht="15.75" customHeight="1">
      <c r="A147" s="32"/>
      <c r="H147" s="96"/>
    </row>
    <row r="148" ht="15.75" customHeight="1">
      <c r="A148" s="32"/>
      <c r="H148" s="96"/>
    </row>
    <row r="149" ht="15.75" customHeight="1">
      <c r="A149" s="32"/>
      <c r="H149" s="96"/>
    </row>
    <row r="150" ht="15.75" customHeight="1">
      <c r="A150" s="32"/>
      <c r="H150" s="96"/>
    </row>
    <row r="151" ht="15.75" customHeight="1">
      <c r="A151" s="32"/>
      <c r="H151" s="96"/>
    </row>
    <row r="152" ht="15.75" customHeight="1">
      <c r="A152" s="32"/>
      <c r="H152" s="96"/>
    </row>
    <row r="153" ht="15.75" customHeight="1">
      <c r="A153" s="32"/>
      <c r="H153" s="96"/>
    </row>
    <row r="154" ht="15.75" customHeight="1">
      <c r="A154" s="32"/>
      <c r="H154" s="96"/>
    </row>
    <row r="155" ht="15.75" customHeight="1">
      <c r="A155" s="32"/>
      <c r="H155" s="96"/>
    </row>
    <row r="156" ht="15.75" customHeight="1">
      <c r="A156" s="32"/>
      <c r="H156" s="96"/>
    </row>
    <row r="157" ht="15.75" customHeight="1">
      <c r="A157" s="32"/>
      <c r="H157" s="96"/>
    </row>
    <row r="158" ht="15.75" customHeight="1">
      <c r="A158" s="32"/>
      <c r="H158" s="96"/>
    </row>
    <row r="159" ht="15.75" customHeight="1">
      <c r="A159" s="32"/>
      <c r="H159" s="96"/>
    </row>
    <row r="160" ht="15.75" customHeight="1">
      <c r="A160" s="32"/>
      <c r="H160" s="96"/>
    </row>
    <row r="161" ht="15.75" customHeight="1">
      <c r="A161" s="32"/>
      <c r="H161" s="96"/>
    </row>
    <row r="162" ht="15.75" customHeight="1">
      <c r="A162" s="32"/>
      <c r="H162" s="96"/>
    </row>
    <row r="163" ht="15.75" customHeight="1">
      <c r="A163" s="32"/>
      <c r="H163" s="96"/>
    </row>
    <row r="164" ht="15.75" customHeight="1">
      <c r="A164" s="32"/>
      <c r="H164" s="96"/>
    </row>
    <row r="165" ht="15.75" customHeight="1">
      <c r="A165" s="32"/>
      <c r="H165" s="96"/>
    </row>
    <row r="166" ht="15.75" customHeight="1">
      <c r="A166" s="32"/>
      <c r="H166" s="96"/>
    </row>
    <row r="167" ht="15.75" customHeight="1">
      <c r="A167" s="32"/>
      <c r="H167" s="96"/>
    </row>
    <row r="168" ht="15.75" customHeight="1">
      <c r="A168" s="32"/>
      <c r="H168" s="96"/>
    </row>
    <row r="169" ht="15.75" customHeight="1">
      <c r="A169" s="32"/>
      <c r="H169" s="96"/>
    </row>
    <row r="170" ht="15.75" customHeight="1">
      <c r="A170" s="32"/>
      <c r="H170" s="96"/>
    </row>
    <row r="171" ht="15.75" customHeight="1">
      <c r="A171" s="32"/>
      <c r="H171" s="96"/>
    </row>
    <row r="172" ht="15.75" customHeight="1">
      <c r="A172" s="32"/>
      <c r="H172" s="96"/>
    </row>
    <row r="173" ht="15.75" customHeight="1">
      <c r="A173" s="32"/>
      <c r="H173" s="96"/>
    </row>
    <row r="174" ht="15.75" customHeight="1">
      <c r="A174" s="32"/>
      <c r="H174" s="96"/>
    </row>
    <row r="175" ht="15.75" customHeight="1">
      <c r="A175" s="32"/>
      <c r="H175" s="96"/>
    </row>
    <row r="176" ht="15.75" customHeight="1">
      <c r="A176" s="32"/>
      <c r="H176" s="96"/>
    </row>
    <row r="177" ht="15.75" customHeight="1">
      <c r="A177" s="32"/>
      <c r="H177" s="96"/>
    </row>
    <row r="178" ht="15.75" customHeight="1">
      <c r="A178" s="32"/>
      <c r="H178" s="96"/>
    </row>
    <row r="179" ht="15.75" customHeight="1">
      <c r="A179" s="32"/>
      <c r="H179" s="96"/>
    </row>
    <row r="180" ht="15.75" customHeight="1">
      <c r="A180" s="32"/>
      <c r="H180" s="96"/>
    </row>
    <row r="181" ht="15.75" customHeight="1">
      <c r="A181" s="32"/>
      <c r="H181" s="96"/>
    </row>
    <row r="182" ht="15.75" customHeight="1">
      <c r="A182" s="32"/>
      <c r="H182" s="96"/>
    </row>
    <row r="183" ht="15.75" customHeight="1">
      <c r="A183" s="32"/>
      <c r="H183" s="96"/>
    </row>
    <row r="184" ht="15.75" customHeight="1">
      <c r="A184" s="32"/>
      <c r="H184" s="96"/>
    </row>
    <row r="185" ht="15.75" customHeight="1">
      <c r="A185" s="32"/>
      <c r="H185" s="96"/>
    </row>
    <row r="186" ht="15.75" customHeight="1">
      <c r="A186" s="32"/>
      <c r="H186" s="96"/>
    </row>
    <row r="187" ht="15.75" customHeight="1">
      <c r="A187" s="32"/>
      <c r="H187" s="96"/>
    </row>
    <row r="188" ht="15.75" customHeight="1">
      <c r="A188" s="32"/>
      <c r="H188" s="96"/>
    </row>
    <row r="189" ht="15.75" customHeight="1">
      <c r="A189" s="32"/>
      <c r="H189" s="96"/>
    </row>
    <row r="190" ht="15.75" customHeight="1">
      <c r="A190" s="32"/>
      <c r="H190" s="96"/>
    </row>
    <row r="191" ht="15.75" customHeight="1">
      <c r="A191" s="32"/>
      <c r="H191" s="96"/>
    </row>
    <row r="192" ht="15.75" customHeight="1">
      <c r="A192" s="32"/>
      <c r="H192" s="96"/>
    </row>
    <row r="193" ht="15.75" customHeight="1">
      <c r="A193" s="32"/>
      <c r="H193" s="96"/>
    </row>
    <row r="194" ht="15.75" customHeight="1">
      <c r="A194" s="32"/>
      <c r="H194" s="96"/>
    </row>
    <row r="195" ht="15.75" customHeight="1">
      <c r="A195" s="32"/>
      <c r="H195" s="96"/>
    </row>
    <row r="196" ht="15.75" customHeight="1">
      <c r="A196" s="32"/>
      <c r="H196" s="96"/>
    </row>
    <row r="197" ht="15.75" customHeight="1">
      <c r="A197" s="32"/>
      <c r="H197" s="96"/>
    </row>
    <row r="198" ht="15.75" customHeight="1">
      <c r="A198" s="32"/>
      <c r="H198" s="96"/>
    </row>
    <row r="199" ht="15.75" customHeight="1">
      <c r="A199" s="32"/>
      <c r="H199" s="96"/>
    </row>
    <row r="200" ht="15.75" customHeight="1">
      <c r="A200" s="32"/>
      <c r="H200" s="96"/>
    </row>
    <row r="201" ht="15.75" customHeight="1">
      <c r="A201" s="32"/>
      <c r="H201" s="96"/>
    </row>
    <row r="202" ht="15.75" customHeight="1">
      <c r="A202" s="32"/>
      <c r="H202" s="96"/>
    </row>
    <row r="203" ht="15.75" customHeight="1">
      <c r="A203" s="32"/>
      <c r="H203" s="96"/>
    </row>
    <row r="204" ht="15.75" customHeight="1">
      <c r="A204" s="32"/>
      <c r="H204" s="96"/>
    </row>
    <row r="205" ht="15.75" customHeight="1">
      <c r="A205" s="32"/>
      <c r="H205" s="96"/>
    </row>
    <row r="206" ht="15.75" customHeight="1">
      <c r="A206" s="32"/>
      <c r="H206" s="96"/>
    </row>
    <row r="207" ht="15.75" customHeight="1">
      <c r="A207" s="32"/>
      <c r="H207" s="96"/>
    </row>
    <row r="208" ht="15.75" customHeight="1">
      <c r="A208" s="32"/>
      <c r="H208" s="96"/>
    </row>
    <row r="209" ht="15.75" customHeight="1">
      <c r="A209" s="32"/>
      <c r="H209" s="96"/>
    </row>
    <row r="210" ht="15.75" customHeight="1">
      <c r="A210" s="32"/>
      <c r="H210" s="96"/>
    </row>
    <row r="211" ht="15.75" customHeight="1">
      <c r="A211" s="32"/>
      <c r="H211" s="96"/>
    </row>
    <row r="212" ht="15.75" customHeight="1">
      <c r="A212" s="32"/>
      <c r="H212" s="96"/>
    </row>
    <row r="213" ht="15.75" customHeight="1">
      <c r="A213" s="32"/>
      <c r="H213" s="96"/>
    </row>
    <row r="214" ht="15.75" customHeight="1">
      <c r="A214" s="32"/>
      <c r="H214" s="96"/>
    </row>
    <row r="215" ht="15.75" customHeight="1">
      <c r="A215" s="32"/>
      <c r="H215" s="96"/>
    </row>
    <row r="216" ht="15.75" customHeight="1">
      <c r="A216" s="32"/>
      <c r="H216" s="96"/>
    </row>
    <row r="217" ht="15.75" customHeight="1">
      <c r="A217" s="32"/>
      <c r="H217" s="96"/>
    </row>
    <row r="218" ht="15.75" customHeight="1">
      <c r="A218" s="32"/>
      <c r="H218" s="96"/>
    </row>
    <row r="219" ht="15.75" customHeight="1">
      <c r="A219" s="32"/>
      <c r="H219" s="96"/>
    </row>
    <row r="220" ht="15.75" customHeight="1">
      <c r="A220" s="32"/>
      <c r="H220" s="96"/>
    </row>
    <row r="221" ht="15.75" customHeight="1">
      <c r="A221" s="32"/>
      <c r="H221" s="96"/>
    </row>
    <row r="222" ht="15.75" customHeight="1">
      <c r="A222" s="32"/>
      <c r="H222" s="96"/>
    </row>
    <row r="223" ht="15.75" customHeight="1">
      <c r="A223" s="32"/>
      <c r="H223" s="96"/>
    </row>
    <row r="224" ht="15.75" customHeight="1">
      <c r="A224" s="32"/>
      <c r="H224" s="96"/>
    </row>
    <row r="225" ht="15.75" customHeight="1">
      <c r="A225" s="32"/>
      <c r="H225" s="96"/>
    </row>
    <row r="226" ht="15.75" customHeight="1">
      <c r="A226" s="32"/>
      <c r="H226" s="96"/>
    </row>
    <row r="227" ht="15.75" customHeight="1">
      <c r="A227" s="32"/>
      <c r="H227" s="96"/>
    </row>
    <row r="228" ht="15.75" customHeight="1">
      <c r="A228" s="32"/>
      <c r="H228" s="96"/>
    </row>
    <row r="229" ht="15.75" customHeight="1">
      <c r="A229" s="32"/>
      <c r="H229" s="96"/>
    </row>
    <row r="230" ht="15.75" customHeight="1">
      <c r="A230" s="32"/>
      <c r="H230" s="96"/>
    </row>
    <row r="231" ht="15.75" customHeight="1">
      <c r="A231" s="32"/>
      <c r="H231" s="96"/>
    </row>
    <row r="232" ht="15.75" customHeight="1">
      <c r="A232" s="32"/>
      <c r="H232" s="96"/>
    </row>
    <row r="233" ht="15.75" customHeight="1">
      <c r="A233" s="32"/>
      <c r="H233" s="96"/>
    </row>
    <row r="234" ht="15.75" customHeight="1">
      <c r="A234" s="32"/>
      <c r="H234" s="96"/>
    </row>
    <row r="235" ht="15.75" customHeight="1">
      <c r="A235" s="32"/>
      <c r="H235" s="96"/>
    </row>
    <row r="236" ht="15.75" customHeight="1">
      <c r="A236" s="32"/>
      <c r="H236" s="96"/>
    </row>
    <row r="237" ht="15.75" customHeight="1">
      <c r="A237" s="32"/>
      <c r="H237" s="96"/>
    </row>
    <row r="238" ht="15.75" customHeight="1">
      <c r="A238" s="32"/>
      <c r="H238" s="96"/>
    </row>
    <row r="239" ht="15.75" customHeight="1">
      <c r="A239" s="32"/>
      <c r="H239" s="96"/>
    </row>
    <row r="240" ht="15.75" customHeight="1">
      <c r="A240" s="32"/>
      <c r="H240" s="96"/>
    </row>
    <row r="241" ht="15.75" customHeight="1">
      <c r="A241" s="32"/>
      <c r="H241" s="96"/>
    </row>
    <row r="242" ht="15.75" customHeight="1">
      <c r="A242" s="32"/>
      <c r="H242" s="96"/>
    </row>
    <row r="243" ht="15.75" customHeight="1">
      <c r="A243" s="32"/>
      <c r="H243" s="96"/>
    </row>
    <row r="244" ht="15.75" customHeight="1">
      <c r="A244" s="32"/>
      <c r="H244" s="96"/>
    </row>
    <row r="245" ht="15.75" customHeight="1">
      <c r="A245" s="32"/>
      <c r="H245" s="96"/>
    </row>
    <row r="246" ht="15.75" customHeight="1">
      <c r="A246" s="32"/>
      <c r="H246" s="96"/>
    </row>
    <row r="247" ht="15.75" customHeight="1">
      <c r="A247" s="32"/>
      <c r="H247" s="96"/>
    </row>
    <row r="248" ht="15.75" customHeight="1">
      <c r="A248" s="32"/>
      <c r="H248" s="96"/>
    </row>
    <row r="249" ht="15.75" customHeight="1">
      <c r="A249" s="32"/>
      <c r="H249" s="96"/>
    </row>
    <row r="250" ht="15.75" customHeight="1">
      <c r="A250" s="32"/>
      <c r="H250" s="96"/>
    </row>
    <row r="251" ht="15.75" customHeight="1">
      <c r="A251" s="32"/>
      <c r="H251" s="96"/>
    </row>
    <row r="252" ht="15.75" customHeight="1">
      <c r="A252" s="32"/>
      <c r="H252" s="96"/>
    </row>
    <row r="253" ht="15.75" customHeight="1">
      <c r="A253" s="32"/>
      <c r="H253" s="96"/>
    </row>
    <row r="254" ht="15.75" customHeight="1">
      <c r="A254" s="32"/>
      <c r="H254" s="96"/>
    </row>
    <row r="255" ht="15.75" customHeight="1">
      <c r="A255" s="32"/>
      <c r="H255" s="96"/>
    </row>
    <row r="256" ht="15.75" customHeight="1">
      <c r="A256" s="32"/>
      <c r="H256" s="96"/>
    </row>
    <row r="257" ht="15.75" customHeight="1">
      <c r="A257" s="32"/>
      <c r="H257" s="96"/>
    </row>
    <row r="258" ht="15.75" customHeight="1">
      <c r="A258" s="32"/>
      <c r="H258" s="96"/>
    </row>
    <row r="259" ht="15.75" customHeight="1">
      <c r="A259" s="32"/>
      <c r="H259" s="96"/>
    </row>
    <row r="260" ht="15.75" customHeight="1">
      <c r="A260" s="32"/>
      <c r="H260" s="96"/>
    </row>
    <row r="261" ht="15.75" customHeight="1">
      <c r="A261" s="32"/>
      <c r="H261" s="96"/>
    </row>
    <row r="262" ht="15.75" customHeight="1">
      <c r="A262" s="32"/>
      <c r="H262" s="96"/>
    </row>
    <row r="263" ht="15.75" customHeight="1">
      <c r="A263" s="32"/>
      <c r="H263" s="96"/>
    </row>
    <row r="264" ht="15.75" customHeight="1">
      <c r="A264" s="32"/>
      <c r="H264" s="96"/>
    </row>
    <row r="265" ht="15.75" customHeight="1">
      <c r="A265" s="32"/>
      <c r="H265" s="96"/>
    </row>
    <row r="266" ht="15.75" customHeight="1">
      <c r="A266" s="32"/>
      <c r="H266" s="96"/>
    </row>
    <row r="267" ht="15.75" customHeight="1">
      <c r="A267" s="32"/>
      <c r="H267" s="96"/>
    </row>
    <row r="268" ht="15.75" customHeight="1">
      <c r="A268" s="32"/>
      <c r="H268" s="96"/>
    </row>
    <row r="269" ht="15.75" customHeight="1">
      <c r="A269" s="32"/>
      <c r="H269" s="96"/>
    </row>
    <row r="270" ht="15.75" customHeight="1">
      <c r="A270" s="32"/>
      <c r="H270" s="96"/>
    </row>
    <row r="271" ht="15.75" customHeight="1">
      <c r="A271" s="32"/>
      <c r="H271" s="96"/>
    </row>
    <row r="272" ht="15.75" customHeight="1">
      <c r="A272" s="32"/>
      <c r="H272" s="96"/>
    </row>
    <row r="273" ht="15.75" customHeight="1">
      <c r="A273" s="32"/>
      <c r="H273" s="96"/>
    </row>
    <row r="274" ht="15.75" customHeight="1">
      <c r="A274" s="32"/>
      <c r="H274" s="96"/>
    </row>
    <row r="275" ht="15.75" customHeight="1">
      <c r="A275" s="32"/>
      <c r="H275" s="96"/>
    </row>
    <row r="276" ht="15.75" customHeight="1">
      <c r="A276" s="32"/>
      <c r="H276" s="96"/>
    </row>
    <row r="277" ht="15.75" customHeight="1">
      <c r="A277" s="32"/>
      <c r="H277" s="96"/>
    </row>
    <row r="278" ht="15.75" customHeight="1">
      <c r="A278" s="32"/>
      <c r="H278" s="96"/>
    </row>
    <row r="279" ht="15.75" customHeight="1">
      <c r="A279" s="32"/>
      <c r="H279" s="96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57"/>
    <col customWidth="1" min="2" max="2" width="13.43"/>
    <col customWidth="1" min="3" max="3" width="8.0"/>
    <col customWidth="1" min="4" max="5" width="14.43"/>
    <col customWidth="1" min="6" max="6" width="9.14"/>
    <col customWidth="1" min="7" max="7" width="29.14"/>
    <col customWidth="1" min="9" max="9" width="19.86"/>
    <col customWidth="1" min="10" max="10" width="10.86"/>
  </cols>
  <sheetData>
    <row r="1" ht="15.75" customHeight="1">
      <c r="A1" s="13" t="s">
        <v>0</v>
      </c>
      <c r="B1" s="13" t="s">
        <v>1</v>
      </c>
      <c r="C1" s="13" t="s">
        <v>2</v>
      </c>
      <c r="D1" s="13" t="s">
        <v>2</v>
      </c>
      <c r="E1" s="13" t="s">
        <v>3</v>
      </c>
      <c r="F1" s="13" t="s">
        <v>4</v>
      </c>
      <c r="G1" s="13" t="s">
        <v>4</v>
      </c>
      <c r="H1" s="13" t="s">
        <v>5</v>
      </c>
      <c r="I1" s="77" t="s">
        <v>5</v>
      </c>
      <c r="J1" s="13" t="s">
        <v>1814</v>
      </c>
      <c r="K1" s="13" t="s">
        <v>1814</v>
      </c>
      <c r="L1" s="98" t="s">
        <v>7</v>
      </c>
      <c r="M1" s="98" t="s">
        <v>1815</v>
      </c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ht="15.75" customHeight="1">
      <c r="A2" s="25">
        <v>44016.0</v>
      </c>
      <c r="B2" s="92" t="s">
        <v>1816</v>
      </c>
      <c r="C2" s="13" t="s">
        <v>2</v>
      </c>
      <c r="D2" s="92" t="s">
        <v>1817</v>
      </c>
      <c r="E2" s="92" t="s">
        <v>1818</v>
      </c>
      <c r="F2" s="13" t="s">
        <v>4</v>
      </c>
      <c r="G2" s="92" t="s">
        <v>1819</v>
      </c>
      <c r="H2" s="13" t="s">
        <v>5</v>
      </c>
      <c r="I2" s="99"/>
      <c r="J2" s="13" t="s">
        <v>1814</v>
      </c>
      <c r="K2" s="92" t="s">
        <v>1820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</row>
    <row r="3" ht="15.75" customHeight="1">
      <c r="A3" s="25">
        <v>44015.0</v>
      </c>
      <c r="B3" s="92" t="s">
        <v>1816</v>
      </c>
      <c r="C3" s="13" t="s">
        <v>2</v>
      </c>
      <c r="D3" s="92" t="s">
        <v>1821</v>
      </c>
      <c r="E3" s="92" t="s">
        <v>1822</v>
      </c>
      <c r="F3" s="13" t="s">
        <v>4</v>
      </c>
      <c r="G3" s="92" t="s">
        <v>1823</v>
      </c>
      <c r="H3" s="13" t="s">
        <v>5</v>
      </c>
      <c r="I3" s="99"/>
      <c r="J3" s="13" t="s">
        <v>1814</v>
      </c>
      <c r="K3" s="92" t="s">
        <v>1824</v>
      </c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</row>
    <row r="4" ht="15.75" customHeight="1">
      <c r="A4" s="25">
        <v>44014.0</v>
      </c>
      <c r="B4" s="92" t="s">
        <v>1816</v>
      </c>
      <c r="C4" s="13" t="s">
        <v>2</v>
      </c>
      <c r="D4" s="92" t="s">
        <v>1825</v>
      </c>
      <c r="E4" s="92" t="s">
        <v>1826</v>
      </c>
      <c r="F4" s="13" t="s">
        <v>4</v>
      </c>
      <c r="G4" s="92" t="s">
        <v>1827</v>
      </c>
      <c r="H4" s="13" t="s">
        <v>5</v>
      </c>
      <c r="I4" s="99"/>
      <c r="J4" s="13" t="s">
        <v>1814</v>
      </c>
      <c r="K4" s="92" t="s">
        <v>1820</v>
      </c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</row>
    <row r="5" ht="15.75" customHeight="1">
      <c r="A5" s="25">
        <v>44014.0</v>
      </c>
      <c r="B5" s="92" t="s">
        <v>1816</v>
      </c>
      <c r="C5" s="13" t="s">
        <v>2</v>
      </c>
      <c r="D5" s="92" t="s">
        <v>1828</v>
      </c>
      <c r="E5" s="92" t="s">
        <v>1829</v>
      </c>
      <c r="F5" s="13" t="s">
        <v>4</v>
      </c>
      <c r="G5" s="92" t="s">
        <v>1830</v>
      </c>
      <c r="H5" s="13" t="s">
        <v>5</v>
      </c>
      <c r="I5" s="99"/>
      <c r="J5" s="13" t="s">
        <v>1814</v>
      </c>
      <c r="K5" s="92" t="s">
        <v>1831</v>
      </c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</row>
    <row r="6" ht="15.75" customHeight="1">
      <c r="A6" s="25">
        <v>44012.0</v>
      </c>
      <c r="B6" s="92" t="s">
        <v>1816</v>
      </c>
      <c r="C6" s="13" t="s">
        <v>2</v>
      </c>
      <c r="D6" s="92" t="s">
        <v>1832</v>
      </c>
      <c r="E6" s="92" t="s">
        <v>1833</v>
      </c>
      <c r="F6" s="13" t="s">
        <v>4</v>
      </c>
      <c r="G6" s="92" t="s">
        <v>1834</v>
      </c>
      <c r="H6" s="13" t="s">
        <v>5</v>
      </c>
      <c r="I6" s="93">
        <f>+85268976902</f>
        <v>85268976902</v>
      </c>
      <c r="J6" s="13" t="s">
        <v>1814</v>
      </c>
      <c r="K6" s="92" t="s">
        <v>1820</v>
      </c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</row>
    <row r="7" ht="15.75" customHeight="1">
      <c r="A7" s="25">
        <v>44012.0</v>
      </c>
      <c r="B7" s="92" t="s">
        <v>1816</v>
      </c>
      <c r="C7" s="13" t="s">
        <v>2</v>
      </c>
      <c r="D7" s="92" t="s">
        <v>1835</v>
      </c>
      <c r="E7" s="92" t="s">
        <v>1836</v>
      </c>
      <c r="F7" s="13" t="s">
        <v>4</v>
      </c>
      <c r="G7" s="92" t="s">
        <v>1837</v>
      </c>
      <c r="H7" s="13" t="s">
        <v>5</v>
      </c>
      <c r="I7" s="93">
        <f>+85290661424</f>
        <v>85290661424</v>
      </c>
      <c r="J7" s="13" t="s">
        <v>1814</v>
      </c>
      <c r="K7" s="92" t="s">
        <v>1820</v>
      </c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</row>
    <row r="8" ht="15.75" customHeight="1">
      <c r="A8" s="25">
        <v>44012.0</v>
      </c>
      <c r="B8" s="92" t="s">
        <v>1816</v>
      </c>
      <c r="C8" s="13" t="s">
        <v>2</v>
      </c>
      <c r="D8" s="92" t="s">
        <v>1838</v>
      </c>
      <c r="E8" s="92" t="s">
        <v>1839</v>
      </c>
      <c r="F8" s="13" t="s">
        <v>4</v>
      </c>
      <c r="G8" s="92" t="s">
        <v>1840</v>
      </c>
      <c r="H8" s="13" t="s">
        <v>5</v>
      </c>
      <c r="I8" s="93">
        <f>+8618662438848</f>
        <v>8618662438848</v>
      </c>
      <c r="J8" s="13" t="s">
        <v>1814</v>
      </c>
      <c r="K8" s="92" t="s">
        <v>1824</v>
      </c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</row>
    <row r="9" ht="15.75" customHeight="1">
      <c r="A9" s="25">
        <v>44012.0</v>
      </c>
      <c r="B9" s="92" t="s">
        <v>1816</v>
      </c>
      <c r="C9" s="13" t="s">
        <v>2</v>
      </c>
      <c r="D9" s="92" t="s">
        <v>1841</v>
      </c>
      <c r="E9" s="92" t="s">
        <v>1842</v>
      </c>
      <c r="F9" s="13" t="s">
        <v>4</v>
      </c>
      <c r="G9" s="92" t="s">
        <v>1843</v>
      </c>
      <c r="H9" s="13" t="s">
        <v>5</v>
      </c>
      <c r="I9" s="93">
        <f>+8618903120109</f>
        <v>8618903120109</v>
      </c>
      <c r="J9" s="13" t="s">
        <v>1814</v>
      </c>
      <c r="K9" s="92" t="s">
        <v>1831</v>
      </c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</row>
    <row r="10" ht="15.75" customHeight="1">
      <c r="A10" s="25">
        <v>44012.0</v>
      </c>
      <c r="B10" s="92" t="s">
        <v>1816</v>
      </c>
      <c r="C10" s="13" t="s">
        <v>2</v>
      </c>
      <c r="D10" s="92" t="s">
        <v>1844</v>
      </c>
      <c r="E10" s="92" t="s">
        <v>1839</v>
      </c>
      <c r="F10" s="13" t="s">
        <v>4</v>
      </c>
      <c r="G10" s="92" t="s">
        <v>1845</v>
      </c>
      <c r="H10" s="13" t="s">
        <v>5</v>
      </c>
      <c r="I10" s="93">
        <f>+971561059599</f>
        <v>971561059599</v>
      </c>
      <c r="J10" s="13" t="s">
        <v>1814</v>
      </c>
      <c r="K10" s="92" t="s">
        <v>1846</v>
      </c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</row>
    <row r="11" ht="15.75" customHeight="1">
      <c r="A11" s="25">
        <v>44011.0</v>
      </c>
      <c r="B11" s="92" t="s">
        <v>1816</v>
      </c>
      <c r="C11" s="13" t="s">
        <v>2</v>
      </c>
      <c r="D11" s="92" t="s">
        <v>1847</v>
      </c>
      <c r="E11" s="92" t="s">
        <v>1848</v>
      </c>
      <c r="F11" s="13" t="s">
        <v>4</v>
      </c>
      <c r="G11" s="92" t="s">
        <v>1849</v>
      </c>
      <c r="H11" s="13" t="s">
        <v>5</v>
      </c>
      <c r="I11" s="93">
        <f>+85292478369</f>
        <v>85292478369</v>
      </c>
      <c r="J11" s="13" t="s">
        <v>1814</v>
      </c>
      <c r="K11" s="92" t="s">
        <v>1831</v>
      </c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</row>
    <row r="12" ht="15.75" customHeight="1">
      <c r="A12" s="25">
        <v>44011.0</v>
      </c>
      <c r="B12" s="92" t="s">
        <v>1816</v>
      </c>
      <c r="C12" s="13" t="s">
        <v>2</v>
      </c>
      <c r="D12" s="92" t="s">
        <v>1850</v>
      </c>
      <c r="E12" s="92" t="s">
        <v>1851</v>
      </c>
      <c r="F12" s="13" t="s">
        <v>4</v>
      </c>
      <c r="G12" s="92" t="s">
        <v>1852</v>
      </c>
      <c r="H12" s="13" t="s">
        <v>5</v>
      </c>
      <c r="I12" s="93">
        <f>+85265611988</f>
        <v>85265611988</v>
      </c>
      <c r="J12" s="101"/>
      <c r="K12" s="92" t="s">
        <v>1831</v>
      </c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</row>
    <row r="13" ht="15.75" customHeight="1">
      <c r="A13" s="25">
        <v>44011.0</v>
      </c>
      <c r="B13" s="92" t="s">
        <v>1816</v>
      </c>
      <c r="C13" s="13" t="s">
        <v>2</v>
      </c>
      <c r="D13" s="92" t="s">
        <v>1853</v>
      </c>
      <c r="E13" s="92" t="s">
        <v>1854</v>
      </c>
      <c r="F13" s="13" t="s">
        <v>4</v>
      </c>
      <c r="G13" s="92" t="s">
        <v>1855</v>
      </c>
      <c r="H13" s="13" t="s">
        <v>5</v>
      </c>
      <c r="I13" s="93">
        <f>+886966775961</f>
        <v>886966775961</v>
      </c>
      <c r="J13" s="101"/>
      <c r="K13" s="92" t="s">
        <v>1856</v>
      </c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</row>
    <row r="14" ht="15.75" customHeight="1">
      <c r="A14" s="25">
        <v>44011.0</v>
      </c>
      <c r="B14" s="92" t="s">
        <v>1816</v>
      </c>
      <c r="C14" s="13" t="s">
        <v>2</v>
      </c>
      <c r="D14" s="92" t="s">
        <v>1857</v>
      </c>
      <c r="E14" s="92" t="s">
        <v>1858</v>
      </c>
      <c r="F14" s="13" t="s">
        <v>4</v>
      </c>
      <c r="G14" s="92" t="s">
        <v>1859</v>
      </c>
      <c r="H14" s="13" t="s">
        <v>5</v>
      </c>
      <c r="I14" s="93">
        <f>+85292698949</f>
        <v>85292698949</v>
      </c>
      <c r="J14" s="101"/>
      <c r="K14" s="92" t="s">
        <v>1820</v>
      </c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</row>
    <row r="15" ht="15.75" customHeight="1">
      <c r="A15" s="25">
        <v>44011.0</v>
      </c>
      <c r="B15" s="92" t="s">
        <v>1816</v>
      </c>
      <c r="C15" s="13" t="s">
        <v>2</v>
      </c>
      <c r="D15" s="92" t="s">
        <v>1860</v>
      </c>
      <c r="E15" s="92" t="s">
        <v>1861</v>
      </c>
      <c r="F15" s="13" t="s">
        <v>4</v>
      </c>
      <c r="G15" s="92" t="s">
        <v>1862</v>
      </c>
      <c r="H15" s="13" t="s">
        <v>5</v>
      </c>
      <c r="I15" s="93">
        <f>+85265322510</f>
        <v>85265322510</v>
      </c>
      <c r="J15" s="101"/>
      <c r="K15" s="92" t="s">
        <v>1831</v>
      </c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</row>
    <row r="16" ht="15.75" customHeight="1">
      <c r="A16" s="25">
        <v>44010.0</v>
      </c>
      <c r="B16" s="92" t="s">
        <v>1816</v>
      </c>
      <c r="C16" s="13" t="s">
        <v>2</v>
      </c>
      <c r="D16" s="92" t="s">
        <v>1863</v>
      </c>
      <c r="E16" s="92" t="s">
        <v>1864</v>
      </c>
      <c r="F16" s="13" t="s">
        <v>4</v>
      </c>
      <c r="G16" s="92" t="s">
        <v>1865</v>
      </c>
      <c r="H16" s="13" t="s">
        <v>5</v>
      </c>
      <c r="I16" s="93">
        <f>+8615366703318</f>
        <v>8615366703318</v>
      </c>
      <c r="J16" s="101"/>
      <c r="K16" s="92" t="s">
        <v>1824</v>
      </c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</row>
    <row r="17" ht="15.75" customHeight="1">
      <c r="A17" s="25">
        <v>44010.0</v>
      </c>
      <c r="B17" s="92" t="s">
        <v>1816</v>
      </c>
      <c r="C17" s="13" t="s">
        <v>2</v>
      </c>
      <c r="D17" s="92" t="s">
        <v>1866</v>
      </c>
      <c r="E17" s="92" t="s">
        <v>1867</v>
      </c>
      <c r="F17" s="13" t="s">
        <v>4</v>
      </c>
      <c r="G17" s="92" t="s">
        <v>1868</v>
      </c>
      <c r="H17" s="13" t="s">
        <v>5</v>
      </c>
      <c r="I17" s="93">
        <f>+628993308850</f>
        <v>628993308850</v>
      </c>
      <c r="J17" s="101"/>
      <c r="K17" s="92" t="s">
        <v>1824</v>
      </c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</row>
    <row r="18" ht="15.75" customHeight="1">
      <c r="A18" s="25">
        <v>44010.0</v>
      </c>
      <c r="B18" s="92" t="s">
        <v>1816</v>
      </c>
      <c r="C18" s="13" t="s">
        <v>2</v>
      </c>
      <c r="D18" s="92" t="s">
        <v>1869</v>
      </c>
      <c r="E18" s="92" t="s">
        <v>1870</v>
      </c>
      <c r="F18" s="13" t="s">
        <v>4</v>
      </c>
      <c r="G18" s="92" t="s">
        <v>1871</v>
      </c>
      <c r="H18" s="13" t="s">
        <v>5</v>
      </c>
      <c r="I18" s="93">
        <f>+85291064252</f>
        <v>85291064252</v>
      </c>
      <c r="J18" s="101"/>
      <c r="K18" s="92" t="s">
        <v>1820</v>
      </c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</row>
    <row r="19" ht="15.75" customHeight="1">
      <c r="A19" s="25">
        <v>44009.0</v>
      </c>
      <c r="B19" s="92" t="s">
        <v>1816</v>
      </c>
      <c r="C19" s="13" t="s">
        <v>2</v>
      </c>
      <c r="D19" s="92" t="s">
        <v>1872</v>
      </c>
      <c r="E19" s="92" t="s">
        <v>1873</v>
      </c>
      <c r="F19" s="13" t="s">
        <v>4</v>
      </c>
      <c r="G19" s="92" t="s">
        <v>1874</v>
      </c>
      <c r="H19" s="13" t="s">
        <v>5</v>
      </c>
      <c r="I19" s="93">
        <f>+8618049984885</f>
        <v>8618049984885</v>
      </c>
      <c r="J19" s="101"/>
      <c r="K19" s="92" t="s">
        <v>1824</v>
      </c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</row>
    <row r="20" ht="15.75" customHeight="1">
      <c r="A20" s="25">
        <v>44009.0</v>
      </c>
      <c r="B20" s="92" t="s">
        <v>1816</v>
      </c>
      <c r="C20" s="13" t="s">
        <v>2</v>
      </c>
      <c r="D20" s="92" t="s">
        <v>1875</v>
      </c>
      <c r="E20" s="92" t="s">
        <v>1876</v>
      </c>
      <c r="F20" s="13" t="s">
        <v>4</v>
      </c>
      <c r="G20" s="92" t="s">
        <v>1877</v>
      </c>
      <c r="H20" s="13" t="s">
        <v>5</v>
      </c>
      <c r="I20" s="93">
        <f>+85252284298</f>
        <v>85252284298</v>
      </c>
      <c r="J20" s="101"/>
      <c r="K20" s="92" t="s">
        <v>1820</v>
      </c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</row>
    <row r="21" ht="15.75" customHeight="1">
      <c r="A21" s="25">
        <v>44008.0</v>
      </c>
      <c r="B21" s="92" t="s">
        <v>1816</v>
      </c>
      <c r="C21" s="13" t="s">
        <v>2</v>
      </c>
      <c r="D21" s="92" t="s">
        <v>1878</v>
      </c>
      <c r="E21" s="92" t="s">
        <v>1879</v>
      </c>
      <c r="F21" s="13" t="s">
        <v>4</v>
      </c>
      <c r="G21" s="92" t="s">
        <v>1880</v>
      </c>
      <c r="H21" s="13" t="s">
        <v>5</v>
      </c>
      <c r="I21" s="93">
        <f>+85269206724</f>
        <v>85269206724</v>
      </c>
      <c r="J21" s="101"/>
      <c r="K21" s="92" t="s">
        <v>1831</v>
      </c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</row>
    <row r="22" ht="15.75" customHeight="1">
      <c r="A22" s="25">
        <v>44008.0</v>
      </c>
      <c r="B22" s="92" t="s">
        <v>1816</v>
      </c>
      <c r="C22" s="13" t="s">
        <v>2</v>
      </c>
      <c r="D22" s="92" t="s">
        <v>1881</v>
      </c>
      <c r="E22" s="92" t="s">
        <v>1882</v>
      </c>
      <c r="F22" s="13" t="s">
        <v>4</v>
      </c>
      <c r="G22" s="92" t="s">
        <v>1883</v>
      </c>
      <c r="H22" s="13" t="s">
        <v>5</v>
      </c>
      <c r="I22" s="93">
        <f>+85290484401</f>
        <v>85290484401</v>
      </c>
      <c r="J22" s="101"/>
      <c r="K22" s="92" t="s">
        <v>1820</v>
      </c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</row>
    <row r="23" ht="15.75" customHeight="1">
      <c r="A23" s="25">
        <v>44008.0</v>
      </c>
      <c r="B23" s="92" t="s">
        <v>1816</v>
      </c>
      <c r="C23" s="13" t="s">
        <v>2</v>
      </c>
      <c r="D23" s="92" t="s">
        <v>1884</v>
      </c>
      <c r="E23" s="92" t="s">
        <v>1885</v>
      </c>
      <c r="F23" s="13" t="s">
        <v>4</v>
      </c>
      <c r="G23" s="92" t="s">
        <v>1886</v>
      </c>
      <c r="H23" s="13" t="s">
        <v>5</v>
      </c>
      <c r="I23" s="93">
        <f>+85225725211</f>
        <v>85225725211</v>
      </c>
      <c r="J23" s="101"/>
      <c r="K23" s="92" t="s">
        <v>1820</v>
      </c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</row>
    <row r="24" ht="15.75" customHeight="1">
      <c r="A24" s="25">
        <v>44007.0</v>
      </c>
      <c r="B24" s="92" t="s">
        <v>1816</v>
      </c>
      <c r="C24" s="13" t="s">
        <v>2</v>
      </c>
      <c r="D24" s="92" t="s">
        <v>1887</v>
      </c>
      <c r="E24" s="92" t="s">
        <v>1888</v>
      </c>
      <c r="F24" s="13" t="s">
        <v>4</v>
      </c>
      <c r="G24" s="92" t="s">
        <v>1889</v>
      </c>
      <c r="H24" s="13" t="s">
        <v>5</v>
      </c>
      <c r="I24" s="93">
        <f>+18628012305</f>
        <v>18628012305</v>
      </c>
      <c r="J24" s="101"/>
      <c r="K24" s="92" t="s">
        <v>1831</v>
      </c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</row>
    <row r="25" ht="15.75" customHeight="1">
      <c r="A25" s="25">
        <v>44007.0</v>
      </c>
      <c r="B25" s="92" t="s">
        <v>1816</v>
      </c>
      <c r="C25" s="13" t="s">
        <v>2</v>
      </c>
      <c r="D25" s="92" t="s">
        <v>1890</v>
      </c>
      <c r="E25" s="92" t="s">
        <v>1891</v>
      </c>
      <c r="F25" s="13" t="s">
        <v>4</v>
      </c>
      <c r="G25" s="92" t="s">
        <v>1892</v>
      </c>
      <c r="H25" s="13" t="s">
        <v>5</v>
      </c>
      <c r="I25" s="93">
        <f>+15316559661</f>
        <v>15316559661</v>
      </c>
      <c r="J25" s="101"/>
      <c r="K25" s="92" t="s">
        <v>1831</v>
      </c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</row>
    <row r="26" ht="15.75" customHeight="1">
      <c r="A26" s="25">
        <v>44007.0</v>
      </c>
      <c r="B26" s="92" t="s">
        <v>1816</v>
      </c>
      <c r="C26" s="13" t="s">
        <v>2</v>
      </c>
      <c r="D26" s="92" t="s">
        <v>1893</v>
      </c>
      <c r="E26" s="92" t="s">
        <v>1829</v>
      </c>
      <c r="F26" s="13" t="s">
        <v>4</v>
      </c>
      <c r="G26" s="92" t="s">
        <v>1894</v>
      </c>
      <c r="H26" s="13" t="s">
        <v>5</v>
      </c>
      <c r="I26" s="93">
        <f>+8613072816845</f>
        <v>8613072816845</v>
      </c>
      <c r="J26" s="101"/>
      <c r="K26" s="92" t="s">
        <v>1824</v>
      </c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</row>
    <row r="27" ht="15.75" customHeight="1">
      <c r="A27" s="25">
        <v>44007.0</v>
      </c>
      <c r="B27" s="92" t="s">
        <v>1816</v>
      </c>
      <c r="C27" s="13" t="s">
        <v>2</v>
      </c>
      <c r="D27" s="92" t="s">
        <v>1895</v>
      </c>
      <c r="E27" s="92" t="s">
        <v>1896</v>
      </c>
      <c r="F27" s="13" t="s">
        <v>4</v>
      </c>
      <c r="G27" s="92" t="s">
        <v>1897</v>
      </c>
      <c r="H27" s="13" t="s">
        <v>5</v>
      </c>
      <c r="I27" s="93">
        <f>+85262808223</f>
        <v>85262808223</v>
      </c>
      <c r="J27" s="101"/>
      <c r="K27" s="92" t="s">
        <v>1820</v>
      </c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</row>
    <row r="28" ht="15.75" customHeight="1">
      <c r="A28" s="25">
        <v>44007.0</v>
      </c>
      <c r="B28" s="92" t="s">
        <v>1816</v>
      </c>
      <c r="C28" s="13" t="s">
        <v>2</v>
      </c>
      <c r="D28" s="92" t="s">
        <v>1898</v>
      </c>
      <c r="E28" s="92" t="s">
        <v>1861</v>
      </c>
      <c r="F28" s="13" t="s">
        <v>4</v>
      </c>
      <c r="G28" s="92" t="s">
        <v>1899</v>
      </c>
      <c r="H28" s="13" t="s">
        <v>5</v>
      </c>
      <c r="I28" s="93">
        <f>+85254035560</f>
        <v>85254035560</v>
      </c>
      <c r="J28" s="101"/>
      <c r="K28" s="92" t="s">
        <v>1820</v>
      </c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</row>
    <row r="29" ht="15.75" customHeight="1">
      <c r="A29" s="25">
        <v>44006.0</v>
      </c>
      <c r="B29" s="92" t="s">
        <v>1816</v>
      </c>
      <c r="C29" s="13" t="s">
        <v>2</v>
      </c>
      <c r="D29" s="92" t="s">
        <v>1900</v>
      </c>
      <c r="E29" s="92" t="s">
        <v>1842</v>
      </c>
      <c r="F29" s="13" t="s">
        <v>4</v>
      </c>
      <c r="G29" s="92" t="s">
        <v>1901</v>
      </c>
      <c r="H29" s="13" t="s">
        <v>5</v>
      </c>
      <c r="I29" s="93">
        <f>+8615605358186</f>
        <v>8615605358186</v>
      </c>
      <c r="J29" s="101"/>
      <c r="K29" s="92" t="s">
        <v>1831</v>
      </c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</row>
    <row r="30" ht="15.75" customHeight="1">
      <c r="A30" s="25">
        <v>44006.0</v>
      </c>
      <c r="B30" s="92" t="s">
        <v>1816</v>
      </c>
      <c r="C30" s="13" t="s">
        <v>2</v>
      </c>
      <c r="D30" s="92" t="s">
        <v>1902</v>
      </c>
      <c r="E30" s="92" t="s">
        <v>1822</v>
      </c>
      <c r="F30" s="13" t="s">
        <v>4</v>
      </c>
      <c r="G30" s="92" t="s">
        <v>1903</v>
      </c>
      <c r="H30" s="13" t="s">
        <v>5</v>
      </c>
      <c r="I30" s="93">
        <f>+85293299270</f>
        <v>85293299270</v>
      </c>
      <c r="J30" s="101"/>
      <c r="K30" s="92" t="s">
        <v>1820</v>
      </c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</row>
    <row r="31" ht="15.75" customHeight="1">
      <c r="A31" s="25">
        <v>44006.0</v>
      </c>
      <c r="B31" s="92" t="s">
        <v>1816</v>
      </c>
      <c r="C31" s="13" t="s">
        <v>2</v>
      </c>
      <c r="D31" s="92" t="s">
        <v>1904</v>
      </c>
      <c r="E31" s="92" t="s">
        <v>1854</v>
      </c>
      <c r="F31" s="13" t="s">
        <v>4</v>
      </c>
      <c r="G31" s="92" t="s">
        <v>1905</v>
      </c>
      <c r="H31" s="13" t="s">
        <v>5</v>
      </c>
      <c r="I31" s="93">
        <f>+8615886238555</f>
        <v>8615886238555</v>
      </c>
      <c r="J31" s="101"/>
      <c r="K31" s="92" t="s">
        <v>1824</v>
      </c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</row>
    <row r="32" ht="15.75" customHeight="1">
      <c r="A32" s="25">
        <v>44006.0</v>
      </c>
      <c r="B32" s="92" t="s">
        <v>1816</v>
      </c>
      <c r="C32" s="13" t="s">
        <v>2</v>
      </c>
      <c r="D32" s="92" t="s">
        <v>1906</v>
      </c>
      <c r="E32" s="92" t="s">
        <v>1907</v>
      </c>
      <c r="F32" s="13" t="s">
        <v>4</v>
      </c>
      <c r="G32" s="92" t="s">
        <v>1908</v>
      </c>
      <c r="H32" s="13" t="s">
        <v>5</v>
      </c>
      <c r="I32" s="93">
        <f>+85256452995</f>
        <v>85256452995</v>
      </c>
      <c r="J32" s="101"/>
      <c r="K32" s="92" t="s">
        <v>1820</v>
      </c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</row>
    <row r="33" ht="15.75" customHeight="1">
      <c r="A33" s="25">
        <v>44005.0</v>
      </c>
      <c r="B33" s="92" t="s">
        <v>1816</v>
      </c>
      <c r="C33" s="13" t="s">
        <v>2</v>
      </c>
      <c r="D33" s="92" t="s">
        <v>1909</v>
      </c>
      <c r="E33" s="92" t="s">
        <v>1910</v>
      </c>
      <c r="F33" s="13" t="s">
        <v>4</v>
      </c>
      <c r="G33" s="92" t="s">
        <v>1911</v>
      </c>
      <c r="H33" s="13" t="s">
        <v>5</v>
      </c>
      <c r="I33" s="93">
        <f>+85294234033</f>
        <v>85294234033</v>
      </c>
      <c r="J33" s="101"/>
      <c r="K33" s="92" t="s">
        <v>1820</v>
      </c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</row>
    <row r="34" ht="15.75" customHeight="1">
      <c r="A34" s="25">
        <v>44004.0</v>
      </c>
      <c r="B34" s="92" t="s">
        <v>1816</v>
      </c>
      <c r="C34" s="13" t="s">
        <v>2</v>
      </c>
      <c r="D34" s="92" t="s">
        <v>1912</v>
      </c>
      <c r="E34" s="92" t="s">
        <v>1913</v>
      </c>
      <c r="F34" s="13" t="s">
        <v>4</v>
      </c>
      <c r="G34" s="92" t="s">
        <v>1914</v>
      </c>
      <c r="H34" s="13" t="s">
        <v>5</v>
      </c>
      <c r="I34" s="93">
        <f>+85296543121</f>
        <v>85296543121</v>
      </c>
      <c r="J34" s="101"/>
      <c r="K34" s="92" t="s">
        <v>1820</v>
      </c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</row>
    <row r="35" ht="15.75" customHeight="1">
      <c r="A35" s="25">
        <v>44004.0</v>
      </c>
      <c r="B35" s="92" t="s">
        <v>1816</v>
      </c>
      <c r="C35" s="13" t="s">
        <v>2</v>
      </c>
      <c r="D35" s="92" t="s">
        <v>1915</v>
      </c>
      <c r="E35" s="92" t="s">
        <v>1916</v>
      </c>
      <c r="F35" s="13" t="s">
        <v>4</v>
      </c>
      <c r="G35" s="92" t="s">
        <v>1917</v>
      </c>
      <c r="H35" s="13" t="s">
        <v>5</v>
      </c>
      <c r="I35" s="93">
        <f>+8613290070666</f>
        <v>8613290070666</v>
      </c>
      <c r="J35" s="101"/>
      <c r="K35" s="92" t="s">
        <v>1918</v>
      </c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</row>
    <row r="36" ht="15.75" customHeight="1">
      <c r="A36" s="25">
        <v>44002.0</v>
      </c>
      <c r="B36" s="92" t="s">
        <v>1816</v>
      </c>
      <c r="C36" s="13" t="s">
        <v>2</v>
      </c>
      <c r="D36" s="92" t="s">
        <v>1919</v>
      </c>
      <c r="E36" s="92" t="s">
        <v>1920</v>
      </c>
      <c r="F36" s="13" t="s">
        <v>4</v>
      </c>
      <c r="G36" s="92" t="s">
        <v>1921</v>
      </c>
      <c r="H36" s="13" t="s">
        <v>5</v>
      </c>
      <c r="I36" s="93">
        <f>+85252819281</f>
        <v>85252819281</v>
      </c>
      <c r="J36" s="101"/>
      <c r="K36" s="92" t="s">
        <v>1820</v>
      </c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</row>
    <row r="37" ht="15.75" customHeight="1">
      <c r="A37" s="102">
        <v>44002.0</v>
      </c>
      <c r="B37" s="103" t="s">
        <v>1922</v>
      </c>
      <c r="C37" s="101" t="s">
        <v>2</v>
      </c>
      <c r="D37" s="101" t="s">
        <v>1923</v>
      </c>
      <c r="E37" s="103" t="s">
        <v>1924</v>
      </c>
      <c r="F37" s="101" t="s">
        <v>4</v>
      </c>
      <c r="G37" s="103" t="s">
        <v>1189</v>
      </c>
      <c r="H37" s="13" t="s">
        <v>5</v>
      </c>
      <c r="I37" s="99">
        <f>+85267044313</f>
        <v>85267044313</v>
      </c>
      <c r="J37" s="101" t="s">
        <v>1814</v>
      </c>
      <c r="K37" s="103" t="s">
        <v>1820</v>
      </c>
      <c r="L37" s="100" t="s">
        <v>1925</v>
      </c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</row>
    <row r="38" ht="15.75" customHeight="1">
      <c r="A38" s="102">
        <v>44002.0</v>
      </c>
      <c r="B38" s="103" t="s">
        <v>1922</v>
      </c>
      <c r="C38" s="101" t="s">
        <v>2</v>
      </c>
      <c r="D38" s="101" t="s">
        <v>1926</v>
      </c>
      <c r="E38" s="103" t="s">
        <v>1861</v>
      </c>
      <c r="F38" s="101" t="s">
        <v>4</v>
      </c>
      <c r="G38" s="103" t="s">
        <v>1927</v>
      </c>
      <c r="H38" s="13" t="s">
        <v>5</v>
      </c>
      <c r="I38" s="99">
        <f>+85296902274</f>
        <v>85296902274</v>
      </c>
      <c r="J38" s="101" t="s">
        <v>1814</v>
      </c>
      <c r="K38" s="103" t="s">
        <v>1820</v>
      </c>
      <c r="L38" s="100" t="s">
        <v>1928</v>
      </c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</row>
    <row r="39" ht="15.75" customHeight="1">
      <c r="A39" s="91">
        <v>44000.0</v>
      </c>
      <c r="B39" s="12" t="s">
        <v>1922</v>
      </c>
      <c r="C39" s="13" t="s">
        <v>2</v>
      </c>
      <c r="D39" s="92" t="s">
        <v>1929</v>
      </c>
      <c r="E39" s="92" t="s">
        <v>1822</v>
      </c>
      <c r="F39" s="13" t="s">
        <v>4</v>
      </c>
      <c r="G39" s="12" t="s">
        <v>1930</v>
      </c>
      <c r="H39" s="13" t="s">
        <v>5</v>
      </c>
      <c r="I39" s="18">
        <f>+85291266357</f>
        <v>85291266357</v>
      </c>
      <c r="J39" s="13" t="s">
        <v>1814</v>
      </c>
      <c r="K39" s="92" t="s">
        <v>1820</v>
      </c>
    </row>
    <row r="40" ht="15.75" customHeight="1">
      <c r="A40" s="91">
        <v>44000.0</v>
      </c>
      <c r="B40" s="12" t="s">
        <v>1922</v>
      </c>
      <c r="C40" s="13" t="s">
        <v>2</v>
      </c>
      <c r="D40" s="92" t="s">
        <v>1931</v>
      </c>
      <c r="E40" s="92" t="s">
        <v>1932</v>
      </c>
      <c r="F40" s="13" t="s">
        <v>4</v>
      </c>
      <c r="G40" s="12" t="s">
        <v>1933</v>
      </c>
      <c r="H40" s="13" t="s">
        <v>5</v>
      </c>
      <c r="I40" s="18">
        <f>+85260519930</f>
        <v>85260519930</v>
      </c>
      <c r="J40" s="13" t="s">
        <v>1814</v>
      </c>
      <c r="K40" s="92" t="s">
        <v>1820</v>
      </c>
    </row>
    <row r="41" ht="15.75" customHeight="1">
      <c r="A41" s="91">
        <v>44000.0</v>
      </c>
      <c r="B41" s="12" t="s">
        <v>1922</v>
      </c>
      <c r="C41" s="13" t="s">
        <v>2</v>
      </c>
      <c r="D41" s="92" t="s">
        <v>1934</v>
      </c>
      <c r="E41" s="92" t="s">
        <v>1935</v>
      </c>
      <c r="F41" s="13" t="s">
        <v>4</v>
      </c>
      <c r="G41" s="12" t="s">
        <v>1936</v>
      </c>
      <c r="H41" s="13" t="s">
        <v>5</v>
      </c>
      <c r="I41" s="18">
        <f>+85290382838</f>
        <v>85290382838</v>
      </c>
      <c r="J41" s="13" t="s">
        <v>1814</v>
      </c>
      <c r="K41" s="92" t="s">
        <v>1820</v>
      </c>
    </row>
    <row r="42" ht="15.75" customHeight="1">
      <c r="A42" s="91">
        <v>44000.0</v>
      </c>
      <c r="B42" s="12" t="s">
        <v>1922</v>
      </c>
      <c r="C42" s="13" t="s">
        <v>2</v>
      </c>
      <c r="D42" s="92" t="s">
        <v>1937</v>
      </c>
      <c r="E42" s="92" t="s">
        <v>1938</v>
      </c>
      <c r="F42" s="13" t="s">
        <v>4</v>
      </c>
      <c r="G42" s="12" t="s">
        <v>1939</v>
      </c>
      <c r="H42" s="13" t="s">
        <v>5</v>
      </c>
      <c r="I42" s="18">
        <f>+85296487770</f>
        <v>85296487770</v>
      </c>
      <c r="J42" s="13" t="s">
        <v>1814</v>
      </c>
      <c r="K42" s="92" t="s">
        <v>1820</v>
      </c>
    </row>
    <row r="43" ht="15.75" customHeight="1">
      <c r="A43" s="91">
        <v>43999.0</v>
      </c>
      <c r="B43" s="12" t="s">
        <v>1922</v>
      </c>
      <c r="C43" s="13" t="s">
        <v>2</v>
      </c>
      <c r="D43" s="92" t="s">
        <v>1940</v>
      </c>
      <c r="E43" s="92" t="s">
        <v>1941</v>
      </c>
      <c r="F43" s="13" t="s">
        <v>4</v>
      </c>
      <c r="G43" s="12" t="s">
        <v>1942</v>
      </c>
      <c r="H43" s="13" t="s">
        <v>5</v>
      </c>
      <c r="I43" s="18">
        <f>+8618693012597</f>
        <v>8618693012597</v>
      </c>
      <c r="J43" s="13" t="s">
        <v>1814</v>
      </c>
      <c r="K43" s="92" t="s">
        <v>1831</v>
      </c>
    </row>
    <row r="44" ht="15.75" customHeight="1">
      <c r="A44" s="91">
        <v>43999.0</v>
      </c>
      <c r="B44" s="12" t="s">
        <v>1922</v>
      </c>
      <c r="C44" s="13" t="s">
        <v>2</v>
      </c>
      <c r="D44" s="92" t="s">
        <v>1943</v>
      </c>
      <c r="E44" s="92" t="s">
        <v>1944</v>
      </c>
      <c r="F44" s="13" t="s">
        <v>4</v>
      </c>
      <c r="G44" s="12" t="s">
        <v>1945</v>
      </c>
      <c r="H44" s="13" t="s">
        <v>5</v>
      </c>
      <c r="I44" s="18">
        <f>+8613940005588</f>
        <v>8613940005588</v>
      </c>
      <c r="J44" s="13" t="s">
        <v>1814</v>
      </c>
      <c r="K44" s="92" t="s">
        <v>1824</v>
      </c>
    </row>
    <row r="45" ht="15.75" customHeight="1">
      <c r="A45" s="91">
        <v>43999.0</v>
      </c>
      <c r="B45" s="12" t="s">
        <v>1922</v>
      </c>
      <c r="C45" s="13" t="s">
        <v>2</v>
      </c>
      <c r="D45" s="92" t="s">
        <v>1946</v>
      </c>
      <c r="E45" s="92" t="s">
        <v>1920</v>
      </c>
      <c r="F45" s="13" t="s">
        <v>4</v>
      </c>
      <c r="G45" s="12" t="s">
        <v>1947</v>
      </c>
      <c r="H45" s="13" t="s">
        <v>5</v>
      </c>
      <c r="I45" s="18">
        <f>+85252290836</f>
        <v>85252290836</v>
      </c>
      <c r="J45" s="13" t="s">
        <v>1814</v>
      </c>
      <c r="K45" s="92" t="s">
        <v>1820</v>
      </c>
    </row>
    <row r="46" ht="15.75" customHeight="1">
      <c r="A46" s="91">
        <v>43999.0</v>
      </c>
      <c r="B46" s="12" t="s">
        <v>1922</v>
      </c>
      <c r="C46" s="13" t="s">
        <v>2</v>
      </c>
      <c r="D46" s="92" t="s">
        <v>1948</v>
      </c>
      <c r="E46" s="92" t="s">
        <v>1949</v>
      </c>
      <c r="F46" s="13" t="s">
        <v>4</v>
      </c>
      <c r="G46" s="12" t="s">
        <v>1950</v>
      </c>
      <c r="H46" s="13" t="s">
        <v>5</v>
      </c>
      <c r="I46" s="18">
        <f>+85291655482</f>
        <v>85291655482</v>
      </c>
      <c r="J46" s="13" t="s">
        <v>1814</v>
      </c>
      <c r="K46" s="92" t="s">
        <v>1820</v>
      </c>
    </row>
    <row r="47" ht="15.75" customHeight="1">
      <c r="A47" s="91">
        <v>43998.0</v>
      </c>
      <c r="B47" s="12" t="s">
        <v>1922</v>
      </c>
      <c r="C47" s="13" t="s">
        <v>2</v>
      </c>
      <c r="D47" s="92" t="s">
        <v>1951</v>
      </c>
      <c r="E47" s="92" t="s">
        <v>1952</v>
      </c>
      <c r="F47" s="13" t="s">
        <v>4</v>
      </c>
      <c r="G47" s="12" t="s">
        <v>1953</v>
      </c>
      <c r="H47" s="13" t="s">
        <v>5</v>
      </c>
      <c r="I47" s="18">
        <f>+85261897589</f>
        <v>85261897589</v>
      </c>
      <c r="J47" s="13" t="s">
        <v>1814</v>
      </c>
      <c r="K47" s="92" t="s">
        <v>1820</v>
      </c>
    </row>
    <row r="48" ht="15.75" customHeight="1">
      <c r="A48" s="91">
        <v>43998.0</v>
      </c>
      <c r="B48" s="12" t="s">
        <v>1922</v>
      </c>
      <c r="C48" s="13" t="s">
        <v>2</v>
      </c>
      <c r="D48" s="92" t="s">
        <v>1954</v>
      </c>
      <c r="E48" s="92" t="s">
        <v>1955</v>
      </c>
      <c r="F48" s="13" t="s">
        <v>4</v>
      </c>
      <c r="G48" s="12" t="s">
        <v>1956</v>
      </c>
      <c r="H48" s="13" t="s">
        <v>5</v>
      </c>
      <c r="I48" s="18">
        <f>+8615847090016</f>
        <v>8615847090016</v>
      </c>
      <c r="J48" s="13" t="s">
        <v>1814</v>
      </c>
      <c r="K48" s="92" t="s">
        <v>1831</v>
      </c>
    </row>
    <row r="49" ht="15.75" customHeight="1">
      <c r="A49" s="91">
        <v>43998.0</v>
      </c>
      <c r="B49" s="12" t="s">
        <v>1922</v>
      </c>
      <c r="C49" s="13" t="s">
        <v>2</v>
      </c>
      <c r="D49" s="92" t="s">
        <v>1957</v>
      </c>
      <c r="E49" s="92" t="s">
        <v>1958</v>
      </c>
      <c r="F49" s="13" t="s">
        <v>4</v>
      </c>
      <c r="G49" s="12" t="s">
        <v>1959</v>
      </c>
      <c r="H49" s="13" t="s">
        <v>5</v>
      </c>
      <c r="I49" s="18">
        <f>+8613802403070</f>
        <v>8613802403070</v>
      </c>
      <c r="J49" s="13" t="s">
        <v>1814</v>
      </c>
      <c r="K49" s="92" t="s">
        <v>1824</v>
      </c>
    </row>
    <row r="50" ht="15.75" customHeight="1">
      <c r="A50" s="91">
        <v>43998.0</v>
      </c>
      <c r="B50" s="12" t="s">
        <v>1922</v>
      </c>
      <c r="C50" s="13" t="s">
        <v>2</v>
      </c>
      <c r="D50" s="92" t="s">
        <v>1960</v>
      </c>
      <c r="E50" s="92" t="s">
        <v>1961</v>
      </c>
      <c r="F50" s="13" t="s">
        <v>4</v>
      </c>
      <c r="G50" s="12" t="s">
        <v>1962</v>
      </c>
      <c r="H50" s="13" t="s">
        <v>5</v>
      </c>
      <c r="I50" s="18">
        <f>+8615080300982</f>
        <v>8615080300982</v>
      </c>
      <c r="J50" s="13" t="s">
        <v>1814</v>
      </c>
      <c r="K50" s="92" t="s">
        <v>1963</v>
      </c>
    </row>
    <row r="51" ht="15.75" customHeight="1">
      <c r="A51" s="91">
        <v>43998.0</v>
      </c>
      <c r="B51" s="12" t="s">
        <v>1922</v>
      </c>
      <c r="C51" s="13" t="s">
        <v>2</v>
      </c>
      <c r="D51" s="92" t="s">
        <v>1964</v>
      </c>
      <c r="E51" s="92" t="s">
        <v>1965</v>
      </c>
      <c r="F51" s="13" t="s">
        <v>4</v>
      </c>
      <c r="G51" s="12" t="s">
        <v>1966</v>
      </c>
      <c r="H51" s="13" t="s">
        <v>5</v>
      </c>
      <c r="I51" s="18">
        <f>+8613728286071</f>
        <v>8613728286071</v>
      </c>
      <c r="J51" s="13" t="s">
        <v>1814</v>
      </c>
      <c r="K51" s="92" t="s">
        <v>1824</v>
      </c>
    </row>
    <row r="52" ht="15.75" customHeight="1">
      <c r="A52" s="91">
        <v>43998.0</v>
      </c>
      <c r="B52" s="12" t="s">
        <v>1922</v>
      </c>
      <c r="C52" s="13" t="s">
        <v>2</v>
      </c>
      <c r="D52" s="92" t="s">
        <v>1967</v>
      </c>
      <c r="E52" s="92" t="s">
        <v>1968</v>
      </c>
      <c r="F52" s="13" t="s">
        <v>4</v>
      </c>
      <c r="G52" s="12" t="s">
        <v>1969</v>
      </c>
      <c r="H52" s="13" t="s">
        <v>5</v>
      </c>
      <c r="I52" s="18">
        <f>+85256151022</f>
        <v>85256151022</v>
      </c>
      <c r="J52" s="13" t="s">
        <v>1814</v>
      </c>
      <c r="K52" s="92" t="s">
        <v>1970</v>
      </c>
    </row>
    <row r="53" ht="15.75" customHeight="1">
      <c r="A53" s="91">
        <v>43997.0</v>
      </c>
      <c r="B53" s="12" t="s">
        <v>1922</v>
      </c>
      <c r="C53" s="13" t="s">
        <v>2</v>
      </c>
      <c r="D53" s="92" t="s">
        <v>1971</v>
      </c>
      <c r="E53" s="92" t="s">
        <v>1972</v>
      </c>
      <c r="F53" s="13" t="s">
        <v>4</v>
      </c>
      <c r="G53" s="12" t="s">
        <v>1973</v>
      </c>
      <c r="H53" s="13" t="s">
        <v>5</v>
      </c>
      <c r="I53" s="18">
        <f>+85296108066</f>
        <v>85296108066</v>
      </c>
      <c r="J53" s="13" t="s">
        <v>1814</v>
      </c>
      <c r="K53" s="92" t="s">
        <v>1820</v>
      </c>
    </row>
    <row r="54" ht="15.75" customHeight="1">
      <c r="A54" s="91">
        <v>43997.0</v>
      </c>
      <c r="B54" s="12" t="s">
        <v>1922</v>
      </c>
      <c r="C54" s="13" t="s">
        <v>2</v>
      </c>
      <c r="D54" s="92" t="s">
        <v>1974</v>
      </c>
      <c r="E54" s="92" t="s">
        <v>1882</v>
      </c>
      <c r="F54" s="13" t="s">
        <v>4</v>
      </c>
      <c r="G54" s="12" t="s">
        <v>1975</v>
      </c>
      <c r="H54" s="13" t="s">
        <v>5</v>
      </c>
      <c r="I54" s="18">
        <f>+85260967954</f>
        <v>85260967954</v>
      </c>
      <c r="J54" s="13" t="s">
        <v>1814</v>
      </c>
      <c r="K54" s="92" t="s">
        <v>1820</v>
      </c>
    </row>
    <row r="55" ht="15.75" customHeight="1">
      <c r="A55" s="11">
        <v>43996.0</v>
      </c>
      <c r="B55" s="12" t="s">
        <v>1922</v>
      </c>
      <c r="C55" s="13" t="s">
        <v>2</v>
      </c>
      <c r="D55" s="12" t="s">
        <v>1976</v>
      </c>
      <c r="E55" s="12" t="s">
        <v>1977</v>
      </c>
      <c r="F55" s="13" t="s">
        <v>4</v>
      </c>
      <c r="G55" s="12" t="s">
        <v>1978</v>
      </c>
      <c r="H55" s="13" t="s">
        <v>5</v>
      </c>
      <c r="I55" s="18">
        <f>+8860932324376</f>
        <v>8860932324376</v>
      </c>
      <c r="J55" s="13" t="s">
        <v>1814</v>
      </c>
      <c r="K55" s="92" t="s">
        <v>1856</v>
      </c>
      <c r="L55" s="80" t="s">
        <v>1979</v>
      </c>
    </row>
    <row r="56" ht="15.75" customHeight="1">
      <c r="A56" s="11">
        <v>43996.0</v>
      </c>
      <c r="B56" s="12" t="s">
        <v>1922</v>
      </c>
      <c r="C56" s="13" t="s">
        <v>2</v>
      </c>
      <c r="D56" s="12" t="s">
        <v>1980</v>
      </c>
      <c r="E56" s="12" t="s">
        <v>1981</v>
      </c>
      <c r="F56" s="13" t="s">
        <v>4</v>
      </c>
      <c r="G56" s="12" t="s">
        <v>1982</v>
      </c>
      <c r="H56" s="13" t="s">
        <v>5</v>
      </c>
      <c r="I56" s="18">
        <f>+886987446199</f>
        <v>886987446199</v>
      </c>
      <c r="J56" s="13" t="s">
        <v>1814</v>
      </c>
      <c r="K56" s="92" t="s">
        <v>1856</v>
      </c>
      <c r="L56" s="80" t="s">
        <v>1983</v>
      </c>
    </row>
    <row r="57" ht="15.75" customHeight="1">
      <c r="A57" s="11">
        <v>43996.0</v>
      </c>
      <c r="B57" s="12" t="s">
        <v>1922</v>
      </c>
      <c r="C57" s="13" t="s">
        <v>2</v>
      </c>
      <c r="D57" s="12" t="s">
        <v>1984</v>
      </c>
      <c r="E57" s="12" t="s">
        <v>1985</v>
      </c>
      <c r="F57" s="13" t="s">
        <v>4</v>
      </c>
      <c r="G57" s="12" t="s">
        <v>1986</v>
      </c>
      <c r="H57" s="13" t="s">
        <v>5</v>
      </c>
      <c r="I57" s="18">
        <f>+886919985327</f>
        <v>886919985327</v>
      </c>
      <c r="J57" s="13" t="s">
        <v>1814</v>
      </c>
      <c r="K57" s="92" t="s">
        <v>1856</v>
      </c>
      <c r="L57" s="80" t="s">
        <v>1987</v>
      </c>
    </row>
    <row r="58" ht="15.75" customHeight="1">
      <c r="A58" s="11">
        <v>43994.0</v>
      </c>
      <c r="B58" s="12" t="s">
        <v>1922</v>
      </c>
      <c r="C58" s="13" t="s">
        <v>2</v>
      </c>
      <c r="D58" s="92" t="s">
        <v>1988</v>
      </c>
      <c r="E58" s="92" t="s">
        <v>1989</v>
      </c>
      <c r="F58" s="13" t="s">
        <v>4</v>
      </c>
      <c r="G58" s="12" t="s">
        <v>1990</v>
      </c>
      <c r="H58" s="13" t="s">
        <v>5</v>
      </c>
      <c r="I58" s="18">
        <f>+886936677249</f>
        <v>886936677249</v>
      </c>
      <c r="J58" s="13" t="s">
        <v>1814</v>
      </c>
      <c r="K58" s="12" t="s">
        <v>1856</v>
      </c>
      <c r="L58" s="80" t="s">
        <v>1979</v>
      </c>
    </row>
    <row r="59" ht="15.75" customHeight="1">
      <c r="A59" s="11">
        <v>43994.0</v>
      </c>
      <c r="B59" s="12" t="s">
        <v>1922</v>
      </c>
      <c r="C59" s="13" t="s">
        <v>2</v>
      </c>
      <c r="D59" s="92" t="s">
        <v>1991</v>
      </c>
      <c r="E59" s="92" t="s">
        <v>1992</v>
      </c>
      <c r="F59" s="13" t="s">
        <v>4</v>
      </c>
      <c r="G59" s="12" t="s">
        <v>1993</v>
      </c>
      <c r="H59" s="13" t="s">
        <v>5</v>
      </c>
      <c r="I59" s="18">
        <f>+886919397393</f>
        <v>886919397393</v>
      </c>
      <c r="J59" s="13" t="s">
        <v>1814</v>
      </c>
      <c r="K59" s="12" t="s">
        <v>1831</v>
      </c>
      <c r="L59" s="80" t="s">
        <v>1983</v>
      </c>
    </row>
    <row r="60" ht="15.75" customHeight="1">
      <c r="A60" s="11">
        <v>43993.0</v>
      </c>
      <c r="B60" s="12" t="s">
        <v>1922</v>
      </c>
      <c r="C60" s="13" t="s">
        <v>2</v>
      </c>
      <c r="D60" s="12" t="s">
        <v>1994</v>
      </c>
      <c r="E60" s="12" t="s">
        <v>1995</v>
      </c>
      <c r="F60" s="13" t="s">
        <v>4</v>
      </c>
      <c r="G60" s="12" t="s">
        <v>1996</v>
      </c>
      <c r="H60" s="13" t="s">
        <v>5</v>
      </c>
      <c r="I60" s="18">
        <f>+886909677507</f>
        <v>886909677507</v>
      </c>
      <c r="J60" s="13" t="s">
        <v>1814</v>
      </c>
      <c r="K60" s="12" t="s">
        <v>1831</v>
      </c>
      <c r="L60" s="80" t="s">
        <v>1979</v>
      </c>
    </row>
    <row r="61" ht="15.75" customHeight="1">
      <c r="A61" s="11">
        <v>43993.0</v>
      </c>
      <c r="B61" s="12" t="s">
        <v>1922</v>
      </c>
      <c r="C61" s="13" t="s">
        <v>2</v>
      </c>
      <c r="D61" s="12" t="s">
        <v>1997</v>
      </c>
      <c r="E61" s="12" t="s">
        <v>1998</v>
      </c>
      <c r="F61" s="13" t="s">
        <v>4</v>
      </c>
      <c r="G61" s="12" t="s">
        <v>1999</v>
      </c>
      <c r="H61" s="13" t="s">
        <v>5</v>
      </c>
      <c r="I61" s="18">
        <f>+79672733764</f>
        <v>79672733764</v>
      </c>
      <c r="J61" s="13" t="s">
        <v>1814</v>
      </c>
      <c r="K61" s="12" t="s">
        <v>2000</v>
      </c>
      <c r="L61" s="80" t="s">
        <v>1983</v>
      </c>
    </row>
    <row r="62" ht="15.75" customHeight="1">
      <c r="A62" s="11">
        <v>43992.0</v>
      </c>
      <c r="B62" s="12" t="s">
        <v>1922</v>
      </c>
      <c r="C62" s="13" t="s">
        <v>2</v>
      </c>
      <c r="D62" s="12" t="s">
        <v>2001</v>
      </c>
      <c r="E62" s="12" t="s">
        <v>2002</v>
      </c>
      <c r="F62" s="13" t="s">
        <v>4</v>
      </c>
      <c r="G62" s="12" t="s">
        <v>2003</v>
      </c>
      <c r="H62" s="13" t="s">
        <v>5</v>
      </c>
      <c r="I62" s="18">
        <f>+886907322527</f>
        <v>886907322527</v>
      </c>
      <c r="J62" s="13" t="s">
        <v>1814</v>
      </c>
      <c r="K62" s="12" t="s">
        <v>1856</v>
      </c>
    </row>
    <row r="63" ht="15.75" customHeight="1">
      <c r="A63" s="11">
        <v>43992.0</v>
      </c>
      <c r="B63" s="12" t="s">
        <v>1922</v>
      </c>
      <c r="C63" s="13" t="s">
        <v>2</v>
      </c>
      <c r="D63" s="12" t="s">
        <v>2004</v>
      </c>
      <c r="E63" s="12" t="s">
        <v>1842</v>
      </c>
      <c r="F63" s="13" t="s">
        <v>4</v>
      </c>
      <c r="G63" s="12" t="s">
        <v>2005</v>
      </c>
      <c r="H63" s="13" t="s">
        <v>5</v>
      </c>
      <c r="I63" s="18">
        <f>+8860909664205</f>
        <v>8860909664205</v>
      </c>
      <c r="J63" s="13" t="s">
        <v>1814</v>
      </c>
      <c r="K63" s="12" t="s">
        <v>1856</v>
      </c>
    </row>
    <row r="64" ht="15.75" customHeight="1">
      <c r="A64" s="11">
        <v>43991.0</v>
      </c>
      <c r="B64" s="12" t="s">
        <v>1922</v>
      </c>
      <c r="C64" s="13" t="s">
        <v>2</v>
      </c>
      <c r="D64" s="12" t="s">
        <v>2006</v>
      </c>
      <c r="E64" s="12" t="s">
        <v>2007</v>
      </c>
      <c r="F64" s="13" t="s">
        <v>4</v>
      </c>
      <c r="G64" s="12" t="s">
        <v>2008</v>
      </c>
      <c r="H64" s="13" t="s">
        <v>5</v>
      </c>
      <c r="I64" s="18">
        <f>+8860919016839</f>
        <v>8860919016839</v>
      </c>
      <c r="J64" s="13" t="s">
        <v>1814</v>
      </c>
      <c r="K64" s="12" t="s">
        <v>1856</v>
      </c>
    </row>
    <row r="65" ht="15.75" customHeight="1">
      <c r="A65" s="11">
        <v>43991.0</v>
      </c>
      <c r="B65" s="12" t="s">
        <v>1922</v>
      </c>
      <c r="C65" s="13" t="s">
        <v>2</v>
      </c>
      <c r="D65" s="12" t="s">
        <v>2009</v>
      </c>
      <c r="E65" s="12" t="s">
        <v>2010</v>
      </c>
      <c r="F65" s="13" t="s">
        <v>4</v>
      </c>
      <c r="G65" s="12" t="s">
        <v>2011</v>
      </c>
      <c r="H65" s="13" t="s">
        <v>5</v>
      </c>
      <c r="I65" s="18">
        <f>+886980099132</f>
        <v>886980099132</v>
      </c>
      <c r="J65" s="13" t="s">
        <v>1814</v>
      </c>
      <c r="K65" s="12" t="s">
        <v>1856</v>
      </c>
    </row>
    <row r="66" ht="15.75" customHeight="1">
      <c r="A66" s="11">
        <v>43991.0</v>
      </c>
      <c r="B66" s="12" t="s">
        <v>1922</v>
      </c>
      <c r="C66" s="13" t="s">
        <v>2</v>
      </c>
      <c r="D66" s="12" t="s">
        <v>2012</v>
      </c>
      <c r="E66" s="12" t="s">
        <v>2013</v>
      </c>
      <c r="F66" s="13" t="s">
        <v>4</v>
      </c>
      <c r="G66" s="12" t="s">
        <v>2014</v>
      </c>
      <c r="H66" s="13" t="s">
        <v>5</v>
      </c>
      <c r="I66" s="18">
        <f>+886987830382</f>
        <v>886987830382</v>
      </c>
      <c r="J66" s="13" t="s">
        <v>1814</v>
      </c>
      <c r="K66" s="12" t="s">
        <v>1856</v>
      </c>
    </row>
    <row r="67" ht="15.75" customHeight="1">
      <c r="A67" s="11">
        <v>43990.0</v>
      </c>
      <c r="B67" s="12" t="s">
        <v>1922</v>
      </c>
      <c r="C67" s="13" t="s">
        <v>2</v>
      </c>
      <c r="D67" s="12" t="s">
        <v>2015</v>
      </c>
      <c r="E67" s="12" t="s">
        <v>2016</v>
      </c>
      <c r="F67" s="13" t="s">
        <v>4</v>
      </c>
      <c r="G67" s="12" t="s">
        <v>2017</v>
      </c>
      <c r="H67" s="13" t="s">
        <v>5</v>
      </c>
      <c r="I67" s="18">
        <f>+886932355755</f>
        <v>886932355755</v>
      </c>
      <c r="J67" s="13" t="s">
        <v>1814</v>
      </c>
      <c r="K67" s="12" t="s">
        <v>1856</v>
      </c>
    </row>
    <row r="68" ht="15.75" customHeight="1">
      <c r="A68" s="11">
        <v>43990.0</v>
      </c>
      <c r="B68" s="12" t="s">
        <v>1922</v>
      </c>
      <c r="C68" s="13" t="s">
        <v>2</v>
      </c>
      <c r="D68" s="12" t="s">
        <v>2018</v>
      </c>
      <c r="E68" s="12" t="s">
        <v>1861</v>
      </c>
      <c r="F68" s="13" t="s">
        <v>4</v>
      </c>
      <c r="G68" s="12" t="s">
        <v>2019</v>
      </c>
      <c r="H68" s="13" t="s">
        <v>5</v>
      </c>
      <c r="I68" s="18">
        <f>+886985121060</f>
        <v>886985121060</v>
      </c>
      <c r="J68" s="13" t="s">
        <v>1814</v>
      </c>
      <c r="K68" s="12" t="s">
        <v>1856</v>
      </c>
    </row>
    <row r="69" ht="15.75" customHeight="1">
      <c r="A69" s="11">
        <v>43989.0</v>
      </c>
      <c r="B69" s="12" t="s">
        <v>1922</v>
      </c>
      <c r="C69" s="13" t="s">
        <v>2</v>
      </c>
      <c r="D69" s="12" t="s">
        <v>2020</v>
      </c>
      <c r="E69" s="12" t="s">
        <v>2021</v>
      </c>
      <c r="F69" s="13" t="s">
        <v>4</v>
      </c>
      <c r="G69" s="12" t="s">
        <v>2022</v>
      </c>
      <c r="H69" s="13" t="s">
        <v>5</v>
      </c>
      <c r="I69" s="18">
        <f>+886929904791</f>
        <v>886929904791</v>
      </c>
      <c r="J69" s="13" t="s">
        <v>1814</v>
      </c>
      <c r="K69" s="12" t="s">
        <v>1856</v>
      </c>
    </row>
    <row r="70" ht="15.75" customHeight="1">
      <c r="A70" s="11">
        <v>43989.0</v>
      </c>
      <c r="B70" s="12" t="s">
        <v>1922</v>
      </c>
      <c r="C70" s="13" t="s">
        <v>2</v>
      </c>
      <c r="D70" s="12" t="s">
        <v>2023</v>
      </c>
      <c r="E70" s="12" t="s">
        <v>2024</v>
      </c>
      <c r="F70" s="13" t="s">
        <v>4</v>
      </c>
      <c r="G70" s="12" t="s">
        <v>2025</v>
      </c>
      <c r="H70" s="13" t="s">
        <v>5</v>
      </c>
      <c r="I70" s="18">
        <f>+8860900793206</f>
        <v>8860900793206</v>
      </c>
      <c r="J70" s="13" t="s">
        <v>1814</v>
      </c>
      <c r="K70" s="12" t="s">
        <v>1856</v>
      </c>
    </row>
    <row r="71" ht="15.75" customHeight="1">
      <c r="A71" s="11">
        <v>43988.0</v>
      </c>
      <c r="B71" s="12" t="s">
        <v>1922</v>
      </c>
      <c r="C71" s="13" t="s">
        <v>2</v>
      </c>
      <c r="D71" s="12" t="s">
        <v>2026</v>
      </c>
      <c r="E71" s="12" t="s">
        <v>2013</v>
      </c>
      <c r="F71" s="13" t="s">
        <v>4</v>
      </c>
      <c r="G71" s="12" t="s">
        <v>2027</v>
      </c>
      <c r="H71" s="13" t="s">
        <v>5</v>
      </c>
      <c r="I71" s="18">
        <f>+886936573056</f>
        <v>886936573056</v>
      </c>
      <c r="J71" s="13" t="s">
        <v>1814</v>
      </c>
      <c r="K71" s="12" t="s">
        <v>1831</v>
      </c>
    </row>
    <row r="72" ht="15.75" customHeight="1">
      <c r="A72" s="11">
        <v>43987.0</v>
      </c>
      <c r="B72" s="12" t="s">
        <v>1922</v>
      </c>
      <c r="C72" s="13" t="s">
        <v>2</v>
      </c>
      <c r="D72" s="12" t="s">
        <v>2028</v>
      </c>
      <c r="E72" s="12" t="s">
        <v>1876</v>
      </c>
      <c r="F72" s="13" t="s">
        <v>4</v>
      </c>
      <c r="G72" s="12" t="s">
        <v>2029</v>
      </c>
      <c r="H72" s="13" t="s">
        <v>5</v>
      </c>
      <c r="I72" s="18">
        <f>+8618676799242</f>
        <v>8618676799242</v>
      </c>
      <c r="J72" s="13" t="s">
        <v>1814</v>
      </c>
      <c r="K72" s="12" t="s">
        <v>1856</v>
      </c>
    </row>
    <row r="73" ht="15.75" customHeight="1">
      <c r="A73" s="11">
        <v>43987.0</v>
      </c>
      <c r="B73" s="12" t="s">
        <v>1922</v>
      </c>
      <c r="C73" s="13" t="s">
        <v>2</v>
      </c>
      <c r="D73" s="12" t="s">
        <v>2030</v>
      </c>
      <c r="E73" s="12" t="s">
        <v>2031</v>
      </c>
      <c r="F73" s="13" t="s">
        <v>4</v>
      </c>
      <c r="G73" s="12" t="s">
        <v>2032</v>
      </c>
      <c r="H73" s="13" t="s">
        <v>5</v>
      </c>
      <c r="I73" s="18">
        <f>+886935518888</f>
        <v>886935518888</v>
      </c>
      <c r="J73" s="13" t="s">
        <v>1814</v>
      </c>
      <c r="K73" s="12" t="s">
        <v>1856</v>
      </c>
    </row>
    <row r="74" ht="15.75" customHeight="1">
      <c r="A74" s="11">
        <v>43987.0</v>
      </c>
      <c r="B74" s="12" t="s">
        <v>1922</v>
      </c>
      <c r="C74" s="13" t="s">
        <v>2</v>
      </c>
      <c r="D74" s="12" t="s">
        <v>2033</v>
      </c>
      <c r="E74" s="12" t="s">
        <v>1833</v>
      </c>
      <c r="F74" s="13" t="s">
        <v>4</v>
      </c>
      <c r="G74" s="12" t="s">
        <v>2034</v>
      </c>
      <c r="H74" s="13" t="s">
        <v>5</v>
      </c>
      <c r="I74" s="18">
        <f>+886986678191</f>
        <v>886986678191</v>
      </c>
      <c r="J74" s="13" t="s">
        <v>1814</v>
      </c>
      <c r="K74" s="12" t="s">
        <v>1856</v>
      </c>
    </row>
    <row r="75" ht="15.75" customHeight="1">
      <c r="A75" s="11">
        <v>43986.0</v>
      </c>
      <c r="B75" s="12" t="s">
        <v>1922</v>
      </c>
      <c r="C75" s="13" t="s">
        <v>2</v>
      </c>
      <c r="D75" s="12" t="s">
        <v>2035</v>
      </c>
      <c r="E75" s="12" t="s">
        <v>1876</v>
      </c>
      <c r="F75" s="13" t="s">
        <v>4</v>
      </c>
      <c r="G75" s="12" t="s">
        <v>2036</v>
      </c>
      <c r="H75" s="13" t="s">
        <v>5</v>
      </c>
      <c r="I75" s="18">
        <f>+8860952362261</f>
        <v>8860952362261</v>
      </c>
      <c r="J75" s="13" t="s">
        <v>1814</v>
      </c>
      <c r="K75" s="12" t="s">
        <v>1856</v>
      </c>
    </row>
    <row r="76" ht="15.75" customHeight="1">
      <c r="A76" s="11">
        <v>43986.0</v>
      </c>
      <c r="B76" s="12" t="s">
        <v>1922</v>
      </c>
      <c r="C76" s="13" t="s">
        <v>2</v>
      </c>
      <c r="D76" s="12" t="s">
        <v>2037</v>
      </c>
      <c r="E76" s="12" t="s">
        <v>2038</v>
      </c>
      <c r="F76" s="13" t="s">
        <v>4</v>
      </c>
      <c r="G76" s="12" t="s">
        <v>2039</v>
      </c>
      <c r="H76" s="13" t="s">
        <v>5</v>
      </c>
      <c r="I76" s="18">
        <f>+886968420105</f>
        <v>886968420105</v>
      </c>
      <c r="J76" s="13" t="s">
        <v>1814</v>
      </c>
      <c r="K76" s="12" t="s">
        <v>1831</v>
      </c>
    </row>
    <row r="77" ht="15.75" customHeight="1">
      <c r="A77" s="11">
        <v>43985.0</v>
      </c>
      <c r="B77" s="12" t="s">
        <v>1922</v>
      </c>
      <c r="C77" s="13" t="s">
        <v>2</v>
      </c>
      <c r="D77" s="12" t="s">
        <v>2040</v>
      </c>
      <c r="E77" s="12" t="s">
        <v>1854</v>
      </c>
      <c r="F77" s="13" t="s">
        <v>4</v>
      </c>
      <c r="G77" s="12" t="s">
        <v>2041</v>
      </c>
      <c r="H77" s="13" t="s">
        <v>5</v>
      </c>
      <c r="I77" s="18">
        <f>+886979267326</f>
        <v>886979267326</v>
      </c>
      <c r="J77" s="13" t="s">
        <v>1814</v>
      </c>
      <c r="K77" s="12" t="s">
        <v>1856</v>
      </c>
    </row>
    <row r="78" ht="15.75" customHeight="1">
      <c r="A78" s="11">
        <v>43985.0</v>
      </c>
      <c r="B78" s="12" t="s">
        <v>1922</v>
      </c>
      <c r="C78" s="13" t="s">
        <v>2</v>
      </c>
      <c r="D78" s="12" t="s">
        <v>2042</v>
      </c>
      <c r="E78" s="12" t="s">
        <v>1822</v>
      </c>
      <c r="F78" s="13" t="s">
        <v>4</v>
      </c>
      <c r="G78" s="12" t="s">
        <v>2043</v>
      </c>
      <c r="H78" s="13" t="s">
        <v>5</v>
      </c>
      <c r="I78" s="18">
        <f>+8618671712237</f>
        <v>8618671712237</v>
      </c>
      <c r="J78" s="13" t="s">
        <v>1814</v>
      </c>
      <c r="K78" s="12" t="s">
        <v>1824</v>
      </c>
    </row>
    <row r="79" ht="15.75" customHeight="1">
      <c r="A79" s="11">
        <v>43984.0</v>
      </c>
      <c r="B79" s="12" t="s">
        <v>1922</v>
      </c>
      <c r="C79" s="13" t="s">
        <v>2</v>
      </c>
      <c r="D79" s="12" t="s">
        <v>2044</v>
      </c>
      <c r="E79" s="12" t="s">
        <v>1861</v>
      </c>
      <c r="F79" s="13" t="s">
        <v>4</v>
      </c>
      <c r="G79" s="12" t="s">
        <v>2045</v>
      </c>
      <c r="H79" s="13" t="s">
        <v>5</v>
      </c>
      <c r="I79" s="18">
        <f>+886922427354</f>
        <v>886922427354</v>
      </c>
      <c r="J79" s="13" t="s">
        <v>1814</v>
      </c>
      <c r="K79" s="12" t="s">
        <v>1856</v>
      </c>
    </row>
    <row r="80" ht="15.75" customHeight="1">
      <c r="A80" s="11">
        <v>43984.0</v>
      </c>
      <c r="B80" s="12" t="s">
        <v>1922</v>
      </c>
      <c r="C80" s="13" t="s">
        <v>2</v>
      </c>
      <c r="D80" s="12" t="s">
        <v>2046</v>
      </c>
      <c r="E80" s="12" t="s">
        <v>2047</v>
      </c>
      <c r="F80" s="13" t="s">
        <v>4</v>
      </c>
      <c r="G80" s="12" t="s">
        <v>2048</v>
      </c>
      <c r="H80" s="13" t="s">
        <v>5</v>
      </c>
      <c r="I80" s="18">
        <f>+886906627157</f>
        <v>886906627157</v>
      </c>
      <c r="J80" s="13" t="s">
        <v>1814</v>
      </c>
      <c r="K80" s="12" t="s">
        <v>1831</v>
      </c>
    </row>
    <row r="81" ht="15.75" customHeight="1">
      <c r="A81" s="11">
        <v>43984.0</v>
      </c>
      <c r="B81" s="12" t="s">
        <v>1922</v>
      </c>
      <c r="C81" s="13" t="s">
        <v>2</v>
      </c>
      <c r="D81" s="12" t="s">
        <v>2049</v>
      </c>
      <c r="E81" s="12" t="s">
        <v>2021</v>
      </c>
      <c r="F81" s="13" t="s">
        <v>4</v>
      </c>
      <c r="G81" s="12" t="s">
        <v>2050</v>
      </c>
      <c r="H81" s="13" t="s">
        <v>5</v>
      </c>
      <c r="I81" s="18">
        <f>+886937801123</f>
        <v>886937801123</v>
      </c>
      <c r="J81" s="13" t="s">
        <v>1814</v>
      </c>
      <c r="K81" s="12" t="s">
        <v>1856</v>
      </c>
      <c r="L81" s="82"/>
    </row>
    <row r="82" ht="15.75" customHeight="1">
      <c r="A82" s="11">
        <v>43984.0</v>
      </c>
      <c r="B82" s="12" t="s">
        <v>1922</v>
      </c>
      <c r="C82" s="13" t="s">
        <v>2</v>
      </c>
      <c r="D82" s="12" t="s">
        <v>2051</v>
      </c>
      <c r="E82" s="12" t="s">
        <v>2013</v>
      </c>
      <c r="F82" s="13" t="s">
        <v>4</v>
      </c>
      <c r="G82" s="12" t="s">
        <v>2052</v>
      </c>
      <c r="H82" s="13" t="s">
        <v>5</v>
      </c>
      <c r="I82" s="18">
        <f>+886910225100</f>
        <v>886910225100</v>
      </c>
      <c r="J82" s="13" t="s">
        <v>1814</v>
      </c>
      <c r="K82" s="12" t="s">
        <v>1856</v>
      </c>
    </row>
    <row r="83" ht="15.75" customHeight="1">
      <c r="A83" s="11">
        <v>43983.0</v>
      </c>
      <c r="B83" s="12" t="s">
        <v>1922</v>
      </c>
      <c r="C83" s="13" t="s">
        <v>2</v>
      </c>
      <c r="D83" s="12" t="s">
        <v>2053</v>
      </c>
      <c r="E83" s="12" t="s">
        <v>2054</v>
      </c>
      <c r="F83" s="13" t="s">
        <v>4</v>
      </c>
      <c r="G83" s="12" t="s">
        <v>2055</v>
      </c>
      <c r="H83" s="13" t="s">
        <v>5</v>
      </c>
      <c r="I83" s="18">
        <f>+886933260388</f>
        <v>886933260388</v>
      </c>
      <c r="J83" s="13" t="s">
        <v>1814</v>
      </c>
      <c r="K83" s="12" t="s">
        <v>1856</v>
      </c>
    </row>
    <row r="84" ht="15.75" customHeight="1">
      <c r="A84" s="11">
        <v>43983.0</v>
      </c>
      <c r="B84" s="12" t="s">
        <v>1922</v>
      </c>
      <c r="C84" s="13" t="s">
        <v>2</v>
      </c>
      <c r="D84" s="12" t="s">
        <v>2056</v>
      </c>
      <c r="E84" s="12" t="s">
        <v>2057</v>
      </c>
      <c r="F84" s="13" t="s">
        <v>4</v>
      </c>
      <c r="G84" s="12" t="s">
        <v>2058</v>
      </c>
      <c r="H84" s="13" t="s">
        <v>5</v>
      </c>
      <c r="I84" s="18">
        <f>+886932712786</f>
        <v>886932712786</v>
      </c>
      <c r="J84" s="13" t="s">
        <v>1814</v>
      </c>
      <c r="K84" s="12" t="s">
        <v>1856</v>
      </c>
    </row>
    <row r="85" ht="15.75" customHeight="1">
      <c r="A85" s="11">
        <v>43983.0</v>
      </c>
      <c r="B85" s="12" t="s">
        <v>1922</v>
      </c>
      <c r="C85" s="13" t="s">
        <v>2</v>
      </c>
      <c r="D85" s="12" t="s">
        <v>2059</v>
      </c>
      <c r="E85" s="12" t="s">
        <v>2059</v>
      </c>
      <c r="F85" s="13" t="s">
        <v>4</v>
      </c>
      <c r="G85" s="12" t="s">
        <v>2060</v>
      </c>
      <c r="H85" s="13" t="s">
        <v>5</v>
      </c>
      <c r="I85" s="18">
        <f>+886938762067</f>
        <v>886938762067</v>
      </c>
      <c r="J85" s="13" t="s">
        <v>1814</v>
      </c>
      <c r="K85" s="12" t="s">
        <v>1856</v>
      </c>
    </row>
    <row r="86" ht="15.75" customHeight="1">
      <c r="A86" s="11">
        <v>43982.0</v>
      </c>
      <c r="B86" s="12" t="s">
        <v>1922</v>
      </c>
      <c r="C86" s="13" t="s">
        <v>2</v>
      </c>
      <c r="D86" s="12" t="s">
        <v>2061</v>
      </c>
      <c r="E86" s="12" t="s">
        <v>2062</v>
      </c>
      <c r="F86" s="13" t="s">
        <v>4</v>
      </c>
      <c r="G86" s="12" t="s">
        <v>2063</v>
      </c>
      <c r="H86" s="13" t="s">
        <v>5</v>
      </c>
      <c r="I86" s="18">
        <f>+8613801889536</f>
        <v>8613801889536</v>
      </c>
      <c r="J86" s="13" t="s">
        <v>1814</v>
      </c>
      <c r="K86" s="12" t="s">
        <v>1824</v>
      </c>
    </row>
    <row r="87" ht="15.75" customHeight="1">
      <c r="A87" s="11">
        <v>43982.0</v>
      </c>
      <c r="B87" s="12" t="s">
        <v>1922</v>
      </c>
      <c r="C87" s="13" t="s">
        <v>2</v>
      </c>
      <c r="D87" s="12" t="s">
        <v>2064</v>
      </c>
      <c r="E87" s="12" t="s">
        <v>2065</v>
      </c>
      <c r="F87" s="13" t="s">
        <v>4</v>
      </c>
      <c r="G87" s="12" t="s">
        <v>2066</v>
      </c>
      <c r="H87" s="13" t="s">
        <v>5</v>
      </c>
      <c r="I87" s="18">
        <f>+886919710805</f>
        <v>886919710805</v>
      </c>
      <c r="J87" s="13" t="s">
        <v>1814</v>
      </c>
      <c r="K87" s="12" t="s">
        <v>1856</v>
      </c>
    </row>
    <row r="88" ht="15.75" customHeight="1">
      <c r="A88" s="11">
        <v>43982.0</v>
      </c>
      <c r="B88" s="12" t="s">
        <v>1922</v>
      </c>
      <c r="C88" s="13" t="s">
        <v>2</v>
      </c>
      <c r="D88" s="12" t="s">
        <v>2067</v>
      </c>
      <c r="E88" s="12" t="s">
        <v>2068</v>
      </c>
      <c r="F88" s="13" t="s">
        <v>4</v>
      </c>
      <c r="G88" s="12" t="s">
        <v>2069</v>
      </c>
      <c r="H88" s="13" t="s">
        <v>5</v>
      </c>
      <c r="I88" s="18">
        <f>+886916270057</f>
        <v>886916270057</v>
      </c>
      <c r="J88" s="13" t="s">
        <v>1814</v>
      </c>
      <c r="K88" s="12" t="s">
        <v>1831</v>
      </c>
    </row>
    <row r="89" ht="15.75" customHeight="1">
      <c r="A89" s="11">
        <v>43981.0</v>
      </c>
      <c r="B89" s="12" t="s">
        <v>1922</v>
      </c>
      <c r="C89" s="13" t="s">
        <v>2</v>
      </c>
      <c r="D89" s="12" t="s">
        <v>2070</v>
      </c>
      <c r="E89" s="12" t="s">
        <v>2071</v>
      </c>
      <c r="F89" s="13" t="s">
        <v>4</v>
      </c>
      <c r="G89" s="12" t="s">
        <v>2072</v>
      </c>
      <c r="H89" s="13" t="s">
        <v>5</v>
      </c>
      <c r="I89" s="18">
        <f>+8618792509822</f>
        <v>8618792509822</v>
      </c>
      <c r="J89" s="13" t="s">
        <v>1814</v>
      </c>
      <c r="K89" s="12" t="s">
        <v>1824</v>
      </c>
    </row>
    <row r="90" ht="15.75" customHeight="1">
      <c r="A90" s="11">
        <v>43981.0</v>
      </c>
      <c r="B90" s="12" t="s">
        <v>1922</v>
      </c>
      <c r="C90" s="13" t="s">
        <v>2</v>
      </c>
      <c r="D90" s="12" t="s">
        <v>2073</v>
      </c>
      <c r="E90" s="12" t="s">
        <v>2074</v>
      </c>
      <c r="F90" s="13" t="s">
        <v>4</v>
      </c>
      <c r="G90" s="12" t="s">
        <v>2075</v>
      </c>
      <c r="H90" s="13" t="s">
        <v>5</v>
      </c>
      <c r="I90" s="18">
        <f>+886933142260</f>
        <v>886933142260</v>
      </c>
      <c r="J90" s="13" t="s">
        <v>1814</v>
      </c>
      <c r="K90" s="12" t="s">
        <v>1856</v>
      </c>
    </row>
    <row r="91" ht="15.75" customHeight="1">
      <c r="A91" s="11">
        <v>43980.0</v>
      </c>
      <c r="B91" s="12" t="s">
        <v>1922</v>
      </c>
      <c r="C91" s="13" t="s">
        <v>2</v>
      </c>
      <c r="D91" s="12" t="s">
        <v>2076</v>
      </c>
      <c r="E91" s="12" t="s">
        <v>2057</v>
      </c>
      <c r="F91" s="13" t="s">
        <v>4</v>
      </c>
      <c r="G91" s="12" t="s">
        <v>2077</v>
      </c>
      <c r="H91" s="13" t="s">
        <v>5</v>
      </c>
      <c r="I91" s="18">
        <f>+886911608558</f>
        <v>886911608558</v>
      </c>
      <c r="J91" s="13" t="s">
        <v>1814</v>
      </c>
      <c r="K91" s="12" t="s">
        <v>1831</v>
      </c>
    </row>
    <row r="92" ht="15.75" customHeight="1">
      <c r="A92" s="11">
        <v>43980.0</v>
      </c>
      <c r="B92" s="12" t="s">
        <v>1922</v>
      </c>
      <c r="C92" s="13" t="s">
        <v>2</v>
      </c>
      <c r="D92" s="12" t="s">
        <v>2078</v>
      </c>
      <c r="E92" s="12" t="s">
        <v>2079</v>
      </c>
      <c r="F92" s="13" t="s">
        <v>4</v>
      </c>
      <c r="G92" s="12" t="s">
        <v>2080</v>
      </c>
      <c r="H92" s="13" t="s">
        <v>5</v>
      </c>
      <c r="I92" s="18">
        <f>+886906625715</f>
        <v>886906625715</v>
      </c>
      <c r="J92" s="13" t="s">
        <v>1814</v>
      </c>
      <c r="K92" s="12" t="s">
        <v>1856</v>
      </c>
    </row>
    <row r="93" ht="15.75" customHeight="1">
      <c r="A93" s="11">
        <v>43979.0</v>
      </c>
      <c r="B93" s="12" t="s">
        <v>1922</v>
      </c>
      <c r="C93" s="13" t="s">
        <v>2</v>
      </c>
      <c r="D93" s="12" t="s">
        <v>2081</v>
      </c>
      <c r="E93" s="12" t="s">
        <v>1842</v>
      </c>
      <c r="F93" s="13" t="s">
        <v>4</v>
      </c>
      <c r="G93" s="12" t="s">
        <v>2082</v>
      </c>
      <c r="H93" s="13" t="s">
        <v>5</v>
      </c>
      <c r="I93" s="18">
        <f>+8860978499458</f>
        <v>8860978499458</v>
      </c>
      <c r="J93" s="13" t="s">
        <v>1814</v>
      </c>
      <c r="K93" s="12" t="s">
        <v>1856</v>
      </c>
    </row>
    <row r="94" ht="15.75" customHeight="1">
      <c r="A94" s="11">
        <v>43979.0</v>
      </c>
      <c r="B94" s="12" t="s">
        <v>1922</v>
      </c>
      <c r="C94" s="13" t="s">
        <v>2</v>
      </c>
      <c r="D94" s="12" t="s">
        <v>2083</v>
      </c>
      <c r="E94" s="12" t="s">
        <v>2084</v>
      </c>
      <c r="F94" s="13" t="s">
        <v>4</v>
      </c>
      <c r="G94" s="12" t="s">
        <v>2085</v>
      </c>
      <c r="H94" s="13" t="s">
        <v>5</v>
      </c>
      <c r="I94" s="18">
        <f>+886919650296</f>
        <v>886919650296</v>
      </c>
      <c r="J94" s="13" t="s">
        <v>1814</v>
      </c>
      <c r="K94" s="12" t="s">
        <v>1856</v>
      </c>
    </row>
    <row r="95" ht="15.75" customHeight="1">
      <c r="A95" s="11">
        <v>43979.0</v>
      </c>
      <c r="B95" s="12" t="s">
        <v>1922</v>
      </c>
      <c r="C95" s="13" t="s">
        <v>2</v>
      </c>
      <c r="D95" s="12" t="s">
        <v>2086</v>
      </c>
      <c r="E95" s="12" t="s">
        <v>2087</v>
      </c>
      <c r="F95" s="13" t="s">
        <v>4</v>
      </c>
      <c r="G95" s="12" t="s">
        <v>2088</v>
      </c>
      <c r="H95" s="13" t="s">
        <v>5</v>
      </c>
      <c r="I95" s="18">
        <f>+886988040325</f>
        <v>886988040325</v>
      </c>
      <c r="J95" s="13" t="s">
        <v>1814</v>
      </c>
      <c r="K95" s="12" t="s">
        <v>1856</v>
      </c>
    </row>
    <row r="96" ht="15.75" customHeight="1">
      <c r="A96" s="11">
        <v>43978.0</v>
      </c>
      <c r="B96" s="12" t="s">
        <v>1922</v>
      </c>
      <c r="C96" s="13" t="s">
        <v>2</v>
      </c>
      <c r="D96" s="12" t="s">
        <v>2089</v>
      </c>
      <c r="E96" s="12" t="s">
        <v>2090</v>
      </c>
      <c r="F96" s="13" t="s">
        <v>4</v>
      </c>
      <c r="G96" s="12" t="s">
        <v>2091</v>
      </c>
      <c r="H96" s="13" t="s">
        <v>5</v>
      </c>
      <c r="I96" s="18">
        <f>+886926251248</f>
        <v>886926251248</v>
      </c>
      <c r="J96" s="13" t="s">
        <v>1814</v>
      </c>
      <c r="K96" s="12" t="s">
        <v>1856</v>
      </c>
    </row>
    <row r="97" ht="15.75" customHeight="1">
      <c r="A97" s="11">
        <v>43978.0</v>
      </c>
      <c r="B97" s="12" t="s">
        <v>1922</v>
      </c>
      <c r="C97" s="13" t="s">
        <v>2</v>
      </c>
      <c r="D97" s="12" t="s">
        <v>2092</v>
      </c>
      <c r="E97" s="12" t="s">
        <v>2093</v>
      </c>
      <c r="F97" s="13" t="s">
        <v>4</v>
      </c>
      <c r="G97" s="12" t="s">
        <v>2094</v>
      </c>
      <c r="H97" s="13" t="s">
        <v>5</v>
      </c>
      <c r="I97" s="18">
        <f>+886921118243</f>
        <v>886921118243</v>
      </c>
      <c r="J97" s="13" t="s">
        <v>1814</v>
      </c>
      <c r="K97" s="12" t="s">
        <v>1856</v>
      </c>
    </row>
    <row r="98" ht="15.75" customHeight="1">
      <c r="A98" s="11">
        <v>43977.0</v>
      </c>
      <c r="B98" s="12" t="s">
        <v>1922</v>
      </c>
      <c r="C98" s="13" t="s">
        <v>2</v>
      </c>
      <c r="D98" s="12" t="s">
        <v>2095</v>
      </c>
      <c r="E98" s="12" t="s">
        <v>1854</v>
      </c>
      <c r="F98" s="13" t="s">
        <v>4</v>
      </c>
      <c r="G98" s="12" t="s">
        <v>2096</v>
      </c>
      <c r="H98" s="13" t="s">
        <v>5</v>
      </c>
      <c r="I98" s="18">
        <f>+15048627713</f>
        <v>15048627713</v>
      </c>
      <c r="J98" s="13" t="s">
        <v>1814</v>
      </c>
      <c r="K98" s="12" t="s">
        <v>1831</v>
      </c>
    </row>
    <row r="99" ht="15.75" customHeight="1">
      <c r="A99" s="11">
        <v>43977.0</v>
      </c>
      <c r="B99" s="12" t="s">
        <v>1922</v>
      </c>
      <c r="C99" s="13" t="s">
        <v>2</v>
      </c>
      <c r="D99" s="12" t="s">
        <v>2097</v>
      </c>
      <c r="E99" s="12" t="s">
        <v>2002</v>
      </c>
      <c r="F99" s="13" t="s">
        <v>4</v>
      </c>
      <c r="G99" s="12" t="s">
        <v>2098</v>
      </c>
      <c r="H99" s="13" t="s">
        <v>5</v>
      </c>
      <c r="I99" s="18">
        <f>+886925122262</f>
        <v>886925122262</v>
      </c>
      <c r="J99" s="13" t="s">
        <v>1814</v>
      </c>
      <c r="K99" s="12" t="s">
        <v>1831</v>
      </c>
    </row>
    <row r="100" ht="15.75" customHeight="1">
      <c r="A100" s="11">
        <v>43977.0</v>
      </c>
      <c r="B100" s="12" t="s">
        <v>1922</v>
      </c>
      <c r="C100" s="13" t="s">
        <v>2</v>
      </c>
      <c r="D100" s="12" t="s">
        <v>2099</v>
      </c>
      <c r="E100" s="12" t="s">
        <v>1876</v>
      </c>
      <c r="F100" s="13" t="s">
        <v>4</v>
      </c>
      <c r="G100" s="12" t="s">
        <v>2100</v>
      </c>
      <c r="H100" s="13" t="s">
        <v>5</v>
      </c>
      <c r="I100" s="18">
        <f>+886976123059</f>
        <v>886976123059</v>
      </c>
      <c r="J100" s="13" t="s">
        <v>1814</v>
      </c>
      <c r="K100" s="12" t="s">
        <v>1831</v>
      </c>
    </row>
    <row r="101" ht="15.75" customHeight="1">
      <c r="A101" s="11">
        <v>43977.0</v>
      </c>
      <c r="B101" s="12" t="s">
        <v>1922</v>
      </c>
      <c r="C101" s="13" t="s">
        <v>2</v>
      </c>
      <c r="D101" s="12" t="s">
        <v>2101</v>
      </c>
      <c r="E101" s="12" t="s">
        <v>2102</v>
      </c>
      <c r="F101" s="13" t="s">
        <v>4</v>
      </c>
      <c r="G101" s="12" t="s">
        <v>2103</v>
      </c>
      <c r="H101" s="13" t="s">
        <v>5</v>
      </c>
      <c r="I101" s="18">
        <f>+886937333968</f>
        <v>886937333968</v>
      </c>
      <c r="J101" s="13" t="s">
        <v>1814</v>
      </c>
      <c r="K101" s="12" t="s">
        <v>1856</v>
      </c>
    </row>
    <row r="102" ht="15.75" customHeight="1">
      <c r="A102" s="11">
        <v>43976.0</v>
      </c>
      <c r="B102" s="12" t="s">
        <v>1922</v>
      </c>
      <c r="C102" s="13" t="s">
        <v>2</v>
      </c>
      <c r="D102" s="12" t="s">
        <v>2104</v>
      </c>
      <c r="E102" s="12" t="s">
        <v>1876</v>
      </c>
      <c r="F102" s="13" t="s">
        <v>4</v>
      </c>
      <c r="G102" s="12" t="s">
        <v>2105</v>
      </c>
      <c r="H102" s="13" t="s">
        <v>5</v>
      </c>
      <c r="I102" s="18">
        <f>+886960528525</f>
        <v>886960528525</v>
      </c>
      <c r="J102" s="13" t="s">
        <v>1814</v>
      </c>
      <c r="K102" s="12" t="s">
        <v>1831</v>
      </c>
    </row>
    <row r="103" ht="15.75" customHeight="1">
      <c r="A103" s="11">
        <v>43976.0</v>
      </c>
      <c r="B103" s="12" t="s">
        <v>1922</v>
      </c>
      <c r="C103" s="13" t="s">
        <v>2</v>
      </c>
      <c r="D103" s="12" t="s">
        <v>2106</v>
      </c>
      <c r="E103" s="12" t="s">
        <v>1858</v>
      </c>
      <c r="F103" s="13" t="s">
        <v>4</v>
      </c>
      <c r="G103" s="12" t="s">
        <v>2107</v>
      </c>
      <c r="H103" s="13" t="s">
        <v>5</v>
      </c>
      <c r="I103" s="18">
        <f>+8860988732896</f>
        <v>8860988732896</v>
      </c>
      <c r="J103" s="13" t="s">
        <v>1814</v>
      </c>
      <c r="K103" s="12" t="s">
        <v>1856</v>
      </c>
    </row>
    <row r="104" ht="15.75" customHeight="1">
      <c r="A104" s="11">
        <v>43976.0</v>
      </c>
      <c r="B104" s="12" t="s">
        <v>1922</v>
      </c>
      <c r="C104" s="13" t="s">
        <v>2</v>
      </c>
      <c r="D104" s="12" t="s">
        <v>2108</v>
      </c>
      <c r="E104" s="12" t="s">
        <v>2047</v>
      </c>
      <c r="F104" s="13" t="s">
        <v>4</v>
      </c>
      <c r="G104" s="12" t="s">
        <v>2109</v>
      </c>
      <c r="H104" s="13" t="s">
        <v>5</v>
      </c>
      <c r="I104" s="18">
        <f>+886953312346</f>
        <v>886953312346</v>
      </c>
      <c r="J104" s="13" t="s">
        <v>1814</v>
      </c>
      <c r="K104" s="12" t="s">
        <v>1856</v>
      </c>
    </row>
    <row r="105" ht="15.75" customHeight="1">
      <c r="A105" s="11">
        <v>43975.0</v>
      </c>
      <c r="B105" s="12" t="s">
        <v>1922</v>
      </c>
      <c r="C105" s="13" t="s">
        <v>2</v>
      </c>
      <c r="D105" s="12" t="s">
        <v>2110</v>
      </c>
      <c r="E105" s="12" t="s">
        <v>2111</v>
      </c>
      <c r="F105" s="13" t="s">
        <v>4</v>
      </c>
      <c r="G105" s="12" t="s">
        <v>2112</v>
      </c>
      <c r="H105" s="13" t="s">
        <v>5</v>
      </c>
      <c r="I105" s="18">
        <f>+886936777120</f>
        <v>886936777120</v>
      </c>
      <c r="J105" s="13" t="s">
        <v>1814</v>
      </c>
      <c r="K105" s="12" t="s">
        <v>1856</v>
      </c>
    </row>
    <row r="106" ht="15.75" customHeight="1">
      <c r="A106" s="11">
        <v>43975.0</v>
      </c>
      <c r="B106" s="12" t="s">
        <v>1922</v>
      </c>
      <c r="C106" s="13" t="s">
        <v>2</v>
      </c>
      <c r="D106" s="12" t="s">
        <v>2113</v>
      </c>
      <c r="E106" s="12" t="s">
        <v>1854</v>
      </c>
      <c r="F106" s="13" t="s">
        <v>4</v>
      </c>
      <c r="G106" s="12" t="s">
        <v>2114</v>
      </c>
      <c r="H106" s="13" t="s">
        <v>5</v>
      </c>
      <c r="I106" s="18">
        <f>+886932760146</f>
        <v>886932760146</v>
      </c>
      <c r="J106" s="13" t="s">
        <v>1814</v>
      </c>
      <c r="K106" s="12" t="s">
        <v>1856</v>
      </c>
    </row>
    <row r="107" ht="15.75" customHeight="1">
      <c r="A107" s="11">
        <v>43975.0</v>
      </c>
      <c r="B107" s="12" t="s">
        <v>1922</v>
      </c>
      <c r="C107" s="13" t="s">
        <v>2</v>
      </c>
      <c r="D107" s="12" t="s">
        <v>2115</v>
      </c>
      <c r="E107" s="12" t="s">
        <v>1839</v>
      </c>
      <c r="F107" s="13" t="s">
        <v>4</v>
      </c>
      <c r="G107" s="12" t="s">
        <v>2116</v>
      </c>
      <c r="H107" s="13" t="s">
        <v>5</v>
      </c>
      <c r="I107" s="18">
        <f>+886917702333</f>
        <v>886917702333</v>
      </c>
      <c r="J107" s="13" t="s">
        <v>1814</v>
      </c>
      <c r="K107" s="12" t="s">
        <v>1856</v>
      </c>
    </row>
    <row r="108" ht="15.75" customHeight="1">
      <c r="A108" s="11">
        <v>43975.0</v>
      </c>
      <c r="B108" s="12" t="s">
        <v>1922</v>
      </c>
      <c r="C108" s="13" t="s">
        <v>2</v>
      </c>
      <c r="D108" s="12" t="s">
        <v>2117</v>
      </c>
      <c r="E108" s="12" t="s">
        <v>2118</v>
      </c>
      <c r="F108" s="13" t="s">
        <v>4</v>
      </c>
      <c r="G108" s="12" t="s">
        <v>2119</v>
      </c>
      <c r="H108" s="13" t="s">
        <v>5</v>
      </c>
      <c r="I108" s="18">
        <f>+886960933308</f>
        <v>886960933308</v>
      </c>
      <c r="J108" s="13" t="s">
        <v>1814</v>
      </c>
      <c r="K108" s="12" t="s">
        <v>1856</v>
      </c>
    </row>
    <row r="109" ht="15.75" customHeight="1">
      <c r="A109" s="11">
        <v>43975.0</v>
      </c>
      <c r="B109" s="12" t="s">
        <v>1922</v>
      </c>
      <c r="C109" s="13" t="s">
        <v>2</v>
      </c>
      <c r="D109" s="12" t="s">
        <v>2087</v>
      </c>
      <c r="E109" s="12" t="s">
        <v>2120</v>
      </c>
      <c r="F109" s="13" t="s">
        <v>4</v>
      </c>
      <c r="G109" s="12" t="s">
        <v>2121</v>
      </c>
      <c r="H109" s="13" t="s">
        <v>5</v>
      </c>
      <c r="I109" s="18">
        <f>+886982911538</f>
        <v>886982911538</v>
      </c>
      <c r="J109" s="13" t="s">
        <v>1814</v>
      </c>
      <c r="K109" s="12" t="s">
        <v>1831</v>
      </c>
    </row>
    <row r="110" ht="15.75" customHeight="1">
      <c r="A110" s="11">
        <v>43974.0</v>
      </c>
      <c r="B110" s="12" t="s">
        <v>1922</v>
      </c>
      <c r="C110" s="13" t="s">
        <v>2</v>
      </c>
      <c r="D110" s="12" t="s">
        <v>2122</v>
      </c>
      <c r="E110" s="12" t="s">
        <v>2002</v>
      </c>
      <c r="F110" s="13" t="s">
        <v>4</v>
      </c>
      <c r="G110" s="12" t="s">
        <v>2123</v>
      </c>
      <c r="H110" s="13" t="s">
        <v>5</v>
      </c>
      <c r="I110" s="18">
        <f>+886922111086</f>
        <v>886922111086</v>
      </c>
      <c r="J110" s="13" t="s">
        <v>1814</v>
      </c>
      <c r="K110" s="12" t="s">
        <v>1856</v>
      </c>
    </row>
    <row r="111" ht="15.75" customHeight="1">
      <c r="A111" s="11">
        <v>43974.0</v>
      </c>
      <c r="B111" s="12" t="s">
        <v>1922</v>
      </c>
      <c r="C111" s="13" t="s">
        <v>2</v>
      </c>
      <c r="D111" s="12" t="s">
        <v>2124</v>
      </c>
      <c r="E111" s="12" t="s">
        <v>2125</v>
      </c>
      <c r="F111" s="13" t="s">
        <v>4</v>
      </c>
      <c r="G111" s="12" t="s">
        <v>2126</v>
      </c>
      <c r="H111" s="13" t="s">
        <v>5</v>
      </c>
      <c r="I111" s="18">
        <f>+886911156432</f>
        <v>886911156432</v>
      </c>
      <c r="J111" s="13" t="s">
        <v>1814</v>
      </c>
      <c r="K111" s="12" t="s">
        <v>1856</v>
      </c>
    </row>
    <row r="112" ht="15.75" customHeight="1">
      <c r="A112" s="11">
        <v>43974.0</v>
      </c>
      <c r="B112" s="12" t="s">
        <v>1922</v>
      </c>
      <c r="C112" s="13" t="s">
        <v>2</v>
      </c>
      <c r="D112" s="12" t="s">
        <v>2127</v>
      </c>
      <c r="E112" s="12" t="s">
        <v>1854</v>
      </c>
      <c r="F112" s="13" t="s">
        <v>4</v>
      </c>
      <c r="G112" s="12" t="s">
        <v>2128</v>
      </c>
      <c r="H112" s="13" t="s">
        <v>5</v>
      </c>
      <c r="I112" s="18">
        <f>+886972281756</f>
        <v>886972281756</v>
      </c>
      <c r="J112" s="13" t="s">
        <v>1814</v>
      </c>
      <c r="K112" s="12" t="s">
        <v>1831</v>
      </c>
    </row>
    <row r="113" ht="15.75" customHeight="1">
      <c r="A113" s="11">
        <v>43974.0</v>
      </c>
      <c r="B113" s="12" t="s">
        <v>1922</v>
      </c>
      <c r="C113" s="13" t="s">
        <v>2</v>
      </c>
      <c r="D113" s="12" t="s">
        <v>2129</v>
      </c>
      <c r="E113" s="12" t="s">
        <v>2130</v>
      </c>
      <c r="F113" s="13" t="s">
        <v>4</v>
      </c>
      <c r="G113" s="12" t="s">
        <v>2131</v>
      </c>
      <c r="H113" s="13" t="s">
        <v>5</v>
      </c>
      <c r="I113" s="18">
        <f>+886900491328</f>
        <v>886900491328</v>
      </c>
      <c r="J113" s="13" t="s">
        <v>1814</v>
      </c>
      <c r="K113" s="12" t="s">
        <v>1856</v>
      </c>
    </row>
    <row r="114" ht="15.75" customHeight="1">
      <c r="A114" s="11">
        <v>43973.0</v>
      </c>
      <c r="B114" s="12" t="s">
        <v>1922</v>
      </c>
      <c r="C114" s="13" t="s">
        <v>2</v>
      </c>
      <c r="D114" s="12" t="s">
        <v>2132</v>
      </c>
      <c r="E114" s="12" t="s">
        <v>2133</v>
      </c>
      <c r="F114" s="13" t="s">
        <v>4</v>
      </c>
      <c r="G114" s="12" t="s">
        <v>2134</v>
      </c>
      <c r="H114" s="13" t="s">
        <v>5</v>
      </c>
      <c r="I114" s="18">
        <f>+886910198047</f>
        <v>886910198047</v>
      </c>
      <c r="J114" s="13" t="s">
        <v>1814</v>
      </c>
      <c r="K114" s="12" t="s">
        <v>1856</v>
      </c>
    </row>
    <row r="115" ht="15.75" customHeight="1">
      <c r="A115" s="11">
        <v>43973.0</v>
      </c>
      <c r="B115" s="12" t="s">
        <v>1922</v>
      </c>
      <c r="C115" s="13" t="s">
        <v>2</v>
      </c>
      <c r="D115" s="12" t="s">
        <v>2135</v>
      </c>
      <c r="E115" s="12" t="s">
        <v>1854</v>
      </c>
      <c r="F115" s="13" t="s">
        <v>4</v>
      </c>
      <c r="G115" s="12" t="s">
        <v>2136</v>
      </c>
      <c r="H115" s="13" t="s">
        <v>5</v>
      </c>
      <c r="I115" s="18">
        <f>+886960281179</f>
        <v>886960281179</v>
      </c>
      <c r="J115" s="13" t="s">
        <v>1814</v>
      </c>
      <c r="K115" s="12" t="s">
        <v>1856</v>
      </c>
    </row>
    <row r="116" ht="15.75" customHeight="1">
      <c r="A116" s="11">
        <v>43973.0</v>
      </c>
      <c r="B116" s="12" t="s">
        <v>1922</v>
      </c>
      <c r="C116" s="13" t="s">
        <v>2</v>
      </c>
      <c r="D116" s="12" t="s">
        <v>2137</v>
      </c>
      <c r="E116" s="12" t="s">
        <v>2138</v>
      </c>
      <c r="F116" s="13" t="s">
        <v>4</v>
      </c>
      <c r="G116" s="12" t="s">
        <v>2139</v>
      </c>
      <c r="H116" s="13" t="s">
        <v>5</v>
      </c>
      <c r="I116" s="18">
        <f>+886921283100</f>
        <v>886921283100</v>
      </c>
      <c r="J116" s="13" t="s">
        <v>1814</v>
      </c>
      <c r="K116" s="12" t="s">
        <v>1856</v>
      </c>
    </row>
    <row r="117" ht="15.75" customHeight="1">
      <c r="A117" s="11">
        <v>43972.0</v>
      </c>
      <c r="B117" s="12" t="s">
        <v>1922</v>
      </c>
      <c r="C117" s="13" t="s">
        <v>2</v>
      </c>
      <c r="D117" s="12" t="s">
        <v>2140</v>
      </c>
      <c r="E117" s="12" t="s">
        <v>1876</v>
      </c>
      <c r="F117" s="13" t="s">
        <v>4</v>
      </c>
      <c r="G117" s="12" t="s">
        <v>2141</v>
      </c>
      <c r="H117" s="13" t="s">
        <v>5</v>
      </c>
      <c r="I117" s="18">
        <f>+886928116599</f>
        <v>886928116599</v>
      </c>
      <c r="J117" s="13" t="s">
        <v>1814</v>
      </c>
      <c r="K117" s="12" t="s">
        <v>1856</v>
      </c>
    </row>
    <row r="118" ht="15.75" customHeight="1">
      <c r="A118" s="11">
        <v>43972.0</v>
      </c>
      <c r="B118" s="12" t="s">
        <v>1922</v>
      </c>
      <c r="C118" s="13" t="s">
        <v>2</v>
      </c>
      <c r="D118" s="12" t="s">
        <v>2013</v>
      </c>
      <c r="E118" s="12" t="s">
        <v>2142</v>
      </c>
      <c r="F118" s="13" t="s">
        <v>4</v>
      </c>
      <c r="G118" s="12" t="s">
        <v>2143</v>
      </c>
      <c r="H118" s="13" t="s">
        <v>5</v>
      </c>
      <c r="I118" s="18">
        <f>+886911430666</f>
        <v>886911430666</v>
      </c>
      <c r="J118" s="13" t="s">
        <v>1814</v>
      </c>
      <c r="K118" s="12" t="s">
        <v>1856</v>
      </c>
    </row>
    <row r="119" ht="15.75" customHeight="1">
      <c r="A119" s="11">
        <v>43972.0</v>
      </c>
      <c r="B119" s="12" t="s">
        <v>1922</v>
      </c>
      <c r="C119" s="13" t="s">
        <v>2</v>
      </c>
      <c r="D119" s="12" t="s">
        <v>2144</v>
      </c>
      <c r="E119" s="12" t="s">
        <v>2145</v>
      </c>
      <c r="F119" s="13" t="s">
        <v>4</v>
      </c>
      <c r="G119" s="12" t="s">
        <v>2146</v>
      </c>
      <c r="H119" s="13" t="s">
        <v>5</v>
      </c>
      <c r="I119" s="18">
        <f>+886931926218</f>
        <v>886931926218</v>
      </c>
      <c r="J119" s="13" t="s">
        <v>1814</v>
      </c>
      <c r="K119" s="12" t="s">
        <v>1856</v>
      </c>
    </row>
    <row r="120" ht="15.75" customHeight="1">
      <c r="A120" s="11">
        <v>43972.0</v>
      </c>
      <c r="B120" s="12" t="s">
        <v>1922</v>
      </c>
      <c r="C120" s="13" t="s">
        <v>2</v>
      </c>
      <c r="D120" s="12" t="s">
        <v>2147</v>
      </c>
      <c r="E120" s="12" t="s">
        <v>2047</v>
      </c>
      <c r="F120" s="13" t="s">
        <v>4</v>
      </c>
      <c r="G120" s="12" t="s">
        <v>2148</v>
      </c>
      <c r="H120" s="13" t="s">
        <v>5</v>
      </c>
      <c r="I120" s="18">
        <f>+886923297343</f>
        <v>886923297343</v>
      </c>
      <c r="J120" s="13" t="s">
        <v>1814</v>
      </c>
      <c r="K120" s="12" t="s">
        <v>1856</v>
      </c>
    </row>
    <row r="121" ht="15.75" customHeight="1">
      <c r="A121" s="11">
        <v>43971.0</v>
      </c>
      <c r="B121" s="12" t="s">
        <v>1922</v>
      </c>
      <c r="C121" s="13" t="s">
        <v>2</v>
      </c>
      <c r="D121" s="12" t="s">
        <v>2149</v>
      </c>
      <c r="E121" s="12" t="s">
        <v>2150</v>
      </c>
      <c r="F121" s="13" t="s">
        <v>4</v>
      </c>
      <c r="G121" s="12" t="s">
        <v>2151</v>
      </c>
      <c r="H121" s="13" t="s">
        <v>5</v>
      </c>
      <c r="I121" s="18">
        <f>+886970817695</f>
        <v>886970817695</v>
      </c>
      <c r="J121" s="13" t="s">
        <v>1814</v>
      </c>
      <c r="K121" s="12" t="s">
        <v>1831</v>
      </c>
    </row>
    <row r="122" ht="15.75" customHeight="1">
      <c r="A122" s="11">
        <v>43971.0</v>
      </c>
      <c r="B122" s="12" t="s">
        <v>1922</v>
      </c>
      <c r="C122" s="13" t="s">
        <v>2</v>
      </c>
      <c r="D122" s="12" t="s">
        <v>2152</v>
      </c>
      <c r="E122" s="12" t="s">
        <v>2006</v>
      </c>
      <c r="F122" s="13" t="s">
        <v>4</v>
      </c>
      <c r="G122" s="12" t="s">
        <v>2153</v>
      </c>
      <c r="H122" s="13" t="s">
        <v>5</v>
      </c>
      <c r="I122" s="18">
        <f>+886937721222</f>
        <v>886937721222</v>
      </c>
      <c r="J122" s="13" t="s">
        <v>1814</v>
      </c>
      <c r="K122" s="12" t="s">
        <v>1856</v>
      </c>
    </row>
    <row r="123" ht="15.75" customHeight="1">
      <c r="A123" s="11">
        <v>43969.0</v>
      </c>
      <c r="B123" s="12" t="s">
        <v>1922</v>
      </c>
      <c r="C123" s="13" t="s">
        <v>2</v>
      </c>
      <c r="D123" s="12" t="s">
        <v>2154</v>
      </c>
      <c r="E123" s="12" t="s">
        <v>2155</v>
      </c>
      <c r="F123" s="13" t="s">
        <v>4</v>
      </c>
      <c r="G123" s="12" t="s">
        <v>2156</v>
      </c>
      <c r="H123" s="13" t="s">
        <v>5</v>
      </c>
      <c r="I123" s="18">
        <f>+886988196091</f>
        <v>886988196091</v>
      </c>
      <c r="J123" s="13" t="s">
        <v>1814</v>
      </c>
      <c r="K123" s="12" t="s">
        <v>1856</v>
      </c>
    </row>
    <row r="124" ht="15.75" customHeight="1">
      <c r="A124" s="11">
        <v>43969.0</v>
      </c>
      <c r="B124" s="12" t="s">
        <v>1922</v>
      </c>
      <c r="C124" s="13" t="s">
        <v>2</v>
      </c>
      <c r="D124" s="12" t="s">
        <v>2157</v>
      </c>
      <c r="E124" s="12" t="s">
        <v>2158</v>
      </c>
      <c r="F124" s="13" t="s">
        <v>4</v>
      </c>
      <c r="G124" s="12" t="s">
        <v>2159</v>
      </c>
      <c r="H124" s="13" t="s">
        <v>5</v>
      </c>
      <c r="I124" s="18">
        <f>+8613401451332</f>
        <v>8613401451332</v>
      </c>
      <c r="J124" s="13" t="s">
        <v>1814</v>
      </c>
      <c r="K124" s="12" t="s">
        <v>1824</v>
      </c>
    </row>
    <row r="125" ht="15.75" customHeight="1">
      <c r="A125" s="11">
        <v>43968.0</v>
      </c>
      <c r="B125" s="12" t="s">
        <v>1922</v>
      </c>
      <c r="C125" s="13" t="s">
        <v>2</v>
      </c>
      <c r="D125" s="12" t="s">
        <v>2160</v>
      </c>
      <c r="E125" s="12" t="s">
        <v>2161</v>
      </c>
      <c r="F125" s="13" t="s">
        <v>4</v>
      </c>
      <c r="G125" s="12" t="s">
        <v>2162</v>
      </c>
      <c r="H125" s="13" t="s">
        <v>5</v>
      </c>
      <c r="I125" s="18">
        <f>+886926799797</f>
        <v>886926799797</v>
      </c>
      <c r="J125" s="13" t="s">
        <v>1814</v>
      </c>
      <c r="K125" s="12" t="s">
        <v>1856</v>
      </c>
    </row>
    <row r="126" ht="15.75" customHeight="1">
      <c r="A126" s="11">
        <v>43968.0</v>
      </c>
      <c r="B126" s="12" t="s">
        <v>1922</v>
      </c>
      <c r="C126" s="13" t="s">
        <v>2</v>
      </c>
      <c r="D126" s="12" t="s">
        <v>2163</v>
      </c>
      <c r="E126" s="12" t="s">
        <v>2164</v>
      </c>
      <c r="F126" s="13" t="s">
        <v>4</v>
      </c>
      <c r="G126" s="12" t="s">
        <v>2165</v>
      </c>
      <c r="H126" s="13" t="s">
        <v>5</v>
      </c>
      <c r="I126" s="18">
        <f>+886912037251</f>
        <v>886912037251</v>
      </c>
      <c r="J126" s="13" t="s">
        <v>1814</v>
      </c>
      <c r="K126" s="12" t="s">
        <v>1856</v>
      </c>
    </row>
    <row r="127" ht="15.75" customHeight="1">
      <c r="A127" s="11">
        <v>43968.0</v>
      </c>
      <c r="B127" s="12" t="s">
        <v>1922</v>
      </c>
      <c r="C127" s="13" t="s">
        <v>2</v>
      </c>
      <c r="D127" s="12" t="s">
        <v>2166</v>
      </c>
      <c r="E127" s="12" t="s">
        <v>2167</v>
      </c>
      <c r="F127" s="13" t="s">
        <v>4</v>
      </c>
      <c r="G127" s="12" t="s">
        <v>2168</v>
      </c>
      <c r="H127" s="13" t="s">
        <v>5</v>
      </c>
      <c r="I127" s="18">
        <f>+886917531903</f>
        <v>886917531903</v>
      </c>
      <c r="J127" s="13" t="s">
        <v>1814</v>
      </c>
      <c r="K127" s="12" t="s">
        <v>1831</v>
      </c>
    </row>
    <row r="128" ht="15.75" customHeight="1">
      <c r="A128" s="11">
        <v>43968.0</v>
      </c>
      <c r="B128" s="12" t="s">
        <v>1922</v>
      </c>
      <c r="C128" s="13" t="s">
        <v>2</v>
      </c>
      <c r="D128" s="12" t="s">
        <v>2169</v>
      </c>
      <c r="E128" s="12" t="s">
        <v>2170</v>
      </c>
      <c r="F128" s="13" t="s">
        <v>4</v>
      </c>
      <c r="G128" s="12" t="s">
        <v>2171</v>
      </c>
      <c r="H128" s="13" t="s">
        <v>5</v>
      </c>
      <c r="I128" s="18">
        <f>+8860979810747</f>
        <v>8860979810747</v>
      </c>
      <c r="J128" s="13" t="s">
        <v>1814</v>
      </c>
      <c r="K128" s="12" t="s">
        <v>1831</v>
      </c>
    </row>
    <row r="129" ht="15.75" customHeight="1">
      <c r="A129" s="11">
        <v>43968.0</v>
      </c>
      <c r="B129" s="12" t="s">
        <v>1922</v>
      </c>
      <c r="C129" s="13" t="s">
        <v>2</v>
      </c>
      <c r="D129" s="12" t="s">
        <v>2172</v>
      </c>
      <c r="E129" s="12" t="s">
        <v>2079</v>
      </c>
      <c r="F129" s="13" t="s">
        <v>4</v>
      </c>
      <c r="G129" s="12" t="s">
        <v>2173</v>
      </c>
      <c r="H129" s="13" t="s">
        <v>5</v>
      </c>
      <c r="I129" s="18">
        <f>+886922869840</f>
        <v>886922869840</v>
      </c>
      <c r="J129" s="13" t="s">
        <v>1814</v>
      </c>
      <c r="K129" s="12" t="s">
        <v>1856</v>
      </c>
    </row>
    <row r="130" ht="15.75" customHeight="1">
      <c r="A130" s="11">
        <v>43967.0</v>
      </c>
      <c r="B130" s="12" t="s">
        <v>1922</v>
      </c>
      <c r="C130" s="13" t="s">
        <v>2</v>
      </c>
      <c r="D130" s="12" t="s">
        <v>2174</v>
      </c>
      <c r="E130" s="12" t="s">
        <v>2175</v>
      </c>
      <c r="F130" s="13" t="s">
        <v>4</v>
      </c>
      <c r="G130" s="12" t="s">
        <v>2176</v>
      </c>
      <c r="H130" s="13" t="s">
        <v>5</v>
      </c>
      <c r="I130" s="18">
        <f>+886910872729</f>
        <v>886910872729</v>
      </c>
      <c r="J130" s="13" t="s">
        <v>1814</v>
      </c>
      <c r="K130" s="12" t="s">
        <v>1831</v>
      </c>
    </row>
    <row r="131" ht="15.75" customHeight="1">
      <c r="A131" s="11">
        <v>43965.0</v>
      </c>
      <c r="B131" s="12" t="s">
        <v>1922</v>
      </c>
      <c r="C131" s="13" t="s">
        <v>2</v>
      </c>
      <c r="D131" s="12" t="s">
        <v>2177</v>
      </c>
      <c r="E131" s="12" t="s">
        <v>2024</v>
      </c>
      <c r="F131" s="13" t="s">
        <v>4</v>
      </c>
      <c r="G131" s="12" t="s">
        <v>2178</v>
      </c>
      <c r="H131" s="13" t="s">
        <v>5</v>
      </c>
      <c r="I131" s="18">
        <f>+886910259511</f>
        <v>886910259511</v>
      </c>
      <c r="J131" s="13" t="s">
        <v>1814</v>
      </c>
      <c r="K131" s="12" t="s">
        <v>1856</v>
      </c>
    </row>
    <row r="132" ht="15.75" customHeight="1">
      <c r="A132" s="11">
        <v>43965.0</v>
      </c>
      <c r="B132" s="12" t="s">
        <v>1922</v>
      </c>
      <c r="C132" s="13" t="s">
        <v>2</v>
      </c>
      <c r="D132" s="12" t="s">
        <v>2179</v>
      </c>
      <c r="E132" s="12" t="s">
        <v>2180</v>
      </c>
      <c r="F132" s="13" t="s">
        <v>4</v>
      </c>
      <c r="G132" s="12" t="s">
        <v>2181</v>
      </c>
      <c r="H132" s="13" t="s">
        <v>5</v>
      </c>
      <c r="I132" s="18">
        <f>+886933550691</f>
        <v>886933550691</v>
      </c>
      <c r="J132" s="13" t="s">
        <v>1814</v>
      </c>
      <c r="K132" s="12" t="s">
        <v>1831</v>
      </c>
    </row>
    <row r="133" ht="15.75" customHeight="1">
      <c r="A133" s="11">
        <v>43964.0</v>
      </c>
      <c r="B133" s="12" t="s">
        <v>1922</v>
      </c>
      <c r="C133" s="13" t="s">
        <v>2</v>
      </c>
      <c r="D133" s="12" t="s">
        <v>2182</v>
      </c>
      <c r="E133" s="12" t="s">
        <v>2183</v>
      </c>
      <c r="F133" s="13" t="s">
        <v>4</v>
      </c>
      <c r="G133" s="12" t="s">
        <v>2184</v>
      </c>
      <c r="H133" s="13" t="s">
        <v>5</v>
      </c>
      <c r="I133" s="18">
        <f>+8860903555378</f>
        <v>8860903555378</v>
      </c>
      <c r="J133" s="13" t="s">
        <v>1814</v>
      </c>
      <c r="K133" s="12" t="s">
        <v>1856</v>
      </c>
    </row>
    <row r="134" ht="15.75" customHeight="1">
      <c r="A134" s="11">
        <v>43964.0</v>
      </c>
      <c r="B134" s="12" t="s">
        <v>1922</v>
      </c>
      <c r="C134" s="13" t="s">
        <v>2</v>
      </c>
      <c r="D134" s="12" t="s">
        <v>2185</v>
      </c>
      <c r="E134" s="12" t="s">
        <v>2186</v>
      </c>
      <c r="F134" s="13" t="s">
        <v>4</v>
      </c>
      <c r="G134" s="12" t="s">
        <v>2187</v>
      </c>
      <c r="H134" s="13" t="s">
        <v>5</v>
      </c>
      <c r="I134" s="18">
        <f>+886937957808</f>
        <v>886937957808</v>
      </c>
      <c r="J134" s="13" t="s">
        <v>1814</v>
      </c>
      <c r="K134" s="12" t="s">
        <v>1831</v>
      </c>
    </row>
    <row r="135" ht="15.75" customHeight="1">
      <c r="A135" s="11">
        <v>43964.0</v>
      </c>
      <c r="B135" s="12" t="s">
        <v>1922</v>
      </c>
      <c r="C135" s="13" t="s">
        <v>2</v>
      </c>
      <c r="D135" s="12" t="s">
        <v>2188</v>
      </c>
      <c r="E135" s="12" t="s">
        <v>2189</v>
      </c>
      <c r="F135" s="13" t="s">
        <v>4</v>
      </c>
      <c r="G135" s="12" t="s">
        <v>2190</v>
      </c>
      <c r="H135" s="13" t="s">
        <v>5</v>
      </c>
      <c r="I135" s="18">
        <f>+886935463361</f>
        <v>886935463361</v>
      </c>
      <c r="J135" s="13" t="s">
        <v>1814</v>
      </c>
      <c r="K135" s="12" t="s">
        <v>1856</v>
      </c>
    </row>
    <row r="136" ht="15.75" customHeight="1">
      <c r="A136" s="11">
        <v>43963.0</v>
      </c>
      <c r="B136" s="12" t="s">
        <v>1922</v>
      </c>
      <c r="C136" s="13" t="s">
        <v>2</v>
      </c>
      <c r="D136" s="12" t="s">
        <v>2191</v>
      </c>
      <c r="E136" s="12" t="s">
        <v>2192</v>
      </c>
      <c r="F136" s="13" t="s">
        <v>4</v>
      </c>
      <c r="G136" s="12" t="s">
        <v>2193</v>
      </c>
      <c r="H136" s="13" t="s">
        <v>5</v>
      </c>
      <c r="I136" s="18">
        <f>+886937407103</f>
        <v>886937407103</v>
      </c>
      <c r="J136" s="13" t="s">
        <v>1814</v>
      </c>
      <c r="K136" s="12" t="s">
        <v>1856</v>
      </c>
    </row>
    <row r="137" ht="15.75" customHeight="1">
      <c r="A137" s="11">
        <v>43962.0</v>
      </c>
      <c r="B137" s="12" t="s">
        <v>1922</v>
      </c>
      <c r="C137" s="13" t="s">
        <v>2</v>
      </c>
      <c r="D137" s="12" t="s">
        <v>2194</v>
      </c>
      <c r="E137" s="12" t="s">
        <v>2195</v>
      </c>
      <c r="F137" s="13" t="s">
        <v>4</v>
      </c>
      <c r="G137" s="12" t="s">
        <v>2196</v>
      </c>
      <c r="H137" s="13" t="s">
        <v>5</v>
      </c>
      <c r="I137" s="18">
        <f>+886910403885</f>
        <v>886910403885</v>
      </c>
      <c r="J137" s="13" t="s">
        <v>1814</v>
      </c>
      <c r="K137" s="12" t="s">
        <v>2197</v>
      </c>
    </row>
    <row r="138" ht="15.75" customHeight="1">
      <c r="A138" s="11">
        <v>43962.0</v>
      </c>
      <c r="B138" s="12" t="s">
        <v>1922</v>
      </c>
      <c r="C138" s="13" t="s">
        <v>2</v>
      </c>
      <c r="D138" s="12" t="s">
        <v>2198</v>
      </c>
      <c r="E138" s="12" t="s">
        <v>1882</v>
      </c>
      <c r="F138" s="13" t="s">
        <v>4</v>
      </c>
      <c r="G138" s="12" t="s">
        <v>2199</v>
      </c>
      <c r="H138" s="13" t="s">
        <v>5</v>
      </c>
      <c r="I138" s="18">
        <f>+8860918938588</f>
        <v>8860918938588</v>
      </c>
      <c r="J138" s="13" t="s">
        <v>1814</v>
      </c>
      <c r="K138" s="12" t="s">
        <v>1856</v>
      </c>
    </row>
    <row r="139" ht="15.75" customHeight="1">
      <c r="A139" s="11">
        <v>43961.0</v>
      </c>
      <c r="B139" s="12" t="s">
        <v>1922</v>
      </c>
      <c r="C139" s="13" t="s">
        <v>2</v>
      </c>
      <c r="D139" s="12" t="s">
        <v>2200</v>
      </c>
      <c r="E139" s="12" t="s">
        <v>2201</v>
      </c>
      <c r="F139" s="13" t="s">
        <v>4</v>
      </c>
      <c r="G139" s="12" t="s">
        <v>2202</v>
      </c>
      <c r="H139" s="13" t="s">
        <v>5</v>
      </c>
      <c r="I139" s="18">
        <f>+886980879317</f>
        <v>886980879317</v>
      </c>
      <c r="J139" s="13" t="s">
        <v>1814</v>
      </c>
      <c r="K139" s="12" t="s">
        <v>1856</v>
      </c>
    </row>
    <row r="140" ht="15.75" customHeight="1">
      <c r="A140" s="11">
        <v>43961.0</v>
      </c>
      <c r="B140" s="12" t="s">
        <v>1922</v>
      </c>
      <c r="C140" s="13" t="s">
        <v>2</v>
      </c>
      <c r="D140" s="12" t="s">
        <v>2203</v>
      </c>
      <c r="E140" s="12" t="s">
        <v>2024</v>
      </c>
      <c r="F140" s="13" t="s">
        <v>4</v>
      </c>
      <c r="G140" s="12" t="s">
        <v>2204</v>
      </c>
      <c r="H140" s="13" t="s">
        <v>5</v>
      </c>
      <c r="I140" s="18">
        <f>+8860955809248</f>
        <v>8860955809248</v>
      </c>
      <c r="J140" s="13" t="s">
        <v>1814</v>
      </c>
      <c r="K140" s="12" t="s">
        <v>1856</v>
      </c>
    </row>
    <row r="141" ht="15.75" customHeight="1">
      <c r="A141" s="11">
        <v>43961.0</v>
      </c>
      <c r="B141" s="12" t="s">
        <v>1922</v>
      </c>
      <c r="C141" s="13" t="s">
        <v>2</v>
      </c>
      <c r="D141" s="12" t="s">
        <v>2205</v>
      </c>
      <c r="E141" s="12" t="s">
        <v>2006</v>
      </c>
      <c r="F141" s="13" t="s">
        <v>4</v>
      </c>
      <c r="G141" s="12" t="s">
        <v>2206</v>
      </c>
      <c r="H141" s="13" t="s">
        <v>5</v>
      </c>
      <c r="I141" s="18">
        <f>+8860939158788</f>
        <v>8860939158788</v>
      </c>
      <c r="J141" s="13" t="s">
        <v>1814</v>
      </c>
      <c r="K141" s="12" t="s">
        <v>1856</v>
      </c>
    </row>
    <row r="142" ht="15.75" customHeight="1">
      <c r="A142" s="11">
        <v>43960.0</v>
      </c>
      <c r="B142" s="12" t="s">
        <v>1922</v>
      </c>
      <c r="C142" s="13" t="s">
        <v>2</v>
      </c>
      <c r="D142" s="12" t="s">
        <v>2207</v>
      </c>
      <c r="E142" s="12" t="s">
        <v>2208</v>
      </c>
      <c r="F142" s="13" t="s">
        <v>4</v>
      </c>
      <c r="G142" s="12" t="s">
        <v>2209</v>
      </c>
      <c r="H142" s="13" t="s">
        <v>5</v>
      </c>
      <c r="I142" s="18">
        <f>+886970391590</f>
        <v>886970391590</v>
      </c>
      <c r="J142" s="13" t="s">
        <v>1814</v>
      </c>
      <c r="K142" s="12" t="s">
        <v>1856</v>
      </c>
    </row>
    <row r="143" ht="15.75" customHeight="1">
      <c r="A143" s="11">
        <v>43960.0</v>
      </c>
      <c r="B143" s="12" t="s">
        <v>1922</v>
      </c>
      <c r="C143" s="13" t="s">
        <v>2</v>
      </c>
      <c r="D143" s="12" t="s">
        <v>2210</v>
      </c>
      <c r="E143" s="12" t="s">
        <v>2047</v>
      </c>
      <c r="F143" s="13" t="s">
        <v>4</v>
      </c>
      <c r="G143" s="12" t="s">
        <v>2211</v>
      </c>
      <c r="H143" s="13" t="s">
        <v>5</v>
      </c>
      <c r="I143" s="18">
        <f>+886956171908</f>
        <v>886956171908</v>
      </c>
      <c r="J143" s="13" t="s">
        <v>1814</v>
      </c>
      <c r="K143" s="12" t="s">
        <v>1856</v>
      </c>
    </row>
    <row r="144" ht="15.75" customHeight="1">
      <c r="A144" s="11">
        <v>43959.0</v>
      </c>
      <c r="B144" s="12" t="s">
        <v>1922</v>
      </c>
      <c r="C144" s="13" t="s">
        <v>2</v>
      </c>
      <c r="D144" s="12" t="s">
        <v>2212</v>
      </c>
      <c r="E144" s="12" t="s">
        <v>2213</v>
      </c>
      <c r="F144" s="13" t="s">
        <v>4</v>
      </c>
      <c r="G144" s="12" t="s">
        <v>2214</v>
      </c>
      <c r="H144" s="13" t="s">
        <v>5</v>
      </c>
      <c r="I144" s="18">
        <f>+886983437029</f>
        <v>886983437029</v>
      </c>
      <c r="J144" s="13" t="s">
        <v>1814</v>
      </c>
      <c r="K144" s="12" t="s">
        <v>1856</v>
      </c>
    </row>
    <row r="145" ht="15.75" customHeight="1">
      <c r="A145" s="11">
        <v>43959.0</v>
      </c>
      <c r="B145" s="12" t="s">
        <v>1922</v>
      </c>
      <c r="C145" s="13" t="s">
        <v>2</v>
      </c>
      <c r="D145" s="12" t="s">
        <v>2215</v>
      </c>
      <c r="E145" s="12" t="s">
        <v>2216</v>
      </c>
      <c r="F145" s="13" t="s">
        <v>4</v>
      </c>
      <c r="G145" s="12" t="s">
        <v>2217</v>
      </c>
      <c r="H145" s="13" t="s">
        <v>5</v>
      </c>
      <c r="I145" s="18">
        <f>+97333179652</f>
        <v>97333179652</v>
      </c>
      <c r="J145" s="13" t="s">
        <v>1814</v>
      </c>
      <c r="K145" s="12" t="s">
        <v>1856</v>
      </c>
    </row>
    <row r="146" ht="15.75" customHeight="1">
      <c r="A146" s="11">
        <v>43958.0</v>
      </c>
      <c r="B146" s="12" t="s">
        <v>1922</v>
      </c>
      <c r="C146" s="13" t="s">
        <v>2</v>
      </c>
      <c r="D146" s="12" t="s">
        <v>2218</v>
      </c>
      <c r="E146" s="12" t="s">
        <v>2219</v>
      </c>
      <c r="F146" s="13" t="s">
        <v>4</v>
      </c>
      <c r="G146" s="12" t="s">
        <v>2220</v>
      </c>
      <c r="H146" s="13" t="s">
        <v>5</v>
      </c>
      <c r="I146" s="18">
        <f>+886972891258</f>
        <v>886972891258</v>
      </c>
      <c r="J146" s="13" t="s">
        <v>1814</v>
      </c>
      <c r="K146" s="12" t="s">
        <v>1856</v>
      </c>
    </row>
    <row r="147" ht="15.75" customHeight="1">
      <c r="A147" s="11">
        <v>43958.0</v>
      </c>
      <c r="B147" s="12" t="s">
        <v>1922</v>
      </c>
      <c r="C147" s="13" t="s">
        <v>2</v>
      </c>
      <c r="D147" s="12" t="s">
        <v>2221</v>
      </c>
      <c r="E147" s="12" t="s">
        <v>2222</v>
      </c>
      <c r="F147" s="13" t="s">
        <v>4</v>
      </c>
      <c r="G147" s="12" t="s">
        <v>2223</v>
      </c>
      <c r="H147" s="13" t="s">
        <v>5</v>
      </c>
      <c r="I147" s="18">
        <f>+886989757323</f>
        <v>886989757323</v>
      </c>
      <c r="J147" s="13" t="s">
        <v>1814</v>
      </c>
      <c r="K147" s="12" t="s">
        <v>1856</v>
      </c>
    </row>
    <row r="148" ht="15.75" customHeight="1">
      <c r="A148" s="11">
        <v>43958.0</v>
      </c>
      <c r="B148" s="12" t="s">
        <v>1922</v>
      </c>
      <c r="C148" s="13" t="s">
        <v>2</v>
      </c>
      <c r="D148" s="12" t="s">
        <v>2224</v>
      </c>
      <c r="E148" s="12" t="s">
        <v>1952</v>
      </c>
      <c r="F148" s="13" t="s">
        <v>4</v>
      </c>
      <c r="G148" s="12" t="s">
        <v>2225</v>
      </c>
      <c r="H148" s="13" t="s">
        <v>5</v>
      </c>
      <c r="I148" s="18">
        <f>+19495454865</f>
        <v>19495454865</v>
      </c>
      <c r="J148" s="13" t="s">
        <v>1814</v>
      </c>
      <c r="K148" s="12" t="s">
        <v>1831</v>
      </c>
    </row>
    <row r="149" ht="15.75" customHeight="1">
      <c r="A149" s="11">
        <v>43958.0</v>
      </c>
      <c r="B149" s="12" t="s">
        <v>1922</v>
      </c>
      <c r="C149" s="13" t="s">
        <v>2</v>
      </c>
      <c r="D149" s="12" t="s">
        <v>2226</v>
      </c>
      <c r="E149" s="12" t="s">
        <v>1842</v>
      </c>
      <c r="F149" s="13" t="s">
        <v>4</v>
      </c>
      <c r="G149" s="12" t="s">
        <v>2227</v>
      </c>
      <c r="H149" s="13" t="s">
        <v>5</v>
      </c>
      <c r="I149" s="18">
        <f>+8860905706000</f>
        <v>8860905706000</v>
      </c>
      <c r="J149" s="13" t="s">
        <v>1814</v>
      </c>
      <c r="K149" s="12" t="s">
        <v>1856</v>
      </c>
    </row>
    <row r="150" ht="15.75" customHeight="1">
      <c r="A150" s="11">
        <v>43958.0</v>
      </c>
      <c r="B150" s="12" t="s">
        <v>1922</v>
      </c>
      <c r="C150" s="13" t="s">
        <v>2</v>
      </c>
      <c r="D150" s="12" t="s">
        <v>2228</v>
      </c>
      <c r="E150" s="12" t="s">
        <v>2229</v>
      </c>
      <c r="F150" s="13" t="s">
        <v>4</v>
      </c>
      <c r="G150" s="12" t="s">
        <v>2230</v>
      </c>
      <c r="H150" s="13" t="s">
        <v>5</v>
      </c>
      <c r="I150" s="18">
        <f>+886939372195</f>
        <v>886939372195</v>
      </c>
      <c r="J150" s="13" t="s">
        <v>1814</v>
      </c>
      <c r="K150" s="12" t="s">
        <v>1856</v>
      </c>
    </row>
    <row r="151" ht="15.75" customHeight="1">
      <c r="A151" s="11">
        <v>43957.0</v>
      </c>
      <c r="B151" s="12" t="s">
        <v>1922</v>
      </c>
      <c r="C151" s="13" t="s">
        <v>2</v>
      </c>
      <c r="D151" s="12" t="s">
        <v>2231</v>
      </c>
      <c r="E151" s="12" t="s">
        <v>2195</v>
      </c>
      <c r="F151" s="13" t="s">
        <v>4</v>
      </c>
      <c r="G151" s="12" t="s">
        <v>2232</v>
      </c>
      <c r="H151" s="13" t="s">
        <v>5</v>
      </c>
      <c r="I151" s="18">
        <f>+886977275777</f>
        <v>886977275777</v>
      </c>
      <c r="J151" s="13" t="s">
        <v>1814</v>
      </c>
      <c r="K151" s="12" t="s">
        <v>1856</v>
      </c>
    </row>
    <row r="152" ht="15.75" customHeight="1">
      <c r="A152" s="11">
        <v>43956.0</v>
      </c>
      <c r="B152" s="12" t="s">
        <v>1922</v>
      </c>
      <c r="C152" s="13" t="s">
        <v>2</v>
      </c>
      <c r="D152" s="12" t="s">
        <v>2233</v>
      </c>
      <c r="E152" s="12" t="s">
        <v>1861</v>
      </c>
      <c r="F152" s="13" t="s">
        <v>4</v>
      </c>
      <c r="G152" s="12" t="s">
        <v>2234</v>
      </c>
      <c r="H152" s="13" t="s">
        <v>5</v>
      </c>
      <c r="I152" s="18">
        <f>+886988976421</f>
        <v>886988976421</v>
      </c>
      <c r="J152" s="13" t="s">
        <v>1814</v>
      </c>
      <c r="K152" s="12" t="s">
        <v>1856</v>
      </c>
    </row>
    <row r="153" ht="15.75" customHeight="1">
      <c r="A153" s="11">
        <v>43956.0</v>
      </c>
      <c r="B153" s="12" t="s">
        <v>1922</v>
      </c>
      <c r="C153" s="13" t="s">
        <v>2</v>
      </c>
      <c r="D153" s="12" t="s">
        <v>2235</v>
      </c>
      <c r="E153" s="12" t="s">
        <v>1896</v>
      </c>
      <c r="F153" s="13" t="s">
        <v>4</v>
      </c>
      <c r="G153" s="12" t="s">
        <v>2236</v>
      </c>
      <c r="H153" s="13" t="s">
        <v>5</v>
      </c>
      <c r="I153" s="18">
        <f>+886977427242</f>
        <v>886977427242</v>
      </c>
      <c r="J153" s="13" t="s">
        <v>1814</v>
      </c>
      <c r="K153" s="12" t="s">
        <v>1856</v>
      </c>
    </row>
    <row r="154" ht="15.75" customHeight="1">
      <c r="A154" s="11">
        <v>43956.0</v>
      </c>
      <c r="B154" s="12" t="s">
        <v>1922</v>
      </c>
      <c r="C154" s="13" t="s">
        <v>2</v>
      </c>
      <c r="D154" s="12" t="s">
        <v>1876</v>
      </c>
      <c r="E154" s="12" t="s">
        <v>2237</v>
      </c>
      <c r="F154" s="13" t="s">
        <v>4</v>
      </c>
      <c r="G154" s="12" t="s">
        <v>2238</v>
      </c>
      <c r="H154" s="13" t="s">
        <v>5</v>
      </c>
      <c r="I154" s="18">
        <f>+886988223385</f>
        <v>886988223385</v>
      </c>
      <c r="J154" s="13" t="s">
        <v>1814</v>
      </c>
      <c r="K154" s="12" t="s">
        <v>1856</v>
      </c>
    </row>
    <row r="155" ht="15.75" customHeight="1">
      <c r="A155" s="11">
        <v>43956.0</v>
      </c>
      <c r="B155" s="12" t="s">
        <v>1922</v>
      </c>
      <c r="C155" s="13" t="s">
        <v>2</v>
      </c>
      <c r="D155" s="12" t="s">
        <v>2239</v>
      </c>
      <c r="E155" s="12" t="s">
        <v>2102</v>
      </c>
      <c r="F155" s="13" t="s">
        <v>4</v>
      </c>
      <c r="G155" s="12" t="s">
        <v>2240</v>
      </c>
      <c r="H155" s="13" t="s">
        <v>5</v>
      </c>
      <c r="I155" s="18">
        <f>+85290687068</f>
        <v>85290687068</v>
      </c>
      <c r="J155" s="13" t="s">
        <v>1814</v>
      </c>
      <c r="K155" s="12" t="s">
        <v>1820</v>
      </c>
    </row>
    <row r="156" ht="15.75" customHeight="1">
      <c r="A156" s="11">
        <v>43956.0</v>
      </c>
      <c r="B156" s="12" t="s">
        <v>1922</v>
      </c>
      <c r="C156" s="13" t="s">
        <v>2</v>
      </c>
      <c r="D156" s="12" t="s">
        <v>2241</v>
      </c>
      <c r="E156" s="12" t="s">
        <v>1861</v>
      </c>
      <c r="F156" s="13" t="s">
        <v>4</v>
      </c>
      <c r="G156" s="12" t="s">
        <v>2242</v>
      </c>
      <c r="H156" s="13" t="s">
        <v>5</v>
      </c>
      <c r="I156" s="18">
        <f>+886919919517</f>
        <v>886919919517</v>
      </c>
      <c r="J156" s="13" t="s">
        <v>1814</v>
      </c>
      <c r="K156" s="12" t="s">
        <v>1856</v>
      </c>
    </row>
    <row r="157" ht="15.75" customHeight="1">
      <c r="A157" s="11">
        <v>43956.0</v>
      </c>
      <c r="B157" s="12" t="s">
        <v>1922</v>
      </c>
      <c r="C157" s="13" t="s">
        <v>2</v>
      </c>
      <c r="D157" s="12" t="s">
        <v>2243</v>
      </c>
      <c r="E157" s="12" t="s">
        <v>2161</v>
      </c>
      <c r="F157" s="13" t="s">
        <v>4</v>
      </c>
      <c r="G157" s="12" t="s">
        <v>2244</v>
      </c>
      <c r="H157" s="13" t="s">
        <v>5</v>
      </c>
      <c r="I157" s="18">
        <f>+886906629636</f>
        <v>886906629636</v>
      </c>
      <c r="J157" s="13" t="s">
        <v>1814</v>
      </c>
      <c r="K157" s="12" t="s">
        <v>1856</v>
      </c>
    </row>
    <row r="158" ht="15.75" customHeight="1">
      <c r="A158" s="11">
        <v>43955.0</v>
      </c>
      <c r="B158" s="12" t="s">
        <v>1922</v>
      </c>
      <c r="C158" s="13" t="s">
        <v>2</v>
      </c>
      <c r="D158" s="12" t="s">
        <v>2245</v>
      </c>
      <c r="E158" s="12" t="s">
        <v>2246</v>
      </c>
      <c r="F158" s="13" t="s">
        <v>4</v>
      </c>
      <c r="G158" s="12" t="s">
        <v>2247</v>
      </c>
      <c r="H158" s="13" t="s">
        <v>5</v>
      </c>
      <c r="I158" s="18">
        <f>+886955885581</f>
        <v>886955885581</v>
      </c>
      <c r="J158" s="13" t="s">
        <v>1814</v>
      </c>
      <c r="K158" s="12" t="s">
        <v>1831</v>
      </c>
    </row>
    <row r="159" ht="15.75" customHeight="1">
      <c r="A159" s="11">
        <v>43955.0</v>
      </c>
      <c r="B159" s="12" t="s">
        <v>1922</v>
      </c>
      <c r="C159" s="13" t="s">
        <v>2</v>
      </c>
      <c r="D159" s="12"/>
      <c r="E159" s="12"/>
      <c r="F159" s="13" t="s">
        <v>4</v>
      </c>
      <c r="G159" s="12" t="s">
        <v>2248</v>
      </c>
      <c r="H159" s="13" t="s">
        <v>5</v>
      </c>
      <c r="I159" s="18" t="s">
        <v>2248</v>
      </c>
      <c r="J159" s="13" t="s">
        <v>1814</v>
      </c>
      <c r="K159" s="12" t="s">
        <v>1856</v>
      </c>
    </row>
    <row r="160" ht="15.75" customHeight="1">
      <c r="A160" s="11">
        <v>43955.0</v>
      </c>
      <c r="B160" s="12" t="s">
        <v>1922</v>
      </c>
      <c r="C160" s="13" t="s">
        <v>2</v>
      </c>
      <c r="D160" s="12"/>
      <c r="E160" s="12"/>
      <c r="F160" s="13" t="s">
        <v>4</v>
      </c>
      <c r="G160" s="12" t="s">
        <v>2249</v>
      </c>
      <c r="H160" s="13" t="s">
        <v>5</v>
      </c>
      <c r="I160" s="18">
        <v>9.36080541E8</v>
      </c>
      <c r="J160" s="13" t="s">
        <v>1814</v>
      </c>
      <c r="K160" s="12" t="s">
        <v>1856</v>
      </c>
    </row>
    <row r="161" ht="15.75" customHeight="1">
      <c r="A161" s="11">
        <v>43954.0</v>
      </c>
      <c r="B161" s="12" t="s">
        <v>1922</v>
      </c>
      <c r="C161" s="13" t="s">
        <v>2</v>
      </c>
      <c r="D161" s="12"/>
      <c r="E161" s="12"/>
      <c r="F161" s="13" t="s">
        <v>4</v>
      </c>
      <c r="G161" s="12" t="s">
        <v>2250</v>
      </c>
      <c r="H161" s="13" t="s">
        <v>5</v>
      </c>
      <c r="I161" s="18">
        <v>9.78534054E8</v>
      </c>
      <c r="J161" s="13" t="s">
        <v>1814</v>
      </c>
      <c r="K161" s="12" t="s">
        <v>1856</v>
      </c>
    </row>
    <row r="162" ht="15.75" customHeight="1">
      <c r="A162" s="11">
        <v>43954.0</v>
      </c>
      <c r="B162" s="12" t="s">
        <v>1922</v>
      </c>
      <c r="C162" s="13" t="s">
        <v>2</v>
      </c>
      <c r="D162" s="12"/>
      <c r="E162" s="12"/>
      <c r="F162" s="13" t="s">
        <v>4</v>
      </c>
      <c r="G162" s="12" t="s">
        <v>2251</v>
      </c>
      <c r="H162" s="13" t="s">
        <v>5</v>
      </c>
      <c r="I162" s="18" t="s">
        <v>2252</v>
      </c>
      <c r="J162" s="13" t="s">
        <v>1814</v>
      </c>
      <c r="K162" s="12" t="s">
        <v>1824</v>
      </c>
    </row>
    <row r="163" ht="15.75" customHeight="1">
      <c r="A163" s="11">
        <v>43953.0</v>
      </c>
      <c r="B163" s="12" t="s">
        <v>1922</v>
      </c>
      <c r="C163" s="13" t="s">
        <v>2</v>
      </c>
      <c r="D163" s="12"/>
      <c r="E163" s="12"/>
      <c r="F163" s="13" t="s">
        <v>4</v>
      </c>
      <c r="G163" s="12" t="s">
        <v>2253</v>
      </c>
      <c r="H163" s="13" t="s">
        <v>5</v>
      </c>
      <c r="I163" s="18">
        <v>9.82172172E8</v>
      </c>
      <c r="J163" s="13" t="s">
        <v>1814</v>
      </c>
      <c r="K163" s="12" t="s">
        <v>1856</v>
      </c>
    </row>
    <row r="164" ht="15.75" customHeight="1">
      <c r="A164" s="11">
        <v>43950.0</v>
      </c>
      <c r="B164" s="12" t="s">
        <v>1922</v>
      </c>
      <c r="C164" s="13" t="s">
        <v>2</v>
      </c>
      <c r="D164" s="12"/>
      <c r="E164" s="12"/>
      <c r="F164" s="13" t="s">
        <v>4</v>
      </c>
      <c r="G164" s="12" t="s">
        <v>2254</v>
      </c>
      <c r="H164" s="13" t="s">
        <v>5</v>
      </c>
      <c r="I164" s="18">
        <v>9.33925922E8</v>
      </c>
      <c r="J164" s="13" t="s">
        <v>1814</v>
      </c>
      <c r="K164" s="12" t="s">
        <v>1856</v>
      </c>
    </row>
    <row r="165" ht="15.75" customHeight="1">
      <c r="A165" s="11">
        <v>43950.0</v>
      </c>
      <c r="B165" s="12" t="s">
        <v>1922</v>
      </c>
      <c r="C165" s="13" t="s">
        <v>2</v>
      </c>
      <c r="D165" s="12"/>
      <c r="E165" s="12"/>
      <c r="F165" s="13" t="s">
        <v>4</v>
      </c>
      <c r="G165" s="12" t="s">
        <v>2255</v>
      </c>
      <c r="H165" s="13" t="s">
        <v>5</v>
      </c>
      <c r="I165" s="18">
        <v>9.53654213E8</v>
      </c>
      <c r="J165" s="13" t="s">
        <v>1814</v>
      </c>
      <c r="K165" s="12" t="s">
        <v>1856</v>
      </c>
    </row>
    <row r="166" ht="15.75" customHeight="1">
      <c r="A166" s="11">
        <v>43949.0</v>
      </c>
      <c r="B166" s="12" t="s">
        <v>1922</v>
      </c>
      <c r="C166" s="13" t="s">
        <v>2</v>
      </c>
      <c r="D166" s="12"/>
      <c r="E166" s="12"/>
      <c r="F166" s="13" t="s">
        <v>4</v>
      </c>
      <c r="G166" s="12" t="s">
        <v>2256</v>
      </c>
      <c r="H166" s="13" t="s">
        <v>5</v>
      </c>
      <c r="I166" s="18" t="s">
        <v>2257</v>
      </c>
      <c r="J166" s="13" t="s">
        <v>1814</v>
      </c>
      <c r="K166" s="12" t="s">
        <v>1831</v>
      </c>
    </row>
    <row r="167" ht="15.75" customHeight="1">
      <c r="A167" s="11">
        <v>43948.0</v>
      </c>
      <c r="B167" s="12" t="s">
        <v>1922</v>
      </c>
      <c r="C167" s="13" t="s">
        <v>2</v>
      </c>
      <c r="D167" s="12"/>
      <c r="E167" s="12"/>
      <c r="F167" s="13" t="s">
        <v>4</v>
      </c>
      <c r="G167" s="12" t="s">
        <v>2258</v>
      </c>
      <c r="H167" s="13" t="s">
        <v>5</v>
      </c>
      <c r="I167" s="18">
        <v>9.89560526E8</v>
      </c>
      <c r="J167" s="13" t="s">
        <v>1814</v>
      </c>
      <c r="K167" s="12" t="s">
        <v>1856</v>
      </c>
    </row>
    <row r="168" ht="15.75" customHeight="1">
      <c r="A168" s="11">
        <v>43948.0</v>
      </c>
      <c r="B168" s="12" t="s">
        <v>1922</v>
      </c>
      <c r="C168" s="13" t="s">
        <v>2</v>
      </c>
      <c r="D168" s="12"/>
      <c r="E168" s="12"/>
      <c r="F168" s="13" t="s">
        <v>4</v>
      </c>
      <c r="G168" s="12" t="s">
        <v>2259</v>
      </c>
      <c r="H168" s="13" t="s">
        <v>5</v>
      </c>
      <c r="I168" s="18">
        <v>1.3072229268E10</v>
      </c>
      <c r="J168" s="13" t="s">
        <v>1814</v>
      </c>
      <c r="K168" s="12" t="s">
        <v>1824</v>
      </c>
    </row>
    <row r="169" ht="15.75" customHeight="1">
      <c r="A169" s="11">
        <v>43947.0</v>
      </c>
      <c r="B169" s="12" t="s">
        <v>1922</v>
      </c>
      <c r="C169" s="13" t="s">
        <v>2</v>
      </c>
      <c r="D169" s="12"/>
      <c r="E169" s="12"/>
      <c r="F169" s="13" t="s">
        <v>4</v>
      </c>
      <c r="G169" s="12" t="s">
        <v>2260</v>
      </c>
      <c r="H169" s="13" t="s">
        <v>5</v>
      </c>
      <c r="I169" s="18">
        <v>9.12877774E8</v>
      </c>
      <c r="J169" s="13" t="s">
        <v>1814</v>
      </c>
      <c r="K169" s="12" t="s">
        <v>1856</v>
      </c>
    </row>
    <row r="170" ht="15.75" customHeight="1">
      <c r="A170" s="11">
        <v>43947.0</v>
      </c>
      <c r="B170" s="12" t="s">
        <v>1922</v>
      </c>
      <c r="C170" s="13" t="s">
        <v>2</v>
      </c>
      <c r="D170" s="12"/>
      <c r="E170" s="12"/>
      <c r="F170" s="13" t="s">
        <v>4</v>
      </c>
      <c r="G170" s="12" t="s">
        <v>2261</v>
      </c>
      <c r="H170" s="13" t="s">
        <v>5</v>
      </c>
      <c r="I170" s="18">
        <v>9.36646552E8</v>
      </c>
      <c r="J170" s="13" t="s">
        <v>1814</v>
      </c>
      <c r="K170" s="12" t="s">
        <v>1856</v>
      </c>
    </row>
    <row r="171" ht="15.75" customHeight="1">
      <c r="A171" s="11">
        <v>43947.0</v>
      </c>
      <c r="B171" s="12" t="s">
        <v>1922</v>
      </c>
      <c r="C171" s="13" t="s">
        <v>2</v>
      </c>
      <c r="D171" s="12"/>
      <c r="E171" s="12"/>
      <c r="F171" s="13" t="s">
        <v>4</v>
      </c>
      <c r="G171" s="12" t="s">
        <v>2262</v>
      </c>
      <c r="H171" s="13" t="s">
        <v>5</v>
      </c>
      <c r="I171" s="18">
        <v>9.55536807E8</v>
      </c>
      <c r="J171" s="13" t="s">
        <v>1814</v>
      </c>
      <c r="K171" s="12" t="s">
        <v>1856</v>
      </c>
    </row>
    <row r="172" ht="15.75" customHeight="1">
      <c r="A172" s="11">
        <v>43945.0</v>
      </c>
      <c r="B172" s="12" t="s">
        <v>1922</v>
      </c>
      <c r="C172" s="13" t="s">
        <v>2</v>
      </c>
      <c r="D172" s="12"/>
      <c r="E172" s="12"/>
      <c r="F172" s="13" t="s">
        <v>4</v>
      </c>
      <c r="G172" s="12" t="s">
        <v>2263</v>
      </c>
      <c r="H172" s="13" t="s">
        <v>5</v>
      </c>
      <c r="I172" s="18">
        <v>9.5550838E8</v>
      </c>
      <c r="J172" s="13" t="s">
        <v>1814</v>
      </c>
      <c r="K172" s="12" t="s">
        <v>1856</v>
      </c>
    </row>
    <row r="173" ht="15.75" customHeight="1">
      <c r="A173" s="11">
        <v>43945.0</v>
      </c>
      <c r="B173" s="12" t="s">
        <v>1922</v>
      </c>
      <c r="C173" s="13" t="s">
        <v>2</v>
      </c>
      <c r="D173" s="12"/>
      <c r="E173" s="12"/>
      <c r="F173" s="13" t="s">
        <v>4</v>
      </c>
      <c r="G173" s="12" t="s">
        <v>2264</v>
      </c>
      <c r="H173" s="13" t="s">
        <v>5</v>
      </c>
      <c r="I173" s="104" t="s">
        <v>2265</v>
      </c>
      <c r="J173" s="13" t="s">
        <v>1814</v>
      </c>
      <c r="K173" s="12" t="s">
        <v>1856</v>
      </c>
    </row>
    <row r="174" ht="15.75" customHeight="1">
      <c r="A174" s="11">
        <v>43944.0</v>
      </c>
      <c r="B174" s="12" t="s">
        <v>1922</v>
      </c>
      <c r="C174" s="13" t="s">
        <v>2</v>
      </c>
      <c r="D174" s="12"/>
      <c r="E174" s="12"/>
      <c r="F174" s="13" t="s">
        <v>4</v>
      </c>
      <c r="G174" s="12" t="s">
        <v>2266</v>
      </c>
      <c r="H174" s="13" t="s">
        <v>5</v>
      </c>
      <c r="I174" s="18">
        <v>9.88309307E8</v>
      </c>
      <c r="J174" s="13" t="s">
        <v>1814</v>
      </c>
      <c r="K174" s="12" t="s">
        <v>1856</v>
      </c>
    </row>
    <row r="175" ht="15.75" customHeight="1">
      <c r="A175" s="11">
        <v>43944.0</v>
      </c>
      <c r="B175" s="12" t="s">
        <v>1922</v>
      </c>
      <c r="C175" s="13" t="s">
        <v>2</v>
      </c>
      <c r="D175" s="12"/>
      <c r="E175" s="12"/>
      <c r="F175" s="13" t="s">
        <v>4</v>
      </c>
      <c r="G175" s="12" t="s">
        <v>2267</v>
      </c>
      <c r="H175" s="13" t="s">
        <v>5</v>
      </c>
      <c r="I175" s="18">
        <v>9.28931057E8</v>
      </c>
      <c r="J175" s="13" t="s">
        <v>1814</v>
      </c>
      <c r="K175" s="12" t="s">
        <v>1856</v>
      </c>
    </row>
    <row r="176" ht="15.75" customHeight="1">
      <c r="A176" s="11">
        <v>43944.0</v>
      </c>
      <c r="B176" s="12" t="s">
        <v>1922</v>
      </c>
      <c r="C176" s="13" t="s">
        <v>2</v>
      </c>
      <c r="D176" s="12"/>
      <c r="E176" s="12"/>
      <c r="F176" s="13" t="s">
        <v>4</v>
      </c>
      <c r="G176" s="12" t="s">
        <v>2268</v>
      </c>
      <c r="H176" s="13" t="s">
        <v>5</v>
      </c>
      <c r="I176" s="18">
        <v>8.613301917898E12</v>
      </c>
      <c r="J176" s="13" t="s">
        <v>1814</v>
      </c>
      <c r="K176" s="12" t="s">
        <v>1824</v>
      </c>
    </row>
    <row r="177" ht="15.75" customHeight="1">
      <c r="A177" s="11">
        <v>43943.0</v>
      </c>
      <c r="B177" s="12" t="s">
        <v>1922</v>
      </c>
      <c r="C177" s="13" t="s">
        <v>2</v>
      </c>
      <c r="D177" s="12"/>
      <c r="E177" s="12"/>
      <c r="F177" s="13" t="s">
        <v>4</v>
      </c>
      <c r="G177" s="12" t="s">
        <v>2269</v>
      </c>
      <c r="H177" s="13" t="s">
        <v>5</v>
      </c>
      <c r="I177" s="18">
        <v>9.82289333E8</v>
      </c>
      <c r="J177" s="13" t="s">
        <v>1814</v>
      </c>
      <c r="K177" s="12" t="s">
        <v>1856</v>
      </c>
    </row>
    <row r="178" ht="15.75" customHeight="1">
      <c r="A178" s="11">
        <v>43943.0</v>
      </c>
      <c r="B178" s="12" t="s">
        <v>1922</v>
      </c>
      <c r="C178" s="13" t="s">
        <v>2</v>
      </c>
      <c r="D178" s="12"/>
      <c r="E178" s="12"/>
      <c r="F178" s="13" t="s">
        <v>4</v>
      </c>
      <c r="G178" s="12" t="s">
        <v>2270</v>
      </c>
      <c r="H178" s="13" t="s">
        <v>5</v>
      </c>
      <c r="I178" s="18">
        <v>8.8690818621E11</v>
      </c>
      <c r="J178" s="13" t="s">
        <v>1814</v>
      </c>
      <c r="K178" s="12" t="s">
        <v>1856</v>
      </c>
    </row>
    <row r="179" ht="15.75" customHeight="1">
      <c r="A179" s="11">
        <v>43942.0</v>
      </c>
      <c r="B179" s="12" t="s">
        <v>1922</v>
      </c>
      <c r="C179" s="13" t="s">
        <v>2</v>
      </c>
      <c r="D179" s="12"/>
      <c r="E179" s="12"/>
      <c r="F179" s="13" t="s">
        <v>4</v>
      </c>
      <c r="G179" s="12" t="s">
        <v>2271</v>
      </c>
      <c r="H179" s="13" t="s">
        <v>5</v>
      </c>
      <c r="I179" s="18">
        <v>9.10165822E8</v>
      </c>
      <c r="J179" s="13" t="s">
        <v>1814</v>
      </c>
      <c r="K179" s="12" t="s">
        <v>1856</v>
      </c>
    </row>
    <row r="180" ht="15.75" customHeight="1">
      <c r="A180" s="11">
        <v>43941.0</v>
      </c>
      <c r="B180" s="12" t="s">
        <v>1922</v>
      </c>
      <c r="C180" s="13" t="s">
        <v>2</v>
      </c>
      <c r="D180" s="12"/>
      <c r="E180" s="12"/>
      <c r="F180" s="13" t="s">
        <v>4</v>
      </c>
      <c r="G180" s="12" t="s">
        <v>2272</v>
      </c>
      <c r="H180" s="13" t="s">
        <v>5</v>
      </c>
      <c r="I180" s="18">
        <v>9.39196579E8</v>
      </c>
      <c r="J180" s="13" t="s">
        <v>1814</v>
      </c>
      <c r="K180" s="12" t="s">
        <v>1856</v>
      </c>
    </row>
    <row r="181" ht="15.75" customHeight="1">
      <c r="A181" s="11">
        <v>43940.0</v>
      </c>
      <c r="B181" s="12" t="s">
        <v>1922</v>
      </c>
      <c r="C181" s="13" t="s">
        <v>2</v>
      </c>
      <c r="D181" s="12"/>
      <c r="E181" s="12"/>
      <c r="F181" s="13" t="s">
        <v>4</v>
      </c>
      <c r="G181" s="12" t="s">
        <v>2273</v>
      </c>
      <c r="H181" s="13" t="s">
        <v>5</v>
      </c>
      <c r="I181" s="18">
        <v>9.55463288E8</v>
      </c>
      <c r="J181" s="13" t="s">
        <v>1814</v>
      </c>
      <c r="K181" s="12" t="s">
        <v>1856</v>
      </c>
    </row>
    <row r="182" ht="15.75" customHeight="1">
      <c r="A182" s="11">
        <v>43940.0</v>
      </c>
      <c r="B182" s="12" t="s">
        <v>1922</v>
      </c>
      <c r="C182" s="13" t="s">
        <v>2</v>
      </c>
      <c r="D182" s="12"/>
      <c r="E182" s="12"/>
      <c r="F182" s="13" t="s">
        <v>4</v>
      </c>
      <c r="G182" s="12" t="s">
        <v>2274</v>
      </c>
      <c r="H182" s="13" t="s">
        <v>5</v>
      </c>
      <c r="I182" s="18">
        <v>9.39300005E8</v>
      </c>
      <c r="J182" s="13" t="s">
        <v>1814</v>
      </c>
      <c r="K182" s="12" t="s">
        <v>1856</v>
      </c>
    </row>
    <row r="183" ht="15.75" customHeight="1">
      <c r="A183" s="11">
        <v>43939.0</v>
      </c>
      <c r="B183" s="12" t="s">
        <v>1922</v>
      </c>
      <c r="C183" s="13" t="s">
        <v>2</v>
      </c>
      <c r="D183" s="12"/>
      <c r="E183" s="12"/>
      <c r="F183" s="13" t="s">
        <v>4</v>
      </c>
      <c r="G183" s="12" t="s">
        <v>2275</v>
      </c>
      <c r="H183" s="13" t="s">
        <v>5</v>
      </c>
      <c r="I183" s="18">
        <v>9.17142857E8</v>
      </c>
      <c r="J183" s="13" t="s">
        <v>1814</v>
      </c>
      <c r="K183" s="12" t="s">
        <v>1856</v>
      </c>
    </row>
    <row r="184" ht="15.75" customHeight="1">
      <c r="A184" s="11">
        <v>43939.0</v>
      </c>
      <c r="B184" s="12" t="s">
        <v>1922</v>
      </c>
      <c r="C184" s="13" t="s">
        <v>2</v>
      </c>
      <c r="D184" s="12"/>
      <c r="E184" s="12"/>
      <c r="F184" s="13" t="s">
        <v>4</v>
      </c>
      <c r="G184" s="12" t="s">
        <v>2276</v>
      </c>
      <c r="H184" s="13" t="s">
        <v>5</v>
      </c>
      <c r="I184" s="18">
        <v>9.11926965E8</v>
      </c>
      <c r="J184" s="13" t="s">
        <v>1814</v>
      </c>
      <c r="K184" s="12" t="s">
        <v>1856</v>
      </c>
    </row>
    <row r="185" ht="15.75" customHeight="1">
      <c r="A185" s="11">
        <v>43939.0</v>
      </c>
      <c r="B185" s="12" t="s">
        <v>1922</v>
      </c>
      <c r="C185" s="13" t="s">
        <v>2</v>
      </c>
      <c r="D185" s="12"/>
      <c r="E185" s="12"/>
      <c r="F185" s="13" t="s">
        <v>4</v>
      </c>
      <c r="G185" s="12" t="s">
        <v>2277</v>
      </c>
      <c r="H185" s="13" t="s">
        <v>5</v>
      </c>
      <c r="I185" s="18">
        <v>8.86919435413E11</v>
      </c>
      <c r="J185" s="13" t="s">
        <v>1814</v>
      </c>
      <c r="K185" s="12" t="s">
        <v>1856</v>
      </c>
    </row>
    <row r="186" ht="15.75" customHeight="1">
      <c r="A186" s="11">
        <v>43939.0</v>
      </c>
      <c r="B186" s="12" t="s">
        <v>1922</v>
      </c>
      <c r="C186" s="13" t="s">
        <v>2</v>
      </c>
      <c r="D186" s="12"/>
      <c r="E186" s="12"/>
      <c r="F186" s="13" t="s">
        <v>4</v>
      </c>
      <c r="G186" s="12" t="s">
        <v>2278</v>
      </c>
      <c r="H186" s="13" t="s">
        <v>5</v>
      </c>
      <c r="I186" s="18">
        <v>9.75914349E8</v>
      </c>
      <c r="J186" s="13" t="s">
        <v>1814</v>
      </c>
      <c r="K186" s="12" t="s">
        <v>1856</v>
      </c>
    </row>
    <row r="187" ht="15.75" customHeight="1">
      <c r="A187" s="11">
        <v>43938.0</v>
      </c>
      <c r="B187" s="12" t="s">
        <v>1922</v>
      </c>
      <c r="C187" s="13" t="s">
        <v>2</v>
      </c>
      <c r="D187" s="12"/>
      <c r="E187" s="12"/>
      <c r="F187" s="13" t="s">
        <v>4</v>
      </c>
      <c r="G187" s="12" t="s">
        <v>2279</v>
      </c>
      <c r="H187" s="13" t="s">
        <v>5</v>
      </c>
      <c r="I187" s="18">
        <v>9.19491345E8</v>
      </c>
      <c r="J187" s="13" t="s">
        <v>1814</v>
      </c>
      <c r="K187" s="12" t="s">
        <v>1824</v>
      </c>
    </row>
    <row r="188" ht="15.75" customHeight="1">
      <c r="A188" s="11">
        <v>43938.0</v>
      </c>
      <c r="B188" s="12" t="s">
        <v>1922</v>
      </c>
      <c r="C188" s="13" t="s">
        <v>2</v>
      </c>
      <c r="D188" s="12"/>
      <c r="E188" s="12"/>
      <c r="F188" s="13" t="s">
        <v>4</v>
      </c>
      <c r="G188" s="12" t="s">
        <v>2280</v>
      </c>
      <c r="H188" s="13" t="s">
        <v>5</v>
      </c>
      <c r="I188" s="18">
        <v>5.5910371E7</v>
      </c>
      <c r="J188" s="13" t="s">
        <v>1814</v>
      </c>
      <c r="K188" s="12" t="s">
        <v>1856</v>
      </c>
    </row>
    <row r="189" ht="15.75" customHeight="1">
      <c r="A189" s="11">
        <v>43938.0</v>
      </c>
      <c r="B189" s="12" t="s">
        <v>1922</v>
      </c>
      <c r="C189" s="13" t="s">
        <v>2</v>
      </c>
      <c r="D189" s="12"/>
      <c r="E189" s="12"/>
      <c r="F189" s="13" t="s">
        <v>4</v>
      </c>
      <c r="G189" s="12" t="s">
        <v>2281</v>
      </c>
      <c r="H189" s="13" t="s">
        <v>5</v>
      </c>
      <c r="I189" s="18">
        <v>9.32149334E8</v>
      </c>
      <c r="J189" s="13" t="s">
        <v>1814</v>
      </c>
      <c r="K189" s="12" t="s">
        <v>1856</v>
      </c>
    </row>
    <row r="190" ht="15.75" customHeight="1">
      <c r="A190" s="11">
        <v>43938.0</v>
      </c>
      <c r="B190" s="12" t="s">
        <v>1922</v>
      </c>
      <c r="C190" s="13" t="s">
        <v>2</v>
      </c>
      <c r="D190" s="12"/>
      <c r="E190" s="12"/>
      <c r="F190" s="13" t="s">
        <v>4</v>
      </c>
      <c r="G190" s="12" t="s">
        <v>2282</v>
      </c>
      <c r="H190" s="13" t="s">
        <v>5</v>
      </c>
      <c r="I190" s="18">
        <v>9.27975727E8</v>
      </c>
      <c r="J190" s="13" t="s">
        <v>1814</v>
      </c>
      <c r="K190" s="12" t="s">
        <v>1856</v>
      </c>
    </row>
    <row r="191" ht="15.75" customHeight="1">
      <c r="A191" s="11">
        <v>43938.0</v>
      </c>
      <c r="B191" s="12" t="s">
        <v>1922</v>
      </c>
      <c r="C191" s="13" t="s">
        <v>2</v>
      </c>
      <c r="D191" s="12"/>
      <c r="E191" s="12"/>
      <c r="F191" s="13" t="s">
        <v>4</v>
      </c>
      <c r="G191" s="12" t="s">
        <v>2283</v>
      </c>
      <c r="H191" s="13" t="s">
        <v>5</v>
      </c>
      <c r="I191" s="18">
        <v>9.06002023E8</v>
      </c>
      <c r="J191" s="13" t="s">
        <v>1814</v>
      </c>
      <c r="K191" s="12" t="s">
        <v>1856</v>
      </c>
    </row>
    <row r="192" ht="15.75" customHeight="1">
      <c r="A192" s="11">
        <v>43937.0</v>
      </c>
      <c r="B192" s="12" t="s">
        <v>1922</v>
      </c>
      <c r="C192" s="13" t="s">
        <v>2</v>
      </c>
      <c r="D192" s="12"/>
      <c r="E192" s="12"/>
      <c r="F192" s="13" t="s">
        <v>4</v>
      </c>
      <c r="G192" s="12" t="s">
        <v>2284</v>
      </c>
      <c r="H192" s="13" t="s">
        <v>5</v>
      </c>
      <c r="I192" s="18">
        <v>9.31300586E8</v>
      </c>
      <c r="J192" s="13" t="s">
        <v>1814</v>
      </c>
      <c r="K192" s="12" t="s">
        <v>1856</v>
      </c>
    </row>
    <row r="193" ht="15.75" customHeight="1">
      <c r="A193" s="11">
        <v>43937.0</v>
      </c>
      <c r="B193" s="12" t="s">
        <v>1922</v>
      </c>
      <c r="C193" s="13" t="s">
        <v>2</v>
      </c>
      <c r="D193" s="12"/>
      <c r="E193" s="12"/>
      <c r="F193" s="13" t="s">
        <v>4</v>
      </c>
      <c r="G193" s="12" t="s">
        <v>2285</v>
      </c>
      <c r="H193" s="13" t="s">
        <v>5</v>
      </c>
      <c r="I193" s="18">
        <v>9.582166E8</v>
      </c>
      <c r="J193" s="13" t="s">
        <v>1814</v>
      </c>
      <c r="K193" s="12" t="s">
        <v>1856</v>
      </c>
    </row>
    <row r="194" ht="15.75" customHeight="1">
      <c r="A194" s="11">
        <v>43937.0</v>
      </c>
      <c r="B194" s="12" t="s">
        <v>1922</v>
      </c>
      <c r="C194" s="13" t="s">
        <v>2</v>
      </c>
      <c r="D194" s="12"/>
      <c r="E194" s="12"/>
      <c r="F194" s="13" t="s">
        <v>4</v>
      </c>
      <c r="G194" s="12" t="s">
        <v>2214</v>
      </c>
      <c r="H194" s="13" t="s">
        <v>5</v>
      </c>
      <c r="I194" s="18">
        <v>9.83437029E8</v>
      </c>
      <c r="J194" s="13" t="s">
        <v>1814</v>
      </c>
      <c r="K194" s="12" t="s">
        <v>1856</v>
      </c>
    </row>
    <row r="195" ht="15.75" customHeight="1">
      <c r="A195" s="11">
        <v>43936.0</v>
      </c>
      <c r="B195" s="12" t="s">
        <v>1922</v>
      </c>
      <c r="C195" s="13" t="s">
        <v>2</v>
      </c>
      <c r="D195" s="12"/>
      <c r="E195" s="12"/>
      <c r="F195" s="13" t="s">
        <v>4</v>
      </c>
      <c r="G195" s="12" t="s">
        <v>2286</v>
      </c>
      <c r="H195" s="13" t="s">
        <v>5</v>
      </c>
      <c r="I195" s="18">
        <v>9.05005167E8</v>
      </c>
      <c r="J195" s="13" t="s">
        <v>1814</v>
      </c>
      <c r="K195" s="12" t="s">
        <v>1856</v>
      </c>
    </row>
    <row r="196" ht="15.75" customHeight="1">
      <c r="A196" s="11">
        <v>43936.0</v>
      </c>
      <c r="B196" s="12" t="s">
        <v>1922</v>
      </c>
      <c r="C196" s="13" t="s">
        <v>2</v>
      </c>
      <c r="D196" s="12"/>
      <c r="E196" s="12"/>
      <c r="F196" s="13" t="s">
        <v>4</v>
      </c>
      <c r="G196" s="12" t="s">
        <v>2287</v>
      </c>
      <c r="H196" s="13" t="s">
        <v>5</v>
      </c>
      <c r="I196" s="18">
        <v>9.03448729E8</v>
      </c>
      <c r="J196" s="13" t="s">
        <v>1814</v>
      </c>
      <c r="K196" s="12" t="s">
        <v>1856</v>
      </c>
    </row>
    <row r="197" ht="15.75" customHeight="1">
      <c r="A197" s="11">
        <v>43936.0</v>
      </c>
      <c r="B197" s="12" t="s">
        <v>1922</v>
      </c>
      <c r="C197" s="13" t="s">
        <v>2</v>
      </c>
      <c r="D197" s="12"/>
      <c r="E197" s="12"/>
      <c r="F197" s="13" t="s">
        <v>4</v>
      </c>
      <c r="G197" s="12" t="s">
        <v>2288</v>
      </c>
      <c r="H197" s="13" t="s">
        <v>5</v>
      </c>
      <c r="I197" s="18" t="s">
        <v>2289</v>
      </c>
      <c r="J197" s="13" t="s">
        <v>1814</v>
      </c>
      <c r="K197" s="12" t="s">
        <v>1824</v>
      </c>
    </row>
    <row r="198" ht="15.75" customHeight="1">
      <c r="A198" s="11">
        <v>43935.0</v>
      </c>
      <c r="B198" s="12" t="s">
        <v>1922</v>
      </c>
      <c r="C198" s="13" t="s">
        <v>2</v>
      </c>
      <c r="D198" s="12"/>
      <c r="E198" s="12"/>
      <c r="F198" s="13" t="s">
        <v>4</v>
      </c>
      <c r="G198" s="12" t="s">
        <v>2290</v>
      </c>
      <c r="H198" s="13" t="s">
        <v>5</v>
      </c>
      <c r="I198" s="18">
        <v>9.22500724E8</v>
      </c>
      <c r="J198" s="13" t="s">
        <v>1814</v>
      </c>
      <c r="K198" s="12" t="s">
        <v>1856</v>
      </c>
    </row>
    <row r="199" ht="15.75" customHeight="1">
      <c r="A199" s="11">
        <v>43935.0</v>
      </c>
      <c r="B199" s="12" t="s">
        <v>1922</v>
      </c>
      <c r="C199" s="13" t="s">
        <v>2</v>
      </c>
      <c r="D199" s="12"/>
      <c r="E199" s="12"/>
      <c r="F199" s="13" t="s">
        <v>4</v>
      </c>
      <c r="G199" s="12" t="s">
        <v>2291</v>
      </c>
      <c r="H199" s="13" t="s">
        <v>5</v>
      </c>
      <c r="I199" s="18">
        <v>9.88871017E8</v>
      </c>
      <c r="J199" s="13" t="s">
        <v>1814</v>
      </c>
      <c r="K199" s="12" t="s">
        <v>1856</v>
      </c>
    </row>
    <row r="200" ht="15.75" customHeight="1">
      <c r="A200" s="11">
        <v>43935.0</v>
      </c>
      <c r="B200" s="12" t="s">
        <v>1922</v>
      </c>
      <c r="C200" s="13" t="s">
        <v>2</v>
      </c>
      <c r="D200" s="12"/>
      <c r="E200" s="12"/>
      <c r="F200" s="13" t="s">
        <v>4</v>
      </c>
      <c r="G200" s="12" t="s">
        <v>2292</v>
      </c>
      <c r="H200" s="13" t="s">
        <v>5</v>
      </c>
      <c r="I200" s="18">
        <f>+886952357210</f>
        <v>886952357210</v>
      </c>
      <c r="J200" s="13" t="s">
        <v>1814</v>
      </c>
      <c r="K200" s="12" t="s">
        <v>1856</v>
      </c>
    </row>
    <row r="201" ht="15.75" customHeight="1">
      <c r="A201" s="11">
        <v>43934.0</v>
      </c>
      <c r="B201" s="12" t="s">
        <v>1922</v>
      </c>
      <c r="C201" s="13" t="s">
        <v>2</v>
      </c>
      <c r="D201" s="12"/>
      <c r="E201" s="12"/>
      <c r="F201" s="13" t="s">
        <v>4</v>
      </c>
      <c r="G201" s="12" t="s">
        <v>2293</v>
      </c>
      <c r="H201" s="13" t="s">
        <v>5</v>
      </c>
      <c r="I201" s="18">
        <v>9.82775248E8</v>
      </c>
      <c r="J201" s="13" t="s">
        <v>1814</v>
      </c>
      <c r="K201" s="12" t="s">
        <v>1831</v>
      </c>
    </row>
    <row r="202" ht="15.75" customHeight="1">
      <c r="A202" s="11">
        <v>43934.0</v>
      </c>
      <c r="B202" s="12" t="s">
        <v>1922</v>
      </c>
      <c r="C202" s="13" t="s">
        <v>2</v>
      </c>
      <c r="D202" s="12"/>
      <c r="E202" s="12"/>
      <c r="F202" s="13" t="s">
        <v>4</v>
      </c>
      <c r="G202" s="12" t="s">
        <v>2294</v>
      </c>
      <c r="H202" s="13" t="s">
        <v>5</v>
      </c>
      <c r="I202" s="18">
        <v>9.73099568E8</v>
      </c>
      <c r="J202" s="13" t="s">
        <v>1814</v>
      </c>
      <c r="K202" s="12" t="s">
        <v>1856</v>
      </c>
    </row>
    <row r="203" ht="15.75" customHeight="1">
      <c r="A203" s="11">
        <v>43933.0</v>
      </c>
      <c r="B203" s="12" t="s">
        <v>1922</v>
      </c>
      <c r="C203" s="13" t="s">
        <v>2</v>
      </c>
      <c r="D203" s="12"/>
      <c r="E203" s="12"/>
      <c r="F203" s="13" t="s">
        <v>4</v>
      </c>
      <c r="G203" s="12" t="s">
        <v>2295</v>
      </c>
      <c r="H203" s="13" t="s">
        <v>5</v>
      </c>
      <c r="I203" s="18">
        <v>9.54019149E8</v>
      </c>
      <c r="J203" s="13" t="s">
        <v>1814</v>
      </c>
      <c r="K203" s="12" t="s">
        <v>1856</v>
      </c>
    </row>
    <row r="204" ht="15.75" customHeight="1">
      <c r="A204" s="11">
        <v>43933.0</v>
      </c>
      <c r="B204" s="12" t="s">
        <v>1922</v>
      </c>
      <c r="C204" s="13" t="s">
        <v>2</v>
      </c>
      <c r="D204" s="12"/>
      <c r="E204" s="12"/>
      <c r="F204" s="13" t="s">
        <v>4</v>
      </c>
      <c r="G204" s="12" t="s">
        <v>2296</v>
      </c>
      <c r="H204" s="13" t="s">
        <v>5</v>
      </c>
      <c r="I204" s="18">
        <v>8.86910019234E11</v>
      </c>
      <c r="J204" s="13" t="s">
        <v>1814</v>
      </c>
      <c r="K204" s="12" t="s">
        <v>1856</v>
      </c>
    </row>
    <row r="205" ht="15.75" customHeight="1">
      <c r="A205" s="11">
        <v>43933.0</v>
      </c>
      <c r="B205" s="12" t="s">
        <v>1922</v>
      </c>
      <c r="C205" s="13" t="s">
        <v>2</v>
      </c>
      <c r="D205" s="12"/>
      <c r="E205" s="12"/>
      <c r="F205" s="13" t="s">
        <v>4</v>
      </c>
      <c r="G205" s="12" t="s">
        <v>2297</v>
      </c>
      <c r="H205" s="13" t="s">
        <v>5</v>
      </c>
      <c r="I205" s="18">
        <v>5.07665258E8</v>
      </c>
      <c r="J205" s="13" t="s">
        <v>1814</v>
      </c>
      <c r="K205" s="12" t="s">
        <v>1846</v>
      </c>
    </row>
    <row r="206" ht="15.75" customHeight="1">
      <c r="A206" s="11">
        <v>43932.0</v>
      </c>
      <c r="B206" s="12" t="s">
        <v>1922</v>
      </c>
      <c r="C206" s="13" t="s">
        <v>2</v>
      </c>
      <c r="D206" s="12"/>
      <c r="E206" s="12"/>
      <c r="F206" s="13" t="s">
        <v>4</v>
      </c>
      <c r="G206" s="12" t="s">
        <v>2298</v>
      </c>
      <c r="H206" s="13" t="s">
        <v>5</v>
      </c>
      <c r="I206" s="104" t="s">
        <v>2299</v>
      </c>
      <c r="J206" s="13" t="s">
        <v>1814</v>
      </c>
      <c r="K206" s="12" t="s">
        <v>1856</v>
      </c>
    </row>
    <row r="207" ht="15.75" customHeight="1">
      <c r="A207" s="11">
        <v>43932.0</v>
      </c>
      <c r="B207" s="12" t="s">
        <v>1922</v>
      </c>
      <c r="C207" s="13" t="s">
        <v>2</v>
      </c>
      <c r="D207" s="12"/>
      <c r="E207" s="12"/>
      <c r="F207" s="13" t="s">
        <v>4</v>
      </c>
      <c r="G207" s="12" t="s">
        <v>2300</v>
      </c>
      <c r="H207" s="13" t="s">
        <v>5</v>
      </c>
      <c r="I207" s="18">
        <v>9.18257399E8</v>
      </c>
      <c r="J207" s="13" t="s">
        <v>1814</v>
      </c>
      <c r="K207" s="12" t="s">
        <v>1856</v>
      </c>
    </row>
    <row r="208" ht="15.75" customHeight="1">
      <c r="A208" s="11">
        <v>43931.0</v>
      </c>
      <c r="B208" s="12" t="s">
        <v>1922</v>
      </c>
      <c r="C208" s="13" t="s">
        <v>2</v>
      </c>
      <c r="D208" s="12"/>
      <c r="E208" s="12"/>
      <c r="F208" s="13" t="s">
        <v>4</v>
      </c>
      <c r="G208" s="12" t="s">
        <v>2301</v>
      </c>
      <c r="H208" s="13" t="s">
        <v>5</v>
      </c>
      <c r="I208" s="18">
        <v>9.82875888E8</v>
      </c>
      <c r="J208" s="13" t="s">
        <v>1814</v>
      </c>
      <c r="K208" s="12" t="s">
        <v>2302</v>
      </c>
    </row>
    <row r="209" ht="15.75" customHeight="1">
      <c r="A209" s="11">
        <v>43930.0</v>
      </c>
      <c r="B209" s="12" t="s">
        <v>1922</v>
      </c>
      <c r="C209" s="13" t="s">
        <v>2</v>
      </c>
      <c r="D209" s="12"/>
      <c r="E209" s="12"/>
      <c r="F209" s="13" t="s">
        <v>4</v>
      </c>
      <c r="G209" s="12" t="s">
        <v>2303</v>
      </c>
      <c r="H209" s="13" t="s">
        <v>5</v>
      </c>
      <c r="I209" s="18" t="s">
        <v>2304</v>
      </c>
      <c r="J209" s="13" t="s">
        <v>1814</v>
      </c>
      <c r="K209" s="12" t="s">
        <v>1831</v>
      </c>
    </row>
    <row r="210" ht="15.75" customHeight="1">
      <c r="A210" s="11">
        <v>43930.0</v>
      </c>
      <c r="B210" s="12" t="s">
        <v>1922</v>
      </c>
      <c r="C210" s="13" t="s">
        <v>2</v>
      </c>
      <c r="D210" s="12"/>
      <c r="E210" s="12"/>
      <c r="F210" s="13" t="s">
        <v>4</v>
      </c>
      <c r="G210" s="12" t="s">
        <v>2305</v>
      </c>
      <c r="H210" s="13" t="s">
        <v>5</v>
      </c>
      <c r="I210" s="18">
        <v>5.85463009E8</v>
      </c>
      <c r="J210" s="13" t="s">
        <v>1814</v>
      </c>
      <c r="K210" s="12" t="s">
        <v>1856</v>
      </c>
    </row>
    <row r="211" ht="15.75" customHeight="1">
      <c r="A211" s="11">
        <v>43930.0</v>
      </c>
      <c r="B211" s="12" t="s">
        <v>1922</v>
      </c>
      <c r="C211" s="13" t="s">
        <v>2</v>
      </c>
      <c r="D211" s="12" t="s">
        <v>2306</v>
      </c>
      <c r="E211" s="12"/>
      <c r="F211" s="13" t="s">
        <v>4</v>
      </c>
      <c r="G211" s="12" t="s">
        <v>2307</v>
      </c>
      <c r="H211" s="13" t="s">
        <v>5</v>
      </c>
      <c r="I211" s="18">
        <f>+8613901896883</f>
        <v>8613901896883</v>
      </c>
      <c r="J211" s="13" t="s">
        <v>1814</v>
      </c>
      <c r="K211" s="12" t="s">
        <v>1831</v>
      </c>
    </row>
    <row r="212" ht="15.75" customHeight="1">
      <c r="A212" s="11">
        <v>43930.0</v>
      </c>
      <c r="B212" s="12" t="s">
        <v>1922</v>
      </c>
      <c r="C212" s="13" t="s">
        <v>2</v>
      </c>
      <c r="D212" s="12" t="s">
        <v>2308</v>
      </c>
      <c r="E212" s="12"/>
      <c r="F212" s="13" t="s">
        <v>4</v>
      </c>
      <c r="G212" s="12" t="s">
        <v>2309</v>
      </c>
      <c r="H212" s="13" t="s">
        <v>5</v>
      </c>
      <c r="I212" s="18" t="s">
        <v>2310</v>
      </c>
      <c r="J212" s="13" t="s">
        <v>1814</v>
      </c>
      <c r="K212" s="12" t="s">
        <v>2311</v>
      </c>
    </row>
    <row r="213" ht="15.75" customHeight="1">
      <c r="A213" s="11">
        <v>43928.0</v>
      </c>
      <c r="B213" s="12" t="s">
        <v>1922</v>
      </c>
      <c r="C213" s="13" t="s">
        <v>2</v>
      </c>
      <c r="D213" s="12" t="s">
        <v>2312</v>
      </c>
      <c r="E213" s="12"/>
      <c r="F213" s="13" t="s">
        <v>4</v>
      </c>
      <c r="G213" s="12" t="s">
        <v>2313</v>
      </c>
      <c r="H213" s="13" t="s">
        <v>5</v>
      </c>
      <c r="I213" s="18">
        <v>8.86918023358E11</v>
      </c>
      <c r="J213" s="13" t="s">
        <v>1814</v>
      </c>
      <c r="K213" s="12" t="s">
        <v>1856</v>
      </c>
    </row>
    <row r="214" ht="15.75" customHeight="1">
      <c r="A214" s="32"/>
      <c r="B214" s="32"/>
      <c r="I214" s="4"/>
      <c r="J214" s="105"/>
    </row>
    <row r="215" ht="15.75" customHeight="1">
      <c r="A215" s="32"/>
      <c r="B215" s="32"/>
      <c r="I215" s="4"/>
      <c r="J215" s="105"/>
    </row>
    <row r="216" ht="15.75" customHeight="1">
      <c r="A216" s="32"/>
      <c r="B216" s="32"/>
      <c r="I216" s="4"/>
      <c r="J216" s="105"/>
    </row>
    <row r="217" ht="15.75" customHeight="1">
      <c r="A217" s="32"/>
      <c r="B217" s="32"/>
      <c r="I217" s="4"/>
      <c r="J217" s="105"/>
    </row>
    <row r="218" ht="15.75" customHeight="1">
      <c r="A218" s="32"/>
      <c r="B218" s="32"/>
      <c r="I218" s="4"/>
      <c r="J218" s="105"/>
    </row>
    <row r="219" ht="15.75" customHeight="1">
      <c r="A219" s="32"/>
      <c r="B219" s="32"/>
      <c r="I219" s="4"/>
      <c r="J219" s="105"/>
    </row>
    <row r="220" ht="15.75" customHeight="1">
      <c r="A220" s="32"/>
      <c r="B220" s="32"/>
      <c r="I220" s="4"/>
      <c r="J220" s="105"/>
    </row>
    <row r="221" ht="15.75" customHeight="1">
      <c r="A221" s="32"/>
      <c r="B221" s="32"/>
      <c r="I221" s="4"/>
      <c r="J221" s="105"/>
    </row>
    <row r="222" ht="15.75" customHeight="1">
      <c r="A222" s="32"/>
      <c r="B222" s="32"/>
      <c r="I222" s="4"/>
      <c r="J222" s="105"/>
    </row>
    <row r="223" ht="15.75" customHeight="1">
      <c r="A223" s="32"/>
      <c r="B223" s="32"/>
      <c r="I223" s="4"/>
      <c r="J223" s="105"/>
    </row>
    <row r="224" ht="15.75" customHeight="1">
      <c r="A224" s="32"/>
      <c r="B224" s="32"/>
      <c r="I224" s="4"/>
      <c r="J224" s="105"/>
    </row>
    <row r="225" ht="15.75" customHeight="1">
      <c r="A225" s="32"/>
      <c r="B225" s="32"/>
      <c r="I225" s="4"/>
      <c r="J225" s="105"/>
    </row>
    <row r="226" ht="15.75" customHeight="1">
      <c r="A226" s="32"/>
      <c r="B226" s="32"/>
      <c r="I226" s="4"/>
      <c r="J226" s="105"/>
    </row>
    <row r="227" ht="15.75" customHeight="1">
      <c r="A227" s="32"/>
      <c r="B227" s="32"/>
      <c r="I227" s="4"/>
      <c r="J227" s="105"/>
    </row>
    <row r="228" ht="15.75" customHeight="1">
      <c r="A228" s="32"/>
      <c r="B228" s="32"/>
      <c r="I228" s="4"/>
      <c r="J228" s="105"/>
    </row>
    <row r="229" ht="15.75" customHeight="1">
      <c r="A229" s="32"/>
      <c r="B229" s="32"/>
      <c r="I229" s="4"/>
      <c r="J229" s="105"/>
    </row>
    <row r="230" ht="15.75" customHeight="1">
      <c r="A230" s="32"/>
      <c r="B230" s="32"/>
      <c r="I230" s="4"/>
      <c r="J230" s="105"/>
    </row>
    <row r="231" ht="15.75" customHeight="1">
      <c r="A231" s="32"/>
      <c r="B231" s="32"/>
      <c r="I231" s="4"/>
      <c r="J231" s="105"/>
    </row>
    <row r="232" ht="15.75" customHeight="1">
      <c r="A232" s="32"/>
      <c r="B232" s="32"/>
      <c r="I232" s="4"/>
      <c r="J232" s="105"/>
    </row>
    <row r="233" ht="15.75" customHeight="1">
      <c r="A233" s="32"/>
      <c r="B233" s="32"/>
      <c r="I233" s="4"/>
      <c r="J233" s="105"/>
    </row>
    <row r="234" ht="15.75" customHeight="1">
      <c r="A234" s="32"/>
      <c r="B234" s="32"/>
      <c r="I234" s="4"/>
      <c r="J234" s="105"/>
    </row>
    <row r="235" ht="15.75" customHeight="1">
      <c r="A235" s="32"/>
      <c r="B235" s="32"/>
      <c r="I235" s="4"/>
      <c r="J235" s="105"/>
    </row>
    <row r="236" ht="15.75" customHeight="1">
      <c r="A236" s="32"/>
      <c r="B236" s="32"/>
      <c r="I236" s="4"/>
      <c r="J236" s="105"/>
    </row>
    <row r="237" ht="15.75" customHeight="1">
      <c r="A237" s="32"/>
      <c r="B237" s="32"/>
      <c r="I237" s="4"/>
      <c r="J237" s="105"/>
    </row>
    <row r="238" ht="15.75" customHeight="1">
      <c r="A238" s="32"/>
      <c r="B238" s="32"/>
      <c r="I238" s="4"/>
      <c r="J238" s="105"/>
    </row>
    <row r="239" ht="15.75" customHeight="1">
      <c r="A239" s="32"/>
      <c r="B239" s="32"/>
      <c r="I239" s="4"/>
      <c r="J239" s="105"/>
    </row>
    <row r="240" ht="15.75" customHeight="1">
      <c r="A240" s="32"/>
      <c r="B240" s="32"/>
      <c r="I240" s="4"/>
      <c r="J240" s="105"/>
    </row>
    <row r="241" ht="15.75" customHeight="1">
      <c r="A241" s="32"/>
      <c r="B241" s="32"/>
      <c r="I241" s="4"/>
      <c r="J241" s="105"/>
    </row>
    <row r="242" ht="15.75" customHeight="1">
      <c r="A242" s="32"/>
      <c r="B242" s="32"/>
      <c r="I242" s="4"/>
      <c r="J242" s="105"/>
    </row>
    <row r="243" ht="15.75" customHeight="1">
      <c r="A243" s="32"/>
      <c r="B243" s="32"/>
      <c r="I243" s="4"/>
      <c r="J243" s="105"/>
    </row>
    <row r="244" ht="15.75" customHeight="1">
      <c r="A244" s="32"/>
      <c r="B244" s="32"/>
      <c r="I244" s="4"/>
      <c r="J244" s="105"/>
    </row>
    <row r="245" ht="15.75" customHeight="1">
      <c r="A245" s="32"/>
      <c r="B245" s="32"/>
      <c r="I245" s="4"/>
      <c r="J245" s="105"/>
    </row>
    <row r="246" ht="15.75" customHeight="1">
      <c r="A246" s="32"/>
      <c r="B246" s="32"/>
      <c r="I246" s="4"/>
      <c r="J246" s="105"/>
    </row>
    <row r="247" ht="15.75" customHeight="1">
      <c r="A247" s="32"/>
      <c r="B247" s="32"/>
      <c r="I247" s="4"/>
      <c r="J247" s="105"/>
    </row>
    <row r="248" ht="15.75" customHeight="1">
      <c r="A248" s="32"/>
      <c r="B248" s="32"/>
      <c r="I248" s="4"/>
      <c r="J248" s="105"/>
    </row>
    <row r="249" ht="15.75" customHeight="1">
      <c r="A249" s="32"/>
      <c r="B249" s="32"/>
      <c r="I249" s="4"/>
      <c r="J249" s="105"/>
    </row>
    <row r="250" ht="15.75" customHeight="1">
      <c r="A250" s="32"/>
      <c r="B250" s="32"/>
      <c r="I250" s="4"/>
      <c r="J250" s="105"/>
    </row>
    <row r="251" ht="15.75" customHeight="1">
      <c r="A251" s="32"/>
      <c r="B251" s="32"/>
      <c r="I251" s="4"/>
      <c r="J251" s="105"/>
    </row>
    <row r="252" ht="15.75" customHeight="1">
      <c r="A252" s="32"/>
      <c r="B252" s="32"/>
      <c r="I252" s="4"/>
      <c r="J252" s="105"/>
    </row>
    <row r="253" ht="15.75" customHeight="1">
      <c r="A253" s="32"/>
      <c r="B253" s="32"/>
      <c r="I253" s="4"/>
      <c r="J253" s="105"/>
    </row>
    <row r="254" ht="15.75" customHeight="1">
      <c r="A254" s="32"/>
      <c r="B254" s="32"/>
      <c r="I254" s="4"/>
      <c r="J254" s="105"/>
    </row>
    <row r="255" ht="15.75" customHeight="1">
      <c r="A255" s="32"/>
      <c r="B255" s="32"/>
      <c r="I255" s="4"/>
      <c r="J255" s="105"/>
    </row>
    <row r="256" ht="15.75" customHeight="1">
      <c r="A256" s="32"/>
      <c r="B256" s="32"/>
      <c r="I256" s="4"/>
      <c r="J256" s="105"/>
    </row>
    <row r="257" ht="15.75" customHeight="1">
      <c r="A257" s="32"/>
      <c r="B257" s="32"/>
      <c r="I257" s="4"/>
      <c r="J257" s="105"/>
    </row>
    <row r="258" ht="15.75" customHeight="1">
      <c r="A258" s="32"/>
      <c r="B258" s="32"/>
      <c r="I258" s="4"/>
      <c r="J258" s="105"/>
    </row>
    <row r="259" ht="15.75" customHeight="1">
      <c r="A259" s="32"/>
      <c r="B259" s="32"/>
      <c r="I259" s="4"/>
      <c r="J259" s="105"/>
    </row>
    <row r="260" ht="15.75" customHeight="1">
      <c r="A260" s="32"/>
      <c r="B260" s="32"/>
      <c r="I260" s="4"/>
      <c r="J260" s="105"/>
    </row>
    <row r="261" ht="15.75" customHeight="1">
      <c r="A261" s="32"/>
      <c r="B261" s="32"/>
      <c r="I261" s="4"/>
      <c r="J261" s="105"/>
    </row>
    <row r="262" ht="15.75" customHeight="1">
      <c r="A262" s="32"/>
      <c r="B262" s="32"/>
      <c r="I262" s="4"/>
      <c r="J262" s="105"/>
    </row>
    <row r="263" ht="15.75" customHeight="1">
      <c r="A263" s="32"/>
      <c r="B263" s="32"/>
      <c r="I263" s="4"/>
      <c r="J263" s="105"/>
    </row>
    <row r="264" ht="15.75" customHeight="1">
      <c r="A264" s="32"/>
      <c r="B264" s="32"/>
      <c r="I264" s="4"/>
      <c r="J264" s="105"/>
    </row>
    <row r="265" ht="15.75" customHeight="1">
      <c r="A265" s="32"/>
      <c r="B265" s="32"/>
      <c r="I265" s="4"/>
      <c r="J265" s="105"/>
    </row>
    <row r="266" ht="15.75" customHeight="1">
      <c r="A266" s="32"/>
      <c r="B266" s="32"/>
      <c r="I266" s="4"/>
      <c r="J266" s="105"/>
    </row>
    <row r="267" ht="15.75" customHeight="1">
      <c r="A267" s="32"/>
      <c r="B267" s="32"/>
      <c r="I267" s="4"/>
      <c r="J267" s="105"/>
    </row>
    <row r="268" ht="15.75" customHeight="1">
      <c r="A268" s="32"/>
      <c r="B268" s="32"/>
      <c r="I268" s="4"/>
      <c r="J268" s="105"/>
    </row>
    <row r="269" ht="15.75" customHeight="1">
      <c r="A269" s="32"/>
      <c r="B269" s="32"/>
      <c r="I269" s="4"/>
      <c r="J269" s="105"/>
    </row>
    <row r="270" ht="15.75" customHeight="1">
      <c r="A270" s="32"/>
      <c r="B270" s="32"/>
      <c r="I270" s="4"/>
      <c r="J270" s="105"/>
    </row>
    <row r="271" ht="15.75" customHeight="1">
      <c r="A271" s="32"/>
      <c r="B271" s="32"/>
      <c r="I271" s="4"/>
      <c r="J271" s="105"/>
    </row>
    <row r="272" ht="15.75" customHeight="1">
      <c r="A272" s="32"/>
      <c r="B272" s="32"/>
      <c r="I272" s="4"/>
      <c r="J272" s="105"/>
    </row>
    <row r="273" ht="15.75" customHeight="1">
      <c r="A273" s="32"/>
      <c r="B273" s="32"/>
      <c r="I273" s="4"/>
      <c r="J273" s="105"/>
    </row>
    <row r="274" ht="15.75" customHeight="1">
      <c r="A274" s="32"/>
      <c r="B274" s="32"/>
      <c r="I274" s="4"/>
      <c r="J274" s="105"/>
    </row>
    <row r="275" ht="15.75" customHeight="1">
      <c r="A275" s="32"/>
      <c r="B275" s="32"/>
      <c r="I275" s="4"/>
      <c r="J275" s="105"/>
    </row>
    <row r="276" ht="15.75" customHeight="1">
      <c r="A276" s="32"/>
      <c r="B276" s="32"/>
      <c r="I276" s="4"/>
      <c r="J276" s="105"/>
    </row>
    <row r="277" ht="15.75" customHeight="1">
      <c r="A277" s="32"/>
      <c r="B277" s="32"/>
      <c r="I277" s="4"/>
      <c r="J277" s="105"/>
    </row>
    <row r="278" ht="15.75" customHeight="1">
      <c r="A278" s="32"/>
      <c r="B278" s="32"/>
      <c r="I278" s="4"/>
      <c r="J278" s="105"/>
    </row>
    <row r="279" ht="15.75" customHeight="1">
      <c r="A279" s="32"/>
      <c r="B279" s="32"/>
      <c r="I279" s="4"/>
      <c r="J279" s="105"/>
    </row>
    <row r="280" ht="15.75" customHeight="1">
      <c r="A280" s="32"/>
      <c r="B280" s="32"/>
      <c r="I280" s="4"/>
      <c r="J280" s="105"/>
    </row>
    <row r="281" ht="15.75" customHeight="1">
      <c r="A281" s="32"/>
      <c r="B281" s="32"/>
      <c r="I281" s="4"/>
      <c r="J281" s="105"/>
    </row>
    <row r="282" ht="15.75" customHeight="1">
      <c r="A282" s="32"/>
      <c r="B282" s="32"/>
      <c r="I282" s="4"/>
      <c r="J282" s="105"/>
    </row>
    <row r="283" ht="15.75" customHeight="1">
      <c r="A283" s="32"/>
      <c r="B283" s="32"/>
      <c r="I283" s="4"/>
      <c r="J283" s="105"/>
    </row>
    <row r="284" ht="15.75" customHeight="1">
      <c r="A284" s="32"/>
      <c r="B284" s="32"/>
      <c r="I284" s="4"/>
      <c r="J284" s="105"/>
    </row>
    <row r="285" ht="15.75" customHeight="1">
      <c r="A285" s="32"/>
      <c r="B285" s="32"/>
      <c r="I285" s="4"/>
      <c r="J285" s="105"/>
    </row>
    <row r="286" ht="15.75" customHeight="1">
      <c r="A286" s="32"/>
      <c r="B286" s="32"/>
      <c r="I286" s="4"/>
      <c r="J286" s="105"/>
    </row>
    <row r="287" ht="15.75" customHeight="1">
      <c r="A287" s="32"/>
      <c r="B287" s="32"/>
      <c r="I287" s="4"/>
      <c r="J287" s="105"/>
    </row>
    <row r="288" ht="15.75" customHeight="1">
      <c r="A288" s="32"/>
      <c r="B288" s="32"/>
      <c r="I288" s="4"/>
      <c r="J288" s="105"/>
    </row>
    <row r="289" ht="15.75" customHeight="1">
      <c r="A289" s="32"/>
      <c r="B289" s="32"/>
      <c r="I289" s="4"/>
      <c r="J289" s="105"/>
    </row>
    <row r="290" ht="15.75" customHeight="1">
      <c r="A290" s="32"/>
      <c r="B290" s="32"/>
      <c r="I290" s="4"/>
      <c r="J290" s="105"/>
    </row>
    <row r="291" ht="15.75" customHeight="1">
      <c r="A291" s="32"/>
      <c r="B291" s="32"/>
      <c r="I291" s="4"/>
      <c r="J291" s="105"/>
    </row>
    <row r="292" ht="15.75" customHeight="1">
      <c r="A292" s="32"/>
      <c r="B292" s="32"/>
      <c r="I292" s="4"/>
      <c r="J292" s="105"/>
    </row>
    <row r="293" ht="15.75" customHeight="1">
      <c r="A293" s="32"/>
      <c r="B293" s="32"/>
      <c r="I293" s="4"/>
      <c r="J293" s="105"/>
    </row>
    <row r="294" ht="15.75" customHeight="1">
      <c r="A294" s="32"/>
      <c r="B294" s="32"/>
      <c r="I294" s="4"/>
      <c r="J294" s="105"/>
    </row>
    <row r="295" ht="15.75" customHeight="1">
      <c r="A295" s="32"/>
      <c r="B295" s="32"/>
      <c r="I295" s="4"/>
      <c r="J295" s="105"/>
    </row>
    <row r="296" ht="15.75" customHeight="1">
      <c r="A296" s="32"/>
      <c r="B296" s="32"/>
      <c r="I296" s="4"/>
      <c r="J296" s="105"/>
    </row>
    <row r="297" ht="15.75" customHeight="1">
      <c r="A297" s="32"/>
      <c r="B297" s="32"/>
      <c r="I297" s="4"/>
      <c r="J297" s="105"/>
    </row>
    <row r="298" ht="15.75" customHeight="1">
      <c r="A298" s="32"/>
      <c r="B298" s="32"/>
      <c r="I298" s="4"/>
      <c r="J298" s="105"/>
    </row>
    <row r="299" ht="15.75" customHeight="1">
      <c r="A299" s="32"/>
      <c r="B299" s="32"/>
      <c r="I299" s="4"/>
      <c r="J299" s="105"/>
    </row>
    <row r="300" ht="15.75" customHeight="1">
      <c r="A300" s="32"/>
      <c r="B300" s="32"/>
      <c r="I300" s="4"/>
      <c r="J300" s="105"/>
    </row>
    <row r="301" ht="15.75" customHeight="1">
      <c r="A301" s="32"/>
      <c r="B301" s="32"/>
      <c r="I301" s="4"/>
      <c r="J301" s="105"/>
    </row>
    <row r="302" ht="15.75" customHeight="1">
      <c r="A302" s="32"/>
      <c r="B302" s="32"/>
      <c r="I302" s="4"/>
      <c r="J302" s="105"/>
    </row>
    <row r="303" ht="15.75" customHeight="1">
      <c r="A303" s="32"/>
      <c r="B303" s="32"/>
      <c r="I303" s="4"/>
      <c r="J303" s="105"/>
    </row>
    <row r="304" ht="15.75" customHeight="1">
      <c r="A304" s="32"/>
      <c r="B304" s="32"/>
      <c r="I304" s="4"/>
      <c r="J304" s="105"/>
    </row>
    <row r="305" ht="15.75" customHeight="1">
      <c r="A305" s="32"/>
      <c r="B305" s="32"/>
      <c r="I305" s="4"/>
      <c r="J305" s="105"/>
    </row>
    <row r="306" ht="15.75" customHeight="1">
      <c r="A306" s="32"/>
      <c r="B306" s="32"/>
      <c r="I306" s="4"/>
      <c r="J306" s="105"/>
    </row>
    <row r="307" ht="15.75" customHeight="1">
      <c r="A307" s="32"/>
      <c r="B307" s="32"/>
      <c r="I307" s="4"/>
      <c r="J307" s="105"/>
    </row>
    <row r="308" ht="15.75" customHeight="1">
      <c r="A308" s="32"/>
      <c r="B308" s="32"/>
      <c r="I308" s="4"/>
      <c r="J308" s="105"/>
    </row>
    <row r="309" ht="15.75" customHeight="1">
      <c r="A309" s="32"/>
      <c r="B309" s="32"/>
      <c r="I309" s="4"/>
      <c r="J309" s="105"/>
    </row>
    <row r="310" ht="15.75" customHeight="1">
      <c r="A310" s="32"/>
      <c r="B310" s="32"/>
      <c r="I310" s="4"/>
      <c r="J310" s="105"/>
    </row>
    <row r="311" ht="15.75" customHeight="1">
      <c r="A311" s="32"/>
      <c r="B311" s="32"/>
      <c r="I311" s="4"/>
      <c r="J311" s="105"/>
    </row>
    <row r="312" ht="15.75" customHeight="1">
      <c r="A312" s="32"/>
      <c r="B312" s="32"/>
      <c r="I312" s="4"/>
      <c r="J312" s="105"/>
    </row>
    <row r="313" ht="15.75" customHeight="1">
      <c r="A313" s="32"/>
      <c r="B313" s="32"/>
      <c r="I313" s="4"/>
      <c r="J313" s="105"/>
    </row>
    <row r="314" ht="15.75" customHeight="1">
      <c r="A314" s="32"/>
      <c r="B314" s="32"/>
      <c r="I314" s="4"/>
      <c r="J314" s="105"/>
    </row>
    <row r="315" ht="15.75" customHeight="1">
      <c r="A315" s="32"/>
      <c r="B315" s="32"/>
      <c r="I315" s="4"/>
      <c r="J315" s="105"/>
    </row>
    <row r="316" ht="15.75" customHeight="1">
      <c r="A316" s="32"/>
      <c r="B316" s="32"/>
      <c r="I316" s="4"/>
      <c r="J316" s="105"/>
    </row>
    <row r="317" ht="15.75" customHeight="1">
      <c r="A317" s="32"/>
      <c r="B317" s="32"/>
      <c r="I317" s="4"/>
      <c r="J317" s="105"/>
    </row>
    <row r="318" ht="15.75" customHeight="1">
      <c r="A318" s="32"/>
      <c r="B318" s="32"/>
      <c r="I318" s="4"/>
      <c r="J318" s="105"/>
    </row>
    <row r="319" ht="15.75" customHeight="1">
      <c r="A319" s="32"/>
      <c r="B319" s="32"/>
      <c r="I319" s="4"/>
      <c r="J319" s="105"/>
    </row>
    <row r="320" ht="15.75" customHeight="1">
      <c r="A320" s="32"/>
      <c r="B320" s="32"/>
      <c r="I320" s="4"/>
      <c r="J320" s="13" t="s">
        <v>1814</v>
      </c>
    </row>
    <row r="321" ht="15.75" customHeight="1">
      <c r="A321" s="32"/>
      <c r="B321" s="32"/>
      <c r="I321" s="4"/>
      <c r="J321" s="13" t="s">
        <v>1814</v>
      </c>
    </row>
    <row r="322" ht="15.75" customHeight="1">
      <c r="A322" s="32"/>
      <c r="B322" s="32"/>
      <c r="I322" s="4"/>
      <c r="J322" s="13" t="s">
        <v>1814</v>
      </c>
    </row>
    <row r="323" ht="15.75" customHeight="1">
      <c r="A323" s="32"/>
      <c r="B323" s="32"/>
      <c r="I323" s="4"/>
      <c r="J323" s="13" t="s">
        <v>1814</v>
      </c>
    </row>
    <row r="324" ht="15.75" customHeight="1">
      <c r="A324" s="32"/>
      <c r="B324" s="32"/>
      <c r="I324" s="4"/>
      <c r="J324" s="13" t="s">
        <v>1814</v>
      </c>
    </row>
    <row r="325" ht="15.75" customHeight="1">
      <c r="A325" s="32"/>
      <c r="B325" s="32"/>
      <c r="I325" s="4"/>
      <c r="J325" s="13" t="s">
        <v>1814</v>
      </c>
    </row>
    <row r="326" ht="15.75" customHeight="1">
      <c r="A326" s="32"/>
      <c r="B326" s="32"/>
      <c r="I326" s="4"/>
      <c r="J326" s="13" t="s">
        <v>1814</v>
      </c>
    </row>
    <row r="327" ht="15.75" customHeight="1">
      <c r="A327" s="32"/>
      <c r="B327" s="32"/>
      <c r="I327" s="4"/>
      <c r="J327" s="13" t="s">
        <v>1814</v>
      </c>
    </row>
    <row r="328" ht="15.75" customHeight="1">
      <c r="A328" s="32"/>
      <c r="B328" s="32"/>
      <c r="I328" s="4"/>
      <c r="J328" s="13" t="s">
        <v>1814</v>
      </c>
    </row>
    <row r="329" ht="15.75" customHeight="1">
      <c r="A329" s="32"/>
      <c r="B329" s="32"/>
      <c r="I329" s="4"/>
      <c r="J329" s="13" t="s">
        <v>1814</v>
      </c>
    </row>
    <row r="330" ht="15.75" customHeight="1">
      <c r="A330" s="32"/>
      <c r="B330" s="32"/>
      <c r="I330" s="4"/>
      <c r="J330" s="13" t="s">
        <v>1814</v>
      </c>
    </row>
    <row r="331" ht="15.75" customHeight="1">
      <c r="A331" s="32"/>
      <c r="B331" s="32"/>
      <c r="I331" s="4"/>
      <c r="J331" s="13" t="s">
        <v>1814</v>
      </c>
    </row>
    <row r="332" ht="15.75" customHeight="1">
      <c r="A332" s="32"/>
      <c r="B332" s="32"/>
      <c r="I332" s="4"/>
      <c r="J332" s="13" t="s">
        <v>1814</v>
      </c>
    </row>
    <row r="333" ht="15.75" customHeight="1">
      <c r="A333" s="32"/>
      <c r="B333" s="32"/>
      <c r="I333" s="4"/>
      <c r="J333" s="13" t="s">
        <v>1814</v>
      </c>
    </row>
    <row r="334" ht="15.75" customHeight="1">
      <c r="A334" s="32"/>
      <c r="B334" s="32"/>
      <c r="I334" s="4"/>
      <c r="J334" s="13" t="s">
        <v>1814</v>
      </c>
    </row>
    <row r="335" ht="15.75" customHeight="1">
      <c r="A335" s="32"/>
      <c r="B335" s="32"/>
      <c r="I335" s="4"/>
      <c r="J335" s="13" t="s">
        <v>1814</v>
      </c>
    </row>
    <row r="336" ht="15.75" customHeight="1">
      <c r="A336" s="32"/>
      <c r="B336" s="32"/>
      <c r="I336" s="4"/>
      <c r="J336" s="13" t="s">
        <v>1814</v>
      </c>
    </row>
    <row r="337" ht="15.75" customHeight="1">
      <c r="A337" s="32"/>
      <c r="B337" s="32"/>
      <c r="I337" s="4"/>
      <c r="J337" s="13" t="s">
        <v>1814</v>
      </c>
    </row>
    <row r="338" ht="15.75" customHeight="1">
      <c r="A338" s="32"/>
      <c r="B338" s="32"/>
      <c r="I338" s="4"/>
      <c r="J338" s="13" t="s">
        <v>1814</v>
      </c>
    </row>
    <row r="339" ht="15.75" customHeight="1">
      <c r="A339" s="32"/>
      <c r="B339" s="32"/>
      <c r="I339" s="4"/>
      <c r="J339" s="13" t="s">
        <v>1814</v>
      </c>
    </row>
    <row r="340" ht="15.75" customHeight="1">
      <c r="A340" s="32"/>
      <c r="B340" s="32"/>
      <c r="I340" s="4"/>
      <c r="J340" s="13" t="s">
        <v>1814</v>
      </c>
    </row>
    <row r="341" ht="15.75" customHeight="1">
      <c r="A341" s="32"/>
      <c r="B341" s="32"/>
      <c r="I341" s="4"/>
      <c r="J341" s="13" t="s">
        <v>1814</v>
      </c>
    </row>
    <row r="342" ht="15.75" customHeight="1">
      <c r="A342" s="32"/>
      <c r="B342" s="32"/>
      <c r="I342" s="4"/>
      <c r="J342" s="13" t="s">
        <v>1814</v>
      </c>
    </row>
    <row r="343" ht="15.75" customHeight="1">
      <c r="A343" s="32"/>
      <c r="B343" s="32"/>
      <c r="I343" s="4"/>
      <c r="J343" s="13" t="s">
        <v>1814</v>
      </c>
    </row>
    <row r="344" ht="15.75" customHeight="1">
      <c r="A344" s="32"/>
      <c r="B344" s="32"/>
      <c r="I344" s="4"/>
      <c r="J344" s="13" t="s">
        <v>1814</v>
      </c>
    </row>
    <row r="345" ht="15.75" customHeight="1">
      <c r="A345" s="32"/>
      <c r="B345" s="32"/>
      <c r="I345" s="4"/>
      <c r="J345" s="13" t="s">
        <v>1814</v>
      </c>
    </row>
    <row r="346" ht="15.75" customHeight="1">
      <c r="A346" s="32"/>
      <c r="B346" s="32"/>
      <c r="I346" s="4"/>
      <c r="J346" s="13" t="s">
        <v>1814</v>
      </c>
    </row>
    <row r="347" ht="15.75" customHeight="1">
      <c r="A347" s="32"/>
      <c r="B347" s="32"/>
      <c r="I347" s="4"/>
      <c r="J347" s="13" t="s">
        <v>1814</v>
      </c>
    </row>
    <row r="348" ht="15.75" customHeight="1">
      <c r="A348" s="32"/>
      <c r="B348" s="32"/>
      <c r="I348" s="4"/>
      <c r="J348" s="13" t="s">
        <v>1814</v>
      </c>
    </row>
    <row r="349" ht="15.75" customHeight="1">
      <c r="A349" s="32"/>
      <c r="B349" s="32"/>
      <c r="I349" s="4"/>
      <c r="J349" s="13" t="s">
        <v>1814</v>
      </c>
    </row>
    <row r="350" ht="15.75" customHeight="1">
      <c r="A350" s="32"/>
      <c r="B350" s="32"/>
      <c r="I350" s="4"/>
      <c r="J350" s="13" t="s">
        <v>1814</v>
      </c>
    </row>
    <row r="351" ht="15.75" customHeight="1">
      <c r="A351" s="32"/>
      <c r="B351" s="32"/>
      <c r="I351" s="4"/>
      <c r="J351" s="13" t="s">
        <v>1814</v>
      </c>
    </row>
    <row r="352" ht="15.75" customHeight="1">
      <c r="A352" s="32"/>
      <c r="B352" s="32"/>
      <c r="I352" s="4"/>
      <c r="J352" s="13" t="s">
        <v>1814</v>
      </c>
    </row>
    <row r="353" ht="15.75" customHeight="1">
      <c r="A353" s="32"/>
      <c r="B353" s="32"/>
      <c r="I353" s="4"/>
      <c r="J353" s="13" t="s">
        <v>1814</v>
      </c>
    </row>
    <row r="354" ht="15.75" customHeight="1">
      <c r="A354" s="32"/>
      <c r="B354" s="32"/>
      <c r="I354" s="4"/>
      <c r="J354" s="13" t="s">
        <v>1814</v>
      </c>
    </row>
    <row r="355" ht="15.75" customHeight="1">
      <c r="A355" s="32"/>
      <c r="B355" s="32"/>
      <c r="I355" s="4"/>
      <c r="J355" s="13" t="s">
        <v>1814</v>
      </c>
    </row>
    <row r="356" ht="15.75" customHeight="1">
      <c r="A356" s="32"/>
      <c r="B356" s="32"/>
      <c r="I356" s="4"/>
      <c r="J356" s="13" t="s">
        <v>1814</v>
      </c>
    </row>
    <row r="357" ht="15.75" customHeight="1">
      <c r="A357" s="32"/>
      <c r="B357" s="32"/>
      <c r="I357" s="4"/>
      <c r="J357" s="13" t="s">
        <v>1814</v>
      </c>
    </row>
    <row r="358" ht="15.75" customHeight="1">
      <c r="A358" s="32"/>
      <c r="B358" s="32"/>
      <c r="I358" s="4"/>
      <c r="J358" s="13" t="s">
        <v>1814</v>
      </c>
    </row>
    <row r="359" ht="15.75" customHeight="1">
      <c r="A359" s="32"/>
      <c r="B359" s="32"/>
      <c r="I359" s="4"/>
      <c r="J359" s="13" t="s">
        <v>1814</v>
      </c>
    </row>
    <row r="360" ht="15.75" customHeight="1">
      <c r="A360" s="32"/>
      <c r="B360" s="32"/>
      <c r="I360" s="4"/>
      <c r="J360" s="13" t="s">
        <v>1814</v>
      </c>
    </row>
    <row r="361" ht="15.75" customHeight="1">
      <c r="A361" s="32"/>
      <c r="B361" s="32"/>
      <c r="I361" s="4"/>
      <c r="J361" s="13" t="s">
        <v>1814</v>
      </c>
    </row>
    <row r="362" ht="15.75" customHeight="1">
      <c r="A362" s="32"/>
      <c r="B362" s="32"/>
      <c r="I362" s="4"/>
      <c r="J362" s="13" t="s">
        <v>1814</v>
      </c>
    </row>
    <row r="363" ht="15.75" customHeight="1">
      <c r="A363" s="32"/>
      <c r="B363" s="32"/>
      <c r="I363" s="4"/>
      <c r="J363" s="13" t="s">
        <v>1814</v>
      </c>
    </row>
    <row r="364" ht="15.75" customHeight="1">
      <c r="A364" s="32"/>
      <c r="B364" s="32"/>
      <c r="I364" s="4"/>
      <c r="J364" s="13" t="s">
        <v>1814</v>
      </c>
    </row>
    <row r="365" ht="15.75" customHeight="1">
      <c r="A365" s="32"/>
      <c r="B365" s="32"/>
      <c r="I365" s="4"/>
      <c r="J365" s="13" t="s">
        <v>1814</v>
      </c>
    </row>
    <row r="366" ht="15.75" customHeight="1">
      <c r="A366" s="32"/>
      <c r="B366" s="32"/>
      <c r="I366" s="4"/>
      <c r="J366" s="13" t="s">
        <v>1814</v>
      </c>
    </row>
    <row r="367" ht="15.75" customHeight="1">
      <c r="A367" s="32"/>
      <c r="B367" s="32"/>
      <c r="I367" s="4"/>
      <c r="J367" s="13" t="s">
        <v>1814</v>
      </c>
    </row>
    <row r="368" ht="15.75" customHeight="1">
      <c r="A368" s="32"/>
      <c r="B368" s="32"/>
      <c r="I368" s="4"/>
      <c r="J368" s="13" t="s">
        <v>1814</v>
      </c>
    </row>
    <row r="369" ht="15.75" customHeight="1">
      <c r="A369" s="32"/>
      <c r="B369" s="32"/>
      <c r="I369" s="4"/>
      <c r="J369" s="13" t="s">
        <v>1814</v>
      </c>
    </row>
    <row r="370" ht="15.75" customHeight="1">
      <c r="A370" s="32"/>
      <c r="B370" s="32"/>
      <c r="I370" s="4"/>
      <c r="J370" s="13" t="s">
        <v>1814</v>
      </c>
    </row>
    <row r="371" ht="15.75" customHeight="1">
      <c r="A371" s="32"/>
      <c r="B371" s="32"/>
      <c r="I371" s="4"/>
      <c r="J371" s="13" t="s">
        <v>1814</v>
      </c>
    </row>
    <row r="372" ht="15.75" customHeight="1">
      <c r="A372" s="32"/>
      <c r="B372" s="32"/>
      <c r="I372" s="4"/>
      <c r="J372" s="13" t="s">
        <v>1814</v>
      </c>
    </row>
    <row r="373" ht="15.75" customHeight="1">
      <c r="A373" s="32"/>
      <c r="B373" s="32"/>
      <c r="I373" s="4"/>
      <c r="J373" s="13" t="s">
        <v>1814</v>
      </c>
    </row>
    <row r="374" ht="15.75" customHeight="1">
      <c r="A374" s="32"/>
      <c r="B374" s="32"/>
      <c r="I374" s="4"/>
      <c r="J374" s="13" t="s">
        <v>1814</v>
      </c>
    </row>
    <row r="375" ht="15.75" customHeight="1">
      <c r="A375" s="32"/>
      <c r="B375" s="32"/>
      <c r="I375" s="4"/>
      <c r="J375" s="13" t="s">
        <v>1814</v>
      </c>
    </row>
    <row r="376" ht="15.75" customHeight="1">
      <c r="A376" s="32"/>
      <c r="B376" s="32"/>
      <c r="I376" s="4"/>
      <c r="J376" s="13" t="s">
        <v>1814</v>
      </c>
    </row>
    <row r="377" ht="15.75" customHeight="1">
      <c r="A377" s="32"/>
      <c r="B377" s="32"/>
      <c r="I377" s="4"/>
      <c r="J377" s="13" t="s">
        <v>1814</v>
      </c>
    </row>
    <row r="378" ht="15.75" customHeight="1">
      <c r="A378" s="32"/>
      <c r="B378" s="32"/>
      <c r="I378" s="4"/>
      <c r="J378" s="13" t="s">
        <v>1814</v>
      </c>
    </row>
    <row r="379" ht="15.75" customHeight="1">
      <c r="A379" s="32"/>
      <c r="B379" s="32"/>
      <c r="I379" s="4"/>
      <c r="J379" s="13" t="s">
        <v>1814</v>
      </c>
    </row>
    <row r="380" ht="15.75" customHeight="1">
      <c r="A380" s="32"/>
      <c r="B380" s="32"/>
      <c r="I380" s="4"/>
      <c r="J380" s="13" t="s">
        <v>1814</v>
      </c>
    </row>
    <row r="381" ht="15.75" customHeight="1">
      <c r="A381" s="32"/>
      <c r="B381" s="32"/>
      <c r="I381" s="4"/>
      <c r="J381" s="13" t="s">
        <v>1814</v>
      </c>
    </row>
    <row r="382" ht="15.75" customHeight="1">
      <c r="A382" s="32"/>
      <c r="B382" s="32"/>
      <c r="I382" s="4"/>
      <c r="J382" s="13" t="s">
        <v>1814</v>
      </c>
    </row>
    <row r="383" ht="15.75" customHeight="1">
      <c r="A383" s="32"/>
      <c r="B383" s="32"/>
      <c r="I383" s="4"/>
      <c r="J383" s="13" t="s">
        <v>1814</v>
      </c>
    </row>
    <row r="384" ht="15.75" customHeight="1">
      <c r="A384" s="32"/>
      <c r="B384" s="32"/>
      <c r="I384" s="4"/>
      <c r="J384" s="13" t="s">
        <v>1814</v>
      </c>
    </row>
    <row r="385" ht="15.75" customHeight="1">
      <c r="A385" s="32"/>
      <c r="B385" s="32"/>
      <c r="I385" s="4"/>
      <c r="J385" s="13" t="s">
        <v>1814</v>
      </c>
    </row>
    <row r="386" ht="15.75" customHeight="1">
      <c r="A386" s="32"/>
      <c r="B386" s="32"/>
      <c r="I386" s="4"/>
      <c r="J386" s="13" t="s">
        <v>1814</v>
      </c>
    </row>
    <row r="387" ht="15.75" customHeight="1">
      <c r="A387" s="32"/>
      <c r="B387" s="32"/>
      <c r="I387" s="4"/>
      <c r="J387" s="13" t="s">
        <v>1814</v>
      </c>
    </row>
    <row r="388" ht="15.75" customHeight="1">
      <c r="A388" s="32"/>
      <c r="B388" s="32"/>
      <c r="I388" s="4"/>
      <c r="J388" s="13" t="s">
        <v>1814</v>
      </c>
    </row>
    <row r="389" ht="15.75" customHeight="1">
      <c r="A389" s="32"/>
      <c r="B389" s="32"/>
      <c r="I389" s="4"/>
      <c r="J389" s="13" t="s">
        <v>1814</v>
      </c>
    </row>
    <row r="390" ht="15.75" customHeight="1">
      <c r="A390" s="32"/>
      <c r="B390" s="32"/>
      <c r="I390" s="4"/>
      <c r="J390" s="13" t="s">
        <v>1814</v>
      </c>
    </row>
    <row r="391" ht="15.75" customHeight="1">
      <c r="A391" s="32"/>
      <c r="B391" s="32"/>
      <c r="I391" s="4"/>
      <c r="J391" s="13" t="s">
        <v>1814</v>
      </c>
    </row>
    <row r="392" ht="15.75" customHeight="1">
      <c r="A392" s="32"/>
      <c r="B392" s="32"/>
      <c r="I392" s="4"/>
      <c r="J392" s="13" t="s">
        <v>1814</v>
      </c>
    </row>
    <row r="393" ht="15.75" customHeight="1">
      <c r="A393" s="32"/>
      <c r="B393" s="32"/>
      <c r="I393" s="4"/>
      <c r="J393" s="13" t="s">
        <v>1814</v>
      </c>
    </row>
    <row r="394" ht="15.75" customHeight="1">
      <c r="A394" s="32"/>
      <c r="B394" s="32"/>
      <c r="I394" s="4"/>
      <c r="J394" s="13" t="s">
        <v>1814</v>
      </c>
    </row>
    <row r="395" ht="15.75" customHeight="1">
      <c r="A395" s="32"/>
      <c r="B395" s="32"/>
      <c r="I395" s="4"/>
      <c r="J395" s="13" t="s">
        <v>1814</v>
      </c>
    </row>
    <row r="396" ht="15.75" customHeight="1">
      <c r="A396" s="32"/>
      <c r="B396" s="32"/>
      <c r="I396" s="4"/>
      <c r="J396" s="13" t="s">
        <v>1814</v>
      </c>
    </row>
    <row r="397" ht="15.75" customHeight="1">
      <c r="A397" s="32"/>
      <c r="B397" s="32"/>
      <c r="I397" s="4"/>
      <c r="J397" s="13" t="s">
        <v>1814</v>
      </c>
    </row>
    <row r="398" ht="15.75" customHeight="1">
      <c r="A398" s="32"/>
      <c r="B398" s="32"/>
      <c r="I398" s="4"/>
      <c r="J398" s="13" t="s">
        <v>1814</v>
      </c>
    </row>
    <row r="399" ht="15.75" customHeight="1">
      <c r="A399" s="32"/>
      <c r="B399" s="32"/>
      <c r="I399" s="4"/>
      <c r="J399" s="13" t="s">
        <v>1814</v>
      </c>
    </row>
    <row r="400" ht="15.75" customHeight="1">
      <c r="A400" s="32"/>
      <c r="B400" s="32"/>
      <c r="I400" s="4"/>
      <c r="J400" s="13" t="s">
        <v>1814</v>
      </c>
    </row>
    <row r="401" ht="15.75" customHeight="1">
      <c r="A401" s="32"/>
      <c r="B401" s="32"/>
      <c r="I401" s="4"/>
      <c r="J401" s="13" t="s">
        <v>1814</v>
      </c>
    </row>
    <row r="402" ht="15.75" customHeight="1">
      <c r="A402" s="32"/>
      <c r="B402" s="32"/>
      <c r="I402" s="4"/>
      <c r="J402" s="13" t="s">
        <v>1814</v>
      </c>
    </row>
    <row r="403" ht="15.75" customHeight="1">
      <c r="A403" s="32"/>
      <c r="B403" s="32"/>
      <c r="I403" s="4"/>
      <c r="J403" s="13" t="s">
        <v>1814</v>
      </c>
    </row>
    <row r="404" ht="15.75" customHeight="1">
      <c r="A404" s="32"/>
      <c r="B404" s="32"/>
      <c r="I404" s="4"/>
      <c r="J404" s="13" t="s">
        <v>1814</v>
      </c>
    </row>
    <row r="405" ht="15.75" customHeight="1">
      <c r="A405" s="32"/>
      <c r="B405" s="32"/>
      <c r="I405" s="4"/>
      <c r="J405" s="13" t="s">
        <v>1814</v>
      </c>
    </row>
    <row r="406" ht="15.75" customHeight="1">
      <c r="A406" s="32"/>
      <c r="B406" s="32"/>
      <c r="I406" s="4"/>
      <c r="J406" s="13" t="s">
        <v>1814</v>
      </c>
    </row>
    <row r="407" ht="15.75" customHeight="1">
      <c r="A407" s="32"/>
      <c r="B407" s="32"/>
      <c r="I407" s="4"/>
      <c r="J407" s="13" t="s">
        <v>1814</v>
      </c>
    </row>
    <row r="408" ht="15.75" customHeight="1">
      <c r="A408" s="32"/>
      <c r="B408" s="32"/>
      <c r="I408" s="4"/>
      <c r="J408" s="13" t="s">
        <v>1814</v>
      </c>
    </row>
    <row r="409" ht="15.75" customHeight="1">
      <c r="A409" s="32"/>
      <c r="B409" s="32"/>
      <c r="I409" s="4"/>
      <c r="J409" s="13" t="s">
        <v>1814</v>
      </c>
    </row>
    <row r="410" ht="15.75" customHeight="1">
      <c r="A410" s="32"/>
      <c r="B410" s="32"/>
      <c r="I410" s="4"/>
      <c r="J410" s="13" t="s">
        <v>1814</v>
      </c>
    </row>
    <row r="411" ht="15.75" customHeight="1">
      <c r="A411" s="32"/>
      <c r="B411" s="32"/>
      <c r="I411" s="4"/>
      <c r="J411" s="13" t="s">
        <v>1814</v>
      </c>
    </row>
    <row r="412" ht="15.75" customHeight="1">
      <c r="A412" s="32"/>
      <c r="B412" s="32"/>
      <c r="I412" s="4"/>
      <c r="J412" s="13" t="s">
        <v>1814</v>
      </c>
    </row>
    <row r="413" ht="15.75" customHeight="1">
      <c r="A413" s="32"/>
      <c r="B413" s="32"/>
      <c r="I413" s="4"/>
      <c r="J413" s="13" t="s">
        <v>1814</v>
      </c>
    </row>
    <row r="414" ht="15.75" customHeight="1">
      <c r="A414" s="32"/>
      <c r="B414" s="32"/>
      <c r="I414" s="4"/>
      <c r="J414" s="13" t="s">
        <v>1814</v>
      </c>
    </row>
    <row r="415" ht="15.75" customHeight="1">
      <c r="A415" s="32"/>
      <c r="B415" s="32"/>
      <c r="I415" s="4"/>
      <c r="J415" s="13" t="s">
        <v>1814</v>
      </c>
    </row>
    <row r="416" ht="15.75" customHeight="1">
      <c r="A416" s="32"/>
      <c r="B416" s="32"/>
      <c r="I416" s="4"/>
      <c r="J416" s="13" t="s">
        <v>1814</v>
      </c>
    </row>
    <row r="417" ht="15.75" customHeight="1">
      <c r="A417" s="32"/>
      <c r="B417" s="32"/>
      <c r="I417" s="4"/>
      <c r="J417" s="13" t="s">
        <v>1814</v>
      </c>
    </row>
    <row r="418" ht="15.75" customHeight="1">
      <c r="A418" s="32"/>
      <c r="B418" s="32"/>
      <c r="I418" s="4"/>
      <c r="J418" s="13" t="s">
        <v>1814</v>
      </c>
    </row>
    <row r="419" ht="15.75" customHeight="1">
      <c r="A419" s="32"/>
      <c r="B419" s="32"/>
      <c r="I419" s="4"/>
      <c r="J419" s="13" t="s">
        <v>1814</v>
      </c>
    </row>
    <row r="420" ht="15.75" customHeight="1">
      <c r="A420" s="32"/>
      <c r="B420" s="32"/>
      <c r="I420" s="4"/>
      <c r="J420" s="13" t="s">
        <v>1814</v>
      </c>
    </row>
    <row r="421" ht="15.75" customHeight="1">
      <c r="A421" s="32"/>
      <c r="B421" s="32"/>
      <c r="I421" s="4"/>
      <c r="J421" s="13" t="s">
        <v>1814</v>
      </c>
    </row>
    <row r="422" ht="15.75" customHeight="1">
      <c r="A422" s="32"/>
      <c r="B422" s="32"/>
      <c r="I422" s="4"/>
      <c r="J422" s="13" t="s">
        <v>1814</v>
      </c>
    </row>
    <row r="423" ht="15.75" customHeight="1">
      <c r="A423" s="32"/>
      <c r="B423" s="32"/>
      <c r="I423" s="4"/>
      <c r="J423" s="13" t="s">
        <v>1814</v>
      </c>
    </row>
    <row r="424" ht="15.75" customHeight="1">
      <c r="A424" s="32"/>
      <c r="B424" s="32"/>
      <c r="I424" s="4"/>
      <c r="J424" s="13" t="s">
        <v>1814</v>
      </c>
    </row>
    <row r="425" ht="15.75" customHeight="1">
      <c r="A425" s="32"/>
      <c r="B425" s="32"/>
      <c r="I425" s="4"/>
      <c r="J425" s="13" t="s">
        <v>1814</v>
      </c>
    </row>
    <row r="426" ht="15.75" customHeight="1">
      <c r="A426" s="32"/>
      <c r="B426" s="32"/>
      <c r="I426" s="4"/>
      <c r="J426" s="13" t="s">
        <v>1814</v>
      </c>
    </row>
    <row r="427" ht="15.75" customHeight="1">
      <c r="A427" s="32"/>
      <c r="B427" s="32"/>
      <c r="I427" s="4"/>
      <c r="J427" s="13" t="s">
        <v>1814</v>
      </c>
    </row>
    <row r="428" ht="15.75" customHeight="1">
      <c r="A428" s="32"/>
      <c r="B428" s="32"/>
      <c r="I428" s="4"/>
      <c r="J428" s="13" t="s">
        <v>1814</v>
      </c>
    </row>
    <row r="429" ht="15.75" customHeight="1">
      <c r="A429" s="32"/>
      <c r="B429" s="32"/>
      <c r="I429" s="4"/>
      <c r="J429" s="13" t="s">
        <v>1814</v>
      </c>
    </row>
    <row r="430" ht="15.75" customHeight="1">
      <c r="A430" s="32"/>
      <c r="B430" s="32"/>
      <c r="I430" s="4"/>
      <c r="J430" s="13" t="s">
        <v>1814</v>
      </c>
    </row>
    <row r="431" ht="15.75" customHeight="1">
      <c r="A431" s="32"/>
      <c r="B431" s="32"/>
      <c r="I431" s="4"/>
      <c r="J431" s="13" t="s">
        <v>1814</v>
      </c>
    </row>
    <row r="432" ht="15.75" customHeight="1">
      <c r="A432" s="32"/>
      <c r="B432" s="32"/>
      <c r="I432" s="4"/>
      <c r="J432" s="13" t="s">
        <v>1814</v>
      </c>
    </row>
    <row r="433" ht="15.75" customHeight="1">
      <c r="A433" s="32"/>
      <c r="B433" s="32"/>
      <c r="I433" s="4"/>
      <c r="J433" s="13" t="s">
        <v>1814</v>
      </c>
    </row>
    <row r="434" ht="15.75" customHeight="1">
      <c r="A434" s="32"/>
      <c r="B434" s="32"/>
      <c r="I434" s="4"/>
      <c r="J434" s="13" t="s">
        <v>1814</v>
      </c>
    </row>
    <row r="435" ht="15.75" customHeight="1">
      <c r="A435" s="32"/>
      <c r="B435" s="32"/>
      <c r="I435" s="4"/>
      <c r="J435" s="13" t="s">
        <v>1814</v>
      </c>
    </row>
    <row r="436" ht="15.75" customHeight="1">
      <c r="A436" s="32"/>
      <c r="B436" s="32"/>
      <c r="I436" s="4"/>
      <c r="J436" s="13" t="s">
        <v>1814</v>
      </c>
    </row>
    <row r="437" ht="15.75" customHeight="1">
      <c r="A437" s="32"/>
      <c r="B437" s="32"/>
      <c r="I437" s="4"/>
      <c r="J437" s="13" t="s">
        <v>1814</v>
      </c>
    </row>
    <row r="438" ht="15.75" customHeight="1">
      <c r="A438" s="32"/>
      <c r="B438" s="32"/>
      <c r="I438" s="4"/>
      <c r="J438" s="13" t="s">
        <v>1814</v>
      </c>
    </row>
    <row r="439" ht="15.75" customHeight="1">
      <c r="A439" s="32"/>
      <c r="B439" s="32"/>
      <c r="I439" s="4"/>
      <c r="J439" s="13" t="s">
        <v>1814</v>
      </c>
    </row>
    <row r="440" ht="15.75" customHeight="1">
      <c r="A440" s="32"/>
      <c r="B440" s="32"/>
      <c r="I440" s="4"/>
      <c r="J440" s="13" t="s">
        <v>1814</v>
      </c>
    </row>
    <row r="441" ht="15.75" customHeight="1">
      <c r="A441" s="32"/>
      <c r="B441" s="32"/>
      <c r="I441" s="4"/>
      <c r="J441" s="13" t="s">
        <v>1814</v>
      </c>
    </row>
    <row r="442" ht="15.75" customHeight="1">
      <c r="A442" s="32"/>
      <c r="B442" s="32"/>
      <c r="I442" s="4"/>
      <c r="J442" s="13" t="s">
        <v>1814</v>
      </c>
    </row>
    <row r="443" ht="15.75" customHeight="1">
      <c r="A443" s="32"/>
      <c r="B443" s="32"/>
      <c r="I443" s="4"/>
      <c r="J443" s="13" t="s">
        <v>1814</v>
      </c>
    </row>
    <row r="444" ht="15.75" customHeight="1">
      <c r="A444" s="32"/>
      <c r="B444" s="32"/>
      <c r="I444" s="4"/>
      <c r="J444" s="13" t="s">
        <v>1814</v>
      </c>
    </row>
    <row r="445" ht="15.75" customHeight="1">
      <c r="A445" s="32"/>
      <c r="B445" s="32"/>
      <c r="I445" s="4"/>
      <c r="J445" s="13" t="s">
        <v>1814</v>
      </c>
    </row>
    <row r="446" ht="15.75" customHeight="1">
      <c r="A446" s="32"/>
      <c r="B446" s="32"/>
      <c r="I446" s="4"/>
      <c r="J446" s="13" t="s">
        <v>1814</v>
      </c>
    </row>
    <row r="447" ht="15.75" customHeight="1">
      <c r="A447" s="32"/>
      <c r="B447" s="32"/>
      <c r="I447" s="4"/>
      <c r="J447" s="13" t="s">
        <v>1814</v>
      </c>
    </row>
    <row r="448" ht="15.75" customHeight="1">
      <c r="A448" s="32"/>
      <c r="B448" s="32"/>
      <c r="I448" s="4"/>
      <c r="J448" s="13" t="s">
        <v>1814</v>
      </c>
    </row>
    <row r="449" ht="15.75" customHeight="1">
      <c r="A449" s="32"/>
      <c r="B449" s="32"/>
      <c r="I449" s="4"/>
      <c r="J449" s="13" t="s">
        <v>1814</v>
      </c>
    </row>
    <row r="450" ht="15.75" customHeight="1">
      <c r="A450" s="32"/>
      <c r="B450" s="32"/>
      <c r="I450" s="4"/>
      <c r="J450" s="13" t="s">
        <v>1814</v>
      </c>
    </row>
    <row r="451" ht="15.75" customHeight="1">
      <c r="A451" s="32"/>
      <c r="B451" s="32"/>
      <c r="I451" s="4"/>
      <c r="J451" s="13" t="s">
        <v>1814</v>
      </c>
    </row>
    <row r="452" ht="15.75" customHeight="1">
      <c r="A452" s="32"/>
      <c r="B452" s="32"/>
      <c r="I452" s="4"/>
      <c r="J452" s="13" t="s">
        <v>1814</v>
      </c>
    </row>
    <row r="453" ht="15.75" customHeight="1">
      <c r="A453" s="32"/>
      <c r="B453" s="32"/>
      <c r="I453" s="4"/>
      <c r="J453" s="13" t="s">
        <v>1814</v>
      </c>
    </row>
    <row r="454" ht="15.75" customHeight="1">
      <c r="A454" s="32"/>
      <c r="B454" s="32"/>
      <c r="I454" s="4"/>
      <c r="J454" s="13" t="s">
        <v>1814</v>
      </c>
    </row>
    <row r="455" ht="15.75" customHeight="1">
      <c r="A455" s="32"/>
      <c r="B455" s="32"/>
      <c r="I455" s="4"/>
      <c r="J455" s="13" t="s">
        <v>1814</v>
      </c>
    </row>
    <row r="456" ht="15.75" customHeight="1">
      <c r="A456" s="32"/>
      <c r="B456" s="32"/>
      <c r="I456" s="4"/>
      <c r="J456" s="13" t="s">
        <v>1814</v>
      </c>
    </row>
    <row r="457" ht="15.75" customHeight="1">
      <c r="A457" s="32"/>
      <c r="B457" s="32"/>
      <c r="I457" s="4"/>
      <c r="J457" s="13" t="s">
        <v>1814</v>
      </c>
    </row>
    <row r="458" ht="15.75" customHeight="1">
      <c r="A458" s="32"/>
      <c r="B458" s="32"/>
      <c r="I458" s="4"/>
      <c r="J458" s="13" t="s">
        <v>1814</v>
      </c>
    </row>
    <row r="459" ht="15.75" customHeight="1">
      <c r="A459" s="32"/>
      <c r="B459" s="32"/>
      <c r="I459" s="4"/>
      <c r="J459" s="13" t="s">
        <v>1814</v>
      </c>
    </row>
    <row r="460" ht="15.75" customHeight="1">
      <c r="A460" s="32"/>
      <c r="B460" s="32"/>
      <c r="I460" s="4"/>
      <c r="J460" s="13" t="s">
        <v>1814</v>
      </c>
    </row>
    <row r="461" ht="15.75" customHeight="1">
      <c r="A461" s="32"/>
      <c r="B461" s="32"/>
      <c r="I461" s="4"/>
      <c r="J461" s="13" t="s">
        <v>1814</v>
      </c>
    </row>
    <row r="462" ht="15.75" customHeight="1">
      <c r="A462" s="32"/>
      <c r="B462" s="32"/>
      <c r="I462" s="4"/>
      <c r="J462" s="13" t="s">
        <v>1814</v>
      </c>
    </row>
    <row r="463" ht="15.75" customHeight="1">
      <c r="A463" s="32"/>
      <c r="B463" s="32"/>
      <c r="I463" s="4"/>
      <c r="J463" s="13" t="s">
        <v>1814</v>
      </c>
    </row>
    <row r="464" ht="15.75" customHeight="1">
      <c r="A464" s="32"/>
      <c r="B464" s="32"/>
      <c r="I464" s="4"/>
      <c r="J464" s="13" t="s">
        <v>1814</v>
      </c>
    </row>
    <row r="465" ht="15.75" customHeight="1">
      <c r="A465" s="32"/>
      <c r="B465" s="32"/>
      <c r="I465" s="4"/>
      <c r="J465" s="13" t="s">
        <v>1814</v>
      </c>
    </row>
    <row r="466" ht="15.75" customHeight="1">
      <c r="A466" s="32"/>
      <c r="B466" s="32"/>
      <c r="I466" s="4"/>
      <c r="J466" s="13" t="s">
        <v>1814</v>
      </c>
    </row>
    <row r="467" ht="15.75" customHeight="1">
      <c r="A467" s="32"/>
      <c r="B467" s="32"/>
      <c r="I467" s="4"/>
      <c r="J467" s="13" t="s">
        <v>1814</v>
      </c>
    </row>
    <row r="468" ht="15.75" customHeight="1">
      <c r="A468" s="32"/>
      <c r="B468" s="32"/>
      <c r="I468" s="4"/>
      <c r="J468" s="13" t="s">
        <v>1814</v>
      </c>
    </row>
    <row r="469" ht="15.75" customHeight="1">
      <c r="A469" s="32"/>
      <c r="B469" s="32"/>
      <c r="I469" s="4"/>
      <c r="J469" s="13" t="s">
        <v>1814</v>
      </c>
    </row>
    <row r="470" ht="15.75" customHeight="1">
      <c r="A470" s="32"/>
      <c r="B470" s="32"/>
      <c r="I470" s="4"/>
      <c r="J470" s="13" t="s">
        <v>1814</v>
      </c>
    </row>
    <row r="471" ht="15.75" customHeight="1">
      <c r="A471" s="32"/>
      <c r="B471" s="32"/>
      <c r="I471" s="4"/>
      <c r="J471" s="13" t="s">
        <v>1814</v>
      </c>
    </row>
    <row r="472" ht="15.75" customHeight="1">
      <c r="A472" s="32"/>
      <c r="B472" s="32"/>
      <c r="I472" s="4"/>
      <c r="J472" s="13" t="s">
        <v>1814</v>
      </c>
    </row>
    <row r="473" ht="15.75" customHeight="1">
      <c r="A473" s="32"/>
      <c r="B473" s="32"/>
      <c r="I473" s="4"/>
      <c r="J473" s="13" t="s">
        <v>1814</v>
      </c>
    </row>
    <row r="474" ht="15.75" customHeight="1">
      <c r="A474" s="32"/>
      <c r="B474" s="32"/>
      <c r="I474" s="4"/>
      <c r="J474" s="13" t="s">
        <v>1814</v>
      </c>
    </row>
    <row r="475" ht="15.75" customHeight="1">
      <c r="A475" s="32"/>
      <c r="B475" s="32"/>
      <c r="I475" s="4"/>
      <c r="J475" s="13" t="s">
        <v>1814</v>
      </c>
    </row>
    <row r="476" ht="15.75" customHeight="1">
      <c r="A476" s="32"/>
      <c r="B476" s="32"/>
      <c r="I476" s="4"/>
      <c r="J476" s="13" t="s">
        <v>1814</v>
      </c>
    </row>
    <row r="477" ht="15.75" customHeight="1">
      <c r="A477" s="32"/>
      <c r="B477" s="32"/>
      <c r="I477" s="4"/>
      <c r="J477" s="13" t="s">
        <v>1814</v>
      </c>
    </row>
    <row r="478" ht="15.75" customHeight="1">
      <c r="A478" s="32"/>
      <c r="B478" s="32"/>
      <c r="I478" s="4"/>
      <c r="J478" s="13" t="s">
        <v>1814</v>
      </c>
    </row>
    <row r="479" ht="15.75" customHeight="1">
      <c r="A479" s="32"/>
      <c r="B479" s="32"/>
      <c r="I479" s="4"/>
      <c r="J479" s="13" t="s">
        <v>1814</v>
      </c>
    </row>
    <row r="480" ht="15.75" customHeight="1">
      <c r="A480" s="32"/>
      <c r="B480" s="32"/>
      <c r="I480" s="4"/>
      <c r="J480" s="13" t="s">
        <v>1814</v>
      </c>
    </row>
    <row r="481" ht="15.75" customHeight="1">
      <c r="A481" s="32"/>
      <c r="B481" s="32"/>
      <c r="I481" s="4"/>
      <c r="J481" s="13" t="s">
        <v>1814</v>
      </c>
    </row>
    <row r="482" ht="15.75" customHeight="1">
      <c r="A482" s="32"/>
      <c r="B482" s="32"/>
      <c r="I482" s="4"/>
      <c r="J482" s="13" t="s">
        <v>1814</v>
      </c>
    </row>
    <row r="483" ht="15.75" customHeight="1">
      <c r="A483" s="32"/>
      <c r="B483" s="32"/>
      <c r="I483" s="4"/>
      <c r="J483" s="13" t="s">
        <v>1814</v>
      </c>
    </row>
    <row r="484" ht="15.75" customHeight="1">
      <c r="A484" s="32"/>
      <c r="B484" s="32"/>
      <c r="I484" s="4"/>
      <c r="J484" s="13" t="s">
        <v>1814</v>
      </c>
    </row>
    <row r="485" ht="15.75" customHeight="1">
      <c r="A485" s="32"/>
      <c r="B485" s="32"/>
      <c r="I485" s="4"/>
      <c r="J485" s="13" t="s">
        <v>1814</v>
      </c>
    </row>
    <row r="486" ht="15.75" customHeight="1">
      <c r="A486" s="32"/>
      <c r="B486" s="32"/>
      <c r="I486" s="4"/>
      <c r="J486" s="13" t="s">
        <v>1814</v>
      </c>
    </row>
    <row r="487" ht="15.75" customHeight="1">
      <c r="A487" s="32"/>
      <c r="B487" s="32"/>
      <c r="I487" s="4"/>
      <c r="J487" s="13" t="s">
        <v>1814</v>
      </c>
    </row>
    <row r="488" ht="15.75" customHeight="1">
      <c r="A488" s="32"/>
      <c r="B488" s="32"/>
      <c r="I488" s="4"/>
      <c r="J488" s="13" t="s">
        <v>1814</v>
      </c>
    </row>
    <row r="489" ht="15.75" customHeight="1">
      <c r="A489" s="32"/>
      <c r="B489" s="32"/>
      <c r="I489" s="4"/>
      <c r="J489" s="13" t="s">
        <v>1814</v>
      </c>
    </row>
    <row r="490" ht="15.75" customHeight="1">
      <c r="A490" s="32"/>
      <c r="B490" s="32"/>
      <c r="I490" s="4"/>
      <c r="J490" s="13" t="s">
        <v>1814</v>
      </c>
    </row>
    <row r="491" ht="15.75" customHeight="1">
      <c r="A491" s="32"/>
      <c r="B491" s="32"/>
      <c r="I491" s="4"/>
      <c r="J491" s="13" t="s">
        <v>1814</v>
      </c>
    </row>
    <row r="492" ht="15.75" customHeight="1">
      <c r="A492" s="32"/>
      <c r="B492" s="32"/>
      <c r="I492" s="4"/>
      <c r="J492" s="13" t="s">
        <v>1814</v>
      </c>
    </row>
    <row r="493" ht="15.75" customHeight="1">
      <c r="A493" s="32"/>
      <c r="B493" s="32"/>
      <c r="I493" s="4"/>
      <c r="J493" s="13" t="s">
        <v>1814</v>
      </c>
    </row>
    <row r="494" ht="15.75" customHeight="1">
      <c r="A494" s="32"/>
      <c r="B494" s="32"/>
      <c r="I494" s="4"/>
      <c r="J494" s="13" t="s">
        <v>1814</v>
      </c>
    </row>
    <row r="495" ht="15.75" customHeight="1">
      <c r="A495" s="32"/>
      <c r="B495" s="32"/>
      <c r="I495" s="4"/>
      <c r="J495" s="13" t="s">
        <v>1814</v>
      </c>
    </row>
    <row r="496" ht="15.75" customHeight="1">
      <c r="A496" s="32"/>
      <c r="B496" s="32"/>
      <c r="I496" s="4"/>
      <c r="J496" s="13" t="s">
        <v>1814</v>
      </c>
    </row>
    <row r="497" ht="15.75" customHeight="1">
      <c r="A497" s="32"/>
      <c r="B497" s="32"/>
      <c r="I497" s="4"/>
      <c r="J497" s="13" t="s">
        <v>1814</v>
      </c>
    </row>
    <row r="498" ht="15.75" customHeight="1">
      <c r="A498" s="32"/>
      <c r="B498" s="32"/>
      <c r="I498" s="4"/>
      <c r="J498" s="13" t="s">
        <v>1814</v>
      </c>
    </row>
    <row r="499" ht="15.75" customHeight="1">
      <c r="A499" s="32"/>
      <c r="B499" s="32"/>
      <c r="I499" s="4"/>
      <c r="J499" s="13" t="s">
        <v>1814</v>
      </c>
    </row>
    <row r="500" ht="15.75" customHeight="1">
      <c r="A500" s="32"/>
      <c r="B500" s="32"/>
      <c r="I500" s="4"/>
      <c r="J500" s="13" t="s">
        <v>1814</v>
      </c>
    </row>
    <row r="501" ht="15.75" customHeight="1">
      <c r="A501" s="32"/>
      <c r="B501" s="32"/>
      <c r="I501" s="4"/>
      <c r="J501" s="13" t="s">
        <v>1814</v>
      </c>
    </row>
    <row r="502" ht="15.75" customHeight="1">
      <c r="A502" s="32"/>
      <c r="B502" s="32"/>
      <c r="I502" s="4"/>
      <c r="J502" s="13" t="s">
        <v>1814</v>
      </c>
    </row>
    <row r="503" ht="15.75" customHeight="1">
      <c r="A503" s="32"/>
      <c r="B503" s="32"/>
      <c r="I503" s="4"/>
      <c r="J503" s="13" t="s">
        <v>1814</v>
      </c>
    </row>
    <row r="504" ht="15.75" customHeight="1">
      <c r="A504" s="32"/>
      <c r="B504" s="32"/>
      <c r="I504" s="4"/>
      <c r="J504" s="13" t="s">
        <v>1814</v>
      </c>
    </row>
    <row r="505" ht="15.75" customHeight="1">
      <c r="A505" s="32"/>
      <c r="B505" s="32"/>
      <c r="I505" s="4"/>
      <c r="J505" s="13" t="s">
        <v>1814</v>
      </c>
    </row>
    <row r="506" ht="15.75" customHeight="1">
      <c r="A506" s="32"/>
      <c r="B506" s="32"/>
      <c r="I506" s="4"/>
      <c r="J506" s="13" t="s">
        <v>1814</v>
      </c>
    </row>
    <row r="507" ht="15.75" customHeight="1">
      <c r="A507" s="32"/>
      <c r="B507" s="32"/>
      <c r="I507" s="4"/>
      <c r="J507" s="13" t="s">
        <v>1814</v>
      </c>
    </row>
    <row r="508" ht="15.75" customHeight="1">
      <c r="A508" s="32"/>
      <c r="B508" s="32"/>
      <c r="I508" s="4"/>
      <c r="J508" s="13" t="s">
        <v>1814</v>
      </c>
    </row>
    <row r="509" ht="15.75" customHeight="1">
      <c r="A509" s="32"/>
      <c r="B509" s="32"/>
      <c r="I509" s="4"/>
      <c r="J509" s="13" t="s">
        <v>1814</v>
      </c>
    </row>
    <row r="510" ht="15.75" customHeight="1">
      <c r="A510" s="32"/>
      <c r="B510" s="32"/>
      <c r="I510" s="4"/>
      <c r="J510" s="13" t="s">
        <v>1814</v>
      </c>
    </row>
    <row r="511" ht="15.75" customHeight="1">
      <c r="A511" s="32"/>
      <c r="B511" s="32"/>
      <c r="I511" s="4"/>
      <c r="J511" s="13" t="s">
        <v>1814</v>
      </c>
    </row>
    <row r="512" ht="15.75" customHeight="1">
      <c r="A512" s="32"/>
      <c r="B512" s="32"/>
      <c r="I512" s="4"/>
      <c r="J512" s="13" t="s">
        <v>1814</v>
      </c>
    </row>
    <row r="513" ht="15.75" customHeight="1">
      <c r="A513" s="32"/>
      <c r="B513" s="32"/>
      <c r="I513" s="4"/>
      <c r="J513" s="13" t="s">
        <v>1814</v>
      </c>
    </row>
    <row r="514" ht="15.75" customHeight="1">
      <c r="A514" s="32"/>
      <c r="B514" s="32"/>
      <c r="I514" s="4"/>
      <c r="J514" s="13" t="s">
        <v>1814</v>
      </c>
    </row>
    <row r="515" ht="15.75" customHeight="1">
      <c r="A515" s="32"/>
      <c r="B515" s="32"/>
      <c r="I515" s="4"/>
      <c r="J515" s="13" t="s">
        <v>1814</v>
      </c>
    </row>
    <row r="516" ht="15.75" customHeight="1">
      <c r="A516" s="32"/>
      <c r="B516" s="32"/>
      <c r="I516" s="4"/>
      <c r="J516" s="13" t="s">
        <v>1814</v>
      </c>
    </row>
    <row r="517" ht="15.75" customHeight="1">
      <c r="A517" s="32"/>
      <c r="B517" s="32"/>
      <c r="I517" s="4"/>
      <c r="J517" s="13" t="s">
        <v>1814</v>
      </c>
    </row>
    <row r="518" ht="15.75" customHeight="1">
      <c r="A518" s="32"/>
      <c r="B518" s="32"/>
      <c r="I518" s="4"/>
      <c r="J518" s="13" t="s">
        <v>1814</v>
      </c>
    </row>
    <row r="519" ht="15.75" customHeight="1">
      <c r="A519" s="32"/>
      <c r="B519" s="32"/>
      <c r="I519" s="4"/>
      <c r="J519" s="13" t="s">
        <v>1814</v>
      </c>
    </row>
    <row r="520" ht="15.75" customHeight="1">
      <c r="A520" s="32"/>
      <c r="B520" s="32"/>
      <c r="I520" s="4"/>
      <c r="J520" s="13" t="s">
        <v>1814</v>
      </c>
    </row>
    <row r="521" ht="15.75" customHeight="1">
      <c r="A521" s="32"/>
      <c r="B521" s="32"/>
      <c r="I521" s="4"/>
      <c r="J521" s="13" t="s">
        <v>1814</v>
      </c>
    </row>
    <row r="522" ht="15.75" customHeight="1">
      <c r="A522" s="32"/>
      <c r="B522" s="32"/>
      <c r="I522" s="4"/>
      <c r="J522" s="13" t="s">
        <v>1814</v>
      </c>
    </row>
    <row r="523" ht="15.75" customHeight="1">
      <c r="A523" s="32"/>
      <c r="B523" s="32"/>
      <c r="I523" s="4"/>
      <c r="J523" s="13" t="s">
        <v>1814</v>
      </c>
    </row>
    <row r="524" ht="15.75" customHeight="1">
      <c r="A524" s="32"/>
      <c r="B524" s="32"/>
      <c r="I524" s="4"/>
      <c r="J524" s="13" t="s">
        <v>1814</v>
      </c>
    </row>
    <row r="525" ht="15.75" customHeight="1">
      <c r="A525" s="32"/>
      <c r="B525" s="32"/>
      <c r="I525" s="4"/>
      <c r="J525" s="13" t="s">
        <v>1814</v>
      </c>
    </row>
    <row r="526" ht="15.75" customHeight="1">
      <c r="A526" s="32"/>
      <c r="B526" s="32"/>
      <c r="I526" s="4"/>
      <c r="J526" s="13" t="s">
        <v>1814</v>
      </c>
    </row>
    <row r="527" ht="15.75" customHeight="1">
      <c r="A527" s="32"/>
      <c r="B527" s="32"/>
      <c r="I527" s="4"/>
      <c r="J527" s="13" t="s">
        <v>1814</v>
      </c>
    </row>
    <row r="528" ht="15.75" customHeight="1">
      <c r="A528" s="32"/>
      <c r="B528" s="32"/>
      <c r="I528" s="4"/>
      <c r="J528" s="13" t="s">
        <v>1814</v>
      </c>
    </row>
    <row r="529" ht="15.75" customHeight="1">
      <c r="A529" s="32"/>
      <c r="B529" s="32"/>
      <c r="I529" s="4"/>
      <c r="J529" s="13" t="s">
        <v>1814</v>
      </c>
    </row>
    <row r="530" ht="15.75" customHeight="1">
      <c r="A530" s="32"/>
      <c r="B530" s="32"/>
      <c r="I530" s="4"/>
      <c r="J530" s="13" t="s">
        <v>1814</v>
      </c>
    </row>
    <row r="531" ht="15.75" customHeight="1">
      <c r="A531" s="32"/>
      <c r="B531" s="32"/>
      <c r="I531" s="4"/>
      <c r="J531" s="13" t="s">
        <v>1814</v>
      </c>
    </row>
    <row r="532" ht="15.75" customHeight="1">
      <c r="A532" s="32"/>
      <c r="B532" s="32"/>
      <c r="I532" s="4"/>
      <c r="J532" s="13" t="s">
        <v>1814</v>
      </c>
    </row>
    <row r="533" ht="15.75" customHeight="1">
      <c r="A533" s="32"/>
      <c r="B533" s="32"/>
      <c r="I533" s="4"/>
      <c r="J533" s="13" t="s">
        <v>1814</v>
      </c>
    </row>
    <row r="534" ht="15.75" customHeight="1">
      <c r="A534" s="32"/>
      <c r="B534" s="32"/>
      <c r="I534" s="4"/>
      <c r="J534" s="13" t="s">
        <v>1814</v>
      </c>
    </row>
    <row r="535" ht="15.75" customHeight="1">
      <c r="A535" s="32"/>
      <c r="B535" s="32"/>
      <c r="I535" s="4"/>
      <c r="J535" s="13" t="s">
        <v>1814</v>
      </c>
    </row>
    <row r="536" ht="15.75" customHeight="1">
      <c r="A536" s="32"/>
      <c r="B536" s="32"/>
      <c r="I536" s="4"/>
      <c r="J536" s="13" t="s">
        <v>1814</v>
      </c>
    </row>
    <row r="537" ht="15.75" customHeight="1">
      <c r="A537" s="32"/>
      <c r="B537" s="32"/>
      <c r="I537" s="4"/>
      <c r="J537" s="13" t="s">
        <v>1814</v>
      </c>
    </row>
    <row r="538" ht="15.75" customHeight="1">
      <c r="A538" s="32"/>
      <c r="B538" s="32"/>
      <c r="I538" s="4"/>
      <c r="J538" s="13" t="s">
        <v>1814</v>
      </c>
    </row>
    <row r="539" ht="15.75" customHeight="1">
      <c r="A539" s="32"/>
      <c r="B539" s="32"/>
      <c r="I539" s="4"/>
      <c r="J539" s="13" t="s">
        <v>1814</v>
      </c>
    </row>
    <row r="540" ht="15.75" customHeight="1">
      <c r="A540" s="32"/>
      <c r="B540" s="32"/>
      <c r="I540" s="4"/>
      <c r="J540" s="13" t="s">
        <v>1814</v>
      </c>
    </row>
    <row r="541" ht="15.75" customHeight="1">
      <c r="A541" s="32"/>
      <c r="B541" s="32"/>
      <c r="I541" s="4"/>
      <c r="J541" s="13" t="s">
        <v>1814</v>
      </c>
    </row>
    <row r="542" ht="15.75" customHeight="1">
      <c r="A542" s="32"/>
      <c r="B542" s="32"/>
      <c r="I542" s="4"/>
      <c r="J542" s="13" t="s">
        <v>1814</v>
      </c>
    </row>
    <row r="543" ht="15.75" customHeight="1">
      <c r="A543" s="32"/>
      <c r="B543" s="32"/>
      <c r="I543" s="4"/>
      <c r="J543" s="13" t="s">
        <v>1814</v>
      </c>
    </row>
    <row r="544" ht="15.75" customHeight="1">
      <c r="A544" s="32"/>
      <c r="B544" s="32"/>
      <c r="I544" s="4"/>
      <c r="J544" s="13" t="s">
        <v>1814</v>
      </c>
    </row>
    <row r="545" ht="15.75" customHeight="1">
      <c r="A545" s="32"/>
      <c r="B545" s="32"/>
      <c r="I545" s="4"/>
      <c r="J545" s="13" t="s">
        <v>1814</v>
      </c>
    </row>
    <row r="546" ht="15.75" customHeight="1">
      <c r="A546" s="32"/>
      <c r="B546" s="32"/>
      <c r="I546" s="4"/>
      <c r="J546" s="13" t="s">
        <v>1814</v>
      </c>
    </row>
    <row r="547" ht="15.75" customHeight="1">
      <c r="A547" s="32"/>
      <c r="B547" s="32"/>
      <c r="I547" s="4"/>
      <c r="J547" s="13" t="s">
        <v>1814</v>
      </c>
    </row>
    <row r="548" ht="15.75" customHeight="1">
      <c r="A548" s="32"/>
      <c r="B548" s="32"/>
      <c r="I548" s="4"/>
      <c r="J548" s="13" t="s">
        <v>1814</v>
      </c>
    </row>
    <row r="549" ht="15.75" customHeight="1">
      <c r="A549" s="32"/>
      <c r="B549" s="32"/>
      <c r="I549" s="4"/>
      <c r="J549" s="13" t="s">
        <v>1814</v>
      </c>
    </row>
    <row r="550" ht="15.75" customHeight="1">
      <c r="A550" s="32"/>
      <c r="B550" s="32"/>
      <c r="I550" s="4"/>
      <c r="J550" s="13" t="s">
        <v>1814</v>
      </c>
    </row>
    <row r="551" ht="15.75" customHeight="1">
      <c r="A551" s="32"/>
      <c r="B551" s="32"/>
      <c r="I551" s="4"/>
      <c r="J551" s="13" t="s">
        <v>1814</v>
      </c>
    </row>
    <row r="552" ht="15.75" customHeight="1">
      <c r="A552" s="32"/>
      <c r="B552" s="32"/>
      <c r="I552" s="4"/>
      <c r="J552" s="13" t="s">
        <v>1814</v>
      </c>
    </row>
    <row r="553" ht="15.75" customHeight="1">
      <c r="A553" s="32"/>
      <c r="B553" s="32"/>
      <c r="I553" s="4"/>
      <c r="J553" s="13" t="s">
        <v>1814</v>
      </c>
    </row>
    <row r="554" ht="15.75" customHeight="1">
      <c r="A554" s="32"/>
      <c r="B554" s="32"/>
      <c r="I554" s="4"/>
      <c r="J554" s="13" t="s">
        <v>1814</v>
      </c>
    </row>
    <row r="555" ht="15.75" customHeight="1">
      <c r="A555" s="32"/>
      <c r="B555" s="32"/>
      <c r="I555" s="4"/>
      <c r="J555" s="13" t="s">
        <v>1814</v>
      </c>
    </row>
    <row r="556" ht="15.75" customHeight="1">
      <c r="A556" s="32"/>
      <c r="B556" s="32"/>
      <c r="I556" s="4"/>
      <c r="J556" s="13" t="s">
        <v>1814</v>
      </c>
    </row>
    <row r="557" ht="15.75" customHeight="1">
      <c r="A557" s="32"/>
      <c r="B557" s="32"/>
      <c r="I557" s="4"/>
      <c r="J557" s="13" t="s">
        <v>1814</v>
      </c>
    </row>
    <row r="558" ht="15.75" customHeight="1">
      <c r="A558" s="32"/>
      <c r="B558" s="32"/>
      <c r="I558" s="4"/>
      <c r="J558" s="13" t="s">
        <v>1814</v>
      </c>
    </row>
    <row r="559" ht="15.75" customHeight="1">
      <c r="A559" s="32"/>
      <c r="B559" s="32"/>
      <c r="I559" s="4"/>
      <c r="J559" s="13" t="s">
        <v>1814</v>
      </c>
    </row>
    <row r="560" ht="15.75" customHeight="1">
      <c r="A560" s="32"/>
      <c r="B560" s="32"/>
      <c r="I560" s="4"/>
      <c r="J560" s="13" t="s">
        <v>1814</v>
      </c>
    </row>
    <row r="561" ht="15.75" customHeight="1">
      <c r="A561" s="32"/>
      <c r="B561" s="32"/>
      <c r="I561" s="4"/>
      <c r="J561" s="13" t="s">
        <v>1814</v>
      </c>
    </row>
    <row r="562" ht="15.75" customHeight="1">
      <c r="A562" s="32"/>
      <c r="B562" s="32"/>
      <c r="I562" s="4"/>
      <c r="J562" s="13" t="s">
        <v>1814</v>
      </c>
    </row>
    <row r="563" ht="15.75" customHeight="1">
      <c r="A563" s="32"/>
      <c r="B563" s="32"/>
      <c r="I563" s="4"/>
      <c r="J563" s="13" t="s">
        <v>1814</v>
      </c>
    </row>
    <row r="564" ht="15.75" customHeight="1">
      <c r="A564" s="32"/>
      <c r="B564" s="32"/>
      <c r="I564" s="4"/>
      <c r="J564" s="13" t="s">
        <v>1814</v>
      </c>
    </row>
    <row r="565" ht="15.75" customHeight="1">
      <c r="A565" s="32"/>
      <c r="B565" s="32"/>
      <c r="I565" s="4"/>
      <c r="J565" s="13" t="s">
        <v>1814</v>
      </c>
    </row>
    <row r="566" ht="15.75" customHeight="1">
      <c r="A566" s="32"/>
      <c r="B566" s="32"/>
      <c r="I566" s="4"/>
      <c r="J566" s="13" t="s">
        <v>1814</v>
      </c>
    </row>
    <row r="567" ht="15.75" customHeight="1">
      <c r="A567" s="32"/>
      <c r="B567" s="32"/>
      <c r="I567" s="4"/>
      <c r="J567" s="13" t="s">
        <v>1814</v>
      </c>
    </row>
    <row r="568" ht="15.75" customHeight="1">
      <c r="A568" s="32"/>
      <c r="B568" s="32"/>
      <c r="I568" s="4"/>
      <c r="J568" s="13" t="s">
        <v>1814</v>
      </c>
    </row>
    <row r="569" ht="15.75" customHeight="1">
      <c r="A569" s="32"/>
      <c r="B569" s="32"/>
      <c r="I569" s="4"/>
      <c r="J569" s="13" t="s">
        <v>1814</v>
      </c>
    </row>
    <row r="570" ht="15.75" customHeight="1">
      <c r="A570" s="32"/>
      <c r="B570" s="32"/>
      <c r="I570" s="4"/>
      <c r="J570" s="13" t="s">
        <v>1814</v>
      </c>
    </row>
    <row r="571" ht="15.75" customHeight="1">
      <c r="A571" s="32"/>
      <c r="B571" s="32"/>
      <c r="I571" s="4"/>
      <c r="J571" s="13" t="s">
        <v>1814</v>
      </c>
    </row>
    <row r="572" ht="15.75" customHeight="1">
      <c r="A572" s="32"/>
      <c r="B572" s="32"/>
      <c r="I572" s="4"/>
      <c r="J572" s="13" t="s">
        <v>1814</v>
      </c>
    </row>
    <row r="573" ht="15.75" customHeight="1">
      <c r="A573" s="32"/>
      <c r="B573" s="32"/>
      <c r="I573" s="4"/>
      <c r="J573" s="13" t="s">
        <v>1814</v>
      </c>
    </row>
    <row r="574" ht="15.75" customHeight="1">
      <c r="A574" s="32"/>
      <c r="B574" s="32"/>
      <c r="I574" s="4"/>
      <c r="J574" s="13" t="s">
        <v>1814</v>
      </c>
    </row>
    <row r="575" ht="15.75" customHeight="1">
      <c r="A575" s="32"/>
      <c r="B575" s="32"/>
      <c r="I575" s="4"/>
      <c r="J575" s="13" t="s">
        <v>1814</v>
      </c>
    </row>
    <row r="576" ht="15.75" customHeight="1">
      <c r="A576" s="32"/>
      <c r="B576" s="32"/>
      <c r="I576" s="4"/>
      <c r="J576" s="13" t="s">
        <v>1814</v>
      </c>
    </row>
    <row r="577" ht="15.75" customHeight="1">
      <c r="A577" s="32"/>
      <c r="B577" s="32"/>
      <c r="I577" s="4"/>
      <c r="J577" s="13" t="s">
        <v>1814</v>
      </c>
    </row>
    <row r="578" ht="15.75" customHeight="1">
      <c r="A578" s="32"/>
      <c r="B578" s="32"/>
      <c r="I578" s="4"/>
      <c r="J578" s="13" t="s">
        <v>1814</v>
      </c>
    </row>
    <row r="579" ht="15.75" customHeight="1">
      <c r="A579" s="32"/>
      <c r="B579" s="32"/>
      <c r="I579" s="4"/>
      <c r="J579" s="13" t="s">
        <v>1814</v>
      </c>
    </row>
    <row r="580" ht="15.75" customHeight="1">
      <c r="A580" s="32"/>
      <c r="B580" s="32"/>
      <c r="I580" s="4"/>
      <c r="J580" s="13" t="s">
        <v>1814</v>
      </c>
    </row>
    <row r="581" ht="15.75" customHeight="1">
      <c r="A581" s="32"/>
      <c r="B581" s="32"/>
      <c r="I581" s="4"/>
      <c r="J581" s="13" t="s">
        <v>1814</v>
      </c>
    </row>
    <row r="582" ht="15.75" customHeight="1">
      <c r="A582" s="32"/>
      <c r="B582" s="32"/>
      <c r="I582" s="4"/>
      <c r="J582" s="13" t="s">
        <v>1814</v>
      </c>
    </row>
    <row r="583" ht="15.75" customHeight="1">
      <c r="A583" s="32"/>
      <c r="B583" s="32"/>
      <c r="I583" s="4"/>
      <c r="J583" s="13" t="s">
        <v>1814</v>
      </c>
    </row>
    <row r="584" ht="15.75" customHeight="1">
      <c r="A584" s="32"/>
      <c r="B584" s="32"/>
      <c r="I584" s="4"/>
      <c r="J584" s="13" t="s">
        <v>1814</v>
      </c>
    </row>
    <row r="585" ht="15.75" customHeight="1">
      <c r="A585" s="32"/>
      <c r="B585" s="32"/>
      <c r="I585" s="4"/>
      <c r="J585" s="13" t="s">
        <v>1814</v>
      </c>
    </row>
    <row r="586" ht="15.75" customHeight="1">
      <c r="A586" s="32"/>
      <c r="B586" s="32"/>
      <c r="I586" s="4"/>
      <c r="J586" s="13" t="s">
        <v>1814</v>
      </c>
    </row>
    <row r="587" ht="15.75" customHeight="1">
      <c r="A587" s="32"/>
      <c r="B587" s="32"/>
      <c r="I587" s="4"/>
      <c r="J587" s="13" t="s">
        <v>1814</v>
      </c>
    </row>
    <row r="588" ht="15.75" customHeight="1">
      <c r="A588" s="32"/>
      <c r="B588" s="32"/>
      <c r="I588" s="4"/>
      <c r="J588" s="13" t="s">
        <v>1814</v>
      </c>
    </row>
    <row r="589" ht="15.75" customHeight="1">
      <c r="A589" s="32"/>
      <c r="B589" s="32"/>
      <c r="I589" s="4"/>
      <c r="J589" s="13" t="s">
        <v>1814</v>
      </c>
    </row>
    <row r="590" ht="15.75" customHeight="1">
      <c r="A590" s="32"/>
      <c r="B590" s="32"/>
      <c r="I590" s="4"/>
      <c r="J590" s="13" t="s">
        <v>1814</v>
      </c>
    </row>
    <row r="591" ht="15.75" customHeight="1">
      <c r="A591" s="32"/>
      <c r="B591" s="32"/>
      <c r="I591" s="4"/>
      <c r="J591" s="13" t="s">
        <v>1814</v>
      </c>
    </row>
    <row r="592" ht="15.75" customHeight="1">
      <c r="A592" s="32"/>
      <c r="B592" s="32"/>
      <c r="I592" s="4"/>
      <c r="J592" s="13" t="s">
        <v>1814</v>
      </c>
    </row>
    <row r="593" ht="15.75" customHeight="1">
      <c r="A593" s="32"/>
      <c r="B593" s="32"/>
      <c r="I593" s="4"/>
      <c r="J593" s="13" t="s">
        <v>1814</v>
      </c>
    </row>
    <row r="594" ht="15.75" customHeight="1">
      <c r="A594" s="32"/>
      <c r="B594" s="32"/>
      <c r="I594" s="4"/>
      <c r="J594" s="13" t="s">
        <v>1814</v>
      </c>
    </row>
    <row r="595" ht="15.75" customHeight="1">
      <c r="A595" s="32"/>
      <c r="B595" s="32"/>
      <c r="I595" s="4"/>
      <c r="J595" s="13" t="s">
        <v>1814</v>
      </c>
    </row>
    <row r="596" ht="15.75" customHeight="1">
      <c r="A596" s="32"/>
      <c r="B596" s="32"/>
      <c r="I596" s="4"/>
      <c r="J596" s="13" t="s">
        <v>1814</v>
      </c>
    </row>
    <row r="597" ht="15.75" customHeight="1">
      <c r="A597" s="32"/>
      <c r="B597" s="32"/>
      <c r="I597" s="4"/>
      <c r="J597" s="13" t="s">
        <v>1814</v>
      </c>
    </row>
    <row r="598" ht="15.75" customHeight="1">
      <c r="A598" s="32"/>
      <c r="B598" s="32"/>
      <c r="I598" s="4"/>
      <c r="J598" s="13" t="s">
        <v>1814</v>
      </c>
    </row>
    <row r="599" ht="15.75" customHeight="1">
      <c r="A599" s="32"/>
      <c r="B599" s="32"/>
      <c r="I599" s="4"/>
      <c r="J599" s="13" t="s">
        <v>1814</v>
      </c>
    </row>
    <row r="600" ht="15.75" customHeight="1">
      <c r="A600" s="32"/>
      <c r="B600" s="32"/>
      <c r="I600" s="4"/>
      <c r="J600" s="13" t="s">
        <v>1814</v>
      </c>
    </row>
    <row r="601" ht="15.75" customHeight="1">
      <c r="A601" s="32"/>
      <c r="B601" s="32"/>
      <c r="I601" s="4"/>
      <c r="J601" s="13" t="s">
        <v>1814</v>
      </c>
    </row>
    <row r="602" ht="15.75" customHeight="1">
      <c r="A602" s="32"/>
      <c r="B602" s="32"/>
      <c r="I602" s="4"/>
      <c r="J602" s="13" t="s">
        <v>1814</v>
      </c>
    </row>
    <row r="603" ht="15.75" customHeight="1">
      <c r="A603" s="32"/>
      <c r="B603" s="32"/>
      <c r="I603" s="4"/>
      <c r="J603" s="13" t="s">
        <v>1814</v>
      </c>
    </row>
    <row r="604" ht="15.75" customHeight="1">
      <c r="A604" s="32"/>
      <c r="B604" s="32"/>
      <c r="I604" s="4"/>
      <c r="J604" s="13" t="s">
        <v>1814</v>
      </c>
    </row>
    <row r="605" ht="15.75" customHeight="1">
      <c r="A605" s="32"/>
      <c r="B605" s="32"/>
      <c r="I605" s="4"/>
      <c r="J605" s="13" t="s">
        <v>1814</v>
      </c>
    </row>
    <row r="606" ht="15.75" customHeight="1">
      <c r="A606" s="32"/>
      <c r="B606" s="32"/>
      <c r="I606" s="4"/>
      <c r="J606" s="13" t="s">
        <v>1814</v>
      </c>
    </row>
    <row r="607" ht="15.75" customHeight="1">
      <c r="A607" s="32"/>
      <c r="B607" s="32"/>
      <c r="I607" s="4"/>
      <c r="J607" s="13" t="s">
        <v>1814</v>
      </c>
    </row>
    <row r="608" ht="15.75" customHeight="1">
      <c r="A608" s="32"/>
      <c r="B608" s="32"/>
      <c r="I608" s="4"/>
      <c r="J608" s="13" t="s">
        <v>1814</v>
      </c>
    </row>
    <row r="609" ht="15.75" customHeight="1">
      <c r="A609" s="32"/>
      <c r="B609" s="32"/>
      <c r="I609" s="4"/>
      <c r="J609" s="13" t="s">
        <v>1814</v>
      </c>
    </row>
    <row r="610" ht="15.75" customHeight="1">
      <c r="A610" s="32"/>
      <c r="B610" s="32"/>
      <c r="I610" s="4"/>
      <c r="J610" s="13" t="s">
        <v>1814</v>
      </c>
    </row>
    <row r="611" ht="15.75" customHeight="1">
      <c r="A611" s="32"/>
      <c r="B611" s="32"/>
      <c r="I611" s="4"/>
      <c r="J611" s="13" t="s">
        <v>1814</v>
      </c>
    </row>
    <row r="612" ht="15.75" customHeight="1">
      <c r="A612" s="32"/>
      <c r="B612" s="32"/>
      <c r="I612" s="4"/>
      <c r="J612" s="13" t="s">
        <v>1814</v>
      </c>
    </row>
    <row r="613" ht="15.75" customHeight="1">
      <c r="A613" s="32"/>
      <c r="B613" s="32"/>
      <c r="I613" s="4"/>
      <c r="J613" s="13" t="s">
        <v>1814</v>
      </c>
    </row>
    <row r="614" ht="15.75" customHeight="1">
      <c r="A614" s="32"/>
      <c r="B614" s="32"/>
      <c r="I614" s="4"/>
      <c r="J614" s="13" t="s">
        <v>1814</v>
      </c>
    </row>
    <row r="615" ht="15.75" customHeight="1">
      <c r="A615" s="32"/>
      <c r="B615" s="32"/>
      <c r="I615" s="4"/>
      <c r="J615" s="13" t="s">
        <v>1814</v>
      </c>
    </row>
    <row r="616" ht="15.75" customHeight="1">
      <c r="A616" s="32"/>
      <c r="B616" s="32"/>
      <c r="I616" s="4"/>
      <c r="J616" s="13" t="s">
        <v>1814</v>
      </c>
    </row>
    <row r="617" ht="15.75" customHeight="1">
      <c r="A617" s="32"/>
      <c r="B617" s="32"/>
      <c r="I617" s="4"/>
      <c r="J617" s="13" t="s">
        <v>1814</v>
      </c>
    </row>
    <row r="618" ht="15.75" customHeight="1">
      <c r="A618" s="32"/>
      <c r="B618" s="32"/>
      <c r="I618" s="4"/>
      <c r="J618" s="13" t="s">
        <v>1814</v>
      </c>
    </row>
    <row r="619" ht="15.75" customHeight="1">
      <c r="A619" s="32"/>
      <c r="B619" s="32"/>
      <c r="I619" s="4"/>
      <c r="J619" s="13" t="s">
        <v>1814</v>
      </c>
    </row>
    <row r="620" ht="15.75" customHeight="1">
      <c r="A620" s="32"/>
      <c r="B620" s="32"/>
      <c r="I620" s="4"/>
      <c r="J620" s="13" t="s">
        <v>1814</v>
      </c>
    </row>
    <row r="621" ht="15.75" customHeight="1">
      <c r="A621" s="32"/>
      <c r="B621" s="32"/>
      <c r="I621" s="4"/>
      <c r="J621" s="13" t="s">
        <v>1814</v>
      </c>
    </row>
    <row r="622" ht="15.75" customHeight="1">
      <c r="A622" s="32"/>
      <c r="B622" s="32"/>
      <c r="I622" s="4"/>
      <c r="J622" s="13" t="s">
        <v>1814</v>
      </c>
    </row>
    <row r="623" ht="15.75" customHeight="1">
      <c r="A623" s="32"/>
      <c r="B623" s="32"/>
      <c r="I623" s="4"/>
      <c r="J623" s="13" t="s">
        <v>1814</v>
      </c>
    </row>
    <row r="624" ht="15.75" customHeight="1">
      <c r="A624" s="32"/>
      <c r="B624" s="32"/>
      <c r="I624" s="4"/>
      <c r="J624" s="13" t="s">
        <v>1814</v>
      </c>
    </row>
    <row r="625" ht="15.75" customHeight="1">
      <c r="A625" s="32"/>
      <c r="B625" s="32"/>
      <c r="I625" s="4"/>
      <c r="J625" s="13" t="s">
        <v>1814</v>
      </c>
    </row>
    <row r="626" ht="15.75" customHeight="1">
      <c r="A626" s="32"/>
      <c r="B626" s="32"/>
      <c r="I626" s="4"/>
      <c r="J626" s="13" t="s">
        <v>1814</v>
      </c>
    </row>
    <row r="627" ht="15.75" customHeight="1">
      <c r="A627" s="32"/>
      <c r="B627" s="32"/>
      <c r="I627" s="4"/>
      <c r="J627" s="13" t="s">
        <v>1814</v>
      </c>
    </row>
    <row r="628" ht="15.75" customHeight="1">
      <c r="A628" s="32"/>
      <c r="B628" s="32"/>
      <c r="I628" s="4"/>
      <c r="J628" s="13" t="s">
        <v>1814</v>
      </c>
    </row>
    <row r="629" ht="15.75" customHeight="1">
      <c r="A629" s="32"/>
      <c r="B629" s="32"/>
      <c r="I629" s="4"/>
      <c r="J629" s="13" t="s">
        <v>1814</v>
      </c>
    </row>
    <row r="630" ht="15.75" customHeight="1">
      <c r="A630" s="32"/>
      <c r="B630" s="32"/>
      <c r="I630" s="4"/>
      <c r="J630" s="13" t="s">
        <v>1814</v>
      </c>
    </row>
    <row r="631" ht="15.75" customHeight="1">
      <c r="A631" s="32"/>
      <c r="B631" s="32"/>
      <c r="I631" s="4"/>
      <c r="J631" s="13" t="s">
        <v>1814</v>
      </c>
    </row>
    <row r="632" ht="15.75" customHeight="1">
      <c r="A632" s="32"/>
      <c r="B632" s="32"/>
      <c r="I632" s="4"/>
      <c r="J632" s="13" t="s">
        <v>1814</v>
      </c>
    </row>
    <row r="633" ht="15.75" customHeight="1">
      <c r="A633" s="32"/>
      <c r="B633" s="32"/>
      <c r="I633" s="4"/>
      <c r="J633" s="13" t="s">
        <v>1814</v>
      </c>
    </row>
    <row r="634" ht="15.75" customHeight="1">
      <c r="A634" s="32"/>
      <c r="B634" s="32"/>
      <c r="I634" s="4"/>
      <c r="J634" s="13" t="s">
        <v>1814</v>
      </c>
    </row>
    <row r="635" ht="15.75" customHeight="1">
      <c r="A635" s="32"/>
      <c r="B635" s="32"/>
      <c r="I635" s="4"/>
      <c r="J635" s="13" t="s">
        <v>1814</v>
      </c>
    </row>
    <row r="636" ht="15.75" customHeight="1">
      <c r="A636" s="32"/>
      <c r="B636" s="32"/>
      <c r="I636" s="4"/>
      <c r="J636" s="13" t="s">
        <v>1814</v>
      </c>
    </row>
    <row r="637" ht="15.75" customHeight="1">
      <c r="A637" s="32"/>
      <c r="B637" s="32"/>
      <c r="I637" s="4"/>
      <c r="J637" s="13" t="s">
        <v>1814</v>
      </c>
    </row>
    <row r="638" ht="15.75" customHeight="1">
      <c r="A638" s="32"/>
      <c r="B638" s="32"/>
      <c r="I638" s="4"/>
      <c r="J638" s="13" t="s">
        <v>1814</v>
      </c>
    </row>
    <row r="639" ht="15.75" customHeight="1">
      <c r="A639" s="32"/>
      <c r="B639" s="32"/>
      <c r="I639" s="4"/>
      <c r="J639" s="13" t="s">
        <v>1814</v>
      </c>
    </row>
    <row r="640" ht="15.75" customHeight="1">
      <c r="A640" s="32"/>
      <c r="B640" s="32"/>
      <c r="I640" s="4"/>
      <c r="J640" s="13" t="s">
        <v>1814</v>
      </c>
    </row>
    <row r="641" ht="15.75" customHeight="1">
      <c r="A641" s="32"/>
      <c r="B641" s="32"/>
      <c r="I641" s="4"/>
      <c r="J641" s="13" t="s">
        <v>1814</v>
      </c>
    </row>
    <row r="642" ht="15.75" customHeight="1">
      <c r="A642" s="32"/>
      <c r="B642" s="32"/>
      <c r="I642" s="4"/>
      <c r="J642" s="13" t="s">
        <v>1814</v>
      </c>
    </row>
    <row r="643" ht="15.75" customHeight="1">
      <c r="A643" s="32"/>
      <c r="B643" s="32"/>
      <c r="I643" s="4"/>
      <c r="J643" s="13" t="s">
        <v>1814</v>
      </c>
    </row>
    <row r="644" ht="15.75" customHeight="1">
      <c r="A644" s="32"/>
      <c r="B644" s="32"/>
      <c r="I644" s="4"/>
      <c r="J644" s="13" t="s">
        <v>1814</v>
      </c>
    </row>
    <row r="645" ht="15.75" customHeight="1">
      <c r="A645" s="32"/>
      <c r="B645" s="32"/>
      <c r="I645" s="4"/>
      <c r="J645" s="13" t="s">
        <v>1814</v>
      </c>
    </row>
    <row r="646" ht="15.75" customHeight="1">
      <c r="A646" s="32"/>
      <c r="B646" s="32"/>
      <c r="I646" s="4"/>
      <c r="J646" s="13" t="s">
        <v>1814</v>
      </c>
    </row>
    <row r="647" ht="15.75" customHeight="1">
      <c r="A647" s="32"/>
      <c r="B647" s="32"/>
      <c r="I647" s="4"/>
      <c r="J647" s="13" t="s">
        <v>1814</v>
      </c>
    </row>
    <row r="648" ht="15.75" customHeight="1">
      <c r="A648" s="32"/>
      <c r="B648" s="32"/>
      <c r="I648" s="4"/>
      <c r="J648" s="13" t="s">
        <v>1814</v>
      </c>
    </row>
    <row r="649" ht="15.75" customHeight="1">
      <c r="A649" s="32"/>
      <c r="B649" s="32"/>
      <c r="I649" s="4"/>
      <c r="J649" s="13" t="s">
        <v>1814</v>
      </c>
    </row>
    <row r="650" ht="15.75" customHeight="1">
      <c r="A650" s="32"/>
      <c r="B650" s="32"/>
      <c r="I650" s="4"/>
      <c r="J650" s="13" t="s">
        <v>1814</v>
      </c>
    </row>
    <row r="651" ht="15.75" customHeight="1">
      <c r="A651" s="32"/>
      <c r="B651" s="32"/>
      <c r="I651" s="4"/>
      <c r="J651" s="13" t="s">
        <v>1814</v>
      </c>
    </row>
    <row r="652" ht="15.75" customHeight="1">
      <c r="A652" s="32"/>
      <c r="B652" s="32"/>
      <c r="I652" s="4"/>
      <c r="J652" s="13" t="s">
        <v>1814</v>
      </c>
    </row>
    <row r="653" ht="15.75" customHeight="1">
      <c r="A653" s="32"/>
      <c r="B653" s="32"/>
      <c r="I653" s="4"/>
      <c r="J653" s="13" t="s">
        <v>1814</v>
      </c>
    </row>
    <row r="654" ht="15.75" customHeight="1">
      <c r="A654" s="32"/>
      <c r="B654" s="32"/>
      <c r="I654" s="4"/>
      <c r="J654" s="13" t="s">
        <v>1814</v>
      </c>
    </row>
    <row r="655" ht="15.75" customHeight="1">
      <c r="A655" s="32"/>
      <c r="B655" s="32"/>
      <c r="I655" s="4"/>
      <c r="J655" s="13" t="s">
        <v>1814</v>
      </c>
    </row>
    <row r="656" ht="15.75" customHeight="1">
      <c r="A656" s="32"/>
      <c r="B656" s="32"/>
      <c r="I656" s="4"/>
      <c r="J656" s="13" t="s">
        <v>1814</v>
      </c>
    </row>
    <row r="657" ht="15.75" customHeight="1">
      <c r="A657" s="32"/>
      <c r="B657" s="32"/>
      <c r="I657" s="4"/>
      <c r="J657" s="13" t="s">
        <v>1814</v>
      </c>
    </row>
    <row r="658" ht="15.75" customHeight="1">
      <c r="A658" s="32"/>
      <c r="B658" s="32"/>
      <c r="I658" s="4"/>
      <c r="J658" s="13" t="s">
        <v>1814</v>
      </c>
    </row>
    <row r="659" ht="15.75" customHeight="1">
      <c r="A659" s="32"/>
      <c r="B659" s="32"/>
      <c r="I659" s="4"/>
      <c r="J659" s="13" t="s">
        <v>1814</v>
      </c>
    </row>
    <row r="660" ht="15.75" customHeight="1">
      <c r="A660" s="32"/>
      <c r="B660" s="32"/>
      <c r="I660" s="4"/>
      <c r="J660" s="13" t="s">
        <v>1814</v>
      </c>
    </row>
    <row r="661" ht="15.75" customHeight="1">
      <c r="A661" s="32"/>
      <c r="B661" s="32"/>
      <c r="I661" s="4"/>
      <c r="J661" s="13" t="s">
        <v>1814</v>
      </c>
    </row>
    <row r="662" ht="15.75" customHeight="1">
      <c r="A662" s="32"/>
      <c r="B662" s="32"/>
      <c r="I662" s="4"/>
      <c r="J662" s="13" t="s">
        <v>1814</v>
      </c>
    </row>
    <row r="663" ht="15.75" customHeight="1">
      <c r="A663" s="32"/>
      <c r="B663" s="32"/>
      <c r="I663" s="4"/>
      <c r="J663" s="13" t="s">
        <v>1814</v>
      </c>
    </row>
    <row r="664" ht="15.75" customHeight="1">
      <c r="A664" s="32"/>
      <c r="B664" s="32"/>
      <c r="I664" s="4"/>
      <c r="J664" s="13" t="s">
        <v>1814</v>
      </c>
    </row>
    <row r="665" ht="15.75" customHeight="1">
      <c r="A665" s="32"/>
      <c r="B665" s="32"/>
      <c r="I665" s="4"/>
      <c r="J665" s="13" t="s">
        <v>1814</v>
      </c>
    </row>
    <row r="666" ht="15.75" customHeight="1">
      <c r="A666" s="32"/>
      <c r="B666" s="32"/>
      <c r="I666" s="4"/>
      <c r="J666" s="13" t="s">
        <v>1814</v>
      </c>
    </row>
    <row r="667" ht="15.75" customHeight="1">
      <c r="A667" s="32"/>
      <c r="B667" s="32"/>
      <c r="I667" s="4"/>
      <c r="J667" s="13" t="s">
        <v>1814</v>
      </c>
    </row>
    <row r="668" ht="15.75" customHeight="1">
      <c r="A668" s="32"/>
      <c r="B668" s="32"/>
      <c r="I668" s="4"/>
      <c r="J668" s="13" t="s">
        <v>1814</v>
      </c>
    </row>
    <row r="669" ht="15.75" customHeight="1">
      <c r="A669" s="32"/>
      <c r="B669" s="32"/>
      <c r="I669" s="4"/>
      <c r="J669" s="13" t="s">
        <v>1814</v>
      </c>
    </row>
    <row r="670" ht="15.75" customHeight="1">
      <c r="A670" s="32"/>
      <c r="B670" s="32"/>
      <c r="I670" s="4"/>
      <c r="J670" s="13" t="s">
        <v>1814</v>
      </c>
    </row>
    <row r="671" ht="15.75" customHeight="1">
      <c r="A671" s="32"/>
      <c r="B671" s="32"/>
      <c r="I671" s="4"/>
      <c r="J671" s="13" t="s">
        <v>1814</v>
      </c>
    </row>
    <row r="672" ht="15.75" customHeight="1">
      <c r="A672" s="32"/>
      <c r="B672" s="32"/>
      <c r="I672" s="4"/>
      <c r="J672" s="13" t="s">
        <v>1814</v>
      </c>
    </row>
    <row r="673" ht="15.75" customHeight="1">
      <c r="A673" s="32"/>
      <c r="B673" s="32"/>
      <c r="I673" s="4"/>
      <c r="J673" s="13" t="s">
        <v>1814</v>
      </c>
    </row>
    <row r="674" ht="15.75" customHeight="1">
      <c r="A674" s="32"/>
      <c r="B674" s="32"/>
      <c r="I674" s="4"/>
      <c r="J674" s="13" t="s">
        <v>1814</v>
      </c>
    </row>
    <row r="675" ht="15.75" customHeight="1">
      <c r="A675" s="32"/>
      <c r="B675" s="32"/>
      <c r="I675" s="4"/>
      <c r="J675" s="13" t="s">
        <v>1814</v>
      </c>
    </row>
    <row r="676" ht="15.75" customHeight="1">
      <c r="A676" s="32"/>
      <c r="B676" s="32"/>
      <c r="I676" s="4"/>
      <c r="J676" s="13" t="s">
        <v>1814</v>
      </c>
    </row>
    <row r="677" ht="15.75" customHeight="1">
      <c r="A677" s="32"/>
      <c r="B677" s="32"/>
      <c r="I677" s="4"/>
      <c r="J677" s="13" t="s">
        <v>1814</v>
      </c>
    </row>
    <row r="678" ht="15.75" customHeight="1">
      <c r="A678" s="32"/>
      <c r="B678" s="32"/>
      <c r="I678" s="4"/>
      <c r="J678" s="13" t="s">
        <v>1814</v>
      </c>
    </row>
    <row r="679" ht="15.75" customHeight="1">
      <c r="A679" s="32"/>
      <c r="B679" s="32"/>
      <c r="I679" s="4"/>
      <c r="J679" s="13" t="s">
        <v>1814</v>
      </c>
    </row>
    <row r="680" ht="15.75" customHeight="1">
      <c r="A680" s="32"/>
      <c r="B680" s="32"/>
      <c r="I680" s="4"/>
      <c r="J680" s="13" t="s">
        <v>1814</v>
      </c>
    </row>
    <row r="681" ht="15.75" customHeight="1">
      <c r="A681" s="32"/>
      <c r="B681" s="32"/>
      <c r="I681" s="4"/>
      <c r="J681" s="13" t="s">
        <v>1814</v>
      </c>
    </row>
    <row r="682" ht="15.75" customHeight="1">
      <c r="A682" s="32"/>
      <c r="B682" s="32"/>
      <c r="I682" s="4"/>
      <c r="J682" s="13" t="s">
        <v>1814</v>
      </c>
    </row>
    <row r="683" ht="15.75" customHeight="1">
      <c r="A683" s="32"/>
      <c r="B683" s="32"/>
      <c r="I683" s="4"/>
      <c r="J683" s="13" t="s">
        <v>1814</v>
      </c>
    </row>
    <row r="684" ht="15.75" customHeight="1">
      <c r="A684" s="32"/>
      <c r="B684" s="32"/>
      <c r="I684" s="4"/>
      <c r="J684" s="13" t="s">
        <v>1814</v>
      </c>
    </row>
    <row r="685" ht="15.75" customHeight="1">
      <c r="A685" s="32"/>
      <c r="B685" s="32"/>
      <c r="I685" s="4"/>
      <c r="J685" s="13" t="s">
        <v>1814</v>
      </c>
    </row>
    <row r="686" ht="15.75" customHeight="1">
      <c r="A686" s="32"/>
      <c r="B686" s="32"/>
      <c r="I686" s="4"/>
      <c r="J686" s="13" t="s">
        <v>1814</v>
      </c>
    </row>
    <row r="687" ht="15.75" customHeight="1">
      <c r="A687" s="32"/>
      <c r="B687" s="32"/>
      <c r="I687" s="4"/>
      <c r="J687" s="13" t="s">
        <v>1814</v>
      </c>
    </row>
    <row r="688" ht="15.75" customHeight="1">
      <c r="A688" s="32"/>
      <c r="B688" s="32"/>
      <c r="I688" s="4"/>
      <c r="J688" s="13" t="s">
        <v>1814</v>
      </c>
    </row>
    <row r="689" ht="15.75" customHeight="1">
      <c r="A689" s="32"/>
      <c r="B689" s="32"/>
      <c r="I689" s="4"/>
      <c r="J689" s="13" t="s">
        <v>1814</v>
      </c>
    </row>
    <row r="690" ht="15.75" customHeight="1">
      <c r="A690" s="32"/>
      <c r="B690" s="32"/>
      <c r="I690" s="4"/>
      <c r="J690" s="13" t="s">
        <v>1814</v>
      </c>
    </row>
    <row r="691" ht="15.75" customHeight="1">
      <c r="A691" s="32"/>
      <c r="B691" s="32"/>
      <c r="I691" s="4"/>
      <c r="J691" s="13" t="s">
        <v>1814</v>
      </c>
    </row>
    <row r="692" ht="15.75" customHeight="1">
      <c r="A692" s="32"/>
      <c r="B692" s="32"/>
      <c r="I692" s="4"/>
      <c r="J692" s="13" t="s">
        <v>1814</v>
      </c>
    </row>
    <row r="693" ht="15.75" customHeight="1">
      <c r="A693" s="32"/>
      <c r="B693" s="32"/>
      <c r="I693" s="4"/>
      <c r="J693" s="13" t="s">
        <v>1814</v>
      </c>
    </row>
    <row r="694" ht="15.75" customHeight="1">
      <c r="A694" s="32"/>
      <c r="B694" s="32"/>
      <c r="I694" s="4"/>
      <c r="J694" s="13" t="s">
        <v>1814</v>
      </c>
    </row>
    <row r="695" ht="15.75" customHeight="1">
      <c r="A695" s="32"/>
      <c r="B695" s="32"/>
      <c r="I695" s="4"/>
      <c r="J695" s="13" t="s">
        <v>1814</v>
      </c>
    </row>
    <row r="696" ht="15.75" customHeight="1">
      <c r="A696" s="32"/>
      <c r="B696" s="32"/>
      <c r="I696" s="4"/>
      <c r="J696" s="13" t="s">
        <v>1814</v>
      </c>
    </row>
    <row r="697" ht="15.75" customHeight="1">
      <c r="A697" s="32"/>
      <c r="B697" s="32"/>
      <c r="I697" s="4"/>
      <c r="J697" s="13" t="s">
        <v>1814</v>
      </c>
    </row>
    <row r="698" ht="15.75" customHeight="1">
      <c r="A698" s="32"/>
      <c r="B698" s="32"/>
      <c r="I698" s="4"/>
      <c r="J698" s="13" t="s">
        <v>1814</v>
      </c>
    </row>
    <row r="699" ht="15.75" customHeight="1">
      <c r="A699" s="32"/>
      <c r="B699" s="32"/>
      <c r="I699" s="4"/>
      <c r="J699" s="13" t="s">
        <v>1814</v>
      </c>
    </row>
    <row r="700" ht="15.75" customHeight="1">
      <c r="A700" s="32"/>
      <c r="B700" s="32"/>
      <c r="I700" s="4"/>
      <c r="J700" s="13" t="s">
        <v>1814</v>
      </c>
    </row>
    <row r="701" ht="15.75" customHeight="1">
      <c r="A701" s="32"/>
      <c r="B701" s="32"/>
      <c r="I701" s="4"/>
      <c r="J701" s="13" t="s">
        <v>1814</v>
      </c>
    </row>
    <row r="702" ht="15.75" customHeight="1">
      <c r="A702" s="32"/>
      <c r="B702" s="32"/>
      <c r="I702" s="4"/>
      <c r="J702" s="13" t="s">
        <v>1814</v>
      </c>
    </row>
    <row r="703" ht="15.75" customHeight="1">
      <c r="A703" s="32"/>
      <c r="B703" s="32"/>
      <c r="I703" s="4"/>
      <c r="J703" s="13" t="s">
        <v>1814</v>
      </c>
    </row>
    <row r="704" ht="15.75" customHeight="1">
      <c r="A704" s="32"/>
      <c r="B704" s="32"/>
      <c r="I704" s="4"/>
      <c r="J704" s="13" t="s">
        <v>1814</v>
      </c>
    </row>
    <row r="705" ht="15.75" customHeight="1">
      <c r="A705" s="32"/>
      <c r="B705" s="32"/>
      <c r="I705" s="4"/>
      <c r="J705" s="13" t="s">
        <v>1814</v>
      </c>
    </row>
    <row r="706" ht="15.75" customHeight="1">
      <c r="A706" s="32"/>
      <c r="B706" s="32"/>
      <c r="I706" s="4"/>
      <c r="J706" s="13" t="s">
        <v>1814</v>
      </c>
    </row>
    <row r="707" ht="15.75" customHeight="1">
      <c r="A707" s="32"/>
      <c r="B707" s="32"/>
      <c r="I707" s="4"/>
      <c r="J707" s="13" t="s">
        <v>1814</v>
      </c>
    </row>
    <row r="708" ht="15.75" customHeight="1">
      <c r="A708" s="32"/>
      <c r="B708" s="32"/>
      <c r="I708" s="4"/>
      <c r="J708" s="13" t="s">
        <v>1814</v>
      </c>
    </row>
    <row r="709" ht="15.75" customHeight="1">
      <c r="A709" s="32"/>
      <c r="B709" s="32"/>
      <c r="I709" s="4"/>
      <c r="J709" s="13" t="s">
        <v>1814</v>
      </c>
    </row>
    <row r="710" ht="15.75" customHeight="1">
      <c r="A710" s="32"/>
      <c r="B710" s="32"/>
      <c r="I710" s="4"/>
      <c r="J710" s="13" t="s">
        <v>1814</v>
      </c>
    </row>
    <row r="711" ht="15.75" customHeight="1">
      <c r="A711" s="32"/>
      <c r="B711" s="32"/>
      <c r="I711" s="4"/>
      <c r="J711" s="13" t="s">
        <v>1814</v>
      </c>
    </row>
    <row r="712" ht="15.75" customHeight="1">
      <c r="A712" s="32"/>
      <c r="B712" s="32"/>
      <c r="I712" s="4"/>
      <c r="J712" s="13" t="s">
        <v>1814</v>
      </c>
    </row>
    <row r="713" ht="15.75" customHeight="1">
      <c r="A713" s="32"/>
      <c r="B713" s="32"/>
      <c r="I713" s="4"/>
      <c r="J713" s="13" t="s">
        <v>1814</v>
      </c>
    </row>
    <row r="714" ht="15.75" customHeight="1">
      <c r="A714" s="32"/>
      <c r="B714" s="32"/>
      <c r="I714" s="4"/>
      <c r="J714" s="13" t="s">
        <v>1814</v>
      </c>
    </row>
    <row r="715" ht="15.75" customHeight="1">
      <c r="A715" s="32"/>
      <c r="B715" s="32"/>
      <c r="I715" s="4"/>
      <c r="J715" s="13" t="s">
        <v>1814</v>
      </c>
    </row>
    <row r="716" ht="15.75" customHeight="1">
      <c r="A716" s="32"/>
      <c r="B716" s="32"/>
      <c r="I716" s="4"/>
      <c r="J716" s="13" t="s">
        <v>1814</v>
      </c>
    </row>
    <row r="717" ht="15.75" customHeight="1">
      <c r="A717" s="32"/>
      <c r="B717" s="32"/>
      <c r="I717" s="4"/>
      <c r="J717" s="13" t="s">
        <v>1814</v>
      </c>
    </row>
    <row r="718" ht="15.75" customHeight="1">
      <c r="A718" s="32"/>
      <c r="B718" s="32"/>
      <c r="I718" s="4"/>
      <c r="J718" s="13" t="s">
        <v>1814</v>
      </c>
    </row>
    <row r="719" ht="15.75" customHeight="1">
      <c r="A719" s="32"/>
      <c r="B719" s="32"/>
      <c r="I719" s="4"/>
      <c r="J719" s="13" t="s">
        <v>1814</v>
      </c>
    </row>
    <row r="720" ht="15.75" customHeight="1">
      <c r="A720" s="32"/>
      <c r="B720" s="32"/>
      <c r="I720" s="4"/>
      <c r="J720" s="13" t="s">
        <v>1814</v>
      </c>
    </row>
    <row r="721" ht="15.75" customHeight="1">
      <c r="A721" s="32"/>
      <c r="B721" s="32"/>
      <c r="I721" s="4"/>
      <c r="J721" s="13" t="s">
        <v>1814</v>
      </c>
    </row>
    <row r="722" ht="15.75" customHeight="1">
      <c r="A722" s="32"/>
      <c r="B722" s="32"/>
      <c r="I722" s="4"/>
      <c r="J722" s="13" t="s">
        <v>1814</v>
      </c>
    </row>
    <row r="723" ht="15.75" customHeight="1">
      <c r="A723" s="32"/>
      <c r="B723" s="32"/>
      <c r="I723" s="4"/>
      <c r="J723" s="13" t="s">
        <v>1814</v>
      </c>
    </row>
    <row r="724" ht="15.75" customHeight="1">
      <c r="A724" s="32"/>
      <c r="B724" s="32"/>
      <c r="I724" s="4"/>
      <c r="J724" s="13" t="s">
        <v>1814</v>
      </c>
    </row>
    <row r="725" ht="15.75" customHeight="1">
      <c r="A725" s="32"/>
      <c r="B725" s="32"/>
      <c r="I725" s="4"/>
      <c r="J725" s="13" t="s">
        <v>1814</v>
      </c>
    </row>
    <row r="726" ht="15.75" customHeight="1">
      <c r="A726" s="32"/>
      <c r="B726" s="32"/>
      <c r="I726" s="4"/>
      <c r="J726" s="13" t="s">
        <v>1814</v>
      </c>
    </row>
    <row r="727" ht="15.75" customHeight="1">
      <c r="A727" s="32"/>
      <c r="B727" s="32"/>
      <c r="I727" s="4"/>
      <c r="J727" s="13" t="s">
        <v>1814</v>
      </c>
    </row>
    <row r="728" ht="15.75" customHeight="1">
      <c r="A728" s="32"/>
      <c r="B728" s="32"/>
      <c r="I728" s="4"/>
      <c r="J728" s="13" t="s">
        <v>1814</v>
      </c>
    </row>
    <row r="729" ht="15.75" customHeight="1">
      <c r="A729" s="32"/>
      <c r="B729" s="32"/>
      <c r="I729" s="4"/>
      <c r="J729" s="13" t="s">
        <v>1814</v>
      </c>
    </row>
    <row r="730" ht="15.75" customHeight="1">
      <c r="A730" s="32"/>
      <c r="B730" s="32"/>
      <c r="I730" s="4"/>
      <c r="J730" s="13" t="s">
        <v>1814</v>
      </c>
    </row>
    <row r="731" ht="15.75" customHeight="1">
      <c r="A731" s="32"/>
      <c r="B731" s="32"/>
      <c r="I731" s="4"/>
      <c r="J731" s="13" t="s">
        <v>1814</v>
      </c>
    </row>
    <row r="732" ht="15.75" customHeight="1">
      <c r="A732" s="32"/>
      <c r="B732" s="32"/>
      <c r="I732" s="4"/>
      <c r="J732" s="13" t="s">
        <v>1814</v>
      </c>
    </row>
    <row r="733" ht="15.75" customHeight="1">
      <c r="A733" s="32"/>
      <c r="B733" s="32"/>
      <c r="I733" s="4"/>
      <c r="J733" s="13" t="s">
        <v>1814</v>
      </c>
    </row>
    <row r="734" ht="15.75" customHeight="1">
      <c r="A734" s="32"/>
      <c r="B734" s="32"/>
      <c r="I734" s="4"/>
      <c r="J734" s="13" t="s">
        <v>1814</v>
      </c>
    </row>
    <row r="735" ht="15.75" customHeight="1">
      <c r="A735" s="32"/>
      <c r="B735" s="32"/>
      <c r="I735" s="4"/>
      <c r="J735" s="13" t="s">
        <v>1814</v>
      </c>
    </row>
    <row r="736" ht="15.75" customHeight="1">
      <c r="A736" s="32"/>
      <c r="B736" s="32"/>
      <c r="I736" s="4"/>
      <c r="J736" s="13" t="s">
        <v>1814</v>
      </c>
    </row>
    <row r="737" ht="15.75" customHeight="1">
      <c r="A737" s="32"/>
      <c r="B737" s="32"/>
      <c r="I737" s="4"/>
      <c r="J737" s="13" t="s">
        <v>1814</v>
      </c>
    </row>
    <row r="738" ht="15.75" customHeight="1">
      <c r="A738" s="32"/>
      <c r="B738" s="32"/>
      <c r="I738" s="4"/>
      <c r="J738" s="13" t="s">
        <v>1814</v>
      </c>
    </row>
    <row r="739" ht="15.75" customHeight="1">
      <c r="A739" s="32"/>
      <c r="B739" s="32"/>
      <c r="I739" s="4"/>
      <c r="J739" s="13" t="s">
        <v>1814</v>
      </c>
    </row>
    <row r="740" ht="15.75" customHeight="1">
      <c r="A740" s="32"/>
      <c r="B740" s="32"/>
      <c r="I740" s="4"/>
      <c r="J740" s="13" t="s">
        <v>1814</v>
      </c>
    </row>
    <row r="741" ht="15.75" customHeight="1">
      <c r="A741" s="32"/>
      <c r="B741" s="32"/>
      <c r="I741" s="4"/>
      <c r="J741" s="13" t="s">
        <v>1814</v>
      </c>
    </row>
    <row r="742" ht="15.75" customHeight="1">
      <c r="A742" s="32"/>
      <c r="B742" s="32"/>
      <c r="I742" s="4"/>
      <c r="J742" s="13" t="s">
        <v>1814</v>
      </c>
    </row>
    <row r="743" ht="15.75" customHeight="1">
      <c r="A743" s="32"/>
      <c r="B743" s="32"/>
      <c r="I743" s="4"/>
      <c r="J743" s="13" t="s">
        <v>1814</v>
      </c>
    </row>
    <row r="744" ht="15.75" customHeight="1">
      <c r="A744" s="32"/>
      <c r="B744" s="32"/>
      <c r="I744" s="4"/>
      <c r="J744" s="13" t="s">
        <v>1814</v>
      </c>
    </row>
    <row r="745" ht="15.75" customHeight="1">
      <c r="A745" s="32"/>
      <c r="B745" s="32"/>
      <c r="I745" s="4"/>
      <c r="J745" s="13" t="s">
        <v>1814</v>
      </c>
    </row>
    <row r="746" ht="15.75" customHeight="1">
      <c r="A746" s="32"/>
      <c r="B746" s="32"/>
      <c r="I746" s="4"/>
      <c r="J746" s="13" t="s">
        <v>1814</v>
      </c>
    </row>
    <row r="747" ht="15.75" customHeight="1">
      <c r="A747" s="32"/>
      <c r="B747" s="32"/>
      <c r="I747" s="4"/>
      <c r="J747" s="13" t="s">
        <v>1814</v>
      </c>
    </row>
    <row r="748" ht="15.75" customHeight="1">
      <c r="A748" s="32"/>
      <c r="B748" s="32"/>
      <c r="I748" s="4"/>
      <c r="J748" s="13" t="s">
        <v>1814</v>
      </c>
    </row>
    <row r="749" ht="15.75" customHeight="1">
      <c r="A749" s="32"/>
      <c r="B749" s="32"/>
      <c r="I749" s="4"/>
      <c r="J749" s="13" t="s">
        <v>1814</v>
      </c>
    </row>
    <row r="750" ht="15.75" customHeight="1">
      <c r="A750" s="32"/>
      <c r="B750" s="32"/>
      <c r="I750" s="4"/>
      <c r="J750" s="13" t="s">
        <v>1814</v>
      </c>
    </row>
    <row r="751" ht="15.75" customHeight="1">
      <c r="A751" s="32"/>
      <c r="B751" s="32"/>
      <c r="I751" s="4"/>
      <c r="J751" s="13" t="s">
        <v>1814</v>
      </c>
    </row>
    <row r="752" ht="15.75" customHeight="1">
      <c r="A752" s="32"/>
      <c r="B752" s="32"/>
      <c r="I752" s="4"/>
      <c r="J752" s="13" t="s">
        <v>1814</v>
      </c>
    </row>
    <row r="753" ht="15.75" customHeight="1">
      <c r="A753" s="32"/>
      <c r="B753" s="32"/>
      <c r="I753" s="4"/>
      <c r="J753" s="13" t="s">
        <v>1814</v>
      </c>
    </row>
    <row r="754" ht="15.75" customHeight="1">
      <c r="A754" s="32"/>
      <c r="B754" s="32"/>
      <c r="I754" s="4"/>
      <c r="J754" s="13" t="s">
        <v>1814</v>
      </c>
    </row>
    <row r="755" ht="15.75" customHeight="1">
      <c r="A755" s="32"/>
      <c r="B755" s="32"/>
      <c r="I755" s="4"/>
      <c r="J755" s="13" t="s">
        <v>1814</v>
      </c>
    </row>
    <row r="756" ht="15.75" customHeight="1">
      <c r="A756" s="32"/>
      <c r="B756" s="32"/>
      <c r="I756" s="4"/>
      <c r="J756" s="13" t="s">
        <v>1814</v>
      </c>
    </row>
    <row r="757" ht="15.75" customHeight="1">
      <c r="A757" s="32"/>
      <c r="B757" s="32"/>
      <c r="I757" s="4"/>
      <c r="J757" s="13" t="s">
        <v>1814</v>
      </c>
    </row>
    <row r="758" ht="15.75" customHeight="1">
      <c r="A758" s="32"/>
      <c r="B758" s="32"/>
      <c r="I758" s="4"/>
      <c r="J758" s="13" t="s">
        <v>1814</v>
      </c>
    </row>
    <row r="759" ht="15.75" customHeight="1">
      <c r="A759" s="32"/>
      <c r="B759" s="32"/>
      <c r="I759" s="4"/>
      <c r="J759" s="13" t="s">
        <v>1814</v>
      </c>
    </row>
    <row r="760" ht="15.75" customHeight="1">
      <c r="A760" s="32"/>
      <c r="B760" s="32"/>
      <c r="I760" s="4"/>
      <c r="J760" s="13" t="s">
        <v>1814</v>
      </c>
    </row>
    <row r="761" ht="15.75" customHeight="1">
      <c r="A761" s="32"/>
      <c r="B761" s="32"/>
      <c r="I761" s="4"/>
      <c r="J761" s="13" t="s">
        <v>1814</v>
      </c>
    </row>
    <row r="762" ht="15.75" customHeight="1">
      <c r="A762" s="32"/>
      <c r="B762" s="32"/>
      <c r="I762" s="4"/>
      <c r="J762" s="13" t="s">
        <v>1814</v>
      </c>
    </row>
    <row r="763" ht="15.75" customHeight="1">
      <c r="A763" s="32"/>
      <c r="B763" s="32"/>
      <c r="I763" s="4"/>
      <c r="J763" s="13" t="s">
        <v>1814</v>
      </c>
    </row>
    <row r="764" ht="15.75" customHeight="1">
      <c r="A764" s="32"/>
      <c r="B764" s="32"/>
      <c r="I764" s="4"/>
      <c r="J764" s="13" t="s">
        <v>1814</v>
      </c>
    </row>
    <row r="765" ht="15.75" customHeight="1">
      <c r="A765" s="32"/>
      <c r="B765" s="32"/>
      <c r="I765" s="4"/>
      <c r="J765" s="13" t="s">
        <v>1814</v>
      </c>
    </row>
    <row r="766" ht="15.75" customHeight="1">
      <c r="A766" s="32"/>
      <c r="B766" s="32"/>
      <c r="I766" s="4"/>
      <c r="J766" s="13" t="s">
        <v>1814</v>
      </c>
    </row>
    <row r="767" ht="15.75" customHeight="1">
      <c r="A767" s="32"/>
      <c r="B767" s="32"/>
      <c r="I767" s="4"/>
      <c r="J767" s="13" t="s">
        <v>1814</v>
      </c>
    </row>
    <row r="768" ht="15.75" customHeight="1">
      <c r="A768" s="32"/>
      <c r="B768" s="32"/>
      <c r="I768" s="4"/>
      <c r="J768" s="13" t="s">
        <v>1814</v>
      </c>
    </row>
    <row r="769" ht="15.75" customHeight="1">
      <c r="A769" s="32"/>
      <c r="B769" s="32"/>
      <c r="I769" s="4"/>
      <c r="J769" s="13" t="s">
        <v>1814</v>
      </c>
    </row>
    <row r="770" ht="15.75" customHeight="1">
      <c r="A770" s="32"/>
      <c r="B770" s="32"/>
      <c r="I770" s="4"/>
      <c r="J770" s="13" t="s">
        <v>1814</v>
      </c>
    </row>
    <row r="771" ht="15.75" customHeight="1">
      <c r="A771" s="32"/>
      <c r="B771" s="32"/>
      <c r="I771" s="4"/>
      <c r="J771" s="13" t="s">
        <v>1814</v>
      </c>
    </row>
    <row r="772" ht="15.75" customHeight="1">
      <c r="A772" s="32"/>
      <c r="B772" s="32"/>
      <c r="I772" s="4"/>
      <c r="J772" s="13" t="s">
        <v>1814</v>
      </c>
    </row>
    <row r="773" ht="15.75" customHeight="1">
      <c r="A773" s="32"/>
      <c r="B773" s="32"/>
      <c r="I773" s="4"/>
      <c r="J773" s="13" t="s">
        <v>1814</v>
      </c>
    </row>
    <row r="774" ht="15.75" customHeight="1">
      <c r="A774" s="32"/>
      <c r="B774" s="32"/>
      <c r="I774" s="4"/>
      <c r="J774" s="13" t="s">
        <v>1814</v>
      </c>
    </row>
    <row r="775" ht="15.75" customHeight="1">
      <c r="A775" s="32"/>
      <c r="B775" s="32"/>
      <c r="I775" s="4"/>
      <c r="J775" s="13" t="s">
        <v>1814</v>
      </c>
    </row>
    <row r="776" ht="15.75" customHeight="1">
      <c r="A776" s="32"/>
      <c r="B776" s="32"/>
      <c r="I776" s="4"/>
      <c r="J776" s="13" t="s">
        <v>1814</v>
      </c>
    </row>
    <row r="777" ht="15.75" customHeight="1">
      <c r="A777" s="32"/>
      <c r="B777" s="32"/>
      <c r="I777" s="4"/>
      <c r="J777" s="13" t="s">
        <v>1814</v>
      </c>
    </row>
    <row r="778" ht="15.75" customHeight="1">
      <c r="A778" s="32"/>
      <c r="B778" s="32"/>
      <c r="I778" s="4"/>
      <c r="J778" s="13" t="s">
        <v>1814</v>
      </c>
    </row>
    <row r="779" ht="15.75" customHeight="1">
      <c r="A779" s="32"/>
      <c r="B779" s="32"/>
      <c r="I779" s="4"/>
      <c r="J779" s="13" t="s">
        <v>1814</v>
      </c>
    </row>
    <row r="780" ht="15.75" customHeight="1">
      <c r="A780" s="32"/>
      <c r="B780" s="32"/>
      <c r="I780" s="4"/>
      <c r="J780" s="13" t="s">
        <v>1814</v>
      </c>
    </row>
    <row r="781" ht="15.75" customHeight="1">
      <c r="A781" s="32"/>
      <c r="B781" s="32"/>
      <c r="I781" s="4"/>
      <c r="J781" s="13" t="s">
        <v>1814</v>
      </c>
    </row>
    <row r="782" ht="15.75" customHeight="1">
      <c r="A782" s="32"/>
      <c r="B782" s="32"/>
      <c r="I782" s="4"/>
      <c r="J782" s="13" t="s">
        <v>1814</v>
      </c>
    </row>
    <row r="783" ht="15.75" customHeight="1">
      <c r="A783" s="32"/>
      <c r="B783" s="32"/>
      <c r="I783" s="4"/>
      <c r="J783" s="13" t="s">
        <v>1814</v>
      </c>
    </row>
    <row r="784" ht="15.75" customHeight="1">
      <c r="A784" s="32"/>
      <c r="B784" s="32"/>
      <c r="I784" s="4"/>
      <c r="J784" s="13" t="s">
        <v>1814</v>
      </c>
    </row>
    <row r="785" ht="15.75" customHeight="1">
      <c r="A785" s="32"/>
      <c r="B785" s="32"/>
      <c r="I785" s="4"/>
      <c r="J785" s="13" t="s">
        <v>1814</v>
      </c>
    </row>
    <row r="786" ht="15.75" customHeight="1">
      <c r="A786" s="32"/>
      <c r="B786" s="32"/>
      <c r="I786" s="4"/>
      <c r="J786" s="13" t="s">
        <v>1814</v>
      </c>
    </row>
    <row r="787" ht="15.75" customHeight="1">
      <c r="A787" s="32"/>
      <c r="B787" s="32"/>
      <c r="I787" s="4"/>
      <c r="J787" s="13" t="s">
        <v>1814</v>
      </c>
    </row>
    <row r="788" ht="15.75" customHeight="1">
      <c r="A788" s="32"/>
      <c r="B788" s="32"/>
      <c r="I788" s="4"/>
      <c r="J788" s="13" t="s">
        <v>1814</v>
      </c>
    </row>
    <row r="789" ht="15.75" customHeight="1">
      <c r="A789" s="32"/>
      <c r="B789" s="32"/>
      <c r="I789" s="4"/>
      <c r="J789" s="13" t="s">
        <v>1814</v>
      </c>
    </row>
    <row r="790" ht="15.75" customHeight="1">
      <c r="A790" s="32"/>
      <c r="B790" s="32"/>
      <c r="I790" s="4"/>
      <c r="J790" s="13" t="s">
        <v>1814</v>
      </c>
    </row>
    <row r="791" ht="15.75" customHeight="1">
      <c r="A791" s="32"/>
      <c r="B791" s="32"/>
      <c r="I791" s="4"/>
      <c r="J791" s="13" t="s">
        <v>1814</v>
      </c>
    </row>
    <row r="792" ht="15.75" customHeight="1">
      <c r="A792" s="32"/>
      <c r="B792" s="32"/>
      <c r="I792" s="4"/>
      <c r="J792" s="13" t="s">
        <v>1814</v>
      </c>
    </row>
    <row r="793" ht="15.75" customHeight="1">
      <c r="A793" s="32"/>
      <c r="B793" s="32"/>
      <c r="I793" s="4"/>
      <c r="J793" s="13" t="s">
        <v>1814</v>
      </c>
    </row>
    <row r="794" ht="15.75" customHeight="1">
      <c r="A794" s="32"/>
      <c r="B794" s="32"/>
      <c r="I794" s="4"/>
      <c r="J794" s="13" t="s">
        <v>1814</v>
      </c>
    </row>
    <row r="795" ht="15.75" customHeight="1">
      <c r="A795" s="32"/>
      <c r="B795" s="32"/>
      <c r="I795" s="4"/>
      <c r="J795" s="13" t="s">
        <v>1814</v>
      </c>
    </row>
    <row r="796" ht="15.75" customHeight="1">
      <c r="A796" s="32"/>
      <c r="B796" s="32"/>
      <c r="I796" s="4"/>
      <c r="J796" s="13" t="s">
        <v>1814</v>
      </c>
    </row>
    <row r="797" ht="15.75" customHeight="1">
      <c r="A797" s="32"/>
      <c r="B797" s="32"/>
      <c r="I797" s="4"/>
      <c r="J797" s="13" t="s">
        <v>1814</v>
      </c>
    </row>
    <row r="798" ht="15.75" customHeight="1">
      <c r="A798" s="32"/>
      <c r="B798" s="32"/>
      <c r="I798" s="4"/>
      <c r="J798" s="13" t="s">
        <v>1814</v>
      </c>
    </row>
    <row r="799" ht="15.75" customHeight="1">
      <c r="A799" s="32"/>
      <c r="B799" s="32"/>
      <c r="I799" s="4"/>
      <c r="J799" s="13" t="s">
        <v>1814</v>
      </c>
    </row>
    <row r="800" ht="15.75" customHeight="1">
      <c r="A800" s="32"/>
      <c r="B800" s="32"/>
      <c r="I800" s="4"/>
      <c r="J800" s="13" t="s">
        <v>1814</v>
      </c>
    </row>
    <row r="801" ht="15.75" customHeight="1">
      <c r="A801" s="32"/>
      <c r="B801" s="32"/>
      <c r="I801" s="4"/>
      <c r="J801" s="13" t="s">
        <v>1814</v>
      </c>
    </row>
    <row r="802" ht="15.75" customHeight="1">
      <c r="A802" s="32"/>
      <c r="B802" s="32"/>
      <c r="I802" s="4"/>
      <c r="J802" s="13" t="s">
        <v>1814</v>
      </c>
    </row>
    <row r="803" ht="15.75" customHeight="1">
      <c r="A803" s="32"/>
      <c r="B803" s="32"/>
      <c r="I803" s="4"/>
      <c r="J803" s="13" t="s">
        <v>1814</v>
      </c>
    </row>
    <row r="804" ht="15.75" customHeight="1">
      <c r="A804" s="32"/>
      <c r="B804" s="32"/>
      <c r="I804" s="4"/>
      <c r="J804" s="13" t="s">
        <v>1814</v>
      </c>
    </row>
    <row r="805" ht="15.75" customHeight="1">
      <c r="A805" s="32"/>
      <c r="B805" s="32"/>
      <c r="I805" s="4"/>
      <c r="J805" s="13" t="s">
        <v>1814</v>
      </c>
    </row>
    <row r="806" ht="15.75" customHeight="1">
      <c r="A806" s="32"/>
      <c r="B806" s="32"/>
      <c r="I806" s="4"/>
      <c r="J806" s="13" t="s">
        <v>1814</v>
      </c>
    </row>
    <row r="807" ht="15.75" customHeight="1">
      <c r="A807" s="32"/>
      <c r="B807" s="32"/>
      <c r="I807" s="4"/>
      <c r="J807" s="13" t="s">
        <v>1814</v>
      </c>
    </row>
    <row r="808" ht="15.75" customHeight="1">
      <c r="A808" s="32"/>
      <c r="B808" s="32"/>
      <c r="I808" s="4"/>
      <c r="J808" s="13" t="s">
        <v>1814</v>
      </c>
    </row>
    <row r="809" ht="15.75" customHeight="1">
      <c r="A809" s="32"/>
      <c r="B809" s="32"/>
      <c r="I809" s="4"/>
      <c r="J809" s="13" t="s">
        <v>1814</v>
      </c>
    </row>
    <row r="810" ht="15.75" customHeight="1">
      <c r="A810" s="32"/>
      <c r="B810" s="32"/>
      <c r="I810" s="4"/>
      <c r="J810" s="13" t="s">
        <v>1814</v>
      </c>
    </row>
    <row r="811" ht="15.75" customHeight="1">
      <c r="A811" s="32"/>
      <c r="B811" s="32"/>
      <c r="I811" s="4"/>
      <c r="J811" s="13" t="s">
        <v>1814</v>
      </c>
    </row>
    <row r="812" ht="15.75" customHeight="1">
      <c r="A812" s="32"/>
      <c r="B812" s="32"/>
      <c r="I812" s="4"/>
      <c r="J812" s="13" t="s">
        <v>1814</v>
      </c>
    </row>
    <row r="813" ht="15.75" customHeight="1">
      <c r="A813" s="32"/>
      <c r="B813" s="32"/>
      <c r="I813" s="4"/>
      <c r="J813" s="13" t="s">
        <v>1814</v>
      </c>
    </row>
    <row r="814" ht="15.75" customHeight="1">
      <c r="A814" s="32"/>
      <c r="B814" s="32"/>
      <c r="I814" s="4"/>
      <c r="J814" s="13" t="s">
        <v>1814</v>
      </c>
    </row>
    <row r="815" ht="15.75" customHeight="1">
      <c r="A815" s="32"/>
      <c r="B815" s="32"/>
      <c r="I815" s="4"/>
      <c r="J815" s="13" t="s">
        <v>1814</v>
      </c>
    </row>
    <row r="816" ht="15.75" customHeight="1">
      <c r="A816" s="32"/>
      <c r="B816" s="32"/>
      <c r="I816" s="4"/>
      <c r="J816" s="13" t="s">
        <v>1814</v>
      </c>
    </row>
    <row r="817" ht="15.75" customHeight="1">
      <c r="A817" s="32"/>
      <c r="B817" s="32"/>
      <c r="I817" s="4"/>
      <c r="J817" s="13" t="s">
        <v>1814</v>
      </c>
    </row>
    <row r="818" ht="15.75" customHeight="1">
      <c r="A818" s="32"/>
      <c r="B818" s="32"/>
      <c r="I818" s="4"/>
      <c r="J818" s="13" t="s">
        <v>1814</v>
      </c>
    </row>
    <row r="819" ht="15.75" customHeight="1">
      <c r="A819" s="32"/>
      <c r="B819" s="32"/>
      <c r="I819" s="4"/>
      <c r="J819" s="13" t="s">
        <v>1814</v>
      </c>
    </row>
    <row r="820" ht="15.75" customHeight="1">
      <c r="A820" s="32"/>
      <c r="B820" s="32"/>
      <c r="I820" s="4"/>
      <c r="J820" s="13" t="s">
        <v>1814</v>
      </c>
    </row>
    <row r="821" ht="15.75" customHeight="1">
      <c r="A821" s="32"/>
      <c r="B821" s="32"/>
      <c r="I821" s="4"/>
      <c r="J821" s="13" t="s">
        <v>1814</v>
      </c>
    </row>
    <row r="822" ht="15.75" customHeight="1">
      <c r="A822" s="32"/>
      <c r="B822" s="32"/>
      <c r="I822" s="4"/>
      <c r="J822" s="13" t="s">
        <v>1814</v>
      </c>
    </row>
    <row r="823" ht="15.75" customHeight="1">
      <c r="A823" s="32"/>
      <c r="B823" s="32"/>
      <c r="I823" s="4"/>
      <c r="J823" s="13" t="s">
        <v>1814</v>
      </c>
    </row>
    <row r="824" ht="15.75" customHeight="1">
      <c r="A824" s="32"/>
      <c r="B824" s="32"/>
      <c r="I824" s="4"/>
      <c r="J824" s="13" t="s">
        <v>1814</v>
      </c>
    </row>
    <row r="825" ht="15.75" customHeight="1">
      <c r="A825" s="32"/>
      <c r="B825" s="32"/>
      <c r="I825" s="4"/>
      <c r="J825" s="13" t="s">
        <v>1814</v>
      </c>
    </row>
    <row r="826" ht="15.75" customHeight="1">
      <c r="A826" s="32"/>
      <c r="B826" s="32"/>
      <c r="I826" s="4"/>
      <c r="J826" s="13" t="s">
        <v>1814</v>
      </c>
    </row>
    <row r="827" ht="15.75" customHeight="1">
      <c r="A827" s="32"/>
      <c r="B827" s="32"/>
      <c r="I827" s="4"/>
      <c r="J827" s="13" t="s">
        <v>1814</v>
      </c>
    </row>
    <row r="828" ht="15.75" customHeight="1">
      <c r="A828" s="32"/>
      <c r="B828" s="32"/>
      <c r="I828" s="4"/>
      <c r="J828" s="13" t="s">
        <v>1814</v>
      </c>
    </row>
    <row r="829" ht="15.75" customHeight="1">
      <c r="A829" s="32"/>
      <c r="B829" s="32"/>
      <c r="I829" s="4"/>
      <c r="J829" s="13" t="s">
        <v>1814</v>
      </c>
    </row>
    <row r="830" ht="15.75" customHeight="1">
      <c r="A830" s="32"/>
      <c r="B830" s="32"/>
      <c r="I830" s="4"/>
      <c r="J830" s="13" t="s">
        <v>1814</v>
      </c>
    </row>
    <row r="831" ht="15.75" customHeight="1">
      <c r="A831" s="32"/>
      <c r="B831" s="32"/>
      <c r="I831" s="4"/>
      <c r="J831" s="13" t="s">
        <v>1814</v>
      </c>
    </row>
    <row r="832" ht="15.75" customHeight="1">
      <c r="A832" s="32"/>
      <c r="B832" s="32"/>
      <c r="I832" s="4"/>
      <c r="J832" s="13" t="s">
        <v>1814</v>
      </c>
    </row>
    <row r="833" ht="15.75" customHeight="1">
      <c r="A833" s="32"/>
      <c r="B833" s="32"/>
      <c r="I833" s="4"/>
      <c r="J833" s="13" t="s">
        <v>1814</v>
      </c>
    </row>
    <row r="834" ht="15.75" customHeight="1">
      <c r="A834" s="32"/>
      <c r="B834" s="32"/>
      <c r="I834" s="4"/>
      <c r="J834" s="13" t="s">
        <v>1814</v>
      </c>
    </row>
    <row r="835" ht="15.75" customHeight="1">
      <c r="A835" s="32"/>
      <c r="B835" s="32"/>
      <c r="I835" s="4"/>
      <c r="J835" s="13" t="s">
        <v>1814</v>
      </c>
    </row>
    <row r="836" ht="15.75" customHeight="1">
      <c r="A836" s="32"/>
      <c r="B836" s="32"/>
      <c r="I836" s="4"/>
      <c r="J836" s="13" t="s">
        <v>1814</v>
      </c>
    </row>
    <row r="837" ht="15.75" customHeight="1">
      <c r="A837" s="32"/>
      <c r="B837" s="32"/>
      <c r="I837" s="4"/>
      <c r="J837" s="13" t="s">
        <v>1814</v>
      </c>
    </row>
    <row r="838" ht="15.75" customHeight="1">
      <c r="A838" s="32"/>
      <c r="B838" s="32"/>
      <c r="I838" s="4"/>
      <c r="J838" s="13" t="s">
        <v>1814</v>
      </c>
    </row>
    <row r="839" ht="15.75" customHeight="1">
      <c r="A839" s="32"/>
      <c r="B839" s="32"/>
      <c r="I839" s="4"/>
      <c r="J839" s="13" t="s">
        <v>1814</v>
      </c>
    </row>
    <row r="840" ht="15.75" customHeight="1">
      <c r="A840" s="32"/>
      <c r="B840" s="32"/>
      <c r="I840" s="4"/>
      <c r="J840" s="13" t="s">
        <v>1814</v>
      </c>
    </row>
    <row r="841" ht="15.75" customHeight="1">
      <c r="A841" s="32"/>
      <c r="B841" s="32"/>
      <c r="I841" s="4"/>
      <c r="J841" s="13" t="s">
        <v>1814</v>
      </c>
    </row>
    <row r="842" ht="15.75" customHeight="1">
      <c r="A842" s="32"/>
      <c r="B842" s="32"/>
      <c r="I842" s="4"/>
      <c r="J842" s="13" t="s">
        <v>1814</v>
      </c>
    </row>
    <row r="843" ht="15.75" customHeight="1">
      <c r="A843" s="32"/>
      <c r="B843" s="32"/>
      <c r="I843" s="4"/>
      <c r="J843" s="13" t="s">
        <v>1814</v>
      </c>
    </row>
    <row r="844" ht="15.75" customHeight="1">
      <c r="A844" s="32"/>
      <c r="B844" s="32"/>
      <c r="I844" s="4"/>
      <c r="J844" s="13" t="s">
        <v>1814</v>
      </c>
    </row>
    <row r="845" ht="15.75" customHeight="1">
      <c r="A845" s="32"/>
      <c r="B845" s="32"/>
      <c r="I845" s="4"/>
      <c r="J845" s="13" t="s">
        <v>1814</v>
      </c>
    </row>
    <row r="846" ht="15.75" customHeight="1">
      <c r="A846" s="32"/>
      <c r="B846" s="32"/>
      <c r="I846" s="4"/>
      <c r="J846" s="13" t="s">
        <v>1814</v>
      </c>
    </row>
    <row r="847" ht="15.75" customHeight="1">
      <c r="A847" s="32"/>
      <c r="B847" s="32"/>
      <c r="I847" s="4"/>
      <c r="J847" s="13" t="s">
        <v>1814</v>
      </c>
    </row>
    <row r="848" ht="15.75" customHeight="1">
      <c r="A848" s="32"/>
      <c r="B848" s="32"/>
      <c r="I848" s="4"/>
      <c r="J848" s="13" t="s">
        <v>1814</v>
      </c>
    </row>
    <row r="849" ht="15.75" customHeight="1">
      <c r="A849" s="32"/>
      <c r="B849" s="32"/>
      <c r="I849" s="4"/>
      <c r="J849" s="13" t="s">
        <v>1814</v>
      </c>
    </row>
    <row r="850" ht="15.75" customHeight="1">
      <c r="A850" s="32"/>
      <c r="B850" s="32"/>
      <c r="I850" s="4"/>
      <c r="J850" s="13" t="s">
        <v>1814</v>
      </c>
    </row>
    <row r="851" ht="15.75" customHeight="1">
      <c r="A851" s="32"/>
      <c r="B851" s="32"/>
      <c r="I851" s="4"/>
      <c r="J851" s="13" t="s">
        <v>1814</v>
      </c>
    </row>
    <row r="852" ht="15.75" customHeight="1">
      <c r="A852" s="32"/>
      <c r="B852" s="32"/>
      <c r="I852" s="4"/>
      <c r="J852" s="13" t="s">
        <v>1814</v>
      </c>
    </row>
    <row r="853" ht="15.75" customHeight="1">
      <c r="A853" s="32"/>
      <c r="B853" s="32"/>
      <c r="I853" s="4"/>
      <c r="J853" s="13" t="s">
        <v>1814</v>
      </c>
    </row>
    <row r="854" ht="15.75" customHeight="1">
      <c r="A854" s="32"/>
      <c r="B854" s="32"/>
      <c r="I854" s="4"/>
      <c r="J854" s="13" t="s">
        <v>1814</v>
      </c>
    </row>
    <row r="855" ht="15.75" customHeight="1">
      <c r="A855" s="32"/>
      <c r="B855" s="32"/>
      <c r="I855" s="4"/>
      <c r="J855" s="13" t="s">
        <v>1814</v>
      </c>
    </row>
    <row r="856" ht="15.75" customHeight="1">
      <c r="A856" s="32"/>
      <c r="B856" s="32"/>
      <c r="I856" s="4"/>
      <c r="J856" s="13" t="s">
        <v>1814</v>
      </c>
    </row>
    <row r="857" ht="15.75" customHeight="1">
      <c r="A857" s="32"/>
      <c r="B857" s="32"/>
      <c r="I857" s="4"/>
      <c r="J857" s="13" t="s">
        <v>1814</v>
      </c>
    </row>
    <row r="858" ht="15.75" customHeight="1">
      <c r="A858" s="32"/>
      <c r="B858" s="32"/>
      <c r="I858" s="4"/>
      <c r="J858" s="13" t="s">
        <v>1814</v>
      </c>
    </row>
    <row r="859" ht="15.75" customHeight="1">
      <c r="A859" s="32"/>
      <c r="B859" s="32"/>
      <c r="I859" s="4"/>
      <c r="J859" s="13" t="s">
        <v>1814</v>
      </c>
    </row>
    <row r="860" ht="15.75" customHeight="1">
      <c r="A860" s="32"/>
      <c r="B860" s="32"/>
      <c r="I860" s="4"/>
      <c r="J860" s="13" t="s">
        <v>1814</v>
      </c>
    </row>
    <row r="861" ht="15.75" customHeight="1">
      <c r="A861" s="32"/>
      <c r="B861" s="32"/>
      <c r="I861" s="4"/>
      <c r="J861" s="13" t="s">
        <v>1814</v>
      </c>
    </row>
    <row r="862" ht="15.75" customHeight="1">
      <c r="A862" s="32"/>
      <c r="B862" s="32"/>
      <c r="I862" s="4"/>
      <c r="J862" s="13" t="s">
        <v>1814</v>
      </c>
    </row>
    <row r="863" ht="15.75" customHeight="1">
      <c r="A863" s="32"/>
      <c r="B863" s="32"/>
      <c r="I863" s="4"/>
      <c r="J863" s="13" t="s">
        <v>1814</v>
      </c>
    </row>
    <row r="864" ht="15.75" customHeight="1">
      <c r="A864" s="32"/>
      <c r="B864" s="32"/>
      <c r="I864" s="4"/>
      <c r="J864" s="13" t="s">
        <v>1814</v>
      </c>
    </row>
    <row r="865" ht="15.75" customHeight="1">
      <c r="A865" s="32"/>
      <c r="B865" s="32"/>
      <c r="I865" s="4"/>
      <c r="J865" s="13" t="s">
        <v>1814</v>
      </c>
    </row>
    <row r="866" ht="15.75" customHeight="1">
      <c r="A866" s="32"/>
      <c r="B866" s="32"/>
      <c r="I866" s="4"/>
      <c r="J866" s="13" t="s">
        <v>1814</v>
      </c>
    </row>
    <row r="867" ht="15.75" customHeight="1">
      <c r="A867" s="32"/>
      <c r="B867" s="32"/>
      <c r="I867" s="4"/>
      <c r="J867" s="13" t="s">
        <v>1814</v>
      </c>
    </row>
    <row r="868" ht="15.75" customHeight="1">
      <c r="A868" s="32"/>
      <c r="B868" s="32"/>
      <c r="I868" s="4"/>
      <c r="J868" s="13" t="s">
        <v>1814</v>
      </c>
    </row>
    <row r="869" ht="15.75" customHeight="1">
      <c r="A869" s="32"/>
      <c r="B869" s="32"/>
      <c r="I869" s="4"/>
      <c r="J869" s="13" t="s">
        <v>1814</v>
      </c>
    </row>
    <row r="870" ht="15.75" customHeight="1">
      <c r="A870" s="32"/>
      <c r="B870" s="32"/>
      <c r="I870" s="4"/>
      <c r="J870" s="13" t="s">
        <v>1814</v>
      </c>
    </row>
    <row r="871" ht="15.75" customHeight="1">
      <c r="A871" s="32"/>
      <c r="B871" s="32"/>
      <c r="I871" s="4"/>
      <c r="J871" s="13" t="s">
        <v>1814</v>
      </c>
    </row>
    <row r="872" ht="15.75" customHeight="1">
      <c r="A872" s="32"/>
      <c r="B872" s="32"/>
      <c r="I872" s="4"/>
      <c r="J872" s="13" t="s">
        <v>1814</v>
      </c>
    </row>
    <row r="873" ht="15.75" customHeight="1">
      <c r="A873" s="32"/>
      <c r="B873" s="32"/>
      <c r="I873" s="4"/>
      <c r="J873" s="13" t="s">
        <v>1814</v>
      </c>
    </row>
    <row r="874" ht="15.75" customHeight="1">
      <c r="A874" s="32"/>
      <c r="B874" s="32"/>
      <c r="I874" s="4"/>
      <c r="J874" s="13" t="s">
        <v>1814</v>
      </c>
    </row>
    <row r="875" ht="15.75" customHeight="1">
      <c r="A875" s="32"/>
      <c r="B875" s="32"/>
      <c r="I875" s="4"/>
      <c r="J875" s="13" t="s">
        <v>1814</v>
      </c>
    </row>
    <row r="876" ht="15.75" customHeight="1">
      <c r="A876" s="32"/>
      <c r="B876" s="32"/>
      <c r="I876" s="4"/>
      <c r="J876" s="13" t="s">
        <v>1814</v>
      </c>
    </row>
    <row r="877" ht="15.75" customHeight="1">
      <c r="A877" s="32"/>
      <c r="B877" s="32"/>
      <c r="I877" s="4"/>
      <c r="J877" s="13" t="s">
        <v>1814</v>
      </c>
    </row>
    <row r="878" ht="15.75" customHeight="1">
      <c r="A878" s="32"/>
      <c r="B878" s="32"/>
      <c r="I878" s="4"/>
      <c r="J878" s="13" t="s">
        <v>1814</v>
      </c>
    </row>
    <row r="879" ht="15.75" customHeight="1">
      <c r="A879" s="32"/>
      <c r="B879" s="32"/>
      <c r="I879" s="4"/>
      <c r="J879" s="13" t="s">
        <v>1814</v>
      </c>
    </row>
    <row r="880" ht="15.75" customHeight="1">
      <c r="A880" s="32"/>
      <c r="B880" s="32"/>
      <c r="I880" s="4"/>
      <c r="J880" s="13" t="s">
        <v>1814</v>
      </c>
    </row>
    <row r="881" ht="15.75" customHeight="1">
      <c r="A881" s="32"/>
      <c r="B881" s="32"/>
      <c r="I881" s="4"/>
      <c r="J881" s="13" t="s">
        <v>1814</v>
      </c>
    </row>
    <row r="882" ht="15.75" customHeight="1">
      <c r="A882" s="32"/>
      <c r="B882" s="32"/>
      <c r="I882" s="4"/>
      <c r="J882" s="13" t="s">
        <v>1814</v>
      </c>
    </row>
    <row r="883" ht="15.75" customHeight="1">
      <c r="A883" s="32"/>
      <c r="B883" s="32"/>
      <c r="I883" s="4"/>
      <c r="J883" s="13" t="s">
        <v>1814</v>
      </c>
    </row>
    <row r="884" ht="15.75" customHeight="1">
      <c r="A884" s="32"/>
      <c r="B884" s="32"/>
      <c r="I884" s="4"/>
      <c r="J884" s="13" t="s">
        <v>1814</v>
      </c>
    </row>
    <row r="885" ht="15.75" customHeight="1">
      <c r="A885" s="32"/>
      <c r="B885" s="32"/>
      <c r="I885" s="4"/>
      <c r="J885" s="13" t="s">
        <v>1814</v>
      </c>
    </row>
    <row r="886" ht="15.75" customHeight="1">
      <c r="A886" s="32"/>
      <c r="B886" s="32"/>
      <c r="I886" s="4"/>
      <c r="J886" s="13" t="s">
        <v>1814</v>
      </c>
    </row>
    <row r="887" ht="15.75" customHeight="1">
      <c r="A887" s="32"/>
      <c r="B887" s="32"/>
      <c r="I887" s="4"/>
      <c r="J887" s="13" t="s">
        <v>1814</v>
      </c>
    </row>
    <row r="888" ht="15.75" customHeight="1">
      <c r="A888" s="32"/>
      <c r="B888" s="32"/>
      <c r="I888" s="4"/>
      <c r="J888" s="13" t="s">
        <v>1814</v>
      </c>
    </row>
    <row r="889" ht="15.75" customHeight="1">
      <c r="A889" s="32"/>
      <c r="B889" s="32"/>
      <c r="I889" s="4"/>
      <c r="J889" s="13" t="s">
        <v>1814</v>
      </c>
    </row>
    <row r="890" ht="15.75" customHeight="1">
      <c r="A890" s="32"/>
      <c r="B890" s="32"/>
      <c r="I890" s="4"/>
      <c r="J890" s="13" t="s">
        <v>1814</v>
      </c>
    </row>
    <row r="891" ht="15.75" customHeight="1">
      <c r="A891" s="32"/>
      <c r="B891" s="32"/>
      <c r="I891" s="4"/>
      <c r="J891" s="13" t="s">
        <v>1814</v>
      </c>
    </row>
    <row r="892" ht="15.75" customHeight="1">
      <c r="A892" s="32"/>
      <c r="B892" s="32"/>
      <c r="I892" s="4"/>
      <c r="J892" s="13" t="s">
        <v>1814</v>
      </c>
    </row>
    <row r="893" ht="15.75" customHeight="1">
      <c r="A893" s="32"/>
      <c r="B893" s="32"/>
      <c r="I893" s="4"/>
      <c r="J893" s="13" t="s">
        <v>1814</v>
      </c>
    </row>
    <row r="894" ht="15.75" customHeight="1">
      <c r="A894" s="32"/>
      <c r="B894" s="32"/>
      <c r="I894" s="4"/>
      <c r="J894" s="13" t="s">
        <v>1814</v>
      </c>
    </row>
    <row r="895" ht="15.75" customHeight="1">
      <c r="A895" s="32"/>
      <c r="B895" s="32"/>
      <c r="I895" s="4"/>
      <c r="J895" s="13" t="s">
        <v>1814</v>
      </c>
    </row>
    <row r="896" ht="15.75" customHeight="1">
      <c r="A896" s="32"/>
      <c r="B896" s="32"/>
      <c r="I896" s="4"/>
      <c r="J896" s="13" t="s">
        <v>1814</v>
      </c>
    </row>
    <row r="897" ht="15.75" customHeight="1">
      <c r="A897" s="32"/>
      <c r="B897" s="32"/>
      <c r="I897" s="4"/>
      <c r="J897" s="13" t="s">
        <v>1814</v>
      </c>
    </row>
    <row r="898" ht="15.75" customHeight="1">
      <c r="A898" s="32"/>
      <c r="B898" s="32"/>
      <c r="I898" s="4"/>
      <c r="J898" s="13" t="s">
        <v>1814</v>
      </c>
    </row>
    <row r="899" ht="15.75" customHeight="1">
      <c r="A899" s="32"/>
      <c r="B899" s="32"/>
      <c r="I899" s="4"/>
      <c r="J899" s="13" t="s">
        <v>1814</v>
      </c>
    </row>
    <row r="900" ht="15.75" customHeight="1">
      <c r="A900" s="32"/>
      <c r="B900" s="32"/>
      <c r="I900" s="4"/>
      <c r="J900" s="13" t="s">
        <v>1814</v>
      </c>
    </row>
    <row r="901" ht="15.75" customHeight="1">
      <c r="A901" s="32"/>
      <c r="B901" s="32"/>
      <c r="I901" s="4"/>
      <c r="J901" s="13" t="s">
        <v>1814</v>
      </c>
    </row>
    <row r="902" ht="15.75" customHeight="1">
      <c r="A902" s="32"/>
      <c r="B902" s="32"/>
      <c r="I902" s="4"/>
      <c r="J902" s="13" t="s">
        <v>1814</v>
      </c>
    </row>
    <row r="903" ht="15.75" customHeight="1">
      <c r="A903" s="32"/>
      <c r="B903" s="32"/>
      <c r="I903" s="4"/>
      <c r="J903" s="13" t="s">
        <v>1814</v>
      </c>
    </row>
    <row r="904" ht="15.75" customHeight="1">
      <c r="A904" s="32"/>
      <c r="B904" s="32"/>
      <c r="I904" s="4"/>
      <c r="J904" s="13" t="s">
        <v>1814</v>
      </c>
    </row>
    <row r="905" ht="15.75" customHeight="1">
      <c r="A905" s="32"/>
      <c r="B905" s="32"/>
      <c r="I905" s="4"/>
      <c r="J905" s="13" t="s">
        <v>1814</v>
      </c>
    </row>
    <row r="906" ht="15.75" customHeight="1">
      <c r="A906" s="32"/>
      <c r="B906" s="32"/>
      <c r="I906" s="4"/>
      <c r="J906" s="13" t="s">
        <v>1814</v>
      </c>
    </row>
    <row r="907" ht="15.75" customHeight="1">
      <c r="A907" s="32"/>
      <c r="B907" s="32"/>
      <c r="I907" s="4"/>
      <c r="J907" s="13" t="s">
        <v>1814</v>
      </c>
    </row>
    <row r="908" ht="15.75" customHeight="1">
      <c r="A908" s="32"/>
      <c r="B908" s="32"/>
      <c r="I908" s="4"/>
      <c r="J908" s="13" t="s">
        <v>1814</v>
      </c>
    </row>
    <row r="909" ht="15.75" customHeight="1">
      <c r="A909" s="32"/>
      <c r="B909" s="32"/>
      <c r="I909" s="4"/>
      <c r="J909" s="13" t="s">
        <v>1814</v>
      </c>
    </row>
    <row r="910" ht="15.75" customHeight="1">
      <c r="A910" s="32"/>
      <c r="B910" s="32"/>
      <c r="I910" s="4"/>
      <c r="J910" s="13" t="s">
        <v>1814</v>
      </c>
    </row>
    <row r="911" ht="15.75" customHeight="1">
      <c r="A911" s="32"/>
      <c r="B911" s="32"/>
      <c r="I911" s="4"/>
      <c r="J911" s="13" t="s">
        <v>1814</v>
      </c>
    </row>
    <row r="912" ht="15.75" customHeight="1">
      <c r="A912" s="32"/>
      <c r="B912" s="32"/>
      <c r="I912" s="4"/>
      <c r="J912" s="13" t="s">
        <v>1814</v>
      </c>
    </row>
    <row r="913" ht="15.75" customHeight="1">
      <c r="A913" s="32"/>
      <c r="B913" s="32"/>
      <c r="I913" s="4"/>
      <c r="J913" s="13" t="s">
        <v>1814</v>
      </c>
    </row>
    <row r="914" ht="15.75" customHeight="1">
      <c r="A914" s="32"/>
      <c r="B914" s="32"/>
      <c r="I914" s="4"/>
      <c r="J914" s="13" t="s">
        <v>1814</v>
      </c>
    </row>
    <row r="915" ht="15.75" customHeight="1">
      <c r="A915" s="32"/>
      <c r="B915" s="32"/>
      <c r="I915" s="4"/>
      <c r="J915" s="13" t="s">
        <v>1814</v>
      </c>
    </row>
    <row r="916" ht="15.75" customHeight="1">
      <c r="A916" s="32"/>
      <c r="B916" s="32"/>
      <c r="I916" s="4"/>
      <c r="J916" s="13" t="s">
        <v>1814</v>
      </c>
    </row>
    <row r="917" ht="15.75" customHeight="1">
      <c r="A917" s="32"/>
      <c r="B917" s="32"/>
      <c r="I917" s="4"/>
      <c r="J917" s="13" t="s">
        <v>1814</v>
      </c>
    </row>
    <row r="918" ht="15.75" customHeight="1">
      <c r="A918" s="32"/>
      <c r="B918" s="32"/>
      <c r="I918" s="4"/>
      <c r="J918" s="13" t="s">
        <v>1814</v>
      </c>
    </row>
    <row r="919" ht="15.75" customHeight="1">
      <c r="A919" s="32"/>
      <c r="B919" s="32"/>
      <c r="I919" s="4"/>
      <c r="J919" s="13" t="s">
        <v>1814</v>
      </c>
    </row>
    <row r="920" ht="15.75" customHeight="1">
      <c r="A920" s="32"/>
      <c r="B920" s="32"/>
      <c r="I920" s="4"/>
      <c r="J920" s="13" t="s">
        <v>1814</v>
      </c>
    </row>
    <row r="921" ht="15.75" customHeight="1">
      <c r="A921" s="32"/>
      <c r="B921" s="32"/>
      <c r="I921" s="4"/>
      <c r="J921" s="13" t="s">
        <v>1814</v>
      </c>
    </row>
    <row r="922" ht="15.75" customHeight="1">
      <c r="A922" s="32"/>
      <c r="B922" s="32"/>
      <c r="I922" s="4"/>
      <c r="J922" s="13" t="s">
        <v>1814</v>
      </c>
    </row>
    <row r="923" ht="15.75" customHeight="1">
      <c r="A923" s="32"/>
      <c r="B923" s="32"/>
      <c r="I923" s="4"/>
      <c r="J923" s="13" t="s">
        <v>1814</v>
      </c>
    </row>
    <row r="924" ht="15.75" customHeight="1">
      <c r="A924" s="32"/>
      <c r="B924" s="32"/>
      <c r="I924" s="4"/>
      <c r="J924" s="13" t="s">
        <v>1814</v>
      </c>
    </row>
    <row r="925" ht="15.75" customHeight="1">
      <c r="A925" s="32"/>
      <c r="B925" s="32"/>
      <c r="I925" s="4"/>
      <c r="J925" s="13" t="s">
        <v>1814</v>
      </c>
    </row>
    <row r="926" ht="15.75" customHeight="1">
      <c r="A926" s="32"/>
      <c r="B926" s="32"/>
      <c r="I926" s="4"/>
      <c r="J926" s="13" t="s">
        <v>1814</v>
      </c>
    </row>
    <row r="927" ht="15.75" customHeight="1">
      <c r="A927" s="32"/>
      <c r="B927" s="32"/>
      <c r="I927" s="4"/>
      <c r="J927" s="13" t="s">
        <v>1814</v>
      </c>
    </row>
    <row r="928" ht="15.75" customHeight="1">
      <c r="A928" s="32"/>
      <c r="B928" s="32"/>
      <c r="I928" s="4"/>
      <c r="J928" s="13" t="s">
        <v>1814</v>
      </c>
    </row>
    <row r="929" ht="15.75" customHeight="1">
      <c r="A929" s="32"/>
      <c r="B929" s="32"/>
      <c r="I929" s="4"/>
      <c r="J929" s="13" t="s">
        <v>1814</v>
      </c>
    </row>
    <row r="930" ht="15.75" customHeight="1">
      <c r="A930" s="32"/>
      <c r="B930" s="32"/>
      <c r="I930" s="4"/>
      <c r="J930" s="13" t="s">
        <v>1814</v>
      </c>
    </row>
    <row r="931" ht="15.75" customHeight="1">
      <c r="A931" s="32"/>
      <c r="B931" s="32"/>
      <c r="I931" s="4"/>
      <c r="J931" s="13" t="s">
        <v>1814</v>
      </c>
    </row>
    <row r="932" ht="15.75" customHeight="1">
      <c r="A932" s="32"/>
      <c r="B932" s="32"/>
      <c r="I932" s="4"/>
      <c r="J932" s="13" t="s">
        <v>1814</v>
      </c>
    </row>
    <row r="933" ht="15.75" customHeight="1">
      <c r="A933" s="32"/>
      <c r="B933" s="32"/>
      <c r="I933" s="4"/>
      <c r="J933" s="13" t="s">
        <v>1814</v>
      </c>
    </row>
    <row r="934" ht="15.75" customHeight="1">
      <c r="A934" s="32"/>
      <c r="B934" s="32"/>
      <c r="I934" s="4"/>
      <c r="J934" s="13" t="s">
        <v>1814</v>
      </c>
    </row>
    <row r="935" ht="15.75" customHeight="1">
      <c r="A935" s="32"/>
      <c r="B935" s="32"/>
      <c r="I935" s="4"/>
      <c r="J935" s="13" t="s">
        <v>1814</v>
      </c>
    </row>
    <row r="936" ht="15.75" customHeight="1">
      <c r="A936" s="32"/>
      <c r="B936" s="32"/>
      <c r="I936" s="4"/>
      <c r="J936" s="13" t="s">
        <v>1814</v>
      </c>
    </row>
    <row r="937" ht="15.75" customHeight="1">
      <c r="A937" s="32"/>
      <c r="B937" s="32"/>
      <c r="I937" s="4"/>
      <c r="J937" s="13" t="s">
        <v>1814</v>
      </c>
    </row>
    <row r="938" ht="15.75" customHeight="1">
      <c r="A938" s="32"/>
      <c r="B938" s="32"/>
      <c r="I938" s="4"/>
      <c r="J938" s="13" t="s">
        <v>1814</v>
      </c>
    </row>
    <row r="939" ht="15.75" customHeight="1">
      <c r="A939" s="32"/>
      <c r="B939" s="32"/>
      <c r="I939" s="4"/>
      <c r="J939" s="13" t="s">
        <v>1814</v>
      </c>
    </row>
    <row r="940" ht="15.75" customHeight="1">
      <c r="A940" s="32"/>
      <c r="B940" s="32"/>
      <c r="I940" s="4"/>
      <c r="J940" s="13" t="s">
        <v>1814</v>
      </c>
    </row>
    <row r="941" ht="15.75" customHeight="1">
      <c r="A941" s="32"/>
      <c r="B941" s="32"/>
      <c r="I941" s="4"/>
      <c r="J941" s="13" t="s">
        <v>1814</v>
      </c>
    </row>
    <row r="942" ht="15.75" customHeight="1">
      <c r="A942" s="32"/>
      <c r="B942" s="32"/>
      <c r="I942" s="4"/>
      <c r="J942" s="13" t="s">
        <v>1814</v>
      </c>
    </row>
    <row r="943" ht="15.75" customHeight="1">
      <c r="A943" s="32"/>
      <c r="B943" s="32"/>
      <c r="I943" s="4"/>
      <c r="J943" s="13" t="s">
        <v>1814</v>
      </c>
    </row>
    <row r="944" ht="15.75" customHeight="1">
      <c r="A944" s="32"/>
      <c r="B944" s="32"/>
      <c r="I944" s="4"/>
      <c r="J944" s="13" t="s">
        <v>1814</v>
      </c>
    </row>
    <row r="945" ht="15.75" customHeight="1">
      <c r="A945" s="32"/>
      <c r="B945" s="32"/>
      <c r="I945" s="4"/>
      <c r="J945" s="13" t="s">
        <v>1814</v>
      </c>
    </row>
    <row r="946" ht="15.75" customHeight="1">
      <c r="A946" s="32"/>
      <c r="B946" s="32"/>
      <c r="I946" s="4"/>
      <c r="J946" s="13" t="s">
        <v>1814</v>
      </c>
    </row>
    <row r="947" ht="15.75" customHeight="1">
      <c r="A947" s="32"/>
      <c r="B947" s="32"/>
      <c r="I947" s="4"/>
      <c r="J947" s="13" t="s">
        <v>1814</v>
      </c>
    </row>
    <row r="948" ht="15.75" customHeight="1">
      <c r="A948" s="32"/>
      <c r="B948" s="32"/>
      <c r="I948" s="4"/>
      <c r="J948" s="13" t="s">
        <v>1814</v>
      </c>
    </row>
    <row r="949" ht="15.75" customHeight="1">
      <c r="A949" s="32"/>
      <c r="B949" s="32"/>
      <c r="I949" s="4"/>
      <c r="J949" s="13" t="s">
        <v>1814</v>
      </c>
    </row>
    <row r="950" ht="15.75" customHeight="1">
      <c r="A950" s="32"/>
      <c r="B950" s="32"/>
      <c r="I950" s="4"/>
      <c r="J950" s="13" t="s">
        <v>1814</v>
      </c>
    </row>
    <row r="951" ht="15.75" customHeight="1">
      <c r="A951" s="32"/>
      <c r="B951" s="32"/>
      <c r="I951" s="4"/>
      <c r="J951" s="13" t="s">
        <v>1814</v>
      </c>
    </row>
    <row r="952" ht="15.75" customHeight="1">
      <c r="A952" s="32"/>
      <c r="B952" s="32"/>
      <c r="I952" s="4"/>
      <c r="J952" s="13" t="s">
        <v>1814</v>
      </c>
    </row>
    <row r="953" ht="15.75" customHeight="1">
      <c r="A953" s="32"/>
      <c r="B953" s="32"/>
      <c r="I953" s="4"/>
      <c r="J953" s="13" t="s">
        <v>1814</v>
      </c>
    </row>
    <row r="954" ht="15.75" customHeight="1">
      <c r="A954" s="32"/>
      <c r="B954" s="32"/>
      <c r="I954" s="4"/>
      <c r="J954" s="13" t="s">
        <v>1814</v>
      </c>
    </row>
    <row r="955" ht="15.75" customHeight="1">
      <c r="A955" s="32"/>
      <c r="B955" s="32"/>
      <c r="I955" s="4"/>
      <c r="J955" s="13" t="s">
        <v>1814</v>
      </c>
    </row>
    <row r="956" ht="15.75" customHeight="1">
      <c r="A956" s="32"/>
      <c r="B956" s="32"/>
      <c r="I956" s="4"/>
      <c r="J956" s="13" t="s">
        <v>1814</v>
      </c>
    </row>
    <row r="957" ht="15.75" customHeight="1">
      <c r="A957" s="32"/>
      <c r="B957" s="32"/>
      <c r="I957" s="4"/>
      <c r="J957" s="13" t="s">
        <v>1814</v>
      </c>
    </row>
    <row r="958" ht="15.75" customHeight="1">
      <c r="A958" s="32"/>
      <c r="B958" s="32"/>
      <c r="I958" s="4"/>
      <c r="J958" s="13" t="s">
        <v>1814</v>
      </c>
    </row>
    <row r="959" ht="15.75" customHeight="1">
      <c r="A959" s="32"/>
      <c r="B959" s="32"/>
      <c r="I959" s="4"/>
      <c r="J959" s="13" t="s">
        <v>1814</v>
      </c>
    </row>
    <row r="960" ht="15.75" customHeight="1">
      <c r="A960" s="32"/>
      <c r="B960" s="32"/>
      <c r="I960" s="4"/>
      <c r="J960" s="13" t="s">
        <v>1814</v>
      </c>
    </row>
    <row r="961" ht="15.75" customHeight="1">
      <c r="A961" s="32"/>
      <c r="B961" s="32"/>
      <c r="I961" s="4"/>
      <c r="J961" s="13" t="s">
        <v>1814</v>
      </c>
    </row>
    <row r="962" ht="15.75" customHeight="1">
      <c r="A962" s="32"/>
      <c r="B962" s="32"/>
      <c r="I962" s="4"/>
      <c r="J962" s="13" t="s">
        <v>1814</v>
      </c>
    </row>
    <row r="963" ht="15.75" customHeight="1">
      <c r="A963" s="32"/>
      <c r="B963" s="32"/>
      <c r="I963" s="4"/>
      <c r="J963" s="13" t="s">
        <v>1814</v>
      </c>
    </row>
    <row r="964" ht="15.75" customHeight="1">
      <c r="A964" s="32"/>
      <c r="B964" s="32"/>
      <c r="I964" s="4"/>
      <c r="J964" s="13" t="s">
        <v>1814</v>
      </c>
    </row>
    <row r="965" ht="15.75" customHeight="1">
      <c r="A965" s="32"/>
      <c r="B965" s="32"/>
      <c r="I965" s="4"/>
      <c r="J965" s="13" t="s">
        <v>1814</v>
      </c>
    </row>
    <row r="966" ht="15.75" customHeight="1">
      <c r="A966" s="32"/>
      <c r="B966" s="32"/>
      <c r="I966" s="4"/>
      <c r="J966" s="13" t="s">
        <v>1814</v>
      </c>
    </row>
    <row r="967" ht="15.75" customHeight="1">
      <c r="A967" s="32"/>
      <c r="B967" s="32"/>
      <c r="I967" s="4"/>
      <c r="J967" s="13" t="s">
        <v>1814</v>
      </c>
    </row>
    <row r="968" ht="15.75" customHeight="1">
      <c r="A968" s="32"/>
      <c r="B968" s="32"/>
      <c r="I968" s="4"/>
      <c r="J968" s="13" t="s">
        <v>1814</v>
      </c>
    </row>
    <row r="969" ht="15.75" customHeight="1">
      <c r="A969" s="32"/>
      <c r="B969" s="32"/>
      <c r="I969" s="4"/>
      <c r="J969" s="13" t="s">
        <v>1814</v>
      </c>
    </row>
    <row r="970" ht="15.75" customHeight="1">
      <c r="A970" s="32"/>
      <c r="B970" s="32"/>
      <c r="I970" s="4"/>
      <c r="J970" s="13" t="s">
        <v>1814</v>
      </c>
    </row>
    <row r="971" ht="15.75" customHeight="1">
      <c r="A971" s="32"/>
      <c r="B971" s="32"/>
      <c r="I971" s="4"/>
      <c r="J971" s="13" t="s">
        <v>1814</v>
      </c>
    </row>
    <row r="972" ht="15.75" customHeight="1">
      <c r="A972" s="32"/>
      <c r="B972" s="32"/>
      <c r="I972" s="4"/>
      <c r="J972" s="13" t="s">
        <v>1814</v>
      </c>
    </row>
    <row r="973" ht="15.75" customHeight="1">
      <c r="A973" s="32"/>
      <c r="B973" s="32"/>
      <c r="I973" s="4"/>
      <c r="J973" s="13" t="s">
        <v>1814</v>
      </c>
    </row>
    <row r="974" ht="15.75" customHeight="1">
      <c r="A974" s="32"/>
      <c r="B974" s="32"/>
      <c r="I974" s="4"/>
      <c r="J974" s="13" t="s">
        <v>1814</v>
      </c>
    </row>
    <row r="975" ht="15.75" customHeight="1">
      <c r="A975" s="32"/>
      <c r="B975" s="32"/>
      <c r="I975" s="4"/>
      <c r="J975" s="13" t="s">
        <v>1814</v>
      </c>
    </row>
    <row r="976" ht="15.75" customHeight="1">
      <c r="A976" s="32"/>
      <c r="B976" s="32"/>
      <c r="I976" s="4"/>
      <c r="J976" s="13" t="s">
        <v>1814</v>
      </c>
    </row>
    <row r="977" ht="15.75" customHeight="1">
      <c r="A977" s="32"/>
      <c r="B977" s="32"/>
      <c r="I977" s="4"/>
      <c r="J977" s="13" t="s">
        <v>1814</v>
      </c>
    </row>
    <row r="978" ht="15.75" customHeight="1">
      <c r="A978" s="32"/>
      <c r="B978" s="32"/>
      <c r="I978" s="4"/>
      <c r="J978" s="13" t="s">
        <v>1814</v>
      </c>
    </row>
    <row r="979" ht="15.75" customHeight="1">
      <c r="A979" s="32"/>
      <c r="B979" s="32"/>
      <c r="I979" s="4"/>
      <c r="J979" s="13" t="s">
        <v>1814</v>
      </c>
    </row>
    <row r="980" ht="15.75" customHeight="1">
      <c r="A980" s="32"/>
      <c r="B980" s="32"/>
      <c r="I980" s="4"/>
      <c r="J980" s="13" t="s">
        <v>1814</v>
      </c>
    </row>
    <row r="981" ht="15.75" customHeight="1">
      <c r="A981" s="32"/>
      <c r="B981" s="32"/>
      <c r="I981" s="4"/>
      <c r="J981" s="13" t="s">
        <v>1814</v>
      </c>
    </row>
    <row r="982" ht="15.75" customHeight="1">
      <c r="A982" s="32"/>
      <c r="B982" s="32"/>
      <c r="I982" s="4"/>
      <c r="J982" s="13" t="s">
        <v>1814</v>
      </c>
    </row>
    <row r="983" ht="15.75" customHeight="1">
      <c r="A983" s="32"/>
      <c r="B983" s="32"/>
      <c r="I983" s="4"/>
      <c r="J983" s="13" t="s">
        <v>1814</v>
      </c>
    </row>
    <row r="984" ht="15.75" customHeight="1">
      <c r="A984" s="32"/>
      <c r="B984" s="32"/>
      <c r="I984" s="4"/>
      <c r="J984" s="13" t="s">
        <v>1814</v>
      </c>
    </row>
    <row r="985" ht="15.75" customHeight="1">
      <c r="A985" s="32"/>
      <c r="B985" s="32"/>
      <c r="I985" s="4"/>
      <c r="J985" s="13" t="s">
        <v>1814</v>
      </c>
    </row>
    <row r="986" ht="15.75" customHeight="1">
      <c r="A986" s="32"/>
      <c r="B986" s="32"/>
      <c r="I986" s="4"/>
      <c r="J986" s="13" t="s">
        <v>1814</v>
      </c>
    </row>
    <row r="987" ht="15.75" customHeight="1">
      <c r="A987" s="32"/>
      <c r="B987" s="32"/>
      <c r="I987" s="4"/>
      <c r="J987" s="13" t="s">
        <v>1814</v>
      </c>
    </row>
    <row r="988" ht="15.75" customHeight="1">
      <c r="A988" s="32"/>
      <c r="B988" s="32"/>
      <c r="I988" s="4"/>
      <c r="J988" s="13" t="s">
        <v>1814</v>
      </c>
    </row>
    <row r="989" ht="15.75" customHeight="1">
      <c r="A989" s="32"/>
      <c r="B989" s="32"/>
      <c r="I989" s="4"/>
      <c r="J989" s="13" t="s">
        <v>1814</v>
      </c>
    </row>
    <row r="990" ht="15.75" customHeight="1">
      <c r="A990" s="32"/>
      <c r="B990" s="32"/>
      <c r="I990" s="4"/>
      <c r="J990" s="13" t="s">
        <v>1814</v>
      </c>
    </row>
    <row r="991" ht="15.75" customHeight="1">
      <c r="A991" s="32"/>
      <c r="B991" s="32"/>
      <c r="I991" s="4"/>
      <c r="J991" s="13" t="s">
        <v>1814</v>
      </c>
    </row>
    <row r="992" ht="15.75" customHeight="1">
      <c r="A992" s="32"/>
      <c r="B992" s="32"/>
      <c r="I992" s="4"/>
      <c r="J992" s="13" t="s">
        <v>1814</v>
      </c>
    </row>
    <row r="993" ht="15.75" customHeight="1">
      <c r="A993" s="32"/>
      <c r="B993" s="32"/>
      <c r="I993" s="4"/>
      <c r="J993" s="13" t="s">
        <v>1814</v>
      </c>
    </row>
    <row r="994" ht="15.75" customHeight="1">
      <c r="A994" s="32"/>
      <c r="B994" s="32"/>
      <c r="I994" s="4"/>
      <c r="J994" s="13" t="s">
        <v>1814</v>
      </c>
    </row>
    <row r="995" ht="15.75" customHeight="1">
      <c r="A995" s="32"/>
      <c r="B995" s="32"/>
      <c r="I995" s="4"/>
      <c r="J995" s="13" t="s">
        <v>1814</v>
      </c>
    </row>
    <row r="996" ht="15.75" customHeight="1">
      <c r="A996" s="32"/>
      <c r="B996" s="32"/>
      <c r="I996" s="4"/>
      <c r="J996" s="13" t="s">
        <v>1814</v>
      </c>
    </row>
    <row r="997" ht="15.75" customHeight="1">
      <c r="A997" s="32"/>
      <c r="B997" s="32"/>
      <c r="I997" s="4"/>
      <c r="J997" s="13" t="s">
        <v>1814</v>
      </c>
    </row>
    <row r="998" ht="15.75" customHeight="1">
      <c r="A998" s="32"/>
      <c r="B998" s="32"/>
      <c r="I998" s="4"/>
      <c r="J998" s="13" t="s">
        <v>1814</v>
      </c>
    </row>
    <row r="999" ht="15.75" customHeight="1">
      <c r="A999" s="32"/>
      <c r="B999" s="32"/>
      <c r="I999" s="4"/>
      <c r="J999" s="13" t="s">
        <v>1814</v>
      </c>
    </row>
    <row r="1000" ht="15.75" customHeight="1">
      <c r="A1000" s="32"/>
      <c r="B1000" s="32"/>
      <c r="I1000" s="4"/>
      <c r="J1000" s="13" t="s">
        <v>1814</v>
      </c>
    </row>
    <row r="1001" ht="15.75" customHeight="1">
      <c r="A1001" s="32"/>
      <c r="B1001" s="32"/>
      <c r="I1001" s="4"/>
      <c r="J1001" s="13" t="s">
        <v>1814</v>
      </c>
    </row>
    <row r="1002" ht="15.75" customHeight="1">
      <c r="A1002" s="32"/>
      <c r="B1002" s="32"/>
      <c r="I1002" s="4"/>
      <c r="J1002" s="13" t="s">
        <v>1814</v>
      </c>
    </row>
    <row r="1003" ht="15.75" customHeight="1">
      <c r="A1003" s="32"/>
      <c r="B1003" s="32"/>
      <c r="I1003" s="4"/>
      <c r="J1003" s="13" t="s">
        <v>1814</v>
      </c>
    </row>
    <row r="1004" ht="15.75" customHeight="1">
      <c r="A1004" s="32"/>
      <c r="B1004" s="32"/>
      <c r="I1004" s="4"/>
      <c r="J1004" s="13" t="s">
        <v>1814</v>
      </c>
    </row>
    <row r="1005" ht="15.75" customHeight="1">
      <c r="A1005" s="32"/>
      <c r="B1005" s="32"/>
      <c r="I1005" s="4"/>
      <c r="J1005" s="13" t="s">
        <v>1814</v>
      </c>
    </row>
    <row r="1006" ht="15.75" customHeight="1">
      <c r="A1006" s="32"/>
      <c r="B1006" s="32"/>
      <c r="I1006" s="4"/>
      <c r="J1006" s="13" t="s">
        <v>1814</v>
      </c>
    </row>
    <row r="1007" ht="15.75" customHeight="1">
      <c r="A1007" s="32"/>
      <c r="B1007" s="32"/>
      <c r="I1007" s="4"/>
      <c r="J1007" s="13" t="s">
        <v>1814</v>
      </c>
    </row>
    <row r="1008" ht="15.75" customHeight="1">
      <c r="A1008" s="32"/>
      <c r="B1008" s="32"/>
      <c r="I1008" s="4"/>
      <c r="J1008" s="13" t="s">
        <v>1814</v>
      </c>
    </row>
    <row r="1009" ht="15.75" customHeight="1">
      <c r="A1009" s="32"/>
      <c r="B1009" s="32"/>
      <c r="I1009" s="4"/>
      <c r="J1009" s="13" t="s">
        <v>1814</v>
      </c>
    </row>
    <row r="1010" ht="15.75" customHeight="1">
      <c r="A1010" s="32"/>
      <c r="B1010" s="32"/>
      <c r="I1010" s="4"/>
      <c r="J1010" s="13" t="s">
        <v>1814</v>
      </c>
    </row>
    <row r="1011" ht="15.75" customHeight="1">
      <c r="A1011" s="32"/>
      <c r="B1011" s="32"/>
      <c r="I1011" s="4"/>
      <c r="J1011" s="13" t="s">
        <v>1814</v>
      </c>
    </row>
    <row r="1012" ht="15.75" customHeight="1">
      <c r="A1012" s="32"/>
      <c r="B1012" s="32"/>
      <c r="I1012" s="4"/>
      <c r="J1012" s="13" t="s">
        <v>1814</v>
      </c>
    </row>
    <row r="1013" ht="15.75" customHeight="1">
      <c r="A1013" s="32"/>
      <c r="B1013" s="32"/>
      <c r="I1013" s="4"/>
      <c r="J1013" s="13" t="s">
        <v>1814</v>
      </c>
    </row>
    <row r="1014" ht="15.75" customHeight="1">
      <c r="A1014" s="32"/>
      <c r="B1014" s="32"/>
      <c r="I1014" s="4"/>
      <c r="J1014" s="13" t="s">
        <v>1814</v>
      </c>
    </row>
    <row r="1015" ht="15.75" customHeight="1">
      <c r="A1015" s="32"/>
      <c r="B1015" s="32"/>
      <c r="I1015" s="4"/>
      <c r="J1015" s="13" t="s">
        <v>1814</v>
      </c>
    </row>
    <row r="1016" ht="15.75" customHeight="1">
      <c r="A1016" s="32"/>
      <c r="B1016" s="32"/>
      <c r="I1016" s="4"/>
      <c r="J1016" s="13" t="s">
        <v>1814</v>
      </c>
    </row>
    <row r="1017" ht="15.75" customHeight="1">
      <c r="A1017" s="32"/>
      <c r="B1017" s="32"/>
      <c r="I1017" s="4"/>
      <c r="J1017" s="13" t="s">
        <v>1814</v>
      </c>
    </row>
    <row r="1018" ht="15.75" customHeight="1">
      <c r="A1018" s="32"/>
      <c r="B1018" s="32"/>
      <c r="I1018" s="4"/>
      <c r="J1018" s="13" t="s">
        <v>1814</v>
      </c>
    </row>
    <row r="1019" ht="15.75" customHeight="1">
      <c r="A1019" s="32"/>
      <c r="B1019" s="32"/>
      <c r="I1019" s="4"/>
      <c r="J1019" s="13" t="s">
        <v>1814</v>
      </c>
    </row>
    <row r="1020" ht="15.75" customHeight="1">
      <c r="A1020" s="32"/>
      <c r="B1020" s="32"/>
      <c r="I1020" s="4"/>
      <c r="J1020" s="13" t="s">
        <v>1814</v>
      </c>
    </row>
    <row r="1021" ht="15.75" customHeight="1">
      <c r="A1021" s="32"/>
      <c r="B1021" s="32"/>
      <c r="I1021" s="4"/>
      <c r="J1021" s="13" t="s">
        <v>1814</v>
      </c>
    </row>
    <row r="1022" ht="15.75" customHeight="1">
      <c r="A1022" s="32"/>
      <c r="B1022" s="32"/>
      <c r="I1022" s="4"/>
      <c r="J1022" s="13" t="s">
        <v>1814</v>
      </c>
    </row>
    <row r="1023" ht="15.75" customHeight="1">
      <c r="A1023" s="32"/>
      <c r="B1023" s="32"/>
      <c r="I1023" s="4"/>
      <c r="J1023" s="13" t="s">
        <v>1814</v>
      </c>
    </row>
    <row r="1024" ht="15.75" customHeight="1">
      <c r="A1024" s="32"/>
      <c r="B1024" s="32"/>
      <c r="I1024" s="4"/>
      <c r="J1024" s="13" t="s">
        <v>1814</v>
      </c>
    </row>
    <row r="1025" ht="15.75" customHeight="1">
      <c r="A1025" s="32"/>
      <c r="B1025" s="32"/>
      <c r="I1025" s="4"/>
      <c r="J1025" s="13" t="s">
        <v>1814</v>
      </c>
    </row>
    <row r="1026" ht="15.75" customHeight="1">
      <c r="A1026" s="32"/>
      <c r="B1026" s="32"/>
      <c r="I1026" s="4"/>
      <c r="J1026" s="13" t="s">
        <v>1814</v>
      </c>
    </row>
    <row r="1027" ht="15.75" customHeight="1">
      <c r="A1027" s="32"/>
      <c r="B1027" s="32"/>
      <c r="I1027" s="4"/>
      <c r="J1027" s="13" t="s">
        <v>1814</v>
      </c>
    </row>
    <row r="1028" ht="15.75" customHeight="1">
      <c r="A1028" s="32"/>
      <c r="B1028" s="32"/>
      <c r="I1028" s="4"/>
      <c r="J1028" s="13" t="s">
        <v>1814</v>
      </c>
    </row>
    <row r="1029" ht="15.75" customHeight="1">
      <c r="A1029" s="32"/>
      <c r="B1029" s="32"/>
      <c r="I1029" s="4"/>
      <c r="J1029" s="13" t="s">
        <v>1814</v>
      </c>
    </row>
    <row r="1030" ht="15.75" customHeight="1">
      <c r="A1030" s="32"/>
      <c r="B1030" s="32"/>
      <c r="I1030" s="4"/>
      <c r="J1030" s="13" t="s">
        <v>1814</v>
      </c>
    </row>
    <row r="1031" ht="15.75" customHeight="1">
      <c r="A1031" s="32"/>
      <c r="B1031" s="32"/>
      <c r="I1031" s="4"/>
      <c r="J1031" s="13" t="s">
        <v>1814</v>
      </c>
    </row>
    <row r="1032" ht="15.75" customHeight="1">
      <c r="A1032" s="32"/>
      <c r="B1032" s="32"/>
      <c r="I1032" s="4"/>
      <c r="J1032" s="13" t="s">
        <v>1814</v>
      </c>
    </row>
    <row r="1033" ht="15.75" customHeight="1">
      <c r="A1033" s="32"/>
      <c r="B1033" s="32"/>
      <c r="I1033" s="4"/>
      <c r="J1033" s="13" t="s">
        <v>1814</v>
      </c>
    </row>
    <row r="1034" ht="15.75" customHeight="1">
      <c r="A1034" s="32"/>
      <c r="B1034" s="32"/>
      <c r="I1034" s="4"/>
      <c r="J1034" s="13" t="s">
        <v>1814</v>
      </c>
    </row>
    <row r="1035" ht="15.75" customHeight="1">
      <c r="A1035" s="32"/>
      <c r="B1035" s="32"/>
      <c r="I1035" s="4"/>
      <c r="J1035" s="13" t="s">
        <v>1814</v>
      </c>
    </row>
    <row r="1036" ht="15.75" customHeight="1">
      <c r="A1036" s="32"/>
      <c r="B1036" s="32"/>
      <c r="I1036" s="4"/>
      <c r="J1036" s="13" t="s">
        <v>1814</v>
      </c>
    </row>
    <row r="1037" ht="15.75" customHeight="1">
      <c r="A1037" s="32"/>
      <c r="B1037" s="32"/>
      <c r="I1037" s="4"/>
      <c r="J1037" s="13" t="s">
        <v>1814</v>
      </c>
    </row>
    <row r="1038" ht="15.75" customHeight="1">
      <c r="A1038" s="32"/>
      <c r="B1038" s="32"/>
      <c r="I1038" s="4"/>
      <c r="J1038" s="13" t="s">
        <v>1814</v>
      </c>
    </row>
    <row r="1039" ht="15.75" customHeight="1">
      <c r="A1039" s="32"/>
      <c r="B1039" s="32"/>
      <c r="I1039" s="4"/>
      <c r="J1039" s="13" t="s">
        <v>1814</v>
      </c>
    </row>
    <row r="1040" ht="15.75" customHeight="1">
      <c r="A1040" s="32"/>
      <c r="B1040" s="32"/>
      <c r="I1040" s="4"/>
      <c r="J1040" s="13" t="s">
        <v>1814</v>
      </c>
    </row>
    <row r="1041" ht="15.75" customHeight="1">
      <c r="A1041" s="32"/>
      <c r="B1041" s="32"/>
      <c r="I1041" s="4"/>
      <c r="J1041" s="13" t="s">
        <v>1814</v>
      </c>
    </row>
    <row r="1042" ht="15.75" customHeight="1">
      <c r="A1042" s="32"/>
      <c r="B1042" s="32"/>
      <c r="I1042" s="4"/>
      <c r="J1042" s="13" t="s">
        <v>1814</v>
      </c>
    </row>
    <row r="1043" ht="15.75" customHeight="1">
      <c r="A1043" s="32"/>
      <c r="B1043" s="32"/>
      <c r="I1043" s="4"/>
      <c r="J1043" s="13" t="s">
        <v>1814</v>
      </c>
    </row>
    <row r="1044" ht="15.75" customHeight="1">
      <c r="A1044" s="32"/>
      <c r="B1044" s="32"/>
      <c r="I1044" s="4"/>
      <c r="J1044" s="13" t="s">
        <v>1814</v>
      </c>
    </row>
    <row r="1045" ht="15.75" customHeight="1">
      <c r="A1045" s="32"/>
      <c r="B1045" s="32"/>
      <c r="I1045" s="4"/>
      <c r="J1045" s="13" t="s">
        <v>1814</v>
      </c>
    </row>
    <row r="1046" ht="15.75" customHeight="1">
      <c r="A1046" s="32"/>
      <c r="B1046" s="32"/>
      <c r="I1046" s="4"/>
      <c r="J1046" s="13" t="s">
        <v>1814</v>
      </c>
    </row>
    <row r="1047" ht="15.75" customHeight="1">
      <c r="A1047" s="32"/>
      <c r="B1047" s="32"/>
      <c r="I1047" s="4"/>
      <c r="J1047" s="13" t="s">
        <v>1814</v>
      </c>
    </row>
    <row r="1048" ht="15.75" customHeight="1">
      <c r="A1048" s="32"/>
      <c r="B1048" s="32"/>
      <c r="I1048" s="4"/>
      <c r="J1048" s="13" t="s">
        <v>1814</v>
      </c>
    </row>
    <row r="1049" ht="15.75" customHeight="1">
      <c r="A1049" s="32"/>
      <c r="B1049" s="32"/>
      <c r="I1049" s="4"/>
      <c r="J1049" s="13" t="s">
        <v>1814</v>
      </c>
    </row>
    <row r="1050" ht="15.75" customHeight="1">
      <c r="A1050" s="32"/>
      <c r="B1050" s="32"/>
      <c r="I1050" s="4"/>
      <c r="J1050" s="13" t="s">
        <v>1814</v>
      </c>
    </row>
    <row r="1051" ht="15.75" customHeight="1">
      <c r="A1051" s="32"/>
      <c r="B1051" s="32"/>
      <c r="I1051" s="4"/>
      <c r="J1051" s="13" t="s">
        <v>1814</v>
      </c>
    </row>
    <row r="1052" ht="15.75" customHeight="1">
      <c r="A1052" s="32"/>
      <c r="B1052" s="32"/>
      <c r="I1052" s="4"/>
      <c r="J1052" s="13" t="s">
        <v>1814</v>
      </c>
    </row>
    <row r="1053" ht="15.75" customHeight="1">
      <c r="A1053" s="32"/>
      <c r="B1053" s="32"/>
      <c r="I1053" s="4"/>
      <c r="J1053" s="13" t="s">
        <v>1814</v>
      </c>
    </row>
    <row r="1054" ht="15.75" customHeight="1">
      <c r="A1054" s="32"/>
      <c r="B1054" s="32"/>
      <c r="I1054" s="4"/>
      <c r="J1054" s="13" t="s">
        <v>1814</v>
      </c>
    </row>
    <row r="1055" ht="15.75" customHeight="1">
      <c r="A1055" s="32"/>
      <c r="B1055" s="32"/>
      <c r="I1055" s="4"/>
      <c r="J1055" s="13" t="s">
        <v>1814</v>
      </c>
    </row>
    <row r="1056" ht="15.75" customHeight="1">
      <c r="A1056" s="32"/>
      <c r="B1056" s="32"/>
      <c r="I1056" s="4"/>
      <c r="J1056" s="13" t="s">
        <v>1814</v>
      </c>
    </row>
    <row r="1057" ht="15.75" customHeight="1">
      <c r="A1057" s="32"/>
      <c r="B1057" s="32"/>
      <c r="I1057" s="4"/>
      <c r="J1057" s="13" t="s">
        <v>1814</v>
      </c>
    </row>
    <row r="1058" ht="15.75" customHeight="1">
      <c r="A1058" s="32"/>
      <c r="B1058" s="32"/>
      <c r="I1058" s="4"/>
      <c r="J1058" s="13" t="s">
        <v>1814</v>
      </c>
    </row>
    <row r="1059" ht="15.75" customHeight="1">
      <c r="A1059" s="32"/>
      <c r="B1059" s="32"/>
      <c r="I1059" s="4"/>
      <c r="J1059" s="13" t="s">
        <v>1814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18.57"/>
    <col customWidth="1" min="4" max="4" width="21.71"/>
    <col customWidth="1" min="5" max="5" width="35.86"/>
    <col customWidth="1" min="6" max="6" width="24.71"/>
  </cols>
  <sheetData>
    <row r="1" ht="15.75" customHeight="1">
      <c r="A1" s="13" t="s">
        <v>0</v>
      </c>
      <c r="B1" s="77" t="s">
        <v>1</v>
      </c>
      <c r="C1" s="77" t="s">
        <v>2</v>
      </c>
      <c r="D1" s="77" t="s">
        <v>4</v>
      </c>
      <c r="E1" s="77" t="s">
        <v>5</v>
      </c>
      <c r="F1" s="77" t="s">
        <v>6</v>
      </c>
      <c r="G1" s="78" t="s">
        <v>7</v>
      </c>
      <c r="H1" s="82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</row>
    <row r="2" ht="15.75" customHeight="1">
      <c r="A2" s="106">
        <v>43893.0</v>
      </c>
      <c r="B2" s="107" t="s">
        <v>2314</v>
      </c>
      <c r="C2" s="108" t="s">
        <v>2315</v>
      </c>
      <c r="D2" s="108" t="s">
        <v>2316</v>
      </c>
      <c r="E2" s="109">
        <v>9.23008282022E11</v>
      </c>
      <c r="F2" s="108" t="s">
        <v>742</v>
      </c>
      <c r="G2" s="110" t="s">
        <v>2317</v>
      </c>
      <c r="H2" s="111" t="s">
        <v>2318</v>
      </c>
    </row>
    <row r="3" ht="15.75" customHeight="1">
      <c r="A3" s="106">
        <v>43893.0</v>
      </c>
      <c r="B3" s="107" t="s">
        <v>2314</v>
      </c>
      <c r="C3" s="108" t="s">
        <v>2319</v>
      </c>
      <c r="D3" s="108" t="s">
        <v>2320</v>
      </c>
      <c r="E3" s="109">
        <v>3.34354049E9</v>
      </c>
      <c r="F3" s="108" t="s">
        <v>1664</v>
      </c>
      <c r="G3" s="110" t="s">
        <v>2317</v>
      </c>
      <c r="H3" s="111" t="s">
        <v>2318</v>
      </c>
    </row>
    <row r="4" ht="15.75" customHeight="1">
      <c r="A4" s="106">
        <v>43893.0</v>
      </c>
      <c r="B4" s="107" t="s">
        <v>2314</v>
      </c>
      <c r="C4" s="108" t="s">
        <v>2321</v>
      </c>
      <c r="D4" s="108" t="s">
        <v>2322</v>
      </c>
      <c r="E4" s="109">
        <v>9.2333205666E11</v>
      </c>
      <c r="F4" s="108" t="s">
        <v>1664</v>
      </c>
      <c r="G4" s="110" t="s">
        <v>2317</v>
      </c>
      <c r="H4" s="111" t="s">
        <v>2318</v>
      </c>
    </row>
    <row r="5" ht="15.75" customHeight="1">
      <c r="A5" s="106">
        <v>43893.0</v>
      </c>
      <c r="B5" s="107" t="s">
        <v>2314</v>
      </c>
      <c r="C5" s="108" t="s">
        <v>2323</v>
      </c>
      <c r="D5" s="108" t="s">
        <v>2324</v>
      </c>
      <c r="E5" s="109">
        <v>3.008222263E9</v>
      </c>
      <c r="F5" s="108" t="s">
        <v>1661</v>
      </c>
      <c r="G5" s="110" t="s">
        <v>684</v>
      </c>
      <c r="H5" s="111" t="s">
        <v>2318</v>
      </c>
    </row>
    <row r="6" ht="15.75" customHeight="1">
      <c r="A6" s="106">
        <v>43893.0</v>
      </c>
      <c r="B6" s="107" t="s">
        <v>2314</v>
      </c>
      <c r="C6" s="108" t="s">
        <v>2325</v>
      </c>
      <c r="D6" s="108" t="s">
        <v>2326</v>
      </c>
      <c r="E6" s="109">
        <v>3.02348777E9</v>
      </c>
      <c r="F6" s="108" t="s">
        <v>1664</v>
      </c>
      <c r="G6" s="110" t="s">
        <v>684</v>
      </c>
      <c r="H6" s="111" t="s">
        <v>2318</v>
      </c>
    </row>
    <row r="7" ht="15.75" customHeight="1">
      <c r="A7" s="106">
        <v>43893.0</v>
      </c>
      <c r="B7" s="107" t="s">
        <v>2314</v>
      </c>
      <c r="C7" s="108" t="s">
        <v>2327</v>
      </c>
      <c r="D7" s="108" t="s">
        <v>2328</v>
      </c>
      <c r="E7" s="109">
        <v>3.332434862E9</v>
      </c>
      <c r="F7" s="108" t="s">
        <v>1664</v>
      </c>
      <c r="G7" s="110" t="s">
        <v>684</v>
      </c>
      <c r="H7" s="111" t="s">
        <v>2318</v>
      </c>
    </row>
    <row r="8" ht="15.75" customHeight="1">
      <c r="A8" s="106">
        <v>43893.0</v>
      </c>
      <c r="B8" s="107" t="s">
        <v>2314</v>
      </c>
      <c r="C8" s="108" t="s">
        <v>2329</v>
      </c>
      <c r="D8" s="108" t="s">
        <v>2330</v>
      </c>
      <c r="E8" s="109">
        <v>3.218230465E9</v>
      </c>
      <c r="F8" s="108" t="s">
        <v>1661</v>
      </c>
      <c r="G8" s="110" t="s">
        <v>2331</v>
      </c>
      <c r="H8" s="111" t="s">
        <v>2318</v>
      </c>
    </row>
    <row r="9" ht="15.75" customHeight="1">
      <c r="A9" s="106">
        <v>43893.0</v>
      </c>
      <c r="B9" s="107" t="s">
        <v>2314</v>
      </c>
      <c r="C9" s="108" t="s">
        <v>2332</v>
      </c>
      <c r="D9" s="108" t="s">
        <v>2333</v>
      </c>
      <c r="E9" s="109">
        <v>3.405833354E9</v>
      </c>
      <c r="F9" s="108" t="s">
        <v>2334</v>
      </c>
      <c r="G9" s="110" t="s">
        <v>2331</v>
      </c>
      <c r="H9" s="111" t="s">
        <v>2318</v>
      </c>
    </row>
    <row r="10" ht="15.75" customHeight="1">
      <c r="A10" s="106">
        <v>43893.0</v>
      </c>
      <c r="B10" s="107" t="s">
        <v>2314</v>
      </c>
      <c r="C10" s="108" t="s">
        <v>2335</v>
      </c>
      <c r="D10" s="108" t="s">
        <v>2336</v>
      </c>
      <c r="E10" s="109">
        <v>3.008297855E9</v>
      </c>
      <c r="F10" s="108" t="s">
        <v>1661</v>
      </c>
      <c r="G10" s="110" t="s">
        <v>2331</v>
      </c>
      <c r="H10" s="111" t="s">
        <v>2318</v>
      </c>
    </row>
    <row r="11" ht="15.75" customHeight="1">
      <c r="A11" s="106">
        <v>43893.0</v>
      </c>
      <c r="B11" s="107" t="s">
        <v>2314</v>
      </c>
      <c r="C11" s="108" t="s">
        <v>2337</v>
      </c>
      <c r="D11" s="108" t="s">
        <v>2338</v>
      </c>
      <c r="E11" s="109">
        <v>3.214999155E9</v>
      </c>
      <c r="F11" s="108" t="s">
        <v>1661</v>
      </c>
      <c r="G11" s="112" t="s">
        <v>2339</v>
      </c>
      <c r="H11" s="111" t="s">
        <v>2318</v>
      </c>
    </row>
    <row r="12" ht="15.75" customHeight="1">
      <c r="A12" s="106">
        <v>43893.0</v>
      </c>
      <c r="B12" s="107" t="s">
        <v>2314</v>
      </c>
      <c r="C12" s="108" t="s">
        <v>2340</v>
      </c>
      <c r="D12" s="108" t="s">
        <v>2341</v>
      </c>
      <c r="E12" s="109">
        <v>9.2300850458E11</v>
      </c>
      <c r="F12" s="108" t="s">
        <v>1661</v>
      </c>
      <c r="G12" s="112" t="s">
        <v>2339</v>
      </c>
      <c r="H12" s="111" t="s">
        <v>2318</v>
      </c>
    </row>
    <row r="13" ht="15.75" customHeight="1">
      <c r="A13" s="106">
        <v>43893.0</v>
      </c>
      <c r="B13" s="107" t="s">
        <v>2314</v>
      </c>
      <c r="C13" s="108" t="s">
        <v>2342</v>
      </c>
      <c r="D13" s="108" t="s">
        <v>2343</v>
      </c>
      <c r="E13" s="109">
        <v>3.222001351E9</v>
      </c>
      <c r="F13" s="108" t="s">
        <v>1661</v>
      </c>
      <c r="G13" s="112" t="s">
        <v>2339</v>
      </c>
      <c r="H13" s="111" t="s">
        <v>2318</v>
      </c>
    </row>
    <row r="14" ht="15.75" customHeight="1">
      <c r="A14" s="106">
        <v>43893.0</v>
      </c>
      <c r="B14" s="107" t="s">
        <v>2314</v>
      </c>
      <c r="C14" s="108" t="s">
        <v>2344</v>
      </c>
      <c r="D14" s="108" t="s">
        <v>2345</v>
      </c>
      <c r="E14" s="109">
        <v>3.002705695E9</v>
      </c>
      <c r="F14" s="108" t="s">
        <v>2334</v>
      </c>
      <c r="G14" s="110" t="s">
        <v>2346</v>
      </c>
      <c r="H14" s="111" t="s">
        <v>2318</v>
      </c>
    </row>
    <row r="15" ht="15.75" customHeight="1">
      <c r="A15" s="106">
        <v>43893.0</v>
      </c>
      <c r="B15" s="107" t="s">
        <v>2314</v>
      </c>
      <c r="C15" s="108" t="s">
        <v>2347</v>
      </c>
      <c r="D15" s="108" t="s">
        <v>2348</v>
      </c>
      <c r="E15" s="109">
        <v>9.23170296211E11</v>
      </c>
      <c r="F15" s="108" t="s">
        <v>742</v>
      </c>
      <c r="G15" s="110" t="s">
        <v>2346</v>
      </c>
      <c r="H15" s="111" t="s">
        <v>2318</v>
      </c>
    </row>
    <row r="16" ht="15.75" customHeight="1">
      <c r="A16" s="106">
        <v>43893.0</v>
      </c>
      <c r="B16" s="107" t="s">
        <v>2314</v>
      </c>
      <c r="C16" s="108" t="s">
        <v>2349</v>
      </c>
      <c r="D16" s="108" t="s">
        <v>2350</v>
      </c>
      <c r="E16" s="109">
        <v>3.008488638E9</v>
      </c>
      <c r="F16" s="108" t="s">
        <v>1661</v>
      </c>
      <c r="G16" s="110" t="s">
        <v>2346</v>
      </c>
      <c r="H16" s="111" t="s">
        <v>2318</v>
      </c>
    </row>
    <row r="17" ht="15.75" customHeight="1">
      <c r="A17" s="106">
        <v>43893.0</v>
      </c>
      <c r="B17" s="107" t="s">
        <v>2314</v>
      </c>
      <c r="C17" s="108" t="s">
        <v>2351</v>
      </c>
      <c r="D17" s="108" t="s">
        <v>2352</v>
      </c>
      <c r="E17" s="109">
        <v>3.00334144E9</v>
      </c>
      <c r="F17" s="108" t="s">
        <v>742</v>
      </c>
      <c r="G17" s="110" t="s">
        <v>2353</v>
      </c>
      <c r="H17" s="111" t="s">
        <v>2318</v>
      </c>
    </row>
    <row r="18" ht="15.75" customHeight="1">
      <c r="A18" s="106">
        <v>43893.0</v>
      </c>
      <c r="B18" s="107" t="s">
        <v>2314</v>
      </c>
      <c r="C18" s="108" t="s">
        <v>2354</v>
      </c>
      <c r="D18" s="108" t="s">
        <v>2355</v>
      </c>
      <c r="E18" s="109">
        <v>3.152255861E9</v>
      </c>
      <c r="F18" s="108" t="s">
        <v>1664</v>
      </c>
      <c r="G18" s="110" t="s">
        <v>2353</v>
      </c>
      <c r="H18" s="111" t="s">
        <v>2318</v>
      </c>
    </row>
    <row r="19" ht="15.75" customHeight="1">
      <c r="A19" s="106">
        <v>43893.0</v>
      </c>
      <c r="B19" s="107" t="s">
        <v>2314</v>
      </c>
      <c r="C19" s="108" t="s">
        <v>2356</v>
      </c>
      <c r="D19" s="108" t="s">
        <v>2357</v>
      </c>
      <c r="E19" s="109" t="s">
        <v>2358</v>
      </c>
      <c r="F19" s="108" t="s">
        <v>742</v>
      </c>
      <c r="G19" s="110" t="s">
        <v>2353</v>
      </c>
      <c r="H19" s="111" t="s">
        <v>2318</v>
      </c>
    </row>
    <row r="20" ht="15.75" customHeight="1">
      <c r="A20" s="106">
        <v>43893.0</v>
      </c>
      <c r="B20" s="107" t="s">
        <v>2314</v>
      </c>
      <c r="C20" s="108" t="s">
        <v>2359</v>
      </c>
      <c r="D20" s="108" t="s">
        <v>2360</v>
      </c>
      <c r="E20" s="109">
        <v>3.353241132E9</v>
      </c>
      <c r="F20" s="108" t="s">
        <v>2334</v>
      </c>
      <c r="G20" s="110" t="s">
        <v>2361</v>
      </c>
      <c r="H20" s="111" t="s">
        <v>2318</v>
      </c>
    </row>
    <row r="21" ht="15.75" customHeight="1">
      <c r="A21" s="106">
        <v>43893.0</v>
      </c>
      <c r="B21" s="107" t="s">
        <v>2314</v>
      </c>
      <c r="C21" s="108" t="s">
        <v>2362</v>
      </c>
      <c r="D21" s="108" t="s">
        <v>2363</v>
      </c>
      <c r="E21" s="109"/>
      <c r="F21" s="108" t="s">
        <v>1661</v>
      </c>
      <c r="G21" s="110" t="s">
        <v>2361</v>
      </c>
      <c r="H21" s="111" t="s">
        <v>2318</v>
      </c>
    </row>
    <row r="22" ht="15.75" customHeight="1">
      <c r="A22" s="106">
        <v>43893.0</v>
      </c>
      <c r="B22" s="107" t="s">
        <v>2314</v>
      </c>
      <c r="C22" s="108" t="s">
        <v>2364</v>
      </c>
      <c r="D22" s="108" t="s">
        <v>2365</v>
      </c>
      <c r="E22" s="109">
        <v>3.218272403E9</v>
      </c>
      <c r="F22" s="108" t="s">
        <v>1661</v>
      </c>
      <c r="G22" s="110" t="s">
        <v>2361</v>
      </c>
      <c r="H22" s="111" t="s">
        <v>2318</v>
      </c>
    </row>
    <row r="23" ht="15.75" customHeight="1">
      <c r="A23" s="106">
        <v>43893.0</v>
      </c>
      <c r="B23" s="107" t="s">
        <v>2314</v>
      </c>
      <c r="C23" s="108" t="s">
        <v>2366</v>
      </c>
      <c r="D23" s="108" t="s">
        <v>2367</v>
      </c>
      <c r="E23" s="109">
        <v>3.033303302E9</v>
      </c>
      <c r="F23" s="108" t="s">
        <v>1661</v>
      </c>
      <c r="G23" s="110" t="s">
        <v>2368</v>
      </c>
      <c r="H23" s="111" t="s">
        <v>2318</v>
      </c>
    </row>
    <row r="24" ht="15.75" customHeight="1">
      <c r="A24" s="106">
        <v>43893.0</v>
      </c>
      <c r="B24" s="107" t="s">
        <v>2314</v>
      </c>
      <c r="C24" s="108" t="s">
        <v>2369</v>
      </c>
      <c r="D24" s="108" t="s">
        <v>2370</v>
      </c>
      <c r="E24" s="109">
        <v>3.008293229E9</v>
      </c>
      <c r="F24" s="108" t="s">
        <v>1661</v>
      </c>
      <c r="G24" s="110" t="s">
        <v>2368</v>
      </c>
      <c r="H24" s="111" t="s">
        <v>2318</v>
      </c>
    </row>
    <row r="25" ht="15.75" customHeight="1">
      <c r="A25" s="106">
        <v>43893.0</v>
      </c>
      <c r="B25" s="107" t="s">
        <v>2314</v>
      </c>
      <c r="C25" s="108" t="s">
        <v>2371</v>
      </c>
      <c r="D25" s="108" t="s">
        <v>2372</v>
      </c>
      <c r="E25" s="109">
        <v>3.218219191E9</v>
      </c>
      <c r="F25" s="108" t="s">
        <v>1664</v>
      </c>
      <c r="G25" s="110" t="s">
        <v>2368</v>
      </c>
      <c r="H25" s="113" t="s">
        <v>2361</v>
      </c>
    </row>
    <row r="26" ht="15.75" customHeight="1">
      <c r="A26" s="106">
        <v>43894.0</v>
      </c>
      <c r="B26" s="107" t="s">
        <v>2314</v>
      </c>
      <c r="C26" s="108" t="s">
        <v>2373</v>
      </c>
      <c r="D26" s="108" t="s">
        <v>2374</v>
      </c>
      <c r="E26" s="109">
        <v>3.002877405E9</v>
      </c>
      <c r="F26" s="108" t="s">
        <v>2334</v>
      </c>
      <c r="G26" s="110" t="s">
        <v>420</v>
      </c>
      <c r="H26" s="113" t="s">
        <v>2361</v>
      </c>
    </row>
    <row r="27" ht="15.75" customHeight="1">
      <c r="A27" s="106">
        <v>43894.0</v>
      </c>
      <c r="B27" s="107" t="s">
        <v>2314</v>
      </c>
      <c r="C27" s="108" t="s">
        <v>2375</v>
      </c>
      <c r="D27" s="108" t="s">
        <v>2376</v>
      </c>
      <c r="E27" s="109">
        <f>+12815802853</f>
        <v>12815802853</v>
      </c>
      <c r="F27" s="108" t="s">
        <v>1664</v>
      </c>
      <c r="G27" s="110" t="s">
        <v>420</v>
      </c>
      <c r="H27" s="113" t="s">
        <v>2361</v>
      </c>
    </row>
    <row r="28" ht="15.75" customHeight="1">
      <c r="A28" s="106">
        <v>43894.0</v>
      </c>
      <c r="B28" s="107" t="s">
        <v>2314</v>
      </c>
      <c r="C28" s="108" t="s">
        <v>2377</v>
      </c>
      <c r="D28" s="108" t="s">
        <v>2378</v>
      </c>
      <c r="E28" s="109">
        <v>3.002200698E9</v>
      </c>
      <c r="F28" s="108" t="s">
        <v>1664</v>
      </c>
      <c r="G28" s="110" t="s">
        <v>420</v>
      </c>
      <c r="H28" s="113" t="s">
        <v>2361</v>
      </c>
    </row>
    <row r="29" ht="15.75" customHeight="1">
      <c r="A29" s="106">
        <v>43894.0</v>
      </c>
      <c r="B29" s="107" t="s">
        <v>2314</v>
      </c>
      <c r="C29" s="108" t="s">
        <v>2379</v>
      </c>
      <c r="D29" s="108" t="s">
        <v>2380</v>
      </c>
      <c r="E29" s="109">
        <v>3.412225363E9</v>
      </c>
      <c r="F29" s="108" t="s">
        <v>742</v>
      </c>
      <c r="G29" s="110" t="s">
        <v>613</v>
      </c>
      <c r="H29" s="113" t="s">
        <v>2361</v>
      </c>
    </row>
    <row r="30" ht="15.75" customHeight="1">
      <c r="A30" s="106">
        <v>43894.0</v>
      </c>
      <c r="B30" s="107" t="s">
        <v>2314</v>
      </c>
      <c r="C30" s="108" t="s">
        <v>2381</v>
      </c>
      <c r="D30" s="108" t="s">
        <v>2382</v>
      </c>
      <c r="E30" s="109">
        <v>3.42203023E9</v>
      </c>
      <c r="F30" s="108" t="s">
        <v>1661</v>
      </c>
      <c r="G30" s="110" t="s">
        <v>613</v>
      </c>
      <c r="H30" s="113" t="s">
        <v>2361</v>
      </c>
    </row>
    <row r="31" ht="15.75" customHeight="1">
      <c r="A31" s="106">
        <v>43894.0</v>
      </c>
      <c r="B31" s="107" t="s">
        <v>2314</v>
      </c>
      <c r="C31" s="108" t="s">
        <v>2383</v>
      </c>
      <c r="D31" s="108" t="s">
        <v>2384</v>
      </c>
      <c r="E31" s="109">
        <v>3.462135836E9</v>
      </c>
      <c r="F31" s="108" t="s">
        <v>2334</v>
      </c>
      <c r="G31" s="110" t="s">
        <v>613</v>
      </c>
      <c r="H31" s="113" t="s">
        <v>2361</v>
      </c>
    </row>
    <row r="32" ht="15.75" customHeight="1">
      <c r="A32" s="106">
        <v>43894.0</v>
      </c>
      <c r="B32" s="107" t="s">
        <v>2314</v>
      </c>
      <c r="C32" s="108" t="s">
        <v>2385</v>
      </c>
      <c r="D32" s="108" t="s">
        <v>2386</v>
      </c>
      <c r="E32" s="109">
        <v>3.13271717E9</v>
      </c>
      <c r="F32" s="108" t="s">
        <v>1661</v>
      </c>
      <c r="G32" s="110" t="s">
        <v>2387</v>
      </c>
      <c r="H32" s="113" t="s">
        <v>2361</v>
      </c>
    </row>
    <row r="33" ht="15.75" customHeight="1">
      <c r="A33" s="106">
        <v>43894.0</v>
      </c>
      <c r="B33" s="107" t="s">
        <v>2314</v>
      </c>
      <c r="C33" s="108" t="s">
        <v>2388</v>
      </c>
      <c r="D33" s="108" t="s">
        <v>2389</v>
      </c>
      <c r="E33" s="109">
        <v>3.33226856E9</v>
      </c>
      <c r="F33" s="108" t="s">
        <v>1661</v>
      </c>
      <c r="G33" s="110" t="s">
        <v>2387</v>
      </c>
      <c r="H33" s="113" t="s">
        <v>2361</v>
      </c>
    </row>
    <row r="34" ht="15.75" customHeight="1">
      <c r="A34" s="106">
        <v>43894.0</v>
      </c>
      <c r="B34" s="107" t="s">
        <v>2314</v>
      </c>
      <c r="C34" s="108" t="s">
        <v>2390</v>
      </c>
      <c r="D34" s="108" t="s">
        <v>2391</v>
      </c>
      <c r="E34" s="109">
        <f>+265999943986</f>
        <v>265999943986</v>
      </c>
      <c r="F34" s="108" t="s">
        <v>2334</v>
      </c>
      <c r="G34" s="110" t="s">
        <v>2387</v>
      </c>
      <c r="H34" s="113" t="s">
        <v>2361</v>
      </c>
    </row>
    <row r="35" ht="15.75" customHeight="1">
      <c r="A35" s="106">
        <v>43894.0</v>
      </c>
      <c r="B35" s="107" t="s">
        <v>2314</v>
      </c>
      <c r="C35" s="108" t="s">
        <v>2392</v>
      </c>
      <c r="D35" s="108" t="s">
        <v>2393</v>
      </c>
      <c r="E35" s="109">
        <v>3.228937392E9</v>
      </c>
      <c r="F35" s="108" t="s">
        <v>742</v>
      </c>
      <c r="G35" s="110" t="s">
        <v>2394</v>
      </c>
      <c r="H35" s="113" t="s">
        <v>2361</v>
      </c>
    </row>
    <row r="36" ht="15.75" customHeight="1">
      <c r="A36" s="106">
        <v>43894.0</v>
      </c>
      <c r="B36" s="107" t="s">
        <v>2314</v>
      </c>
      <c r="C36" s="108" t="s">
        <v>2395</v>
      </c>
      <c r="D36" s="108" t="s">
        <v>2396</v>
      </c>
      <c r="E36" s="109">
        <v>3.232073574E9</v>
      </c>
      <c r="F36" s="108" t="s">
        <v>1661</v>
      </c>
      <c r="G36" s="110" t="s">
        <v>2394</v>
      </c>
      <c r="H36" s="113" t="s">
        <v>2361</v>
      </c>
    </row>
    <row r="37" ht="15.75" customHeight="1">
      <c r="A37" s="106">
        <v>43894.0</v>
      </c>
      <c r="B37" s="107" t="s">
        <v>2314</v>
      </c>
      <c r="C37" s="108" t="s">
        <v>2397</v>
      </c>
      <c r="D37" s="108" t="s">
        <v>2398</v>
      </c>
      <c r="E37" s="109">
        <v>3.333121551E9</v>
      </c>
      <c r="F37" s="108" t="s">
        <v>1661</v>
      </c>
      <c r="G37" s="110" t="s">
        <v>2394</v>
      </c>
      <c r="H37" s="113" t="s">
        <v>2361</v>
      </c>
    </row>
    <row r="38" ht="15.75" customHeight="1">
      <c r="A38" s="106">
        <v>43894.0</v>
      </c>
      <c r="B38" s="107" t="s">
        <v>2314</v>
      </c>
      <c r="C38" s="108" t="s">
        <v>2399</v>
      </c>
      <c r="D38" s="108" t="s">
        <v>2400</v>
      </c>
      <c r="E38" s="109" t="s">
        <v>2401</v>
      </c>
      <c r="F38" s="108" t="s">
        <v>1661</v>
      </c>
      <c r="G38" s="110" t="s">
        <v>2402</v>
      </c>
      <c r="H38" s="113" t="s">
        <v>2361</v>
      </c>
    </row>
    <row r="39" ht="15.75" customHeight="1">
      <c r="A39" s="106">
        <v>43894.0</v>
      </c>
      <c r="B39" s="107" t="s">
        <v>2314</v>
      </c>
      <c r="C39" s="108" t="s">
        <v>2403</v>
      </c>
      <c r="D39" s="108" t="s">
        <v>2404</v>
      </c>
      <c r="E39" s="109">
        <v>3.088798854E9</v>
      </c>
      <c r="F39" s="108" t="s">
        <v>742</v>
      </c>
      <c r="G39" s="110" t="s">
        <v>2402</v>
      </c>
      <c r="H39" s="113" t="s">
        <v>2361</v>
      </c>
    </row>
    <row r="40" ht="15.75" customHeight="1">
      <c r="A40" s="106">
        <v>43894.0</v>
      </c>
      <c r="B40" s="107" t="s">
        <v>2314</v>
      </c>
      <c r="C40" s="108" t="s">
        <v>2405</v>
      </c>
      <c r="D40" s="108" t="s">
        <v>2406</v>
      </c>
      <c r="E40" s="109">
        <v>3.218261444E9</v>
      </c>
      <c r="F40" s="108" t="s">
        <v>1664</v>
      </c>
      <c r="G40" s="110" t="s">
        <v>2402</v>
      </c>
      <c r="H40" s="113" t="s">
        <v>2361</v>
      </c>
    </row>
    <row r="41" ht="15.75" customHeight="1">
      <c r="A41" s="106">
        <v>43894.0</v>
      </c>
      <c r="B41" s="107" t="s">
        <v>2314</v>
      </c>
      <c r="C41" s="108" t="s">
        <v>2407</v>
      </c>
      <c r="D41" s="108" t="s">
        <v>2408</v>
      </c>
      <c r="E41" s="109">
        <v>3.009312601E9</v>
      </c>
      <c r="F41" s="108" t="s">
        <v>742</v>
      </c>
      <c r="G41" s="110" t="s">
        <v>2409</v>
      </c>
      <c r="H41" s="113" t="s">
        <v>2361</v>
      </c>
    </row>
    <row r="42" ht="15.75" customHeight="1">
      <c r="A42" s="106">
        <v>43894.0</v>
      </c>
      <c r="B42" s="107" t="s">
        <v>2314</v>
      </c>
      <c r="C42" s="108" t="s">
        <v>2410</v>
      </c>
      <c r="D42" s="108" t="s">
        <v>2411</v>
      </c>
      <c r="E42" s="109">
        <f>+923077221100</f>
        <v>923077221100</v>
      </c>
      <c r="F42" s="108" t="s">
        <v>1661</v>
      </c>
      <c r="G42" s="110" t="s">
        <v>2409</v>
      </c>
      <c r="H42" s="113" t="s">
        <v>2361</v>
      </c>
    </row>
    <row r="43" ht="15.75" customHeight="1">
      <c r="A43" s="106">
        <v>43894.0</v>
      </c>
      <c r="B43" s="107" t="s">
        <v>2314</v>
      </c>
      <c r="C43" s="108" t="s">
        <v>2412</v>
      </c>
      <c r="D43" s="108" t="s">
        <v>2413</v>
      </c>
      <c r="E43" s="109">
        <v>3.332191533E9</v>
      </c>
      <c r="F43" s="108" t="s">
        <v>2334</v>
      </c>
      <c r="G43" s="110" t="s">
        <v>2409</v>
      </c>
      <c r="H43" s="113" t="s">
        <v>2361</v>
      </c>
    </row>
    <row r="44" ht="15.75" customHeight="1">
      <c r="A44" s="106">
        <v>43894.0</v>
      </c>
      <c r="B44" s="107" t="s">
        <v>2314</v>
      </c>
      <c r="C44" s="108" t="s">
        <v>2414</v>
      </c>
      <c r="D44" s="108" t="s">
        <v>2415</v>
      </c>
      <c r="E44" s="109">
        <v>3.022675842E9</v>
      </c>
      <c r="F44" s="108" t="s">
        <v>1661</v>
      </c>
      <c r="G44" s="110" t="s">
        <v>115</v>
      </c>
      <c r="H44" s="113" t="s">
        <v>2361</v>
      </c>
    </row>
    <row r="45" ht="15.75" customHeight="1">
      <c r="A45" s="106">
        <v>43894.0</v>
      </c>
      <c r="B45" s="107" t="s">
        <v>2314</v>
      </c>
      <c r="C45" s="108" t="s">
        <v>2416</v>
      </c>
      <c r="D45" s="108" t="s">
        <v>2417</v>
      </c>
      <c r="E45" s="109">
        <v>9.66543655482E11</v>
      </c>
      <c r="F45" s="108" t="s">
        <v>742</v>
      </c>
      <c r="G45" s="110" t="s">
        <v>115</v>
      </c>
      <c r="H45" s="113" t="s">
        <v>2361</v>
      </c>
    </row>
    <row r="46" ht="15.75" customHeight="1">
      <c r="A46" s="106">
        <v>43894.0</v>
      </c>
      <c r="B46" s="107" t="s">
        <v>2314</v>
      </c>
      <c r="C46" s="108" t="s">
        <v>2418</v>
      </c>
      <c r="D46" s="108" t="s">
        <v>2419</v>
      </c>
      <c r="E46" s="109">
        <v>3.005339146E9</v>
      </c>
      <c r="F46" s="108" t="s">
        <v>1661</v>
      </c>
      <c r="G46" s="110" t="s">
        <v>115</v>
      </c>
      <c r="H46" s="113" t="s">
        <v>2361</v>
      </c>
    </row>
    <row r="47" ht="15.75" customHeight="1">
      <c r="A47" s="106">
        <v>43894.0</v>
      </c>
      <c r="B47" s="107" t="s">
        <v>2314</v>
      </c>
      <c r="C47" s="108" t="s">
        <v>2420</v>
      </c>
      <c r="D47" s="108" t="s">
        <v>2421</v>
      </c>
      <c r="E47" s="109">
        <v>3.008268256E9</v>
      </c>
      <c r="F47" s="108" t="s">
        <v>2334</v>
      </c>
      <c r="G47" s="110" t="s">
        <v>2422</v>
      </c>
      <c r="H47" s="113" t="s">
        <v>2361</v>
      </c>
    </row>
    <row r="48" ht="15.75" customHeight="1">
      <c r="A48" s="106">
        <v>43894.0</v>
      </c>
      <c r="B48" s="107" t="s">
        <v>2314</v>
      </c>
      <c r="C48" s="108" t="s">
        <v>2423</v>
      </c>
      <c r="D48" s="108" t="s">
        <v>2424</v>
      </c>
      <c r="E48" s="109">
        <v>3.028225286E9</v>
      </c>
      <c r="F48" s="108" t="s">
        <v>1661</v>
      </c>
      <c r="G48" s="110" t="s">
        <v>2422</v>
      </c>
      <c r="H48" s="113" t="s">
        <v>2361</v>
      </c>
    </row>
    <row r="49" ht="15.75" customHeight="1">
      <c r="A49" s="106">
        <v>43894.0</v>
      </c>
      <c r="B49" s="107" t="s">
        <v>2314</v>
      </c>
      <c r="C49" s="108" t="s">
        <v>2425</v>
      </c>
      <c r="D49" s="108" t="s">
        <v>2426</v>
      </c>
      <c r="E49" s="109">
        <v>3.342082236E9</v>
      </c>
      <c r="F49" s="108" t="s">
        <v>1661</v>
      </c>
      <c r="G49" s="110" t="s">
        <v>2422</v>
      </c>
      <c r="H49" s="114" t="s">
        <v>710</v>
      </c>
    </row>
    <row r="50" ht="15.75" customHeight="1">
      <c r="A50" s="106">
        <v>43894.0</v>
      </c>
      <c r="B50" s="107" t="s">
        <v>2314</v>
      </c>
      <c r="C50" s="108" t="s">
        <v>2427</v>
      </c>
      <c r="D50" s="108" t="s">
        <v>2428</v>
      </c>
      <c r="E50" s="109">
        <v>3.332906134E9</v>
      </c>
      <c r="F50" s="108" t="s">
        <v>1664</v>
      </c>
      <c r="G50" s="110" t="s">
        <v>2429</v>
      </c>
      <c r="H50" s="114" t="s">
        <v>710</v>
      </c>
    </row>
    <row r="51" ht="15.75" customHeight="1">
      <c r="A51" s="106">
        <v>43894.0</v>
      </c>
      <c r="B51" s="107" t="s">
        <v>2314</v>
      </c>
      <c r="C51" s="108" t="s">
        <v>2430</v>
      </c>
      <c r="D51" s="108" t="s">
        <v>2431</v>
      </c>
      <c r="E51" s="109">
        <v>3.212195004E9</v>
      </c>
      <c r="F51" s="108" t="s">
        <v>1664</v>
      </c>
      <c r="G51" s="110" t="s">
        <v>2429</v>
      </c>
      <c r="H51" s="114" t="s">
        <v>710</v>
      </c>
    </row>
    <row r="52" ht="15.75" customHeight="1">
      <c r="A52" s="106">
        <v>43894.0</v>
      </c>
      <c r="B52" s="107" t="s">
        <v>2314</v>
      </c>
      <c r="C52" s="108" t="s">
        <v>2432</v>
      </c>
      <c r="D52" s="108" t="s">
        <v>2433</v>
      </c>
      <c r="E52" s="109">
        <v>3.009255981E9</v>
      </c>
      <c r="F52" s="108" t="s">
        <v>2334</v>
      </c>
      <c r="G52" s="110" t="s">
        <v>2429</v>
      </c>
      <c r="H52" s="114" t="s">
        <v>710</v>
      </c>
    </row>
    <row r="53" ht="15.75" customHeight="1">
      <c r="A53" s="106">
        <v>43894.0</v>
      </c>
      <c r="B53" s="107" t="s">
        <v>2314</v>
      </c>
      <c r="C53" s="108" t="s">
        <v>2434</v>
      </c>
      <c r="D53" s="108" t="s">
        <v>2435</v>
      </c>
      <c r="E53" s="109">
        <v>3.0055875E9</v>
      </c>
      <c r="F53" s="108" t="s">
        <v>742</v>
      </c>
      <c r="G53" s="110"/>
      <c r="H53" s="114" t="s">
        <v>710</v>
      </c>
    </row>
    <row r="54" ht="15.75" customHeight="1">
      <c r="A54" s="106">
        <v>43895.0</v>
      </c>
      <c r="B54" s="107" t="s">
        <v>2314</v>
      </c>
      <c r="C54" s="108" t="s">
        <v>2436</v>
      </c>
      <c r="D54" s="108" t="s">
        <v>2437</v>
      </c>
      <c r="E54" s="109">
        <v>3.343758568E9</v>
      </c>
      <c r="F54" s="108" t="s">
        <v>1661</v>
      </c>
      <c r="G54" s="110"/>
      <c r="H54" s="114" t="s">
        <v>710</v>
      </c>
    </row>
    <row r="55" ht="15.75" customHeight="1">
      <c r="A55" s="106">
        <v>43895.0</v>
      </c>
      <c r="B55" s="107" t="s">
        <v>2314</v>
      </c>
      <c r="C55" s="108" t="s">
        <v>2438</v>
      </c>
      <c r="D55" s="108" t="s">
        <v>2439</v>
      </c>
      <c r="E55" s="109">
        <v>3.075779966E9</v>
      </c>
      <c r="F55" s="108" t="s">
        <v>2334</v>
      </c>
      <c r="G55" s="110"/>
      <c r="H55" s="114" t="s">
        <v>710</v>
      </c>
    </row>
    <row r="56" ht="15.75" customHeight="1">
      <c r="A56" s="106">
        <v>43895.0</v>
      </c>
      <c r="B56" s="107" t="s">
        <v>2314</v>
      </c>
      <c r="C56" s="108" t="s">
        <v>2440</v>
      </c>
      <c r="D56" s="108" t="s">
        <v>2441</v>
      </c>
      <c r="E56" s="109">
        <v>3.49295368E9</v>
      </c>
      <c r="F56" s="108" t="s">
        <v>1664</v>
      </c>
      <c r="G56" s="110" t="s">
        <v>613</v>
      </c>
      <c r="H56" s="114" t="s">
        <v>710</v>
      </c>
    </row>
    <row r="57" ht="15.75" customHeight="1">
      <c r="A57" s="106">
        <v>43895.0</v>
      </c>
      <c r="B57" s="107" t="s">
        <v>2314</v>
      </c>
      <c r="C57" s="108" t="s">
        <v>2442</v>
      </c>
      <c r="D57" s="108" t="s">
        <v>2443</v>
      </c>
      <c r="E57" s="109" t="s">
        <v>2444</v>
      </c>
      <c r="F57" s="108" t="s">
        <v>742</v>
      </c>
      <c r="G57" s="110" t="s">
        <v>613</v>
      </c>
      <c r="H57" s="114" t="s">
        <v>710</v>
      </c>
    </row>
    <row r="58" ht="15.75" customHeight="1">
      <c r="A58" s="106">
        <v>43895.0</v>
      </c>
      <c r="B58" s="107" t="s">
        <v>2314</v>
      </c>
      <c r="C58" s="108" t="s">
        <v>2445</v>
      </c>
      <c r="D58" s="108" t="s">
        <v>2446</v>
      </c>
      <c r="E58" s="109">
        <v>3.130000959E9</v>
      </c>
      <c r="F58" s="108" t="s">
        <v>2334</v>
      </c>
      <c r="G58" s="110" t="s">
        <v>613</v>
      </c>
      <c r="H58" s="114" t="s">
        <v>710</v>
      </c>
    </row>
    <row r="59" ht="15.75" customHeight="1">
      <c r="A59" s="106">
        <v>43895.0</v>
      </c>
      <c r="B59" s="107" t="s">
        <v>2314</v>
      </c>
      <c r="C59" s="108" t="s">
        <v>2447</v>
      </c>
      <c r="D59" s="108" t="s">
        <v>2448</v>
      </c>
      <c r="E59" s="109">
        <v>3.0053445E9</v>
      </c>
      <c r="F59" s="108" t="s">
        <v>1661</v>
      </c>
      <c r="G59" s="110" t="s">
        <v>420</v>
      </c>
      <c r="H59" s="114" t="s">
        <v>710</v>
      </c>
    </row>
    <row r="60" ht="15.75" customHeight="1">
      <c r="A60" s="106">
        <v>43895.0</v>
      </c>
      <c r="B60" s="107" t="s">
        <v>2314</v>
      </c>
      <c r="C60" s="108" t="s">
        <v>2449</v>
      </c>
      <c r="D60" s="108" t="s">
        <v>2450</v>
      </c>
      <c r="E60" s="109">
        <v>3.002293233E9</v>
      </c>
      <c r="F60" s="108" t="s">
        <v>1661</v>
      </c>
      <c r="G60" s="110" t="s">
        <v>420</v>
      </c>
      <c r="H60" s="114" t="s">
        <v>710</v>
      </c>
    </row>
    <row r="61" ht="15.75" customHeight="1">
      <c r="A61" s="106">
        <v>43895.0</v>
      </c>
      <c r="B61" s="107" t="s">
        <v>2314</v>
      </c>
      <c r="C61" s="108" t="s">
        <v>2451</v>
      </c>
      <c r="D61" s="108" t="s">
        <v>2452</v>
      </c>
      <c r="E61" s="109">
        <v>3.128192283E9</v>
      </c>
      <c r="F61" s="108" t="s">
        <v>1664</v>
      </c>
      <c r="G61" s="110" t="s">
        <v>420</v>
      </c>
      <c r="H61" s="114" t="s">
        <v>710</v>
      </c>
    </row>
    <row r="62" ht="15.75" customHeight="1">
      <c r="A62" s="106">
        <v>43895.0</v>
      </c>
      <c r="B62" s="107" t="s">
        <v>2314</v>
      </c>
      <c r="C62" s="108" t="s">
        <v>2453</v>
      </c>
      <c r="D62" s="108" t="s">
        <v>2454</v>
      </c>
      <c r="E62" s="109">
        <v>3.003086383E9</v>
      </c>
      <c r="F62" s="108" t="s">
        <v>1664</v>
      </c>
      <c r="G62" s="110" t="s">
        <v>2387</v>
      </c>
      <c r="H62" s="114" t="s">
        <v>710</v>
      </c>
    </row>
    <row r="63" ht="15.75" customHeight="1">
      <c r="A63" s="106">
        <v>43895.0</v>
      </c>
      <c r="B63" s="107" t="s">
        <v>2314</v>
      </c>
      <c r="C63" s="108" t="s">
        <v>59</v>
      </c>
      <c r="D63" s="108" t="s">
        <v>2455</v>
      </c>
      <c r="E63" s="109">
        <v>3.335236565E9</v>
      </c>
      <c r="F63" s="108" t="s">
        <v>1661</v>
      </c>
      <c r="G63" s="110" t="s">
        <v>2387</v>
      </c>
      <c r="H63" s="114" t="s">
        <v>710</v>
      </c>
    </row>
    <row r="64" ht="15.75" customHeight="1">
      <c r="A64" s="106">
        <v>43895.0</v>
      </c>
      <c r="B64" s="107" t="s">
        <v>2314</v>
      </c>
      <c r="C64" s="108" t="s">
        <v>2456</v>
      </c>
      <c r="D64" s="108" t="s">
        <v>2457</v>
      </c>
      <c r="E64" s="109">
        <v>3.332752221E9</v>
      </c>
      <c r="F64" s="108" t="s">
        <v>1664</v>
      </c>
      <c r="G64" s="110" t="s">
        <v>2387</v>
      </c>
      <c r="H64" s="114" t="s">
        <v>710</v>
      </c>
    </row>
    <row r="65" ht="15.75" customHeight="1">
      <c r="A65" s="106">
        <v>43895.0</v>
      </c>
      <c r="B65" s="107" t="s">
        <v>2314</v>
      </c>
      <c r="C65" s="108" t="s">
        <v>2458</v>
      </c>
      <c r="D65" s="108" t="s">
        <v>2459</v>
      </c>
      <c r="E65" s="109">
        <v>3.212066241E9</v>
      </c>
      <c r="F65" s="108" t="s">
        <v>1664</v>
      </c>
      <c r="G65" s="110" t="s">
        <v>2460</v>
      </c>
      <c r="H65" s="114" t="s">
        <v>710</v>
      </c>
    </row>
    <row r="66" ht="15.75" customHeight="1">
      <c r="A66" s="106">
        <v>43895.0</v>
      </c>
      <c r="B66" s="107" t="s">
        <v>2314</v>
      </c>
      <c r="C66" s="108" t="s">
        <v>2461</v>
      </c>
      <c r="D66" s="108" t="s">
        <v>2462</v>
      </c>
      <c r="E66" s="109">
        <v>3.332176978E9</v>
      </c>
      <c r="F66" s="108" t="s">
        <v>1661</v>
      </c>
      <c r="G66" s="112" t="s">
        <v>2463</v>
      </c>
      <c r="H66" s="114" t="s">
        <v>710</v>
      </c>
    </row>
    <row r="67" ht="15.75" customHeight="1">
      <c r="A67" s="106">
        <v>43895.0</v>
      </c>
      <c r="B67" s="107" t="s">
        <v>2314</v>
      </c>
      <c r="C67" s="108" t="s">
        <v>2464</v>
      </c>
      <c r="D67" s="108" t="s">
        <v>2465</v>
      </c>
      <c r="E67" s="109">
        <v>3.332224748E9</v>
      </c>
      <c r="F67" s="108" t="s">
        <v>1661</v>
      </c>
      <c r="G67" s="110" t="s">
        <v>2466</v>
      </c>
      <c r="H67" s="114" t="s">
        <v>710</v>
      </c>
    </row>
    <row r="68" ht="15.75" customHeight="1">
      <c r="A68" s="106">
        <v>43895.0</v>
      </c>
      <c r="B68" s="107" t="s">
        <v>2314</v>
      </c>
      <c r="C68" s="108" t="s">
        <v>2467</v>
      </c>
      <c r="D68" s="108" t="s">
        <v>2468</v>
      </c>
      <c r="E68" s="109">
        <v>3.453073966E9</v>
      </c>
      <c r="F68" s="108" t="s">
        <v>1664</v>
      </c>
      <c r="G68" s="110" t="s">
        <v>2469</v>
      </c>
      <c r="H68" s="114" t="s">
        <v>710</v>
      </c>
    </row>
    <row r="69" ht="15.75" customHeight="1">
      <c r="A69" s="106">
        <v>43895.0</v>
      </c>
      <c r="B69" s="107" t="s">
        <v>2314</v>
      </c>
      <c r="C69" s="108" t="s">
        <v>2470</v>
      </c>
      <c r="D69" s="108" t="s">
        <v>2471</v>
      </c>
      <c r="E69" s="109">
        <v>3.149566794E9</v>
      </c>
      <c r="F69" s="108" t="s">
        <v>1661</v>
      </c>
      <c r="G69" s="110" t="s">
        <v>2472</v>
      </c>
      <c r="H69" s="114" t="s">
        <v>710</v>
      </c>
    </row>
    <row r="70" ht="15.75" customHeight="1">
      <c r="A70" s="106">
        <v>43895.0</v>
      </c>
      <c r="B70" s="107" t="s">
        <v>2314</v>
      </c>
      <c r="C70" s="108" t="s">
        <v>2473</v>
      </c>
      <c r="D70" s="108" t="s">
        <v>2474</v>
      </c>
      <c r="E70" s="109">
        <v>9.23219281028E11</v>
      </c>
      <c r="F70" s="108" t="s">
        <v>742</v>
      </c>
      <c r="G70" s="110" t="s">
        <v>2475</v>
      </c>
      <c r="H70" s="114" t="s">
        <v>710</v>
      </c>
    </row>
    <row r="71" ht="15.75" customHeight="1">
      <c r="A71" s="106">
        <v>43895.0</v>
      </c>
      <c r="B71" s="107" t="s">
        <v>2314</v>
      </c>
      <c r="C71" s="108" t="s">
        <v>2476</v>
      </c>
      <c r="D71" s="108" t="s">
        <v>124</v>
      </c>
      <c r="E71" s="109">
        <v>3.002770994E9</v>
      </c>
      <c r="F71" s="108" t="s">
        <v>1661</v>
      </c>
      <c r="G71" s="110" t="s">
        <v>2477</v>
      </c>
      <c r="H71" s="114" t="s">
        <v>710</v>
      </c>
    </row>
    <row r="72" ht="15.75" customHeight="1">
      <c r="A72" s="106">
        <v>43895.0</v>
      </c>
      <c r="B72" s="107" t="s">
        <v>2314</v>
      </c>
      <c r="C72" s="108" t="s">
        <v>2478</v>
      </c>
      <c r="D72" s="108" t="s">
        <v>2479</v>
      </c>
      <c r="E72" s="109">
        <v>9.66501547921E11</v>
      </c>
      <c r="F72" s="108" t="s">
        <v>1661</v>
      </c>
      <c r="G72" s="110" t="s">
        <v>2480</v>
      </c>
      <c r="H72" s="114" t="s">
        <v>710</v>
      </c>
    </row>
    <row r="73" ht="15.75" customHeight="1">
      <c r="A73" s="106">
        <v>43897.0</v>
      </c>
      <c r="B73" s="107" t="s">
        <v>2314</v>
      </c>
      <c r="C73" s="108" t="s">
        <v>2481</v>
      </c>
      <c r="D73" s="108" t="s">
        <v>2482</v>
      </c>
      <c r="E73" s="24"/>
      <c r="F73" s="108" t="s">
        <v>1661</v>
      </c>
      <c r="G73" s="115"/>
      <c r="H73" s="114" t="s">
        <v>2331</v>
      </c>
    </row>
    <row r="74" ht="15.75" customHeight="1">
      <c r="A74" s="106">
        <v>43897.0</v>
      </c>
      <c r="B74" s="107" t="s">
        <v>2314</v>
      </c>
      <c r="C74" s="108" t="s">
        <v>2483</v>
      </c>
      <c r="D74" s="108" t="s">
        <v>2484</v>
      </c>
      <c r="E74" s="109">
        <v>3.333456567E9</v>
      </c>
      <c r="F74" s="108" t="s">
        <v>742</v>
      </c>
      <c r="G74" s="112" t="s">
        <v>2339</v>
      </c>
      <c r="H74" s="114" t="s">
        <v>2331</v>
      </c>
    </row>
    <row r="75" ht="15.75" customHeight="1">
      <c r="A75" s="106">
        <v>43897.0</v>
      </c>
      <c r="B75" s="107" t="s">
        <v>2314</v>
      </c>
      <c r="C75" s="108" t="s">
        <v>2485</v>
      </c>
      <c r="D75" s="108" t="s">
        <v>2486</v>
      </c>
      <c r="E75" s="109">
        <v>3.122956885E9</v>
      </c>
      <c r="F75" s="108" t="s">
        <v>2334</v>
      </c>
      <c r="G75" s="112" t="s">
        <v>2339</v>
      </c>
      <c r="H75" s="114" t="s">
        <v>2331</v>
      </c>
    </row>
    <row r="76" ht="15.75" customHeight="1">
      <c r="A76" s="106">
        <v>43897.0</v>
      </c>
      <c r="B76" s="107" t="s">
        <v>2314</v>
      </c>
      <c r="C76" s="108" t="s">
        <v>2487</v>
      </c>
      <c r="D76" s="108" t="s">
        <v>2488</v>
      </c>
      <c r="E76" s="109">
        <v>3.009228929E9</v>
      </c>
      <c r="F76" s="108" t="s">
        <v>1664</v>
      </c>
      <c r="G76" s="112" t="s">
        <v>2339</v>
      </c>
      <c r="H76" s="114" t="s">
        <v>2331</v>
      </c>
    </row>
    <row r="77" ht="15.75" customHeight="1">
      <c r="A77" s="106">
        <v>43897.0</v>
      </c>
      <c r="B77" s="107" t="s">
        <v>2314</v>
      </c>
      <c r="C77" s="108" t="s">
        <v>2489</v>
      </c>
      <c r="D77" s="108" t="s">
        <v>2490</v>
      </c>
      <c r="E77" s="109">
        <v>3.212400996E9</v>
      </c>
      <c r="F77" s="108" t="s">
        <v>1661</v>
      </c>
      <c r="G77" s="112" t="s">
        <v>2339</v>
      </c>
      <c r="H77" s="114" t="s">
        <v>2331</v>
      </c>
    </row>
    <row r="78" ht="15.75" customHeight="1">
      <c r="A78" s="106">
        <v>43898.0</v>
      </c>
      <c r="B78" s="107" t="s">
        <v>2314</v>
      </c>
      <c r="C78" s="108" t="s">
        <v>2491</v>
      </c>
      <c r="D78" s="108" t="s">
        <v>2492</v>
      </c>
      <c r="E78" s="109">
        <v>9.179729764E9</v>
      </c>
      <c r="F78" s="108" t="s">
        <v>1664</v>
      </c>
      <c r="G78" s="112" t="s">
        <v>2339</v>
      </c>
      <c r="H78" s="114" t="s">
        <v>2331</v>
      </c>
    </row>
    <row r="79" ht="15.75" customHeight="1">
      <c r="A79" s="106">
        <v>43898.0</v>
      </c>
      <c r="B79" s="107" t="s">
        <v>2314</v>
      </c>
      <c r="C79" s="108" t="s">
        <v>2493</v>
      </c>
      <c r="D79" s="108" t="s">
        <v>2494</v>
      </c>
      <c r="E79" s="109">
        <f>+923209211416</f>
        <v>923209211416</v>
      </c>
      <c r="F79" s="108" t="s">
        <v>1661</v>
      </c>
      <c r="G79" s="112" t="s">
        <v>2339</v>
      </c>
      <c r="H79" s="114" t="s">
        <v>2331</v>
      </c>
    </row>
    <row r="80" ht="15.75" customHeight="1">
      <c r="A80" s="106">
        <v>43898.0</v>
      </c>
      <c r="B80" s="107" t="s">
        <v>2314</v>
      </c>
      <c r="C80" s="108" t="s">
        <v>2495</v>
      </c>
      <c r="D80" s="108" t="s">
        <v>2496</v>
      </c>
      <c r="E80" s="109">
        <v>3.004034088E9</v>
      </c>
      <c r="F80" s="108" t="s">
        <v>1664</v>
      </c>
      <c r="G80" s="112" t="s">
        <v>2339</v>
      </c>
      <c r="H80" s="114" t="s">
        <v>2331</v>
      </c>
    </row>
    <row r="81" ht="15.75" customHeight="1">
      <c r="A81" s="106">
        <v>43898.0</v>
      </c>
      <c r="B81" s="107" t="s">
        <v>2314</v>
      </c>
      <c r="C81" s="108" t="s">
        <v>2497</v>
      </c>
      <c r="D81" s="108" t="s">
        <v>2498</v>
      </c>
      <c r="E81" s="109">
        <v>3.009200933E9</v>
      </c>
      <c r="F81" s="108" t="s">
        <v>742</v>
      </c>
      <c r="G81" s="112" t="s">
        <v>2339</v>
      </c>
      <c r="H81" s="114" t="s">
        <v>2331</v>
      </c>
    </row>
    <row r="82" ht="15.75" customHeight="1">
      <c r="A82" s="106">
        <v>43898.0</v>
      </c>
      <c r="B82" s="107" t="s">
        <v>2314</v>
      </c>
      <c r="C82" s="108" t="s">
        <v>2499</v>
      </c>
      <c r="D82" s="108" t="s">
        <v>2500</v>
      </c>
      <c r="E82" s="109">
        <v>9.23333384996E11</v>
      </c>
      <c r="F82" s="108" t="s">
        <v>2334</v>
      </c>
      <c r="G82" s="112" t="s">
        <v>2339</v>
      </c>
      <c r="H82" s="114" t="s">
        <v>2331</v>
      </c>
    </row>
    <row r="83" ht="15.75" customHeight="1">
      <c r="A83" s="106">
        <v>43898.0</v>
      </c>
      <c r="B83" s="107" t="s">
        <v>2314</v>
      </c>
      <c r="C83" s="108" t="s">
        <v>2501</v>
      </c>
      <c r="D83" s="108" t="s">
        <v>2502</v>
      </c>
      <c r="E83" s="109">
        <v>3.444470621E9</v>
      </c>
      <c r="F83" s="108" t="s">
        <v>1661</v>
      </c>
      <c r="G83" s="112" t="s">
        <v>2339</v>
      </c>
      <c r="H83" s="114" t="s">
        <v>2331</v>
      </c>
    </row>
    <row r="84" ht="15.75" customHeight="1">
      <c r="A84" s="106">
        <v>43898.0</v>
      </c>
      <c r="B84" s="107" t="s">
        <v>2314</v>
      </c>
      <c r="C84" s="108" t="s">
        <v>2503</v>
      </c>
      <c r="D84" s="108" t="s">
        <v>2504</v>
      </c>
      <c r="E84" s="109">
        <v>3.328766544E9</v>
      </c>
      <c r="F84" s="108" t="s">
        <v>2334</v>
      </c>
      <c r="G84" s="112" t="s">
        <v>2339</v>
      </c>
      <c r="H84" s="114" t="s">
        <v>2331</v>
      </c>
    </row>
    <row r="85" ht="15.75" customHeight="1">
      <c r="A85" s="106">
        <v>43898.0</v>
      </c>
      <c r="B85" s="107" t="s">
        <v>2314</v>
      </c>
      <c r="C85" s="108" t="s">
        <v>2505</v>
      </c>
      <c r="D85" s="108" t="s">
        <v>2506</v>
      </c>
      <c r="E85" s="109">
        <v>3.353388024E9</v>
      </c>
      <c r="F85" s="108" t="s">
        <v>1664</v>
      </c>
      <c r="G85" s="112" t="s">
        <v>2339</v>
      </c>
      <c r="H85" s="114" t="s">
        <v>2331</v>
      </c>
    </row>
    <row r="86" ht="15.75" customHeight="1">
      <c r="A86" s="106">
        <v>43898.0</v>
      </c>
      <c r="B86" s="107" t="s">
        <v>2314</v>
      </c>
      <c r="C86" s="108" t="s">
        <v>2507</v>
      </c>
      <c r="D86" s="108" t="s">
        <v>2508</v>
      </c>
      <c r="E86" s="109">
        <v>3.33757552E9</v>
      </c>
      <c r="F86" s="108" t="s">
        <v>1661</v>
      </c>
      <c r="G86" s="112" t="s">
        <v>2339</v>
      </c>
      <c r="H86" s="114" t="s">
        <v>2331</v>
      </c>
    </row>
    <row r="87" ht="15.75" customHeight="1">
      <c r="A87" s="106">
        <v>43898.0</v>
      </c>
      <c r="B87" s="107" t="s">
        <v>2314</v>
      </c>
      <c r="C87" s="108" t="s">
        <v>2509</v>
      </c>
      <c r="D87" s="108" t="s">
        <v>2510</v>
      </c>
      <c r="E87" s="109">
        <v>3.222120788E9</v>
      </c>
      <c r="F87" s="108" t="s">
        <v>1661</v>
      </c>
      <c r="G87" s="112" t="s">
        <v>2339</v>
      </c>
      <c r="H87" s="114" t="s">
        <v>2331</v>
      </c>
    </row>
    <row r="88" ht="15.75" customHeight="1">
      <c r="A88" s="106">
        <v>43899.0</v>
      </c>
      <c r="B88" s="107" t="s">
        <v>2314</v>
      </c>
      <c r="C88" s="108" t="s">
        <v>2511</v>
      </c>
      <c r="D88" s="108" t="s">
        <v>2512</v>
      </c>
      <c r="E88" s="109">
        <v>3.002812236E9</v>
      </c>
      <c r="F88" s="108" t="s">
        <v>1661</v>
      </c>
      <c r="G88" s="110" t="s">
        <v>2339</v>
      </c>
      <c r="H88" s="114" t="s">
        <v>2331</v>
      </c>
    </row>
    <row r="89" ht="15.75" customHeight="1">
      <c r="A89" s="106">
        <v>43899.0</v>
      </c>
      <c r="B89" s="107" t="s">
        <v>2314</v>
      </c>
      <c r="C89" s="108" t="s">
        <v>2513</v>
      </c>
      <c r="D89" s="108" t="s">
        <v>2514</v>
      </c>
      <c r="E89" s="109">
        <v>3.002346616E9</v>
      </c>
      <c r="F89" s="108" t="s">
        <v>2334</v>
      </c>
      <c r="G89" s="110" t="s">
        <v>2339</v>
      </c>
      <c r="H89" s="114" t="s">
        <v>2331</v>
      </c>
    </row>
    <row r="90" ht="15.75" customHeight="1">
      <c r="A90" s="106">
        <v>43899.0</v>
      </c>
      <c r="B90" s="107" t="s">
        <v>2314</v>
      </c>
      <c r="C90" s="108" t="s">
        <v>2515</v>
      </c>
      <c r="D90" s="108" t="s">
        <v>2516</v>
      </c>
      <c r="E90" s="109">
        <v>3.014268696E9</v>
      </c>
      <c r="F90" s="108" t="s">
        <v>1661</v>
      </c>
      <c r="G90" s="110" t="s">
        <v>2339</v>
      </c>
      <c r="H90" s="114" t="s">
        <v>2331</v>
      </c>
    </row>
    <row r="91" ht="15.75" customHeight="1">
      <c r="A91" s="106">
        <v>43899.0</v>
      </c>
      <c r="B91" s="107" t="s">
        <v>2314</v>
      </c>
      <c r="C91" s="108" t="s">
        <v>2517</v>
      </c>
      <c r="D91" s="108" t="s">
        <v>2518</v>
      </c>
      <c r="E91" s="109">
        <f>+923008249541</f>
        <v>923008249541</v>
      </c>
      <c r="F91" s="108" t="s">
        <v>2334</v>
      </c>
      <c r="G91" s="110" t="s">
        <v>2339</v>
      </c>
      <c r="H91" s="114" t="s">
        <v>2331</v>
      </c>
    </row>
    <row r="92" ht="15.75" customHeight="1">
      <c r="A92" s="106">
        <v>43899.0</v>
      </c>
      <c r="B92" s="107" t="s">
        <v>2314</v>
      </c>
      <c r="C92" s="108" t="s">
        <v>2519</v>
      </c>
      <c r="D92" s="108" t="s">
        <v>2520</v>
      </c>
      <c r="E92" s="109">
        <v>4.645269361E9</v>
      </c>
      <c r="F92" s="108" t="s">
        <v>1661</v>
      </c>
      <c r="G92" s="110" t="s">
        <v>2339</v>
      </c>
      <c r="H92" s="114" t="s">
        <v>2331</v>
      </c>
    </row>
    <row r="93" ht="15.75" customHeight="1">
      <c r="A93" s="106">
        <v>43899.0</v>
      </c>
      <c r="B93" s="107" t="s">
        <v>2314</v>
      </c>
      <c r="C93" s="108" t="s">
        <v>2521</v>
      </c>
      <c r="D93" s="108" t="s">
        <v>2522</v>
      </c>
      <c r="E93" s="109">
        <v>3.085059473E9</v>
      </c>
      <c r="F93" s="108" t="s">
        <v>1661</v>
      </c>
      <c r="G93" s="110" t="s">
        <v>2346</v>
      </c>
      <c r="H93" s="114" t="s">
        <v>2331</v>
      </c>
    </row>
    <row r="94" ht="15.75" customHeight="1">
      <c r="A94" s="106">
        <v>43899.0</v>
      </c>
      <c r="B94" s="107" t="s">
        <v>2314</v>
      </c>
      <c r="C94" s="108" t="s">
        <v>2523</v>
      </c>
      <c r="D94" s="108" t="s">
        <v>2524</v>
      </c>
      <c r="E94" s="109">
        <v>3.2129096E9</v>
      </c>
      <c r="F94" s="108" t="s">
        <v>1661</v>
      </c>
      <c r="G94" s="110" t="s">
        <v>2346</v>
      </c>
      <c r="H94" s="114" t="s">
        <v>2331</v>
      </c>
    </row>
    <row r="95" ht="15.75" customHeight="1">
      <c r="A95" s="106">
        <v>43899.0</v>
      </c>
      <c r="B95" s="107" t="s">
        <v>2314</v>
      </c>
      <c r="C95" s="108" t="s">
        <v>2525</v>
      </c>
      <c r="D95" s="108" t="s">
        <v>2526</v>
      </c>
      <c r="E95" s="109">
        <v>3.212244393E9</v>
      </c>
      <c r="F95" s="108" t="s">
        <v>1661</v>
      </c>
      <c r="G95" s="110" t="s">
        <v>2346</v>
      </c>
      <c r="H95" s="114" t="s">
        <v>2331</v>
      </c>
    </row>
    <row r="96" ht="15.75" customHeight="1">
      <c r="A96" s="106">
        <v>43898.0</v>
      </c>
      <c r="B96" s="107" t="s">
        <v>2314</v>
      </c>
      <c r="C96" s="108" t="s">
        <v>2527</v>
      </c>
      <c r="D96" s="108" t="s">
        <v>2528</v>
      </c>
      <c r="E96" s="109">
        <v>3.003060429E9</v>
      </c>
      <c r="F96" s="108" t="s">
        <v>1661</v>
      </c>
      <c r="G96" s="110" t="s">
        <v>2331</v>
      </c>
      <c r="H96" s="114" t="s">
        <v>2353</v>
      </c>
    </row>
    <row r="97" ht="15.75" customHeight="1">
      <c r="A97" s="106">
        <v>43898.0</v>
      </c>
      <c r="B97" s="107" t="s">
        <v>2314</v>
      </c>
      <c r="C97" s="108" t="s">
        <v>2529</v>
      </c>
      <c r="D97" s="108" t="s">
        <v>2530</v>
      </c>
      <c r="E97" s="109">
        <v>3.000703171E9</v>
      </c>
      <c r="F97" s="108" t="s">
        <v>1661</v>
      </c>
      <c r="G97" s="110" t="s">
        <v>2331</v>
      </c>
      <c r="H97" s="114" t="s">
        <v>2353</v>
      </c>
    </row>
    <row r="98" ht="15.75" customHeight="1">
      <c r="A98" s="106">
        <v>43898.0</v>
      </c>
      <c r="B98" s="107" t="s">
        <v>2314</v>
      </c>
      <c r="C98" s="108" t="s">
        <v>2531</v>
      </c>
      <c r="D98" s="108" t="s">
        <v>2532</v>
      </c>
      <c r="E98" s="109">
        <v>3.45959521E9</v>
      </c>
      <c r="F98" s="108" t="s">
        <v>742</v>
      </c>
      <c r="G98" s="110" t="s">
        <v>2331</v>
      </c>
      <c r="H98" s="114" t="s">
        <v>2353</v>
      </c>
    </row>
    <row r="99" ht="15.75" customHeight="1">
      <c r="A99" s="106">
        <v>43898.0</v>
      </c>
      <c r="B99" s="107" t="s">
        <v>2314</v>
      </c>
      <c r="C99" s="108" t="s">
        <v>2533</v>
      </c>
      <c r="D99" s="108" t="s">
        <v>2534</v>
      </c>
      <c r="E99" s="109">
        <v>3.008377567E9</v>
      </c>
      <c r="F99" s="108" t="s">
        <v>1664</v>
      </c>
      <c r="G99" s="110" t="s">
        <v>2331</v>
      </c>
      <c r="H99" s="114" t="s">
        <v>2353</v>
      </c>
    </row>
    <row r="100" ht="15.75" customHeight="1">
      <c r="A100" s="106">
        <v>43898.0</v>
      </c>
      <c r="B100" s="107" t="s">
        <v>2314</v>
      </c>
      <c r="C100" s="108" t="s">
        <v>2535</v>
      </c>
      <c r="D100" s="108" t="s">
        <v>2536</v>
      </c>
      <c r="E100" s="109">
        <v>3.352401217E9</v>
      </c>
      <c r="F100" s="108" t="s">
        <v>1664</v>
      </c>
      <c r="G100" s="110" t="s">
        <v>2331</v>
      </c>
      <c r="H100" s="114" t="s">
        <v>2353</v>
      </c>
    </row>
    <row r="101" ht="15.75" customHeight="1">
      <c r="A101" s="106">
        <v>43898.0</v>
      </c>
      <c r="B101" s="107" t="s">
        <v>2314</v>
      </c>
      <c r="C101" s="108" t="s">
        <v>2537</v>
      </c>
      <c r="D101" s="108" t="s">
        <v>2538</v>
      </c>
      <c r="E101" s="109">
        <v>3.453097759E9</v>
      </c>
      <c r="F101" s="108" t="s">
        <v>1661</v>
      </c>
      <c r="G101" s="110" t="s">
        <v>2331</v>
      </c>
      <c r="H101" s="114" t="s">
        <v>2353</v>
      </c>
    </row>
    <row r="102" ht="15.75" customHeight="1">
      <c r="A102" s="106">
        <v>43897.0</v>
      </c>
      <c r="B102" s="107" t="s">
        <v>2314</v>
      </c>
      <c r="C102" s="108" t="s">
        <v>2539</v>
      </c>
      <c r="D102" s="108" t="s">
        <v>2540</v>
      </c>
      <c r="E102" s="109">
        <v>3.45316227E9</v>
      </c>
      <c r="F102" s="108" t="s">
        <v>742</v>
      </c>
      <c r="G102" s="110" t="s">
        <v>2331</v>
      </c>
      <c r="H102" s="114" t="s">
        <v>2353</v>
      </c>
    </row>
    <row r="103" ht="15.75" customHeight="1">
      <c r="A103" s="106">
        <v>43897.0</v>
      </c>
      <c r="B103" s="107" t="s">
        <v>2314</v>
      </c>
      <c r="C103" s="108" t="s">
        <v>2541</v>
      </c>
      <c r="D103" s="108" t="s">
        <v>2542</v>
      </c>
      <c r="E103" s="109">
        <v>3.212252522E9</v>
      </c>
      <c r="F103" s="108" t="s">
        <v>1661</v>
      </c>
      <c r="G103" s="110" t="s">
        <v>2331</v>
      </c>
      <c r="H103" s="114" t="s">
        <v>2353</v>
      </c>
    </row>
    <row r="104" ht="15.75" customHeight="1">
      <c r="A104" s="106">
        <v>43897.0</v>
      </c>
      <c r="B104" s="107" t="s">
        <v>2314</v>
      </c>
      <c r="C104" s="108" t="s">
        <v>2543</v>
      </c>
      <c r="D104" s="108" t="s">
        <v>2544</v>
      </c>
      <c r="E104" s="109">
        <v>3.332111357E9</v>
      </c>
      <c r="F104" s="108" t="s">
        <v>1661</v>
      </c>
      <c r="G104" s="110" t="s">
        <v>2331</v>
      </c>
      <c r="H104" s="114" t="s">
        <v>2353</v>
      </c>
    </row>
    <row r="105" ht="15.75" customHeight="1">
      <c r="A105" s="106">
        <v>43897.0</v>
      </c>
      <c r="B105" s="107" t="s">
        <v>2314</v>
      </c>
      <c r="C105" s="108" t="s">
        <v>2545</v>
      </c>
      <c r="D105" s="108" t="s">
        <v>2546</v>
      </c>
      <c r="E105" s="109">
        <v>3.337499119E9</v>
      </c>
      <c r="F105" s="108" t="s">
        <v>1661</v>
      </c>
      <c r="G105" s="110" t="s">
        <v>2331</v>
      </c>
      <c r="H105" s="114" t="s">
        <v>2353</v>
      </c>
    </row>
    <row r="106" ht="15.75" customHeight="1">
      <c r="A106" s="106">
        <v>43898.0</v>
      </c>
      <c r="B106" s="107" t="s">
        <v>2314</v>
      </c>
      <c r="C106" s="108" t="s">
        <v>2547</v>
      </c>
      <c r="D106" s="108" t="s">
        <v>2548</v>
      </c>
      <c r="E106" s="109">
        <v>3.15400009E9</v>
      </c>
      <c r="F106" s="108" t="s">
        <v>742</v>
      </c>
      <c r="G106" s="110" t="s">
        <v>2331</v>
      </c>
      <c r="H106" s="114" t="s">
        <v>2353</v>
      </c>
    </row>
    <row r="107" ht="15.75" customHeight="1">
      <c r="A107" s="106">
        <v>43898.0</v>
      </c>
      <c r="B107" s="107" t="s">
        <v>2314</v>
      </c>
      <c r="C107" s="108" t="s">
        <v>2549</v>
      </c>
      <c r="D107" s="108" t="s">
        <v>2550</v>
      </c>
      <c r="E107" s="109" t="s">
        <v>2551</v>
      </c>
      <c r="F107" s="108" t="s">
        <v>1661</v>
      </c>
      <c r="G107" s="110" t="s">
        <v>2331</v>
      </c>
      <c r="H107" s="114" t="s">
        <v>2353</v>
      </c>
    </row>
    <row r="108" ht="15.75" customHeight="1">
      <c r="A108" s="106">
        <v>43898.0</v>
      </c>
      <c r="B108" s="107" t="s">
        <v>2314</v>
      </c>
      <c r="C108" s="108" t="s">
        <v>2552</v>
      </c>
      <c r="D108" s="108" t="s">
        <v>2553</v>
      </c>
      <c r="E108" s="109">
        <v>3.339744933E9</v>
      </c>
      <c r="F108" s="108" t="s">
        <v>1661</v>
      </c>
      <c r="G108" s="110" t="s">
        <v>2331</v>
      </c>
      <c r="H108" s="114" t="s">
        <v>2353</v>
      </c>
    </row>
    <row r="109" ht="15.75" customHeight="1">
      <c r="A109" s="106">
        <v>43898.0</v>
      </c>
      <c r="B109" s="107" t="s">
        <v>2314</v>
      </c>
      <c r="C109" s="108" t="s">
        <v>2554</v>
      </c>
      <c r="D109" s="108" t="s">
        <v>2555</v>
      </c>
      <c r="E109" s="109">
        <v>3.452126284E9</v>
      </c>
      <c r="F109" s="108" t="s">
        <v>1661</v>
      </c>
      <c r="G109" s="110" t="s">
        <v>2331</v>
      </c>
      <c r="H109" s="114" t="s">
        <v>2353</v>
      </c>
    </row>
    <row r="110" ht="15.75" customHeight="1">
      <c r="A110" s="106">
        <v>43899.0</v>
      </c>
      <c r="B110" s="107" t="s">
        <v>2314</v>
      </c>
      <c r="C110" s="108" t="s">
        <v>2556</v>
      </c>
      <c r="D110" s="108" t="s">
        <v>2557</v>
      </c>
      <c r="E110" s="109">
        <v>3.458360022E9</v>
      </c>
      <c r="F110" s="108" t="s">
        <v>2334</v>
      </c>
      <c r="G110" s="110" t="s">
        <v>2331</v>
      </c>
      <c r="H110" s="114" t="s">
        <v>2353</v>
      </c>
    </row>
    <row r="111" ht="15.75" customHeight="1">
      <c r="A111" s="106">
        <v>43899.0</v>
      </c>
      <c r="B111" s="107" t="s">
        <v>2314</v>
      </c>
      <c r="C111" s="108" t="s">
        <v>2558</v>
      </c>
      <c r="D111" s="108" t="s">
        <v>2559</v>
      </c>
      <c r="E111" s="109">
        <v>3.333051511E9</v>
      </c>
      <c r="F111" s="108" t="s">
        <v>1664</v>
      </c>
      <c r="G111" s="110" t="s">
        <v>2331</v>
      </c>
      <c r="H111" s="114" t="s">
        <v>2353</v>
      </c>
    </row>
    <row r="112" ht="15.75" customHeight="1">
      <c r="A112" s="106">
        <v>43899.0</v>
      </c>
      <c r="B112" s="107" t="s">
        <v>2314</v>
      </c>
      <c r="C112" s="108" t="s">
        <v>2560</v>
      </c>
      <c r="D112" s="108" t="s">
        <v>2561</v>
      </c>
      <c r="E112" s="109">
        <v>3.452115531E9</v>
      </c>
      <c r="F112" s="108" t="s">
        <v>1664</v>
      </c>
      <c r="G112" s="110" t="s">
        <v>2331</v>
      </c>
      <c r="H112" s="114" t="s">
        <v>2353</v>
      </c>
    </row>
    <row r="113" ht="15.75" customHeight="1">
      <c r="A113" s="106">
        <v>43899.0</v>
      </c>
      <c r="B113" s="107" t="s">
        <v>2314</v>
      </c>
      <c r="C113" s="108" t="s">
        <v>2562</v>
      </c>
      <c r="D113" s="108" t="s">
        <v>2563</v>
      </c>
      <c r="E113" s="109">
        <v>3.212323822E9</v>
      </c>
      <c r="F113" s="108" t="s">
        <v>742</v>
      </c>
      <c r="G113" s="110" t="s">
        <v>2331</v>
      </c>
      <c r="H113" s="114" t="s">
        <v>2353</v>
      </c>
    </row>
    <row r="114" ht="15.75" customHeight="1">
      <c r="A114" s="106">
        <v>43899.0</v>
      </c>
      <c r="B114" s="107" t="s">
        <v>2314</v>
      </c>
      <c r="C114" s="108" t="s">
        <v>2564</v>
      </c>
      <c r="D114" s="108" t="s">
        <v>2565</v>
      </c>
      <c r="E114" s="109">
        <v>3.002121539E9</v>
      </c>
      <c r="F114" s="108" t="s">
        <v>2334</v>
      </c>
      <c r="G114" s="110" t="s">
        <v>2331</v>
      </c>
      <c r="H114" s="114" t="s">
        <v>2353</v>
      </c>
    </row>
    <row r="115" ht="15.75" customHeight="1">
      <c r="A115" s="106">
        <v>43899.0</v>
      </c>
      <c r="B115" s="107" t="s">
        <v>2314</v>
      </c>
      <c r="C115" s="116" t="s">
        <v>2566</v>
      </c>
      <c r="D115" s="108" t="s">
        <v>2567</v>
      </c>
      <c r="E115" s="109">
        <v>3.008988248E9</v>
      </c>
      <c r="F115" s="108" t="s">
        <v>2334</v>
      </c>
      <c r="G115" s="110" t="s">
        <v>2346</v>
      </c>
      <c r="H115" s="114" t="s">
        <v>2353</v>
      </c>
    </row>
    <row r="116" ht="15.75" customHeight="1">
      <c r="A116" s="106">
        <v>43899.0</v>
      </c>
      <c r="B116" s="107" t="s">
        <v>2314</v>
      </c>
      <c r="C116" s="108" t="s">
        <v>2568</v>
      </c>
      <c r="D116" s="108" t="s">
        <v>2569</v>
      </c>
      <c r="E116" s="109">
        <v>3.343556355E9</v>
      </c>
      <c r="F116" s="108" t="s">
        <v>1661</v>
      </c>
      <c r="G116" s="110" t="s">
        <v>2346</v>
      </c>
      <c r="H116" s="114" t="s">
        <v>2353</v>
      </c>
    </row>
    <row r="117" ht="15.75" customHeight="1">
      <c r="A117" s="106">
        <v>43899.0</v>
      </c>
      <c r="B117" s="107" t="s">
        <v>2314</v>
      </c>
      <c r="C117" s="108" t="s">
        <v>2570</v>
      </c>
      <c r="D117" s="108" t="s">
        <v>2571</v>
      </c>
      <c r="E117" s="109">
        <v>3.34334712E9</v>
      </c>
      <c r="F117" s="108" t="s">
        <v>2334</v>
      </c>
      <c r="G117" s="110" t="s">
        <v>2331</v>
      </c>
      <c r="H117" s="114" t="s">
        <v>2353</v>
      </c>
    </row>
    <row r="118" ht="15.75" customHeight="1">
      <c r="A118" s="106">
        <v>43899.0</v>
      </c>
      <c r="B118" s="107" t="s">
        <v>2314</v>
      </c>
      <c r="C118" s="108" t="s">
        <v>2572</v>
      </c>
      <c r="D118" s="108" t="s">
        <v>2573</v>
      </c>
      <c r="E118" s="109">
        <v>3.007099644E9</v>
      </c>
      <c r="F118" s="108" t="s">
        <v>2334</v>
      </c>
      <c r="G118" s="110" t="s">
        <v>2331</v>
      </c>
      <c r="H118" s="114" t="s">
        <v>2353</v>
      </c>
    </row>
    <row r="119" ht="15.75" customHeight="1">
      <c r="A119" s="106">
        <v>43899.0</v>
      </c>
      <c r="B119" s="107" t="s">
        <v>2314</v>
      </c>
      <c r="C119" s="108" t="s">
        <v>2574</v>
      </c>
      <c r="D119" s="108" t="s">
        <v>2575</v>
      </c>
      <c r="E119" s="109">
        <v>3.009639746E9</v>
      </c>
      <c r="F119" s="108" t="s">
        <v>742</v>
      </c>
      <c r="G119" s="110" t="s">
        <v>2339</v>
      </c>
      <c r="H119" s="114" t="s">
        <v>2368</v>
      </c>
    </row>
    <row r="120" ht="15.75" customHeight="1">
      <c r="A120" s="106">
        <v>43899.0</v>
      </c>
      <c r="B120" s="107" t="s">
        <v>2314</v>
      </c>
      <c r="C120" s="108" t="s">
        <v>2576</v>
      </c>
      <c r="D120" s="108" t="s">
        <v>2577</v>
      </c>
      <c r="E120" s="109">
        <v>3.002517364E9</v>
      </c>
      <c r="F120" s="108" t="s">
        <v>1661</v>
      </c>
      <c r="G120" s="110" t="s">
        <v>2339</v>
      </c>
      <c r="H120" s="114" t="s">
        <v>2368</v>
      </c>
    </row>
    <row r="121" ht="15.75" customHeight="1">
      <c r="A121" s="106">
        <v>43900.0</v>
      </c>
      <c r="B121" s="107" t="s">
        <v>2314</v>
      </c>
      <c r="C121" s="108" t="s">
        <v>2578</v>
      </c>
      <c r="D121" s="108" t="s">
        <v>2579</v>
      </c>
      <c r="E121" s="109">
        <v>3.340127E9</v>
      </c>
      <c r="F121" s="108" t="s">
        <v>1661</v>
      </c>
      <c r="G121" s="110" t="s">
        <v>2346</v>
      </c>
      <c r="H121" s="114" t="s">
        <v>2368</v>
      </c>
    </row>
    <row r="122" ht="15.75" customHeight="1">
      <c r="A122" s="106">
        <v>43900.0</v>
      </c>
      <c r="B122" s="107" t="s">
        <v>2314</v>
      </c>
      <c r="C122" s="108" t="s">
        <v>2580</v>
      </c>
      <c r="D122" s="108" t="s">
        <v>2581</v>
      </c>
      <c r="E122" s="109">
        <v>3.212608619E9</v>
      </c>
      <c r="F122" s="108" t="s">
        <v>1664</v>
      </c>
      <c r="G122" s="110" t="s">
        <v>2331</v>
      </c>
      <c r="H122" s="114" t="s">
        <v>2368</v>
      </c>
    </row>
    <row r="123" ht="15.75" customHeight="1">
      <c r="A123" s="106">
        <v>43900.0</v>
      </c>
      <c r="B123" s="107" t="s">
        <v>2314</v>
      </c>
      <c r="C123" s="108" t="s">
        <v>2582</v>
      </c>
      <c r="D123" s="108" t="s">
        <v>2583</v>
      </c>
      <c r="E123" s="109">
        <f>+258844234494</f>
        <v>258844234494</v>
      </c>
      <c r="F123" s="108" t="s">
        <v>2334</v>
      </c>
      <c r="G123" s="110" t="s">
        <v>2331</v>
      </c>
      <c r="H123" s="114" t="s">
        <v>2368</v>
      </c>
    </row>
    <row r="124" ht="15.75" customHeight="1">
      <c r="A124" s="106">
        <v>43900.0</v>
      </c>
      <c r="B124" s="107" t="s">
        <v>2314</v>
      </c>
      <c r="C124" s="108" t="s">
        <v>2584</v>
      </c>
      <c r="D124" s="108" t="s">
        <v>2585</v>
      </c>
      <c r="E124" s="109">
        <v>3.161615506E9</v>
      </c>
      <c r="F124" s="108" t="s">
        <v>742</v>
      </c>
      <c r="G124" s="110" t="s">
        <v>2331</v>
      </c>
      <c r="H124" s="114" t="s">
        <v>2368</v>
      </c>
    </row>
    <row r="125" ht="15.75" customHeight="1">
      <c r="A125" s="106">
        <v>43900.0</v>
      </c>
      <c r="B125" s="107" t="s">
        <v>2314</v>
      </c>
      <c r="C125" s="108" t="s">
        <v>2586</v>
      </c>
      <c r="D125" s="108" t="s">
        <v>2587</v>
      </c>
      <c r="E125" s="109">
        <v>3.218446331E9</v>
      </c>
      <c r="F125" s="108" t="s">
        <v>1661</v>
      </c>
      <c r="G125" s="110" t="s">
        <v>2331</v>
      </c>
      <c r="H125" s="114" t="s">
        <v>2368</v>
      </c>
    </row>
    <row r="126" ht="15.75" customHeight="1">
      <c r="A126" s="106">
        <v>43900.0</v>
      </c>
      <c r="B126" s="107" t="s">
        <v>2314</v>
      </c>
      <c r="C126" s="108" t="s">
        <v>2588</v>
      </c>
      <c r="D126" s="108" t="s">
        <v>2589</v>
      </c>
      <c r="E126" s="109">
        <v>7.729993334E9</v>
      </c>
      <c r="F126" s="108" t="s">
        <v>1661</v>
      </c>
      <c r="G126" s="110" t="s">
        <v>2331</v>
      </c>
      <c r="H126" s="114" t="s">
        <v>2368</v>
      </c>
    </row>
    <row r="127" ht="15.75" customHeight="1">
      <c r="A127" s="106">
        <v>43900.0</v>
      </c>
      <c r="B127" s="107" t="s">
        <v>2314</v>
      </c>
      <c r="C127" s="108" t="s">
        <v>2590</v>
      </c>
      <c r="D127" s="108" t="s">
        <v>2591</v>
      </c>
      <c r="E127" s="109">
        <v>3.333171086E9</v>
      </c>
      <c r="F127" s="108" t="s">
        <v>2334</v>
      </c>
      <c r="G127" s="110" t="s">
        <v>2331</v>
      </c>
      <c r="H127" s="114" t="s">
        <v>2368</v>
      </c>
    </row>
    <row r="128" ht="15.75" customHeight="1">
      <c r="A128" s="106">
        <v>43900.0</v>
      </c>
      <c r="B128" s="107" t="s">
        <v>2314</v>
      </c>
      <c r="C128" s="108" t="s">
        <v>2592</v>
      </c>
      <c r="D128" s="108" t="s">
        <v>2593</v>
      </c>
      <c r="E128" s="109">
        <v>3.216260621E9</v>
      </c>
      <c r="F128" s="108" t="s">
        <v>1661</v>
      </c>
      <c r="G128" s="110" t="s">
        <v>2339</v>
      </c>
      <c r="H128" s="114" t="s">
        <v>2368</v>
      </c>
    </row>
    <row r="129" ht="15.75" customHeight="1">
      <c r="A129" s="106">
        <v>43900.0</v>
      </c>
      <c r="B129" s="107" t="s">
        <v>2314</v>
      </c>
      <c r="C129" s="108" t="s">
        <v>2594</v>
      </c>
      <c r="D129" s="108" t="s">
        <v>2595</v>
      </c>
      <c r="E129" s="109">
        <v>3.002000262E9</v>
      </c>
      <c r="F129" s="108" t="s">
        <v>2334</v>
      </c>
      <c r="G129" s="110" t="s">
        <v>2339</v>
      </c>
      <c r="H129" s="114" t="s">
        <v>2368</v>
      </c>
    </row>
    <row r="130" ht="15.75" customHeight="1">
      <c r="A130" s="106">
        <v>43900.0</v>
      </c>
      <c r="B130" s="107" t="s">
        <v>2314</v>
      </c>
      <c r="C130" s="108" t="s">
        <v>2596</v>
      </c>
      <c r="D130" s="108" t="s">
        <v>2597</v>
      </c>
      <c r="E130" s="109">
        <v>3.328780185E9</v>
      </c>
      <c r="F130" s="108" t="s">
        <v>1661</v>
      </c>
      <c r="G130" s="110" t="s">
        <v>2339</v>
      </c>
      <c r="H130" s="114" t="s">
        <v>2368</v>
      </c>
    </row>
    <row r="131" ht="15.75" customHeight="1">
      <c r="A131" s="106">
        <v>43900.0</v>
      </c>
      <c r="B131" s="107" t="s">
        <v>2314</v>
      </c>
      <c r="C131" s="108" t="s">
        <v>2598</v>
      </c>
      <c r="D131" s="108" t="s">
        <v>2599</v>
      </c>
      <c r="E131" s="109">
        <v>3.047940566E9</v>
      </c>
      <c r="F131" s="108" t="s">
        <v>742</v>
      </c>
      <c r="G131" s="110" t="s">
        <v>2339</v>
      </c>
      <c r="H131" s="114" t="s">
        <v>2368</v>
      </c>
    </row>
    <row r="132" ht="15.75" customHeight="1">
      <c r="A132" s="106">
        <v>43900.0</v>
      </c>
      <c r="B132" s="107" t="s">
        <v>2314</v>
      </c>
      <c r="C132" s="108" t="s">
        <v>2600</v>
      </c>
      <c r="D132" s="108" t="s">
        <v>2601</v>
      </c>
      <c r="E132" s="109">
        <v>3.008382054E9</v>
      </c>
      <c r="F132" s="108" t="s">
        <v>1661</v>
      </c>
      <c r="G132" s="110" t="s">
        <v>2339</v>
      </c>
      <c r="H132" s="114" t="s">
        <v>2368</v>
      </c>
    </row>
    <row r="133" ht="15.75" customHeight="1">
      <c r="A133" s="106">
        <v>43900.0</v>
      </c>
      <c r="B133" s="107" t="s">
        <v>2314</v>
      </c>
      <c r="C133" s="108" t="s">
        <v>2602</v>
      </c>
      <c r="D133" s="108" t="s">
        <v>2603</v>
      </c>
      <c r="E133" s="109" t="s">
        <v>2604</v>
      </c>
      <c r="F133" s="108" t="s">
        <v>1661</v>
      </c>
      <c r="G133" s="110" t="s">
        <v>2339</v>
      </c>
      <c r="H133" s="114" t="s">
        <v>2368</v>
      </c>
    </row>
    <row r="134" ht="15.75" customHeight="1">
      <c r="A134" s="106">
        <v>43900.0</v>
      </c>
      <c r="B134" s="107" t="s">
        <v>2314</v>
      </c>
      <c r="C134" s="108" t="s">
        <v>2605</v>
      </c>
      <c r="D134" s="108" t="s">
        <v>2606</v>
      </c>
      <c r="E134" s="109">
        <v>3.217867861E9</v>
      </c>
      <c r="F134" s="108" t="s">
        <v>1664</v>
      </c>
      <c r="G134" s="110" t="s">
        <v>2339</v>
      </c>
      <c r="H134" s="114" t="s">
        <v>2368</v>
      </c>
    </row>
    <row r="135" ht="15.75" customHeight="1">
      <c r="A135" s="106">
        <v>43900.0</v>
      </c>
      <c r="B135" s="107" t="s">
        <v>2314</v>
      </c>
      <c r="C135" s="108" t="s">
        <v>2607</v>
      </c>
      <c r="D135" s="108" t="s">
        <v>2608</v>
      </c>
      <c r="E135" s="109">
        <v>3.332233324E9</v>
      </c>
      <c r="F135" s="108" t="s">
        <v>1664</v>
      </c>
      <c r="G135" s="110" t="s">
        <v>2346</v>
      </c>
      <c r="H135" s="114" t="s">
        <v>2368</v>
      </c>
    </row>
    <row r="136" ht="15.75" customHeight="1">
      <c r="A136" s="106">
        <v>43900.0</v>
      </c>
      <c r="B136" s="107" t="s">
        <v>2314</v>
      </c>
      <c r="C136" s="108" t="s">
        <v>2609</v>
      </c>
      <c r="D136" s="108" t="s">
        <v>2610</v>
      </c>
      <c r="E136" s="109">
        <v>3.165011629E9</v>
      </c>
      <c r="F136" s="108" t="s">
        <v>742</v>
      </c>
      <c r="G136" s="110" t="s">
        <v>2346</v>
      </c>
      <c r="H136" s="114" t="s">
        <v>2368</v>
      </c>
    </row>
    <row r="137" ht="15.75" customHeight="1">
      <c r="A137" s="106">
        <v>43900.0</v>
      </c>
      <c r="B137" s="107" t="s">
        <v>2314</v>
      </c>
      <c r="C137" s="108" t="s">
        <v>2611</v>
      </c>
      <c r="D137" s="108" t="s">
        <v>2612</v>
      </c>
      <c r="E137" s="109">
        <v>3.363745094E9</v>
      </c>
      <c r="F137" s="108" t="s">
        <v>2334</v>
      </c>
      <c r="G137" s="110" t="s">
        <v>2346</v>
      </c>
      <c r="H137" s="114" t="s">
        <v>2368</v>
      </c>
    </row>
    <row r="138" ht="15.75" customHeight="1">
      <c r="A138" s="106">
        <v>43900.0</v>
      </c>
      <c r="B138" s="107" t="s">
        <v>2314</v>
      </c>
      <c r="C138" s="108" t="s">
        <v>2613</v>
      </c>
      <c r="D138" s="108" t="s">
        <v>2614</v>
      </c>
      <c r="E138" s="109">
        <v>2.134961683E9</v>
      </c>
      <c r="F138" s="108" t="s">
        <v>2334</v>
      </c>
      <c r="G138" s="110" t="s">
        <v>2346</v>
      </c>
      <c r="H138" s="114" t="s">
        <v>2368</v>
      </c>
    </row>
    <row r="139" ht="15.75" customHeight="1">
      <c r="A139" s="106">
        <v>43900.0</v>
      </c>
      <c r="B139" s="107" t="s">
        <v>2314</v>
      </c>
      <c r="C139" s="108" t="s">
        <v>2615</v>
      </c>
      <c r="D139" s="108" t="s">
        <v>2616</v>
      </c>
      <c r="E139" s="109">
        <v>3.332173644E9</v>
      </c>
      <c r="F139" s="108" t="s">
        <v>1661</v>
      </c>
      <c r="G139" s="110" t="s">
        <v>2346</v>
      </c>
      <c r="H139" s="114" t="s">
        <v>2368</v>
      </c>
    </row>
    <row r="140" ht="15.75" customHeight="1">
      <c r="A140" s="106">
        <v>43900.0</v>
      </c>
      <c r="B140" s="107" t="s">
        <v>2314</v>
      </c>
      <c r="C140" s="108" t="s">
        <v>2617</v>
      </c>
      <c r="D140" s="108" t="s">
        <v>2618</v>
      </c>
      <c r="E140" s="109">
        <v>3.005932464E9</v>
      </c>
      <c r="F140" s="108" t="s">
        <v>1661</v>
      </c>
      <c r="G140" s="110" t="s">
        <v>2346</v>
      </c>
      <c r="H140" s="114" t="s">
        <v>2368</v>
      </c>
    </row>
    <row r="141" ht="15.75" customHeight="1">
      <c r="A141" s="106">
        <v>43900.0</v>
      </c>
      <c r="B141" s="107" t="s">
        <v>2314</v>
      </c>
      <c r="C141" s="108" t="s">
        <v>2619</v>
      </c>
      <c r="D141" s="108" t="s">
        <v>2620</v>
      </c>
      <c r="E141" s="109">
        <v>3.142039696E9</v>
      </c>
      <c r="F141" s="108" t="s">
        <v>742</v>
      </c>
      <c r="G141" s="110" t="s">
        <v>2346</v>
      </c>
      <c r="H141" s="114" t="s">
        <v>2368</v>
      </c>
    </row>
    <row r="142" ht="15.75" customHeight="1">
      <c r="A142" s="106">
        <v>43901.0</v>
      </c>
      <c r="B142" s="107" t="s">
        <v>2314</v>
      </c>
      <c r="C142" s="108" t="s">
        <v>2621</v>
      </c>
      <c r="D142" s="108" t="s">
        <v>2622</v>
      </c>
      <c r="E142" s="109">
        <v>3.332221212E9</v>
      </c>
      <c r="F142" s="108" t="s">
        <v>742</v>
      </c>
      <c r="G142" s="110" t="s">
        <v>2346</v>
      </c>
      <c r="H142" s="114" t="s">
        <v>2623</v>
      </c>
    </row>
    <row r="143" ht="15.75" customHeight="1">
      <c r="A143" s="106">
        <v>43901.0</v>
      </c>
      <c r="B143" s="107" t="s">
        <v>2314</v>
      </c>
      <c r="C143" s="108" t="s">
        <v>2624</v>
      </c>
      <c r="D143" s="108" t="s">
        <v>2625</v>
      </c>
      <c r="E143" s="109">
        <v>3.153061115E9</v>
      </c>
      <c r="F143" s="108" t="s">
        <v>742</v>
      </c>
      <c r="G143" s="110" t="s">
        <v>2346</v>
      </c>
      <c r="H143" s="114" t="s">
        <v>2623</v>
      </c>
    </row>
    <row r="144" ht="15.75" customHeight="1">
      <c r="A144" s="106">
        <v>43901.0</v>
      </c>
      <c r="B144" s="107" t="s">
        <v>2314</v>
      </c>
      <c r="C144" s="108" t="s">
        <v>2626</v>
      </c>
      <c r="D144" s="108" t="s">
        <v>2627</v>
      </c>
      <c r="E144" s="109">
        <v>3.21582555E9</v>
      </c>
      <c r="F144" s="108" t="s">
        <v>1661</v>
      </c>
      <c r="G144" s="110" t="s">
        <v>2346</v>
      </c>
      <c r="H144" s="114" t="s">
        <v>2623</v>
      </c>
    </row>
    <row r="145" ht="15.75" customHeight="1">
      <c r="A145" s="106">
        <v>43901.0</v>
      </c>
      <c r="B145" s="107" t="s">
        <v>2314</v>
      </c>
      <c r="C145" s="108" t="s">
        <v>2628</v>
      </c>
      <c r="D145" s="108" t="s">
        <v>2629</v>
      </c>
      <c r="E145" s="109">
        <v>9.23469014656E11</v>
      </c>
      <c r="F145" s="108" t="s">
        <v>742</v>
      </c>
      <c r="G145" s="110" t="s">
        <v>2346</v>
      </c>
      <c r="H145" s="114" t="s">
        <v>2623</v>
      </c>
    </row>
    <row r="146" ht="15.75" customHeight="1">
      <c r="A146" s="106">
        <v>43901.0</v>
      </c>
      <c r="B146" s="107" t="s">
        <v>2314</v>
      </c>
      <c r="C146" s="108" t="s">
        <v>2630</v>
      </c>
      <c r="D146" s="108" t="s">
        <v>2631</v>
      </c>
      <c r="E146" s="109" t="s">
        <v>2632</v>
      </c>
      <c r="F146" s="108" t="s">
        <v>1661</v>
      </c>
      <c r="G146" s="117"/>
      <c r="H146" s="114" t="s">
        <v>2623</v>
      </c>
    </row>
    <row r="147" ht="15.75" customHeight="1">
      <c r="A147" s="106">
        <v>43901.0</v>
      </c>
      <c r="B147" s="107" t="s">
        <v>2314</v>
      </c>
      <c r="C147" s="108" t="s">
        <v>2633</v>
      </c>
      <c r="D147" s="108" t="s">
        <v>2634</v>
      </c>
      <c r="E147" s="109">
        <v>3.332794524E9</v>
      </c>
      <c r="F147" s="108" t="s">
        <v>1661</v>
      </c>
      <c r="G147" s="110" t="s">
        <v>2339</v>
      </c>
      <c r="H147" s="114" t="s">
        <v>2623</v>
      </c>
    </row>
    <row r="148" ht="15.75" customHeight="1">
      <c r="A148" s="106">
        <v>43901.0</v>
      </c>
      <c r="B148" s="107" t="s">
        <v>2314</v>
      </c>
      <c r="C148" s="108" t="s">
        <v>2635</v>
      </c>
      <c r="D148" s="108" t="s">
        <v>2636</v>
      </c>
      <c r="E148" s="109">
        <v>2.314474196E9</v>
      </c>
      <c r="F148" s="108" t="s">
        <v>1661</v>
      </c>
      <c r="G148" s="110" t="s">
        <v>2361</v>
      </c>
      <c r="H148" s="114" t="s">
        <v>2623</v>
      </c>
    </row>
    <row r="149" ht="15.75" customHeight="1">
      <c r="A149" s="106">
        <v>43901.0</v>
      </c>
      <c r="B149" s="107" t="s">
        <v>2314</v>
      </c>
      <c r="C149" s="108" t="s">
        <v>2637</v>
      </c>
      <c r="D149" s="108" t="s">
        <v>2638</v>
      </c>
      <c r="E149" s="109">
        <v>3.333292469E9</v>
      </c>
      <c r="F149" s="108" t="s">
        <v>742</v>
      </c>
      <c r="G149" s="110" t="s">
        <v>2339</v>
      </c>
      <c r="H149" s="114" t="s">
        <v>2623</v>
      </c>
    </row>
    <row r="150" ht="15.75" customHeight="1">
      <c r="A150" s="106">
        <v>43901.0</v>
      </c>
      <c r="B150" s="107" t="s">
        <v>2314</v>
      </c>
      <c r="C150" s="108" t="s">
        <v>2639</v>
      </c>
      <c r="D150" s="108" t="s">
        <v>2640</v>
      </c>
      <c r="E150" s="109">
        <f>+923004973316</f>
        <v>923004973316</v>
      </c>
      <c r="F150" s="108" t="s">
        <v>2334</v>
      </c>
      <c r="G150" s="110" t="s">
        <v>2339</v>
      </c>
      <c r="H150" s="114" t="s">
        <v>2623</v>
      </c>
    </row>
    <row r="151" ht="15.75" customHeight="1">
      <c r="A151" s="106">
        <v>43901.0</v>
      </c>
      <c r="B151" s="107" t="s">
        <v>2314</v>
      </c>
      <c r="C151" s="108" t="s">
        <v>2641</v>
      </c>
      <c r="D151" s="108" t="s">
        <v>2642</v>
      </c>
      <c r="E151" s="109">
        <v>3.216955877E9</v>
      </c>
      <c r="F151" s="108" t="s">
        <v>1661</v>
      </c>
      <c r="G151" s="110" t="s">
        <v>2339</v>
      </c>
      <c r="H151" s="114" t="s">
        <v>2623</v>
      </c>
    </row>
    <row r="152" ht="15.75" customHeight="1">
      <c r="A152" s="106">
        <v>43901.0</v>
      </c>
      <c r="B152" s="107" t="s">
        <v>2314</v>
      </c>
      <c r="C152" s="108" t="s">
        <v>2643</v>
      </c>
      <c r="D152" s="108" t="s">
        <v>2644</v>
      </c>
      <c r="E152" s="109">
        <v>3.003922223E9</v>
      </c>
      <c r="F152" s="108" t="s">
        <v>2334</v>
      </c>
      <c r="G152" s="110" t="s">
        <v>2339</v>
      </c>
      <c r="H152" s="114" t="s">
        <v>2623</v>
      </c>
    </row>
    <row r="153" ht="15.75" customHeight="1">
      <c r="A153" s="106">
        <v>43901.0</v>
      </c>
      <c r="B153" s="107" t="s">
        <v>2314</v>
      </c>
      <c r="C153" s="108" t="s">
        <v>2645</v>
      </c>
      <c r="D153" s="108" t="s">
        <v>2646</v>
      </c>
      <c r="E153" s="109">
        <v>3.458383983E9</v>
      </c>
      <c r="F153" s="108" t="s">
        <v>1664</v>
      </c>
      <c r="G153" s="110" t="s">
        <v>2361</v>
      </c>
      <c r="H153" s="114" t="s">
        <v>2623</v>
      </c>
    </row>
    <row r="154" ht="15.75" customHeight="1">
      <c r="A154" s="106">
        <v>43901.0</v>
      </c>
      <c r="B154" s="107" t="s">
        <v>2314</v>
      </c>
      <c r="C154" s="108" t="s">
        <v>2647</v>
      </c>
      <c r="D154" s="108" t="s">
        <v>2648</v>
      </c>
      <c r="E154" s="109">
        <v>3.337334906E9</v>
      </c>
      <c r="F154" s="108" t="s">
        <v>2334</v>
      </c>
      <c r="G154" s="110" t="s">
        <v>2361</v>
      </c>
      <c r="H154" s="114" t="s">
        <v>2623</v>
      </c>
    </row>
    <row r="155" ht="15.75" customHeight="1">
      <c r="A155" s="106">
        <v>43901.0</v>
      </c>
      <c r="B155" s="107" t="s">
        <v>2314</v>
      </c>
      <c r="C155" s="108" t="s">
        <v>2649</v>
      </c>
      <c r="D155" s="108" t="s">
        <v>2650</v>
      </c>
      <c r="E155" s="109">
        <v>3.362177281E9</v>
      </c>
      <c r="F155" s="108" t="s">
        <v>1661</v>
      </c>
      <c r="G155" s="110" t="s">
        <v>2361</v>
      </c>
      <c r="H155" s="114" t="s">
        <v>2623</v>
      </c>
    </row>
    <row r="156" ht="15.75" customHeight="1">
      <c r="A156" s="106">
        <v>43901.0</v>
      </c>
      <c r="B156" s="107" t="s">
        <v>2314</v>
      </c>
      <c r="C156" s="108" t="s">
        <v>2651</v>
      </c>
      <c r="D156" s="108" t="s">
        <v>2652</v>
      </c>
      <c r="E156" s="109">
        <v>9.66567163757E11</v>
      </c>
      <c r="F156" s="108" t="s">
        <v>1664</v>
      </c>
      <c r="G156" s="110" t="s">
        <v>2331</v>
      </c>
      <c r="H156" s="114" t="s">
        <v>2623</v>
      </c>
    </row>
    <row r="157" ht="15.75" customHeight="1">
      <c r="A157" s="106">
        <v>43901.0</v>
      </c>
      <c r="B157" s="107" t="s">
        <v>2314</v>
      </c>
      <c r="C157" s="108" t="s">
        <v>2653</v>
      </c>
      <c r="D157" s="108" t="s">
        <v>2654</v>
      </c>
      <c r="E157" s="109">
        <v>3.342226719E9</v>
      </c>
      <c r="F157" s="108" t="s">
        <v>742</v>
      </c>
      <c r="G157" s="110" t="s">
        <v>2361</v>
      </c>
      <c r="H157" s="114" t="s">
        <v>2623</v>
      </c>
    </row>
    <row r="158" ht="15.75" customHeight="1">
      <c r="A158" s="106">
        <v>43901.0</v>
      </c>
      <c r="B158" s="107" t="s">
        <v>2314</v>
      </c>
      <c r="C158" s="108" t="s">
        <v>2655</v>
      </c>
      <c r="D158" s="108" t="s">
        <v>2656</v>
      </c>
      <c r="E158" s="109">
        <v>3.458230042E9</v>
      </c>
      <c r="F158" s="108" t="s">
        <v>1661</v>
      </c>
      <c r="G158" s="110" t="s">
        <v>2361</v>
      </c>
      <c r="H158" s="114" t="s">
        <v>2623</v>
      </c>
    </row>
    <row r="159" ht="15.75" customHeight="1">
      <c r="A159" s="106">
        <v>43901.0</v>
      </c>
      <c r="B159" s="107" t="s">
        <v>2314</v>
      </c>
      <c r="C159" s="108" t="s">
        <v>2657</v>
      </c>
      <c r="D159" s="108" t="s">
        <v>2658</v>
      </c>
      <c r="E159" s="109">
        <v>9.2300303024E11</v>
      </c>
      <c r="F159" s="108" t="s">
        <v>2334</v>
      </c>
      <c r="G159" s="110" t="s">
        <v>684</v>
      </c>
      <c r="H159" s="114" t="s">
        <v>2623</v>
      </c>
    </row>
    <row r="160" ht="15.75" customHeight="1">
      <c r="A160" s="106">
        <v>43901.0</v>
      </c>
      <c r="B160" s="107" t="s">
        <v>2314</v>
      </c>
      <c r="C160" s="108" t="s">
        <v>2659</v>
      </c>
      <c r="D160" s="108" t="s">
        <v>2660</v>
      </c>
      <c r="E160" s="109">
        <v>3.232003961E9</v>
      </c>
      <c r="F160" s="108" t="s">
        <v>2334</v>
      </c>
      <c r="G160" s="110" t="s">
        <v>684</v>
      </c>
      <c r="H160" s="114" t="s">
        <v>2623</v>
      </c>
    </row>
    <row r="161" ht="15.75" customHeight="1">
      <c r="A161" s="106">
        <v>43901.0</v>
      </c>
      <c r="B161" s="107" t="s">
        <v>2314</v>
      </c>
      <c r="C161" s="108" t="s">
        <v>2661</v>
      </c>
      <c r="D161" s="108" t="s">
        <v>2662</v>
      </c>
      <c r="E161" s="109">
        <f>+923320334606</f>
        <v>923320334606</v>
      </c>
      <c r="F161" s="108" t="s">
        <v>2334</v>
      </c>
      <c r="G161" s="110" t="s">
        <v>684</v>
      </c>
      <c r="H161" s="114" t="s">
        <v>2623</v>
      </c>
    </row>
    <row r="162" ht="15.75" customHeight="1">
      <c r="A162" s="106">
        <v>43901.0</v>
      </c>
      <c r="B162" s="107" t="s">
        <v>2314</v>
      </c>
      <c r="C162" s="108" t="s">
        <v>2663</v>
      </c>
      <c r="D162" s="108" t="s">
        <v>2664</v>
      </c>
      <c r="E162" s="109">
        <v>3.341270417E9</v>
      </c>
      <c r="F162" s="108" t="s">
        <v>1661</v>
      </c>
      <c r="G162" s="110" t="s">
        <v>684</v>
      </c>
      <c r="H162" s="114" t="s">
        <v>2623</v>
      </c>
    </row>
    <row r="163" ht="15.75" customHeight="1">
      <c r="A163" s="106">
        <v>43901.0</v>
      </c>
      <c r="B163" s="107" t="s">
        <v>2314</v>
      </c>
      <c r="C163" s="108" t="s">
        <v>2665</v>
      </c>
      <c r="D163" s="108" t="s">
        <v>2666</v>
      </c>
      <c r="E163" s="109" t="s">
        <v>2667</v>
      </c>
      <c r="F163" s="108" t="s">
        <v>2334</v>
      </c>
      <c r="G163" s="110" t="s">
        <v>684</v>
      </c>
      <c r="H163" s="114" t="s">
        <v>2623</v>
      </c>
    </row>
    <row r="164" ht="15.75" customHeight="1">
      <c r="A164" s="106">
        <v>43901.0</v>
      </c>
      <c r="B164" s="107" t="s">
        <v>2314</v>
      </c>
      <c r="C164" s="108" t="s">
        <v>2668</v>
      </c>
      <c r="D164" s="108" t="s">
        <v>2669</v>
      </c>
      <c r="E164" s="109" t="s">
        <v>2670</v>
      </c>
      <c r="F164" s="108" t="s">
        <v>2334</v>
      </c>
      <c r="G164" s="110" t="s">
        <v>2671</v>
      </c>
      <c r="H164" s="114" t="s">
        <v>2623</v>
      </c>
    </row>
    <row r="165" ht="15.75" customHeight="1">
      <c r="A165" s="106">
        <v>43901.0</v>
      </c>
      <c r="B165" s="107" t="s">
        <v>2314</v>
      </c>
      <c r="C165" s="108" t="s">
        <v>2672</v>
      </c>
      <c r="D165" s="108" t="s">
        <v>2673</v>
      </c>
      <c r="E165" s="109">
        <v>3.07478736E9</v>
      </c>
      <c r="F165" s="108" t="s">
        <v>1661</v>
      </c>
      <c r="G165" s="110" t="s">
        <v>2671</v>
      </c>
      <c r="H165" s="114" t="s">
        <v>684</v>
      </c>
    </row>
    <row r="166" ht="15.75" customHeight="1">
      <c r="A166" s="106">
        <v>43901.0</v>
      </c>
      <c r="B166" s="107" t="s">
        <v>2314</v>
      </c>
      <c r="C166" s="108" t="s">
        <v>2674</v>
      </c>
      <c r="D166" s="108" t="s">
        <v>2675</v>
      </c>
      <c r="E166" s="109">
        <v>3.159314008E9</v>
      </c>
      <c r="F166" s="108" t="s">
        <v>1661</v>
      </c>
      <c r="G166" s="110" t="s">
        <v>2671</v>
      </c>
      <c r="H166" s="114" t="s">
        <v>684</v>
      </c>
    </row>
    <row r="167" ht="15.75" customHeight="1">
      <c r="A167" s="106">
        <v>43901.0</v>
      </c>
      <c r="B167" s="107" t="s">
        <v>2314</v>
      </c>
      <c r="C167" s="108" t="s">
        <v>2676</v>
      </c>
      <c r="D167" s="108" t="s">
        <v>2677</v>
      </c>
      <c r="E167" s="109">
        <v>9.23002695363E11</v>
      </c>
      <c r="F167" s="108" t="s">
        <v>742</v>
      </c>
      <c r="G167" s="110" t="s">
        <v>2671</v>
      </c>
      <c r="H167" s="114" t="s">
        <v>684</v>
      </c>
    </row>
    <row r="168" ht="15.75" customHeight="1">
      <c r="A168" s="106">
        <v>43901.0</v>
      </c>
      <c r="B168" s="107" t="s">
        <v>2314</v>
      </c>
      <c r="C168" s="108" t="s">
        <v>2678</v>
      </c>
      <c r="D168" s="108" t="s">
        <v>2679</v>
      </c>
      <c r="E168" s="109">
        <v>3.084440623E9</v>
      </c>
      <c r="F168" s="108" t="s">
        <v>742</v>
      </c>
      <c r="G168" s="110" t="s">
        <v>2671</v>
      </c>
      <c r="H168" s="114" t="s">
        <v>684</v>
      </c>
    </row>
    <row r="169" ht="15.75" customHeight="1">
      <c r="A169" s="106">
        <v>43901.0</v>
      </c>
      <c r="B169" s="107" t="s">
        <v>2314</v>
      </c>
      <c r="C169" s="108" t="s">
        <v>2680</v>
      </c>
      <c r="D169" s="108" t="s">
        <v>2681</v>
      </c>
      <c r="E169" s="109">
        <v>3.008207901E9</v>
      </c>
      <c r="F169" s="108" t="s">
        <v>1661</v>
      </c>
      <c r="G169" s="110" t="s">
        <v>2361</v>
      </c>
      <c r="H169" s="114" t="s">
        <v>684</v>
      </c>
    </row>
    <row r="170" ht="15.75" customHeight="1">
      <c r="A170" s="106">
        <v>43902.0</v>
      </c>
      <c r="B170" s="107" t="s">
        <v>2314</v>
      </c>
      <c r="C170" s="108" t="s">
        <v>2682</v>
      </c>
      <c r="D170" s="108" t="s">
        <v>2683</v>
      </c>
      <c r="E170" s="109">
        <v>3.002079143E9</v>
      </c>
      <c r="F170" s="108" t="s">
        <v>2334</v>
      </c>
      <c r="G170" s="118"/>
      <c r="H170" s="114" t="s">
        <v>684</v>
      </c>
    </row>
    <row r="171" ht="15.75" customHeight="1">
      <c r="A171" s="106">
        <v>43902.0</v>
      </c>
      <c r="B171" s="107" t="s">
        <v>2314</v>
      </c>
      <c r="C171" s="108" t="s">
        <v>2684</v>
      </c>
      <c r="D171" s="108" t="s">
        <v>2685</v>
      </c>
      <c r="E171" s="109">
        <v>9.23002939299E11</v>
      </c>
      <c r="F171" s="108" t="s">
        <v>1661</v>
      </c>
      <c r="G171" s="110" t="s">
        <v>2339</v>
      </c>
      <c r="H171" s="114" t="s">
        <v>684</v>
      </c>
    </row>
    <row r="172" ht="15.75" customHeight="1">
      <c r="A172" s="106">
        <v>43902.0</v>
      </c>
      <c r="B172" s="107" t="s">
        <v>2314</v>
      </c>
      <c r="C172" s="108" t="s">
        <v>2686</v>
      </c>
      <c r="D172" s="108" t="s">
        <v>2687</v>
      </c>
      <c r="E172" s="109">
        <v>3.005255086E9</v>
      </c>
      <c r="F172" s="108" t="s">
        <v>1664</v>
      </c>
      <c r="G172" s="110" t="s">
        <v>2339</v>
      </c>
      <c r="H172" s="114" t="s">
        <v>684</v>
      </c>
    </row>
    <row r="173" ht="15.75" customHeight="1">
      <c r="A173" s="106">
        <v>43902.0</v>
      </c>
      <c r="B173" s="107" t="s">
        <v>2314</v>
      </c>
      <c r="C173" s="108" t="s">
        <v>2688</v>
      </c>
      <c r="D173" s="108" t="s">
        <v>2689</v>
      </c>
      <c r="E173" s="109">
        <v>3.102521777E9</v>
      </c>
      <c r="F173" s="108" t="s">
        <v>1661</v>
      </c>
      <c r="G173" s="110" t="s">
        <v>2339</v>
      </c>
      <c r="H173" s="114" t="s">
        <v>684</v>
      </c>
    </row>
    <row r="174" ht="15.75" customHeight="1">
      <c r="A174" s="106">
        <v>43902.0</v>
      </c>
      <c r="B174" s="107" t="s">
        <v>2314</v>
      </c>
      <c r="C174" s="108" t="s">
        <v>2690</v>
      </c>
      <c r="D174" s="108" t="s">
        <v>2691</v>
      </c>
      <c r="E174" s="109">
        <v>3.00837611E9</v>
      </c>
      <c r="F174" s="108" t="s">
        <v>742</v>
      </c>
      <c r="G174" s="110" t="s">
        <v>2339</v>
      </c>
      <c r="H174" s="114" t="s">
        <v>684</v>
      </c>
    </row>
    <row r="175" ht="15.75" customHeight="1">
      <c r="A175" s="106">
        <v>43902.0</v>
      </c>
      <c r="B175" s="107" t="s">
        <v>2314</v>
      </c>
      <c r="C175" s="108" t="s">
        <v>2692</v>
      </c>
      <c r="D175" s="108" t="s">
        <v>2693</v>
      </c>
      <c r="E175" s="119" t="s">
        <v>2694</v>
      </c>
      <c r="F175" s="108" t="s">
        <v>2334</v>
      </c>
      <c r="G175" s="110" t="s">
        <v>2353</v>
      </c>
      <c r="H175" s="114" t="s">
        <v>684</v>
      </c>
    </row>
    <row r="176" ht="15.75" customHeight="1">
      <c r="A176" s="106">
        <v>43904.0</v>
      </c>
      <c r="B176" s="107" t="s">
        <v>2314</v>
      </c>
      <c r="C176" s="108" t="s">
        <v>2695</v>
      </c>
      <c r="D176" s="108" t="s">
        <v>2696</v>
      </c>
      <c r="E176" s="109">
        <v>3.333434189E9</v>
      </c>
      <c r="F176" s="108" t="s">
        <v>2334</v>
      </c>
      <c r="G176" s="110" t="s">
        <v>2331</v>
      </c>
      <c r="H176" s="114" t="s">
        <v>684</v>
      </c>
    </row>
    <row r="177" ht="15.75" customHeight="1">
      <c r="A177" s="106">
        <v>43902.0</v>
      </c>
      <c r="B177" s="107" t="s">
        <v>2314</v>
      </c>
      <c r="C177" s="108" t="s">
        <v>2697</v>
      </c>
      <c r="D177" s="108" t="s">
        <v>2698</v>
      </c>
      <c r="E177" s="109">
        <v>3.130001368E9</v>
      </c>
      <c r="F177" s="108" t="s">
        <v>1664</v>
      </c>
      <c r="G177" s="118" t="s">
        <v>2368</v>
      </c>
      <c r="H177" s="114" t="s">
        <v>684</v>
      </c>
    </row>
    <row r="178" ht="15.75" customHeight="1">
      <c r="A178" s="106">
        <v>43902.0</v>
      </c>
      <c r="B178" s="107" t="s">
        <v>2314</v>
      </c>
      <c r="C178" s="108" t="s">
        <v>2699</v>
      </c>
      <c r="D178" s="108" t="s">
        <v>2700</v>
      </c>
      <c r="E178" s="109">
        <v>3.083629887E9</v>
      </c>
      <c r="F178" s="108" t="s">
        <v>1661</v>
      </c>
      <c r="G178" s="118" t="s">
        <v>2368</v>
      </c>
      <c r="H178" s="114" t="s">
        <v>684</v>
      </c>
    </row>
    <row r="179" ht="15.75" customHeight="1">
      <c r="A179" s="106">
        <v>43902.0</v>
      </c>
      <c r="B179" s="107" t="s">
        <v>2314</v>
      </c>
      <c r="C179" s="108" t="s">
        <v>2701</v>
      </c>
      <c r="D179" s="108" t="s">
        <v>2702</v>
      </c>
      <c r="E179" s="109">
        <v>3.118701719E9</v>
      </c>
      <c r="F179" s="108" t="s">
        <v>1661</v>
      </c>
      <c r="G179" s="118" t="s">
        <v>2368</v>
      </c>
      <c r="H179" s="114" t="s">
        <v>684</v>
      </c>
    </row>
    <row r="180" ht="15.75" customHeight="1">
      <c r="A180" s="106">
        <v>43902.0</v>
      </c>
      <c r="B180" s="107" t="s">
        <v>2314</v>
      </c>
      <c r="C180" s="108" t="s">
        <v>2703</v>
      </c>
      <c r="D180" s="108" t="s">
        <v>2704</v>
      </c>
      <c r="E180" s="109">
        <v>3.102474972E9</v>
      </c>
      <c r="F180" s="108" t="s">
        <v>742</v>
      </c>
      <c r="G180" s="110" t="s">
        <v>2671</v>
      </c>
      <c r="H180" s="114" t="s">
        <v>684</v>
      </c>
    </row>
    <row r="181" ht="15.75" customHeight="1">
      <c r="A181" s="106">
        <v>43902.0</v>
      </c>
      <c r="B181" s="107" t="s">
        <v>2314</v>
      </c>
      <c r="C181" s="108" t="s">
        <v>2705</v>
      </c>
      <c r="D181" s="108" t="s">
        <v>2706</v>
      </c>
      <c r="E181" s="109">
        <v>3.222798812E9</v>
      </c>
      <c r="F181" s="108" t="s">
        <v>742</v>
      </c>
      <c r="G181" s="110" t="s">
        <v>2671</v>
      </c>
      <c r="H181" s="114" t="s">
        <v>684</v>
      </c>
    </row>
    <row r="182" ht="15.75" customHeight="1">
      <c r="A182" s="106">
        <v>43902.0</v>
      </c>
      <c r="B182" s="107" t="s">
        <v>2314</v>
      </c>
      <c r="C182" s="108" t="s">
        <v>2707</v>
      </c>
      <c r="D182" s="108" t="s">
        <v>2708</v>
      </c>
      <c r="E182" s="109">
        <v>3.21822846E9</v>
      </c>
      <c r="F182" s="108" t="s">
        <v>1664</v>
      </c>
      <c r="G182" s="110" t="s">
        <v>2671</v>
      </c>
      <c r="H182" s="114" t="s">
        <v>684</v>
      </c>
    </row>
    <row r="183" ht="15.75" customHeight="1">
      <c r="A183" s="106">
        <v>43902.0</v>
      </c>
      <c r="B183" s="107" t="s">
        <v>2314</v>
      </c>
      <c r="C183" s="108" t="s">
        <v>2709</v>
      </c>
      <c r="D183" s="108" t="s">
        <v>2710</v>
      </c>
      <c r="E183" s="119" t="s">
        <v>2711</v>
      </c>
      <c r="F183" s="108" t="s">
        <v>742</v>
      </c>
      <c r="G183" s="118" t="s">
        <v>2331</v>
      </c>
      <c r="H183" s="114" t="s">
        <v>684</v>
      </c>
    </row>
    <row r="184" ht="15.75" customHeight="1">
      <c r="A184" s="106">
        <v>43902.0</v>
      </c>
      <c r="B184" s="107" t="s">
        <v>2314</v>
      </c>
      <c r="C184" s="108" t="s">
        <v>2712</v>
      </c>
      <c r="D184" s="108" t="s">
        <v>2713</v>
      </c>
      <c r="E184" s="109">
        <v>3.21252595E9</v>
      </c>
      <c r="F184" s="108" t="s">
        <v>1661</v>
      </c>
      <c r="G184" s="118" t="s">
        <v>2331</v>
      </c>
      <c r="H184" s="114" t="s">
        <v>684</v>
      </c>
    </row>
    <row r="185" ht="15.75" customHeight="1">
      <c r="A185" s="106">
        <v>43902.0</v>
      </c>
      <c r="B185" s="107" t="s">
        <v>2314</v>
      </c>
      <c r="C185" s="108" t="s">
        <v>2714</v>
      </c>
      <c r="D185" s="108" t="s">
        <v>2715</v>
      </c>
      <c r="E185" s="109" t="s">
        <v>2716</v>
      </c>
      <c r="F185" s="108" t="s">
        <v>1664</v>
      </c>
      <c r="G185" s="110" t="s">
        <v>2346</v>
      </c>
      <c r="H185" s="114" t="s">
        <v>684</v>
      </c>
    </row>
    <row r="186" ht="15.75" customHeight="1">
      <c r="A186" s="106">
        <v>43902.0</v>
      </c>
      <c r="B186" s="107" t="s">
        <v>2314</v>
      </c>
      <c r="C186" s="108" t="s">
        <v>2717</v>
      </c>
      <c r="D186" s="108" t="s">
        <v>2718</v>
      </c>
      <c r="E186" s="109">
        <v>3.347076652E9</v>
      </c>
      <c r="F186" s="108" t="s">
        <v>742</v>
      </c>
      <c r="G186" s="110" t="s">
        <v>2361</v>
      </c>
      <c r="H186" s="114" t="s">
        <v>684</v>
      </c>
    </row>
    <row r="187" ht="15.75" customHeight="1">
      <c r="A187" s="106">
        <v>43902.0</v>
      </c>
      <c r="B187" s="107" t="s">
        <v>2314</v>
      </c>
      <c r="C187" s="108" t="s">
        <v>2719</v>
      </c>
      <c r="D187" s="108" t="s">
        <v>2720</v>
      </c>
      <c r="E187" s="109">
        <v>3.338253656E9</v>
      </c>
      <c r="F187" s="108" t="s">
        <v>1661</v>
      </c>
      <c r="G187" s="110" t="s">
        <v>2361</v>
      </c>
      <c r="H187" s="114" t="s">
        <v>684</v>
      </c>
    </row>
    <row r="188" ht="15.75" customHeight="1">
      <c r="A188" s="106">
        <v>43902.0</v>
      </c>
      <c r="B188" s="107" t="s">
        <v>2314</v>
      </c>
      <c r="C188" s="108" t="s">
        <v>2721</v>
      </c>
      <c r="D188" s="108" t="s">
        <v>2722</v>
      </c>
      <c r="E188" s="109">
        <v>3.163080008E9</v>
      </c>
      <c r="F188" s="108" t="s">
        <v>1661</v>
      </c>
      <c r="G188" s="110" t="s">
        <v>2361</v>
      </c>
      <c r="H188" s="114" t="s">
        <v>2339</v>
      </c>
    </row>
    <row r="189" ht="15.75" customHeight="1">
      <c r="A189" s="106">
        <v>43902.0</v>
      </c>
      <c r="B189" s="107" t="s">
        <v>2314</v>
      </c>
      <c r="C189" s="108" t="s">
        <v>2723</v>
      </c>
      <c r="D189" s="108" t="s">
        <v>2724</v>
      </c>
      <c r="E189" s="109">
        <v>3.33205553E9</v>
      </c>
      <c r="F189" s="108" t="s">
        <v>1661</v>
      </c>
      <c r="G189" s="110" t="s">
        <v>2361</v>
      </c>
      <c r="H189" s="114" t="s">
        <v>2339</v>
      </c>
    </row>
    <row r="190" ht="15.75" customHeight="1">
      <c r="A190" s="106">
        <v>43902.0</v>
      </c>
      <c r="B190" s="107" t="s">
        <v>2314</v>
      </c>
      <c r="C190" s="108" t="s">
        <v>2725</v>
      </c>
      <c r="D190" s="108" t="s">
        <v>2726</v>
      </c>
      <c r="E190" s="109"/>
      <c r="F190" s="108" t="s">
        <v>1664</v>
      </c>
      <c r="G190" s="110" t="s">
        <v>2361</v>
      </c>
      <c r="H190" s="114" t="s">
        <v>2339</v>
      </c>
    </row>
    <row r="191" ht="15.75" customHeight="1">
      <c r="A191" s="106">
        <v>43903.0</v>
      </c>
      <c r="B191" s="107" t="s">
        <v>2314</v>
      </c>
      <c r="C191" s="108" t="s">
        <v>2727</v>
      </c>
      <c r="D191" s="108" t="s">
        <v>2728</v>
      </c>
      <c r="E191" s="109">
        <v>3.003978888E9</v>
      </c>
      <c r="F191" s="108" t="s">
        <v>1664</v>
      </c>
      <c r="G191" s="120" t="s">
        <v>2368</v>
      </c>
      <c r="H191" s="114" t="s">
        <v>2339</v>
      </c>
    </row>
    <row r="192" ht="15.75" customHeight="1">
      <c r="A192" s="106">
        <v>43903.0</v>
      </c>
      <c r="B192" s="107" t="s">
        <v>2314</v>
      </c>
      <c r="C192" s="108" t="s">
        <v>2729</v>
      </c>
      <c r="D192" s="108" t="s">
        <v>2730</v>
      </c>
      <c r="E192" s="109">
        <v>3.028252999E9</v>
      </c>
      <c r="F192" s="108" t="s">
        <v>742</v>
      </c>
      <c r="G192" s="110" t="s">
        <v>684</v>
      </c>
      <c r="H192" s="114" t="s">
        <v>2339</v>
      </c>
    </row>
    <row r="193" ht="15.75" customHeight="1">
      <c r="A193" s="106">
        <v>43903.0</v>
      </c>
      <c r="B193" s="107" t="s">
        <v>2314</v>
      </c>
      <c r="C193" s="108" t="s">
        <v>2731</v>
      </c>
      <c r="D193" s="108" t="s">
        <v>2732</v>
      </c>
      <c r="E193" s="109">
        <v>3.45224218E9</v>
      </c>
      <c r="F193" s="108" t="s">
        <v>1664</v>
      </c>
      <c r="G193" s="120" t="s">
        <v>710</v>
      </c>
      <c r="H193" s="114" t="s">
        <v>2339</v>
      </c>
    </row>
    <row r="194" ht="15.75" customHeight="1">
      <c r="A194" s="106">
        <v>43903.0</v>
      </c>
      <c r="B194" s="107" t="s">
        <v>2314</v>
      </c>
      <c r="C194" s="108" t="s">
        <v>2733</v>
      </c>
      <c r="D194" s="108" t="s">
        <v>2734</v>
      </c>
      <c r="E194" s="109">
        <v>3.238232771E9</v>
      </c>
      <c r="F194" s="108" t="s">
        <v>2334</v>
      </c>
      <c r="G194" s="120" t="s">
        <v>710</v>
      </c>
      <c r="H194" s="114" t="s">
        <v>2339</v>
      </c>
    </row>
    <row r="195" ht="15.75" customHeight="1">
      <c r="A195" s="106">
        <v>43903.0</v>
      </c>
      <c r="B195" s="107" t="s">
        <v>2314</v>
      </c>
      <c r="C195" s="108" t="s">
        <v>2735</v>
      </c>
      <c r="D195" s="108" t="s">
        <v>2736</v>
      </c>
      <c r="E195" s="109" t="s">
        <v>2737</v>
      </c>
      <c r="F195" s="108" t="s">
        <v>2334</v>
      </c>
      <c r="G195" s="110" t="s">
        <v>2353</v>
      </c>
      <c r="H195" s="114" t="s">
        <v>2339</v>
      </c>
    </row>
    <row r="196" ht="15.75" customHeight="1">
      <c r="A196" s="106">
        <v>43903.0</v>
      </c>
      <c r="B196" s="107" t="s">
        <v>2314</v>
      </c>
      <c r="C196" s="108" t="s">
        <v>2738</v>
      </c>
      <c r="D196" s="108" t="s">
        <v>2739</v>
      </c>
      <c r="E196" s="109">
        <v>3.203202717E9</v>
      </c>
      <c r="F196" s="108" t="s">
        <v>742</v>
      </c>
      <c r="G196" s="110" t="s">
        <v>2353</v>
      </c>
      <c r="H196" s="114" t="s">
        <v>2339</v>
      </c>
    </row>
    <row r="197" ht="15.75" customHeight="1">
      <c r="A197" s="106">
        <v>43903.0</v>
      </c>
      <c r="B197" s="107" t="s">
        <v>2314</v>
      </c>
      <c r="C197" s="108" t="s">
        <v>2740</v>
      </c>
      <c r="D197" s="108" t="s">
        <v>2741</v>
      </c>
      <c r="E197" s="109">
        <v>3.000777795E9</v>
      </c>
      <c r="F197" s="108" t="s">
        <v>1664</v>
      </c>
      <c r="G197" s="110" t="s">
        <v>2361</v>
      </c>
      <c r="H197" s="114" t="s">
        <v>2339</v>
      </c>
    </row>
    <row r="198" ht="15.75" customHeight="1">
      <c r="A198" s="106">
        <v>43903.0</v>
      </c>
      <c r="B198" s="107" t="s">
        <v>2314</v>
      </c>
      <c r="C198" s="108" t="s">
        <v>2742</v>
      </c>
      <c r="D198" s="108" t="s">
        <v>2743</v>
      </c>
      <c r="E198" s="109">
        <v>3.008672001E9</v>
      </c>
      <c r="F198" s="108" t="s">
        <v>1661</v>
      </c>
      <c r="G198" s="110" t="s">
        <v>684</v>
      </c>
      <c r="H198" s="114" t="s">
        <v>2339</v>
      </c>
    </row>
    <row r="199" ht="15.75" customHeight="1">
      <c r="A199" s="106">
        <v>43903.0</v>
      </c>
      <c r="B199" s="107" t="s">
        <v>2314</v>
      </c>
      <c r="C199" s="108" t="s">
        <v>2744</v>
      </c>
      <c r="D199" s="108" t="s">
        <v>2745</v>
      </c>
      <c r="E199" s="109">
        <v>3.232316561E9</v>
      </c>
      <c r="F199" s="108" t="s">
        <v>742</v>
      </c>
      <c r="G199" s="110" t="s">
        <v>2353</v>
      </c>
      <c r="H199" s="114" t="s">
        <v>2339</v>
      </c>
    </row>
    <row r="200" ht="15.75" customHeight="1">
      <c r="A200" s="106">
        <v>43903.0</v>
      </c>
      <c r="B200" s="107" t="s">
        <v>2314</v>
      </c>
      <c r="C200" s="108" t="s">
        <v>2746</v>
      </c>
      <c r="D200" s="108" t="s">
        <v>2747</v>
      </c>
      <c r="E200" s="109">
        <v>3.21928905E9</v>
      </c>
      <c r="F200" s="108" t="s">
        <v>742</v>
      </c>
      <c r="G200" s="110" t="s">
        <v>2361</v>
      </c>
      <c r="H200" s="114" t="s">
        <v>2339</v>
      </c>
    </row>
    <row r="201" ht="15.75" customHeight="1">
      <c r="A201" s="106">
        <v>43903.0</v>
      </c>
      <c r="B201" s="107" t="s">
        <v>2314</v>
      </c>
      <c r="C201" s="108" t="s">
        <v>2748</v>
      </c>
      <c r="D201" s="108" t="s">
        <v>2749</v>
      </c>
      <c r="E201" s="109">
        <v>3.003817363E9</v>
      </c>
      <c r="F201" s="108" t="s">
        <v>2334</v>
      </c>
      <c r="G201" s="110" t="s">
        <v>2361</v>
      </c>
      <c r="H201" s="114" t="s">
        <v>2339</v>
      </c>
    </row>
    <row r="202" ht="15.75" customHeight="1">
      <c r="A202" s="106">
        <v>43903.0</v>
      </c>
      <c r="B202" s="107" t="s">
        <v>2314</v>
      </c>
      <c r="C202" s="108" t="s">
        <v>2750</v>
      </c>
      <c r="D202" s="108" t="s">
        <v>2751</v>
      </c>
      <c r="E202" s="109">
        <v>3.40525956E9</v>
      </c>
      <c r="F202" s="108" t="s">
        <v>742</v>
      </c>
      <c r="G202" s="120" t="s">
        <v>89</v>
      </c>
      <c r="H202" s="114" t="s">
        <v>2339</v>
      </c>
    </row>
    <row r="203" ht="15.75" customHeight="1">
      <c r="A203" s="106">
        <v>43903.0</v>
      </c>
      <c r="B203" s="107" t="s">
        <v>2314</v>
      </c>
      <c r="C203" s="108" t="s">
        <v>2752</v>
      </c>
      <c r="D203" s="108" t="s">
        <v>2753</v>
      </c>
      <c r="E203" s="109">
        <v>3.462133443E9</v>
      </c>
      <c r="F203" s="108" t="s">
        <v>1661</v>
      </c>
      <c r="G203" s="110" t="s">
        <v>2361</v>
      </c>
      <c r="H203" s="114" t="s">
        <v>2339</v>
      </c>
    </row>
    <row r="204" ht="15.75" customHeight="1">
      <c r="A204" s="106">
        <v>43903.0</v>
      </c>
      <c r="B204" s="107" t="s">
        <v>2314</v>
      </c>
      <c r="C204" s="108" t="s">
        <v>2754</v>
      </c>
      <c r="D204" s="108" t="s">
        <v>2755</v>
      </c>
      <c r="E204" s="109">
        <v>3.332101777E9</v>
      </c>
      <c r="F204" s="108" t="s">
        <v>1661</v>
      </c>
      <c r="G204" s="120" t="s">
        <v>89</v>
      </c>
      <c r="H204" s="114" t="s">
        <v>2339</v>
      </c>
    </row>
    <row r="205" ht="15.75" customHeight="1">
      <c r="A205" s="106">
        <v>43903.0</v>
      </c>
      <c r="B205" s="107" t="s">
        <v>2314</v>
      </c>
      <c r="C205" s="108" t="s">
        <v>2756</v>
      </c>
      <c r="D205" s="108" t="s">
        <v>2757</v>
      </c>
      <c r="E205" s="109" t="s">
        <v>2758</v>
      </c>
      <c r="F205" s="108" t="s">
        <v>1664</v>
      </c>
      <c r="G205" s="120" t="s">
        <v>89</v>
      </c>
      <c r="H205" s="114" t="s">
        <v>2339</v>
      </c>
    </row>
    <row r="206" ht="15.75" customHeight="1">
      <c r="A206" s="106">
        <v>43903.0</v>
      </c>
      <c r="B206" s="107" t="s">
        <v>2314</v>
      </c>
      <c r="C206" s="108" t="s">
        <v>2759</v>
      </c>
      <c r="D206" s="108" t="s">
        <v>2760</v>
      </c>
      <c r="E206" s="109">
        <v>3.217495588E9</v>
      </c>
      <c r="F206" s="108" t="s">
        <v>742</v>
      </c>
      <c r="G206" s="120" t="s">
        <v>89</v>
      </c>
      <c r="H206" s="114" t="s">
        <v>2339</v>
      </c>
    </row>
    <row r="207" ht="15.75" customHeight="1">
      <c r="A207" s="106">
        <v>43903.0</v>
      </c>
      <c r="B207" s="107" t="s">
        <v>2314</v>
      </c>
      <c r="C207" s="108" t="s">
        <v>2761</v>
      </c>
      <c r="D207" s="108" t="s">
        <v>2762</v>
      </c>
      <c r="E207" s="109">
        <v>3.332324449E9</v>
      </c>
      <c r="F207" s="108" t="s">
        <v>1661</v>
      </c>
      <c r="G207" s="120" t="s">
        <v>2623</v>
      </c>
      <c r="H207" s="114" t="s">
        <v>2339</v>
      </c>
    </row>
    <row r="208" ht="15.75" customHeight="1">
      <c r="A208" s="106">
        <v>43903.0</v>
      </c>
      <c r="B208" s="107" t="s">
        <v>2314</v>
      </c>
      <c r="C208" s="108" t="s">
        <v>2763</v>
      </c>
      <c r="D208" s="108" t="s">
        <v>2764</v>
      </c>
      <c r="E208" s="109">
        <v>3.333346234E9</v>
      </c>
      <c r="F208" s="108" t="s">
        <v>2334</v>
      </c>
      <c r="G208" s="120" t="s">
        <v>2623</v>
      </c>
      <c r="H208" s="114" t="s">
        <v>2339</v>
      </c>
    </row>
    <row r="209" ht="15.75" customHeight="1">
      <c r="A209" s="106">
        <v>43903.0</v>
      </c>
      <c r="B209" s="107" t="s">
        <v>2314</v>
      </c>
      <c r="C209" s="108" t="s">
        <v>2765</v>
      </c>
      <c r="D209" s="108" t="s">
        <v>2766</v>
      </c>
      <c r="E209" s="109" t="s">
        <v>2767</v>
      </c>
      <c r="F209" s="108" t="s">
        <v>742</v>
      </c>
      <c r="G209" s="120" t="s">
        <v>2623</v>
      </c>
      <c r="H209" s="114" t="s">
        <v>2339</v>
      </c>
    </row>
    <row r="210" ht="15.75" customHeight="1">
      <c r="A210" s="106">
        <v>43903.0</v>
      </c>
      <c r="B210" s="107" t="s">
        <v>2314</v>
      </c>
      <c r="C210" s="108" t="s">
        <v>2768</v>
      </c>
      <c r="D210" s="108" t="s">
        <v>2769</v>
      </c>
      <c r="E210" s="109">
        <v>3.212014545E9</v>
      </c>
      <c r="F210" s="108" t="s">
        <v>1661</v>
      </c>
      <c r="G210" s="120" t="s">
        <v>2368</v>
      </c>
      <c r="H210" s="114" t="s">
        <v>2339</v>
      </c>
    </row>
    <row r="211" ht="15.75" customHeight="1">
      <c r="A211" s="106">
        <v>43903.0</v>
      </c>
      <c r="B211" s="107" t="s">
        <v>2314</v>
      </c>
      <c r="C211" s="108" t="s">
        <v>2770</v>
      </c>
      <c r="D211" s="108" t="s">
        <v>2771</v>
      </c>
      <c r="E211" s="109">
        <v>3.009313133E9</v>
      </c>
      <c r="F211" s="108" t="s">
        <v>742</v>
      </c>
      <c r="G211" s="120" t="s">
        <v>2772</v>
      </c>
      <c r="H211" s="114" t="s">
        <v>2339</v>
      </c>
    </row>
    <row r="212" ht="15.75" customHeight="1">
      <c r="A212" s="106">
        <v>43903.0</v>
      </c>
      <c r="B212" s="107" t="s">
        <v>2314</v>
      </c>
      <c r="C212" s="108" t="s">
        <v>2773</v>
      </c>
      <c r="D212" s="108" t="s">
        <v>2774</v>
      </c>
      <c r="E212" s="109">
        <v>3.002336597E9</v>
      </c>
      <c r="F212" s="108" t="s">
        <v>2334</v>
      </c>
      <c r="G212" s="120" t="s">
        <v>2368</v>
      </c>
      <c r="H212" s="114" t="s">
        <v>2339</v>
      </c>
    </row>
    <row r="213" ht="15.75" customHeight="1">
      <c r="A213" s="106">
        <v>43903.0</v>
      </c>
      <c r="B213" s="107" t="s">
        <v>2775</v>
      </c>
      <c r="C213" s="45" t="s">
        <v>2776</v>
      </c>
      <c r="D213" s="121" t="s">
        <v>2777</v>
      </c>
      <c r="E213" s="109">
        <v>4.407828937564E12</v>
      </c>
      <c r="F213" s="121"/>
      <c r="G213" s="122" t="s">
        <v>2475</v>
      </c>
      <c r="H213" s="114" t="s">
        <v>2339</v>
      </c>
    </row>
    <row r="214" ht="15.75" customHeight="1">
      <c r="A214" s="106">
        <v>43903.0</v>
      </c>
      <c r="B214" s="107" t="s">
        <v>2778</v>
      </c>
      <c r="C214" s="45" t="s">
        <v>2779</v>
      </c>
      <c r="D214" s="121" t="s">
        <v>2780</v>
      </c>
      <c r="E214" s="109">
        <f>9203032151764</f>
        <v>9203032151764</v>
      </c>
      <c r="F214" s="121"/>
      <c r="G214" s="122" t="s">
        <v>2781</v>
      </c>
      <c r="H214" s="114" t="s">
        <v>2339</v>
      </c>
    </row>
    <row r="215" ht="15.75" customHeight="1">
      <c r="A215" s="106">
        <v>43903.0</v>
      </c>
      <c r="B215" s="107" t="s">
        <v>2778</v>
      </c>
      <c r="C215" s="45" t="s">
        <v>2782</v>
      </c>
      <c r="D215" s="121" t="s">
        <v>2783</v>
      </c>
      <c r="E215" s="119" t="s">
        <v>2784</v>
      </c>
      <c r="F215" s="121"/>
      <c r="G215" s="122" t="s">
        <v>2781</v>
      </c>
      <c r="H215" s="114" t="s">
        <v>2346</v>
      </c>
    </row>
    <row r="216" ht="15.75" customHeight="1">
      <c r="A216" s="106">
        <v>43903.0</v>
      </c>
      <c r="B216" s="107" t="s">
        <v>2778</v>
      </c>
      <c r="C216" s="45" t="s">
        <v>2785</v>
      </c>
      <c r="D216" s="121" t="s">
        <v>2786</v>
      </c>
      <c r="E216" s="119" t="s">
        <v>2787</v>
      </c>
      <c r="F216" s="121"/>
      <c r="G216" s="122" t="s">
        <v>2788</v>
      </c>
      <c r="H216" s="114" t="s">
        <v>2346</v>
      </c>
    </row>
    <row r="217" ht="15.75" customHeight="1">
      <c r="A217" s="123">
        <v>43905.0</v>
      </c>
      <c r="B217" s="124" t="s">
        <v>2789</v>
      </c>
      <c r="C217" s="125" t="s">
        <v>2790</v>
      </c>
      <c r="D217" s="125" t="s">
        <v>2791</v>
      </c>
      <c r="E217" s="126">
        <v>3.455333598E9</v>
      </c>
      <c r="F217" s="125" t="s">
        <v>1664</v>
      </c>
      <c r="G217" s="127" t="s">
        <v>2353</v>
      </c>
      <c r="H217" s="128" t="s">
        <v>2346</v>
      </c>
    </row>
    <row r="218" ht="15.75" customHeight="1">
      <c r="A218" s="123">
        <v>43905.0</v>
      </c>
      <c r="B218" s="124" t="s">
        <v>2789</v>
      </c>
      <c r="C218" s="125" t="s">
        <v>2792</v>
      </c>
      <c r="D218" s="125" t="s">
        <v>2793</v>
      </c>
      <c r="E218" s="126">
        <v>3.340119119E9</v>
      </c>
      <c r="F218" s="125" t="s">
        <v>1661</v>
      </c>
      <c r="G218" s="127" t="s">
        <v>2353</v>
      </c>
      <c r="H218" s="128" t="s">
        <v>2346</v>
      </c>
    </row>
    <row r="219" ht="15.75" customHeight="1">
      <c r="A219" s="106">
        <v>43903.0</v>
      </c>
      <c r="B219" s="107" t="s">
        <v>2778</v>
      </c>
      <c r="C219" s="45" t="s">
        <v>2794</v>
      </c>
      <c r="D219" s="121" t="s">
        <v>2795</v>
      </c>
      <c r="E219" s="119" t="s">
        <v>2796</v>
      </c>
      <c r="F219" s="121"/>
      <c r="G219" s="129" t="s">
        <v>2797</v>
      </c>
      <c r="H219" s="114" t="s">
        <v>2346</v>
      </c>
    </row>
    <row r="220" ht="15.75" customHeight="1">
      <c r="A220" s="106">
        <v>43903.0</v>
      </c>
      <c r="B220" s="130" t="s">
        <v>2789</v>
      </c>
      <c r="C220" s="45" t="s">
        <v>2798</v>
      </c>
      <c r="D220" s="121" t="s">
        <v>2799</v>
      </c>
      <c r="E220" s="119" t="s">
        <v>2800</v>
      </c>
      <c r="F220" s="121"/>
      <c r="G220" s="118" t="s">
        <v>2797</v>
      </c>
      <c r="H220" s="114" t="s">
        <v>2346</v>
      </c>
    </row>
    <row r="221" ht="15.75" customHeight="1">
      <c r="A221" s="106">
        <v>43904.0</v>
      </c>
      <c r="B221" s="130" t="s">
        <v>2789</v>
      </c>
      <c r="C221" s="108" t="s">
        <v>2801</v>
      </c>
      <c r="D221" s="108" t="s">
        <v>2802</v>
      </c>
      <c r="E221" s="109">
        <v>3.332660517E9</v>
      </c>
      <c r="F221" s="108" t="s">
        <v>742</v>
      </c>
      <c r="G221" s="118" t="s">
        <v>2803</v>
      </c>
      <c r="H221" s="114" t="s">
        <v>2346</v>
      </c>
    </row>
    <row r="222" ht="15.75" customHeight="1">
      <c r="A222" s="106">
        <v>43904.0</v>
      </c>
      <c r="B222" s="130" t="s">
        <v>2789</v>
      </c>
      <c r="C222" s="108" t="s">
        <v>2804</v>
      </c>
      <c r="D222" s="108" t="s">
        <v>2805</v>
      </c>
      <c r="E222" s="109" t="s">
        <v>2806</v>
      </c>
      <c r="F222" s="108" t="s">
        <v>1664</v>
      </c>
      <c r="G222" s="118" t="s">
        <v>2803</v>
      </c>
      <c r="H222" s="114" t="s">
        <v>2346</v>
      </c>
    </row>
    <row r="223" ht="15.75" customHeight="1">
      <c r="A223" s="106">
        <v>43904.0</v>
      </c>
      <c r="B223" s="130" t="s">
        <v>2789</v>
      </c>
      <c r="C223" s="108" t="s">
        <v>2807</v>
      </c>
      <c r="D223" s="108" t="s">
        <v>2808</v>
      </c>
      <c r="E223" s="109">
        <v>9.2331363572E11</v>
      </c>
      <c r="F223" s="108" t="s">
        <v>1661</v>
      </c>
      <c r="G223" s="118" t="s">
        <v>2803</v>
      </c>
      <c r="H223" s="114" t="s">
        <v>2346</v>
      </c>
    </row>
    <row r="224" ht="15.75" customHeight="1">
      <c r="A224" s="106">
        <v>43904.0</v>
      </c>
      <c r="B224" s="130" t="s">
        <v>2789</v>
      </c>
      <c r="C224" s="108" t="s">
        <v>2809</v>
      </c>
      <c r="D224" s="108" t="s">
        <v>2810</v>
      </c>
      <c r="E224" s="109" t="s">
        <v>2811</v>
      </c>
      <c r="F224" s="108" t="s">
        <v>2334</v>
      </c>
      <c r="G224" s="118" t="s">
        <v>2788</v>
      </c>
      <c r="H224" s="114" t="s">
        <v>2346</v>
      </c>
    </row>
    <row r="225" ht="15.75" customHeight="1">
      <c r="A225" s="106">
        <v>43904.0</v>
      </c>
      <c r="B225" s="130" t="s">
        <v>2789</v>
      </c>
      <c r="C225" s="108" t="s">
        <v>2812</v>
      </c>
      <c r="D225" s="108" t="s">
        <v>2813</v>
      </c>
      <c r="E225" s="109">
        <v>3.008207226E9</v>
      </c>
      <c r="F225" s="108" t="s">
        <v>1661</v>
      </c>
      <c r="G225" s="118" t="s">
        <v>2788</v>
      </c>
      <c r="H225" s="114" t="s">
        <v>2346</v>
      </c>
    </row>
    <row r="226" ht="15.75" customHeight="1">
      <c r="A226" s="106">
        <v>43904.0</v>
      </c>
      <c r="B226" s="130" t="s">
        <v>2789</v>
      </c>
      <c r="C226" s="108" t="s">
        <v>2814</v>
      </c>
      <c r="D226" s="108" t="s">
        <v>2815</v>
      </c>
      <c r="E226" s="109">
        <v>3.002339763E9</v>
      </c>
      <c r="F226" s="108" t="s">
        <v>1664</v>
      </c>
      <c r="G226" s="118" t="s">
        <v>2788</v>
      </c>
      <c r="H226" s="114" t="s">
        <v>2346</v>
      </c>
    </row>
    <row r="227" ht="15.75" customHeight="1">
      <c r="A227" s="106">
        <v>43904.0</v>
      </c>
      <c r="B227" s="130" t="s">
        <v>2789</v>
      </c>
      <c r="C227" s="108" t="s">
        <v>2816</v>
      </c>
      <c r="D227" s="108" t="s">
        <v>2817</v>
      </c>
      <c r="E227" s="109">
        <v>3.222454111E9</v>
      </c>
      <c r="F227" s="108" t="s">
        <v>742</v>
      </c>
      <c r="G227" s="118" t="s">
        <v>2339</v>
      </c>
      <c r="H227" s="114" t="s">
        <v>2346</v>
      </c>
    </row>
    <row r="228" ht="15.75" customHeight="1">
      <c r="A228" s="106">
        <v>43904.0</v>
      </c>
      <c r="B228" s="130" t="s">
        <v>2789</v>
      </c>
      <c r="C228" s="108" t="s">
        <v>2818</v>
      </c>
      <c r="D228" s="108" t="s">
        <v>2819</v>
      </c>
      <c r="E228" s="109">
        <v>1.2142779194E10</v>
      </c>
      <c r="F228" s="108" t="s">
        <v>2334</v>
      </c>
      <c r="G228" s="118" t="s">
        <v>2339</v>
      </c>
      <c r="H228" s="114" t="s">
        <v>2346</v>
      </c>
    </row>
    <row r="229" ht="15.75" customHeight="1">
      <c r="A229" s="106">
        <v>43904.0</v>
      </c>
      <c r="B229" s="130" t="s">
        <v>2789</v>
      </c>
      <c r="C229" s="108" t="s">
        <v>2820</v>
      </c>
      <c r="D229" s="108" t="s">
        <v>2821</v>
      </c>
      <c r="E229" s="109">
        <v>9.66568468544E11</v>
      </c>
      <c r="F229" s="108" t="s">
        <v>1661</v>
      </c>
      <c r="G229" s="118" t="s">
        <v>2339</v>
      </c>
      <c r="H229" s="114" t="s">
        <v>2346</v>
      </c>
    </row>
    <row r="230" ht="15.75" customHeight="1">
      <c r="A230" s="106">
        <v>43902.0</v>
      </c>
      <c r="B230" s="107" t="s">
        <v>2314</v>
      </c>
      <c r="C230" s="108" t="s">
        <v>2822</v>
      </c>
      <c r="D230" s="108" t="s">
        <v>2823</v>
      </c>
      <c r="E230" s="109" t="s">
        <v>2824</v>
      </c>
      <c r="F230" s="108" t="s">
        <v>742</v>
      </c>
      <c r="G230" s="110" t="s">
        <v>684</v>
      </c>
      <c r="H230" s="114" t="s">
        <v>2346</v>
      </c>
    </row>
    <row r="231" ht="15.75" customHeight="1">
      <c r="A231" s="106">
        <v>43904.0</v>
      </c>
      <c r="B231" s="130" t="s">
        <v>2789</v>
      </c>
      <c r="C231" s="108" t="s">
        <v>2825</v>
      </c>
      <c r="D231" s="108" t="s">
        <v>2826</v>
      </c>
      <c r="E231" s="109">
        <v>3.352100202E9</v>
      </c>
      <c r="F231" s="108" t="s">
        <v>742</v>
      </c>
      <c r="G231" s="118" t="s">
        <v>2797</v>
      </c>
      <c r="H231" s="114" t="s">
        <v>2346</v>
      </c>
    </row>
    <row r="232" ht="15.75" customHeight="1">
      <c r="A232" s="106">
        <v>43904.0</v>
      </c>
      <c r="B232" s="130" t="s">
        <v>2789</v>
      </c>
      <c r="C232" s="108" t="s">
        <v>2827</v>
      </c>
      <c r="D232" s="108" t="s">
        <v>2828</v>
      </c>
      <c r="E232" s="109">
        <f>+923343662536</f>
        <v>923343662536</v>
      </c>
      <c r="F232" s="108" t="s">
        <v>742</v>
      </c>
      <c r="G232" s="118" t="s">
        <v>2797</v>
      </c>
      <c r="H232" s="114" t="s">
        <v>2346</v>
      </c>
    </row>
    <row r="233" ht="15.75" customHeight="1">
      <c r="A233" s="106">
        <v>43904.0</v>
      </c>
      <c r="B233" s="130" t="s">
        <v>2789</v>
      </c>
      <c r="C233" s="108" t="s">
        <v>2829</v>
      </c>
      <c r="D233" s="108" t="s">
        <v>2830</v>
      </c>
      <c r="E233" s="109">
        <v>3.359219216E9</v>
      </c>
      <c r="F233" s="108" t="s">
        <v>1661</v>
      </c>
      <c r="G233" s="118" t="s">
        <v>2781</v>
      </c>
      <c r="H233" s="114" t="s">
        <v>2346</v>
      </c>
    </row>
    <row r="234" ht="15.75" customHeight="1">
      <c r="A234" s="106">
        <v>43904.0</v>
      </c>
      <c r="B234" s="130" t="s">
        <v>2789</v>
      </c>
      <c r="C234" s="108" t="s">
        <v>2831</v>
      </c>
      <c r="D234" s="108" t="s">
        <v>2832</v>
      </c>
      <c r="E234" s="109">
        <v>3.218282618E9</v>
      </c>
      <c r="F234" s="108" t="s">
        <v>1661</v>
      </c>
      <c r="G234" s="118" t="s">
        <v>2781</v>
      </c>
      <c r="H234" s="114" t="s">
        <v>2346</v>
      </c>
    </row>
    <row r="235" ht="15.75" customHeight="1">
      <c r="A235" s="106">
        <v>43904.0</v>
      </c>
      <c r="B235" s="130" t="s">
        <v>2789</v>
      </c>
      <c r="C235" s="108" t="s">
        <v>2833</v>
      </c>
      <c r="D235" s="108" t="s">
        <v>2834</v>
      </c>
      <c r="E235" s="109">
        <v>3.452513582E9</v>
      </c>
      <c r="F235" s="108" t="s">
        <v>1661</v>
      </c>
      <c r="G235" s="118" t="s">
        <v>2781</v>
      </c>
      <c r="H235" s="114" t="s">
        <v>2346</v>
      </c>
    </row>
    <row r="236" ht="15.75" customHeight="1">
      <c r="A236" s="106">
        <v>43904.0</v>
      </c>
      <c r="B236" s="130" t="s">
        <v>2789</v>
      </c>
      <c r="C236" s="108" t="s">
        <v>2835</v>
      </c>
      <c r="D236" s="108" t="s">
        <v>2836</v>
      </c>
      <c r="E236" s="109">
        <v>3.33286103E9</v>
      </c>
      <c r="F236" s="108" t="s">
        <v>1661</v>
      </c>
      <c r="G236" s="118" t="s">
        <v>2837</v>
      </c>
      <c r="H236" s="114" t="s">
        <v>2346</v>
      </c>
    </row>
    <row r="237" ht="15.75" customHeight="1">
      <c r="A237" s="106">
        <v>43904.0</v>
      </c>
      <c r="B237" s="130" t="s">
        <v>2789</v>
      </c>
      <c r="C237" s="108" t="s">
        <v>2838</v>
      </c>
      <c r="D237" s="108" t="s">
        <v>2839</v>
      </c>
      <c r="E237" s="109">
        <v>3.224420902E9</v>
      </c>
      <c r="F237" s="108" t="s">
        <v>1661</v>
      </c>
      <c r="G237" s="118" t="s">
        <v>2837</v>
      </c>
      <c r="H237" s="114" t="s">
        <v>2346</v>
      </c>
    </row>
    <row r="238" ht="15.75" customHeight="1">
      <c r="A238" s="106">
        <v>43905.0</v>
      </c>
      <c r="B238" s="130" t="s">
        <v>2789</v>
      </c>
      <c r="C238" s="108" t="s">
        <v>2840</v>
      </c>
      <c r="D238" s="108" t="s">
        <v>2841</v>
      </c>
      <c r="E238" s="109">
        <v>3.13121668E9</v>
      </c>
      <c r="F238" s="108" t="s">
        <v>1661</v>
      </c>
      <c r="G238" s="120" t="s">
        <v>2353</v>
      </c>
      <c r="H238" s="131"/>
    </row>
    <row r="239" ht="15.75" customHeight="1">
      <c r="A239" s="106">
        <v>43905.0</v>
      </c>
      <c r="B239" s="130" t="s">
        <v>2789</v>
      </c>
      <c r="C239" s="108" t="s">
        <v>2842</v>
      </c>
      <c r="D239" s="108" t="s">
        <v>2843</v>
      </c>
      <c r="E239" s="109">
        <v>3.002612112E9</v>
      </c>
      <c r="F239" s="108" t="s">
        <v>1661</v>
      </c>
      <c r="G239" s="120" t="s">
        <v>2353</v>
      </c>
      <c r="H239" s="131"/>
    </row>
    <row r="240" ht="15.75" customHeight="1">
      <c r="A240" s="106">
        <v>43905.0</v>
      </c>
      <c r="B240" s="130" t="s">
        <v>2789</v>
      </c>
      <c r="C240" s="108" t="s">
        <v>2844</v>
      </c>
      <c r="D240" s="108" t="s">
        <v>2845</v>
      </c>
      <c r="E240" s="109">
        <v>3.218209327E9</v>
      </c>
      <c r="F240" s="108" t="s">
        <v>2334</v>
      </c>
      <c r="G240" s="120" t="s">
        <v>710</v>
      </c>
      <c r="H240" s="131"/>
    </row>
    <row r="241" ht="15.75" customHeight="1">
      <c r="A241" s="106">
        <v>43905.0</v>
      </c>
      <c r="B241" s="130" t="s">
        <v>2789</v>
      </c>
      <c r="C241" s="108" t="s">
        <v>2846</v>
      </c>
      <c r="D241" s="108" t="s">
        <v>2847</v>
      </c>
      <c r="E241" s="109">
        <v>3.334227999E9</v>
      </c>
      <c r="F241" s="108" t="s">
        <v>742</v>
      </c>
      <c r="G241" s="120" t="s">
        <v>710</v>
      </c>
      <c r="H241" s="131"/>
    </row>
    <row r="242" ht="15.75" customHeight="1">
      <c r="A242" s="106">
        <v>43905.0</v>
      </c>
      <c r="B242" s="130" t="s">
        <v>2789</v>
      </c>
      <c r="C242" s="108" t="s">
        <v>2848</v>
      </c>
      <c r="D242" s="108" t="s">
        <v>2849</v>
      </c>
      <c r="E242" s="109">
        <v>3.335868858E9</v>
      </c>
      <c r="F242" s="108" t="s">
        <v>1661</v>
      </c>
      <c r="G242" s="120" t="s">
        <v>710</v>
      </c>
      <c r="H242" s="131"/>
    </row>
    <row r="243" ht="15.75" customHeight="1">
      <c r="A243" s="106">
        <v>43905.0</v>
      </c>
      <c r="B243" s="130" t="s">
        <v>2789</v>
      </c>
      <c r="C243" s="108" t="s">
        <v>2850</v>
      </c>
      <c r="D243" s="108" t="s">
        <v>2851</v>
      </c>
      <c r="E243" s="109">
        <v>3.129667339E9</v>
      </c>
      <c r="F243" s="108" t="s">
        <v>1661</v>
      </c>
      <c r="G243" s="120" t="s">
        <v>710</v>
      </c>
      <c r="H243" s="131"/>
    </row>
    <row r="244" ht="15.75" customHeight="1">
      <c r="A244" s="106">
        <v>43905.0</v>
      </c>
      <c r="B244" s="130" t="s">
        <v>2789</v>
      </c>
      <c r="C244" s="108" t="s">
        <v>2852</v>
      </c>
      <c r="D244" s="108" t="s">
        <v>2853</v>
      </c>
      <c r="E244" s="109">
        <v>3.008261886E9</v>
      </c>
      <c r="F244" s="108" t="s">
        <v>1661</v>
      </c>
      <c r="G244" s="120" t="s">
        <v>710</v>
      </c>
      <c r="H244" s="131"/>
    </row>
    <row r="245" ht="15.75" customHeight="1">
      <c r="A245" s="106">
        <v>43905.0</v>
      </c>
      <c r="B245" s="130" t="s">
        <v>2789</v>
      </c>
      <c r="C245" s="108" t="s">
        <v>2854</v>
      </c>
      <c r="D245" s="108" t="s">
        <v>2855</v>
      </c>
      <c r="E245" s="109">
        <v>3.212412103E9</v>
      </c>
      <c r="F245" s="108" t="s">
        <v>2334</v>
      </c>
      <c r="G245" s="110" t="s">
        <v>2856</v>
      </c>
      <c r="H245" s="131"/>
    </row>
    <row r="246" ht="15.75" customHeight="1">
      <c r="A246" s="106">
        <v>43905.0</v>
      </c>
      <c r="B246" s="130" t="s">
        <v>2789</v>
      </c>
      <c r="C246" s="108" t="s">
        <v>2857</v>
      </c>
      <c r="D246" s="108" t="s">
        <v>2858</v>
      </c>
      <c r="E246" s="109" t="s">
        <v>2859</v>
      </c>
      <c r="F246" s="108" t="s">
        <v>742</v>
      </c>
      <c r="G246" s="110" t="s">
        <v>2856</v>
      </c>
      <c r="H246" s="131"/>
    </row>
    <row r="247" ht="15.75" customHeight="1">
      <c r="A247" s="106">
        <v>43905.0</v>
      </c>
      <c r="B247" s="130" t="s">
        <v>2789</v>
      </c>
      <c r="C247" s="108" t="s">
        <v>2860</v>
      </c>
      <c r="D247" s="108" t="s">
        <v>2861</v>
      </c>
      <c r="E247" s="109">
        <v>3.004176884E9</v>
      </c>
      <c r="F247" s="108" t="s">
        <v>1661</v>
      </c>
      <c r="G247" s="110" t="s">
        <v>2856</v>
      </c>
      <c r="H247" s="131"/>
    </row>
    <row r="248" ht="15.75" customHeight="1">
      <c r="A248" s="106">
        <v>43905.0</v>
      </c>
      <c r="B248" s="130" t="s">
        <v>2789</v>
      </c>
      <c r="C248" s="108" t="s">
        <v>2862</v>
      </c>
      <c r="D248" s="108" t="s">
        <v>2863</v>
      </c>
      <c r="E248" s="109">
        <v>3.003511119E9</v>
      </c>
      <c r="F248" s="108" t="s">
        <v>1664</v>
      </c>
      <c r="G248" s="120" t="s">
        <v>2339</v>
      </c>
      <c r="H248" s="131"/>
    </row>
    <row r="249" ht="15.75" customHeight="1">
      <c r="A249" s="106">
        <v>43905.0</v>
      </c>
      <c r="B249" s="130" t="s">
        <v>2789</v>
      </c>
      <c r="C249" s="108" t="s">
        <v>2864</v>
      </c>
      <c r="D249" s="108" t="s">
        <v>2865</v>
      </c>
      <c r="E249" s="109">
        <v>3.136049968E9</v>
      </c>
      <c r="F249" s="108" t="s">
        <v>742</v>
      </c>
      <c r="G249" s="120" t="s">
        <v>2339</v>
      </c>
      <c r="H249" s="131"/>
    </row>
    <row r="250" ht="15.75" customHeight="1">
      <c r="A250" s="106">
        <v>43905.0</v>
      </c>
      <c r="B250" s="130" t="s">
        <v>2789</v>
      </c>
      <c r="C250" s="108" t="s">
        <v>2866</v>
      </c>
      <c r="D250" s="108" t="s">
        <v>2867</v>
      </c>
      <c r="E250" s="109">
        <v>3.069341223E9</v>
      </c>
      <c r="F250" s="108" t="s">
        <v>742</v>
      </c>
      <c r="G250" s="120" t="s">
        <v>2339</v>
      </c>
      <c r="H250" s="131"/>
    </row>
    <row r="251" ht="15.75" customHeight="1">
      <c r="A251" s="106">
        <v>43905.0</v>
      </c>
      <c r="B251" s="130" t="s">
        <v>2789</v>
      </c>
      <c r="C251" s="108" t="s">
        <v>2868</v>
      </c>
      <c r="D251" s="108" t="s">
        <v>2869</v>
      </c>
      <c r="E251" s="109">
        <v>3.33310466E9</v>
      </c>
      <c r="F251" s="108" t="s">
        <v>1661</v>
      </c>
      <c r="G251" s="120" t="s">
        <v>2339</v>
      </c>
      <c r="H251" s="131"/>
    </row>
    <row r="252" ht="15.75" customHeight="1">
      <c r="A252" s="106">
        <v>43905.0</v>
      </c>
      <c r="B252" s="130" t="s">
        <v>2789</v>
      </c>
      <c r="C252" s="108" t="s">
        <v>2870</v>
      </c>
      <c r="D252" s="108" t="s">
        <v>2871</v>
      </c>
      <c r="E252" s="109">
        <v>9.23228383284E11</v>
      </c>
      <c r="F252" s="108" t="s">
        <v>1661</v>
      </c>
      <c r="G252" s="120" t="s">
        <v>2339</v>
      </c>
      <c r="H252" s="131"/>
    </row>
    <row r="253" ht="15.75" customHeight="1">
      <c r="A253" s="106">
        <v>43905.0</v>
      </c>
      <c r="B253" s="130" t="s">
        <v>2789</v>
      </c>
      <c r="C253" s="108" t="s">
        <v>2872</v>
      </c>
      <c r="D253" s="108" t="s">
        <v>2873</v>
      </c>
      <c r="E253" s="109">
        <v>3.009374628E9</v>
      </c>
      <c r="F253" s="108" t="s">
        <v>1664</v>
      </c>
      <c r="G253" s="120" t="s">
        <v>2339</v>
      </c>
      <c r="H253" s="131"/>
    </row>
    <row r="254" ht="15.75" customHeight="1">
      <c r="A254" s="106">
        <v>43905.0</v>
      </c>
      <c r="B254" s="130" t="s">
        <v>2789</v>
      </c>
      <c r="C254" s="108" t="s">
        <v>2874</v>
      </c>
      <c r="D254" s="108" t="s">
        <v>2875</v>
      </c>
      <c r="E254" s="109">
        <v>3.008444235E9</v>
      </c>
      <c r="F254" s="108" t="s">
        <v>742</v>
      </c>
      <c r="G254" s="120" t="s">
        <v>2339</v>
      </c>
      <c r="H254" s="131"/>
    </row>
    <row r="255" ht="15.75" customHeight="1">
      <c r="A255" s="106">
        <v>43905.0</v>
      </c>
      <c r="B255" s="130" t="s">
        <v>2789</v>
      </c>
      <c r="C255" s="108" t="s">
        <v>2876</v>
      </c>
      <c r="D255" s="108" t="s">
        <v>2877</v>
      </c>
      <c r="E255" s="109">
        <v>3.212333505E9</v>
      </c>
      <c r="F255" s="108" t="s">
        <v>1661</v>
      </c>
      <c r="G255" s="120" t="s">
        <v>2339</v>
      </c>
      <c r="H255" s="131"/>
    </row>
    <row r="256" ht="15.75" customHeight="1">
      <c r="A256" s="106">
        <v>43906.0</v>
      </c>
      <c r="B256" s="130" t="s">
        <v>2789</v>
      </c>
      <c r="C256" s="108" t="s">
        <v>2878</v>
      </c>
      <c r="D256" s="108" t="s">
        <v>2879</v>
      </c>
      <c r="E256" s="109">
        <v>3.212300333E9</v>
      </c>
      <c r="F256" s="108" t="s">
        <v>742</v>
      </c>
      <c r="G256" s="120"/>
      <c r="H256" s="131"/>
    </row>
    <row r="257" ht="15.75" customHeight="1">
      <c r="A257" s="106">
        <v>43906.0</v>
      </c>
      <c r="B257" s="130" t="s">
        <v>2789</v>
      </c>
      <c r="C257" s="108" t="s">
        <v>2880</v>
      </c>
      <c r="D257" s="108" t="s">
        <v>2881</v>
      </c>
      <c r="E257" s="109" t="s">
        <v>2882</v>
      </c>
      <c r="F257" s="108" t="s">
        <v>1661</v>
      </c>
      <c r="G257" s="120" t="s">
        <v>2339</v>
      </c>
      <c r="H257" s="131"/>
    </row>
    <row r="258" ht="15.75" customHeight="1">
      <c r="A258" s="106">
        <v>43906.0</v>
      </c>
      <c r="B258" s="130" t="s">
        <v>2789</v>
      </c>
      <c r="C258" s="108" t="s">
        <v>2883</v>
      </c>
      <c r="D258" s="108" t="s">
        <v>2884</v>
      </c>
      <c r="E258" s="109">
        <v>3.217555E9</v>
      </c>
      <c r="F258" s="108" t="s">
        <v>1661</v>
      </c>
      <c r="G258" s="120" t="s">
        <v>2339</v>
      </c>
      <c r="H258" s="131"/>
    </row>
    <row r="259" ht="15.75" customHeight="1">
      <c r="A259" s="106">
        <v>43906.0</v>
      </c>
      <c r="B259" s="130" t="s">
        <v>2789</v>
      </c>
      <c r="C259" s="108" t="s">
        <v>2885</v>
      </c>
      <c r="D259" s="108" t="s">
        <v>2886</v>
      </c>
      <c r="E259" s="109">
        <v>3.23567455E9</v>
      </c>
      <c r="F259" s="108" t="s">
        <v>2334</v>
      </c>
      <c r="G259" s="120" t="s">
        <v>2339</v>
      </c>
      <c r="H259" s="131"/>
    </row>
    <row r="260" ht="15.75" customHeight="1">
      <c r="A260" s="106">
        <v>43906.0</v>
      </c>
      <c r="B260" s="130" t="s">
        <v>2789</v>
      </c>
      <c r="C260" s="108" t="s">
        <v>2887</v>
      </c>
      <c r="D260" s="108" t="s">
        <v>2888</v>
      </c>
      <c r="E260" s="109">
        <v>3.118285583E9</v>
      </c>
      <c r="F260" s="108" t="s">
        <v>1661</v>
      </c>
      <c r="G260" s="120" t="s">
        <v>2339</v>
      </c>
      <c r="H260" s="131"/>
    </row>
    <row r="261" ht="15.75" customHeight="1">
      <c r="A261" s="106">
        <v>43906.0</v>
      </c>
      <c r="B261" s="130" t="s">
        <v>2789</v>
      </c>
      <c r="C261" s="108" t="s">
        <v>2889</v>
      </c>
      <c r="D261" s="108" t="s">
        <v>2890</v>
      </c>
      <c r="E261" s="109">
        <v>3.442100004E9</v>
      </c>
      <c r="F261" s="108" t="s">
        <v>2334</v>
      </c>
      <c r="G261" s="120" t="s">
        <v>2339</v>
      </c>
      <c r="H261" s="131"/>
    </row>
    <row r="262" ht="15.75" customHeight="1">
      <c r="A262" s="106">
        <v>43906.0</v>
      </c>
      <c r="B262" s="130" t="s">
        <v>2789</v>
      </c>
      <c r="C262" s="108" t="s">
        <v>2891</v>
      </c>
      <c r="D262" s="108" t="s">
        <v>2892</v>
      </c>
      <c r="E262" s="109">
        <v>3.152269485E9</v>
      </c>
      <c r="F262" s="108" t="s">
        <v>2334</v>
      </c>
      <c r="G262" s="120" t="s">
        <v>2339</v>
      </c>
      <c r="H262" s="131"/>
    </row>
    <row r="263" ht="15.75" customHeight="1">
      <c r="A263" s="106">
        <v>43906.0</v>
      </c>
      <c r="B263" s="130" t="s">
        <v>2789</v>
      </c>
      <c r="C263" s="108" t="s">
        <v>2893</v>
      </c>
      <c r="D263" s="108" t="s">
        <v>2894</v>
      </c>
      <c r="E263" s="109">
        <v>3.33134448E9</v>
      </c>
      <c r="F263" s="108" t="s">
        <v>1661</v>
      </c>
      <c r="G263" s="120" t="s">
        <v>2788</v>
      </c>
      <c r="H263" s="131"/>
    </row>
    <row r="264" ht="15.75" customHeight="1">
      <c r="A264" s="106">
        <v>43906.0</v>
      </c>
      <c r="B264" s="130" t="s">
        <v>2789</v>
      </c>
      <c r="C264" s="108" t="s">
        <v>2895</v>
      </c>
      <c r="D264" s="108" t="s">
        <v>2896</v>
      </c>
      <c r="E264" s="109">
        <v>3.218248212E9</v>
      </c>
      <c r="F264" s="108" t="s">
        <v>1664</v>
      </c>
      <c r="G264" s="120" t="s">
        <v>2788</v>
      </c>
      <c r="H264" s="131"/>
    </row>
    <row r="265" ht="15.75" customHeight="1">
      <c r="A265" s="106">
        <v>43906.0</v>
      </c>
      <c r="B265" s="130" t="s">
        <v>2789</v>
      </c>
      <c r="C265" s="108" t="s">
        <v>2897</v>
      </c>
      <c r="D265" s="108" t="s">
        <v>2898</v>
      </c>
      <c r="E265" s="109">
        <v>3.013733323E9</v>
      </c>
      <c r="F265" s="108" t="s">
        <v>1661</v>
      </c>
      <c r="G265" s="120" t="s">
        <v>2788</v>
      </c>
      <c r="H265" s="131"/>
    </row>
    <row r="266" ht="15.75" customHeight="1">
      <c r="A266" s="106">
        <v>43906.0</v>
      </c>
      <c r="B266" s="130" t="s">
        <v>2789</v>
      </c>
      <c r="C266" s="108" t="s">
        <v>2899</v>
      </c>
      <c r="D266" s="108" t="s">
        <v>2900</v>
      </c>
      <c r="E266" s="109">
        <v>3.013593003E9</v>
      </c>
      <c r="F266" s="108" t="s">
        <v>1661</v>
      </c>
      <c r="G266" s="120" t="s">
        <v>2788</v>
      </c>
      <c r="H266" s="131"/>
    </row>
    <row r="267" ht="15.75" customHeight="1">
      <c r="A267" s="106">
        <v>43906.0</v>
      </c>
      <c r="B267" s="130" t="s">
        <v>2789</v>
      </c>
      <c r="C267" s="108" t="s">
        <v>2901</v>
      </c>
      <c r="D267" s="108" t="s">
        <v>2902</v>
      </c>
      <c r="E267" s="109">
        <v>3.002316829E9</v>
      </c>
      <c r="F267" s="108" t="s">
        <v>1664</v>
      </c>
      <c r="G267" s="120" t="s">
        <v>2788</v>
      </c>
      <c r="H267" s="131"/>
    </row>
    <row r="268" ht="15.75" customHeight="1">
      <c r="A268" s="106">
        <v>43906.0</v>
      </c>
      <c r="B268" s="130" t="s">
        <v>2789</v>
      </c>
      <c r="C268" s="108" t="s">
        <v>2903</v>
      </c>
      <c r="D268" s="108" t="s">
        <v>2904</v>
      </c>
      <c r="E268" s="109">
        <f>+923005191291</f>
        <v>923005191291</v>
      </c>
      <c r="F268" s="108" t="s">
        <v>1661</v>
      </c>
      <c r="G268" s="110" t="s">
        <v>2905</v>
      </c>
      <c r="H268" s="131"/>
    </row>
    <row r="269" ht="15.75" customHeight="1">
      <c r="A269" s="106">
        <v>43906.0</v>
      </c>
      <c r="B269" s="130" t="s">
        <v>2789</v>
      </c>
      <c r="C269" s="108" t="s">
        <v>2906</v>
      </c>
      <c r="D269" s="108" t="s">
        <v>2907</v>
      </c>
      <c r="E269" s="109">
        <v>3.369809073E9</v>
      </c>
      <c r="F269" s="108" t="s">
        <v>1661</v>
      </c>
      <c r="G269" s="110" t="s">
        <v>2905</v>
      </c>
      <c r="H269" s="131"/>
    </row>
    <row r="270" ht="15.75" customHeight="1">
      <c r="A270" s="106">
        <v>43906.0</v>
      </c>
      <c r="B270" s="130" t="s">
        <v>2789</v>
      </c>
      <c r="C270" s="108" t="s">
        <v>2908</v>
      </c>
      <c r="D270" s="108" t="s">
        <v>2909</v>
      </c>
      <c r="E270" s="109" t="s">
        <v>2910</v>
      </c>
      <c r="F270" s="108" t="s">
        <v>1664</v>
      </c>
      <c r="G270" s="110" t="s">
        <v>2905</v>
      </c>
      <c r="H270" s="131"/>
    </row>
    <row r="271" ht="15.75" customHeight="1">
      <c r="A271" s="106">
        <v>43906.0</v>
      </c>
      <c r="B271" s="130" t="s">
        <v>2789</v>
      </c>
      <c r="C271" s="108" t="s">
        <v>2911</v>
      </c>
      <c r="D271" s="108" t="s">
        <v>2912</v>
      </c>
      <c r="E271" s="109">
        <v>3.337363674E9</v>
      </c>
      <c r="F271" s="108" t="s">
        <v>1661</v>
      </c>
      <c r="G271" s="110" t="s">
        <v>2905</v>
      </c>
      <c r="H271" s="131"/>
    </row>
    <row r="272" ht="15.75" customHeight="1">
      <c r="A272" s="106">
        <v>43906.0</v>
      </c>
      <c r="B272" s="130" t="s">
        <v>2789</v>
      </c>
      <c r="C272" s="108" t="s">
        <v>2913</v>
      </c>
      <c r="D272" s="108" t="s">
        <v>2914</v>
      </c>
      <c r="E272" s="109">
        <v>3.119302179E9</v>
      </c>
      <c r="F272" s="108" t="s">
        <v>742</v>
      </c>
      <c r="G272" s="110" t="s">
        <v>2905</v>
      </c>
      <c r="H272" s="131"/>
    </row>
    <row r="273" ht="15.75" customHeight="1">
      <c r="A273" s="106">
        <v>43906.0</v>
      </c>
      <c r="B273" s="130" t="s">
        <v>2789</v>
      </c>
      <c r="C273" s="108" t="s">
        <v>2915</v>
      </c>
      <c r="D273" s="108" t="s">
        <v>2916</v>
      </c>
      <c r="E273" s="109">
        <v>3.004165995E9</v>
      </c>
      <c r="F273" s="108" t="s">
        <v>1661</v>
      </c>
      <c r="G273" s="120" t="s">
        <v>2781</v>
      </c>
      <c r="H273" s="131"/>
    </row>
    <row r="274" ht="15.75" customHeight="1">
      <c r="A274" s="106">
        <v>43906.0</v>
      </c>
      <c r="B274" s="130" t="s">
        <v>2789</v>
      </c>
      <c r="C274" s="108" t="s">
        <v>2917</v>
      </c>
      <c r="D274" s="108" t="s">
        <v>2918</v>
      </c>
      <c r="E274" s="109">
        <v>3.311487878E9</v>
      </c>
      <c r="F274" s="108" t="s">
        <v>742</v>
      </c>
      <c r="G274" s="120" t="s">
        <v>2781</v>
      </c>
      <c r="H274" s="131"/>
    </row>
    <row r="275" ht="15.75" customHeight="1">
      <c r="A275" s="106">
        <v>43906.0</v>
      </c>
      <c r="B275" s="130" t="s">
        <v>2789</v>
      </c>
      <c r="C275" s="108" t="s">
        <v>2919</v>
      </c>
      <c r="D275" s="108" t="s">
        <v>2920</v>
      </c>
      <c r="E275" s="109">
        <v>3.072722279E9</v>
      </c>
      <c r="F275" s="108" t="s">
        <v>1661</v>
      </c>
      <c r="G275" s="120" t="s">
        <v>2781</v>
      </c>
      <c r="H275" s="131"/>
    </row>
    <row r="276" ht="15.75" customHeight="1">
      <c r="A276" s="106">
        <v>43906.0</v>
      </c>
      <c r="B276" s="130" t="s">
        <v>2789</v>
      </c>
      <c r="C276" s="108" t="s">
        <v>2921</v>
      </c>
      <c r="D276" s="108" t="s">
        <v>2922</v>
      </c>
      <c r="E276" s="109">
        <v>3.009281597E9</v>
      </c>
      <c r="F276" s="108" t="s">
        <v>1661</v>
      </c>
      <c r="G276" s="120" t="s">
        <v>2781</v>
      </c>
      <c r="H276" s="131"/>
    </row>
    <row r="277" ht="15.75" customHeight="1">
      <c r="A277" s="106">
        <v>43906.0</v>
      </c>
      <c r="B277" s="130" t="s">
        <v>2789</v>
      </c>
      <c r="C277" s="108" t="s">
        <v>2923</v>
      </c>
      <c r="D277" s="108" t="s">
        <v>2924</v>
      </c>
      <c r="E277" s="109">
        <v>3.339227176E9</v>
      </c>
      <c r="F277" s="108" t="s">
        <v>2334</v>
      </c>
      <c r="G277" s="120" t="s">
        <v>2781</v>
      </c>
      <c r="H277" s="131"/>
    </row>
    <row r="278" ht="15.75" customHeight="1">
      <c r="A278" s="106">
        <v>43906.0</v>
      </c>
      <c r="B278" s="130" t="s">
        <v>2789</v>
      </c>
      <c r="C278" s="108" t="s">
        <v>2925</v>
      </c>
      <c r="D278" s="108" t="s">
        <v>2926</v>
      </c>
      <c r="E278" s="109">
        <f>+923215787773</f>
        <v>923215787773</v>
      </c>
      <c r="F278" s="108" t="s">
        <v>1661</v>
      </c>
      <c r="G278" s="120" t="s">
        <v>2339</v>
      </c>
      <c r="H278" s="131"/>
    </row>
    <row r="279" ht="15.75" customHeight="1">
      <c r="A279" s="132"/>
      <c r="B279" s="132"/>
      <c r="C279" s="132"/>
      <c r="D279" s="133"/>
      <c r="E279" s="95"/>
      <c r="F279" s="133"/>
      <c r="G279" s="134"/>
      <c r="H279" s="131"/>
    </row>
    <row r="280" ht="15.75" customHeight="1">
      <c r="A280" s="132"/>
      <c r="B280" s="132"/>
      <c r="C280" s="132"/>
      <c r="D280" s="133"/>
      <c r="E280" s="95"/>
      <c r="F280" s="133"/>
      <c r="G280" s="134"/>
      <c r="H280" s="131"/>
    </row>
    <row r="281" ht="15.75" customHeight="1">
      <c r="A281" s="132"/>
      <c r="B281" s="132"/>
      <c r="C281" s="132"/>
      <c r="D281" s="133"/>
      <c r="E281" s="95"/>
      <c r="F281" s="133"/>
      <c r="G281" s="134"/>
      <c r="H281" s="131"/>
    </row>
    <row r="282" ht="15.75" customHeight="1">
      <c r="A282" s="132"/>
      <c r="B282" s="132"/>
      <c r="C282" s="132"/>
      <c r="D282" s="133"/>
      <c r="E282" s="95"/>
      <c r="F282" s="133"/>
      <c r="G282" s="134"/>
      <c r="H282" s="131"/>
    </row>
    <row r="283" ht="15.75" customHeight="1">
      <c r="A283" s="132"/>
      <c r="B283" s="132"/>
      <c r="C283" s="132"/>
      <c r="D283" s="133"/>
      <c r="E283" s="95"/>
      <c r="F283" s="133"/>
      <c r="G283" s="134"/>
      <c r="H283" s="131"/>
    </row>
    <row r="284" ht="15.75" customHeight="1">
      <c r="A284" s="132"/>
      <c r="B284" s="132"/>
      <c r="C284" s="132"/>
      <c r="D284" s="133"/>
      <c r="E284" s="95"/>
      <c r="F284" s="133"/>
      <c r="G284" s="134"/>
      <c r="H284" s="131"/>
    </row>
    <row r="285" ht="15.75" customHeight="1">
      <c r="A285" s="132"/>
      <c r="B285" s="132"/>
      <c r="C285" s="132"/>
      <c r="D285" s="133"/>
      <c r="E285" s="95"/>
      <c r="F285" s="133"/>
      <c r="G285" s="134"/>
      <c r="H285" s="131"/>
    </row>
    <row r="286" ht="15.75" customHeight="1">
      <c r="A286" s="45"/>
      <c r="B286" s="45"/>
      <c r="C286" s="45"/>
      <c r="D286" s="121"/>
      <c r="E286" s="24"/>
      <c r="F286" s="121"/>
      <c r="G286" s="118"/>
      <c r="H286" s="131"/>
    </row>
    <row r="287" ht="15.75" customHeight="1">
      <c r="A287" s="106">
        <v>43902.0</v>
      </c>
      <c r="B287" s="107" t="s">
        <v>2314</v>
      </c>
      <c r="C287" s="108" t="s">
        <v>2927</v>
      </c>
      <c r="D287" s="108" t="s">
        <v>2928</v>
      </c>
      <c r="E287" s="109">
        <v>3.343340081E10</v>
      </c>
      <c r="F287" s="108" t="s">
        <v>1664</v>
      </c>
      <c r="G287" s="110" t="s">
        <v>2339</v>
      </c>
      <c r="H287" s="114" t="s">
        <v>2346</v>
      </c>
    </row>
    <row r="288" ht="15.75" customHeight="1">
      <c r="A288" s="106">
        <v>43902.0</v>
      </c>
      <c r="B288" s="107" t="s">
        <v>2314</v>
      </c>
      <c r="C288" s="108" t="s">
        <v>2929</v>
      </c>
      <c r="D288" s="108" t="s">
        <v>2930</v>
      </c>
      <c r="E288" s="109">
        <v>3.45359782E9</v>
      </c>
      <c r="F288" s="108" t="s">
        <v>1661</v>
      </c>
      <c r="G288" s="110" t="s">
        <v>2339</v>
      </c>
      <c r="H288" s="114" t="s">
        <v>2353</v>
      </c>
    </row>
    <row r="289" ht="15.75" customHeight="1">
      <c r="A289" s="106">
        <v>43903.0</v>
      </c>
      <c r="B289" s="107" t="s">
        <v>2314</v>
      </c>
      <c r="C289" s="108" t="s">
        <v>2931</v>
      </c>
      <c r="D289" s="108" t="s">
        <v>2932</v>
      </c>
      <c r="E289" s="109">
        <v>3.333518366E9</v>
      </c>
      <c r="F289" s="108" t="s">
        <v>742</v>
      </c>
      <c r="G289" s="110" t="s">
        <v>2339</v>
      </c>
      <c r="H289" s="114" t="s">
        <v>684</v>
      </c>
    </row>
    <row r="290" ht="15.75" customHeight="1">
      <c r="A290" s="106">
        <v>43903.0</v>
      </c>
      <c r="B290" s="107" t="s">
        <v>2314</v>
      </c>
      <c r="C290" s="108" t="s">
        <v>2933</v>
      </c>
      <c r="D290" s="108" t="s">
        <v>2934</v>
      </c>
      <c r="E290" s="109">
        <f>+923139999900</f>
        <v>923139999900</v>
      </c>
      <c r="F290" s="108" t="s">
        <v>742</v>
      </c>
      <c r="G290" s="110" t="s">
        <v>2339</v>
      </c>
      <c r="H290" s="114" t="s">
        <v>2368</v>
      </c>
    </row>
    <row r="291" ht="15.75" customHeight="1">
      <c r="A291" s="106">
        <v>43903.0</v>
      </c>
      <c r="B291" s="107" t="s">
        <v>2314</v>
      </c>
      <c r="C291" s="108" t="s">
        <v>2935</v>
      </c>
      <c r="D291" s="108" t="s">
        <v>2936</v>
      </c>
      <c r="E291" s="109">
        <v>3.313524391E9</v>
      </c>
      <c r="F291" s="108" t="s">
        <v>742</v>
      </c>
      <c r="G291" s="110" t="s">
        <v>2339</v>
      </c>
      <c r="H291" s="114" t="s">
        <v>2368</v>
      </c>
    </row>
    <row r="292" ht="15.75" customHeight="1">
      <c r="A292" s="106">
        <v>43903.0</v>
      </c>
      <c r="B292" s="107" t="s">
        <v>2314</v>
      </c>
      <c r="C292" s="108" t="s">
        <v>2937</v>
      </c>
      <c r="D292" s="108" t="s">
        <v>2938</v>
      </c>
      <c r="E292" s="109">
        <v>9.23002024441E11</v>
      </c>
      <c r="F292" s="108" t="s">
        <v>1661</v>
      </c>
      <c r="G292" s="110" t="s">
        <v>2339</v>
      </c>
      <c r="H292" s="114" t="s">
        <v>2331</v>
      </c>
    </row>
    <row r="293" ht="15.75" customHeight="1">
      <c r="A293" s="106">
        <v>43903.0</v>
      </c>
      <c r="B293" s="130" t="s">
        <v>2789</v>
      </c>
      <c r="C293" s="45" t="s">
        <v>2939</v>
      </c>
      <c r="D293" s="121" t="s">
        <v>2940</v>
      </c>
      <c r="E293" s="119" t="s">
        <v>2941</v>
      </c>
      <c r="F293" s="121"/>
      <c r="G293" s="110" t="s">
        <v>2942</v>
      </c>
      <c r="H293" s="114" t="s">
        <v>2331</v>
      </c>
    </row>
    <row r="294" ht="15.75" customHeight="1">
      <c r="A294" s="106">
        <v>43903.0</v>
      </c>
      <c r="B294" s="107" t="s">
        <v>2789</v>
      </c>
      <c r="C294" s="45" t="s">
        <v>2943</v>
      </c>
      <c r="D294" s="121" t="s">
        <v>2944</v>
      </c>
      <c r="E294" s="119" t="s">
        <v>2945</v>
      </c>
      <c r="F294" s="121"/>
      <c r="G294" s="110" t="s">
        <v>2946</v>
      </c>
      <c r="H294" s="114" t="s">
        <v>89</v>
      </c>
    </row>
    <row r="295" ht="15.75" customHeight="1">
      <c r="A295" s="106">
        <v>43905.0</v>
      </c>
      <c r="B295" s="130" t="s">
        <v>2789</v>
      </c>
      <c r="C295" s="108" t="s">
        <v>2947</v>
      </c>
      <c r="D295" s="108" t="s">
        <v>2948</v>
      </c>
      <c r="E295" s="109">
        <v>3.335361705E9</v>
      </c>
      <c r="F295" s="108" t="s">
        <v>1664</v>
      </c>
      <c r="G295" s="127" t="s">
        <v>89</v>
      </c>
      <c r="H295" s="128" t="s">
        <v>2346</v>
      </c>
    </row>
    <row r="296" ht="15.75" customHeight="1">
      <c r="A296" s="106">
        <v>43905.0</v>
      </c>
      <c r="B296" s="130" t="s">
        <v>2789</v>
      </c>
      <c r="C296" s="108" t="s">
        <v>2949</v>
      </c>
      <c r="D296" s="108" t="s">
        <v>2950</v>
      </c>
      <c r="E296" s="109">
        <v>3.006922026E9</v>
      </c>
      <c r="F296" s="108" t="s">
        <v>742</v>
      </c>
      <c r="G296" s="127" t="s">
        <v>89</v>
      </c>
      <c r="H296" s="135" t="s">
        <v>710</v>
      </c>
    </row>
    <row r="297" ht="15.75" customHeight="1">
      <c r="A297" s="106">
        <v>43905.0</v>
      </c>
      <c r="B297" s="130" t="s">
        <v>2789</v>
      </c>
      <c r="C297" s="108" t="s">
        <v>2951</v>
      </c>
      <c r="D297" s="108" t="s">
        <v>2952</v>
      </c>
      <c r="E297" s="109">
        <f>+923121007633</f>
        <v>923121007633</v>
      </c>
      <c r="F297" s="108" t="s">
        <v>1664</v>
      </c>
      <c r="G297" s="127" t="s">
        <v>89</v>
      </c>
      <c r="H297" s="135" t="s">
        <v>710</v>
      </c>
    </row>
    <row r="298" ht="15.75" customHeight="1">
      <c r="A298" s="106">
        <v>43905.0</v>
      </c>
      <c r="B298" s="130" t="s">
        <v>2789</v>
      </c>
      <c r="C298" s="108" t="s">
        <v>2953</v>
      </c>
      <c r="D298" s="108" t="s">
        <v>2954</v>
      </c>
      <c r="E298" s="109">
        <v>9.2300822914E11</v>
      </c>
      <c r="F298" s="108" t="s">
        <v>1664</v>
      </c>
      <c r="G298" s="127" t="s">
        <v>89</v>
      </c>
      <c r="H298" s="136" t="s">
        <v>2361</v>
      </c>
    </row>
    <row r="299" ht="15.75" customHeight="1">
      <c r="A299" s="106">
        <v>43905.0</v>
      </c>
      <c r="B299" s="130" t="s">
        <v>2789</v>
      </c>
      <c r="C299" s="108" t="s">
        <v>2955</v>
      </c>
      <c r="D299" s="108" t="s">
        <v>2956</v>
      </c>
      <c r="E299" s="109">
        <v>3.33100098E9</v>
      </c>
      <c r="F299" s="108" t="s">
        <v>1661</v>
      </c>
      <c r="G299" s="127" t="s">
        <v>89</v>
      </c>
      <c r="H299" s="135" t="s">
        <v>2623</v>
      </c>
    </row>
    <row r="300" ht="15.75" customHeight="1">
      <c r="A300" s="106">
        <v>43905.0</v>
      </c>
      <c r="B300" s="130" t="s">
        <v>2789</v>
      </c>
      <c r="C300" s="108" t="s">
        <v>2957</v>
      </c>
      <c r="D300" s="108" t="s">
        <v>2958</v>
      </c>
      <c r="E300" s="109">
        <v>3.337594226E9</v>
      </c>
      <c r="F300" s="108" t="s">
        <v>1661</v>
      </c>
      <c r="G300" s="127" t="s">
        <v>2353</v>
      </c>
      <c r="H300" s="135" t="s">
        <v>2339</v>
      </c>
    </row>
    <row r="301" ht="15.75" customHeight="1">
      <c r="A301" s="106">
        <v>43906.0</v>
      </c>
      <c r="B301" s="107" t="s">
        <v>2789</v>
      </c>
      <c r="C301" s="108" t="s">
        <v>2959</v>
      </c>
      <c r="D301" s="108">
        <v>3.039295009E9</v>
      </c>
      <c r="E301" s="109" t="s">
        <v>2960</v>
      </c>
      <c r="F301" s="108" t="s">
        <v>742</v>
      </c>
      <c r="G301" s="137" t="s">
        <v>2353</v>
      </c>
      <c r="H301" s="118"/>
    </row>
    <row r="302" ht="15.75" customHeight="1">
      <c r="A302" s="106">
        <v>43906.0</v>
      </c>
      <c r="B302" s="107" t="s">
        <v>2789</v>
      </c>
      <c r="C302" s="108" t="s">
        <v>2961</v>
      </c>
      <c r="D302" s="108">
        <v>3.34207606E9</v>
      </c>
      <c r="E302" s="109" t="s">
        <v>2962</v>
      </c>
      <c r="F302" s="108" t="s">
        <v>742</v>
      </c>
      <c r="G302" s="137" t="s">
        <v>2353</v>
      </c>
      <c r="H302" s="118"/>
    </row>
    <row r="303" ht="15.75" customHeight="1">
      <c r="A303" s="106">
        <v>43906.0</v>
      </c>
      <c r="B303" s="107" t="s">
        <v>2789</v>
      </c>
      <c r="C303" s="108" t="s">
        <v>2641</v>
      </c>
      <c r="D303" s="108">
        <v>3.216955887E9</v>
      </c>
      <c r="E303" s="109" t="s">
        <v>2642</v>
      </c>
      <c r="F303" s="108" t="s">
        <v>742</v>
      </c>
      <c r="G303" s="137" t="s">
        <v>2353</v>
      </c>
      <c r="H303" s="118"/>
    </row>
    <row r="304" ht="15.75" customHeight="1">
      <c r="A304" s="106">
        <v>43906.0</v>
      </c>
      <c r="B304" s="107" t="s">
        <v>2789</v>
      </c>
      <c r="C304" s="108" t="s">
        <v>2963</v>
      </c>
      <c r="D304" s="108">
        <v>3.129688099E9</v>
      </c>
      <c r="E304" s="109" t="s">
        <v>2964</v>
      </c>
      <c r="F304" s="108" t="s">
        <v>1661</v>
      </c>
      <c r="G304" s="137" t="s">
        <v>2353</v>
      </c>
      <c r="H304" s="118"/>
    </row>
    <row r="305" ht="15.75" customHeight="1">
      <c r="A305" s="106">
        <v>43906.0</v>
      </c>
      <c r="B305" s="107" t="s">
        <v>2789</v>
      </c>
      <c r="C305" s="108" t="s">
        <v>2965</v>
      </c>
      <c r="D305" s="108">
        <v>3.21252908E9</v>
      </c>
      <c r="E305" s="109" t="s">
        <v>2966</v>
      </c>
      <c r="F305" s="108" t="s">
        <v>1664</v>
      </c>
      <c r="G305" s="137" t="s">
        <v>2368</v>
      </c>
      <c r="H305" s="118"/>
    </row>
    <row r="306" ht="15.75" customHeight="1">
      <c r="A306" s="106">
        <v>43906.0</v>
      </c>
      <c r="B306" s="107" t="s">
        <v>2789</v>
      </c>
      <c r="C306" s="108" t="s">
        <v>2967</v>
      </c>
      <c r="D306" s="108">
        <v>3.01823507E9</v>
      </c>
      <c r="E306" s="109" t="s">
        <v>2968</v>
      </c>
      <c r="F306" s="108" t="s">
        <v>1661</v>
      </c>
      <c r="G306" s="137" t="s">
        <v>2368</v>
      </c>
      <c r="H306" s="118"/>
    </row>
    <row r="307" ht="15.75" customHeight="1">
      <c r="A307" s="106">
        <v>43906.0</v>
      </c>
      <c r="B307" s="107" t="s">
        <v>2789</v>
      </c>
      <c r="C307" s="108" t="s">
        <v>2969</v>
      </c>
      <c r="D307" s="121">
        <f>+249900905089</f>
        <v>249900905089</v>
      </c>
      <c r="E307" s="109" t="s">
        <v>2970</v>
      </c>
      <c r="F307" s="108" t="s">
        <v>1661</v>
      </c>
      <c r="G307" s="137" t="s">
        <v>2368</v>
      </c>
      <c r="H307" s="118"/>
    </row>
    <row r="308" ht="15.75" customHeight="1">
      <c r="A308" s="106">
        <v>43906.0</v>
      </c>
      <c r="B308" s="107" t="s">
        <v>2789</v>
      </c>
      <c r="C308" s="108" t="s">
        <v>2971</v>
      </c>
      <c r="D308" s="108">
        <v>3.459274444E9</v>
      </c>
      <c r="E308" s="109" t="s">
        <v>2972</v>
      </c>
      <c r="F308" s="108" t="s">
        <v>1661</v>
      </c>
      <c r="G308" s="137" t="s">
        <v>2368</v>
      </c>
      <c r="H308" s="118"/>
    </row>
    <row r="309" ht="15.75" customHeight="1">
      <c r="A309" s="106">
        <v>43906.0</v>
      </c>
      <c r="B309" s="107" t="s">
        <v>2789</v>
      </c>
      <c r="C309" s="108" t="s">
        <v>2973</v>
      </c>
      <c r="D309" s="108">
        <v>3.003201511E9</v>
      </c>
      <c r="E309" s="109" t="s">
        <v>2974</v>
      </c>
      <c r="F309" s="108" t="s">
        <v>1661</v>
      </c>
      <c r="G309" s="137" t="s">
        <v>2623</v>
      </c>
      <c r="H309" s="118"/>
    </row>
    <row r="310" ht="15.75" customHeight="1">
      <c r="A310" s="106">
        <v>43906.0</v>
      </c>
      <c r="B310" s="107" t="s">
        <v>2789</v>
      </c>
      <c r="C310" s="108" t="s">
        <v>2975</v>
      </c>
      <c r="D310" s="108">
        <v>3.333873523E9</v>
      </c>
      <c r="E310" s="109" t="s">
        <v>2976</v>
      </c>
      <c r="F310" s="108" t="s">
        <v>742</v>
      </c>
      <c r="G310" s="137" t="s">
        <v>2623</v>
      </c>
      <c r="H310" s="118"/>
    </row>
    <row r="311" ht="15.75" customHeight="1">
      <c r="A311" s="106">
        <v>43906.0</v>
      </c>
      <c r="B311" s="107" t="s">
        <v>2789</v>
      </c>
      <c r="C311" s="108" t="s">
        <v>2977</v>
      </c>
      <c r="D311" s="108">
        <v>3.412382468E9</v>
      </c>
      <c r="E311" s="109" t="s">
        <v>2978</v>
      </c>
      <c r="F311" s="108" t="s">
        <v>1661</v>
      </c>
      <c r="G311" s="137" t="s">
        <v>2623</v>
      </c>
      <c r="H311" s="118"/>
    </row>
    <row r="312" ht="15.75" customHeight="1">
      <c r="A312" s="106">
        <v>43906.0</v>
      </c>
      <c r="B312" s="107" t="s">
        <v>2789</v>
      </c>
      <c r="C312" s="108" t="s">
        <v>2979</v>
      </c>
      <c r="D312" s="108">
        <v>3.009648631E9</v>
      </c>
      <c r="E312" s="109" t="s">
        <v>2980</v>
      </c>
      <c r="F312" s="108" t="s">
        <v>1661</v>
      </c>
      <c r="G312" s="137" t="s">
        <v>2623</v>
      </c>
      <c r="H312" s="118"/>
    </row>
    <row r="313" ht="15.75" customHeight="1">
      <c r="A313" s="106">
        <v>43906.0</v>
      </c>
      <c r="B313" s="107" t="s">
        <v>2789</v>
      </c>
      <c r="C313" s="108" t="s">
        <v>2981</v>
      </c>
      <c r="D313" s="108">
        <v>3.334315755E9</v>
      </c>
      <c r="E313" s="109" t="s">
        <v>2982</v>
      </c>
      <c r="F313" s="108" t="s">
        <v>1664</v>
      </c>
      <c r="G313" s="137" t="s">
        <v>684</v>
      </c>
      <c r="H313" s="118"/>
    </row>
    <row r="314" ht="15.75" customHeight="1">
      <c r="A314" s="106">
        <v>43906.0</v>
      </c>
      <c r="B314" s="107" t="s">
        <v>2789</v>
      </c>
      <c r="C314" s="108" t="s">
        <v>2983</v>
      </c>
      <c r="D314" s="108" t="s">
        <v>2984</v>
      </c>
      <c r="E314" s="109" t="s">
        <v>2985</v>
      </c>
      <c r="F314" s="108" t="s">
        <v>1664</v>
      </c>
      <c r="G314" s="137" t="s">
        <v>684</v>
      </c>
      <c r="H314" s="118"/>
    </row>
    <row r="315" ht="15.75" customHeight="1">
      <c r="A315" s="106">
        <v>43906.0</v>
      </c>
      <c r="B315" s="107" t="s">
        <v>2789</v>
      </c>
      <c r="C315" s="108" t="s">
        <v>2986</v>
      </c>
      <c r="D315" s="108">
        <v>3.337889933E9</v>
      </c>
      <c r="E315" s="109" t="s">
        <v>2987</v>
      </c>
      <c r="F315" s="108" t="s">
        <v>1661</v>
      </c>
      <c r="G315" s="137" t="s">
        <v>684</v>
      </c>
      <c r="H315" s="118"/>
    </row>
    <row r="316" ht="15.75" customHeight="1">
      <c r="A316" s="106">
        <v>43906.0</v>
      </c>
      <c r="B316" s="107" t="s">
        <v>2789</v>
      </c>
      <c r="C316" s="108" t="s">
        <v>2988</v>
      </c>
      <c r="D316" s="108">
        <v>3.00233133E9</v>
      </c>
      <c r="E316" s="109" t="s">
        <v>2989</v>
      </c>
      <c r="F316" s="108" t="s">
        <v>2334</v>
      </c>
      <c r="G316" s="137" t="s">
        <v>684</v>
      </c>
      <c r="H316" s="118"/>
    </row>
    <row r="317" ht="15.75" customHeight="1">
      <c r="A317" s="106">
        <v>43906.0</v>
      </c>
      <c r="B317" s="107" t="s">
        <v>2789</v>
      </c>
      <c r="C317" s="108" t="s">
        <v>2990</v>
      </c>
      <c r="D317" s="108">
        <v>3.009406298E9</v>
      </c>
      <c r="E317" s="109" t="s">
        <v>2991</v>
      </c>
      <c r="F317" s="108" t="s">
        <v>1661</v>
      </c>
      <c r="G317" s="137" t="s">
        <v>2339</v>
      </c>
      <c r="H317" s="118"/>
    </row>
    <row r="318" ht="15.75" customHeight="1">
      <c r="A318" s="106">
        <v>43906.0</v>
      </c>
      <c r="B318" s="107" t="s">
        <v>2789</v>
      </c>
      <c r="C318" s="108" t="s">
        <v>2992</v>
      </c>
      <c r="D318" s="108">
        <v>3.454023033E9</v>
      </c>
      <c r="E318" s="109" t="s">
        <v>2993</v>
      </c>
      <c r="F318" s="108" t="s">
        <v>1661</v>
      </c>
      <c r="G318" s="137" t="s">
        <v>2339</v>
      </c>
      <c r="H318" s="118"/>
    </row>
    <row r="319" ht="15.75" customHeight="1">
      <c r="A319" s="106">
        <v>43906.0</v>
      </c>
      <c r="B319" s="107" t="s">
        <v>2789</v>
      </c>
      <c r="C319" s="108" t="s">
        <v>2994</v>
      </c>
      <c r="D319" s="108">
        <v>3.472308909E9</v>
      </c>
      <c r="E319" s="109" t="s">
        <v>2995</v>
      </c>
      <c r="F319" s="108" t="s">
        <v>1664</v>
      </c>
      <c r="G319" s="137" t="s">
        <v>2339</v>
      </c>
      <c r="H319" s="118"/>
    </row>
    <row r="320" ht="15.75" customHeight="1">
      <c r="A320" s="106">
        <v>43906.0</v>
      </c>
      <c r="B320" s="107" t="s">
        <v>2789</v>
      </c>
      <c r="C320" s="108" t="s">
        <v>2996</v>
      </c>
      <c r="D320" s="108">
        <v>3.229484603E9</v>
      </c>
      <c r="E320" s="109" t="s">
        <v>2997</v>
      </c>
      <c r="F320" s="108" t="s">
        <v>1661</v>
      </c>
      <c r="G320" s="137" t="s">
        <v>2339</v>
      </c>
      <c r="H320" s="118"/>
    </row>
    <row r="321" ht="15.75" customHeight="1">
      <c r="A321" s="106">
        <v>43906.0</v>
      </c>
      <c r="B321" s="107" t="s">
        <v>2789</v>
      </c>
      <c r="C321" s="108" t="s">
        <v>2998</v>
      </c>
      <c r="D321" s="108">
        <v>3.008238483E9</v>
      </c>
      <c r="E321" s="109" t="s">
        <v>2999</v>
      </c>
      <c r="F321" s="108" t="s">
        <v>742</v>
      </c>
      <c r="G321" s="137" t="s">
        <v>2339</v>
      </c>
      <c r="H321" s="118"/>
    </row>
    <row r="322" ht="15.75" customHeight="1">
      <c r="A322" s="106">
        <v>43906.0</v>
      </c>
      <c r="B322" s="107" t="s">
        <v>2789</v>
      </c>
      <c r="C322" s="108" t="s">
        <v>3000</v>
      </c>
      <c r="D322" s="108">
        <v>3.129374916E9</v>
      </c>
      <c r="E322" s="109" t="s">
        <v>3001</v>
      </c>
      <c r="F322" s="108" t="s">
        <v>1661</v>
      </c>
      <c r="G322" s="137" t="s">
        <v>2346</v>
      </c>
      <c r="H322" s="118"/>
    </row>
    <row r="323" ht="15.75" customHeight="1">
      <c r="A323" s="106">
        <v>43906.0</v>
      </c>
      <c r="B323" s="107" t="s">
        <v>2789</v>
      </c>
      <c r="C323" s="108" t="s">
        <v>3002</v>
      </c>
      <c r="D323" s="138" t="s">
        <v>3003</v>
      </c>
      <c r="E323" s="109" t="s">
        <v>3004</v>
      </c>
      <c r="F323" s="108" t="s">
        <v>1661</v>
      </c>
      <c r="G323" s="137" t="s">
        <v>2346</v>
      </c>
      <c r="H323" s="118"/>
    </row>
    <row r="324" ht="15.75" customHeight="1">
      <c r="A324" s="106">
        <v>43906.0</v>
      </c>
      <c r="B324" s="107" t="s">
        <v>2789</v>
      </c>
      <c r="C324" s="108" t="s">
        <v>3005</v>
      </c>
      <c r="D324" s="108">
        <v>3.323687869E9</v>
      </c>
      <c r="E324" s="109" t="s">
        <v>3006</v>
      </c>
      <c r="F324" s="108" t="s">
        <v>742</v>
      </c>
      <c r="G324" s="137" t="s">
        <v>2346</v>
      </c>
      <c r="H324" s="118"/>
    </row>
    <row r="325" ht="15.75" customHeight="1">
      <c r="A325" s="106">
        <v>43906.0</v>
      </c>
      <c r="B325" s="107" t="s">
        <v>2789</v>
      </c>
      <c r="C325" s="108" t="s">
        <v>3007</v>
      </c>
      <c r="D325" s="108">
        <v>3.008370187E9</v>
      </c>
      <c r="E325" s="109" t="s">
        <v>3008</v>
      </c>
      <c r="F325" s="108" t="s">
        <v>742</v>
      </c>
      <c r="G325" s="137" t="s">
        <v>2346</v>
      </c>
      <c r="H325" s="118"/>
    </row>
    <row r="326" ht="15.75" customHeight="1">
      <c r="A326" s="106">
        <v>43906.0</v>
      </c>
      <c r="B326" s="107" t="s">
        <v>2789</v>
      </c>
      <c r="C326" s="108" t="s">
        <v>3009</v>
      </c>
      <c r="D326" s="108">
        <v>3.335327145E9</v>
      </c>
      <c r="E326" s="109" t="s">
        <v>3010</v>
      </c>
      <c r="F326" s="108" t="s">
        <v>1664</v>
      </c>
      <c r="G326" s="137" t="s">
        <v>2346</v>
      </c>
      <c r="H326" s="118"/>
    </row>
    <row r="327" ht="15.75" customHeight="1">
      <c r="A327" s="106">
        <v>43906.0</v>
      </c>
      <c r="B327" s="107" t="s">
        <v>2789</v>
      </c>
      <c r="C327" s="108" t="s">
        <v>3011</v>
      </c>
      <c r="D327" s="108">
        <v>3.343123787E9</v>
      </c>
      <c r="E327" s="109" t="s">
        <v>3012</v>
      </c>
      <c r="F327" s="108" t="s">
        <v>1661</v>
      </c>
      <c r="G327" s="137" t="s">
        <v>2353</v>
      </c>
      <c r="H327" s="118"/>
    </row>
    <row r="328" ht="15.75" customHeight="1">
      <c r="A328" s="106">
        <v>43906.0</v>
      </c>
      <c r="B328" s="107" t="s">
        <v>2789</v>
      </c>
      <c r="C328" s="108" t="s">
        <v>3013</v>
      </c>
      <c r="D328" s="108">
        <v>3.165207255E9</v>
      </c>
      <c r="E328" s="109" t="s">
        <v>3014</v>
      </c>
      <c r="F328" s="108" t="s">
        <v>742</v>
      </c>
      <c r="G328" s="137" t="s">
        <v>2353</v>
      </c>
      <c r="H328" s="118"/>
    </row>
    <row r="329" ht="15.75" customHeight="1">
      <c r="A329" s="106">
        <v>43906.0</v>
      </c>
      <c r="B329" s="107" t="s">
        <v>2789</v>
      </c>
      <c r="C329" s="108" t="s">
        <v>3015</v>
      </c>
      <c r="D329" s="108">
        <v>3.033333335E9</v>
      </c>
      <c r="E329" s="109" t="s">
        <v>3016</v>
      </c>
      <c r="F329" s="108" t="s">
        <v>2334</v>
      </c>
      <c r="G329" s="137" t="s">
        <v>2353</v>
      </c>
      <c r="H329" s="118"/>
    </row>
    <row r="330" ht="15.75" customHeight="1">
      <c r="A330" s="106">
        <v>43906.0</v>
      </c>
      <c r="B330" s="107" t="s">
        <v>2789</v>
      </c>
      <c r="C330" s="108" t="s">
        <v>3017</v>
      </c>
      <c r="D330" s="108">
        <v>3.091281441E9</v>
      </c>
      <c r="E330" s="109" t="s">
        <v>3018</v>
      </c>
      <c r="F330" s="108" t="s">
        <v>1664</v>
      </c>
      <c r="G330" s="137" t="s">
        <v>2353</v>
      </c>
      <c r="H330" s="118"/>
    </row>
    <row r="331" ht="15.75" customHeight="1">
      <c r="A331" s="106">
        <v>43906.0</v>
      </c>
      <c r="B331" s="107" t="s">
        <v>2789</v>
      </c>
      <c r="C331" s="108" t="s">
        <v>3019</v>
      </c>
      <c r="D331" s="108">
        <v>3.008682279E9</v>
      </c>
      <c r="E331" s="109" t="s">
        <v>3020</v>
      </c>
      <c r="F331" s="108" t="s">
        <v>742</v>
      </c>
      <c r="G331" s="137" t="s">
        <v>2353</v>
      </c>
      <c r="H331" s="118"/>
    </row>
    <row r="332" ht="15.75" customHeight="1">
      <c r="A332" s="106">
        <v>43906.0</v>
      </c>
      <c r="B332" s="107" t="s">
        <v>2789</v>
      </c>
      <c r="C332" s="108" t="s">
        <v>3021</v>
      </c>
      <c r="D332" s="108">
        <v>3.332358835E9</v>
      </c>
      <c r="E332" s="109" t="s">
        <v>3022</v>
      </c>
      <c r="F332" s="108" t="s">
        <v>1664</v>
      </c>
      <c r="G332" s="137" t="s">
        <v>684</v>
      </c>
      <c r="H332" s="118"/>
    </row>
    <row r="333" ht="15.75" customHeight="1">
      <c r="A333" s="106">
        <v>43906.0</v>
      </c>
      <c r="B333" s="107" t="s">
        <v>2789</v>
      </c>
      <c r="C333" s="108" t="s">
        <v>3023</v>
      </c>
      <c r="D333" s="108">
        <v>3.336056099E9</v>
      </c>
      <c r="E333" s="109" t="s">
        <v>3024</v>
      </c>
      <c r="F333" s="108" t="s">
        <v>742</v>
      </c>
      <c r="G333" s="137" t="s">
        <v>684</v>
      </c>
      <c r="H333" s="118"/>
    </row>
    <row r="334" ht="15.75" customHeight="1">
      <c r="A334" s="106">
        <v>43906.0</v>
      </c>
      <c r="B334" s="107" t="s">
        <v>2789</v>
      </c>
      <c r="C334" s="108" t="s">
        <v>3025</v>
      </c>
      <c r="D334" s="108">
        <v>3.475541885E9</v>
      </c>
      <c r="E334" s="109" t="s">
        <v>3026</v>
      </c>
      <c r="F334" s="108" t="s">
        <v>2334</v>
      </c>
      <c r="G334" s="137" t="s">
        <v>684</v>
      </c>
      <c r="H334" s="118"/>
    </row>
    <row r="335" ht="15.75" customHeight="1">
      <c r="A335" s="106">
        <v>43906.0</v>
      </c>
      <c r="B335" s="107" t="s">
        <v>2789</v>
      </c>
      <c r="C335" s="108" t="s">
        <v>3027</v>
      </c>
      <c r="D335" s="108">
        <v>9.23338221149E11</v>
      </c>
      <c r="E335" s="109" t="s">
        <v>3028</v>
      </c>
      <c r="F335" s="108" t="s">
        <v>1664</v>
      </c>
      <c r="G335" s="137" t="s">
        <v>684</v>
      </c>
      <c r="H335" s="118"/>
    </row>
    <row r="336" ht="15.75" customHeight="1">
      <c r="A336" s="106">
        <v>43906.0</v>
      </c>
      <c r="B336" s="107" t="s">
        <v>2789</v>
      </c>
      <c r="C336" s="108" t="s">
        <v>3029</v>
      </c>
      <c r="D336" s="108">
        <v>3.212772064E9</v>
      </c>
      <c r="E336" s="109" t="s">
        <v>3030</v>
      </c>
      <c r="F336" s="108" t="s">
        <v>1664</v>
      </c>
      <c r="G336" s="137" t="s">
        <v>684</v>
      </c>
      <c r="H336" s="118"/>
    </row>
    <row r="337" ht="15.75" customHeight="1">
      <c r="A337" s="106">
        <v>43906.0</v>
      </c>
      <c r="B337" s="107" t="s">
        <v>2789</v>
      </c>
      <c r="C337" s="108" t="s">
        <v>3031</v>
      </c>
      <c r="D337" s="108">
        <v>3.3716215E9</v>
      </c>
      <c r="E337" s="109" t="s">
        <v>3032</v>
      </c>
      <c r="F337" s="108" t="s">
        <v>1661</v>
      </c>
      <c r="G337" s="137" t="s">
        <v>2368</v>
      </c>
      <c r="H337" s="118"/>
    </row>
    <row r="338" ht="15.75" customHeight="1">
      <c r="A338" s="106">
        <v>43906.0</v>
      </c>
      <c r="B338" s="107" t="s">
        <v>2789</v>
      </c>
      <c r="C338" s="108" t="s">
        <v>3033</v>
      </c>
      <c r="D338" s="108">
        <v>3.472442897E9</v>
      </c>
      <c r="E338" s="109" t="s">
        <v>3034</v>
      </c>
      <c r="F338" s="108" t="s">
        <v>1661</v>
      </c>
      <c r="G338" s="137" t="s">
        <v>2368</v>
      </c>
      <c r="H338" s="118"/>
    </row>
    <row r="339" ht="15.75" customHeight="1">
      <c r="A339" s="106">
        <v>43906.0</v>
      </c>
      <c r="B339" s="107" t="s">
        <v>2789</v>
      </c>
      <c r="C339" s="108" t="s">
        <v>3035</v>
      </c>
      <c r="D339" s="108">
        <v>3.45720222E9</v>
      </c>
      <c r="E339" s="109" t="s">
        <v>3036</v>
      </c>
      <c r="F339" s="108" t="s">
        <v>1661</v>
      </c>
      <c r="G339" s="137" t="s">
        <v>2368</v>
      </c>
      <c r="H339" s="118"/>
    </row>
    <row r="340" ht="15.75" customHeight="1">
      <c r="A340" s="106">
        <v>43906.0</v>
      </c>
      <c r="B340" s="107" t="s">
        <v>2789</v>
      </c>
      <c r="C340" s="108" t="s">
        <v>3037</v>
      </c>
      <c r="D340" s="108">
        <v>3.227070211E9</v>
      </c>
      <c r="E340" s="109" t="s">
        <v>3038</v>
      </c>
      <c r="F340" s="108" t="s">
        <v>742</v>
      </c>
      <c r="G340" s="137" t="s">
        <v>2368</v>
      </c>
      <c r="H340" s="118"/>
    </row>
    <row r="341" ht="15.75" customHeight="1">
      <c r="A341" s="106">
        <v>43906.0</v>
      </c>
      <c r="B341" s="107" t="s">
        <v>2789</v>
      </c>
      <c r="C341" s="108" t="s">
        <v>3039</v>
      </c>
      <c r="D341" s="108">
        <v>3.337565328E9</v>
      </c>
      <c r="E341" s="109" t="s">
        <v>3040</v>
      </c>
      <c r="F341" s="108" t="s">
        <v>1664</v>
      </c>
      <c r="G341" s="137" t="s">
        <v>2368</v>
      </c>
      <c r="H341" s="118"/>
    </row>
    <row r="342" ht="15.75" customHeight="1">
      <c r="A342" s="106">
        <v>43906.0</v>
      </c>
      <c r="B342" s="107" t="s">
        <v>2789</v>
      </c>
      <c r="C342" s="108" t="s">
        <v>3041</v>
      </c>
      <c r="D342" s="108">
        <v>3.007476962E9</v>
      </c>
      <c r="E342" s="109" t="s">
        <v>3042</v>
      </c>
      <c r="F342" s="108" t="s">
        <v>742</v>
      </c>
      <c r="G342" s="137" t="s">
        <v>2623</v>
      </c>
      <c r="H342" s="118"/>
    </row>
    <row r="343" ht="15.75" customHeight="1">
      <c r="A343" s="106">
        <v>43906.0</v>
      </c>
      <c r="B343" s="107" t="s">
        <v>2789</v>
      </c>
      <c r="C343" s="108" t="s">
        <v>2499</v>
      </c>
      <c r="D343" s="108">
        <v>9.23332374996E11</v>
      </c>
      <c r="E343" s="109" t="s">
        <v>2500</v>
      </c>
      <c r="F343" s="108" t="s">
        <v>2334</v>
      </c>
      <c r="G343" s="137" t="s">
        <v>2623</v>
      </c>
      <c r="H343" s="118"/>
    </row>
    <row r="344" ht="15.75" customHeight="1">
      <c r="A344" s="106">
        <v>43906.0</v>
      </c>
      <c r="B344" s="107" t="s">
        <v>2789</v>
      </c>
      <c r="C344" s="108" t="s">
        <v>3043</v>
      </c>
      <c r="D344" s="108">
        <v>3.343520682E9</v>
      </c>
      <c r="E344" s="109" t="s">
        <v>3044</v>
      </c>
      <c r="F344" s="108" t="s">
        <v>1661</v>
      </c>
      <c r="G344" s="137" t="s">
        <v>2623</v>
      </c>
      <c r="H344" s="118"/>
    </row>
    <row r="345" ht="15.75" customHeight="1">
      <c r="A345" s="106">
        <v>43906.0</v>
      </c>
      <c r="B345" s="107" t="s">
        <v>2789</v>
      </c>
      <c r="C345" s="108" t="s">
        <v>3045</v>
      </c>
      <c r="D345" s="108">
        <v>3.11999111E9</v>
      </c>
      <c r="E345" s="109" t="s">
        <v>3046</v>
      </c>
      <c r="F345" s="108" t="s">
        <v>742</v>
      </c>
      <c r="G345" s="137" t="s">
        <v>2623</v>
      </c>
      <c r="H345" s="118"/>
    </row>
    <row r="346" ht="15.75" customHeight="1">
      <c r="A346" s="106">
        <v>43906.0</v>
      </c>
      <c r="B346" s="107" t="s">
        <v>2789</v>
      </c>
      <c r="C346" s="108" t="s">
        <v>3047</v>
      </c>
      <c r="D346" s="108" t="s">
        <v>3048</v>
      </c>
      <c r="E346" s="109" t="s">
        <v>3049</v>
      </c>
      <c r="F346" s="108" t="s">
        <v>742</v>
      </c>
      <c r="G346" s="137" t="s">
        <v>2623</v>
      </c>
      <c r="H346" s="118"/>
    </row>
    <row r="347" ht="15.75" customHeight="1">
      <c r="A347" s="106">
        <v>43909.0</v>
      </c>
      <c r="B347" s="107" t="s">
        <v>2789</v>
      </c>
      <c r="C347" s="45" t="s">
        <v>3050</v>
      </c>
      <c r="D347" s="121">
        <v>3.332371699E9</v>
      </c>
      <c r="E347" s="109" t="s">
        <v>3051</v>
      </c>
      <c r="F347" s="108" t="s">
        <v>742</v>
      </c>
      <c r="G347" s="137" t="s">
        <v>2339</v>
      </c>
      <c r="H347" s="134"/>
    </row>
    <row r="348" ht="15.75" customHeight="1">
      <c r="A348" s="106">
        <v>43909.0</v>
      </c>
      <c r="B348" s="107" t="s">
        <v>2789</v>
      </c>
      <c r="C348" s="45" t="s">
        <v>3052</v>
      </c>
      <c r="D348" s="121" t="s">
        <v>3053</v>
      </c>
      <c r="E348" s="109" t="s">
        <v>3054</v>
      </c>
      <c r="F348" s="108" t="s">
        <v>1661</v>
      </c>
      <c r="G348" s="137" t="s">
        <v>2339</v>
      </c>
      <c r="H348" s="134"/>
    </row>
    <row r="349" ht="15.75" customHeight="1">
      <c r="A349" s="106">
        <v>43909.0</v>
      </c>
      <c r="B349" s="107" t="s">
        <v>2789</v>
      </c>
      <c r="C349" s="45" t="s">
        <v>3055</v>
      </c>
      <c r="D349" s="121" t="s">
        <v>3056</v>
      </c>
      <c r="E349" s="109" t="s">
        <v>3057</v>
      </c>
      <c r="F349" s="108" t="s">
        <v>2334</v>
      </c>
      <c r="G349" s="137" t="s">
        <v>684</v>
      </c>
      <c r="H349" s="134"/>
    </row>
    <row r="350" ht="15.75" customHeight="1">
      <c r="A350" s="106">
        <v>43909.0</v>
      </c>
      <c r="B350" s="107" t="s">
        <v>2789</v>
      </c>
      <c r="C350" s="45" t="s">
        <v>3058</v>
      </c>
      <c r="D350" s="121">
        <v>3.219259898E9</v>
      </c>
      <c r="E350" s="109" t="s">
        <v>3059</v>
      </c>
      <c r="F350" s="108" t="s">
        <v>1664</v>
      </c>
      <c r="G350" s="137" t="s">
        <v>684</v>
      </c>
      <c r="H350" s="134"/>
    </row>
    <row r="351" ht="15.75" customHeight="1">
      <c r="A351" s="106">
        <v>43909.0</v>
      </c>
      <c r="B351" s="107" t="s">
        <v>2789</v>
      </c>
      <c r="C351" s="45" t="s">
        <v>3060</v>
      </c>
      <c r="D351" s="121">
        <v>3.339977368E9</v>
      </c>
      <c r="E351" s="109" t="s">
        <v>3061</v>
      </c>
      <c r="F351" s="108" t="s">
        <v>1661</v>
      </c>
      <c r="G351" s="137" t="s">
        <v>2361</v>
      </c>
      <c r="H351" s="134"/>
    </row>
    <row r="352" ht="15.75" customHeight="1">
      <c r="A352" s="106">
        <v>43909.0</v>
      </c>
      <c r="B352" s="107" t="s">
        <v>2789</v>
      </c>
      <c r="C352" s="45" t="s">
        <v>3062</v>
      </c>
      <c r="D352" s="121">
        <v>3.222047728E9</v>
      </c>
      <c r="E352" s="109" t="s">
        <v>3063</v>
      </c>
      <c r="F352" s="108" t="s">
        <v>1664</v>
      </c>
      <c r="G352" s="137" t="s">
        <v>2361</v>
      </c>
      <c r="H352" s="134"/>
    </row>
    <row r="353" ht="15.75" customHeight="1">
      <c r="A353" s="106">
        <v>43909.0</v>
      </c>
      <c r="B353" s="107" t="s">
        <v>2789</v>
      </c>
      <c r="C353" s="45" t="s">
        <v>3064</v>
      </c>
      <c r="D353" s="121">
        <f>+923003634592</f>
        <v>923003634592</v>
      </c>
      <c r="E353" s="109" t="s">
        <v>3065</v>
      </c>
      <c r="F353" s="108" t="s">
        <v>1664</v>
      </c>
      <c r="G353" s="137" t="s">
        <v>2623</v>
      </c>
      <c r="H353" s="134"/>
    </row>
    <row r="354" ht="15.75" customHeight="1">
      <c r="A354" s="106">
        <v>43909.0</v>
      </c>
      <c r="B354" s="107" t="s">
        <v>2789</v>
      </c>
      <c r="C354" s="45" t="s">
        <v>3066</v>
      </c>
      <c r="D354" s="121">
        <v>3.008248536E9</v>
      </c>
      <c r="E354" s="109" t="s">
        <v>3067</v>
      </c>
      <c r="F354" s="108" t="s">
        <v>1661</v>
      </c>
      <c r="G354" s="137" t="s">
        <v>2623</v>
      </c>
      <c r="H354" s="134"/>
    </row>
    <row r="355" ht="15.75" customHeight="1">
      <c r="A355" s="106">
        <v>43909.0</v>
      </c>
      <c r="B355" s="107" t="s">
        <v>2789</v>
      </c>
      <c r="C355" s="108" t="s">
        <v>3068</v>
      </c>
      <c r="D355" s="138" t="s">
        <v>3069</v>
      </c>
      <c r="E355" s="109" t="s">
        <v>3070</v>
      </c>
      <c r="F355" s="121"/>
      <c r="G355" s="137" t="s">
        <v>2331</v>
      </c>
      <c r="H355" s="134"/>
    </row>
    <row r="356" ht="15.75" customHeight="1">
      <c r="A356" s="106">
        <v>43910.0</v>
      </c>
      <c r="B356" s="107" t="s">
        <v>2789</v>
      </c>
      <c r="C356" s="45" t="s">
        <v>3071</v>
      </c>
      <c r="D356" s="121">
        <v>3.218217383E9</v>
      </c>
      <c r="E356" s="109" t="s">
        <v>3072</v>
      </c>
      <c r="F356" s="108" t="s">
        <v>1664</v>
      </c>
      <c r="G356" s="137" t="s">
        <v>2346</v>
      </c>
      <c r="H356" s="134"/>
    </row>
    <row r="357" ht="15.75" customHeight="1">
      <c r="A357" s="106">
        <v>43910.0</v>
      </c>
      <c r="B357" s="107" t="s">
        <v>2789</v>
      </c>
      <c r="C357" s="45" t="s">
        <v>3073</v>
      </c>
      <c r="D357" s="121">
        <v>3.343751429E9</v>
      </c>
      <c r="E357" s="109" t="s">
        <v>3074</v>
      </c>
      <c r="F357" s="108" t="s">
        <v>1661</v>
      </c>
      <c r="G357" s="137" t="s">
        <v>2331</v>
      </c>
      <c r="H357" s="134"/>
    </row>
    <row r="358" ht="15.75" customHeight="1">
      <c r="A358" s="106">
        <v>43910.0</v>
      </c>
      <c r="B358" s="107" t="s">
        <v>2789</v>
      </c>
      <c r="C358" s="45" t="s">
        <v>3075</v>
      </c>
      <c r="D358" s="121">
        <v>3.337750663E9</v>
      </c>
      <c r="E358" s="109" t="s">
        <v>3076</v>
      </c>
      <c r="F358" s="108" t="s">
        <v>1661</v>
      </c>
      <c r="G358" s="137" t="s">
        <v>2339</v>
      </c>
      <c r="H358" s="134"/>
    </row>
    <row r="359" ht="15.75" customHeight="1">
      <c r="A359" s="106">
        <v>43910.0</v>
      </c>
      <c r="B359" s="107" t="s">
        <v>2789</v>
      </c>
      <c r="C359" s="45" t="s">
        <v>3077</v>
      </c>
      <c r="D359" s="121">
        <v>3.402068006E9</v>
      </c>
      <c r="E359" s="109" t="s">
        <v>3078</v>
      </c>
      <c r="F359" s="108" t="s">
        <v>742</v>
      </c>
      <c r="G359" s="137" t="s">
        <v>684</v>
      </c>
      <c r="H359" s="134"/>
    </row>
    <row r="360" ht="15.75" customHeight="1">
      <c r="A360" s="106">
        <v>43910.0</v>
      </c>
      <c r="B360" s="107" t="s">
        <v>2789</v>
      </c>
      <c r="C360" s="45" t="s">
        <v>3079</v>
      </c>
      <c r="D360" s="121">
        <v>3.001510438E9</v>
      </c>
      <c r="E360" s="109" t="s">
        <v>3080</v>
      </c>
      <c r="F360" s="108" t="s">
        <v>742</v>
      </c>
      <c r="G360" s="137" t="s">
        <v>2623</v>
      </c>
      <c r="H360" s="134"/>
    </row>
    <row r="361" ht="15.75" customHeight="1">
      <c r="A361" s="106">
        <v>43910.0</v>
      </c>
      <c r="B361" s="107" t="s">
        <v>2789</v>
      </c>
      <c r="C361" s="45" t="s">
        <v>3081</v>
      </c>
      <c r="D361" s="121">
        <v>3.161605825E9</v>
      </c>
      <c r="E361" s="109" t="s">
        <v>3082</v>
      </c>
      <c r="F361" s="108" t="s">
        <v>1661</v>
      </c>
      <c r="G361" s="137" t="s">
        <v>2623</v>
      </c>
      <c r="H361" s="134"/>
    </row>
    <row r="362" ht="15.75" customHeight="1">
      <c r="A362" s="106">
        <v>43910.0</v>
      </c>
      <c r="B362" s="107" t="s">
        <v>2789</v>
      </c>
      <c r="C362" s="45" t="s">
        <v>3083</v>
      </c>
      <c r="D362" s="121">
        <v>3.333110926E9</v>
      </c>
      <c r="E362" s="109" t="s">
        <v>3084</v>
      </c>
      <c r="F362" s="108" t="s">
        <v>1661</v>
      </c>
      <c r="G362" s="137" t="s">
        <v>2361</v>
      </c>
      <c r="H362" s="134"/>
    </row>
    <row r="363" ht="15.75" customHeight="1">
      <c r="A363" s="106">
        <v>43911.0</v>
      </c>
      <c r="B363" s="107" t="s">
        <v>2789</v>
      </c>
      <c r="C363" s="45" t="s">
        <v>3079</v>
      </c>
      <c r="D363" s="121">
        <v>3.001510438E9</v>
      </c>
      <c r="E363" s="109" t="s">
        <v>3080</v>
      </c>
      <c r="F363" s="108" t="s">
        <v>742</v>
      </c>
      <c r="G363" s="137" t="s">
        <v>2361</v>
      </c>
      <c r="H363" s="134"/>
    </row>
    <row r="364" ht="15.75" customHeight="1">
      <c r="A364" s="106">
        <v>43911.0</v>
      </c>
      <c r="B364" s="107" t="s">
        <v>2789</v>
      </c>
      <c r="C364" s="45" t="s">
        <v>3081</v>
      </c>
      <c r="D364" s="121">
        <v>3.161605825E9</v>
      </c>
      <c r="E364" s="109" t="s">
        <v>3082</v>
      </c>
      <c r="F364" s="108" t="s">
        <v>1661</v>
      </c>
      <c r="G364" s="137" t="s">
        <v>684</v>
      </c>
      <c r="H364" s="134"/>
    </row>
    <row r="365" ht="15.75" customHeight="1">
      <c r="A365" s="106">
        <v>43911.0</v>
      </c>
      <c r="B365" s="107" t="s">
        <v>2789</v>
      </c>
      <c r="C365" s="45" t="s">
        <v>3083</v>
      </c>
      <c r="D365" s="121">
        <v>3.333110926E9</v>
      </c>
      <c r="E365" s="109" t="s">
        <v>3084</v>
      </c>
      <c r="F365" s="108" t="s">
        <v>1661</v>
      </c>
      <c r="G365" s="137" t="s">
        <v>2339</v>
      </c>
      <c r="H365" s="134"/>
    </row>
    <row r="366" ht="15.75" customHeight="1">
      <c r="A366" s="106">
        <v>43906.0</v>
      </c>
      <c r="B366" s="107" t="s">
        <v>2789</v>
      </c>
      <c r="C366" s="108" t="s">
        <v>3085</v>
      </c>
      <c r="D366" s="108" t="s">
        <v>3086</v>
      </c>
      <c r="E366" s="109" t="s">
        <v>1664</v>
      </c>
      <c r="F366" s="116" t="s">
        <v>3087</v>
      </c>
      <c r="G366" s="139"/>
      <c r="H366" s="134"/>
    </row>
    <row r="367" ht="15.75" customHeight="1">
      <c r="A367" s="106">
        <v>43906.0</v>
      </c>
      <c r="B367" s="107" t="s">
        <v>2789</v>
      </c>
      <c r="C367" s="45" t="s">
        <v>2880</v>
      </c>
      <c r="D367" s="121" t="s">
        <v>2882</v>
      </c>
      <c r="E367" s="109" t="s">
        <v>2881</v>
      </c>
      <c r="F367" s="108" t="s">
        <v>1661</v>
      </c>
      <c r="G367" s="137" t="s">
        <v>2339</v>
      </c>
      <c r="H367" s="134"/>
    </row>
    <row r="368" ht="15.75" customHeight="1">
      <c r="A368" s="106">
        <v>43906.0</v>
      </c>
      <c r="B368" s="107" t="s">
        <v>2789</v>
      </c>
      <c r="C368" s="45" t="s">
        <v>2883</v>
      </c>
      <c r="D368" s="121">
        <v>3.217555E9</v>
      </c>
      <c r="E368" s="109" t="s">
        <v>2884</v>
      </c>
      <c r="F368" s="108" t="s">
        <v>1661</v>
      </c>
      <c r="G368" s="137" t="s">
        <v>2339</v>
      </c>
      <c r="H368" s="134"/>
    </row>
    <row r="369" ht="15.75" customHeight="1">
      <c r="A369" s="106">
        <v>43906.0</v>
      </c>
      <c r="B369" s="107" t="s">
        <v>2789</v>
      </c>
      <c r="C369" s="45" t="s">
        <v>2885</v>
      </c>
      <c r="D369" s="121">
        <v>3.23567455E9</v>
      </c>
      <c r="E369" s="109" t="s">
        <v>2886</v>
      </c>
      <c r="F369" s="108" t="s">
        <v>2334</v>
      </c>
      <c r="G369" s="137" t="s">
        <v>2339</v>
      </c>
      <c r="H369" s="134"/>
    </row>
    <row r="370" ht="15.75" customHeight="1">
      <c r="A370" s="106">
        <v>43906.0</v>
      </c>
      <c r="B370" s="107" t="s">
        <v>2789</v>
      </c>
      <c r="C370" s="45" t="s">
        <v>2887</v>
      </c>
      <c r="D370" s="121">
        <v>3.118285583E9</v>
      </c>
      <c r="E370" s="109" t="s">
        <v>2888</v>
      </c>
      <c r="F370" s="108" t="s">
        <v>1661</v>
      </c>
      <c r="G370" s="137" t="s">
        <v>2339</v>
      </c>
      <c r="H370" s="134"/>
    </row>
    <row r="371" ht="15.75" customHeight="1">
      <c r="A371" s="106">
        <v>43906.0</v>
      </c>
      <c r="B371" s="107" t="s">
        <v>2789</v>
      </c>
      <c r="C371" s="45" t="s">
        <v>2889</v>
      </c>
      <c r="D371" s="121">
        <v>3.442100004E9</v>
      </c>
      <c r="E371" s="109" t="s">
        <v>2890</v>
      </c>
      <c r="F371" s="108" t="s">
        <v>2334</v>
      </c>
      <c r="G371" s="137" t="s">
        <v>2339</v>
      </c>
      <c r="H371" s="134"/>
    </row>
    <row r="372" ht="15.75" customHeight="1">
      <c r="A372" s="106">
        <v>43906.0</v>
      </c>
      <c r="B372" s="107" t="s">
        <v>2789</v>
      </c>
      <c r="C372" s="45" t="s">
        <v>2891</v>
      </c>
      <c r="D372" s="121">
        <v>3.152269485E9</v>
      </c>
      <c r="E372" s="109" t="s">
        <v>2892</v>
      </c>
      <c r="F372" s="108" t="s">
        <v>2334</v>
      </c>
      <c r="G372" s="137" t="s">
        <v>2339</v>
      </c>
      <c r="H372" s="134"/>
    </row>
    <row r="373" ht="15.75" customHeight="1">
      <c r="A373" s="106">
        <v>43906.0</v>
      </c>
      <c r="B373" s="107" t="s">
        <v>2789</v>
      </c>
      <c r="C373" s="45" t="s">
        <v>2893</v>
      </c>
      <c r="D373" s="121">
        <v>3.33134448E9</v>
      </c>
      <c r="E373" s="109" t="s">
        <v>2894</v>
      </c>
      <c r="F373" s="108" t="s">
        <v>1661</v>
      </c>
      <c r="G373" s="137" t="s">
        <v>684</v>
      </c>
      <c r="H373" s="134"/>
    </row>
    <row r="374" ht="15.75" customHeight="1">
      <c r="A374" s="106">
        <v>43906.0</v>
      </c>
      <c r="B374" s="107" t="s">
        <v>2789</v>
      </c>
      <c r="C374" s="45" t="s">
        <v>2895</v>
      </c>
      <c r="D374" s="121">
        <v>3.218248212E9</v>
      </c>
      <c r="E374" s="109" t="s">
        <v>2896</v>
      </c>
      <c r="F374" s="108" t="s">
        <v>1664</v>
      </c>
      <c r="G374" s="137" t="s">
        <v>684</v>
      </c>
      <c r="H374" s="134"/>
    </row>
    <row r="375" ht="15.75" customHeight="1">
      <c r="A375" s="106">
        <v>43906.0</v>
      </c>
      <c r="B375" s="107" t="s">
        <v>2789</v>
      </c>
      <c r="C375" s="45" t="s">
        <v>2897</v>
      </c>
      <c r="D375" s="121">
        <v>3.013733323E9</v>
      </c>
      <c r="E375" s="109" t="s">
        <v>2898</v>
      </c>
      <c r="F375" s="108" t="s">
        <v>1661</v>
      </c>
      <c r="G375" s="137" t="s">
        <v>684</v>
      </c>
      <c r="H375" s="134"/>
    </row>
    <row r="376" ht="15.75" customHeight="1">
      <c r="A376" s="106">
        <v>43906.0</v>
      </c>
      <c r="B376" s="107" t="s">
        <v>2789</v>
      </c>
      <c r="C376" s="45" t="s">
        <v>2899</v>
      </c>
      <c r="D376" s="121">
        <v>3.013593003E9</v>
      </c>
      <c r="E376" s="109" t="s">
        <v>2900</v>
      </c>
      <c r="F376" s="108" t="s">
        <v>1661</v>
      </c>
      <c r="G376" s="137" t="s">
        <v>684</v>
      </c>
      <c r="H376" s="134"/>
    </row>
    <row r="377" ht="15.75" customHeight="1">
      <c r="A377" s="106">
        <v>43906.0</v>
      </c>
      <c r="B377" s="107" t="s">
        <v>2789</v>
      </c>
      <c r="C377" s="45" t="s">
        <v>2901</v>
      </c>
      <c r="D377" s="121">
        <v>3.002316829E9</v>
      </c>
      <c r="E377" s="109" t="s">
        <v>2902</v>
      </c>
      <c r="F377" s="108" t="s">
        <v>1664</v>
      </c>
      <c r="G377" s="137" t="s">
        <v>684</v>
      </c>
      <c r="H377" s="134"/>
    </row>
    <row r="378" ht="15.75" customHeight="1">
      <c r="A378" s="106">
        <v>43906.0</v>
      </c>
      <c r="B378" s="107" t="s">
        <v>2789</v>
      </c>
      <c r="C378" s="45" t="s">
        <v>2903</v>
      </c>
      <c r="D378" s="121">
        <f>+923005191291</f>
        <v>923005191291</v>
      </c>
      <c r="E378" s="109" t="s">
        <v>2904</v>
      </c>
      <c r="F378" s="108" t="s">
        <v>1661</v>
      </c>
      <c r="G378" s="110" t="s">
        <v>3088</v>
      </c>
      <c r="H378" s="134"/>
    </row>
    <row r="379" ht="15.75" customHeight="1">
      <c r="A379" s="106">
        <v>43906.0</v>
      </c>
      <c r="B379" s="107" t="s">
        <v>2789</v>
      </c>
      <c r="C379" s="45" t="s">
        <v>2906</v>
      </c>
      <c r="D379" s="121">
        <v>3.369809073E9</v>
      </c>
      <c r="E379" s="109" t="s">
        <v>2907</v>
      </c>
      <c r="F379" s="108" t="s">
        <v>1661</v>
      </c>
      <c r="G379" s="110" t="s">
        <v>3088</v>
      </c>
      <c r="H379" s="134"/>
    </row>
    <row r="380" ht="15.75" customHeight="1">
      <c r="A380" s="106">
        <v>43906.0</v>
      </c>
      <c r="B380" s="107" t="s">
        <v>2789</v>
      </c>
      <c r="C380" s="45" t="s">
        <v>2908</v>
      </c>
      <c r="D380" s="121" t="s">
        <v>2910</v>
      </c>
      <c r="E380" s="109" t="s">
        <v>2909</v>
      </c>
      <c r="F380" s="108" t="s">
        <v>1664</v>
      </c>
      <c r="G380" s="110" t="s">
        <v>3088</v>
      </c>
      <c r="H380" s="134"/>
    </row>
    <row r="381" ht="15.75" customHeight="1">
      <c r="A381" s="106">
        <v>43906.0</v>
      </c>
      <c r="B381" s="107" t="s">
        <v>2789</v>
      </c>
      <c r="C381" s="45" t="s">
        <v>2911</v>
      </c>
      <c r="D381" s="121">
        <v>3.337363674E9</v>
      </c>
      <c r="E381" s="109" t="s">
        <v>2912</v>
      </c>
      <c r="F381" s="108" t="s">
        <v>1661</v>
      </c>
      <c r="G381" s="110" t="s">
        <v>3088</v>
      </c>
      <c r="H381" s="134"/>
    </row>
    <row r="382" ht="15.75" customHeight="1">
      <c r="A382" s="106">
        <v>43906.0</v>
      </c>
      <c r="B382" s="107" t="s">
        <v>2789</v>
      </c>
      <c r="C382" s="45" t="s">
        <v>2913</v>
      </c>
      <c r="D382" s="121">
        <v>3.119302179E9</v>
      </c>
      <c r="E382" s="109" t="s">
        <v>2914</v>
      </c>
      <c r="F382" s="108" t="s">
        <v>742</v>
      </c>
      <c r="G382" s="110" t="s">
        <v>3088</v>
      </c>
      <c r="H382" s="134"/>
    </row>
    <row r="383" ht="15.75" customHeight="1">
      <c r="A383" s="106">
        <v>43906.0</v>
      </c>
      <c r="B383" s="107" t="s">
        <v>2789</v>
      </c>
      <c r="C383" s="45" t="s">
        <v>2915</v>
      </c>
      <c r="D383" s="121">
        <v>3.004165995E9</v>
      </c>
      <c r="E383" s="109" t="s">
        <v>2916</v>
      </c>
      <c r="F383" s="108" t="s">
        <v>1661</v>
      </c>
      <c r="G383" s="137" t="s">
        <v>2353</v>
      </c>
      <c r="H383" s="134"/>
    </row>
    <row r="384" ht="15.75" customHeight="1">
      <c r="A384" s="106">
        <v>43906.0</v>
      </c>
      <c r="B384" s="107" t="s">
        <v>2789</v>
      </c>
      <c r="C384" s="45" t="s">
        <v>2917</v>
      </c>
      <c r="D384" s="121">
        <v>3.311487878E9</v>
      </c>
      <c r="E384" s="109" t="s">
        <v>2918</v>
      </c>
      <c r="F384" s="108" t="s">
        <v>742</v>
      </c>
      <c r="G384" s="137" t="s">
        <v>2353</v>
      </c>
      <c r="H384" s="134"/>
    </row>
    <row r="385" ht="15.75" customHeight="1">
      <c r="A385" s="106">
        <v>43906.0</v>
      </c>
      <c r="B385" s="107" t="s">
        <v>2789</v>
      </c>
      <c r="C385" s="45" t="s">
        <v>2919</v>
      </c>
      <c r="D385" s="121">
        <v>3.072722279E9</v>
      </c>
      <c r="E385" s="109" t="s">
        <v>2920</v>
      </c>
      <c r="F385" s="108" t="s">
        <v>1661</v>
      </c>
      <c r="G385" s="137" t="s">
        <v>2353</v>
      </c>
      <c r="H385" s="134"/>
    </row>
    <row r="386" ht="15.75" customHeight="1">
      <c r="A386" s="106">
        <v>43906.0</v>
      </c>
      <c r="B386" s="107" t="s">
        <v>2789</v>
      </c>
      <c r="C386" s="45" t="s">
        <v>2921</v>
      </c>
      <c r="D386" s="121">
        <v>3.009281597E9</v>
      </c>
      <c r="E386" s="109" t="s">
        <v>2922</v>
      </c>
      <c r="F386" s="108" t="s">
        <v>1661</v>
      </c>
      <c r="G386" s="137" t="s">
        <v>2353</v>
      </c>
      <c r="H386" s="134"/>
    </row>
    <row r="387" ht="15.75" customHeight="1">
      <c r="A387" s="106">
        <v>43906.0</v>
      </c>
      <c r="B387" s="107" t="s">
        <v>2789</v>
      </c>
      <c r="C387" s="45" t="s">
        <v>2923</v>
      </c>
      <c r="D387" s="121">
        <v>3.339227176E9</v>
      </c>
      <c r="E387" s="109" t="s">
        <v>2924</v>
      </c>
      <c r="F387" s="108" t="s">
        <v>2334</v>
      </c>
      <c r="G387" s="137" t="s">
        <v>2353</v>
      </c>
      <c r="H387" s="134"/>
    </row>
    <row r="388" ht="15.75" customHeight="1">
      <c r="A388" s="106">
        <v>43906.0</v>
      </c>
      <c r="B388" s="107" t="s">
        <v>2789</v>
      </c>
      <c r="C388" s="45" t="s">
        <v>2925</v>
      </c>
      <c r="D388" s="121">
        <f>+923215787773</f>
        <v>923215787773</v>
      </c>
      <c r="E388" s="109" t="s">
        <v>2926</v>
      </c>
      <c r="F388" s="108" t="s">
        <v>1661</v>
      </c>
      <c r="G388" s="137" t="s">
        <v>2339</v>
      </c>
      <c r="H388" s="134"/>
    </row>
    <row r="389" ht="15.75" customHeight="1">
      <c r="A389" s="106">
        <v>43906.0</v>
      </c>
      <c r="B389" s="107" t="s">
        <v>2789</v>
      </c>
      <c r="C389" s="140" t="s">
        <v>3089</v>
      </c>
      <c r="D389" s="121">
        <v>3.181222357E9</v>
      </c>
      <c r="E389" s="109" t="s">
        <v>3090</v>
      </c>
      <c r="F389" s="108" t="s">
        <v>742</v>
      </c>
      <c r="G389" s="137" t="s">
        <v>2623</v>
      </c>
      <c r="H389" s="134"/>
    </row>
    <row r="390" ht="15.75" customHeight="1">
      <c r="A390" s="106">
        <v>43906.0</v>
      </c>
      <c r="B390" s="107" t="s">
        <v>2789</v>
      </c>
      <c r="C390" s="45" t="s">
        <v>2878</v>
      </c>
      <c r="D390" s="121">
        <v>3.212300333E9</v>
      </c>
      <c r="E390" s="109" t="s">
        <v>2879</v>
      </c>
      <c r="F390" s="108" t="s">
        <v>742</v>
      </c>
      <c r="G390" s="137" t="s">
        <v>2623</v>
      </c>
      <c r="H390" s="134"/>
    </row>
    <row r="391" ht="15.75" customHeight="1">
      <c r="A391" s="106">
        <v>43914.0</v>
      </c>
      <c r="B391" s="107" t="s">
        <v>2789</v>
      </c>
      <c r="C391" s="45" t="s">
        <v>3091</v>
      </c>
      <c r="D391" s="121">
        <v>9.66554325738E11</v>
      </c>
      <c r="E391" s="109" t="s">
        <v>3092</v>
      </c>
      <c r="F391" s="108" t="s">
        <v>2334</v>
      </c>
      <c r="G391" s="110" t="s">
        <v>2361</v>
      </c>
      <c r="H391" s="134"/>
    </row>
    <row r="392" ht="15.75" customHeight="1">
      <c r="A392" s="106">
        <v>43914.0</v>
      </c>
      <c r="B392" s="107" t="s">
        <v>2789</v>
      </c>
      <c r="C392" s="45" t="s">
        <v>3093</v>
      </c>
      <c r="D392" s="121">
        <v>3.339242029E9</v>
      </c>
      <c r="E392" s="109" t="s">
        <v>3094</v>
      </c>
      <c r="F392" s="108" t="s">
        <v>1664</v>
      </c>
      <c r="G392" s="110" t="s">
        <v>2361</v>
      </c>
      <c r="H392" s="134"/>
    </row>
    <row r="393" ht="15.75" customHeight="1">
      <c r="A393" s="106">
        <v>43914.0</v>
      </c>
      <c r="B393" s="107" t="s">
        <v>2789</v>
      </c>
      <c r="C393" s="45" t="s">
        <v>3095</v>
      </c>
      <c r="D393" s="121">
        <v>3.333144883E9</v>
      </c>
      <c r="E393" s="109" t="s">
        <v>3096</v>
      </c>
      <c r="F393" s="108" t="s">
        <v>2334</v>
      </c>
      <c r="G393" s="110" t="s">
        <v>684</v>
      </c>
      <c r="H393" s="134"/>
    </row>
    <row r="394" ht="15.75" customHeight="1">
      <c r="A394" s="106">
        <v>43914.0</v>
      </c>
      <c r="B394" s="107" t="s">
        <v>2789</v>
      </c>
      <c r="C394" s="45" t="s">
        <v>3097</v>
      </c>
      <c r="D394" s="121">
        <v>3.412561115E9</v>
      </c>
      <c r="E394" s="109" t="s">
        <v>3098</v>
      </c>
      <c r="F394" s="108" t="s">
        <v>742</v>
      </c>
      <c r="G394" s="110" t="s">
        <v>684</v>
      </c>
      <c r="H394" s="134"/>
    </row>
    <row r="395" ht="15.75" customHeight="1">
      <c r="A395" s="106">
        <v>43914.0</v>
      </c>
      <c r="B395" s="107" t="s">
        <v>2789</v>
      </c>
      <c r="C395" s="45" t="s">
        <v>3099</v>
      </c>
      <c r="D395" s="121">
        <v>3.00341024E9</v>
      </c>
      <c r="E395" s="109" t="s">
        <v>3100</v>
      </c>
      <c r="F395" s="108" t="s">
        <v>1664</v>
      </c>
      <c r="G395" s="120" t="s">
        <v>2331</v>
      </c>
      <c r="H395" s="134"/>
    </row>
    <row r="396" ht="15.75" customHeight="1">
      <c r="A396" s="106">
        <v>43914.0</v>
      </c>
      <c r="B396" s="107" t="s">
        <v>2789</v>
      </c>
      <c r="C396" s="45" t="s">
        <v>3101</v>
      </c>
      <c r="D396" s="121">
        <v>3.352517638E9</v>
      </c>
      <c r="E396" s="109" t="s">
        <v>3102</v>
      </c>
      <c r="F396" s="108" t="s">
        <v>742</v>
      </c>
      <c r="G396" s="110" t="s">
        <v>684</v>
      </c>
      <c r="H396" s="134"/>
    </row>
    <row r="397" ht="15.75" customHeight="1">
      <c r="A397" s="106">
        <v>43914.0</v>
      </c>
      <c r="B397" s="107" t="s">
        <v>2789</v>
      </c>
      <c r="C397" s="45" t="s">
        <v>3103</v>
      </c>
      <c r="D397" s="121">
        <v>3.333509813E9</v>
      </c>
      <c r="E397" s="109" t="s">
        <v>3104</v>
      </c>
      <c r="F397" s="108" t="s">
        <v>2334</v>
      </c>
      <c r="G397" s="110" t="s">
        <v>684</v>
      </c>
      <c r="H397" s="134"/>
    </row>
    <row r="398" ht="15.75" customHeight="1">
      <c r="A398" s="106">
        <v>43914.0</v>
      </c>
      <c r="B398" s="107" t="s">
        <v>2789</v>
      </c>
      <c r="C398" s="45" t="s">
        <v>3105</v>
      </c>
      <c r="D398" s="121">
        <v>3.10200178E9</v>
      </c>
      <c r="E398" s="109" t="s">
        <v>3106</v>
      </c>
      <c r="F398" s="108" t="s">
        <v>742</v>
      </c>
      <c r="G398" s="110" t="s">
        <v>684</v>
      </c>
      <c r="H398" s="134"/>
    </row>
    <row r="399" ht="15.75" customHeight="1">
      <c r="A399" s="106">
        <v>43914.0</v>
      </c>
      <c r="B399" s="107" t="s">
        <v>2789</v>
      </c>
      <c r="C399" s="45" t="s">
        <v>3107</v>
      </c>
      <c r="D399" s="121">
        <f>+92-321-8793654</f>
        <v>-8793883</v>
      </c>
      <c r="E399" s="109" t="s">
        <v>3108</v>
      </c>
      <c r="F399" s="108" t="s">
        <v>742</v>
      </c>
      <c r="G399" s="110" t="s">
        <v>2361</v>
      </c>
      <c r="H399" s="134"/>
    </row>
    <row r="400" ht="15.75" customHeight="1">
      <c r="A400" s="106">
        <v>43918.0</v>
      </c>
      <c r="B400" s="107" t="s">
        <v>2789</v>
      </c>
      <c r="C400" s="45" t="s">
        <v>3109</v>
      </c>
      <c r="D400" s="121" t="s">
        <v>3110</v>
      </c>
      <c r="E400" s="109" t="s">
        <v>3111</v>
      </c>
      <c r="F400" s="108" t="s">
        <v>1664</v>
      </c>
      <c r="G400" s="110" t="s">
        <v>2361</v>
      </c>
      <c r="H400" s="134"/>
    </row>
    <row r="401" ht="15.75" customHeight="1">
      <c r="A401" s="106">
        <v>43918.0</v>
      </c>
      <c r="B401" s="107" t="s">
        <v>2789</v>
      </c>
      <c r="C401" s="45" t="s">
        <v>3112</v>
      </c>
      <c r="D401" s="121">
        <v>9.23328254939E11</v>
      </c>
      <c r="E401" s="109" t="s">
        <v>3113</v>
      </c>
      <c r="F401" s="108" t="s">
        <v>1664</v>
      </c>
      <c r="G401" s="110" t="s">
        <v>684</v>
      </c>
      <c r="H401" s="134"/>
    </row>
    <row r="402" ht="15.75" customHeight="1">
      <c r="A402" s="106">
        <v>43918.0</v>
      </c>
      <c r="B402" s="107" t="s">
        <v>2789</v>
      </c>
      <c r="C402" s="45" t="s">
        <v>3114</v>
      </c>
      <c r="D402" s="121">
        <v>3.00213007E9</v>
      </c>
      <c r="E402" s="109" t="s">
        <v>3115</v>
      </c>
      <c r="F402" s="108" t="s">
        <v>1664</v>
      </c>
      <c r="G402" s="110" t="s">
        <v>2361</v>
      </c>
      <c r="H402" s="134"/>
    </row>
    <row r="403" ht="15.75" customHeight="1">
      <c r="A403" s="106">
        <v>43918.0</v>
      </c>
      <c r="B403" s="107" t="s">
        <v>2789</v>
      </c>
      <c r="C403" s="45" t="s">
        <v>3116</v>
      </c>
      <c r="D403" s="121">
        <v>3.332318148E9</v>
      </c>
      <c r="E403" s="109" t="s">
        <v>3117</v>
      </c>
      <c r="F403" s="108" t="s">
        <v>1661</v>
      </c>
      <c r="G403" s="110" t="s">
        <v>684</v>
      </c>
      <c r="H403" s="134"/>
    </row>
    <row r="404" ht="15.75" customHeight="1">
      <c r="A404" s="106">
        <v>43918.0</v>
      </c>
      <c r="B404" s="107" t="s">
        <v>2789</v>
      </c>
      <c r="C404" s="45" t="s">
        <v>3118</v>
      </c>
      <c r="D404" s="121">
        <v>3.102612761E9</v>
      </c>
      <c r="E404" s="109" t="s">
        <v>3119</v>
      </c>
      <c r="F404" s="108" t="s">
        <v>742</v>
      </c>
      <c r="G404" s="110" t="s">
        <v>2361</v>
      </c>
      <c r="H404" s="134"/>
    </row>
    <row r="405" ht="15.75" customHeight="1">
      <c r="A405" s="106">
        <v>43918.0</v>
      </c>
      <c r="B405" s="107" t="s">
        <v>2789</v>
      </c>
      <c r="C405" s="45" t="s">
        <v>3120</v>
      </c>
      <c r="D405" s="121">
        <v>3.002536711E9</v>
      </c>
      <c r="E405" s="109" t="s">
        <v>3121</v>
      </c>
      <c r="F405" s="108" t="s">
        <v>1661</v>
      </c>
      <c r="G405" s="110" t="s">
        <v>684</v>
      </c>
      <c r="H405" s="134"/>
    </row>
    <row r="406" ht="15.75" customHeight="1">
      <c r="A406" s="106">
        <v>43918.0</v>
      </c>
      <c r="B406" s="107" t="s">
        <v>2789</v>
      </c>
      <c r="C406" s="45" t="s">
        <v>3122</v>
      </c>
      <c r="D406" s="121">
        <f>+923322888186</f>
        <v>923322888186</v>
      </c>
      <c r="E406" s="109" t="s">
        <v>3123</v>
      </c>
      <c r="F406" s="108" t="s">
        <v>1661</v>
      </c>
      <c r="G406" s="110" t="s">
        <v>2361</v>
      </c>
      <c r="H406" s="134"/>
    </row>
    <row r="407" ht="15.75" customHeight="1">
      <c r="A407" s="106">
        <v>43918.0</v>
      </c>
      <c r="B407" s="107" t="s">
        <v>2789</v>
      </c>
      <c r="C407" s="45" t="s">
        <v>3124</v>
      </c>
      <c r="D407" s="121">
        <v>3.362334705E9</v>
      </c>
      <c r="E407" s="109" t="s">
        <v>3125</v>
      </c>
      <c r="F407" s="108" t="s">
        <v>1661</v>
      </c>
      <c r="G407" s="110" t="s">
        <v>684</v>
      </c>
      <c r="H407" s="134"/>
    </row>
    <row r="408" ht="15.75" customHeight="1">
      <c r="A408" s="106">
        <v>43918.0</v>
      </c>
      <c r="B408" s="107" t="s">
        <v>2789</v>
      </c>
      <c r="C408" s="45" t="s">
        <v>3126</v>
      </c>
      <c r="D408" s="121">
        <v>3.002309988E9</v>
      </c>
      <c r="E408" s="109" t="s">
        <v>3127</v>
      </c>
      <c r="F408" s="108" t="s">
        <v>2334</v>
      </c>
      <c r="G408" s="110" t="s">
        <v>2361</v>
      </c>
      <c r="H408" s="134"/>
    </row>
    <row r="409" ht="15.75" customHeight="1">
      <c r="A409" s="106">
        <v>43918.0</v>
      </c>
      <c r="B409" s="107" t="s">
        <v>2789</v>
      </c>
      <c r="C409" s="45" t="s">
        <v>3128</v>
      </c>
      <c r="D409" s="121">
        <v>3.002161091E9</v>
      </c>
      <c r="E409" s="109" t="s">
        <v>3129</v>
      </c>
      <c r="F409" s="108" t="s">
        <v>1661</v>
      </c>
      <c r="G409" s="110" t="s">
        <v>684</v>
      </c>
      <c r="H409" s="134"/>
    </row>
    <row r="410" ht="15.75" customHeight="1">
      <c r="A410" s="106">
        <v>43919.0</v>
      </c>
      <c r="B410" s="107" t="s">
        <v>2789</v>
      </c>
      <c r="C410" s="45" t="s">
        <v>3130</v>
      </c>
      <c r="D410" s="121">
        <v>3.21521549E9</v>
      </c>
      <c r="E410" s="109" t="s">
        <v>3131</v>
      </c>
      <c r="F410" s="108" t="s">
        <v>742</v>
      </c>
      <c r="G410" s="110" t="s">
        <v>2361</v>
      </c>
      <c r="H410" s="134"/>
    </row>
    <row r="411" ht="15.75" customHeight="1">
      <c r="A411" s="106">
        <v>43919.0</v>
      </c>
      <c r="B411" s="107" t="s">
        <v>2789</v>
      </c>
      <c r="C411" s="45" t="s">
        <v>3132</v>
      </c>
      <c r="D411" s="121" t="s">
        <v>2604</v>
      </c>
      <c r="E411" s="109" t="s">
        <v>3133</v>
      </c>
      <c r="F411" s="108" t="s">
        <v>742</v>
      </c>
      <c r="G411" s="110" t="s">
        <v>2361</v>
      </c>
      <c r="H411" s="134"/>
    </row>
    <row r="412" ht="15.75" customHeight="1">
      <c r="A412" s="106">
        <v>43919.0</v>
      </c>
      <c r="B412" s="107" t="s">
        <v>2789</v>
      </c>
      <c r="C412" s="45" t="s">
        <v>3134</v>
      </c>
      <c r="D412" s="121" t="s">
        <v>3135</v>
      </c>
      <c r="E412" s="109" t="s">
        <v>3136</v>
      </c>
      <c r="F412" s="108" t="s">
        <v>2334</v>
      </c>
      <c r="G412" s="110" t="s">
        <v>684</v>
      </c>
      <c r="H412" s="134"/>
    </row>
    <row r="413" ht="15.75" customHeight="1">
      <c r="A413" s="106">
        <v>43919.0</v>
      </c>
      <c r="B413" s="107" t="s">
        <v>2789</v>
      </c>
      <c r="C413" s="45" t="s">
        <v>3137</v>
      </c>
      <c r="D413" s="121">
        <v>0.0</v>
      </c>
      <c r="E413" s="109" t="s">
        <v>3138</v>
      </c>
      <c r="F413" s="108" t="s">
        <v>1664</v>
      </c>
      <c r="G413" s="110" t="s">
        <v>684</v>
      </c>
      <c r="H413" s="134"/>
    </row>
    <row r="414" ht="15.75" customHeight="1">
      <c r="A414" s="106">
        <v>43920.0</v>
      </c>
      <c r="B414" s="107" t="s">
        <v>2789</v>
      </c>
      <c r="C414" s="45" t="s">
        <v>3139</v>
      </c>
      <c r="D414" s="121">
        <v>9.23343579145E11</v>
      </c>
      <c r="E414" s="141" t="s">
        <v>3140</v>
      </c>
      <c r="F414" s="142" t="s">
        <v>1664</v>
      </c>
      <c r="G414" s="143" t="s">
        <v>684</v>
      </c>
      <c r="H414" s="134"/>
    </row>
    <row r="415" ht="15.75" customHeight="1">
      <c r="A415" s="106">
        <v>43920.0</v>
      </c>
      <c r="B415" s="107" t="s">
        <v>2789</v>
      </c>
      <c r="C415" s="45" t="s">
        <v>3141</v>
      </c>
      <c r="D415" s="121">
        <v>3.322718903E9</v>
      </c>
      <c r="E415" s="141" t="s">
        <v>3142</v>
      </c>
      <c r="F415" s="142" t="s">
        <v>742</v>
      </c>
      <c r="G415" s="143" t="s">
        <v>684</v>
      </c>
      <c r="H415" s="134"/>
    </row>
    <row r="416" ht="15.75" customHeight="1">
      <c r="A416" s="106">
        <v>43920.0</v>
      </c>
      <c r="B416" s="107" t="s">
        <v>2789</v>
      </c>
      <c r="C416" s="45" t="s">
        <v>3143</v>
      </c>
      <c r="D416" s="121">
        <v>3.332362134E9</v>
      </c>
      <c r="E416" s="141" t="s">
        <v>3144</v>
      </c>
      <c r="F416" s="142" t="s">
        <v>1664</v>
      </c>
      <c r="G416" s="143" t="s">
        <v>2361</v>
      </c>
      <c r="H416" s="144"/>
    </row>
    <row r="417" ht="15.75" customHeight="1">
      <c r="A417" s="106">
        <v>43920.0</v>
      </c>
      <c r="B417" s="107" t="s">
        <v>2789</v>
      </c>
      <c r="C417" s="45" t="s">
        <v>3145</v>
      </c>
      <c r="D417" s="121">
        <v>3.432442367E9</v>
      </c>
      <c r="E417" s="145" t="s">
        <v>3146</v>
      </c>
      <c r="F417" s="142" t="s">
        <v>1664</v>
      </c>
      <c r="G417" s="146" t="s">
        <v>2361</v>
      </c>
      <c r="H417" s="144"/>
    </row>
    <row r="418" ht="15.75" customHeight="1">
      <c r="A418" s="106">
        <v>43920.0</v>
      </c>
      <c r="B418" s="107" t="s">
        <v>2789</v>
      </c>
      <c r="C418" s="45" t="s">
        <v>3147</v>
      </c>
      <c r="D418" s="121">
        <v>3.018273333E9</v>
      </c>
      <c r="E418" s="145" t="s">
        <v>3148</v>
      </c>
      <c r="F418" s="142" t="s">
        <v>1664</v>
      </c>
      <c r="G418" s="146" t="s">
        <v>2361</v>
      </c>
      <c r="H418" s="144"/>
    </row>
    <row r="419" ht="15.75" customHeight="1">
      <c r="A419" s="106">
        <v>43921.0</v>
      </c>
      <c r="B419" s="107" t="s">
        <v>2789</v>
      </c>
      <c r="C419" s="108" t="s">
        <v>3149</v>
      </c>
      <c r="D419" s="108">
        <v>3.003974973E9</v>
      </c>
      <c r="E419" s="109" t="s">
        <v>3150</v>
      </c>
      <c r="F419" s="108" t="s">
        <v>2334</v>
      </c>
      <c r="G419" s="110" t="s">
        <v>2361</v>
      </c>
      <c r="H419" s="134"/>
    </row>
    <row r="420" ht="15.75" customHeight="1">
      <c r="A420" s="106">
        <v>43921.0</v>
      </c>
      <c r="B420" s="107" t="s">
        <v>2789</v>
      </c>
      <c r="C420" s="108" t="s">
        <v>3151</v>
      </c>
      <c r="D420" s="108">
        <v>3.132287529E9</v>
      </c>
      <c r="E420" s="109" t="s">
        <v>3152</v>
      </c>
      <c r="F420" s="108" t="s">
        <v>2334</v>
      </c>
      <c r="G420" s="110" t="s">
        <v>2361</v>
      </c>
      <c r="H420" s="134"/>
    </row>
    <row r="421" ht="15.75" customHeight="1">
      <c r="A421" s="106">
        <v>43921.0</v>
      </c>
      <c r="B421" s="107" t="s">
        <v>2789</v>
      </c>
      <c r="C421" s="108" t="s">
        <v>3153</v>
      </c>
      <c r="D421" s="108">
        <v>3.009209365E9</v>
      </c>
      <c r="E421" s="109" t="s">
        <v>3154</v>
      </c>
      <c r="F421" s="108" t="s">
        <v>1664</v>
      </c>
      <c r="G421" s="110" t="s">
        <v>684</v>
      </c>
      <c r="H421" s="134"/>
    </row>
    <row r="422" ht="15.75" customHeight="1">
      <c r="A422" s="106">
        <v>43921.0</v>
      </c>
      <c r="B422" s="107" t="s">
        <v>2789</v>
      </c>
      <c r="C422" s="108" t="s">
        <v>3155</v>
      </c>
      <c r="D422" s="108">
        <v>3.0021705E9</v>
      </c>
      <c r="E422" s="109" t="s">
        <v>3156</v>
      </c>
      <c r="F422" s="108" t="s">
        <v>2334</v>
      </c>
      <c r="G422" s="110" t="s">
        <v>684</v>
      </c>
      <c r="H422" s="134"/>
    </row>
    <row r="423" ht="15.75" customHeight="1">
      <c r="A423" s="106">
        <v>43921.0</v>
      </c>
      <c r="B423" s="107" t="s">
        <v>2789</v>
      </c>
      <c r="C423" s="108" t="s">
        <v>3157</v>
      </c>
      <c r="D423" s="108">
        <v>3.312186913E9</v>
      </c>
      <c r="E423" s="109" t="s">
        <v>3158</v>
      </c>
      <c r="F423" s="108" t="s">
        <v>2334</v>
      </c>
      <c r="G423" s="110" t="s">
        <v>684</v>
      </c>
      <c r="H423" s="134"/>
    </row>
    <row r="424" ht="15.75" customHeight="1">
      <c r="A424" s="106">
        <v>43922.0</v>
      </c>
      <c r="B424" s="107" t="s">
        <v>2789</v>
      </c>
      <c r="C424" s="45" t="s">
        <v>3159</v>
      </c>
      <c r="D424" s="121">
        <v>3.32829392E9</v>
      </c>
      <c r="E424" s="141" t="s">
        <v>3160</v>
      </c>
      <c r="F424" s="147" t="s">
        <v>1661</v>
      </c>
      <c r="G424" s="110" t="s">
        <v>2361</v>
      </c>
      <c r="H424" s="134"/>
    </row>
    <row r="425" ht="15.75" customHeight="1">
      <c r="A425" s="106">
        <v>43922.0</v>
      </c>
      <c r="B425" s="107" t="s">
        <v>2789</v>
      </c>
      <c r="C425" s="108" t="s">
        <v>3161</v>
      </c>
      <c r="D425" s="121">
        <v>3.340999808E9</v>
      </c>
      <c r="E425" s="148" t="s">
        <v>3162</v>
      </c>
      <c r="F425" s="149" t="s">
        <v>1664</v>
      </c>
      <c r="G425" s="110" t="s">
        <v>684</v>
      </c>
      <c r="H425" s="134"/>
    </row>
    <row r="426" ht="15.75" customHeight="1">
      <c r="A426" s="106">
        <v>43922.0</v>
      </c>
      <c r="B426" s="107" t="s">
        <v>2789</v>
      </c>
      <c r="C426" s="45" t="s">
        <v>3163</v>
      </c>
      <c r="D426" s="121">
        <v>3.333444808E9</v>
      </c>
      <c r="E426" s="148" t="s">
        <v>3164</v>
      </c>
      <c r="F426" s="149" t="s">
        <v>1661</v>
      </c>
      <c r="G426" s="110" t="s">
        <v>2361</v>
      </c>
      <c r="H426" s="134"/>
    </row>
    <row r="427" ht="15.75" customHeight="1">
      <c r="A427" s="150">
        <v>43923.0</v>
      </c>
      <c r="B427" s="107" t="s">
        <v>2789</v>
      </c>
      <c r="C427" s="151" t="s">
        <v>3165</v>
      </c>
      <c r="D427" s="151">
        <v>9.23212811921E11</v>
      </c>
      <c r="E427" s="152" t="s">
        <v>3166</v>
      </c>
      <c r="F427" s="151" t="s">
        <v>1661</v>
      </c>
      <c r="G427" s="120" t="s">
        <v>2361</v>
      </c>
      <c r="H427" s="134"/>
    </row>
    <row r="428" ht="15.75" customHeight="1">
      <c r="A428" s="150">
        <v>43923.0</v>
      </c>
      <c r="B428" s="107" t="s">
        <v>2789</v>
      </c>
      <c r="C428" s="151" t="s">
        <v>3167</v>
      </c>
      <c r="D428" s="151">
        <v>3.332139124E9</v>
      </c>
      <c r="E428" s="152" t="s">
        <v>3168</v>
      </c>
      <c r="F428" s="151" t="s">
        <v>1664</v>
      </c>
      <c r="G428" s="118" t="s">
        <v>2361</v>
      </c>
      <c r="H428" s="134"/>
    </row>
    <row r="429" ht="15.75" customHeight="1">
      <c r="A429" s="150">
        <v>43923.0</v>
      </c>
      <c r="B429" s="107" t="s">
        <v>2789</v>
      </c>
      <c r="C429" s="151" t="s">
        <v>3169</v>
      </c>
      <c r="D429" s="151">
        <v>3.10023203E8</v>
      </c>
      <c r="E429" s="152" t="s">
        <v>3170</v>
      </c>
      <c r="F429" s="151" t="s">
        <v>1661</v>
      </c>
      <c r="G429" s="118" t="s">
        <v>2361</v>
      </c>
      <c r="H429" s="134"/>
    </row>
    <row r="430" ht="15.75" customHeight="1">
      <c r="A430" s="150">
        <v>43923.0</v>
      </c>
      <c r="B430" s="107" t="s">
        <v>2789</v>
      </c>
      <c r="C430" s="151" t="s">
        <v>3171</v>
      </c>
      <c r="D430" s="151">
        <v>3.008614136E9</v>
      </c>
      <c r="E430" s="152" t="s">
        <v>3172</v>
      </c>
      <c r="F430" s="151" t="s">
        <v>1664</v>
      </c>
      <c r="G430" s="118" t="s">
        <v>2361</v>
      </c>
      <c r="H430" s="134"/>
    </row>
    <row r="431" ht="15.75" customHeight="1">
      <c r="A431" s="106">
        <v>43925.0</v>
      </c>
      <c r="B431" s="107" t="s">
        <v>2789</v>
      </c>
      <c r="C431" s="108" t="s">
        <v>3173</v>
      </c>
      <c r="D431" s="108">
        <v>3.453323135E9</v>
      </c>
      <c r="E431" s="109" t="s">
        <v>3174</v>
      </c>
      <c r="F431" s="108" t="s">
        <v>742</v>
      </c>
      <c r="G431" s="118" t="s">
        <v>2361</v>
      </c>
      <c r="H431" s="134"/>
    </row>
    <row r="432" ht="15.75" customHeight="1">
      <c r="A432" s="106">
        <v>43925.0</v>
      </c>
      <c r="B432" s="107" t="s">
        <v>2789</v>
      </c>
      <c r="C432" s="108" t="s">
        <v>3175</v>
      </c>
      <c r="D432" s="108" t="s">
        <v>3176</v>
      </c>
      <c r="E432" s="109" t="s">
        <v>3177</v>
      </c>
      <c r="F432" s="108" t="s">
        <v>1664</v>
      </c>
      <c r="G432" s="118" t="s">
        <v>2361</v>
      </c>
      <c r="H432" s="134"/>
    </row>
    <row r="433" ht="15.75" customHeight="1">
      <c r="A433" s="106">
        <v>43925.0</v>
      </c>
      <c r="B433" s="107" t="s">
        <v>2789</v>
      </c>
      <c r="C433" s="108" t="s">
        <v>3178</v>
      </c>
      <c r="D433" s="108">
        <v>3.452582556E9</v>
      </c>
      <c r="E433" s="109" t="s">
        <v>3179</v>
      </c>
      <c r="F433" s="108" t="s">
        <v>1661</v>
      </c>
      <c r="G433" s="118" t="s">
        <v>2361</v>
      </c>
      <c r="H433" s="134"/>
    </row>
    <row r="434" ht="15.75" customHeight="1">
      <c r="A434" s="106">
        <v>43925.0</v>
      </c>
      <c r="B434" s="107" t="s">
        <v>2789</v>
      </c>
      <c r="C434" s="108" t="s">
        <v>3180</v>
      </c>
      <c r="D434" s="108">
        <v>3.158234425E9</v>
      </c>
      <c r="E434" s="109" t="s">
        <v>3181</v>
      </c>
      <c r="F434" s="108" t="s">
        <v>1661</v>
      </c>
      <c r="G434" s="118" t="s">
        <v>2361</v>
      </c>
      <c r="H434" s="134"/>
    </row>
    <row r="435" ht="15.75" customHeight="1">
      <c r="A435" s="106">
        <v>43925.0</v>
      </c>
      <c r="B435" s="107" t="s">
        <v>2789</v>
      </c>
      <c r="C435" s="108" t="s">
        <v>3182</v>
      </c>
      <c r="D435" s="108">
        <v>3.032857649E9</v>
      </c>
      <c r="E435" s="109" t="s">
        <v>3183</v>
      </c>
      <c r="F435" s="108" t="s">
        <v>2334</v>
      </c>
      <c r="G435" s="118" t="s">
        <v>2361</v>
      </c>
      <c r="H435" s="134"/>
    </row>
    <row r="436" ht="15.75" customHeight="1">
      <c r="A436" s="106">
        <v>43925.0</v>
      </c>
      <c r="B436" s="107" t="s">
        <v>2789</v>
      </c>
      <c r="C436" s="108" t="s">
        <v>3184</v>
      </c>
      <c r="D436" s="108">
        <v>5.52257965E8</v>
      </c>
      <c r="E436" s="109" t="s">
        <v>3185</v>
      </c>
      <c r="F436" s="108" t="s">
        <v>1661</v>
      </c>
      <c r="G436" s="118" t="s">
        <v>2361</v>
      </c>
      <c r="H436" s="134"/>
    </row>
    <row r="437" ht="15.75" customHeight="1">
      <c r="A437" s="106">
        <v>43925.0</v>
      </c>
      <c r="B437" s="107" t="s">
        <v>2789</v>
      </c>
      <c r="C437" s="108" t="s">
        <v>3186</v>
      </c>
      <c r="D437" s="108">
        <v>3.136361801E9</v>
      </c>
      <c r="E437" s="109" t="s">
        <v>3187</v>
      </c>
      <c r="F437" s="108" t="s">
        <v>742</v>
      </c>
      <c r="G437" s="118" t="s">
        <v>2361</v>
      </c>
      <c r="H437" s="134"/>
    </row>
    <row r="438" ht="15.75" customHeight="1">
      <c r="A438" s="106">
        <v>43925.0</v>
      </c>
      <c r="B438" s="107" t="s">
        <v>2789</v>
      </c>
      <c r="C438" s="108" t="s">
        <v>3188</v>
      </c>
      <c r="D438" s="108">
        <v>3.332076843E9</v>
      </c>
      <c r="E438" s="109" t="s">
        <v>3189</v>
      </c>
      <c r="F438" s="108" t="s">
        <v>1661</v>
      </c>
      <c r="G438" s="118" t="s">
        <v>684</v>
      </c>
      <c r="H438" s="134"/>
    </row>
    <row r="439" ht="15.75" customHeight="1">
      <c r="A439" s="106">
        <v>43925.0</v>
      </c>
      <c r="B439" s="107" t="s">
        <v>2789</v>
      </c>
      <c r="C439" s="108" t="s">
        <v>3190</v>
      </c>
      <c r="D439" s="108">
        <v>3.002304704E9</v>
      </c>
      <c r="E439" s="109" t="s">
        <v>3191</v>
      </c>
      <c r="F439" s="108" t="s">
        <v>1664</v>
      </c>
      <c r="G439" s="118" t="s">
        <v>684</v>
      </c>
      <c r="H439" s="134"/>
    </row>
    <row r="440" ht="15.75" customHeight="1">
      <c r="A440" s="106">
        <v>43925.0</v>
      </c>
      <c r="B440" s="107" t="s">
        <v>2789</v>
      </c>
      <c r="C440" s="108" t="s">
        <v>3192</v>
      </c>
      <c r="D440" s="108" t="s">
        <v>3193</v>
      </c>
      <c r="E440" s="109" t="s">
        <v>3194</v>
      </c>
      <c r="F440" s="108" t="s">
        <v>1661</v>
      </c>
      <c r="G440" s="118" t="s">
        <v>684</v>
      </c>
      <c r="H440" s="134"/>
    </row>
    <row r="441" ht="15.75" customHeight="1">
      <c r="A441" s="106">
        <v>43925.0</v>
      </c>
      <c r="B441" s="107" t="s">
        <v>2789</v>
      </c>
      <c r="C441" s="108" t="s">
        <v>3195</v>
      </c>
      <c r="D441" s="108">
        <v>3.313117038E9</v>
      </c>
      <c r="E441" s="109" t="s">
        <v>3196</v>
      </c>
      <c r="F441" s="108" t="s">
        <v>1661</v>
      </c>
      <c r="G441" s="118" t="s">
        <v>684</v>
      </c>
      <c r="H441" s="134"/>
    </row>
    <row r="442" ht="15.75" customHeight="1">
      <c r="A442" s="106">
        <v>43925.0</v>
      </c>
      <c r="B442" s="107" t="s">
        <v>2789</v>
      </c>
      <c r="C442" s="108" t="s">
        <v>3197</v>
      </c>
      <c r="D442" s="108">
        <v>3.332352927E9</v>
      </c>
      <c r="E442" s="109" t="s">
        <v>3198</v>
      </c>
      <c r="F442" s="108" t="s">
        <v>2334</v>
      </c>
      <c r="G442" s="118" t="s">
        <v>684</v>
      </c>
      <c r="H442" s="134"/>
    </row>
    <row r="443" ht="15.75" customHeight="1">
      <c r="A443" s="106">
        <v>43925.0</v>
      </c>
      <c r="B443" s="107" t="s">
        <v>2789</v>
      </c>
      <c r="C443" s="108" t="s">
        <v>3199</v>
      </c>
      <c r="D443" s="108">
        <v>3.311369654E9</v>
      </c>
      <c r="E443" s="109" t="s">
        <v>3200</v>
      </c>
      <c r="F443" s="108" t="s">
        <v>1661</v>
      </c>
      <c r="G443" s="118" t="s">
        <v>684</v>
      </c>
      <c r="H443" s="134"/>
    </row>
    <row r="444" ht="15.75" customHeight="1">
      <c r="A444" s="106">
        <v>43925.0</v>
      </c>
      <c r="B444" s="107" t="s">
        <v>2789</v>
      </c>
      <c r="C444" s="108" t="s">
        <v>3201</v>
      </c>
      <c r="D444" s="108">
        <v>3.468203818E9</v>
      </c>
      <c r="E444" s="109" t="s">
        <v>3202</v>
      </c>
      <c r="F444" s="108" t="s">
        <v>2334</v>
      </c>
      <c r="G444" s="118" t="s">
        <v>684</v>
      </c>
      <c r="H444" s="134"/>
    </row>
    <row r="445" ht="15.75" customHeight="1">
      <c r="A445" s="106">
        <v>43926.0</v>
      </c>
      <c r="B445" s="107" t="s">
        <v>2789</v>
      </c>
      <c r="C445" s="108" t="s">
        <v>3203</v>
      </c>
      <c r="D445" s="108">
        <v>3.343674393E9</v>
      </c>
      <c r="E445" s="109" t="s">
        <v>3204</v>
      </c>
      <c r="F445" s="108" t="s">
        <v>742</v>
      </c>
      <c r="G445" s="118" t="s">
        <v>2361</v>
      </c>
      <c r="H445" s="134"/>
    </row>
    <row r="446" ht="15.75" customHeight="1">
      <c r="A446" s="106">
        <v>43926.0</v>
      </c>
      <c r="B446" s="107" t="s">
        <v>2789</v>
      </c>
      <c r="C446" s="108" t="s">
        <v>3205</v>
      </c>
      <c r="D446" s="108">
        <v>3.042876118E9</v>
      </c>
      <c r="E446" s="109" t="s">
        <v>3206</v>
      </c>
      <c r="F446" s="108" t="s">
        <v>742</v>
      </c>
      <c r="G446" s="118" t="s">
        <v>2361</v>
      </c>
      <c r="H446" s="134"/>
    </row>
    <row r="447" ht="15.75" customHeight="1">
      <c r="A447" s="106">
        <v>43926.0</v>
      </c>
      <c r="B447" s="107" t="s">
        <v>2789</v>
      </c>
      <c r="C447" s="108" t="s">
        <v>3207</v>
      </c>
      <c r="D447" s="108">
        <v>3.34363571E9</v>
      </c>
      <c r="E447" s="109" t="s">
        <v>3208</v>
      </c>
      <c r="F447" s="108" t="s">
        <v>742</v>
      </c>
      <c r="G447" s="118" t="s">
        <v>2361</v>
      </c>
      <c r="H447" s="134"/>
    </row>
    <row r="448" ht="15.75" customHeight="1">
      <c r="A448" s="106">
        <v>43926.0</v>
      </c>
      <c r="B448" s="107" t="s">
        <v>2789</v>
      </c>
      <c r="C448" s="108" t="s">
        <v>3209</v>
      </c>
      <c r="D448" s="108">
        <v>3.333422711E9</v>
      </c>
      <c r="E448" s="109" t="s">
        <v>3210</v>
      </c>
      <c r="F448" s="108" t="s">
        <v>1661</v>
      </c>
      <c r="G448" s="118" t="s">
        <v>2361</v>
      </c>
      <c r="H448" s="134"/>
    </row>
    <row r="449" ht="15.75" customHeight="1">
      <c r="A449" s="106">
        <v>43926.0</v>
      </c>
      <c r="B449" s="107" t="s">
        <v>2789</v>
      </c>
      <c r="C449" s="108" t="s">
        <v>3211</v>
      </c>
      <c r="D449" s="108">
        <v>3.363891138E9</v>
      </c>
      <c r="E449" s="109" t="s">
        <v>3212</v>
      </c>
      <c r="F449" s="108" t="s">
        <v>1664</v>
      </c>
      <c r="G449" s="118" t="s">
        <v>684</v>
      </c>
      <c r="H449" s="134"/>
    </row>
    <row r="450" ht="15.75" customHeight="1">
      <c r="A450" s="106">
        <v>43926.0</v>
      </c>
      <c r="B450" s="107" t="s">
        <v>2789</v>
      </c>
      <c r="C450" s="108" t="s">
        <v>3213</v>
      </c>
      <c r="D450" s="108">
        <v>3.003047477E9</v>
      </c>
      <c r="E450" s="109" t="s">
        <v>3214</v>
      </c>
      <c r="F450" s="108" t="s">
        <v>1661</v>
      </c>
      <c r="G450" s="118" t="s">
        <v>684</v>
      </c>
      <c r="H450" s="134"/>
    </row>
    <row r="451" ht="15.75" customHeight="1">
      <c r="A451" s="106">
        <v>43926.0</v>
      </c>
      <c r="B451" s="107" t="s">
        <v>2789</v>
      </c>
      <c r="C451" s="108" t="s">
        <v>3215</v>
      </c>
      <c r="D451" s="108">
        <v>3.332284119E9</v>
      </c>
      <c r="E451" s="109" t="s">
        <v>3216</v>
      </c>
      <c r="F451" s="108" t="s">
        <v>1661</v>
      </c>
      <c r="G451" s="118" t="s">
        <v>684</v>
      </c>
      <c r="H451" s="134"/>
    </row>
    <row r="452" ht="15.75" customHeight="1">
      <c r="A452" s="106">
        <v>43927.0</v>
      </c>
      <c r="B452" s="107" t="s">
        <v>2789</v>
      </c>
      <c r="C452" s="108" t="s">
        <v>3217</v>
      </c>
      <c r="D452" s="108">
        <v>3.072371994E9</v>
      </c>
      <c r="E452" s="109" t="s">
        <v>3218</v>
      </c>
      <c r="F452" s="108" t="s">
        <v>742</v>
      </c>
      <c r="G452" s="118" t="s">
        <v>684</v>
      </c>
      <c r="H452" s="134"/>
    </row>
    <row r="453" ht="15.75" customHeight="1">
      <c r="A453" s="106">
        <v>43927.0</v>
      </c>
      <c r="B453" s="107" t="s">
        <v>2789</v>
      </c>
      <c r="C453" s="108" t="s">
        <v>3219</v>
      </c>
      <c r="D453" s="108">
        <v>3.338666706E9</v>
      </c>
      <c r="E453" s="109" t="s">
        <v>3220</v>
      </c>
      <c r="F453" s="108" t="s">
        <v>1664</v>
      </c>
      <c r="G453" s="118" t="s">
        <v>684</v>
      </c>
      <c r="H453" s="134"/>
    </row>
    <row r="454" ht="15.75" customHeight="1">
      <c r="A454" s="106">
        <v>43927.0</v>
      </c>
      <c r="B454" s="107" t="s">
        <v>2789</v>
      </c>
      <c r="C454" s="108" t="s">
        <v>3221</v>
      </c>
      <c r="D454" s="108">
        <v>3.333145032E9</v>
      </c>
      <c r="E454" s="109" t="s">
        <v>3222</v>
      </c>
      <c r="F454" s="108" t="s">
        <v>2334</v>
      </c>
      <c r="G454" s="118" t="s">
        <v>2361</v>
      </c>
      <c r="H454" s="134"/>
    </row>
    <row r="455" ht="15.75" customHeight="1">
      <c r="A455" s="106">
        <v>43928.0</v>
      </c>
      <c r="B455" s="107" t="s">
        <v>2789</v>
      </c>
      <c r="C455" s="45" t="s">
        <v>3223</v>
      </c>
      <c r="D455" s="153" t="s">
        <v>3224</v>
      </c>
      <c r="E455" s="109" t="s">
        <v>3225</v>
      </c>
      <c r="F455" s="108" t="s">
        <v>2334</v>
      </c>
      <c r="G455" s="118" t="s">
        <v>684</v>
      </c>
      <c r="H455" s="134"/>
    </row>
    <row r="456" ht="15.75" customHeight="1">
      <c r="A456" s="123">
        <v>43929.0</v>
      </c>
      <c r="B456" s="154" t="s">
        <v>2789</v>
      </c>
      <c r="C456" s="125" t="s">
        <v>2602</v>
      </c>
      <c r="D456" s="125">
        <v>3.126622345E9</v>
      </c>
      <c r="E456" s="126" t="s">
        <v>2603</v>
      </c>
      <c r="F456" s="125" t="s">
        <v>1661</v>
      </c>
      <c r="G456" s="118" t="s">
        <v>2361</v>
      </c>
      <c r="H456" s="155"/>
    </row>
    <row r="457" ht="15.75" customHeight="1">
      <c r="A457" s="106">
        <v>43929.0</v>
      </c>
      <c r="B457" s="107" t="s">
        <v>2789</v>
      </c>
      <c r="C457" s="108" t="s">
        <v>3226</v>
      </c>
      <c r="D457" s="108">
        <v>3.00430753E8</v>
      </c>
      <c r="E457" s="109" t="s">
        <v>3227</v>
      </c>
      <c r="F457" s="108" t="s">
        <v>1661</v>
      </c>
      <c r="G457" s="118" t="s">
        <v>2361</v>
      </c>
      <c r="H457" s="134"/>
    </row>
    <row r="458" ht="15.75" customHeight="1">
      <c r="A458" s="106">
        <v>43929.0</v>
      </c>
      <c r="B458" s="107" t="s">
        <v>2789</v>
      </c>
      <c r="C458" s="108" t="s">
        <v>3228</v>
      </c>
      <c r="D458" s="108">
        <v>3.35022162E9</v>
      </c>
      <c r="E458" s="109" t="s">
        <v>3229</v>
      </c>
      <c r="F458" s="108" t="s">
        <v>2334</v>
      </c>
      <c r="G458" s="118" t="s">
        <v>2361</v>
      </c>
      <c r="H458" s="134"/>
    </row>
    <row r="459" ht="15.75" customHeight="1">
      <c r="A459" s="106">
        <v>43929.0</v>
      </c>
      <c r="B459" s="107" t="s">
        <v>2789</v>
      </c>
      <c r="C459" s="108" t="s">
        <v>3230</v>
      </c>
      <c r="D459" s="108">
        <v>3.222687198E9</v>
      </c>
      <c r="E459" s="109" t="s">
        <v>3231</v>
      </c>
      <c r="F459" s="108" t="s">
        <v>1661</v>
      </c>
      <c r="G459" s="118" t="s">
        <v>2361</v>
      </c>
      <c r="H459" s="134"/>
    </row>
    <row r="460" ht="15.75" customHeight="1">
      <c r="A460" s="106">
        <v>43929.0</v>
      </c>
      <c r="B460" s="107" t="s">
        <v>2789</v>
      </c>
      <c r="C460" s="108" t="s">
        <v>3232</v>
      </c>
      <c r="D460" s="108">
        <v>3.338544917E9</v>
      </c>
      <c r="E460" s="109" t="s">
        <v>3233</v>
      </c>
      <c r="F460" s="108" t="s">
        <v>1661</v>
      </c>
      <c r="G460" s="118" t="s">
        <v>2361</v>
      </c>
      <c r="H460" s="134"/>
    </row>
    <row r="461" ht="15.75" customHeight="1">
      <c r="A461" s="106">
        <v>43929.0</v>
      </c>
      <c r="B461" s="107" t="s">
        <v>2789</v>
      </c>
      <c r="C461" s="108" t="s">
        <v>3234</v>
      </c>
      <c r="D461" s="121">
        <f>+971554661270 +12819405481</f>
        <v>984374066751</v>
      </c>
      <c r="E461" s="109" t="s">
        <v>3235</v>
      </c>
      <c r="F461" s="108" t="s">
        <v>1661</v>
      </c>
      <c r="G461" s="118" t="s">
        <v>2361</v>
      </c>
      <c r="H461" s="134"/>
    </row>
    <row r="462" ht="15.75" customHeight="1">
      <c r="A462" s="106">
        <v>43929.0</v>
      </c>
      <c r="B462" s="107" t="s">
        <v>2789</v>
      </c>
      <c r="C462" s="108" t="s">
        <v>3236</v>
      </c>
      <c r="D462" s="108">
        <v>3.042473052E9</v>
      </c>
      <c r="E462" s="109" t="s">
        <v>3237</v>
      </c>
      <c r="F462" s="108" t="s">
        <v>2334</v>
      </c>
      <c r="G462" s="118" t="s">
        <v>2361</v>
      </c>
      <c r="H462" s="134"/>
    </row>
    <row r="463" ht="15.75" customHeight="1">
      <c r="A463" s="106">
        <v>43929.0</v>
      </c>
      <c r="B463" s="107" t="s">
        <v>2789</v>
      </c>
      <c r="C463" s="108" t="s">
        <v>3238</v>
      </c>
      <c r="D463" s="108">
        <v>3.312921666E9</v>
      </c>
      <c r="E463" s="109" t="s">
        <v>3239</v>
      </c>
      <c r="F463" s="108" t="s">
        <v>1661</v>
      </c>
      <c r="G463" s="118" t="s">
        <v>2361</v>
      </c>
      <c r="H463" s="134"/>
    </row>
    <row r="464" ht="15.75" customHeight="1">
      <c r="A464" s="106">
        <v>43929.0</v>
      </c>
      <c r="B464" s="107" t="s">
        <v>2789</v>
      </c>
      <c r="C464" s="108" t="s">
        <v>3240</v>
      </c>
      <c r="D464" s="108">
        <v>3.333464513E9</v>
      </c>
      <c r="E464" s="109" t="s">
        <v>3241</v>
      </c>
      <c r="F464" s="108" t="s">
        <v>2334</v>
      </c>
      <c r="G464" s="118" t="s">
        <v>2361</v>
      </c>
      <c r="H464" s="134"/>
    </row>
    <row r="465" ht="15.75" customHeight="1">
      <c r="A465" s="106">
        <v>43929.0</v>
      </c>
      <c r="B465" s="107" t="s">
        <v>2789</v>
      </c>
      <c r="C465" s="108" t="s">
        <v>3242</v>
      </c>
      <c r="D465" s="108">
        <v>3.01826266E9</v>
      </c>
      <c r="E465" s="109" t="s">
        <v>3243</v>
      </c>
      <c r="F465" s="108" t="s">
        <v>1664</v>
      </c>
      <c r="G465" s="118" t="s">
        <v>684</v>
      </c>
      <c r="H465" s="134"/>
    </row>
    <row r="466" ht="15.75" customHeight="1">
      <c r="A466" s="106">
        <v>43929.0</v>
      </c>
      <c r="B466" s="107" t="s">
        <v>2789</v>
      </c>
      <c r="C466" s="108" t="s">
        <v>3244</v>
      </c>
      <c r="D466" s="108">
        <v>3.333599792E9</v>
      </c>
      <c r="E466" s="109" t="s">
        <v>3245</v>
      </c>
      <c r="F466" s="108" t="s">
        <v>742</v>
      </c>
      <c r="G466" s="118" t="s">
        <v>684</v>
      </c>
      <c r="H466" s="134"/>
    </row>
    <row r="467" ht="15.75" customHeight="1">
      <c r="A467" s="106">
        <v>43929.0</v>
      </c>
      <c r="B467" s="107" t="s">
        <v>2789</v>
      </c>
      <c r="C467" s="108" t="s">
        <v>3246</v>
      </c>
      <c r="D467" s="108">
        <v>3.344638846E9</v>
      </c>
      <c r="E467" s="109" t="s">
        <v>3247</v>
      </c>
      <c r="F467" s="108" t="s">
        <v>1664</v>
      </c>
      <c r="G467" s="118" t="s">
        <v>684</v>
      </c>
      <c r="H467" s="134"/>
    </row>
    <row r="468" ht="15.75" customHeight="1">
      <c r="A468" s="106">
        <v>43929.0</v>
      </c>
      <c r="B468" s="107" t="s">
        <v>2789</v>
      </c>
      <c r="C468" s="108" t="s">
        <v>3248</v>
      </c>
      <c r="D468" s="108">
        <v>3.368247338E9</v>
      </c>
      <c r="E468" s="109" t="s">
        <v>3249</v>
      </c>
      <c r="F468" s="108" t="s">
        <v>1664</v>
      </c>
      <c r="G468" s="118" t="s">
        <v>684</v>
      </c>
      <c r="H468" s="134"/>
    </row>
    <row r="469" ht="15.75" customHeight="1">
      <c r="A469" s="106">
        <v>43929.0</v>
      </c>
      <c r="B469" s="107" t="s">
        <v>2789</v>
      </c>
      <c r="C469" s="108" t="s">
        <v>3250</v>
      </c>
      <c r="D469" s="108">
        <v>3.21244913E9</v>
      </c>
      <c r="E469" s="109" t="s">
        <v>3251</v>
      </c>
      <c r="F469" s="108" t="s">
        <v>1664</v>
      </c>
      <c r="G469" s="118" t="s">
        <v>684</v>
      </c>
      <c r="H469" s="134"/>
    </row>
    <row r="470" ht="15.75" customHeight="1">
      <c r="A470" s="106">
        <v>43929.0</v>
      </c>
      <c r="B470" s="107" t="s">
        <v>2789</v>
      </c>
      <c r="C470" s="108" t="s">
        <v>3223</v>
      </c>
      <c r="D470" s="108">
        <v>3.32213062E9</v>
      </c>
      <c r="E470" s="109" t="s">
        <v>3252</v>
      </c>
      <c r="F470" s="108" t="s">
        <v>1664</v>
      </c>
      <c r="G470" s="118" t="s">
        <v>684</v>
      </c>
      <c r="H470" s="134"/>
    </row>
    <row r="471" ht="15.75" customHeight="1">
      <c r="A471" s="106">
        <v>43929.0</v>
      </c>
      <c r="B471" s="107" t="s">
        <v>2789</v>
      </c>
      <c r="C471" s="108" t="s">
        <v>3253</v>
      </c>
      <c r="D471" s="121">
        <f>+923463028385</f>
        <v>923463028385</v>
      </c>
      <c r="E471" s="109" t="s">
        <v>3254</v>
      </c>
      <c r="F471" s="108" t="s">
        <v>742</v>
      </c>
      <c r="G471" s="118" t="s">
        <v>684</v>
      </c>
      <c r="H471" s="134"/>
    </row>
    <row r="472" ht="15.75" customHeight="1">
      <c r="A472" s="106">
        <v>43929.0</v>
      </c>
      <c r="B472" s="107" t="s">
        <v>2789</v>
      </c>
      <c r="C472" s="108" t="s">
        <v>3255</v>
      </c>
      <c r="D472" s="108">
        <v>3.018254909E9</v>
      </c>
      <c r="E472" s="109" t="s">
        <v>3256</v>
      </c>
      <c r="F472" s="108" t="s">
        <v>1661</v>
      </c>
      <c r="G472" s="118" t="s">
        <v>684</v>
      </c>
      <c r="H472" s="134"/>
    </row>
    <row r="473" ht="15.75" customHeight="1">
      <c r="A473" s="156">
        <v>43930.0</v>
      </c>
      <c r="B473" s="157" t="s">
        <v>2789</v>
      </c>
      <c r="C473" s="158" t="s">
        <v>3257</v>
      </c>
      <c r="D473" s="158">
        <v>9.23139260089E11</v>
      </c>
      <c r="E473" s="159" t="s">
        <v>3258</v>
      </c>
      <c r="F473" s="158" t="s">
        <v>2334</v>
      </c>
      <c r="G473" s="137" t="s">
        <v>684</v>
      </c>
      <c r="H473" s="111"/>
    </row>
    <row r="474" ht="15.75" customHeight="1">
      <c r="A474" s="156">
        <v>43930.0</v>
      </c>
      <c r="B474" s="107" t="s">
        <v>2789</v>
      </c>
      <c r="C474" s="108" t="s">
        <v>3259</v>
      </c>
      <c r="D474" s="108">
        <v>3.322232591E9</v>
      </c>
      <c r="E474" s="109" t="s">
        <v>3260</v>
      </c>
      <c r="F474" s="108" t="s">
        <v>1664</v>
      </c>
      <c r="G474" s="118" t="s">
        <v>684</v>
      </c>
      <c r="H474" s="134"/>
    </row>
    <row r="475" ht="15.75" customHeight="1">
      <c r="A475" s="156">
        <v>43930.0</v>
      </c>
      <c r="B475" s="107" t="s">
        <v>2789</v>
      </c>
      <c r="C475" s="108" t="s">
        <v>3261</v>
      </c>
      <c r="D475" s="108">
        <v>3.012177957E9</v>
      </c>
      <c r="E475" s="109" t="s">
        <v>3262</v>
      </c>
      <c r="F475" s="108" t="s">
        <v>1661</v>
      </c>
      <c r="G475" s="118" t="s">
        <v>684</v>
      </c>
      <c r="H475" s="134"/>
    </row>
    <row r="476" ht="15.75" customHeight="1">
      <c r="A476" s="156">
        <v>43930.0</v>
      </c>
      <c r="B476" s="107" t="s">
        <v>2789</v>
      </c>
      <c r="C476" s="108" t="s">
        <v>3263</v>
      </c>
      <c r="D476" s="108">
        <v>3.052145392E9</v>
      </c>
      <c r="E476" s="109" t="s">
        <v>3264</v>
      </c>
      <c r="F476" s="108" t="s">
        <v>1661</v>
      </c>
      <c r="G476" s="118" t="s">
        <v>684</v>
      </c>
      <c r="H476" s="134"/>
    </row>
    <row r="477" ht="15.75" customHeight="1">
      <c r="A477" s="156">
        <v>43930.0</v>
      </c>
      <c r="B477" s="107" t="s">
        <v>2789</v>
      </c>
      <c r="C477" s="108" t="s">
        <v>3265</v>
      </c>
      <c r="D477" s="108">
        <v>3.313284142E9</v>
      </c>
      <c r="E477" s="109" t="s">
        <v>3266</v>
      </c>
      <c r="F477" s="108" t="s">
        <v>1661</v>
      </c>
      <c r="G477" s="118" t="s">
        <v>684</v>
      </c>
      <c r="H477" s="134"/>
    </row>
    <row r="478" ht="15.75" customHeight="1">
      <c r="A478" s="156">
        <v>43930.0</v>
      </c>
      <c r="B478" s="107" t="s">
        <v>2789</v>
      </c>
      <c r="C478" s="108" t="s">
        <v>3267</v>
      </c>
      <c r="D478" s="108">
        <v>3.009294561E9</v>
      </c>
      <c r="E478" s="109" t="s">
        <v>3268</v>
      </c>
      <c r="F478" s="108" t="s">
        <v>1661</v>
      </c>
      <c r="G478" s="118" t="s">
        <v>684</v>
      </c>
      <c r="H478" s="134"/>
    </row>
    <row r="479" ht="15.75" customHeight="1">
      <c r="A479" s="156">
        <v>43930.0</v>
      </c>
      <c r="B479" s="107" t="s">
        <v>2789</v>
      </c>
      <c r="C479" s="108" t="s">
        <v>3269</v>
      </c>
      <c r="D479" s="108">
        <v>4.47865452788E11</v>
      </c>
      <c r="E479" s="109" t="s">
        <v>3270</v>
      </c>
      <c r="F479" s="108" t="s">
        <v>1661</v>
      </c>
      <c r="G479" s="118" t="s">
        <v>2361</v>
      </c>
      <c r="H479" s="134"/>
    </row>
    <row r="480" ht="15.75" customHeight="1">
      <c r="A480" s="156">
        <v>43930.0</v>
      </c>
      <c r="B480" s="107" t="s">
        <v>2789</v>
      </c>
      <c r="C480" s="108" t="s">
        <v>3271</v>
      </c>
      <c r="D480" s="108">
        <v>3.303683577E9</v>
      </c>
      <c r="E480" s="109" t="s">
        <v>3272</v>
      </c>
      <c r="F480" s="108" t="s">
        <v>2334</v>
      </c>
      <c r="G480" s="118" t="s">
        <v>2361</v>
      </c>
      <c r="H480" s="134"/>
    </row>
    <row r="481" ht="15.75" customHeight="1">
      <c r="A481" s="156">
        <v>43930.0</v>
      </c>
      <c r="B481" s="107" t="s">
        <v>2789</v>
      </c>
      <c r="C481" s="108" t="s">
        <v>3273</v>
      </c>
      <c r="D481" s="108">
        <v>3.332224379E9</v>
      </c>
      <c r="E481" s="109" t="s">
        <v>3274</v>
      </c>
      <c r="F481" s="108" t="s">
        <v>742</v>
      </c>
      <c r="G481" s="118" t="s">
        <v>2361</v>
      </c>
      <c r="H481" s="134"/>
    </row>
    <row r="482" ht="15.75" customHeight="1">
      <c r="A482" s="156">
        <v>43930.0</v>
      </c>
      <c r="B482" s="107" t="s">
        <v>2789</v>
      </c>
      <c r="C482" s="108" t="s">
        <v>3275</v>
      </c>
      <c r="D482" s="108">
        <v>3.332283688E9</v>
      </c>
      <c r="E482" s="109" t="s">
        <v>3276</v>
      </c>
      <c r="F482" s="108" t="s">
        <v>1664</v>
      </c>
      <c r="G482" s="118" t="s">
        <v>2361</v>
      </c>
      <c r="H482" s="134"/>
    </row>
    <row r="483" ht="15.75" customHeight="1">
      <c r="A483" s="156">
        <v>43930.0</v>
      </c>
      <c r="B483" s="107" t="s">
        <v>2789</v>
      </c>
      <c r="C483" s="108" t="s">
        <v>3277</v>
      </c>
      <c r="D483" s="108">
        <v>3.332104517E9</v>
      </c>
      <c r="E483" s="109" t="s">
        <v>3278</v>
      </c>
      <c r="F483" s="108" t="s">
        <v>1661</v>
      </c>
      <c r="G483" s="118" t="s">
        <v>2361</v>
      </c>
      <c r="H483" s="134"/>
    </row>
    <row r="484" ht="15.75" customHeight="1">
      <c r="A484" s="156">
        <v>43930.0</v>
      </c>
      <c r="B484" s="157" t="s">
        <v>2789</v>
      </c>
      <c r="C484" s="158" t="s">
        <v>3279</v>
      </c>
      <c r="D484" s="158">
        <v>3.351240114E9</v>
      </c>
      <c r="E484" s="159" t="s">
        <v>3280</v>
      </c>
      <c r="F484" s="158" t="s">
        <v>1661</v>
      </c>
      <c r="G484" s="137" t="s">
        <v>2361</v>
      </c>
      <c r="H484" s="111"/>
    </row>
    <row r="485" ht="15.75" customHeight="1">
      <c r="A485" s="160">
        <v>43931.0</v>
      </c>
      <c r="B485" s="161" t="s">
        <v>2789</v>
      </c>
      <c r="C485" s="162" t="s">
        <v>3281</v>
      </c>
      <c r="D485" s="162">
        <f>+923009221030</f>
        <v>923009221030</v>
      </c>
      <c r="E485" s="163" t="s">
        <v>3282</v>
      </c>
      <c r="F485" s="162" t="s">
        <v>1661</v>
      </c>
      <c r="G485" s="164" t="s">
        <v>2331</v>
      </c>
      <c r="H485" s="165"/>
    </row>
    <row r="486" ht="15.75" customHeight="1">
      <c r="A486" s="160">
        <v>43931.0</v>
      </c>
      <c r="B486" s="161" t="s">
        <v>2789</v>
      </c>
      <c r="C486" s="162" t="s">
        <v>3283</v>
      </c>
      <c r="D486" s="162">
        <v>3.002608761E9</v>
      </c>
      <c r="E486" s="163" t="s">
        <v>3284</v>
      </c>
      <c r="F486" s="162" t="s">
        <v>1661</v>
      </c>
      <c r="G486" s="164" t="s">
        <v>2331</v>
      </c>
      <c r="H486" s="165"/>
    </row>
    <row r="487" ht="15.75" customHeight="1">
      <c r="A487" s="160">
        <v>43931.0</v>
      </c>
      <c r="B487" s="161" t="s">
        <v>2789</v>
      </c>
      <c r="C487" s="162" t="s">
        <v>3285</v>
      </c>
      <c r="D487" s="162">
        <v>3.242820781E9</v>
      </c>
      <c r="E487" s="163" t="s">
        <v>3286</v>
      </c>
      <c r="F487" s="162" t="s">
        <v>742</v>
      </c>
      <c r="G487" s="164" t="s">
        <v>2331</v>
      </c>
      <c r="H487" s="165"/>
    </row>
    <row r="488" ht="15.75" customHeight="1">
      <c r="A488" s="160">
        <v>43931.0</v>
      </c>
      <c r="B488" s="161" t="s">
        <v>2789</v>
      </c>
      <c r="C488" s="162" t="s">
        <v>3287</v>
      </c>
      <c r="D488" s="162">
        <v>9.23212303699E11</v>
      </c>
      <c r="E488" s="163" t="s">
        <v>3288</v>
      </c>
      <c r="F488" s="162" t="s">
        <v>742</v>
      </c>
      <c r="G488" s="164" t="s">
        <v>2331</v>
      </c>
      <c r="H488" s="165"/>
    </row>
    <row r="489" ht="15.75" customHeight="1">
      <c r="A489" s="166">
        <v>43931.0</v>
      </c>
      <c r="B489" s="167" t="s">
        <v>2789</v>
      </c>
      <c r="C489" s="168" t="s">
        <v>3289</v>
      </c>
      <c r="D489" s="168">
        <f>+923002683067</f>
        <v>923002683067</v>
      </c>
      <c r="E489" s="169" t="s">
        <v>3290</v>
      </c>
      <c r="F489" s="168" t="s">
        <v>1661</v>
      </c>
      <c r="G489" s="170" t="s">
        <v>2339</v>
      </c>
      <c r="H489" s="171"/>
    </row>
    <row r="490" ht="15.75" customHeight="1">
      <c r="A490" s="166">
        <v>43931.0</v>
      </c>
      <c r="B490" s="167" t="s">
        <v>2789</v>
      </c>
      <c r="C490" s="168" t="s">
        <v>3291</v>
      </c>
      <c r="D490" s="168">
        <v>3.333365025E9</v>
      </c>
      <c r="E490" s="169" t="s">
        <v>3292</v>
      </c>
      <c r="F490" s="168" t="s">
        <v>742</v>
      </c>
      <c r="G490" s="170" t="s">
        <v>2339</v>
      </c>
      <c r="H490" s="171"/>
    </row>
    <row r="491" ht="15.75" customHeight="1">
      <c r="A491" s="166">
        <v>43931.0</v>
      </c>
      <c r="B491" s="167" t="s">
        <v>2789</v>
      </c>
      <c r="C491" s="168" t="s">
        <v>3293</v>
      </c>
      <c r="D491" s="168">
        <v>3.31033393E9</v>
      </c>
      <c r="E491" s="169" t="s">
        <v>3294</v>
      </c>
      <c r="F491" s="168" t="s">
        <v>1664</v>
      </c>
      <c r="G491" s="170" t="s">
        <v>2339</v>
      </c>
      <c r="H491" s="171"/>
    </row>
    <row r="492" ht="15.75" customHeight="1">
      <c r="A492" s="172">
        <v>43931.0</v>
      </c>
      <c r="B492" s="173" t="s">
        <v>2789</v>
      </c>
      <c r="C492" s="174" t="s">
        <v>3295</v>
      </c>
      <c r="D492" s="174">
        <v>3.003930381E9</v>
      </c>
      <c r="E492" s="175" t="s">
        <v>3296</v>
      </c>
      <c r="F492" s="174" t="s">
        <v>2334</v>
      </c>
      <c r="G492" s="176" t="s">
        <v>684</v>
      </c>
      <c r="H492" s="177"/>
    </row>
    <row r="493" ht="15.75" customHeight="1">
      <c r="A493" s="172">
        <v>43931.0</v>
      </c>
      <c r="B493" s="173" t="s">
        <v>2789</v>
      </c>
      <c r="C493" s="174" t="s">
        <v>3297</v>
      </c>
      <c r="D493" s="174" t="s">
        <v>3298</v>
      </c>
      <c r="E493" s="175" t="s">
        <v>3299</v>
      </c>
      <c r="F493" s="174" t="s">
        <v>1661</v>
      </c>
      <c r="G493" s="176" t="s">
        <v>684</v>
      </c>
      <c r="H493" s="177"/>
    </row>
    <row r="494" ht="15.75" customHeight="1">
      <c r="A494" s="172">
        <v>43931.0</v>
      </c>
      <c r="B494" s="173" t="s">
        <v>2789</v>
      </c>
      <c r="C494" s="174" t="s">
        <v>3300</v>
      </c>
      <c r="D494" s="174">
        <f>+923332737498</f>
        <v>923332737498</v>
      </c>
      <c r="E494" s="175" t="s">
        <v>3301</v>
      </c>
      <c r="F494" s="174" t="s">
        <v>2334</v>
      </c>
      <c r="G494" s="176" t="s">
        <v>684</v>
      </c>
      <c r="H494" s="177"/>
    </row>
    <row r="495" ht="15.75" customHeight="1">
      <c r="A495" s="172">
        <v>43931.0</v>
      </c>
      <c r="B495" s="173" t="s">
        <v>2789</v>
      </c>
      <c r="C495" s="174" t="s">
        <v>3302</v>
      </c>
      <c r="D495" s="174">
        <v>3.212781623E9</v>
      </c>
      <c r="E495" s="175" t="s">
        <v>3303</v>
      </c>
      <c r="F495" s="174" t="s">
        <v>1661</v>
      </c>
      <c r="G495" s="176" t="s">
        <v>684</v>
      </c>
      <c r="H495" s="177"/>
    </row>
    <row r="496" ht="15.75" customHeight="1">
      <c r="A496" s="172">
        <v>43931.0</v>
      </c>
      <c r="B496" s="173" t="s">
        <v>2789</v>
      </c>
      <c r="C496" s="174" t="s">
        <v>3304</v>
      </c>
      <c r="D496" s="174">
        <v>3.222120441E9</v>
      </c>
      <c r="E496" s="175" t="s">
        <v>3305</v>
      </c>
      <c r="F496" s="174" t="s">
        <v>1664</v>
      </c>
      <c r="G496" s="176" t="s">
        <v>684</v>
      </c>
      <c r="H496" s="177"/>
    </row>
    <row r="497" ht="15.75" customHeight="1">
      <c r="A497" s="172">
        <v>43931.0</v>
      </c>
      <c r="B497" s="173" t="s">
        <v>2789</v>
      </c>
      <c r="C497" s="174" t="s">
        <v>3306</v>
      </c>
      <c r="D497" s="174">
        <v>3.233369548E9</v>
      </c>
      <c r="E497" s="175" t="s">
        <v>3307</v>
      </c>
      <c r="F497" s="174" t="s">
        <v>2334</v>
      </c>
      <c r="G497" s="176" t="s">
        <v>684</v>
      </c>
      <c r="H497" s="177"/>
    </row>
    <row r="498" ht="15.75" customHeight="1">
      <c r="A498" s="172">
        <v>43931.0</v>
      </c>
      <c r="B498" s="173" t="s">
        <v>2789</v>
      </c>
      <c r="C498" s="174" t="s">
        <v>3308</v>
      </c>
      <c r="D498" s="174">
        <v>3.002126689E9</v>
      </c>
      <c r="E498" s="175" t="s">
        <v>3309</v>
      </c>
      <c r="F498" s="174" t="s">
        <v>742</v>
      </c>
      <c r="G498" s="176" t="s">
        <v>684</v>
      </c>
      <c r="H498" s="177"/>
    </row>
    <row r="499" ht="15.75" customHeight="1">
      <c r="A499" s="172">
        <v>43931.0</v>
      </c>
      <c r="B499" s="173" t="s">
        <v>2789</v>
      </c>
      <c r="C499" s="174" t="s">
        <v>3310</v>
      </c>
      <c r="D499" s="174">
        <v>3.131209193E9</v>
      </c>
      <c r="E499" s="175" t="s">
        <v>3311</v>
      </c>
      <c r="F499" s="174" t="s">
        <v>1664</v>
      </c>
      <c r="G499" s="176" t="s">
        <v>684</v>
      </c>
      <c r="H499" s="177"/>
    </row>
    <row r="500" ht="15.75" customHeight="1">
      <c r="A500" s="172">
        <v>43931.0</v>
      </c>
      <c r="B500" s="173" t="s">
        <v>2789</v>
      </c>
      <c r="C500" s="174" t="s">
        <v>3312</v>
      </c>
      <c r="D500" s="174" t="s">
        <v>3193</v>
      </c>
      <c r="E500" s="175" t="s">
        <v>3313</v>
      </c>
      <c r="F500" s="174" t="s">
        <v>1664</v>
      </c>
      <c r="G500" s="176" t="s">
        <v>684</v>
      </c>
      <c r="H500" s="177"/>
    </row>
    <row r="501" ht="15.75" customHeight="1">
      <c r="A501" s="172">
        <v>43931.0</v>
      </c>
      <c r="B501" s="173" t="s">
        <v>2789</v>
      </c>
      <c r="C501" s="174" t="s">
        <v>3314</v>
      </c>
      <c r="D501" s="174">
        <v>3.32829962E9</v>
      </c>
      <c r="E501" s="175" t="s">
        <v>3315</v>
      </c>
      <c r="F501" s="174" t="s">
        <v>1664</v>
      </c>
      <c r="G501" s="176" t="s">
        <v>684</v>
      </c>
      <c r="H501" s="177"/>
    </row>
    <row r="502" ht="15.75" customHeight="1">
      <c r="A502" s="178">
        <v>43931.0</v>
      </c>
      <c r="B502" s="179" t="s">
        <v>2789</v>
      </c>
      <c r="C502" s="180" t="s">
        <v>3316</v>
      </c>
      <c r="D502" s="180">
        <v>3.332202448E9</v>
      </c>
      <c r="E502" s="181" t="s">
        <v>3317</v>
      </c>
      <c r="F502" s="180" t="s">
        <v>1661</v>
      </c>
      <c r="G502" s="182" t="s">
        <v>2361</v>
      </c>
      <c r="H502" s="134"/>
    </row>
    <row r="503" ht="15.75" customHeight="1">
      <c r="A503" s="178">
        <v>43931.0</v>
      </c>
      <c r="B503" s="179" t="s">
        <v>2789</v>
      </c>
      <c r="C503" s="180" t="s">
        <v>3318</v>
      </c>
      <c r="D503" s="180">
        <v>3.006093E9</v>
      </c>
      <c r="E503" s="181" t="s">
        <v>3319</v>
      </c>
      <c r="F503" s="180" t="s">
        <v>742</v>
      </c>
      <c r="G503" s="182" t="s">
        <v>2361</v>
      </c>
      <c r="H503" s="134"/>
    </row>
    <row r="504" ht="15.75" customHeight="1">
      <c r="A504" s="178">
        <v>43931.0</v>
      </c>
      <c r="B504" s="179" t="s">
        <v>2789</v>
      </c>
      <c r="C504" s="180" t="s">
        <v>3320</v>
      </c>
      <c r="D504" s="180">
        <v>3.008246314E9</v>
      </c>
      <c r="E504" s="181" t="s">
        <v>3321</v>
      </c>
      <c r="F504" s="180" t="s">
        <v>1664</v>
      </c>
      <c r="G504" s="182" t="s">
        <v>2361</v>
      </c>
      <c r="H504" s="134"/>
    </row>
    <row r="505" ht="15.75" customHeight="1">
      <c r="A505" s="178">
        <v>43931.0</v>
      </c>
      <c r="B505" s="179" t="s">
        <v>2789</v>
      </c>
      <c r="C505" s="180" t="s">
        <v>3322</v>
      </c>
      <c r="D505" s="180">
        <v>3.02822218E9</v>
      </c>
      <c r="E505" s="181" t="s">
        <v>3323</v>
      </c>
      <c r="F505" s="180" t="s">
        <v>742</v>
      </c>
      <c r="G505" s="182" t="s">
        <v>2361</v>
      </c>
      <c r="H505" s="134"/>
    </row>
    <row r="506" ht="15.75" customHeight="1">
      <c r="A506" s="178">
        <v>43931.0</v>
      </c>
      <c r="B506" s="179" t="s">
        <v>2789</v>
      </c>
      <c r="C506" s="180" t="s">
        <v>3324</v>
      </c>
      <c r="D506" s="180">
        <v>3.002258597E9</v>
      </c>
      <c r="E506" s="181" t="s">
        <v>3325</v>
      </c>
      <c r="F506" s="180" t="s">
        <v>1664</v>
      </c>
      <c r="G506" s="182" t="s">
        <v>2361</v>
      </c>
      <c r="H506" s="134"/>
    </row>
    <row r="507" ht="15.75" customHeight="1">
      <c r="A507" s="178">
        <v>43931.0</v>
      </c>
      <c r="B507" s="179" t="s">
        <v>2789</v>
      </c>
      <c r="C507" s="180" t="s">
        <v>3326</v>
      </c>
      <c r="D507" s="180">
        <v>3.343535016E9</v>
      </c>
      <c r="E507" s="181" t="s">
        <v>3327</v>
      </c>
      <c r="F507" s="180" t="s">
        <v>1661</v>
      </c>
      <c r="G507" s="182" t="s">
        <v>2361</v>
      </c>
      <c r="H507" s="134"/>
    </row>
    <row r="508" ht="15.75" customHeight="1">
      <c r="A508" s="178">
        <v>43931.0</v>
      </c>
      <c r="B508" s="179" t="s">
        <v>2789</v>
      </c>
      <c r="C508" s="180" t="s">
        <v>3328</v>
      </c>
      <c r="D508" s="180">
        <v>3.333482342E9</v>
      </c>
      <c r="E508" s="181" t="s">
        <v>3329</v>
      </c>
      <c r="F508" s="180" t="s">
        <v>742</v>
      </c>
      <c r="G508" s="182" t="s">
        <v>2361</v>
      </c>
      <c r="H508" s="134"/>
    </row>
    <row r="509" ht="15.75" customHeight="1">
      <c r="A509" s="178">
        <v>43931.0</v>
      </c>
      <c r="B509" s="179" t="s">
        <v>2789</v>
      </c>
      <c r="C509" s="180" t="s">
        <v>3330</v>
      </c>
      <c r="D509" s="180">
        <v>3.361215595E9</v>
      </c>
      <c r="E509" s="181" t="s">
        <v>3331</v>
      </c>
      <c r="F509" s="180" t="s">
        <v>1661</v>
      </c>
      <c r="G509" s="182" t="s">
        <v>2361</v>
      </c>
      <c r="H509" s="134"/>
    </row>
    <row r="510" ht="15.75" customHeight="1">
      <c r="A510" s="178">
        <v>43931.0</v>
      </c>
      <c r="B510" s="179" t="s">
        <v>2789</v>
      </c>
      <c r="C510" s="180" t="s">
        <v>3332</v>
      </c>
      <c r="D510" s="180">
        <v>0.0</v>
      </c>
      <c r="E510" s="181" t="s">
        <v>3333</v>
      </c>
      <c r="F510" s="180" t="s">
        <v>2334</v>
      </c>
      <c r="G510" s="182" t="s">
        <v>2361</v>
      </c>
      <c r="H510" s="134"/>
    </row>
    <row r="511" ht="15.75" customHeight="1">
      <c r="A511" s="178">
        <v>43931.0</v>
      </c>
      <c r="B511" s="179" t="s">
        <v>2789</v>
      </c>
      <c r="C511" s="180" t="s">
        <v>3334</v>
      </c>
      <c r="D511" s="180">
        <v>3.009291713E9</v>
      </c>
      <c r="E511" s="181" t="s">
        <v>3335</v>
      </c>
      <c r="F511" s="180" t="s">
        <v>1664</v>
      </c>
      <c r="G511" s="182" t="s">
        <v>2361</v>
      </c>
      <c r="H511" s="134"/>
    </row>
    <row r="512" ht="15.75" customHeight="1">
      <c r="A512" s="172">
        <v>43933.0</v>
      </c>
      <c r="B512" s="173" t="s">
        <v>2789</v>
      </c>
      <c r="C512" s="174" t="s">
        <v>3336</v>
      </c>
      <c r="D512" s="174">
        <v>3.322487767E9</v>
      </c>
      <c r="E512" s="175" t="s">
        <v>3337</v>
      </c>
      <c r="F512" s="174" t="s">
        <v>1661</v>
      </c>
      <c r="G512" s="176" t="s">
        <v>684</v>
      </c>
      <c r="H512" s="177"/>
    </row>
    <row r="513" ht="15.75" customHeight="1">
      <c r="A513" s="172">
        <v>43933.0</v>
      </c>
      <c r="B513" s="173" t="s">
        <v>2789</v>
      </c>
      <c r="C513" s="174" t="s">
        <v>3338</v>
      </c>
      <c r="D513" s="174">
        <v>3.462424509E9</v>
      </c>
      <c r="E513" s="175" t="s">
        <v>3339</v>
      </c>
      <c r="F513" s="174" t="s">
        <v>1664</v>
      </c>
      <c r="G513" s="176" t="s">
        <v>684</v>
      </c>
      <c r="H513" s="177"/>
    </row>
    <row r="514" ht="15.75" customHeight="1">
      <c r="A514" s="172">
        <v>43933.0</v>
      </c>
      <c r="B514" s="173" t="s">
        <v>2789</v>
      </c>
      <c r="C514" s="174" t="s">
        <v>3340</v>
      </c>
      <c r="D514" s="174">
        <v>3.139257602E9</v>
      </c>
      <c r="E514" s="175" t="s">
        <v>3341</v>
      </c>
      <c r="F514" s="174" t="s">
        <v>2334</v>
      </c>
      <c r="G514" s="176" t="s">
        <v>684</v>
      </c>
      <c r="H514" s="177"/>
    </row>
    <row r="515" ht="15.75" customHeight="1">
      <c r="A515" s="172">
        <v>43933.0</v>
      </c>
      <c r="B515" s="173" t="s">
        <v>2789</v>
      </c>
      <c r="C515" s="174" t="s">
        <v>3342</v>
      </c>
      <c r="D515" s="174">
        <v>3.06320007E9</v>
      </c>
      <c r="E515" s="175" t="s">
        <v>3343</v>
      </c>
      <c r="F515" s="174" t="s">
        <v>1661</v>
      </c>
      <c r="G515" s="176" t="s">
        <v>684</v>
      </c>
      <c r="H515" s="177"/>
    </row>
    <row r="516" ht="15.75" customHeight="1">
      <c r="A516" s="172">
        <v>43933.0</v>
      </c>
      <c r="B516" s="173" t="s">
        <v>2789</v>
      </c>
      <c r="C516" s="174" t="s">
        <v>3344</v>
      </c>
      <c r="D516" s="174">
        <v>3.217832026E9</v>
      </c>
      <c r="E516" s="175" t="s">
        <v>3345</v>
      </c>
      <c r="F516" s="174" t="s">
        <v>2334</v>
      </c>
      <c r="G516" s="176" t="s">
        <v>684</v>
      </c>
      <c r="H516" s="177"/>
    </row>
    <row r="517" ht="15.75" customHeight="1">
      <c r="A517" s="106">
        <v>43933.0</v>
      </c>
      <c r="B517" s="107" t="s">
        <v>2789</v>
      </c>
      <c r="C517" s="108" t="s">
        <v>3346</v>
      </c>
      <c r="D517" s="108">
        <v>3.152462757E9</v>
      </c>
      <c r="E517" s="109" t="s">
        <v>3347</v>
      </c>
      <c r="F517" s="108" t="s">
        <v>1664</v>
      </c>
      <c r="G517" s="137" t="s">
        <v>2361</v>
      </c>
      <c r="H517" s="134"/>
    </row>
    <row r="518" ht="15.75" customHeight="1">
      <c r="A518" s="106">
        <v>43933.0</v>
      </c>
      <c r="B518" s="107" t="s">
        <v>2789</v>
      </c>
      <c r="C518" s="108" t="s">
        <v>3348</v>
      </c>
      <c r="D518" s="108">
        <v>3.332036791E9</v>
      </c>
      <c r="E518" s="109" t="s">
        <v>3349</v>
      </c>
      <c r="F518" s="108" t="s">
        <v>1661</v>
      </c>
      <c r="G518" s="137" t="s">
        <v>2361</v>
      </c>
      <c r="H518" s="134"/>
    </row>
    <row r="519" ht="15.75" customHeight="1">
      <c r="A519" s="106">
        <v>43933.0</v>
      </c>
      <c r="B519" s="107" t="s">
        <v>2789</v>
      </c>
      <c r="C519" s="108" t="s">
        <v>3350</v>
      </c>
      <c r="D519" s="108">
        <v>9.2333385541E11</v>
      </c>
      <c r="E519" s="109" t="s">
        <v>3351</v>
      </c>
      <c r="F519" s="108" t="s">
        <v>1664</v>
      </c>
      <c r="G519" s="137" t="s">
        <v>2361</v>
      </c>
      <c r="H519" s="134"/>
    </row>
    <row r="520" ht="15.75" customHeight="1">
      <c r="A520" s="106">
        <v>43933.0</v>
      </c>
      <c r="B520" s="107" t="s">
        <v>2789</v>
      </c>
      <c r="C520" s="108" t="s">
        <v>3352</v>
      </c>
      <c r="D520" s="108">
        <v>3.343795824E9</v>
      </c>
      <c r="E520" s="109" t="s">
        <v>3353</v>
      </c>
      <c r="F520" s="108" t="s">
        <v>742</v>
      </c>
      <c r="G520" s="137" t="s">
        <v>2361</v>
      </c>
      <c r="H520" s="134"/>
    </row>
    <row r="521" ht="15.75" customHeight="1">
      <c r="A521" s="106">
        <v>43933.0</v>
      </c>
      <c r="B521" s="107" t="s">
        <v>2789</v>
      </c>
      <c r="C521" s="108" t="s">
        <v>3354</v>
      </c>
      <c r="D521" s="108">
        <v>3.2122805E9</v>
      </c>
      <c r="E521" s="109" t="s">
        <v>3355</v>
      </c>
      <c r="F521" s="108" t="s">
        <v>1661</v>
      </c>
      <c r="G521" s="137" t="s">
        <v>2361</v>
      </c>
      <c r="H521" s="134"/>
    </row>
    <row r="522" ht="15.75" customHeight="1">
      <c r="A522" s="106">
        <v>43933.0</v>
      </c>
      <c r="B522" s="107" t="s">
        <v>2789</v>
      </c>
      <c r="C522" s="108" t="s">
        <v>3356</v>
      </c>
      <c r="D522" s="108">
        <v>3.332029391E9</v>
      </c>
      <c r="E522" s="109" t="s">
        <v>3357</v>
      </c>
      <c r="F522" s="108" t="s">
        <v>742</v>
      </c>
      <c r="G522" s="137" t="s">
        <v>2346</v>
      </c>
      <c r="H522" s="134"/>
    </row>
    <row r="523" ht="15.75" customHeight="1">
      <c r="A523" s="106">
        <v>43933.0</v>
      </c>
      <c r="B523" s="107" t="s">
        <v>2789</v>
      </c>
      <c r="C523" s="108" t="s">
        <v>3358</v>
      </c>
      <c r="D523" s="108">
        <v>3.007054304E9</v>
      </c>
      <c r="E523" s="109" t="s">
        <v>3359</v>
      </c>
      <c r="F523" s="108" t="s">
        <v>1661</v>
      </c>
      <c r="G523" s="137" t="s">
        <v>2346</v>
      </c>
      <c r="H523" s="134"/>
    </row>
    <row r="524" ht="15.75" customHeight="1">
      <c r="A524" s="106">
        <v>43933.0</v>
      </c>
      <c r="B524" s="107" t="s">
        <v>2789</v>
      </c>
      <c r="C524" s="108" t="s">
        <v>3360</v>
      </c>
      <c r="D524" s="108">
        <v>9.23002313303E11</v>
      </c>
      <c r="E524" s="109" t="s">
        <v>3361</v>
      </c>
      <c r="F524" s="108" t="s">
        <v>2334</v>
      </c>
      <c r="G524" s="137" t="s">
        <v>2346</v>
      </c>
      <c r="H524" s="134"/>
    </row>
    <row r="525" ht="15.75" customHeight="1">
      <c r="A525" s="106">
        <v>43933.0</v>
      </c>
      <c r="B525" s="107" t="s">
        <v>2789</v>
      </c>
      <c r="C525" s="108" t="s">
        <v>3362</v>
      </c>
      <c r="D525" s="108" t="s">
        <v>3363</v>
      </c>
      <c r="E525" s="109" t="s">
        <v>3364</v>
      </c>
      <c r="F525" s="108" t="s">
        <v>2334</v>
      </c>
      <c r="G525" s="137" t="s">
        <v>2331</v>
      </c>
      <c r="H525" s="134"/>
    </row>
    <row r="526" ht="15.75" customHeight="1">
      <c r="A526" s="106">
        <v>43933.0</v>
      </c>
      <c r="B526" s="107" t="s">
        <v>2789</v>
      </c>
      <c r="C526" s="108" t="s">
        <v>3365</v>
      </c>
      <c r="D526" s="108">
        <v>3.132684695E9</v>
      </c>
      <c r="E526" s="109" t="s">
        <v>3366</v>
      </c>
      <c r="F526" s="108" t="s">
        <v>742</v>
      </c>
      <c r="G526" s="137" t="s">
        <v>2331</v>
      </c>
      <c r="H526" s="134"/>
    </row>
    <row r="527" ht="15.75" customHeight="1">
      <c r="A527" s="106">
        <v>43933.0</v>
      </c>
      <c r="B527" s="107" t="s">
        <v>2789</v>
      </c>
      <c r="C527" s="108" t="s">
        <v>3367</v>
      </c>
      <c r="D527" s="108">
        <v>3.212806148E9</v>
      </c>
      <c r="E527" s="109" t="s">
        <v>3368</v>
      </c>
      <c r="F527" s="108" t="s">
        <v>2334</v>
      </c>
      <c r="G527" s="137" t="s">
        <v>2331</v>
      </c>
      <c r="H527" s="134"/>
    </row>
    <row r="528" ht="15.75" customHeight="1">
      <c r="A528" s="106">
        <v>43933.0</v>
      </c>
      <c r="B528" s="107" t="s">
        <v>2789</v>
      </c>
      <c r="C528" s="108" t="s">
        <v>3369</v>
      </c>
      <c r="D528" s="108">
        <v>3.14222594E9</v>
      </c>
      <c r="E528" s="109" t="s">
        <v>3370</v>
      </c>
      <c r="F528" s="108" t="s">
        <v>1661</v>
      </c>
      <c r="G528" s="137" t="s">
        <v>2339</v>
      </c>
      <c r="H528" s="134"/>
    </row>
    <row r="529" ht="15.75" customHeight="1">
      <c r="A529" s="106">
        <v>43933.0</v>
      </c>
      <c r="B529" s="107" t="s">
        <v>2789</v>
      </c>
      <c r="C529" s="108" t="s">
        <v>3371</v>
      </c>
      <c r="D529" s="108" t="s">
        <v>3372</v>
      </c>
      <c r="E529" s="109" t="s">
        <v>3372</v>
      </c>
      <c r="F529" s="108" t="s">
        <v>1661</v>
      </c>
      <c r="G529" s="137" t="s">
        <v>2339</v>
      </c>
      <c r="H529" s="134"/>
    </row>
    <row r="530" ht="15.75" customHeight="1">
      <c r="A530" s="106">
        <v>43933.0</v>
      </c>
      <c r="B530" s="107" t="s">
        <v>2789</v>
      </c>
      <c r="C530" s="108" t="s">
        <v>3373</v>
      </c>
      <c r="D530" s="108">
        <v>3.008206672E9</v>
      </c>
      <c r="E530" s="109" t="s">
        <v>3374</v>
      </c>
      <c r="F530" s="108" t="s">
        <v>1664</v>
      </c>
      <c r="G530" s="137" t="s">
        <v>2339</v>
      </c>
      <c r="H530" s="134"/>
    </row>
    <row r="531" ht="15.75" customHeight="1">
      <c r="A531" s="106">
        <v>43934.0</v>
      </c>
      <c r="B531" s="107" t="s">
        <v>2789</v>
      </c>
      <c r="C531" s="108" t="s">
        <v>3375</v>
      </c>
      <c r="D531" s="138" t="s">
        <v>3376</v>
      </c>
      <c r="E531" s="109" t="s">
        <v>3377</v>
      </c>
      <c r="F531" s="108" t="s">
        <v>742</v>
      </c>
      <c r="G531" s="118" t="s">
        <v>2361</v>
      </c>
      <c r="H531" s="134"/>
    </row>
    <row r="532" ht="15.75" customHeight="1">
      <c r="A532" s="106">
        <v>43934.0</v>
      </c>
      <c r="B532" s="107" t="s">
        <v>2789</v>
      </c>
      <c r="C532" s="108" t="s">
        <v>3378</v>
      </c>
      <c r="D532" s="138" t="s">
        <v>3379</v>
      </c>
      <c r="E532" s="109" t="s">
        <v>3380</v>
      </c>
      <c r="F532" s="108" t="s">
        <v>1661</v>
      </c>
      <c r="G532" s="118" t="s">
        <v>2361</v>
      </c>
      <c r="H532" s="134"/>
    </row>
    <row r="533" ht="15.75" customHeight="1">
      <c r="A533" s="106">
        <v>43934.0</v>
      </c>
      <c r="B533" s="107" t="s">
        <v>2789</v>
      </c>
      <c r="C533" s="108" t="s">
        <v>3381</v>
      </c>
      <c r="D533" s="138" t="s">
        <v>3382</v>
      </c>
      <c r="E533" s="109" t="s">
        <v>3383</v>
      </c>
      <c r="F533" s="108" t="s">
        <v>2334</v>
      </c>
      <c r="G533" s="118" t="s">
        <v>2361</v>
      </c>
      <c r="H533" s="134"/>
    </row>
    <row r="534" ht="15.75" customHeight="1">
      <c r="A534" s="106">
        <v>43934.0</v>
      </c>
      <c r="B534" s="107" t="s">
        <v>2789</v>
      </c>
      <c r="C534" s="108" t="s">
        <v>3384</v>
      </c>
      <c r="D534" s="138" t="s">
        <v>3385</v>
      </c>
      <c r="E534" s="109" t="s">
        <v>3386</v>
      </c>
      <c r="F534" s="108" t="s">
        <v>1664</v>
      </c>
      <c r="G534" s="118" t="s">
        <v>2361</v>
      </c>
      <c r="H534" s="134"/>
    </row>
    <row r="535" ht="15.75" customHeight="1">
      <c r="A535" s="106">
        <v>43934.0</v>
      </c>
      <c r="B535" s="107" t="s">
        <v>2789</v>
      </c>
      <c r="C535" s="108" t="s">
        <v>3387</v>
      </c>
      <c r="D535" s="138" t="s">
        <v>3388</v>
      </c>
      <c r="E535" s="109" t="s">
        <v>3389</v>
      </c>
      <c r="F535" s="108" t="s">
        <v>1661</v>
      </c>
      <c r="G535" s="118" t="s">
        <v>684</v>
      </c>
      <c r="H535" s="134"/>
    </row>
    <row r="536" ht="15.75" customHeight="1">
      <c r="A536" s="106">
        <v>43934.0</v>
      </c>
      <c r="B536" s="107" t="s">
        <v>2789</v>
      </c>
      <c r="C536" s="108" t="s">
        <v>3390</v>
      </c>
      <c r="D536" s="138" t="s">
        <v>3391</v>
      </c>
      <c r="E536" s="109" t="s">
        <v>3392</v>
      </c>
      <c r="F536" s="108" t="s">
        <v>2334</v>
      </c>
      <c r="G536" s="118" t="s">
        <v>684</v>
      </c>
      <c r="H536" s="134"/>
    </row>
    <row r="537" ht="15.75" customHeight="1">
      <c r="A537" s="123">
        <v>43934.0</v>
      </c>
      <c r="B537" s="154" t="s">
        <v>2789</v>
      </c>
      <c r="C537" s="125" t="s">
        <v>3393</v>
      </c>
      <c r="D537" s="183" t="s">
        <v>3394</v>
      </c>
      <c r="E537" s="126" t="s">
        <v>3395</v>
      </c>
      <c r="F537" s="125" t="s">
        <v>1661</v>
      </c>
      <c r="G537" s="127" t="s">
        <v>684</v>
      </c>
      <c r="H537" s="155"/>
    </row>
    <row r="538" ht="15.75" customHeight="1">
      <c r="A538" s="106">
        <v>43934.0</v>
      </c>
      <c r="B538" s="107" t="s">
        <v>2789</v>
      </c>
      <c r="C538" s="147" t="s">
        <v>3396</v>
      </c>
      <c r="D538" s="121">
        <v>3.33290174E9</v>
      </c>
      <c r="E538" s="141" t="s">
        <v>3397</v>
      </c>
      <c r="F538" s="142" t="s">
        <v>742</v>
      </c>
      <c r="G538" s="184" t="s">
        <v>2361</v>
      </c>
      <c r="H538" s="134"/>
    </row>
    <row r="539" ht="15.75" customHeight="1">
      <c r="A539" s="106">
        <v>43934.0</v>
      </c>
      <c r="B539" s="107" t="s">
        <v>2789</v>
      </c>
      <c r="C539" s="147" t="s">
        <v>3398</v>
      </c>
      <c r="D539" s="121">
        <v>3.442486132E9</v>
      </c>
      <c r="E539" s="141" t="s">
        <v>3399</v>
      </c>
      <c r="F539" s="142" t="s">
        <v>1661</v>
      </c>
      <c r="G539" s="184" t="s">
        <v>2361</v>
      </c>
      <c r="H539" s="134"/>
    </row>
    <row r="540" ht="15.75" customHeight="1">
      <c r="A540" s="106">
        <v>43934.0</v>
      </c>
      <c r="B540" s="107" t="s">
        <v>2789</v>
      </c>
      <c r="C540" s="147" t="s">
        <v>3400</v>
      </c>
      <c r="D540" s="121">
        <v>3.218222361E9</v>
      </c>
      <c r="E540" s="141" t="s">
        <v>3401</v>
      </c>
      <c r="F540" s="142" t="s">
        <v>1664</v>
      </c>
      <c r="G540" s="184" t="s">
        <v>2361</v>
      </c>
      <c r="H540" s="134"/>
    </row>
    <row r="541" ht="15.75" customHeight="1">
      <c r="A541" s="106">
        <v>43934.0</v>
      </c>
      <c r="B541" s="107" t="s">
        <v>2789</v>
      </c>
      <c r="C541" s="147" t="s">
        <v>3402</v>
      </c>
      <c r="D541" s="121" t="s">
        <v>3403</v>
      </c>
      <c r="E541" s="141" t="s">
        <v>3404</v>
      </c>
      <c r="F541" s="142" t="s">
        <v>742</v>
      </c>
      <c r="G541" s="184" t="s">
        <v>2361</v>
      </c>
      <c r="H541" s="134"/>
    </row>
    <row r="542" ht="15.75" customHeight="1">
      <c r="A542" s="106">
        <v>43934.0</v>
      </c>
      <c r="B542" s="107" t="s">
        <v>2789</v>
      </c>
      <c r="C542" s="147" t="s">
        <v>3405</v>
      </c>
      <c r="D542" s="121">
        <v>3.33234627E9</v>
      </c>
      <c r="E542" s="141" t="s">
        <v>3406</v>
      </c>
      <c r="F542" s="142" t="s">
        <v>2334</v>
      </c>
      <c r="G542" s="118" t="s">
        <v>684</v>
      </c>
      <c r="H542" s="134"/>
    </row>
    <row r="543" ht="15.75" customHeight="1">
      <c r="A543" s="106">
        <v>43934.0</v>
      </c>
      <c r="B543" s="107" t="s">
        <v>2789</v>
      </c>
      <c r="C543" s="147" t="s">
        <v>3407</v>
      </c>
      <c r="D543" s="121">
        <v>3.357192292E9</v>
      </c>
      <c r="E543" s="141" t="s">
        <v>3408</v>
      </c>
      <c r="F543" s="142" t="s">
        <v>1661</v>
      </c>
      <c r="G543" s="118" t="s">
        <v>684</v>
      </c>
      <c r="H543" s="134"/>
    </row>
    <row r="544" ht="15.75" customHeight="1">
      <c r="A544" s="106">
        <v>43934.0</v>
      </c>
      <c r="B544" s="107" t="s">
        <v>2789</v>
      </c>
      <c r="C544" s="147" t="s">
        <v>3409</v>
      </c>
      <c r="D544" s="121">
        <v>3.0025767E9</v>
      </c>
      <c r="E544" s="141" t="s">
        <v>3410</v>
      </c>
      <c r="F544" s="142" t="s">
        <v>1664</v>
      </c>
      <c r="G544" s="118" t="s">
        <v>684</v>
      </c>
      <c r="H544" s="134"/>
    </row>
    <row r="545" ht="15.75" customHeight="1">
      <c r="A545" s="106">
        <v>43934.0</v>
      </c>
      <c r="B545" s="107" t="s">
        <v>2789</v>
      </c>
      <c r="C545" s="147" t="s">
        <v>3411</v>
      </c>
      <c r="D545" s="121">
        <v>3.208226275E9</v>
      </c>
      <c r="E545" s="141" t="s">
        <v>3412</v>
      </c>
      <c r="F545" s="142" t="s">
        <v>1661</v>
      </c>
      <c r="G545" s="118" t="s">
        <v>684</v>
      </c>
      <c r="H545" s="134"/>
    </row>
    <row r="546" ht="15.75" customHeight="1">
      <c r="A546" s="106">
        <v>43935.0</v>
      </c>
      <c r="B546" s="107" t="s">
        <v>2789</v>
      </c>
      <c r="C546" s="108" t="s">
        <v>3413</v>
      </c>
      <c r="D546" s="138" t="s">
        <v>3414</v>
      </c>
      <c r="E546" s="109" t="s">
        <v>3415</v>
      </c>
      <c r="F546" s="108" t="s">
        <v>1664</v>
      </c>
      <c r="G546" s="118" t="s">
        <v>684</v>
      </c>
      <c r="H546" s="134"/>
    </row>
    <row r="547" ht="15.75" customHeight="1">
      <c r="A547" s="106">
        <v>43935.0</v>
      </c>
      <c r="B547" s="107" t="s">
        <v>2789</v>
      </c>
      <c r="C547" s="108" t="s">
        <v>3416</v>
      </c>
      <c r="D547" s="138" t="s">
        <v>3417</v>
      </c>
      <c r="E547" s="109" t="s">
        <v>3418</v>
      </c>
      <c r="F547" s="108" t="s">
        <v>1664</v>
      </c>
      <c r="G547" s="118" t="s">
        <v>684</v>
      </c>
      <c r="H547" s="134"/>
    </row>
    <row r="548" ht="15.75" customHeight="1">
      <c r="A548" s="106">
        <v>43935.0</v>
      </c>
      <c r="B548" s="107" t="s">
        <v>2789</v>
      </c>
      <c r="C548" s="108" t="s">
        <v>3419</v>
      </c>
      <c r="D548" s="138" t="s">
        <v>3420</v>
      </c>
      <c r="E548" s="109" t="s">
        <v>3421</v>
      </c>
      <c r="F548" s="108" t="s">
        <v>1661</v>
      </c>
      <c r="G548" s="118" t="s">
        <v>2361</v>
      </c>
      <c r="H548" s="134"/>
    </row>
    <row r="549" ht="15.75" customHeight="1">
      <c r="A549" s="123">
        <v>43935.0</v>
      </c>
      <c r="B549" s="154" t="s">
        <v>2789</v>
      </c>
      <c r="C549" s="125" t="s">
        <v>3422</v>
      </c>
      <c r="D549" s="183" t="s">
        <v>3423</v>
      </c>
      <c r="E549" s="126" t="s">
        <v>3424</v>
      </c>
      <c r="F549" s="125" t="s">
        <v>1661</v>
      </c>
      <c r="G549" s="127" t="s">
        <v>2361</v>
      </c>
      <c r="H549" s="134"/>
    </row>
    <row r="550" ht="15.75" customHeight="1">
      <c r="A550" s="106">
        <v>43936.0</v>
      </c>
      <c r="B550" s="107" t="s">
        <v>2789</v>
      </c>
      <c r="C550" s="108" t="s">
        <v>3425</v>
      </c>
      <c r="D550" s="108">
        <v>3.323927729E9</v>
      </c>
      <c r="E550" s="109" t="s">
        <v>3426</v>
      </c>
      <c r="F550" s="108" t="s">
        <v>2334</v>
      </c>
      <c r="G550" s="118" t="s">
        <v>684</v>
      </c>
      <c r="H550" s="134"/>
    </row>
    <row r="551" ht="15.75" customHeight="1">
      <c r="A551" s="106">
        <v>43936.0</v>
      </c>
      <c r="B551" s="107" t="s">
        <v>2789</v>
      </c>
      <c r="C551" s="108" t="s">
        <v>3427</v>
      </c>
      <c r="D551" s="108">
        <v>3.003505525E9</v>
      </c>
      <c r="E551" s="109" t="s">
        <v>3428</v>
      </c>
      <c r="F551" s="108" t="s">
        <v>1664</v>
      </c>
      <c r="G551" s="118" t="s">
        <v>684</v>
      </c>
      <c r="H551" s="134"/>
    </row>
    <row r="552" ht="15.75" customHeight="1">
      <c r="A552" s="106">
        <v>43936.0</v>
      </c>
      <c r="B552" s="107" t="s">
        <v>2789</v>
      </c>
      <c r="C552" s="108" t="s">
        <v>3429</v>
      </c>
      <c r="D552" s="108">
        <v>3.2192165E9</v>
      </c>
      <c r="E552" s="109" t="s">
        <v>3430</v>
      </c>
      <c r="F552" s="108" t="s">
        <v>1664</v>
      </c>
      <c r="G552" s="118" t="s">
        <v>684</v>
      </c>
      <c r="H552" s="134"/>
    </row>
    <row r="553" ht="15.75" customHeight="1">
      <c r="A553" s="106">
        <v>43936.0</v>
      </c>
      <c r="B553" s="107" t="s">
        <v>2789</v>
      </c>
      <c r="C553" s="108" t="s">
        <v>3431</v>
      </c>
      <c r="D553" s="108">
        <v>3.332169934E9</v>
      </c>
      <c r="E553" s="109" t="s">
        <v>3432</v>
      </c>
      <c r="F553" s="108" t="s">
        <v>742</v>
      </c>
      <c r="G553" s="118" t="s">
        <v>684</v>
      </c>
      <c r="H553" s="134"/>
    </row>
    <row r="554" ht="15.75" customHeight="1">
      <c r="A554" s="106">
        <v>43936.0</v>
      </c>
      <c r="B554" s="107" t="s">
        <v>2789</v>
      </c>
      <c r="C554" s="108" t="s">
        <v>3433</v>
      </c>
      <c r="D554" s="108">
        <v>3.002213991E9</v>
      </c>
      <c r="E554" s="109" t="s">
        <v>3434</v>
      </c>
      <c r="F554" s="108" t="s">
        <v>1664</v>
      </c>
      <c r="G554" s="118" t="s">
        <v>2361</v>
      </c>
      <c r="H554" s="134"/>
    </row>
    <row r="555" ht="15.75" customHeight="1">
      <c r="A555" s="106">
        <v>43936.0</v>
      </c>
      <c r="B555" s="107" t="s">
        <v>2789</v>
      </c>
      <c r="C555" s="185" t="s">
        <v>3435</v>
      </c>
      <c r="D555" s="108">
        <v>3.21264E9</v>
      </c>
      <c r="E555" s="109" t="s">
        <v>3436</v>
      </c>
      <c r="F555" s="108" t="s">
        <v>742</v>
      </c>
      <c r="G555" s="118" t="s">
        <v>2361</v>
      </c>
      <c r="H555" s="134"/>
    </row>
    <row r="556" ht="15.75" customHeight="1">
      <c r="A556" s="106">
        <v>43936.0</v>
      </c>
      <c r="B556" s="107" t="s">
        <v>2789</v>
      </c>
      <c r="C556" s="108" t="s">
        <v>3437</v>
      </c>
      <c r="D556" s="108">
        <v>3.061939415E9</v>
      </c>
      <c r="E556" s="109" t="s">
        <v>3438</v>
      </c>
      <c r="F556" s="108" t="s">
        <v>2334</v>
      </c>
      <c r="G556" s="118" t="s">
        <v>2361</v>
      </c>
      <c r="H556" s="134"/>
    </row>
    <row r="557" ht="15.75" customHeight="1">
      <c r="A557" s="123">
        <v>43936.0</v>
      </c>
      <c r="B557" s="154" t="s">
        <v>2789</v>
      </c>
      <c r="C557" s="125" t="s">
        <v>3439</v>
      </c>
      <c r="D557" s="125" t="s">
        <v>3440</v>
      </c>
      <c r="E557" s="126" t="s">
        <v>3441</v>
      </c>
      <c r="F557" s="125" t="s">
        <v>1661</v>
      </c>
      <c r="G557" s="127" t="s">
        <v>2361</v>
      </c>
      <c r="H557" s="134"/>
    </row>
    <row r="558" ht="15.75" customHeight="1">
      <c r="A558" s="106">
        <v>43939.0</v>
      </c>
      <c r="B558" s="107" t="s">
        <v>2789</v>
      </c>
      <c r="C558" s="108" t="s">
        <v>3442</v>
      </c>
      <c r="D558" s="108">
        <v>3.132223008E9</v>
      </c>
      <c r="E558" s="109" t="s">
        <v>3443</v>
      </c>
      <c r="F558" s="109" t="s">
        <v>1661</v>
      </c>
      <c r="G558" s="127" t="s">
        <v>684</v>
      </c>
      <c r="H558" s="134"/>
    </row>
    <row r="559" ht="15.75" customHeight="1">
      <c r="A559" s="106">
        <v>43939.0</v>
      </c>
      <c r="B559" s="107" t="s">
        <v>2789</v>
      </c>
      <c r="C559" s="108" t="s">
        <v>3444</v>
      </c>
      <c r="D559" s="108">
        <v>3.002724308E9</v>
      </c>
      <c r="E559" s="109" t="s">
        <v>3445</v>
      </c>
      <c r="F559" s="109" t="s">
        <v>2334</v>
      </c>
      <c r="G559" s="127" t="s">
        <v>684</v>
      </c>
      <c r="H559" s="134"/>
    </row>
    <row r="560" ht="15.75" customHeight="1">
      <c r="A560" s="106">
        <v>43939.0</v>
      </c>
      <c r="B560" s="107" t="s">
        <v>2789</v>
      </c>
      <c r="C560" s="108" t="s">
        <v>3446</v>
      </c>
      <c r="D560" s="108">
        <v>3.002272889E9</v>
      </c>
      <c r="E560" s="109" t="s">
        <v>3447</v>
      </c>
      <c r="F560" s="109" t="s">
        <v>1664</v>
      </c>
      <c r="G560" s="127" t="s">
        <v>684</v>
      </c>
      <c r="H560" s="134"/>
    </row>
    <row r="561" ht="15.75" customHeight="1">
      <c r="A561" s="106">
        <v>43939.0</v>
      </c>
      <c r="B561" s="107" t="s">
        <v>2789</v>
      </c>
      <c r="C561" s="108" t="s">
        <v>3448</v>
      </c>
      <c r="D561" s="108">
        <v>3.008260616E9</v>
      </c>
      <c r="E561" s="109" t="s">
        <v>3449</v>
      </c>
      <c r="F561" s="109" t="s">
        <v>2334</v>
      </c>
      <c r="G561" s="127" t="s">
        <v>684</v>
      </c>
      <c r="H561" s="134"/>
    </row>
    <row r="562" ht="15.75" customHeight="1">
      <c r="A562" s="106">
        <v>43939.0</v>
      </c>
      <c r="B562" s="107" t="s">
        <v>2789</v>
      </c>
      <c r="C562" s="108" t="s">
        <v>3450</v>
      </c>
      <c r="D562" s="108">
        <v>3.008233016E9</v>
      </c>
      <c r="E562" s="109" t="s">
        <v>3451</v>
      </c>
      <c r="F562" s="109" t="s">
        <v>1661</v>
      </c>
      <c r="G562" s="127" t="s">
        <v>684</v>
      </c>
      <c r="H562" s="134"/>
    </row>
    <row r="563" ht="15.75" customHeight="1">
      <c r="A563" s="106">
        <v>43939.0</v>
      </c>
      <c r="B563" s="107" t="s">
        <v>2789</v>
      </c>
      <c r="C563" s="108" t="s">
        <v>3452</v>
      </c>
      <c r="D563" s="108">
        <v>3.118462488E9</v>
      </c>
      <c r="E563" s="109" t="s">
        <v>3453</v>
      </c>
      <c r="F563" s="109" t="s">
        <v>1664</v>
      </c>
      <c r="G563" s="176" t="s">
        <v>2361</v>
      </c>
      <c r="H563" s="134"/>
    </row>
    <row r="564" ht="15.75" customHeight="1">
      <c r="A564" s="106">
        <v>43939.0</v>
      </c>
      <c r="B564" s="107" t="s">
        <v>2789</v>
      </c>
      <c r="C564" s="108" t="s">
        <v>3454</v>
      </c>
      <c r="D564" s="108">
        <v>3.312163919E9</v>
      </c>
      <c r="E564" s="109" t="s">
        <v>3455</v>
      </c>
      <c r="F564" s="109" t="s">
        <v>1661</v>
      </c>
      <c r="G564" s="176" t="s">
        <v>2361</v>
      </c>
      <c r="H564" s="134"/>
    </row>
    <row r="565" ht="15.75" customHeight="1">
      <c r="A565" s="106">
        <v>43939.0</v>
      </c>
      <c r="B565" s="107" t="s">
        <v>2789</v>
      </c>
      <c r="C565" s="108" t="s">
        <v>2582</v>
      </c>
      <c r="D565" s="108">
        <v>3.323034241E9</v>
      </c>
      <c r="E565" s="109" t="s">
        <v>3456</v>
      </c>
      <c r="F565" s="109" t="s">
        <v>2334</v>
      </c>
      <c r="G565" s="176" t="s">
        <v>2361</v>
      </c>
      <c r="H565" s="134"/>
    </row>
    <row r="566" ht="15.75" customHeight="1">
      <c r="A566" s="106">
        <v>43939.0</v>
      </c>
      <c r="B566" s="107" t="s">
        <v>2789</v>
      </c>
      <c r="C566" s="108" t="s">
        <v>3457</v>
      </c>
      <c r="D566" s="108">
        <v>3.351125785E9</v>
      </c>
      <c r="E566" s="109" t="s">
        <v>3458</v>
      </c>
      <c r="F566" s="109" t="s">
        <v>1664</v>
      </c>
      <c r="G566" s="176" t="s">
        <v>2361</v>
      </c>
      <c r="H566" s="134"/>
    </row>
    <row r="567" ht="15.75" customHeight="1">
      <c r="A567" s="106">
        <v>43939.0</v>
      </c>
      <c r="B567" s="107" t="s">
        <v>2789</v>
      </c>
      <c r="C567" s="108" t="s">
        <v>3459</v>
      </c>
      <c r="D567" s="108">
        <v>3.342897969E9</v>
      </c>
      <c r="E567" s="109" t="s">
        <v>3460</v>
      </c>
      <c r="F567" s="109" t="s">
        <v>742</v>
      </c>
      <c r="G567" s="176" t="s">
        <v>2361</v>
      </c>
      <c r="H567" s="134"/>
    </row>
    <row r="568" ht="15.75" customHeight="1">
      <c r="A568" s="106">
        <v>43939.0</v>
      </c>
      <c r="B568" s="107" t="s">
        <v>2789</v>
      </c>
      <c r="C568" s="108" t="s">
        <v>3461</v>
      </c>
      <c r="D568" s="108">
        <v>3.007031816E9</v>
      </c>
      <c r="E568" s="109" t="s">
        <v>3462</v>
      </c>
      <c r="F568" s="109" t="s">
        <v>1664</v>
      </c>
      <c r="G568" s="186" t="s">
        <v>2339</v>
      </c>
      <c r="H568" s="134"/>
    </row>
    <row r="569" ht="15.75" customHeight="1">
      <c r="A569" s="106">
        <v>43939.0</v>
      </c>
      <c r="B569" s="107" t="s">
        <v>2789</v>
      </c>
      <c r="C569" s="108" t="s">
        <v>3463</v>
      </c>
      <c r="D569" s="108">
        <v>3.002422024E9</v>
      </c>
      <c r="E569" s="109" t="s">
        <v>3464</v>
      </c>
      <c r="F569" s="109" t="s">
        <v>2334</v>
      </c>
      <c r="G569" s="164" t="s">
        <v>2339</v>
      </c>
      <c r="H569" s="134"/>
    </row>
    <row r="570" ht="15.75" customHeight="1">
      <c r="A570" s="106">
        <v>43939.0</v>
      </c>
      <c r="B570" s="107" t="s">
        <v>2789</v>
      </c>
      <c r="C570" s="108" t="s">
        <v>3465</v>
      </c>
      <c r="D570" s="108">
        <v>3.336922971E9</v>
      </c>
      <c r="E570" s="109" t="s">
        <v>3466</v>
      </c>
      <c r="F570" s="109" t="s">
        <v>1661</v>
      </c>
      <c r="G570" s="170" t="s">
        <v>2331</v>
      </c>
      <c r="H570" s="134"/>
    </row>
    <row r="571" ht="15.75" customHeight="1">
      <c r="A571" s="106">
        <v>43939.0</v>
      </c>
      <c r="B571" s="107" t="s">
        <v>2789</v>
      </c>
      <c r="C571" s="108" t="s">
        <v>3467</v>
      </c>
      <c r="D571" s="108">
        <v>3.343659396E9</v>
      </c>
      <c r="E571" s="109" t="s">
        <v>3468</v>
      </c>
      <c r="F571" s="109" t="s">
        <v>1661</v>
      </c>
      <c r="G571" s="170" t="s">
        <v>2331</v>
      </c>
      <c r="H571" s="134"/>
    </row>
    <row r="572" ht="15.75" customHeight="1">
      <c r="A572" s="106">
        <v>43939.0</v>
      </c>
      <c r="B572" s="107" t="s">
        <v>2789</v>
      </c>
      <c r="C572" s="108" t="s">
        <v>3469</v>
      </c>
      <c r="D572" s="108">
        <v>3.008295128E9</v>
      </c>
      <c r="E572" s="109" t="s">
        <v>3470</v>
      </c>
      <c r="F572" s="109" t="s">
        <v>1664</v>
      </c>
      <c r="G572" s="170" t="s">
        <v>2331</v>
      </c>
      <c r="H572" s="134"/>
    </row>
    <row r="573" ht="15.75" customHeight="1">
      <c r="A573" s="106">
        <v>43939.0</v>
      </c>
      <c r="B573" s="107" t="s">
        <v>2789</v>
      </c>
      <c r="C573" s="108" t="s">
        <v>3471</v>
      </c>
      <c r="D573" s="108" t="s">
        <v>3472</v>
      </c>
      <c r="E573" s="109" t="s">
        <v>3473</v>
      </c>
      <c r="F573" s="108" t="s">
        <v>742</v>
      </c>
      <c r="G573" s="118" t="s">
        <v>684</v>
      </c>
      <c r="H573" s="134"/>
    </row>
    <row r="574" ht="15.75" customHeight="1">
      <c r="A574" s="106">
        <v>43939.0</v>
      </c>
      <c r="B574" s="107" t="s">
        <v>2789</v>
      </c>
      <c r="C574" s="108" t="s">
        <v>3474</v>
      </c>
      <c r="D574" s="108">
        <v>9.23218259145E11</v>
      </c>
      <c r="E574" s="109" t="s">
        <v>3475</v>
      </c>
      <c r="F574" s="108" t="s">
        <v>1664</v>
      </c>
      <c r="G574" s="118" t="s">
        <v>684</v>
      </c>
      <c r="H574" s="134"/>
    </row>
    <row r="575" ht="15.75" customHeight="1">
      <c r="A575" s="106">
        <v>43939.0</v>
      </c>
      <c r="B575" s="107" t="s">
        <v>2789</v>
      </c>
      <c r="C575" s="108" t="s">
        <v>3476</v>
      </c>
      <c r="D575" s="108">
        <v>3.01822249E9</v>
      </c>
      <c r="E575" s="109" t="s">
        <v>3477</v>
      </c>
      <c r="F575" s="108" t="s">
        <v>2334</v>
      </c>
      <c r="G575" s="118" t="s">
        <v>684</v>
      </c>
      <c r="H575" s="134"/>
    </row>
    <row r="576" ht="15.75" customHeight="1">
      <c r="A576" s="106">
        <v>43939.0</v>
      </c>
      <c r="B576" s="107" t="s">
        <v>2789</v>
      </c>
      <c r="C576" s="108" t="s">
        <v>3478</v>
      </c>
      <c r="D576" s="108">
        <v>3.353300811E9</v>
      </c>
      <c r="E576" s="109" t="s">
        <v>3479</v>
      </c>
      <c r="F576" s="108" t="s">
        <v>1661</v>
      </c>
      <c r="G576" s="118" t="s">
        <v>684</v>
      </c>
      <c r="H576" s="134"/>
    </row>
    <row r="577" ht="15.75" customHeight="1">
      <c r="A577" s="106">
        <v>43939.0</v>
      </c>
      <c r="B577" s="107" t="s">
        <v>2789</v>
      </c>
      <c r="C577" s="108" t="s">
        <v>3480</v>
      </c>
      <c r="D577" s="108">
        <v>3.023115723E9</v>
      </c>
      <c r="E577" s="109" t="s">
        <v>3481</v>
      </c>
      <c r="F577" s="108" t="s">
        <v>742</v>
      </c>
      <c r="G577" s="118" t="s">
        <v>684</v>
      </c>
      <c r="H577" s="134"/>
    </row>
    <row r="578" ht="15.75" customHeight="1">
      <c r="A578" s="106">
        <v>43939.0</v>
      </c>
      <c r="B578" s="107" t="s">
        <v>2789</v>
      </c>
      <c r="C578" s="108" t="s">
        <v>3482</v>
      </c>
      <c r="D578" s="108">
        <v>3.332311584E9</v>
      </c>
      <c r="E578" s="109" t="s">
        <v>3483</v>
      </c>
      <c r="F578" s="108" t="s">
        <v>1661</v>
      </c>
      <c r="G578" s="118" t="s">
        <v>2361</v>
      </c>
      <c r="H578" s="134"/>
    </row>
    <row r="579" ht="15.75" customHeight="1">
      <c r="A579" s="106">
        <v>43939.0</v>
      </c>
      <c r="B579" s="107" t="s">
        <v>2789</v>
      </c>
      <c r="C579" s="108" t="s">
        <v>3484</v>
      </c>
      <c r="D579" s="108">
        <v>3.352525675E9</v>
      </c>
      <c r="E579" s="109" t="s">
        <v>3485</v>
      </c>
      <c r="F579" s="108" t="s">
        <v>2334</v>
      </c>
      <c r="G579" s="118" t="s">
        <v>2361</v>
      </c>
      <c r="H579" s="134"/>
    </row>
    <row r="580" ht="15.75" customHeight="1">
      <c r="A580" s="106">
        <v>43939.0</v>
      </c>
      <c r="B580" s="107" t="s">
        <v>2789</v>
      </c>
      <c r="C580" s="108" t="s">
        <v>3486</v>
      </c>
      <c r="D580" s="108">
        <v>3.002142858E9</v>
      </c>
      <c r="E580" s="109" t="s">
        <v>3487</v>
      </c>
      <c r="F580" s="108" t="s">
        <v>1661</v>
      </c>
      <c r="G580" s="118" t="s">
        <v>2361</v>
      </c>
      <c r="H580" s="134"/>
    </row>
    <row r="581" ht="15.75" customHeight="1">
      <c r="A581" s="106">
        <v>43939.0</v>
      </c>
      <c r="B581" s="107" t="s">
        <v>2789</v>
      </c>
      <c r="C581" s="108" t="s">
        <v>3488</v>
      </c>
      <c r="D581" s="108">
        <v>3.002559632E9</v>
      </c>
      <c r="E581" s="109" t="s">
        <v>3489</v>
      </c>
      <c r="F581" s="108" t="s">
        <v>2334</v>
      </c>
      <c r="G581" s="118" t="s">
        <v>2361</v>
      </c>
      <c r="H581" s="134"/>
    </row>
    <row r="582" ht="15.75" customHeight="1">
      <c r="A582" s="106">
        <v>43939.0</v>
      </c>
      <c r="B582" s="107" t="s">
        <v>2789</v>
      </c>
      <c r="C582" s="108" t="s">
        <v>3490</v>
      </c>
      <c r="D582" s="108">
        <v>9.71505343429E11</v>
      </c>
      <c r="E582" s="109" t="s">
        <v>3491</v>
      </c>
      <c r="F582" s="108" t="s">
        <v>1664</v>
      </c>
      <c r="G582" s="118" t="s">
        <v>2361</v>
      </c>
      <c r="H582" s="134"/>
    </row>
    <row r="583" ht="15.75" customHeight="1">
      <c r="A583" s="106">
        <v>43939.0</v>
      </c>
      <c r="B583" s="107" t="s">
        <v>2789</v>
      </c>
      <c r="C583" s="108" t="s">
        <v>3492</v>
      </c>
      <c r="D583" s="108">
        <v>3.458060609E9</v>
      </c>
      <c r="E583" s="109" t="s">
        <v>3493</v>
      </c>
      <c r="F583" s="108" t="s">
        <v>1661</v>
      </c>
      <c r="G583" s="118" t="s">
        <v>2331</v>
      </c>
      <c r="H583" s="134"/>
    </row>
    <row r="584" ht="15.75" customHeight="1">
      <c r="A584" s="106">
        <v>43939.0</v>
      </c>
      <c r="B584" s="107" t="s">
        <v>2789</v>
      </c>
      <c r="C584" s="108" t="s">
        <v>3494</v>
      </c>
      <c r="D584" s="108">
        <v>3.008931935E9</v>
      </c>
      <c r="E584" s="109" t="s">
        <v>3495</v>
      </c>
      <c r="F584" s="108" t="s">
        <v>742</v>
      </c>
      <c r="G584" s="118" t="s">
        <v>2331</v>
      </c>
      <c r="H584" s="134"/>
    </row>
    <row r="585" ht="15.75" customHeight="1">
      <c r="A585" s="106">
        <v>43939.0</v>
      </c>
      <c r="B585" s="107" t="s">
        <v>2789</v>
      </c>
      <c r="C585" s="108" t="s">
        <v>3496</v>
      </c>
      <c r="D585" s="108">
        <v>3.4435798E9</v>
      </c>
      <c r="E585" s="109" t="s">
        <v>3497</v>
      </c>
      <c r="F585" s="108" t="s">
        <v>742</v>
      </c>
      <c r="G585" s="118" t="s">
        <v>2339</v>
      </c>
      <c r="H585" s="134"/>
    </row>
    <row r="586" ht="15.75" customHeight="1">
      <c r="A586" s="106">
        <v>43940.0</v>
      </c>
      <c r="B586" s="107" t="s">
        <v>2789</v>
      </c>
      <c r="C586" s="45" t="s">
        <v>3498</v>
      </c>
      <c r="D586" s="121">
        <v>3.002014205E9</v>
      </c>
      <c r="E586" s="109" t="s">
        <v>3499</v>
      </c>
      <c r="F586" s="108" t="s">
        <v>2334</v>
      </c>
      <c r="G586" s="118" t="s">
        <v>684</v>
      </c>
      <c r="H586" s="134"/>
    </row>
    <row r="587" ht="15.75" customHeight="1">
      <c r="A587" s="106">
        <v>43940.0</v>
      </c>
      <c r="B587" s="107" t="s">
        <v>2789</v>
      </c>
      <c r="C587" s="45" t="s">
        <v>3500</v>
      </c>
      <c r="D587" s="121">
        <v>3.218233838E9</v>
      </c>
      <c r="E587" s="109" t="s">
        <v>3501</v>
      </c>
      <c r="F587" s="108" t="s">
        <v>1664</v>
      </c>
      <c r="G587" s="118" t="s">
        <v>684</v>
      </c>
      <c r="H587" s="134"/>
    </row>
    <row r="588" ht="15.75" customHeight="1">
      <c r="A588" s="106">
        <v>43940.0</v>
      </c>
      <c r="B588" s="107" t="s">
        <v>2789</v>
      </c>
      <c r="C588" s="45" t="s">
        <v>46</v>
      </c>
      <c r="D588" s="121">
        <v>3.122553835E9</v>
      </c>
      <c r="E588" s="109" t="s">
        <v>3502</v>
      </c>
      <c r="F588" s="108" t="s">
        <v>1664</v>
      </c>
      <c r="G588" s="118" t="s">
        <v>2361</v>
      </c>
      <c r="H588" s="134"/>
    </row>
    <row r="589" ht="15.75" customHeight="1">
      <c r="A589" s="106">
        <v>43940.0</v>
      </c>
      <c r="B589" s="107" t="s">
        <v>2789</v>
      </c>
      <c r="C589" s="45" t="s">
        <v>3503</v>
      </c>
      <c r="D589" s="121">
        <v>3.33227583E9</v>
      </c>
      <c r="E589" s="109" t="s">
        <v>3504</v>
      </c>
      <c r="F589" s="108" t="s">
        <v>2334</v>
      </c>
      <c r="G589" s="118" t="s">
        <v>2361</v>
      </c>
      <c r="H589" s="134"/>
    </row>
    <row r="590" ht="15.75" customHeight="1">
      <c r="A590" s="106">
        <v>43940.0</v>
      </c>
      <c r="B590" s="107" t="s">
        <v>2789</v>
      </c>
      <c r="C590" s="45" t="s">
        <v>3505</v>
      </c>
      <c r="D590" s="121">
        <v>3.082038004E9</v>
      </c>
      <c r="E590" s="109" t="s">
        <v>3506</v>
      </c>
      <c r="F590" s="108" t="s">
        <v>742</v>
      </c>
      <c r="G590" s="118" t="s">
        <v>2361</v>
      </c>
      <c r="H590" s="134"/>
    </row>
    <row r="591" ht="15.75" customHeight="1">
      <c r="A591" s="106">
        <v>43941.0</v>
      </c>
      <c r="B591" s="107" t="s">
        <v>2789</v>
      </c>
      <c r="C591" s="108" t="s">
        <v>3500</v>
      </c>
      <c r="D591" s="108">
        <v>3.218233838E9</v>
      </c>
      <c r="E591" s="108" t="s">
        <v>3501</v>
      </c>
      <c r="F591" s="108" t="s">
        <v>1664</v>
      </c>
      <c r="G591" s="110" t="s">
        <v>684</v>
      </c>
      <c r="H591" s="134"/>
    </row>
    <row r="592" ht="15.75" customHeight="1">
      <c r="A592" s="106">
        <v>43941.0</v>
      </c>
      <c r="B592" s="107" t="s">
        <v>2789</v>
      </c>
      <c r="C592" s="108" t="s">
        <v>3498</v>
      </c>
      <c r="D592" s="108">
        <v>3.002014205E9</v>
      </c>
      <c r="E592" s="108" t="s">
        <v>3499</v>
      </c>
      <c r="F592" s="108" t="s">
        <v>2334</v>
      </c>
      <c r="G592" s="110" t="s">
        <v>684</v>
      </c>
      <c r="H592" s="134"/>
    </row>
    <row r="593" ht="15.75" customHeight="1">
      <c r="A593" s="106">
        <v>43941.0</v>
      </c>
      <c r="B593" s="107" t="s">
        <v>2789</v>
      </c>
      <c r="C593" s="108" t="s">
        <v>46</v>
      </c>
      <c r="D593" s="108">
        <v>3.122553835E9</v>
      </c>
      <c r="E593" s="108" t="s">
        <v>3502</v>
      </c>
      <c r="F593" s="108" t="s">
        <v>1664</v>
      </c>
      <c r="G593" s="118" t="s">
        <v>2361</v>
      </c>
      <c r="H593" s="134"/>
    </row>
    <row r="594" ht="15.75" customHeight="1">
      <c r="A594" s="106">
        <v>43941.0</v>
      </c>
      <c r="B594" s="107" t="s">
        <v>2789</v>
      </c>
      <c r="C594" s="108" t="s">
        <v>3503</v>
      </c>
      <c r="D594" s="108">
        <v>3.33227583E9</v>
      </c>
      <c r="E594" s="108" t="s">
        <v>3504</v>
      </c>
      <c r="F594" s="108" t="s">
        <v>2334</v>
      </c>
      <c r="G594" s="118" t="s">
        <v>2361</v>
      </c>
      <c r="H594" s="134"/>
    </row>
    <row r="595" ht="15.75" customHeight="1">
      <c r="A595" s="187">
        <v>43941.0</v>
      </c>
      <c r="B595" s="188" t="s">
        <v>2789</v>
      </c>
      <c r="C595" s="189" t="s">
        <v>3505</v>
      </c>
      <c r="D595" s="189">
        <v>3.082038004E9</v>
      </c>
      <c r="E595" s="189" t="s">
        <v>3506</v>
      </c>
      <c r="F595" s="189" t="s">
        <v>742</v>
      </c>
      <c r="G595" s="190" t="s">
        <v>2361</v>
      </c>
      <c r="H595" s="191"/>
    </row>
    <row r="596" ht="15.75" customHeight="1">
      <c r="A596" s="106">
        <v>43942.0</v>
      </c>
      <c r="B596" s="107" t="s">
        <v>2789</v>
      </c>
      <c r="C596" s="108" t="s">
        <v>3507</v>
      </c>
      <c r="D596" s="108">
        <v>3.21826621E9</v>
      </c>
      <c r="E596" s="108" t="s">
        <v>3508</v>
      </c>
      <c r="F596" s="108" t="s">
        <v>1664</v>
      </c>
      <c r="G596" s="118" t="s">
        <v>2361</v>
      </c>
      <c r="H596" s="134"/>
    </row>
    <row r="597" ht="15.75" customHeight="1">
      <c r="A597" s="106">
        <v>43942.0</v>
      </c>
      <c r="B597" s="107" t="s">
        <v>2789</v>
      </c>
      <c r="C597" s="108" t="s">
        <v>3509</v>
      </c>
      <c r="D597" s="121">
        <f>+923008238275</f>
        <v>923008238275</v>
      </c>
      <c r="E597" s="108" t="s">
        <v>3510</v>
      </c>
      <c r="F597" s="108" t="s">
        <v>1661</v>
      </c>
      <c r="G597" s="118" t="s">
        <v>2361</v>
      </c>
      <c r="H597" s="134"/>
    </row>
    <row r="598" ht="15.75" customHeight="1">
      <c r="A598" s="106">
        <v>43942.0</v>
      </c>
      <c r="B598" s="107" t="s">
        <v>2789</v>
      </c>
      <c r="C598" s="108" t="s">
        <v>3511</v>
      </c>
      <c r="D598" s="138" t="s">
        <v>3512</v>
      </c>
      <c r="E598" s="108" t="s">
        <v>3513</v>
      </c>
      <c r="F598" s="108" t="s">
        <v>2334</v>
      </c>
      <c r="G598" s="118" t="s">
        <v>2361</v>
      </c>
      <c r="H598" s="134"/>
    </row>
    <row r="599" ht="15.75" customHeight="1">
      <c r="A599" s="106">
        <v>43942.0</v>
      </c>
      <c r="B599" s="107" t="s">
        <v>2789</v>
      </c>
      <c r="C599" s="108" t="s">
        <v>3514</v>
      </c>
      <c r="D599" s="108">
        <v>3.000000001E9</v>
      </c>
      <c r="E599" s="108" t="s">
        <v>3515</v>
      </c>
      <c r="F599" s="108" t="s">
        <v>1664</v>
      </c>
      <c r="G599" s="118" t="s">
        <v>2361</v>
      </c>
      <c r="H599" s="134"/>
    </row>
    <row r="600" ht="15.75" customHeight="1">
      <c r="A600" s="106">
        <v>43942.0</v>
      </c>
      <c r="B600" s="107" t="s">
        <v>2789</v>
      </c>
      <c r="C600" s="108" t="s">
        <v>3516</v>
      </c>
      <c r="D600" s="108">
        <v>3.009385411E9</v>
      </c>
      <c r="E600" s="108" t="s">
        <v>3517</v>
      </c>
      <c r="F600" s="108" t="s">
        <v>1661</v>
      </c>
      <c r="G600" s="118" t="s">
        <v>2361</v>
      </c>
      <c r="H600" s="134"/>
    </row>
    <row r="601" ht="15.75" customHeight="1">
      <c r="A601" s="106">
        <v>43942.0</v>
      </c>
      <c r="B601" s="107" t="s">
        <v>2789</v>
      </c>
      <c r="C601" s="108" t="s">
        <v>3518</v>
      </c>
      <c r="D601" s="108">
        <v>3.21240337E9</v>
      </c>
      <c r="E601" s="108" t="s">
        <v>3519</v>
      </c>
      <c r="F601" s="108" t="s">
        <v>2334</v>
      </c>
      <c r="G601" s="110" t="s">
        <v>684</v>
      </c>
      <c r="H601" s="134"/>
    </row>
    <row r="602" ht="15.75" customHeight="1">
      <c r="A602" s="106">
        <v>43942.0</v>
      </c>
      <c r="B602" s="107" t="s">
        <v>2789</v>
      </c>
      <c r="C602" s="108" t="s">
        <v>3520</v>
      </c>
      <c r="D602" s="108">
        <v>3.332358797E9</v>
      </c>
      <c r="E602" s="108" t="s">
        <v>3521</v>
      </c>
      <c r="F602" s="108" t="s">
        <v>1661</v>
      </c>
      <c r="G602" s="110" t="s">
        <v>684</v>
      </c>
      <c r="H602" s="134"/>
    </row>
    <row r="603" ht="15.75" customHeight="1">
      <c r="A603" s="106">
        <v>43942.0</v>
      </c>
      <c r="B603" s="107" t="s">
        <v>2789</v>
      </c>
      <c r="C603" s="108" t="s">
        <v>3522</v>
      </c>
      <c r="D603" s="108">
        <v>9.23213741348E11</v>
      </c>
      <c r="E603" s="108" t="s">
        <v>3523</v>
      </c>
      <c r="F603" s="108" t="s">
        <v>742</v>
      </c>
      <c r="G603" s="110" t="s">
        <v>684</v>
      </c>
      <c r="H603" s="134"/>
    </row>
    <row r="604" ht="15.75" customHeight="1">
      <c r="A604" s="106">
        <v>43942.0</v>
      </c>
      <c r="B604" s="107" t="s">
        <v>2789</v>
      </c>
      <c r="C604" s="108" t="s">
        <v>3524</v>
      </c>
      <c r="D604" s="108">
        <v>3.452145472E9</v>
      </c>
      <c r="E604" s="108" t="s">
        <v>3525</v>
      </c>
      <c r="F604" s="108" t="s">
        <v>1664</v>
      </c>
      <c r="G604" s="110" t="s">
        <v>684</v>
      </c>
      <c r="H604" s="134"/>
    </row>
    <row r="605" ht="15.75" customHeight="1">
      <c r="A605" s="106">
        <v>43943.0</v>
      </c>
      <c r="B605" s="107" t="s">
        <v>2789</v>
      </c>
      <c r="C605" s="109" t="s">
        <v>3526</v>
      </c>
      <c r="D605" s="109">
        <v>3.42277004E9</v>
      </c>
      <c r="E605" s="109" t="s">
        <v>3527</v>
      </c>
      <c r="F605" s="109" t="s">
        <v>742</v>
      </c>
      <c r="G605" s="192" t="s">
        <v>2361</v>
      </c>
      <c r="H605" s="134"/>
    </row>
    <row r="606" ht="15.75" customHeight="1">
      <c r="A606" s="106">
        <v>43943.0</v>
      </c>
      <c r="B606" s="107" t="s">
        <v>2789</v>
      </c>
      <c r="C606" s="109" t="s">
        <v>3528</v>
      </c>
      <c r="D606" s="109">
        <v>9.2333330844E10</v>
      </c>
      <c r="E606" s="109" t="s">
        <v>3529</v>
      </c>
      <c r="F606" s="109" t="s">
        <v>742</v>
      </c>
      <c r="G606" s="192" t="s">
        <v>2361</v>
      </c>
      <c r="H606" s="134"/>
    </row>
    <row r="607" ht="15.75" customHeight="1">
      <c r="A607" s="106">
        <v>43943.0</v>
      </c>
      <c r="B607" s="107" t="s">
        <v>2789</v>
      </c>
      <c r="C607" s="109" t="s">
        <v>3530</v>
      </c>
      <c r="D607" s="109">
        <v>3.003654614E9</v>
      </c>
      <c r="E607" s="109" t="s">
        <v>3531</v>
      </c>
      <c r="F607" s="109" t="s">
        <v>2334</v>
      </c>
      <c r="G607" s="192" t="s">
        <v>2361</v>
      </c>
      <c r="H607" s="134"/>
    </row>
    <row r="608" ht="15.75" customHeight="1">
      <c r="A608" s="106">
        <v>43943.0</v>
      </c>
      <c r="B608" s="107" t="s">
        <v>2789</v>
      </c>
      <c r="C608" s="109" t="s">
        <v>3532</v>
      </c>
      <c r="D608" s="109">
        <v>3.473198338E9</v>
      </c>
      <c r="E608" s="109" t="s">
        <v>3533</v>
      </c>
      <c r="F608" s="109" t="s">
        <v>1661</v>
      </c>
      <c r="G608" s="193" t="s">
        <v>684</v>
      </c>
      <c r="H608" s="134"/>
    </row>
    <row r="609" ht="15.75" customHeight="1">
      <c r="A609" s="106">
        <v>43943.0</v>
      </c>
      <c r="B609" s="107" t="s">
        <v>2789</v>
      </c>
      <c r="C609" s="109" t="s">
        <v>3534</v>
      </c>
      <c r="D609" s="109">
        <v>3.002468235E9</v>
      </c>
      <c r="E609" s="109" t="s">
        <v>3535</v>
      </c>
      <c r="F609" s="109" t="s">
        <v>742</v>
      </c>
      <c r="G609" s="193" t="s">
        <v>684</v>
      </c>
      <c r="H609" s="134"/>
    </row>
    <row r="610" ht="15.75" customHeight="1">
      <c r="A610" s="106">
        <v>43943.0</v>
      </c>
      <c r="B610" s="107" t="s">
        <v>2789</v>
      </c>
      <c r="C610" s="109" t="s">
        <v>2412</v>
      </c>
      <c r="D610" s="109">
        <v>3.332191533E9</v>
      </c>
      <c r="E610" s="109" t="s">
        <v>2413</v>
      </c>
      <c r="F610" s="109" t="s">
        <v>2334</v>
      </c>
      <c r="G610" s="193" t="s">
        <v>684</v>
      </c>
      <c r="H610" s="134"/>
    </row>
    <row r="611" ht="15.75" customHeight="1">
      <c r="A611" s="106">
        <v>43943.0</v>
      </c>
      <c r="B611" s="107" t="s">
        <v>2789</v>
      </c>
      <c r="C611" s="108" t="s">
        <v>3536</v>
      </c>
      <c r="D611" s="108">
        <v>3.002945978E9</v>
      </c>
      <c r="E611" s="108" t="s">
        <v>3537</v>
      </c>
      <c r="F611" s="108" t="s">
        <v>1661</v>
      </c>
      <c r="G611" s="118" t="s">
        <v>684</v>
      </c>
      <c r="H611" s="134"/>
    </row>
    <row r="612" ht="15.75" customHeight="1">
      <c r="A612" s="106">
        <v>43943.0</v>
      </c>
      <c r="B612" s="107" t="s">
        <v>2789</v>
      </c>
      <c r="C612" s="108" t="s">
        <v>3538</v>
      </c>
      <c r="D612" s="108">
        <v>3.443033008E9</v>
      </c>
      <c r="E612" s="108" t="s">
        <v>3539</v>
      </c>
      <c r="F612" s="108" t="s">
        <v>1664</v>
      </c>
      <c r="G612" s="118" t="s">
        <v>684</v>
      </c>
      <c r="H612" s="134"/>
    </row>
    <row r="613" ht="15.75" customHeight="1">
      <c r="A613" s="106">
        <v>43943.0</v>
      </c>
      <c r="B613" s="107" t="s">
        <v>2789</v>
      </c>
      <c r="C613" s="108" t="s">
        <v>3540</v>
      </c>
      <c r="D613" s="108">
        <v>3.130005295E9</v>
      </c>
      <c r="E613" s="108" t="s">
        <v>3541</v>
      </c>
      <c r="F613" s="108" t="s">
        <v>1664</v>
      </c>
      <c r="G613" s="118" t="s">
        <v>684</v>
      </c>
      <c r="H613" s="134"/>
    </row>
    <row r="614" ht="15.75" customHeight="1">
      <c r="A614" s="106">
        <v>43943.0</v>
      </c>
      <c r="B614" s="107" t="s">
        <v>2789</v>
      </c>
      <c r="C614" s="108" t="s">
        <v>3542</v>
      </c>
      <c r="D614" s="108" t="s">
        <v>3543</v>
      </c>
      <c r="E614" s="108" t="s">
        <v>3544</v>
      </c>
      <c r="F614" s="108" t="s">
        <v>742</v>
      </c>
      <c r="G614" s="118" t="s">
        <v>2361</v>
      </c>
      <c r="H614" s="134"/>
    </row>
    <row r="615" ht="15.75" customHeight="1">
      <c r="A615" s="106">
        <v>43943.0</v>
      </c>
      <c r="B615" s="107" t="s">
        <v>2789</v>
      </c>
      <c r="C615" s="108" t="s">
        <v>3545</v>
      </c>
      <c r="D615" s="108">
        <v>3.003076574E9</v>
      </c>
      <c r="E615" s="108" t="s">
        <v>3546</v>
      </c>
      <c r="F615" s="108" t="s">
        <v>742</v>
      </c>
      <c r="G615" s="118" t="s">
        <v>2361</v>
      </c>
      <c r="H615" s="134"/>
    </row>
    <row r="616" ht="15.75" customHeight="1">
      <c r="A616" s="106">
        <v>43946.0</v>
      </c>
      <c r="B616" s="107" t="s">
        <v>2789</v>
      </c>
      <c r="C616" s="45" t="s">
        <v>3547</v>
      </c>
      <c r="D616" s="153" t="s">
        <v>3548</v>
      </c>
      <c r="E616" s="45" t="s">
        <v>3549</v>
      </c>
      <c r="F616" s="108" t="s">
        <v>1664</v>
      </c>
      <c r="G616" s="120"/>
      <c r="H616" s="134"/>
    </row>
    <row r="617" ht="15.75" customHeight="1">
      <c r="A617" s="106">
        <v>43946.0</v>
      </c>
      <c r="B617" s="107" t="s">
        <v>2789</v>
      </c>
      <c r="C617" s="108" t="s">
        <v>3550</v>
      </c>
      <c r="D617" s="108">
        <v>3.343527504E9</v>
      </c>
      <c r="E617" s="108" t="s">
        <v>3551</v>
      </c>
      <c r="F617" s="108" t="s">
        <v>742</v>
      </c>
      <c r="G617" s="118" t="s">
        <v>3552</v>
      </c>
      <c r="H617" s="134"/>
    </row>
    <row r="618" ht="15.75" customHeight="1">
      <c r="A618" s="106">
        <v>43946.0</v>
      </c>
      <c r="B618" s="107" t="s">
        <v>2789</v>
      </c>
      <c r="C618" s="108" t="s">
        <v>3553</v>
      </c>
      <c r="D618" s="108">
        <v>3.158457131E9</v>
      </c>
      <c r="E618" s="108" t="s">
        <v>3554</v>
      </c>
      <c r="F618" s="108" t="s">
        <v>2334</v>
      </c>
      <c r="G618" s="110" t="s">
        <v>3555</v>
      </c>
      <c r="H618" s="134"/>
    </row>
    <row r="619" ht="15.75" customHeight="1">
      <c r="A619" s="106">
        <v>43946.0</v>
      </c>
      <c r="B619" s="107" t="s">
        <v>2789</v>
      </c>
      <c r="C619" s="108" t="s">
        <v>3556</v>
      </c>
      <c r="D619" s="108">
        <v>3.333041257E9</v>
      </c>
      <c r="E619" s="108" t="s">
        <v>3557</v>
      </c>
      <c r="F619" s="108" t="s">
        <v>742</v>
      </c>
      <c r="G619" s="110" t="s">
        <v>3555</v>
      </c>
      <c r="H619" s="134"/>
    </row>
    <row r="620" ht="15.75" customHeight="1">
      <c r="A620" s="106">
        <v>43946.0</v>
      </c>
      <c r="B620" s="107" t="s">
        <v>2789</v>
      </c>
      <c r="C620" s="108" t="s">
        <v>3558</v>
      </c>
      <c r="D620" s="108" t="s">
        <v>3193</v>
      </c>
      <c r="E620" s="108" t="s">
        <v>3559</v>
      </c>
      <c r="F620" s="108" t="s">
        <v>2334</v>
      </c>
      <c r="G620" s="118" t="s">
        <v>2339</v>
      </c>
      <c r="H620" s="134"/>
    </row>
    <row r="621" ht="15.75" customHeight="1">
      <c r="A621" s="106">
        <v>43946.0</v>
      </c>
      <c r="B621" s="107" t="s">
        <v>2789</v>
      </c>
      <c r="C621" s="108" t="s">
        <v>3560</v>
      </c>
      <c r="D621" s="108">
        <v>3.003389939E9</v>
      </c>
      <c r="E621" s="108" t="s">
        <v>3561</v>
      </c>
      <c r="F621" s="108" t="s">
        <v>1664</v>
      </c>
      <c r="G621" s="118" t="s">
        <v>2339</v>
      </c>
      <c r="H621" s="134"/>
    </row>
    <row r="622" ht="15.75" customHeight="1">
      <c r="A622" s="106">
        <v>43946.0</v>
      </c>
      <c r="B622" s="107" t="s">
        <v>2789</v>
      </c>
      <c r="C622" s="108" t="s">
        <v>3562</v>
      </c>
      <c r="D622" s="108">
        <v>3.213845569E9</v>
      </c>
      <c r="E622" s="108" t="s">
        <v>3563</v>
      </c>
      <c r="F622" s="108" t="s">
        <v>1661</v>
      </c>
      <c r="G622" s="118" t="s">
        <v>2339</v>
      </c>
      <c r="H622" s="134"/>
    </row>
    <row r="623" ht="15.75" customHeight="1">
      <c r="A623" s="106">
        <v>43946.0</v>
      </c>
      <c r="B623" s="107" t="s">
        <v>2789</v>
      </c>
      <c r="C623" s="108" t="s">
        <v>3564</v>
      </c>
      <c r="D623" s="108">
        <v>3.002222718E9</v>
      </c>
      <c r="E623" s="108" t="s">
        <v>3565</v>
      </c>
      <c r="F623" s="108" t="s">
        <v>1661</v>
      </c>
      <c r="G623" s="118" t="s">
        <v>2361</v>
      </c>
      <c r="H623" s="134"/>
    </row>
    <row r="624" ht="15.75" customHeight="1">
      <c r="A624" s="106">
        <v>43946.0</v>
      </c>
      <c r="B624" s="107" t="s">
        <v>2789</v>
      </c>
      <c r="C624" s="108" t="s">
        <v>3566</v>
      </c>
      <c r="D624" s="108">
        <v>3.482087207E9</v>
      </c>
      <c r="E624" s="108" t="s">
        <v>3567</v>
      </c>
      <c r="F624" s="108" t="s">
        <v>1664</v>
      </c>
      <c r="G624" s="118" t="s">
        <v>2361</v>
      </c>
      <c r="H624" s="134"/>
    </row>
    <row r="625" ht="15.75" customHeight="1">
      <c r="A625" s="106">
        <v>43946.0</v>
      </c>
      <c r="B625" s="107" t="s">
        <v>2789</v>
      </c>
      <c r="C625" s="108" t="s">
        <v>3568</v>
      </c>
      <c r="D625" s="108">
        <v>3.012520998E9</v>
      </c>
      <c r="E625" s="108" t="s">
        <v>3569</v>
      </c>
      <c r="F625" s="108" t="s">
        <v>742</v>
      </c>
      <c r="G625" s="118" t="s">
        <v>2361</v>
      </c>
      <c r="H625" s="134"/>
    </row>
    <row r="626" ht="15.75" customHeight="1">
      <c r="A626" s="106">
        <v>43946.0</v>
      </c>
      <c r="B626" s="107" t="s">
        <v>2789</v>
      </c>
      <c r="C626" s="108" t="s">
        <v>3570</v>
      </c>
      <c r="D626" s="108">
        <v>3.16180309E9</v>
      </c>
      <c r="E626" s="108" t="s">
        <v>3571</v>
      </c>
      <c r="F626" s="108" t="s">
        <v>1664</v>
      </c>
      <c r="G626" s="118" t="s">
        <v>2361</v>
      </c>
      <c r="H626" s="134"/>
    </row>
    <row r="627" ht="15.75" customHeight="1">
      <c r="A627" s="106">
        <v>43946.0</v>
      </c>
      <c r="B627" s="107" t="s">
        <v>2789</v>
      </c>
      <c r="C627" s="108" t="s">
        <v>3572</v>
      </c>
      <c r="D627" s="108">
        <v>3.343311543E9</v>
      </c>
      <c r="E627" s="108" t="s">
        <v>3573</v>
      </c>
      <c r="F627" s="108" t="s">
        <v>742</v>
      </c>
      <c r="G627" s="118" t="s">
        <v>2361</v>
      </c>
      <c r="H627" s="134"/>
    </row>
    <row r="628" ht="15.75" customHeight="1">
      <c r="A628" s="106">
        <v>43946.0</v>
      </c>
      <c r="B628" s="107" t="s">
        <v>2789</v>
      </c>
      <c r="C628" s="108" t="s">
        <v>3574</v>
      </c>
      <c r="D628" s="108">
        <v>3.362005419E9</v>
      </c>
      <c r="E628" s="108" t="s">
        <v>3575</v>
      </c>
      <c r="F628" s="108" t="s">
        <v>1664</v>
      </c>
      <c r="G628" s="118" t="s">
        <v>2361</v>
      </c>
      <c r="H628" s="134"/>
    </row>
    <row r="629" ht="15.75" customHeight="1">
      <c r="A629" s="106">
        <v>43946.0</v>
      </c>
      <c r="B629" s="107" t="s">
        <v>2789</v>
      </c>
      <c r="C629" s="108" t="s">
        <v>2476</v>
      </c>
      <c r="D629" s="108">
        <v>3.009274271E9</v>
      </c>
      <c r="E629" s="108" t="s">
        <v>3576</v>
      </c>
      <c r="F629" s="108" t="s">
        <v>1661</v>
      </c>
      <c r="G629" s="118" t="s">
        <v>2361</v>
      </c>
      <c r="H629" s="134"/>
    </row>
    <row r="630" ht="15.75" customHeight="1">
      <c r="A630" s="156">
        <v>43946.0</v>
      </c>
      <c r="B630" s="157" t="s">
        <v>2789</v>
      </c>
      <c r="C630" s="158" t="s">
        <v>3577</v>
      </c>
      <c r="D630" s="158">
        <v>3.160296835E9</v>
      </c>
      <c r="E630" s="158" t="s">
        <v>3578</v>
      </c>
      <c r="F630" s="158" t="s">
        <v>2334</v>
      </c>
      <c r="G630" s="137" t="s">
        <v>684</v>
      </c>
      <c r="H630" s="111"/>
    </row>
    <row r="631" ht="15.75" customHeight="1">
      <c r="A631" s="106">
        <v>43946.0</v>
      </c>
      <c r="B631" s="107" t="s">
        <v>2789</v>
      </c>
      <c r="C631" s="108" t="s">
        <v>3579</v>
      </c>
      <c r="D631" s="108">
        <v>3.002187578E9</v>
      </c>
      <c r="E631" s="108" t="s">
        <v>3580</v>
      </c>
      <c r="F631" s="108" t="s">
        <v>2334</v>
      </c>
      <c r="G631" s="118" t="s">
        <v>684</v>
      </c>
      <c r="H631" s="134"/>
    </row>
    <row r="632" ht="15.75" customHeight="1">
      <c r="A632" s="106">
        <v>43946.0</v>
      </c>
      <c r="B632" s="107" t="s">
        <v>2789</v>
      </c>
      <c r="C632" s="108" t="s">
        <v>3581</v>
      </c>
      <c r="D632" s="108">
        <v>3.00225312E9</v>
      </c>
      <c r="E632" s="108" t="s">
        <v>3582</v>
      </c>
      <c r="F632" s="108" t="s">
        <v>1664</v>
      </c>
      <c r="G632" s="118" t="s">
        <v>684</v>
      </c>
      <c r="H632" s="134"/>
    </row>
    <row r="633" ht="15.75" customHeight="1">
      <c r="A633" s="106">
        <v>43946.0</v>
      </c>
      <c r="B633" s="107" t="s">
        <v>2789</v>
      </c>
      <c r="C633" s="108" t="s">
        <v>3583</v>
      </c>
      <c r="D633" s="108">
        <v>3.01201017E9</v>
      </c>
      <c r="E633" s="108" t="s">
        <v>3584</v>
      </c>
      <c r="F633" s="108" t="s">
        <v>1661</v>
      </c>
      <c r="G633" s="118" t="s">
        <v>684</v>
      </c>
      <c r="H633" s="134"/>
    </row>
    <row r="634" ht="15.75" customHeight="1">
      <c r="A634" s="106">
        <v>43946.0</v>
      </c>
      <c r="B634" s="107" t="s">
        <v>2789</v>
      </c>
      <c r="C634" s="108" t="s">
        <v>3585</v>
      </c>
      <c r="D634" s="108">
        <v>3.219222146E9</v>
      </c>
      <c r="E634" s="108" t="s">
        <v>3586</v>
      </c>
      <c r="F634" s="108" t="s">
        <v>742</v>
      </c>
      <c r="G634" s="118" t="s">
        <v>684</v>
      </c>
      <c r="H634" s="134"/>
    </row>
    <row r="635" ht="15.75" customHeight="1">
      <c r="A635" s="106">
        <v>43946.0</v>
      </c>
      <c r="B635" s="107" t="s">
        <v>2789</v>
      </c>
      <c r="C635" s="108" t="s">
        <v>3587</v>
      </c>
      <c r="D635" s="108">
        <v>3.04221161E9</v>
      </c>
      <c r="E635" s="108" t="s">
        <v>3588</v>
      </c>
      <c r="F635" s="121"/>
      <c r="G635" s="118" t="s">
        <v>684</v>
      </c>
      <c r="H635" s="144"/>
    </row>
    <row r="636" ht="15.75" customHeight="1">
      <c r="A636" s="106">
        <v>43947.0</v>
      </c>
      <c r="B636" s="107" t="s">
        <v>2789</v>
      </c>
      <c r="C636" s="185" t="s">
        <v>3589</v>
      </c>
      <c r="D636" s="108">
        <v>3.1326442E9</v>
      </c>
      <c r="E636" s="108" t="s">
        <v>3590</v>
      </c>
      <c r="F636" s="108" t="s">
        <v>2334</v>
      </c>
      <c r="G636" s="144" t="s">
        <v>2361</v>
      </c>
      <c r="H636" s="134"/>
    </row>
    <row r="637" ht="15.75" customHeight="1">
      <c r="A637" s="106">
        <v>43947.0</v>
      </c>
      <c r="B637" s="107" t="s">
        <v>2789</v>
      </c>
      <c r="C637" s="108" t="s">
        <v>3591</v>
      </c>
      <c r="D637" s="108">
        <v>3.328555985E9</v>
      </c>
      <c r="E637" s="108" t="s">
        <v>3592</v>
      </c>
      <c r="F637" s="108" t="s">
        <v>2334</v>
      </c>
      <c r="G637" s="110" t="s">
        <v>3555</v>
      </c>
      <c r="H637" s="134"/>
    </row>
    <row r="638" ht="15.75" customHeight="1">
      <c r="A638" s="106">
        <v>43947.0</v>
      </c>
      <c r="B638" s="107" t="s">
        <v>2789</v>
      </c>
      <c r="C638" s="108" t="s">
        <v>3593</v>
      </c>
      <c r="D638" s="108" t="s">
        <v>3594</v>
      </c>
      <c r="E638" s="108" t="s">
        <v>3595</v>
      </c>
      <c r="F638" s="108" t="s">
        <v>1661</v>
      </c>
      <c r="G638" s="118" t="s">
        <v>2361</v>
      </c>
      <c r="H638" s="134"/>
    </row>
    <row r="639" ht="15.75" customHeight="1">
      <c r="A639" s="106">
        <v>43947.0</v>
      </c>
      <c r="B639" s="107" t="s">
        <v>2789</v>
      </c>
      <c r="C639" s="108" t="s">
        <v>3596</v>
      </c>
      <c r="D639" s="121">
        <f>+923492968251</f>
        <v>923492968251</v>
      </c>
      <c r="E639" s="108" t="s">
        <v>3597</v>
      </c>
      <c r="F639" s="108" t="s">
        <v>1664</v>
      </c>
      <c r="G639" s="118" t="s">
        <v>2331</v>
      </c>
      <c r="H639" s="134"/>
    </row>
    <row r="640" ht="15.75" customHeight="1">
      <c r="A640" s="106">
        <v>43947.0</v>
      </c>
      <c r="B640" s="107" t="s">
        <v>2789</v>
      </c>
      <c r="C640" s="108" t="s">
        <v>3598</v>
      </c>
      <c r="D640" s="108">
        <v>3.0031861E9</v>
      </c>
      <c r="E640" s="108" t="s">
        <v>3599</v>
      </c>
      <c r="F640" s="108" t="s">
        <v>1661</v>
      </c>
      <c r="G640" s="118" t="s">
        <v>2339</v>
      </c>
      <c r="H640" s="134"/>
    </row>
    <row r="641" ht="15.75" customHeight="1">
      <c r="A641" s="106">
        <v>43947.0</v>
      </c>
      <c r="B641" s="107" t="s">
        <v>2789</v>
      </c>
      <c r="C641" s="108" t="s">
        <v>3600</v>
      </c>
      <c r="D641" s="108">
        <v>3.212466559E9</v>
      </c>
      <c r="E641" s="108" t="s">
        <v>3601</v>
      </c>
      <c r="F641" s="108" t="s">
        <v>1664</v>
      </c>
      <c r="G641" s="118" t="s">
        <v>684</v>
      </c>
      <c r="H641" s="134"/>
    </row>
    <row r="642" ht="15.75" customHeight="1">
      <c r="A642" s="106">
        <v>43947.0</v>
      </c>
      <c r="B642" s="107" t="s">
        <v>2789</v>
      </c>
      <c r="C642" s="108" t="s">
        <v>3602</v>
      </c>
      <c r="D642" s="108">
        <v>3.062800082E9</v>
      </c>
      <c r="E642" s="108" t="s">
        <v>3603</v>
      </c>
      <c r="F642" s="108" t="s">
        <v>1664</v>
      </c>
      <c r="G642" s="118" t="s">
        <v>684</v>
      </c>
      <c r="H642" s="134"/>
    </row>
    <row r="643" ht="15.75" customHeight="1">
      <c r="A643" s="106">
        <v>43948.0</v>
      </c>
      <c r="B643" s="107" t="s">
        <v>2789</v>
      </c>
      <c r="C643" s="45" t="s">
        <v>3604</v>
      </c>
      <c r="D643" s="121">
        <v>3.322331547E9</v>
      </c>
      <c r="E643" s="45" t="s">
        <v>3605</v>
      </c>
      <c r="F643" s="108" t="s">
        <v>742</v>
      </c>
      <c r="G643" s="118" t="s">
        <v>2361</v>
      </c>
      <c r="H643" s="134"/>
    </row>
    <row r="644" ht="15.75" customHeight="1">
      <c r="A644" s="106">
        <v>43948.0</v>
      </c>
      <c r="B644" s="107" t="s">
        <v>2789</v>
      </c>
      <c r="C644" s="45" t="s">
        <v>3606</v>
      </c>
      <c r="D644" s="121">
        <v>9.2321820604E11</v>
      </c>
      <c r="E644" s="45" t="s">
        <v>3607</v>
      </c>
      <c r="F644" s="108" t="s">
        <v>2334</v>
      </c>
      <c r="G644" s="118" t="s">
        <v>2361</v>
      </c>
      <c r="H644" s="134"/>
    </row>
    <row r="645" ht="15.75" customHeight="1">
      <c r="A645" s="106">
        <v>43948.0</v>
      </c>
      <c r="B645" s="107" t="s">
        <v>2789</v>
      </c>
      <c r="C645" s="45" t="s">
        <v>3608</v>
      </c>
      <c r="D645" s="121">
        <v>3.333588934E9</v>
      </c>
      <c r="E645" s="45" t="s">
        <v>3609</v>
      </c>
      <c r="F645" s="108" t="s">
        <v>2334</v>
      </c>
      <c r="G645" s="118" t="s">
        <v>684</v>
      </c>
      <c r="H645" s="134"/>
    </row>
    <row r="646" ht="15.75" customHeight="1">
      <c r="A646" s="106">
        <v>43948.0</v>
      </c>
      <c r="B646" s="107" t="s">
        <v>2789</v>
      </c>
      <c r="C646" s="45" t="s">
        <v>3610</v>
      </c>
      <c r="D646" s="121">
        <v>3.332232459E9</v>
      </c>
      <c r="E646" s="45" t="s">
        <v>3611</v>
      </c>
      <c r="F646" s="108" t="s">
        <v>1661</v>
      </c>
      <c r="G646" s="118" t="s">
        <v>684</v>
      </c>
      <c r="H646" s="134"/>
    </row>
    <row r="647" ht="15.75" customHeight="1">
      <c r="A647" s="106">
        <v>43948.0</v>
      </c>
      <c r="B647" s="107" t="s">
        <v>2789</v>
      </c>
      <c r="C647" s="45" t="s">
        <v>3612</v>
      </c>
      <c r="D647" s="121">
        <v>3.008289411E9</v>
      </c>
      <c r="E647" s="45" t="s">
        <v>3613</v>
      </c>
      <c r="F647" s="108" t="s">
        <v>742</v>
      </c>
      <c r="G647" s="118" t="s">
        <v>2331</v>
      </c>
      <c r="H647" s="134"/>
    </row>
    <row r="648" ht="15.75" customHeight="1">
      <c r="A648" s="106">
        <v>43948.0</v>
      </c>
      <c r="B648" s="107" t="s">
        <v>2789</v>
      </c>
      <c r="C648" s="45" t="s">
        <v>3614</v>
      </c>
      <c r="D648" s="121">
        <v>3.003156557E9</v>
      </c>
      <c r="E648" s="45" t="s">
        <v>3615</v>
      </c>
      <c r="F648" s="108" t="s">
        <v>1661</v>
      </c>
      <c r="G648" s="118" t="s">
        <v>2331</v>
      </c>
      <c r="H648" s="134"/>
    </row>
    <row r="649" ht="15.75" customHeight="1">
      <c r="A649" s="106">
        <v>43948.0</v>
      </c>
      <c r="B649" s="107" t="s">
        <v>2789</v>
      </c>
      <c r="C649" s="45" t="s">
        <v>3616</v>
      </c>
      <c r="D649" s="121">
        <v>3.101057925E9</v>
      </c>
      <c r="E649" s="45" t="s">
        <v>3617</v>
      </c>
      <c r="F649" s="108" t="s">
        <v>1661</v>
      </c>
      <c r="G649" s="110" t="s">
        <v>3555</v>
      </c>
      <c r="H649" s="134"/>
    </row>
    <row r="650" ht="15.75" customHeight="1">
      <c r="A650" s="106">
        <v>43948.0</v>
      </c>
      <c r="B650" s="107" t="s">
        <v>2789</v>
      </c>
      <c r="C650" s="45" t="s">
        <v>3618</v>
      </c>
      <c r="D650" s="121">
        <v>3.008217204E9</v>
      </c>
      <c r="E650" s="45" t="s">
        <v>3619</v>
      </c>
      <c r="F650" s="108" t="s">
        <v>1661</v>
      </c>
      <c r="G650" s="110" t="s">
        <v>3555</v>
      </c>
      <c r="H650" s="134"/>
    </row>
    <row r="651" ht="15.75" customHeight="1">
      <c r="A651" s="106">
        <v>43949.0</v>
      </c>
      <c r="B651" s="107" t="s">
        <v>2789</v>
      </c>
      <c r="C651" s="108" t="s">
        <v>3620</v>
      </c>
      <c r="D651" s="108">
        <v>9.66503133107E11</v>
      </c>
      <c r="E651" s="108" t="s">
        <v>3621</v>
      </c>
      <c r="F651" s="108" t="s">
        <v>1661</v>
      </c>
      <c r="G651" s="118"/>
      <c r="H651" s="134"/>
    </row>
    <row r="652" ht="15.75" customHeight="1">
      <c r="A652" s="106">
        <v>43949.0</v>
      </c>
      <c r="B652" s="107" t="s">
        <v>2789</v>
      </c>
      <c r="C652" s="108" t="s">
        <v>3622</v>
      </c>
      <c r="D652" s="138" t="s">
        <v>3623</v>
      </c>
      <c r="E652" s="108" t="s">
        <v>3624</v>
      </c>
      <c r="F652" s="108" t="s">
        <v>1661</v>
      </c>
      <c r="G652" s="118"/>
      <c r="H652" s="134"/>
    </row>
    <row r="653" ht="15.75" customHeight="1">
      <c r="A653" s="106">
        <v>43949.0</v>
      </c>
      <c r="B653" s="107" t="s">
        <v>2789</v>
      </c>
      <c r="C653" s="108" t="s">
        <v>3625</v>
      </c>
      <c r="D653" s="108">
        <v>3.352584425E9</v>
      </c>
      <c r="E653" s="108" t="s">
        <v>3626</v>
      </c>
      <c r="F653" s="108" t="s">
        <v>1664</v>
      </c>
      <c r="G653" s="118"/>
      <c r="H653" s="134"/>
    </row>
    <row r="654" ht="15.75" customHeight="1">
      <c r="A654" s="106">
        <v>43949.0</v>
      </c>
      <c r="B654" s="107" t="s">
        <v>2789</v>
      </c>
      <c r="C654" s="108" t="s">
        <v>3627</v>
      </c>
      <c r="D654" s="108">
        <v>3.003117002E9</v>
      </c>
      <c r="E654" s="108" t="s">
        <v>3628</v>
      </c>
      <c r="F654" s="108" t="s">
        <v>742</v>
      </c>
      <c r="G654" s="118"/>
      <c r="H654" s="134"/>
    </row>
    <row r="655" ht="15.75" customHeight="1">
      <c r="A655" s="106">
        <v>43949.0</v>
      </c>
      <c r="B655" s="107" t="s">
        <v>2789</v>
      </c>
      <c r="C655" s="108" t="s">
        <v>3629</v>
      </c>
      <c r="D655" s="108" t="s">
        <v>3630</v>
      </c>
      <c r="E655" s="108" t="s">
        <v>3631</v>
      </c>
      <c r="F655" s="108" t="s">
        <v>742</v>
      </c>
      <c r="G655" s="118"/>
      <c r="H655" s="134"/>
    </row>
    <row r="656" ht="15.75" customHeight="1">
      <c r="A656" s="106">
        <v>43949.0</v>
      </c>
      <c r="B656" s="107" t="s">
        <v>2789</v>
      </c>
      <c r="C656" s="108" t="s">
        <v>3632</v>
      </c>
      <c r="D656" s="108">
        <v>3.353136192E9</v>
      </c>
      <c r="E656" s="108" t="s">
        <v>3633</v>
      </c>
      <c r="F656" s="108" t="s">
        <v>1661</v>
      </c>
      <c r="G656" s="118"/>
      <c r="H656" s="134"/>
    </row>
    <row r="657" ht="15.75" customHeight="1">
      <c r="A657" s="106">
        <v>43949.0</v>
      </c>
      <c r="B657" s="107" t="s">
        <v>2789</v>
      </c>
      <c r="C657" s="108" t="s">
        <v>3634</v>
      </c>
      <c r="D657" s="108">
        <v>3.212593274E9</v>
      </c>
      <c r="E657" s="108" t="s">
        <v>3635</v>
      </c>
      <c r="F657" s="108" t="s">
        <v>1664</v>
      </c>
      <c r="G657" s="118" t="s">
        <v>2797</v>
      </c>
      <c r="H657" s="134"/>
    </row>
    <row r="658" ht="15.75" customHeight="1">
      <c r="A658" s="106">
        <v>43949.0</v>
      </c>
      <c r="B658" s="107" t="s">
        <v>2789</v>
      </c>
      <c r="C658" s="108" t="s">
        <v>3636</v>
      </c>
      <c r="D658" s="108" t="s">
        <v>3637</v>
      </c>
      <c r="E658" s="108" t="s">
        <v>3638</v>
      </c>
      <c r="F658" s="108" t="s">
        <v>742</v>
      </c>
      <c r="G658" s="118" t="s">
        <v>2797</v>
      </c>
      <c r="H658" s="134"/>
    </row>
    <row r="659" ht="15.75" customHeight="1">
      <c r="A659" s="106">
        <v>43950.0</v>
      </c>
      <c r="B659" s="107" t="s">
        <v>2789</v>
      </c>
      <c r="C659" s="121" t="s">
        <v>3639</v>
      </c>
      <c r="D659" s="121">
        <v>3.21820093E9</v>
      </c>
      <c r="E659" s="121" t="s">
        <v>3640</v>
      </c>
      <c r="F659" s="121" t="s">
        <v>2334</v>
      </c>
      <c r="G659" s="118"/>
      <c r="H659" s="134"/>
    </row>
    <row r="660" ht="15.75" customHeight="1">
      <c r="A660" s="106">
        <v>43950.0</v>
      </c>
      <c r="B660" s="107" t="s">
        <v>2789</v>
      </c>
      <c r="C660" s="121" t="s">
        <v>3641</v>
      </c>
      <c r="D660" s="121" t="s">
        <v>3642</v>
      </c>
      <c r="E660" s="121" t="s">
        <v>3643</v>
      </c>
      <c r="F660" s="121" t="s">
        <v>1661</v>
      </c>
      <c r="G660" s="118"/>
      <c r="H660" s="134"/>
    </row>
    <row r="661" ht="15.75" customHeight="1">
      <c r="A661" s="106">
        <v>43950.0</v>
      </c>
      <c r="B661" s="107" t="s">
        <v>2789</v>
      </c>
      <c r="C661" s="121" t="s">
        <v>3644</v>
      </c>
      <c r="D661" s="121">
        <v>9.23333364294E11</v>
      </c>
      <c r="E661" s="121" t="s">
        <v>3645</v>
      </c>
      <c r="F661" s="121" t="s">
        <v>2334</v>
      </c>
      <c r="G661" s="118"/>
      <c r="H661" s="134"/>
    </row>
    <row r="662" ht="15.75" customHeight="1">
      <c r="A662" s="106">
        <v>43950.0</v>
      </c>
      <c r="B662" s="107" t="s">
        <v>2789</v>
      </c>
      <c r="C662" s="121" t="s">
        <v>3646</v>
      </c>
      <c r="D662" s="121">
        <v>3.212828688E9</v>
      </c>
      <c r="E662" s="121" t="s">
        <v>3647</v>
      </c>
      <c r="F662" s="121" t="s">
        <v>2334</v>
      </c>
      <c r="G662" s="110" t="s">
        <v>3555</v>
      </c>
      <c r="H662" s="134"/>
    </row>
    <row r="663" ht="15.75" customHeight="1">
      <c r="A663" s="106">
        <v>43951.0</v>
      </c>
      <c r="B663" s="107" t="s">
        <v>2789</v>
      </c>
      <c r="C663" s="121" t="s">
        <v>3648</v>
      </c>
      <c r="D663" s="121">
        <v>3.152234353E9</v>
      </c>
      <c r="E663" s="121" t="s">
        <v>3649</v>
      </c>
      <c r="F663" s="121" t="s">
        <v>1664</v>
      </c>
      <c r="G663" s="118" t="s">
        <v>684</v>
      </c>
      <c r="H663" s="134"/>
    </row>
    <row r="664" ht="15.75" customHeight="1">
      <c r="A664" s="106">
        <v>43951.0</v>
      </c>
      <c r="B664" s="107" t="s">
        <v>2789</v>
      </c>
      <c r="C664" s="121" t="s">
        <v>3650</v>
      </c>
      <c r="D664" s="121">
        <v>3.338813744E9</v>
      </c>
      <c r="E664" s="121" t="s">
        <v>3651</v>
      </c>
      <c r="F664" s="121" t="s">
        <v>1661</v>
      </c>
      <c r="G664" s="118" t="s">
        <v>684</v>
      </c>
      <c r="H664" s="134"/>
    </row>
    <row r="665" ht="15.75" customHeight="1">
      <c r="A665" s="106">
        <v>43951.0</v>
      </c>
      <c r="B665" s="107" t="s">
        <v>2789</v>
      </c>
      <c r="C665" s="121" t="s">
        <v>2594</v>
      </c>
      <c r="D665" s="121">
        <v>3.002000262E9</v>
      </c>
      <c r="E665" s="121" t="s">
        <v>2595</v>
      </c>
      <c r="F665" s="121" t="s">
        <v>2334</v>
      </c>
      <c r="G665" s="118" t="s">
        <v>2361</v>
      </c>
      <c r="H665" s="134"/>
    </row>
    <row r="666" ht="15.75" customHeight="1">
      <c r="A666" s="106">
        <v>43951.0</v>
      </c>
      <c r="B666" s="107" t="s">
        <v>2789</v>
      </c>
      <c r="C666" s="121" t="s">
        <v>3652</v>
      </c>
      <c r="D666" s="121">
        <v>3.322096412E9</v>
      </c>
      <c r="E666" s="121" t="s">
        <v>3653</v>
      </c>
      <c r="F666" s="121" t="s">
        <v>1661</v>
      </c>
      <c r="G666" s="118" t="s">
        <v>2361</v>
      </c>
      <c r="H666" s="134"/>
    </row>
    <row r="667" ht="15.75" customHeight="1">
      <c r="A667" s="106">
        <v>43951.0</v>
      </c>
      <c r="B667" s="107" t="s">
        <v>2789</v>
      </c>
      <c r="C667" s="121" t="s">
        <v>3654</v>
      </c>
      <c r="D667" s="121">
        <v>3.223307287E9</v>
      </c>
      <c r="E667" s="121" t="s">
        <v>3655</v>
      </c>
      <c r="F667" s="121" t="s">
        <v>1661</v>
      </c>
      <c r="G667" s="110" t="s">
        <v>2671</v>
      </c>
      <c r="H667" s="134"/>
    </row>
    <row r="668" ht="15.75" customHeight="1">
      <c r="A668" s="106">
        <v>43951.0</v>
      </c>
      <c r="B668" s="107" t="s">
        <v>2789</v>
      </c>
      <c r="C668" s="121" t="s">
        <v>3452</v>
      </c>
      <c r="D668" s="121">
        <v>3.052277335E9</v>
      </c>
      <c r="E668" s="121" t="s">
        <v>3656</v>
      </c>
      <c r="F668" s="121" t="s">
        <v>1664</v>
      </c>
      <c r="G668" s="110" t="s">
        <v>2671</v>
      </c>
      <c r="H668" s="134"/>
    </row>
    <row r="669" ht="15.75" customHeight="1">
      <c r="A669" s="106">
        <v>43951.0</v>
      </c>
      <c r="B669" s="107" t="s">
        <v>2789</v>
      </c>
      <c r="C669" s="121" t="s">
        <v>3657</v>
      </c>
      <c r="D669" s="121">
        <v>9.23002758608E11</v>
      </c>
      <c r="E669" s="121" t="s">
        <v>3658</v>
      </c>
      <c r="F669" s="121" t="s">
        <v>1661</v>
      </c>
      <c r="G669" s="110" t="s">
        <v>3659</v>
      </c>
      <c r="H669" s="134"/>
    </row>
    <row r="670" ht="15.75" customHeight="1">
      <c r="A670" s="106">
        <v>43951.0</v>
      </c>
      <c r="B670" s="107" t="s">
        <v>2789</v>
      </c>
      <c r="C670" s="121" t="s">
        <v>3660</v>
      </c>
      <c r="D670" s="121">
        <v>3.332278037E9</v>
      </c>
      <c r="E670" s="121" t="s">
        <v>3661</v>
      </c>
      <c r="F670" s="121" t="s">
        <v>1661</v>
      </c>
      <c r="G670" s="110" t="s">
        <v>3659</v>
      </c>
      <c r="H670" s="134"/>
    </row>
    <row r="671" ht="15.75" customHeight="1">
      <c r="A671" s="106">
        <v>43951.0</v>
      </c>
      <c r="B671" s="107" t="s">
        <v>2789</v>
      </c>
      <c r="C671" s="121" t="s">
        <v>3662</v>
      </c>
      <c r="D671" s="121">
        <v>3.453169982E9</v>
      </c>
      <c r="E671" s="121" t="s">
        <v>3663</v>
      </c>
      <c r="F671" s="121" t="s">
        <v>742</v>
      </c>
      <c r="G671" s="118" t="s">
        <v>2466</v>
      </c>
      <c r="H671" s="134"/>
    </row>
    <row r="672" ht="15.75" customHeight="1">
      <c r="A672" s="45" t="s">
        <v>3664</v>
      </c>
      <c r="B672" s="107" t="s">
        <v>2789</v>
      </c>
      <c r="C672" s="121" t="s">
        <v>3665</v>
      </c>
      <c r="D672" s="121">
        <v>3.34339033E9</v>
      </c>
      <c r="E672" s="121" t="s">
        <v>3666</v>
      </c>
      <c r="F672" s="121" t="s">
        <v>1661</v>
      </c>
      <c r="G672" s="118" t="s">
        <v>684</v>
      </c>
      <c r="H672" s="134"/>
    </row>
    <row r="673" ht="15.75" customHeight="1">
      <c r="A673" s="45" t="s">
        <v>3664</v>
      </c>
      <c r="B673" s="107" t="s">
        <v>2789</v>
      </c>
      <c r="C673" s="121" t="s">
        <v>3667</v>
      </c>
      <c r="D673" s="121">
        <v>3.365496929E9</v>
      </c>
      <c r="E673" s="121" t="s">
        <v>3668</v>
      </c>
      <c r="F673" s="121" t="s">
        <v>1664</v>
      </c>
      <c r="G673" s="118" t="s">
        <v>684</v>
      </c>
      <c r="H673" s="134"/>
    </row>
    <row r="674" ht="15.75" customHeight="1">
      <c r="A674" s="45" t="s">
        <v>3664</v>
      </c>
      <c r="B674" s="107" t="s">
        <v>2789</v>
      </c>
      <c r="C674" s="121" t="s">
        <v>3669</v>
      </c>
      <c r="D674" s="121">
        <v>3.482381613E9</v>
      </c>
      <c r="E674" s="121" t="s">
        <v>3670</v>
      </c>
      <c r="F674" s="121" t="s">
        <v>2334</v>
      </c>
      <c r="G674" s="118" t="s">
        <v>684</v>
      </c>
      <c r="H674" s="134"/>
    </row>
    <row r="675" ht="15.75" customHeight="1">
      <c r="A675" s="45" t="s">
        <v>3664</v>
      </c>
      <c r="B675" s="107" t="s">
        <v>2789</v>
      </c>
      <c r="C675" s="121" t="s">
        <v>3671</v>
      </c>
      <c r="D675" s="121">
        <v>3.343353869E9</v>
      </c>
      <c r="E675" s="121" t="s">
        <v>3672</v>
      </c>
      <c r="F675" s="121" t="s">
        <v>2334</v>
      </c>
      <c r="G675" s="118" t="s">
        <v>684</v>
      </c>
      <c r="H675" s="134"/>
    </row>
    <row r="676" ht="15.75" customHeight="1">
      <c r="A676" s="45" t="s">
        <v>3664</v>
      </c>
      <c r="B676" s="107" t="s">
        <v>2789</v>
      </c>
      <c r="C676" s="121" t="s">
        <v>3673</v>
      </c>
      <c r="D676" s="121">
        <v>3.172899962E9</v>
      </c>
      <c r="E676" s="121" t="s">
        <v>3674</v>
      </c>
      <c r="F676" s="121" t="s">
        <v>742</v>
      </c>
      <c r="G676" s="118" t="s">
        <v>684</v>
      </c>
      <c r="H676" s="134"/>
    </row>
    <row r="677" ht="15.75" customHeight="1">
      <c r="A677" s="45" t="s">
        <v>3664</v>
      </c>
      <c r="B677" s="107" t="s">
        <v>2789</v>
      </c>
      <c r="C677" s="121" t="s">
        <v>3675</v>
      </c>
      <c r="D677" s="121">
        <v>3.312201138E9</v>
      </c>
      <c r="E677" s="121" t="s">
        <v>3676</v>
      </c>
      <c r="F677" s="121" t="s">
        <v>1664</v>
      </c>
      <c r="G677" s="118" t="s">
        <v>2361</v>
      </c>
      <c r="H677" s="134"/>
    </row>
    <row r="678" ht="15.75" customHeight="1">
      <c r="A678" s="45" t="s">
        <v>3664</v>
      </c>
      <c r="B678" s="107" t="s">
        <v>2789</v>
      </c>
      <c r="C678" s="121" t="s">
        <v>3677</v>
      </c>
      <c r="D678" s="121">
        <v>3.102609497E9</v>
      </c>
      <c r="E678" s="121" t="s">
        <v>3678</v>
      </c>
      <c r="F678" s="121" t="s">
        <v>742</v>
      </c>
      <c r="G678" s="118" t="s">
        <v>2361</v>
      </c>
      <c r="H678" s="134"/>
    </row>
    <row r="679" ht="15.75" customHeight="1">
      <c r="A679" s="45" t="s">
        <v>3664</v>
      </c>
      <c r="B679" s="107" t="s">
        <v>2789</v>
      </c>
      <c r="C679" s="121" t="s">
        <v>3679</v>
      </c>
      <c r="D679" s="121">
        <v>3.21870784E9</v>
      </c>
      <c r="E679" s="121" t="s">
        <v>3680</v>
      </c>
      <c r="F679" s="121" t="s">
        <v>2334</v>
      </c>
      <c r="G679" s="118" t="s">
        <v>2361</v>
      </c>
      <c r="H679" s="134"/>
    </row>
    <row r="680" ht="15.75" customHeight="1">
      <c r="A680" s="45" t="s">
        <v>3664</v>
      </c>
      <c r="B680" s="107" t="s">
        <v>2789</v>
      </c>
      <c r="C680" s="121" t="s">
        <v>3681</v>
      </c>
      <c r="D680" s="121">
        <v>3.363876852E9</v>
      </c>
      <c r="E680" s="121" t="s">
        <v>3682</v>
      </c>
      <c r="F680" s="121" t="s">
        <v>1664</v>
      </c>
      <c r="G680" s="118" t="s">
        <v>2361</v>
      </c>
      <c r="H680" s="134"/>
    </row>
    <row r="681" ht="15.75" customHeight="1">
      <c r="A681" s="45" t="s">
        <v>3664</v>
      </c>
      <c r="B681" s="107" t="s">
        <v>2789</v>
      </c>
      <c r="C681" s="121" t="s">
        <v>3683</v>
      </c>
      <c r="D681" s="121">
        <v>3.002526788E9</v>
      </c>
      <c r="E681" s="121" t="s">
        <v>3684</v>
      </c>
      <c r="F681" s="121" t="s">
        <v>1664</v>
      </c>
      <c r="G681" s="118" t="s">
        <v>2361</v>
      </c>
      <c r="H681" s="134"/>
    </row>
    <row r="682" ht="15.75" customHeight="1">
      <c r="A682" s="45" t="s">
        <v>3664</v>
      </c>
      <c r="B682" s="107" t="s">
        <v>2789</v>
      </c>
      <c r="C682" s="121" t="s">
        <v>3685</v>
      </c>
      <c r="D682" s="121">
        <v>3.147111786E9</v>
      </c>
      <c r="E682" s="121" t="s">
        <v>3686</v>
      </c>
      <c r="F682" s="121" t="s">
        <v>1661</v>
      </c>
      <c r="G682" s="110" t="s">
        <v>3555</v>
      </c>
      <c r="H682" s="134"/>
    </row>
    <row r="683" ht="15.75" customHeight="1">
      <c r="A683" s="45" t="s">
        <v>3664</v>
      </c>
      <c r="B683" s="107" t="s">
        <v>2789</v>
      </c>
      <c r="C683" s="121" t="s">
        <v>3687</v>
      </c>
      <c r="D683" s="121">
        <v>3.24217785E9</v>
      </c>
      <c r="E683" s="121" t="s">
        <v>3688</v>
      </c>
      <c r="F683" s="121" t="s">
        <v>1661</v>
      </c>
      <c r="G683" s="110" t="s">
        <v>3555</v>
      </c>
      <c r="H683" s="134"/>
    </row>
    <row r="684" ht="15.75" customHeight="1">
      <c r="A684" s="45" t="s">
        <v>3664</v>
      </c>
      <c r="B684" s="107" t="s">
        <v>2789</v>
      </c>
      <c r="C684" s="121" t="s">
        <v>3689</v>
      </c>
      <c r="D684" s="121">
        <v>3.334757775E9</v>
      </c>
      <c r="E684" s="121" t="s">
        <v>3690</v>
      </c>
      <c r="F684" s="121" t="s">
        <v>1664</v>
      </c>
      <c r="G684" s="110" t="s">
        <v>3555</v>
      </c>
      <c r="H684" s="134"/>
    </row>
    <row r="685" ht="15.75" customHeight="1">
      <c r="A685" s="45" t="s">
        <v>3664</v>
      </c>
      <c r="B685" s="107" t="s">
        <v>2789</v>
      </c>
      <c r="C685" s="121" t="s">
        <v>3691</v>
      </c>
      <c r="D685" s="121" t="s">
        <v>3692</v>
      </c>
      <c r="E685" s="121" t="s">
        <v>3693</v>
      </c>
      <c r="F685" s="121" t="s">
        <v>1664</v>
      </c>
      <c r="G685" s="118" t="s">
        <v>2331</v>
      </c>
      <c r="H685" s="134"/>
    </row>
    <row r="686" ht="15.75" customHeight="1">
      <c r="A686" s="45" t="s">
        <v>3664</v>
      </c>
      <c r="B686" s="107" t="s">
        <v>2789</v>
      </c>
      <c r="C686" s="121" t="s">
        <v>3694</v>
      </c>
      <c r="D686" s="121">
        <v>3.162820786E9</v>
      </c>
      <c r="E686" s="121" t="s">
        <v>3695</v>
      </c>
      <c r="F686" s="121" t="s">
        <v>1661</v>
      </c>
      <c r="G686" s="118" t="s">
        <v>2331</v>
      </c>
      <c r="H686" s="134"/>
    </row>
    <row r="687" ht="15.75" customHeight="1">
      <c r="A687" s="45" t="s">
        <v>3664</v>
      </c>
      <c r="B687" s="107" t="s">
        <v>2789</v>
      </c>
      <c r="C687" s="121" t="s">
        <v>3696</v>
      </c>
      <c r="D687" s="121">
        <v>3.45588786E9</v>
      </c>
      <c r="E687" s="121" t="s">
        <v>3697</v>
      </c>
      <c r="F687" s="121" t="s">
        <v>1661</v>
      </c>
      <c r="G687" s="118" t="s">
        <v>2331</v>
      </c>
      <c r="H687" s="134"/>
    </row>
    <row r="688" ht="15.75" customHeight="1">
      <c r="A688" s="45" t="s">
        <v>3664</v>
      </c>
      <c r="B688" s="107" t="s">
        <v>2789</v>
      </c>
      <c r="C688" s="121" t="s">
        <v>3698</v>
      </c>
      <c r="D688" s="121">
        <v>3.222521962E9</v>
      </c>
      <c r="E688" s="121" t="s">
        <v>3699</v>
      </c>
      <c r="F688" s="121" t="s">
        <v>1661</v>
      </c>
      <c r="G688" s="118" t="s">
        <v>2339</v>
      </c>
      <c r="H688" s="134"/>
    </row>
    <row r="689" ht="15.75" customHeight="1">
      <c r="A689" s="45" t="s">
        <v>3664</v>
      </c>
      <c r="B689" s="107" t="s">
        <v>2789</v>
      </c>
      <c r="C689" s="121" t="s">
        <v>3700</v>
      </c>
      <c r="D689" s="121">
        <v>3.218281339E9</v>
      </c>
      <c r="E689" s="121" t="s">
        <v>3701</v>
      </c>
      <c r="F689" s="121" t="s">
        <v>1661</v>
      </c>
      <c r="G689" s="118" t="s">
        <v>2339</v>
      </c>
      <c r="H689" s="134"/>
    </row>
    <row r="690" ht="15.75" customHeight="1">
      <c r="A690" s="45" t="s">
        <v>3664</v>
      </c>
      <c r="B690" s="107" t="s">
        <v>2789</v>
      </c>
      <c r="C690" s="121" t="s">
        <v>3702</v>
      </c>
      <c r="D690" s="121">
        <v>3.002407342E9</v>
      </c>
      <c r="E690" s="121" t="s">
        <v>3703</v>
      </c>
      <c r="F690" s="121" t="s">
        <v>1661</v>
      </c>
      <c r="G690" s="118" t="s">
        <v>2339</v>
      </c>
      <c r="H690" s="134"/>
    </row>
    <row r="691" ht="15.75" customHeight="1">
      <c r="A691" s="194">
        <v>43954.0</v>
      </c>
      <c r="B691" s="107" t="s">
        <v>2789</v>
      </c>
      <c r="C691" s="195" t="s">
        <v>3704</v>
      </c>
      <c r="D691" s="195">
        <v>3.226160876E9</v>
      </c>
      <c r="E691" s="195" t="s">
        <v>3705</v>
      </c>
      <c r="F691" s="195" t="s">
        <v>1664</v>
      </c>
      <c r="G691" s="196" t="s">
        <v>2331</v>
      </c>
      <c r="H691" s="134"/>
    </row>
    <row r="692" ht="15.75" customHeight="1">
      <c r="A692" s="194">
        <v>43954.0</v>
      </c>
      <c r="B692" s="107" t="s">
        <v>2789</v>
      </c>
      <c r="C692" s="195" t="s">
        <v>3706</v>
      </c>
      <c r="D692" s="195">
        <v>9.2321926586E11</v>
      </c>
      <c r="E692" s="195" t="s">
        <v>3707</v>
      </c>
      <c r="F692" s="195" t="s">
        <v>1664</v>
      </c>
      <c r="G692" s="196" t="s">
        <v>2331</v>
      </c>
      <c r="H692" s="134"/>
    </row>
    <row r="693" ht="15.75" customHeight="1">
      <c r="A693" s="194">
        <v>43954.0</v>
      </c>
      <c r="B693" s="107" t="s">
        <v>2789</v>
      </c>
      <c r="C693" s="195" t="s">
        <v>3708</v>
      </c>
      <c r="D693" s="195">
        <v>3.152170005E9</v>
      </c>
      <c r="E693" s="195" t="s">
        <v>3709</v>
      </c>
      <c r="F693" s="195" t="s">
        <v>1664</v>
      </c>
      <c r="G693" s="196" t="s">
        <v>2361</v>
      </c>
      <c r="H693" s="134"/>
    </row>
    <row r="694" ht="15.75" customHeight="1">
      <c r="A694" s="194">
        <v>43954.0</v>
      </c>
      <c r="B694" s="107" t="s">
        <v>2789</v>
      </c>
      <c r="C694" s="195" t="s">
        <v>3710</v>
      </c>
      <c r="D694" s="195">
        <v>3.332277554E9</v>
      </c>
      <c r="E694" s="195" t="s">
        <v>3711</v>
      </c>
      <c r="F694" s="195" t="s">
        <v>1664</v>
      </c>
      <c r="G694" s="196" t="s">
        <v>2361</v>
      </c>
      <c r="H694" s="134"/>
    </row>
    <row r="695" ht="15.75" customHeight="1">
      <c r="A695" s="194">
        <v>43954.0</v>
      </c>
      <c r="B695" s="107" t="s">
        <v>2789</v>
      </c>
      <c r="C695" s="195" t="s">
        <v>3712</v>
      </c>
      <c r="D695" s="195">
        <v>3.338577453E9</v>
      </c>
      <c r="E695" s="195" t="s">
        <v>3713</v>
      </c>
      <c r="F695" s="195" t="s">
        <v>742</v>
      </c>
      <c r="G695" s="196" t="s">
        <v>684</v>
      </c>
      <c r="H695" s="134"/>
    </row>
    <row r="696" ht="15.75" customHeight="1">
      <c r="A696" s="194">
        <v>43954.0</v>
      </c>
      <c r="B696" s="107" t="s">
        <v>2789</v>
      </c>
      <c r="C696" s="195" t="s">
        <v>3714</v>
      </c>
      <c r="D696" s="195">
        <v>3.361822169E9</v>
      </c>
      <c r="E696" s="195" t="s">
        <v>3715</v>
      </c>
      <c r="F696" s="195" t="s">
        <v>1661</v>
      </c>
      <c r="G696" s="196" t="s">
        <v>684</v>
      </c>
      <c r="H696" s="134"/>
    </row>
    <row r="697" ht="15.75" customHeight="1">
      <c r="A697" s="194">
        <v>43954.0</v>
      </c>
      <c r="B697" s="107" t="s">
        <v>2789</v>
      </c>
      <c r="C697" s="195" t="s">
        <v>3716</v>
      </c>
      <c r="D697" s="195">
        <v>3.008292512E9</v>
      </c>
      <c r="E697" s="195" t="s">
        <v>3717</v>
      </c>
      <c r="F697" s="195" t="s">
        <v>1661</v>
      </c>
      <c r="G697" s="197" t="s">
        <v>3555</v>
      </c>
      <c r="H697" s="134"/>
    </row>
    <row r="698" ht="15.75" customHeight="1">
      <c r="A698" s="194">
        <v>43954.0</v>
      </c>
      <c r="B698" s="107" t="s">
        <v>2789</v>
      </c>
      <c r="C698" s="195" t="s">
        <v>3718</v>
      </c>
      <c r="D698" s="195">
        <v>3.212274973E9</v>
      </c>
      <c r="E698" s="195" t="s">
        <v>3719</v>
      </c>
      <c r="F698" s="195" t="s">
        <v>742</v>
      </c>
      <c r="G698" s="197" t="s">
        <v>3555</v>
      </c>
      <c r="H698" s="134"/>
    </row>
    <row r="699" ht="15.75" customHeight="1">
      <c r="A699" s="194">
        <v>43955.0</v>
      </c>
      <c r="B699" s="107" t="s">
        <v>2789</v>
      </c>
      <c r="C699" s="121" t="s">
        <v>3720</v>
      </c>
      <c r="D699" s="121">
        <v>3.461115599E9</v>
      </c>
      <c r="E699" s="121" t="s">
        <v>3721</v>
      </c>
      <c r="F699" s="121" t="s">
        <v>1664</v>
      </c>
      <c r="G699" s="118" t="s">
        <v>684</v>
      </c>
      <c r="H699" s="134"/>
    </row>
    <row r="700" ht="15.75" customHeight="1">
      <c r="A700" s="194">
        <v>43955.0</v>
      </c>
      <c r="B700" s="107" t="s">
        <v>2789</v>
      </c>
      <c r="C700" s="121" t="s">
        <v>3722</v>
      </c>
      <c r="D700" s="121">
        <v>3.218718789E9</v>
      </c>
      <c r="E700" s="121" t="s">
        <v>3723</v>
      </c>
      <c r="F700" s="121" t="s">
        <v>2334</v>
      </c>
      <c r="G700" s="118" t="s">
        <v>684</v>
      </c>
      <c r="H700" s="134"/>
    </row>
    <row r="701" ht="15.75" customHeight="1">
      <c r="A701" s="194">
        <v>43955.0</v>
      </c>
      <c r="B701" s="107" t="s">
        <v>2789</v>
      </c>
      <c r="C701" s="121" t="s">
        <v>3724</v>
      </c>
      <c r="D701" s="121">
        <v>3.012276927E9</v>
      </c>
      <c r="E701" s="121" t="s">
        <v>3725</v>
      </c>
      <c r="F701" s="121" t="s">
        <v>1661</v>
      </c>
      <c r="G701" s="118" t="s">
        <v>2361</v>
      </c>
      <c r="H701" s="134"/>
    </row>
    <row r="702" ht="15.75" customHeight="1">
      <c r="A702" s="194">
        <v>43955.0</v>
      </c>
      <c r="B702" s="107" t="s">
        <v>2789</v>
      </c>
      <c r="C702" s="121" t="s">
        <v>3405</v>
      </c>
      <c r="D702" s="121">
        <v>3.343391694E9</v>
      </c>
      <c r="E702" s="121" t="s">
        <v>3726</v>
      </c>
      <c r="F702" s="121" t="s">
        <v>1664</v>
      </c>
      <c r="G702" s="110" t="s">
        <v>2671</v>
      </c>
      <c r="H702" s="134"/>
    </row>
    <row r="703" ht="15.75" customHeight="1">
      <c r="A703" s="194">
        <v>43955.0</v>
      </c>
      <c r="B703" s="107" t="s">
        <v>2789</v>
      </c>
      <c r="C703" s="121" t="s">
        <v>3727</v>
      </c>
      <c r="D703" s="121">
        <v>3.361111572E9</v>
      </c>
      <c r="E703" s="121" t="s">
        <v>3728</v>
      </c>
      <c r="F703" s="121" t="s">
        <v>1661</v>
      </c>
      <c r="G703" s="118" t="s">
        <v>2331</v>
      </c>
      <c r="H703" s="134"/>
    </row>
    <row r="704" ht="15.75" customHeight="1">
      <c r="A704" s="194">
        <v>43955.0</v>
      </c>
      <c r="B704" s="107" t="s">
        <v>2789</v>
      </c>
      <c r="C704" s="121" t="s">
        <v>3729</v>
      </c>
      <c r="D704" s="121">
        <v>3.008207866E9</v>
      </c>
      <c r="E704" s="121" t="s">
        <v>3730</v>
      </c>
      <c r="F704" s="121" t="s">
        <v>2334</v>
      </c>
      <c r="G704" s="110" t="s">
        <v>2671</v>
      </c>
      <c r="H704" s="134"/>
    </row>
    <row r="705" ht="15.75" customHeight="1">
      <c r="A705" s="194">
        <v>43955.0</v>
      </c>
      <c r="B705" s="107" t="s">
        <v>2789</v>
      </c>
      <c r="C705" s="121" t="s">
        <v>3731</v>
      </c>
      <c r="D705" s="121">
        <v>9.23332494615E11</v>
      </c>
      <c r="E705" s="121" t="s">
        <v>3732</v>
      </c>
      <c r="F705" s="121" t="s">
        <v>1661</v>
      </c>
      <c r="G705" s="198" t="s">
        <v>2361</v>
      </c>
      <c r="H705" s="134"/>
    </row>
    <row r="706" ht="15.75" customHeight="1">
      <c r="A706" s="194">
        <v>43955.0</v>
      </c>
      <c r="B706" s="107" t="s">
        <v>2789</v>
      </c>
      <c r="C706" s="121" t="s">
        <v>3733</v>
      </c>
      <c r="D706" s="121">
        <v>3.153623782E9</v>
      </c>
      <c r="E706" s="121" t="s">
        <v>3734</v>
      </c>
      <c r="F706" s="121" t="s">
        <v>1661</v>
      </c>
      <c r="G706" s="110" t="s">
        <v>3555</v>
      </c>
      <c r="H706" s="134"/>
    </row>
    <row r="707" ht="15.75" customHeight="1">
      <c r="A707" s="194">
        <v>43956.0</v>
      </c>
      <c r="B707" s="107" t="s">
        <v>2789</v>
      </c>
      <c r="C707" s="121" t="s">
        <v>3735</v>
      </c>
      <c r="D707" s="121">
        <f>+9203333098207</f>
        <v>9203333098207</v>
      </c>
      <c r="E707" s="121" t="s">
        <v>3736</v>
      </c>
      <c r="F707" s="121" t="s">
        <v>742</v>
      </c>
      <c r="G707" s="118" t="s">
        <v>684</v>
      </c>
      <c r="H707" s="134"/>
    </row>
    <row r="708" ht="15.75" customHeight="1">
      <c r="A708" s="194">
        <v>43956.0</v>
      </c>
      <c r="B708" s="107" t="s">
        <v>2789</v>
      </c>
      <c r="C708" s="121" t="s">
        <v>3737</v>
      </c>
      <c r="D708" s="121">
        <f>+923222219185</f>
        <v>923222219185</v>
      </c>
      <c r="E708" s="121" t="s">
        <v>3738</v>
      </c>
      <c r="F708" s="121" t="s">
        <v>1664</v>
      </c>
      <c r="G708" s="118" t="s">
        <v>684</v>
      </c>
      <c r="H708" s="134"/>
    </row>
    <row r="709" ht="15.75" customHeight="1">
      <c r="A709" s="194">
        <v>43956.0</v>
      </c>
      <c r="B709" s="107" t="s">
        <v>2789</v>
      </c>
      <c r="C709" s="121" t="s">
        <v>3192</v>
      </c>
      <c r="D709" s="121">
        <f>+923333961798</f>
        <v>923333961798</v>
      </c>
      <c r="E709" s="121" t="s">
        <v>3194</v>
      </c>
      <c r="F709" s="121" t="s">
        <v>1661</v>
      </c>
      <c r="G709" s="118" t="s">
        <v>684</v>
      </c>
      <c r="H709" s="134"/>
    </row>
    <row r="710" ht="15.75" customHeight="1">
      <c r="A710" s="194">
        <v>43956.0</v>
      </c>
      <c r="B710" s="107" t="s">
        <v>2789</v>
      </c>
      <c r="C710" s="121" t="s">
        <v>3739</v>
      </c>
      <c r="D710" s="121">
        <f>+923333190546</f>
        <v>923333190546</v>
      </c>
      <c r="E710" s="121" t="s">
        <v>3740</v>
      </c>
      <c r="F710" s="121" t="s">
        <v>1661</v>
      </c>
      <c r="G710" s="118" t="s">
        <v>2361</v>
      </c>
      <c r="H710" s="134"/>
    </row>
    <row r="711" ht="15.75" customHeight="1">
      <c r="A711" s="194">
        <v>43956.0</v>
      </c>
      <c r="B711" s="107" t="s">
        <v>2789</v>
      </c>
      <c r="C711" s="121" t="s">
        <v>3741</v>
      </c>
      <c r="D711" s="121">
        <f>+923212051555</f>
        <v>923212051555</v>
      </c>
      <c r="E711" s="121" t="s">
        <v>3742</v>
      </c>
      <c r="F711" s="121" t="s">
        <v>1661</v>
      </c>
      <c r="G711" s="118" t="s">
        <v>2361</v>
      </c>
      <c r="H711" s="134"/>
    </row>
    <row r="712" ht="15.75" customHeight="1">
      <c r="A712" s="194">
        <v>43956.0</v>
      </c>
      <c r="B712" s="107" t="s">
        <v>2789</v>
      </c>
      <c r="C712" s="121" t="s">
        <v>3743</v>
      </c>
      <c r="D712" s="121">
        <f>+923002197224</f>
        <v>923002197224</v>
      </c>
      <c r="E712" s="121" t="s">
        <v>3744</v>
      </c>
      <c r="F712" s="121" t="s">
        <v>742</v>
      </c>
      <c r="G712" s="118" t="s">
        <v>2361</v>
      </c>
      <c r="H712" s="134"/>
    </row>
    <row r="713" ht="15.75" customHeight="1">
      <c r="A713" s="194">
        <v>43956.0</v>
      </c>
      <c r="B713" s="107" t="s">
        <v>2789</v>
      </c>
      <c r="C713" s="121" t="s">
        <v>3745</v>
      </c>
      <c r="D713" s="121">
        <f>+923353015737</f>
        <v>923353015737</v>
      </c>
      <c r="E713" s="121" t="s">
        <v>3746</v>
      </c>
      <c r="F713" s="121" t="s">
        <v>1661</v>
      </c>
      <c r="G713" s="110" t="s">
        <v>2671</v>
      </c>
      <c r="H713" s="134"/>
    </row>
    <row r="714" ht="15.75" customHeight="1">
      <c r="A714" s="194">
        <v>43956.0</v>
      </c>
      <c r="B714" s="107" t="s">
        <v>2789</v>
      </c>
      <c r="C714" s="121" t="s">
        <v>3747</v>
      </c>
      <c r="D714" s="121">
        <f>+923332196373</f>
        <v>923332196373</v>
      </c>
      <c r="E714" s="121" t="s">
        <v>3748</v>
      </c>
      <c r="F714" s="121" t="s">
        <v>1664</v>
      </c>
      <c r="G714" s="110" t="s">
        <v>2671</v>
      </c>
      <c r="H714" s="134"/>
    </row>
    <row r="715" ht="15.75" customHeight="1">
      <c r="A715" s="194">
        <v>43956.0</v>
      </c>
      <c r="B715" s="107" t="s">
        <v>2789</v>
      </c>
      <c r="C715" s="121" t="s">
        <v>3749</v>
      </c>
      <c r="D715" s="121">
        <v>3.333615329E9</v>
      </c>
      <c r="E715" s="121" t="s">
        <v>3750</v>
      </c>
      <c r="F715" s="121" t="s">
        <v>742</v>
      </c>
      <c r="G715" s="110" t="s">
        <v>3555</v>
      </c>
      <c r="H715" s="134"/>
    </row>
    <row r="716" ht="15.75" customHeight="1">
      <c r="A716" s="194">
        <v>43956.0</v>
      </c>
      <c r="B716" s="107" t="s">
        <v>2789</v>
      </c>
      <c r="C716" s="121" t="s">
        <v>3751</v>
      </c>
      <c r="D716" s="121">
        <f>+923000282960</f>
        <v>923000282960</v>
      </c>
      <c r="E716" s="121" t="s">
        <v>3752</v>
      </c>
      <c r="F716" s="121" t="s">
        <v>1661</v>
      </c>
      <c r="G716" s="110" t="s">
        <v>3555</v>
      </c>
      <c r="H716" s="134"/>
    </row>
    <row r="717" ht="15.75" customHeight="1">
      <c r="A717" s="194">
        <v>43956.0</v>
      </c>
      <c r="B717" s="107" t="s">
        <v>2789</v>
      </c>
      <c r="C717" s="121" t="s">
        <v>3753</v>
      </c>
      <c r="D717" s="121">
        <f>+923343544058</f>
        <v>923343544058</v>
      </c>
      <c r="E717" s="121" t="s">
        <v>3754</v>
      </c>
      <c r="F717" s="121" t="s">
        <v>2334</v>
      </c>
      <c r="G717" s="118" t="s">
        <v>2331</v>
      </c>
      <c r="H717" s="134"/>
    </row>
    <row r="718" ht="15.75" customHeight="1">
      <c r="A718" s="194">
        <v>43956.0</v>
      </c>
      <c r="B718" s="107" t="s">
        <v>2789</v>
      </c>
      <c r="C718" s="121" t="s">
        <v>3755</v>
      </c>
      <c r="D718" s="121">
        <f>+923218007475</f>
        <v>923218007475</v>
      </c>
      <c r="E718" s="121" t="s">
        <v>3756</v>
      </c>
      <c r="F718" s="121" t="s">
        <v>742</v>
      </c>
      <c r="G718" s="118" t="s">
        <v>2331</v>
      </c>
      <c r="H718" s="134"/>
    </row>
    <row r="719" ht="15.75" customHeight="1">
      <c r="A719" s="194">
        <v>43956.0</v>
      </c>
      <c r="B719" s="107" t="s">
        <v>2789</v>
      </c>
      <c r="C719" s="121" t="s">
        <v>3757</v>
      </c>
      <c r="D719" s="121">
        <f>+923002470248</f>
        <v>923002470248</v>
      </c>
      <c r="E719" s="121" t="s">
        <v>3758</v>
      </c>
      <c r="F719" s="121" t="s">
        <v>1661</v>
      </c>
      <c r="G719" s="118" t="s">
        <v>2671</v>
      </c>
      <c r="H719" s="134"/>
    </row>
    <row r="720" ht="15.75" customHeight="1">
      <c r="A720" s="194">
        <v>43956.0</v>
      </c>
      <c r="B720" s="107" t="s">
        <v>2789</v>
      </c>
      <c r="C720" s="121" t="s">
        <v>3759</v>
      </c>
      <c r="D720" s="121">
        <f>+923218998566</f>
        <v>923218998566</v>
      </c>
      <c r="E720" s="121" t="s">
        <v>3760</v>
      </c>
      <c r="F720" s="121" t="s">
        <v>742</v>
      </c>
      <c r="G720" s="118" t="s">
        <v>684</v>
      </c>
      <c r="H720" s="134"/>
    </row>
    <row r="721" ht="15.75" customHeight="1">
      <c r="A721" s="194">
        <v>43956.0</v>
      </c>
      <c r="B721" s="107" t="s">
        <v>2789</v>
      </c>
      <c r="C721" s="121" t="s">
        <v>3761</v>
      </c>
      <c r="D721" s="121">
        <f>+923453059243</f>
        <v>923453059243</v>
      </c>
      <c r="E721" s="121" t="s">
        <v>3762</v>
      </c>
      <c r="F721" s="121" t="s">
        <v>2334</v>
      </c>
      <c r="G721" s="118" t="s">
        <v>684</v>
      </c>
      <c r="H721" s="134"/>
    </row>
    <row r="722" ht="15.75" customHeight="1">
      <c r="A722" s="194">
        <v>43956.0</v>
      </c>
      <c r="B722" s="107" t="s">
        <v>2789</v>
      </c>
      <c r="C722" s="121" t="s">
        <v>3763</v>
      </c>
      <c r="D722" s="121">
        <f>+923368177826</f>
        <v>923368177826</v>
      </c>
      <c r="E722" s="121" t="s">
        <v>3764</v>
      </c>
      <c r="F722" s="121" t="s">
        <v>742</v>
      </c>
      <c r="G722" s="118" t="s">
        <v>2361</v>
      </c>
      <c r="H722" s="134"/>
    </row>
    <row r="723" ht="15.75" customHeight="1">
      <c r="A723" s="194">
        <v>43956.0</v>
      </c>
      <c r="B723" s="107" t="s">
        <v>2789</v>
      </c>
      <c r="C723" s="121" t="s">
        <v>3765</v>
      </c>
      <c r="D723" s="121">
        <f>+923468214267</f>
        <v>923468214267</v>
      </c>
      <c r="E723" s="121" t="s">
        <v>3766</v>
      </c>
      <c r="F723" s="121" t="s">
        <v>1664</v>
      </c>
      <c r="G723" s="118" t="s">
        <v>2361</v>
      </c>
      <c r="H723" s="134"/>
    </row>
    <row r="724" ht="15.75" customHeight="1">
      <c r="A724" s="194">
        <v>43956.0</v>
      </c>
      <c r="B724" s="107" t="s">
        <v>2789</v>
      </c>
      <c r="C724" s="121" t="s">
        <v>3767</v>
      </c>
      <c r="D724" s="121">
        <f>+923002599915</f>
        <v>923002599915</v>
      </c>
      <c r="E724" s="121" t="s">
        <v>3768</v>
      </c>
      <c r="F724" s="121" t="s">
        <v>1664</v>
      </c>
      <c r="G724" s="118" t="s">
        <v>2361</v>
      </c>
      <c r="H724" s="134"/>
    </row>
    <row r="725" ht="15.75" customHeight="1">
      <c r="A725" s="194">
        <v>43956.0</v>
      </c>
      <c r="B725" s="107" t="s">
        <v>2789</v>
      </c>
      <c r="C725" s="121" t="s">
        <v>3769</v>
      </c>
      <c r="D725" s="121">
        <f>+923345314687</f>
        <v>923345314687</v>
      </c>
      <c r="E725" s="121" t="s">
        <v>3770</v>
      </c>
      <c r="F725" s="121" t="s">
        <v>742</v>
      </c>
      <c r="G725" s="118" t="s">
        <v>3555</v>
      </c>
      <c r="H725" s="134"/>
    </row>
    <row r="726" ht="15.75" customHeight="1">
      <c r="A726" s="194">
        <v>43956.0</v>
      </c>
      <c r="B726" s="107" t="s">
        <v>2789</v>
      </c>
      <c r="C726" s="121" t="s">
        <v>3771</v>
      </c>
      <c r="D726" s="121">
        <f>+923359999011</f>
        <v>923359999011</v>
      </c>
      <c r="E726" s="121" t="s">
        <v>3772</v>
      </c>
      <c r="F726" s="121" t="s">
        <v>1661</v>
      </c>
      <c r="G726" s="118" t="s">
        <v>3555</v>
      </c>
      <c r="H726" s="134"/>
    </row>
    <row r="727" ht="15.75" customHeight="1">
      <c r="A727" s="194">
        <v>43956.0</v>
      </c>
      <c r="B727" s="107" t="s">
        <v>2789</v>
      </c>
      <c r="C727" s="121" t="s">
        <v>3773</v>
      </c>
      <c r="D727" s="121">
        <f>+923333588766</f>
        <v>923333588766</v>
      </c>
      <c r="E727" s="121" t="s">
        <v>3774</v>
      </c>
      <c r="F727" s="121" t="s">
        <v>1664</v>
      </c>
      <c r="G727" s="118" t="s">
        <v>684</v>
      </c>
      <c r="H727" s="134"/>
    </row>
    <row r="728" ht="15.75" customHeight="1">
      <c r="A728" s="194">
        <v>43956.0</v>
      </c>
      <c r="B728" s="107" t="s">
        <v>2789</v>
      </c>
      <c r="C728" s="121" t="s">
        <v>3775</v>
      </c>
      <c r="D728" s="121">
        <f>+9203342209733</f>
        <v>9203342209733</v>
      </c>
      <c r="E728" s="121" t="s">
        <v>3776</v>
      </c>
      <c r="F728" s="121" t="s">
        <v>1664</v>
      </c>
      <c r="G728" s="118" t="s">
        <v>2671</v>
      </c>
      <c r="H728" s="134"/>
    </row>
    <row r="729" ht="15.75" customHeight="1">
      <c r="A729" s="194">
        <v>43956.0</v>
      </c>
      <c r="B729" s="107" t="s">
        <v>2789</v>
      </c>
      <c r="C729" s="121" t="s">
        <v>3777</v>
      </c>
      <c r="D729" s="121">
        <f>+923218231190</f>
        <v>923218231190</v>
      </c>
      <c r="E729" s="121" t="s">
        <v>3778</v>
      </c>
      <c r="F729" s="121" t="s">
        <v>1661</v>
      </c>
      <c r="G729" s="118" t="s">
        <v>2788</v>
      </c>
      <c r="H729" s="134"/>
    </row>
    <row r="730" ht="15.75" customHeight="1">
      <c r="A730" s="194">
        <v>43958.0</v>
      </c>
      <c r="B730" s="107" t="s">
        <v>2789</v>
      </c>
      <c r="C730" s="121" t="s">
        <v>3779</v>
      </c>
      <c r="D730" s="121">
        <f>+923232456762</f>
        <v>923232456762</v>
      </c>
      <c r="E730" s="121" t="s">
        <v>3780</v>
      </c>
      <c r="F730" s="121" t="s">
        <v>1661</v>
      </c>
      <c r="G730" s="118" t="s">
        <v>2788</v>
      </c>
      <c r="H730" s="134"/>
    </row>
    <row r="731" ht="15.75" customHeight="1">
      <c r="A731" s="194">
        <v>43958.0</v>
      </c>
      <c r="B731" s="107" t="s">
        <v>2789</v>
      </c>
      <c r="C731" s="121" t="s">
        <v>3781</v>
      </c>
      <c r="D731" s="121">
        <f>+923468283550</f>
        <v>923468283550</v>
      </c>
      <c r="E731" s="121" t="s">
        <v>3782</v>
      </c>
      <c r="F731" s="121" t="s">
        <v>1661</v>
      </c>
      <c r="G731" s="118" t="s">
        <v>2361</v>
      </c>
      <c r="H731" s="134"/>
    </row>
    <row r="732" ht="15.75" customHeight="1">
      <c r="A732" s="194">
        <v>43958.0</v>
      </c>
      <c r="B732" s="107" t="s">
        <v>2789</v>
      </c>
      <c r="C732" s="121" t="s">
        <v>3783</v>
      </c>
      <c r="D732" s="121">
        <f>+923312060743</f>
        <v>923312060743</v>
      </c>
      <c r="E732" s="121" t="s">
        <v>3784</v>
      </c>
      <c r="F732" s="121" t="s">
        <v>2334</v>
      </c>
      <c r="G732" s="118" t="s">
        <v>2671</v>
      </c>
      <c r="H732" s="134"/>
    </row>
    <row r="733" ht="15.75" customHeight="1">
      <c r="A733" s="194">
        <v>43958.0</v>
      </c>
      <c r="B733" s="107" t="s">
        <v>2789</v>
      </c>
      <c r="C733" s="121" t="s">
        <v>3785</v>
      </c>
      <c r="D733" s="121">
        <f>+923353772546</f>
        <v>923353772546</v>
      </c>
      <c r="E733" s="121" t="s">
        <v>3786</v>
      </c>
      <c r="F733" s="121" t="s">
        <v>742</v>
      </c>
      <c r="G733" s="118" t="s">
        <v>2797</v>
      </c>
      <c r="H733" s="134"/>
    </row>
    <row r="734" ht="15.75" customHeight="1">
      <c r="A734" s="45"/>
      <c r="B734" s="107" t="s">
        <v>2789</v>
      </c>
      <c r="C734" s="199" t="s">
        <v>3787</v>
      </c>
      <c r="D734" s="200" t="s">
        <v>3788</v>
      </c>
      <c r="E734" s="201" t="s">
        <v>3789</v>
      </c>
      <c r="F734" s="121"/>
      <c r="G734" s="118"/>
      <c r="H734" s="134"/>
    </row>
    <row r="735" ht="15.75" customHeight="1">
      <c r="A735" s="202">
        <v>43959.0</v>
      </c>
      <c r="B735" s="107" t="s">
        <v>2789</v>
      </c>
      <c r="C735" s="121" t="s">
        <v>3790</v>
      </c>
      <c r="D735" s="121">
        <f>+923337395399</f>
        <v>923337395399</v>
      </c>
      <c r="E735" s="121" t="s">
        <v>3791</v>
      </c>
      <c r="F735" s="121" t="s">
        <v>2334</v>
      </c>
      <c r="G735" s="118"/>
      <c r="H735" s="134"/>
    </row>
    <row r="736" ht="15.75" customHeight="1">
      <c r="A736" s="202">
        <v>43959.0</v>
      </c>
      <c r="B736" s="107" t="s">
        <v>2789</v>
      </c>
      <c r="C736" s="121" t="s">
        <v>3792</v>
      </c>
      <c r="D736" s="121">
        <f>+923332311922</f>
        <v>923332311922</v>
      </c>
      <c r="E736" s="121" t="s">
        <v>3793</v>
      </c>
      <c r="F736" s="121" t="s">
        <v>1661</v>
      </c>
      <c r="G736" s="118"/>
      <c r="H736" s="134"/>
    </row>
    <row r="737" ht="15.75" customHeight="1">
      <c r="A737" s="202">
        <v>43959.0</v>
      </c>
      <c r="B737" s="107" t="s">
        <v>2789</v>
      </c>
      <c r="C737" s="121" t="s">
        <v>3794</v>
      </c>
      <c r="D737" s="121">
        <f>+923003399448</f>
        <v>923003399448</v>
      </c>
      <c r="E737" s="121" t="s">
        <v>3795</v>
      </c>
      <c r="F737" s="121" t="s">
        <v>1661</v>
      </c>
      <c r="G737" s="118"/>
      <c r="H737" s="134"/>
    </row>
    <row r="738" ht="15.75" customHeight="1">
      <c r="A738" s="202">
        <v>43959.0</v>
      </c>
      <c r="B738" s="107" t="s">
        <v>2789</v>
      </c>
      <c r="C738" s="121" t="s">
        <v>3796</v>
      </c>
      <c r="D738" s="121">
        <f>+923402376183</f>
        <v>923402376183</v>
      </c>
      <c r="E738" s="121" t="s">
        <v>3797</v>
      </c>
      <c r="F738" s="121" t="s">
        <v>1661</v>
      </c>
      <c r="G738" s="118"/>
      <c r="H738" s="134"/>
    </row>
    <row r="739" ht="15.75" customHeight="1">
      <c r="A739" s="202">
        <v>43959.0</v>
      </c>
      <c r="B739" s="107" t="s">
        <v>2789</v>
      </c>
      <c r="C739" s="121" t="s">
        <v>3798</v>
      </c>
      <c r="D739" s="121">
        <f>+92332447766</f>
        <v>92332447766</v>
      </c>
      <c r="E739" s="121" t="s">
        <v>3799</v>
      </c>
      <c r="F739" s="121" t="s">
        <v>1661</v>
      </c>
      <c r="G739" s="118"/>
      <c r="H739" s="134"/>
    </row>
    <row r="740" ht="15.75" customHeight="1">
      <c r="A740" s="202">
        <v>43959.0</v>
      </c>
      <c r="B740" s="107" t="s">
        <v>2789</v>
      </c>
      <c r="C740" s="121" t="s">
        <v>3800</v>
      </c>
      <c r="D740" s="121">
        <f>+923133986768</f>
        <v>923133986768</v>
      </c>
      <c r="E740" s="121" t="s">
        <v>3801</v>
      </c>
      <c r="F740" s="121" t="s">
        <v>1661</v>
      </c>
      <c r="G740" s="118"/>
      <c r="H740" s="134"/>
    </row>
    <row r="741" ht="15.75" customHeight="1">
      <c r="A741" s="202">
        <v>43959.0</v>
      </c>
      <c r="B741" s="107" t="s">
        <v>2789</v>
      </c>
      <c r="C741" s="121" t="s">
        <v>3777</v>
      </c>
      <c r="D741" s="121">
        <f>+923218434681</f>
        <v>923218434681</v>
      </c>
      <c r="E741" s="121" t="s">
        <v>3802</v>
      </c>
      <c r="F741" s="121" t="s">
        <v>2334</v>
      </c>
      <c r="G741" s="118"/>
      <c r="H741" s="134"/>
    </row>
    <row r="742" ht="15.75" customHeight="1">
      <c r="A742" s="202">
        <v>43959.0</v>
      </c>
      <c r="B742" s="107" t="s">
        <v>2789</v>
      </c>
      <c r="C742" s="121" t="s">
        <v>3803</v>
      </c>
      <c r="D742" s="121">
        <f>+923000061121</f>
        <v>923000061121</v>
      </c>
      <c r="E742" s="121" t="s">
        <v>3804</v>
      </c>
      <c r="F742" s="121" t="s">
        <v>1661</v>
      </c>
      <c r="G742" s="118"/>
      <c r="H742" s="134"/>
    </row>
    <row r="743" ht="15.75" customHeight="1">
      <c r="A743" s="202">
        <v>43959.0</v>
      </c>
      <c r="B743" s="107" t="s">
        <v>2789</v>
      </c>
      <c r="C743" s="121" t="s">
        <v>3805</v>
      </c>
      <c r="D743" s="121">
        <f>+923002921765</f>
        <v>923002921765</v>
      </c>
      <c r="E743" s="121" t="s">
        <v>3806</v>
      </c>
      <c r="F743" s="121" t="s">
        <v>1661</v>
      </c>
      <c r="G743" s="118"/>
      <c r="H743" s="134"/>
    </row>
    <row r="744" ht="15.75" customHeight="1">
      <c r="A744" s="202">
        <v>43960.0</v>
      </c>
      <c r="B744" s="107" t="s">
        <v>2789</v>
      </c>
      <c r="C744" s="121" t="s">
        <v>3807</v>
      </c>
      <c r="D744" s="121">
        <f>+923142041694</f>
        <v>923142041694</v>
      </c>
      <c r="E744" s="121" t="s">
        <v>3808</v>
      </c>
      <c r="F744" s="121" t="s">
        <v>1661</v>
      </c>
      <c r="G744" s="118"/>
      <c r="H744" s="134"/>
    </row>
    <row r="745" ht="15.75" customHeight="1">
      <c r="A745" s="202">
        <v>43960.0</v>
      </c>
      <c r="B745" s="107" t="s">
        <v>2789</v>
      </c>
      <c r="C745" s="121" t="s">
        <v>3809</v>
      </c>
      <c r="D745" s="121">
        <f>+9203332158357</f>
        <v>9203332158357</v>
      </c>
      <c r="E745" s="121" t="s">
        <v>3810</v>
      </c>
      <c r="F745" s="121" t="s">
        <v>1664</v>
      </c>
      <c r="G745" s="118"/>
      <c r="H745" s="134"/>
    </row>
    <row r="746" ht="15.75" customHeight="1">
      <c r="A746" s="202">
        <v>43960.0</v>
      </c>
      <c r="B746" s="107" t="s">
        <v>2789</v>
      </c>
      <c r="C746" s="121" t="s">
        <v>3811</v>
      </c>
      <c r="D746" s="121">
        <f>+9203222056805</f>
        <v>9203222056805</v>
      </c>
      <c r="E746" s="121" t="s">
        <v>3812</v>
      </c>
      <c r="F746" s="121" t="s">
        <v>1661</v>
      </c>
      <c r="G746" s="118"/>
      <c r="H746" s="134"/>
    </row>
    <row r="747" ht="15.75" customHeight="1">
      <c r="A747" s="202">
        <v>43960.0</v>
      </c>
      <c r="B747" s="107" t="s">
        <v>2789</v>
      </c>
      <c r="C747" s="121" t="s">
        <v>3813</v>
      </c>
      <c r="D747" s="121">
        <f>+923322226456</f>
        <v>923322226456</v>
      </c>
      <c r="E747" s="121" t="s">
        <v>3814</v>
      </c>
      <c r="F747" s="121" t="s">
        <v>1664</v>
      </c>
      <c r="G747" s="118"/>
      <c r="H747" s="134"/>
    </row>
    <row r="748" ht="15.75" customHeight="1">
      <c r="A748" s="202">
        <v>43960.0</v>
      </c>
      <c r="B748" s="107" t="s">
        <v>2789</v>
      </c>
      <c r="C748" s="121" t="s">
        <v>3209</v>
      </c>
      <c r="D748" s="121">
        <f>+9203333422711</f>
        <v>9203333422711</v>
      </c>
      <c r="E748" s="121" t="s">
        <v>3210</v>
      </c>
      <c r="F748" s="121" t="s">
        <v>742</v>
      </c>
      <c r="G748" s="118"/>
      <c r="H748" s="134"/>
    </row>
    <row r="749" ht="15.75" customHeight="1">
      <c r="A749" s="202">
        <v>43960.0</v>
      </c>
      <c r="B749" s="107" t="s">
        <v>2789</v>
      </c>
      <c r="C749" s="121" t="s">
        <v>3815</v>
      </c>
      <c r="D749" s="121">
        <f>+923008151699</f>
        <v>923008151699</v>
      </c>
      <c r="E749" s="121" t="s">
        <v>3816</v>
      </c>
      <c r="F749" s="121" t="s">
        <v>2334</v>
      </c>
      <c r="G749" s="118"/>
      <c r="H749" s="134"/>
    </row>
    <row r="750" ht="15.75" customHeight="1">
      <c r="A750" s="202">
        <v>43960.0</v>
      </c>
      <c r="B750" s="107" t="s">
        <v>2789</v>
      </c>
      <c r="C750" s="121" t="s">
        <v>3817</v>
      </c>
      <c r="D750" s="121">
        <f>+96893781911</f>
        <v>96893781911</v>
      </c>
      <c r="E750" s="121" t="s">
        <v>3818</v>
      </c>
      <c r="F750" s="121" t="s">
        <v>1664</v>
      </c>
      <c r="G750" s="118"/>
      <c r="H750" s="134"/>
    </row>
    <row r="751" ht="15.75" customHeight="1">
      <c r="A751" s="202">
        <v>43960.0</v>
      </c>
      <c r="B751" s="107" t="s">
        <v>2789</v>
      </c>
      <c r="C751" s="121" t="s">
        <v>3819</v>
      </c>
      <c r="D751" s="121">
        <f>+923333766525</f>
        <v>923333766525</v>
      </c>
      <c r="E751" s="121" t="s">
        <v>3820</v>
      </c>
      <c r="F751" s="121" t="s">
        <v>1661</v>
      </c>
      <c r="G751" s="118"/>
      <c r="H751" s="134"/>
    </row>
    <row r="752" ht="15.75" customHeight="1">
      <c r="A752" s="202">
        <v>43960.0</v>
      </c>
      <c r="B752" s="107" t="s">
        <v>2789</v>
      </c>
      <c r="C752" s="121" t="s">
        <v>3821</v>
      </c>
      <c r="D752" s="121">
        <f>+923008240465</f>
        <v>923008240465</v>
      </c>
      <c r="E752" s="121" t="s">
        <v>3822</v>
      </c>
      <c r="F752" s="121" t="s">
        <v>1661</v>
      </c>
      <c r="G752" s="118"/>
      <c r="H752" s="134"/>
    </row>
    <row r="753" ht="15.75" customHeight="1">
      <c r="A753" s="202">
        <v>43960.0</v>
      </c>
      <c r="B753" s="107" t="s">
        <v>2789</v>
      </c>
      <c r="C753" s="121" t="s">
        <v>3823</v>
      </c>
      <c r="D753" s="121">
        <f>+9203131175979</f>
        <v>9203131175979</v>
      </c>
      <c r="E753" s="121" t="s">
        <v>3824</v>
      </c>
      <c r="F753" s="121" t="s">
        <v>2334</v>
      </c>
      <c r="G753" s="118"/>
      <c r="H753" s="134"/>
    </row>
    <row r="754" ht="15.75" customHeight="1">
      <c r="A754" s="202">
        <v>43961.0</v>
      </c>
      <c r="B754" s="107" t="s">
        <v>2789</v>
      </c>
      <c r="C754" s="121" t="s">
        <v>3825</v>
      </c>
      <c r="D754" s="121">
        <f>+923005772843</f>
        <v>923005772843</v>
      </c>
      <c r="E754" s="121" t="s">
        <v>3826</v>
      </c>
      <c r="F754" s="121" t="s">
        <v>1664</v>
      </c>
      <c r="G754" s="118"/>
      <c r="H754" s="134"/>
    </row>
    <row r="755" ht="15.75" customHeight="1">
      <c r="A755" s="202">
        <v>43961.0</v>
      </c>
      <c r="B755" s="107" t="s">
        <v>2789</v>
      </c>
      <c r="C755" s="121" t="s">
        <v>3827</v>
      </c>
      <c r="D755" s="121">
        <f>+923351283348</f>
        <v>923351283348</v>
      </c>
      <c r="E755" s="121" t="s">
        <v>3828</v>
      </c>
      <c r="F755" s="121" t="s">
        <v>1664</v>
      </c>
      <c r="G755" s="118"/>
      <c r="H755" s="134"/>
    </row>
    <row r="756" ht="15.75" customHeight="1">
      <c r="A756" s="202">
        <v>43961.0</v>
      </c>
      <c r="B756" s="107" t="s">
        <v>2789</v>
      </c>
      <c r="C756" s="121" t="s">
        <v>3829</v>
      </c>
      <c r="D756" s="121">
        <f>+923332263804</f>
        <v>923332263804</v>
      </c>
      <c r="E756" s="121" t="s">
        <v>3830</v>
      </c>
      <c r="F756" s="121" t="s">
        <v>742</v>
      </c>
      <c r="G756" s="118"/>
      <c r="H756" s="134"/>
    </row>
    <row r="757" ht="15.75" customHeight="1">
      <c r="A757" s="202">
        <v>43961.0</v>
      </c>
      <c r="B757" s="107" t="s">
        <v>2789</v>
      </c>
      <c r="C757" s="121" t="s">
        <v>3831</v>
      </c>
      <c r="D757" s="121">
        <f>+923002052470</f>
        <v>923002052470</v>
      </c>
      <c r="E757" s="121" t="s">
        <v>3832</v>
      </c>
      <c r="F757" s="121" t="s">
        <v>742</v>
      </c>
      <c r="G757" s="118"/>
      <c r="H757" s="134"/>
    </row>
    <row r="758" ht="15.75" customHeight="1">
      <c r="A758" s="202">
        <v>43961.0</v>
      </c>
      <c r="B758" s="107" t="s">
        <v>2789</v>
      </c>
      <c r="C758" s="121" t="s">
        <v>3833</v>
      </c>
      <c r="D758" s="121">
        <f>+923002124774</f>
        <v>923002124774</v>
      </c>
      <c r="E758" s="121" t="s">
        <v>3834</v>
      </c>
      <c r="F758" s="121" t="s">
        <v>742</v>
      </c>
      <c r="G758" s="118"/>
      <c r="H758" s="134"/>
    </row>
    <row r="759" ht="15.75" customHeight="1">
      <c r="A759" s="202">
        <v>43961.0</v>
      </c>
      <c r="B759" s="107" t="s">
        <v>2789</v>
      </c>
      <c r="C759" s="121" t="s">
        <v>3835</v>
      </c>
      <c r="D759" s="121">
        <f>+92487811866</f>
        <v>92487811866</v>
      </c>
      <c r="E759" s="121" t="s">
        <v>3836</v>
      </c>
      <c r="F759" s="121" t="s">
        <v>1664</v>
      </c>
      <c r="G759" s="118"/>
      <c r="H759" s="134"/>
    </row>
    <row r="760" ht="15.75" customHeight="1">
      <c r="A760" s="202">
        <v>43961.0</v>
      </c>
      <c r="B760" s="107" t="s">
        <v>2789</v>
      </c>
      <c r="C760" s="121" t="s">
        <v>3837</v>
      </c>
      <c r="D760" s="121">
        <f>+923333244110</f>
        <v>923333244110</v>
      </c>
      <c r="E760" s="121" t="s">
        <v>3838</v>
      </c>
      <c r="F760" s="121" t="s">
        <v>2334</v>
      </c>
      <c r="G760" s="118"/>
      <c r="H760" s="134"/>
    </row>
    <row r="761" ht="15.75" customHeight="1">
      <c r="A761" s="202">
        <v>43961.0</v>
      </c>
      <c r="B761" s="107" t="s">
        <v>2789</v>
      </c>
      <c r="C761" s="121" t="s">
        <v>3839</v>
      </c>
      <c r="D761" s="121">
        <f>+923213101000</f>
        <v>923213101000</v>
      </c>
      <c r="E761" s="121" t="s">
        <v>3840</v>
      </c>
      <c r="F761" s="121" t="s">
        <v>1661</v>
      </c>
      <c r="G761" s="118"/>
      <c r="H761" s="134"/>
    </row>
    <row r="762" ht="15.75" customHeight="1">
      <c r="A762" s="202">
        <v>43961.0</v>
      </c>
      <c r="B762" s="107" t="s">
        <v>2789</v>
      </c>
      <c r="C762" s="121" t="s">
        <v>3841</v>
      </c>
      <c r="D762" s="121">
        <f>+923333715350</f>
        <v>923333715350</v>
      </c>
      <c r="E762" s="121" t="s">
        <v>3842</v>
      </c>
      <c r="F762" s="121" t="s">
        <v>1661</v>
      </c>
      <c r="G762" s="118"/>
      <c r="H762" s="134"/>
    </row>
    <row r="763" ht="15.75" customHeight="1">
      <c r="A763" s="202">
        <v>43961.0</v>
      </c>
      <c r="B763" s="45" t="s">
        <v>2789</v>
      </c>
      <c r="C763" s="121" t="s">
        <v>3843</v>
      </c>
      <c r="D763" s="121">
        <f>+923333694397</f>
        <v>923333694397</v>
      </c>
      <c r="E763" s="121" t="s">
        <v>3844</v>
      </c>
      <c r="F763" s="121" t="s">
        <v>742</v>
      </c>
      <c r="G763" s="118"/>
      <c r="H763" s="134"/>
    </row>
    <row r="764" ht="15.75" customHeight="1">
      <c r="A764" s="202">
        <v>43962.0</v>
      </c>
      <c r="B764" s="45" t="s">
        <v>2789</v>
      </c>
      <c r="C764" s="203" t="s">
        <v>3845</v>
      </c>
      <c r="D764" s="203">
        <f>+923222257918</f>
        <v>923222257918</v>
      </c>
      <c r="E764" s="203" t="s">
        <v>3846</v>
      </c>
      <c r="F764" s="203" t="s">
        <v>742</v>
      </c>
      <c r="G764" s="204" t="s">
        <v>684</v>
      </c>
      <c r="H764" s="134"/>
    </row>
    <row r="765" ht="15.75" customHeight="1">
      <c r="A765" s="202">
        <v>43962.0</v>
      </c>
      <c r="B765" s="45" t="s">
        <v>2789</v>
      </c>
      <c r="C765" s="203" t="s">
        <v>3847</v>
      </c>
      <c r="D765" s="203">
        <f>+923335240141</f>
        <v>923335240141</v>
      </c>
      <c r="E765" s="203" t="s">
        <v>3848</v>
      </c>
      <c r="F765" s="203" t="s">
        <v>1661</v>
      </c>
      <c r="G765" s="204" t="s">
        <v>684</v>
      </c>
      <c r="H765" s="134"/>
    </row>
    <row r="766" ht="15.75" customHeight="1">
      <c r="A766" s="202">
        <v>43962.0</v>
      </c>
      <c r="B766" s="45" t="s">
        <v>2789</v>
      </c>
      <c r="C766" s="203" t="s">
        <v>3849</v>
      </c>
      <c r="D766" s="203">
        <f>+923008225837</f>
        <v>923008225837</v>
      </c>
      <c r="E766" s="203" t="s">
        <v>3850</v>
      </c>
      <c r="F766" s="203" t="s">
        <v>742</v>
      </c>
      <c r="G766" s="204" t="s">
        <v>2361</v>
      </c>
      <c r="H766" s="134"/>
    </row>
    <row r="767" ht="15.75" customHeight="1">
      <c r="A767" s="202">
        <v>43962.0</v>
      </c>
      <c r="B767" s="45" t="s">
        <v>2789</v>
      </c>
      <c r="C767" s="203" t="s">
        <v>3851</v>
      </c>
      <c r="D767" s="203">
        <f>+923357700106</f>
        <v>923357700106</v>
      </c>
      <c r="E767" s="203" t="s">
        <v>3852</v>
      </c>
      <c r="F767" s="203" t="s">
        <v>1661</v>
      </c>
      <c r="G767" s="204" t="s">
        <v>2361</v>
      </c>
      <c r="H767" s="134"/>
    </row>
    <row r="768" ht="15.75" customHeight="1">
      <c r="A768" s="202">
        <v>43962.0</v>
      </c>
      <c r="B768" s="45" t="s">
        <v>2789</v>
      </c>
      <c r="C768" s="203" t="s">
        <v>3853</v>
      </c>
      <c r="D768" s="203">
        <f>+9203043545215</f>
        <v>9203043545215</v>
      </c>
      <c r="E768" s="203" t="s">
        <v>3854</v>
      </c>
      <c r="F768" s="203" t="s">
        <v>1661</v>
      </c>
      <c r="G768" s="204" t="s">
        <v>3855</v>
      </c>
      <c r="H768" s="134"/>
    </row>
    <row r="769" ht="15.75" customHeight="1">
      <c r="A769" s="202">
        <v>43962.0</v>
      </c>
      <c r="B769" s="45" t="s">
        <v>2789</v>
      </c>
      <c r="C769" s="203" t="s">
        <v>3856</v>
      </c>
      <c r="D769" s="203">
        <f>+923152990878</f>
        <v>923152990878</v>
      </c>
      <c r="E769" s="203" t="s">
        <v>3857</v>
      </c>
      <c r="F769" s="203" t="s">
        <v>1664</v>
      </c>
      <c r="G769" s="204" t="s">
        <v>3555</v>
      </c>
      <c r="H769" s="134"/>
    </row>
    <row r="770" ht="15.75" customHeight="1">
      <c r="A770" s="202">
        <v>43962.0</v>
      </c>
      <c r="B770" s="45" t="s">
        <v>2789</v>
      </c>
      <c r="C770" s="203" t="s">
        <v>3858</v>
      </c>
      <c r="D770" s="203">
        <f>+923133244444</f>
        <v>923133244444</v>
      </c>
      <c r="E770" s="203" t="s">
        <v>3859</v>
      </c>
      <c r="F770" s="203" t="s">
        <v>1661</v>
      </c>
      <c r="G770" s="204" t="s">
        <v>3555</v>
      </c>
      <c r="H770" s="134"/>
    </row>
    <row r="771" ht="15.75" customHeight="1">
      <c r="A771" s="202">
        <v>43964.0</v>
      </c>
      <c r="B771" s="45" t="s">
        <v>2789</v>
      </c>
      <c r="C771" s="121" t="s">
        <v>3860</v>
      </c>
      <c r="D771" s="121">
        <f>+923218713256</f>
        <v>923218713256</v>
      </c>
      <c r="E771" s="121" t="s">
        <v>3861</v>
      </c>
      <c r="F771" s="121" t="s">
        <v>1661</v>
      </c>
      <c r="G771" s="118"/>
      <c r="H771" s="134"/>
    </row>
    <row r="772" ht="15.75" customHeight="1">
      <c r="A772" s="202">
        <v>43964.0</v>
      </c>
      <c r="B772" s="45" t="s">
        <v>2789</v>
      </c>
      <c r="C772" s="121" t="s">
        <v>3862</v>
      </c>
      <c r="D772" s="121">
        <f>+923028600535</f>
        <v>923028600535</v>
      </c>
      <c r="E772" s="121" t="s">
        <v>3863</v>
      </c>
      <c r="F772" s="121" t="s">
        <v>742</v>
      </c>
      <c r="G772" s="118"/>
      <c r="H772" s="134"/>
    </row>
    <row r="773" ht="15.75" customHeight="1">
      <c r="A773" s="202">
        <v>43964.0</v>
      </c>
      <c r="B773" s="45" t="s">
        <v>2789</v>
      </c>
      <c r="C773" s="121" t="s">
        <v>3864</v>
      </c>
      <c r="D773" s="121">
        <f>+923000991569</f>
        <v>923000991569</v>
      </c>
      <c r="E773" s="121" t="s">
        <v>3865</v>
      </c>
      <c r="F773" s="121" t="s">
        <v>1661</v>
      </c>
      <c r="G773" s="118"/>
      <c r="H773" s="134"/>
    </row>
    <row r="774" ht="15.75" customHeight="1">
      <c r="A774" s="202">
        <v>43964.0</v>
      </c>
      <c r="B774" s="45" t="s">
        <v>2789</v>
      </c>
      <c r="C774" s="121" t="s">
        <v>3866</v>
      </c>
      <c r="D774" s="121">
        <f>+923333503716</f>
        <v>923333503716</v>
      </c>
      <c r="E774" s="121" t="s">
        <v>3867</v>
      </c>
      <c r="F774" s="121" t="s">
        <v>1661</v>
      </c>
      <c r="G774" s="118"/>
      <c r="H774" s="134"/>
    </row>
    <row r="775" ht="15.75" customHeight="1">
      <c r="A775" s="202">
        <v>43964.0</v>
      </c>
      <c r="B775" s="45" t="s">
        <v>2789</v>
      </c>
      <c r="C775" s="121" t="s">
        <v>3868</v>
      </c>
      <c r="D775" s="121">
        <f>+923002194340</f>
        <v>923002194340</v>
      </c>
      <c r="E775" s="121" t="s">
        <v>3869</v>
      </c>
      <c r="F775" s="121" t="s">
        <v>2334</v>
      </c>
      <c r="G775" s="118"/>
      <c r="H775" s="134"/>
    </row>
    <row r="776" ht="15.75" customHeight="1">
      <c r="A776" s="202">
        <v>43964.0</v>
      </c>
      <c r="B776" s="45" t="s">
        <v>2789</v>
      </c>
      <c r="C776" s="121" t="s">
        <v>3870</v>
      </c>
      <c r="D776" s="121">
        <f>+923002038682</f>
        <v>923002038682</v>
      </c>
      <c r="E776" s="121" t="s">
        <v>3871</v>
      </c>
      <c r="F776" s="121" t="s">
        <v>1664</v>
      </c>
      <c r="G776" s="118"/>
      <c r="H776" s="134"/>
    </row>
    <row r="777" ht="15.75" customHeight="1">
      <c r="A777" s="205">
        <v>43967.0</v>
      </c>
      <c r="B777" s="45" t="s">
        <v>2789</v>
      </c>
      <c r="C777" s="121" t="s">
        <v>3872</v>
      </c>
      <c r="D777" s="121">
        <f>+923212006273</f>
        <v>923212006273</v>
      </c>
      <c r="E777" s="121" t="s">
        <v>3873</v>
      </c>
      <c r="F777" s="121" t="s">
        <v>1661</v>
      </c>
      <c r="G777" s="118" t="s">
        <v>684</v>
      </c>
      <c r="H777" s="134"/>
    </row>
    <row r="778" ht="15.75" customHeight="1">
      <c r="A778" s="205">
        <v>43967.0</v>
      </c>
      <c r="B778" s="45" t="s">
        <v>2789</v>
      </c>
      <c r="C778" s="121" t="s">
        <v>3874</v>
      </c>
      <c r="D778" s="121">
        <f>+9203332067855</f>
        <v>9203332067855</v>
      </c>
      <c r="E778" s="121" t="s">
        <v>3875</v>
      </c>
      <c r="F778" s="121" t="s">
        <v>742</v>
      </c>
      <c r="G778" s="118" t="s">
        <v>684</v>
      </c>
      <c r="H778" s="134"/>
    </row>
    <row r="779" ht="15.75" customHeight="1">
      <c r="A779" s="205">
        <v>43967.0</v>
      </c>
      <c r="B779" s="45" t="s">
        <v>2789</v>
      </c>
      <c r="C779" s="121" t="s">
        <v>3876</v>
      </c>
      <c r="D779" s="121">
        <f>+923242224430</f>
        <v>923242224430</v>
      </c>
      <c r="E779" s="121" t="s">
        <v>3877</v>
      </c>
      <c r="F779" s="121" t="s">
        <v>742</v>
      </c>
      <c r="G779" s="118" t="s">
        <v>684</v>
      </c>
      <c r="H779" s="134"/>
    </row>
    <row r="780" ht="15.75" customHeight="1">
      <c r="A780" s="205">
        <v>43967.0</v>
      </c>
      <c r="B780" s="45" t="s">
        <v>2789</v>
      </c>
      <c r="C780" s="121" t="s">
        <v>3878</v>
      </c>
      <c r="D780" s="121">
        <f>+923008929709</f>
        <v>923008929709</v>
      </c>
      <c r="E780" s="121" t="s">
        <v>3879</v>
      </c>
      <c r="F780" s="121" t="s">
        <v>2334</v>
      </c>
      <c r="G780" s="118" t="s">
        <v>684</v>
      </c>
      <c r="H780" s="120" t="s">
        <v>3880</v>
      </c>
    </row>
    <row r="781" ht="15.75" customHeight="1">
      <c r="A781" s="205">
        <v>43967.0</v>
      </c>
      <c r="B781" s="45" t="s">
        <v>2789</v>
      </c>
      <c r="C781" s="121" t="s">
        <v>3881</v>
      </c>
      <c r="D781" s="121">
        <f>+923332157463</f>
        <v>923332157463</v>
      </c>
      <c r="E781" s="121" t="s">
        <v>3882</v>
      </c>
      <c r="F781" s="121" t="s">
        <v>2334</v>
      </c>
      <c r="G781" s="118" t="s">
        <v>684</v>
      </c>
      <c r="H781" s="134"/>
    </row>
    <row r="782" ht="15.75" customHeight="1">
      <c r="A782" s="205">
        <v>43967.0</v>
      </c>
      <c r="B782" s="45" t="s">
        <v>2789</v>
      </c>
      <c r="C782" s="121" t="s">
        <v>3883</v>
      </c>
      <c r="D782" s="121">
        <f>+923008200595</f>
        <v>923008200595</v>
      </c>
      <c r="E782" s="121" t="s">
        <v>3884</v>
      </c>
      <c r="F782" s="121" t="s">
        <v>2334</v>
      </c>
      <c r="G782" s="118" t="s">
        <v>684</v>
      </c>
      <c r="H782" s="134"/>
    </row>
    <row r="783" ht="15.75" customHeight="1">
      <c r="A783" s="205">
        <v>43967.0</v>
      </c>
      <c r="B783" s="45" t="s">
        <v>2789</v>
      </c>
      <c r="C783" s="121" t="s">
        <v>3885</v>
      </c>
      <c r="D783" s="121">
        <f>+923002586191</f>
        <v>923002586191</v>
      </c>
      <c r="E783" s="121" t="s">
        <v>3886</v>
      </c>
      <c r="F783" s="121" t="s">
        <v>742</v>
      </c>
      <c r="G783" s="118" t="s">
        <v>684</v>
      </c>
      <c r="H783" s="134"/>
    </row>
    <row r="784" ht="15.75" customHeight="1">
      <c r="A784" s="205">
        <v>43967.0</v>
      </c>
      <c r="B784" s="45" t="s">
        <v>2789</v>
      </c>
      <c r="C784" s="121" t="s">
        <v>3887</v>
      </c>
      <c r="D784" s="121">
        <f>+923332076843</f>
        <v>923332076843</v>
      </c>
      <c r="E784" s="121" t="s">
        <v>3888</v>
      </c>
      <c r="F784" s="121" t="s">
        <v>742</v>
      </c>
      <c r="G784" s="118" t="s">
        <v>684</v>
      </c>
      <c r="H784" s="134"/>
    </row>
    <row r="785" ht="15.75" customHeight="1">
      <c r="A785" s="205">
        <v>43967.0</v>
      </c>
      <c r="B785" s="45" t="s">
        <v>2789</v>
      </c>
      <c r="C785" s="121" t="s">
        <v>3518</v>
      </c>
      <c r="D785" s="121">
        <f>+923452098935</f>
        <v>923452098935</v>
      </c>
      <c r="E785" s="121" t="s">
        <v>3889</v>
      </c>
      <c r="F785" s="121" t="s">
        <v>1664</v>
      </c>
      <c r="G785" s="118" t="s">
        <v>684</v>
      </c>
      <c r="H785" s="134"/>
    </row>
    <row r="786" ht="15.75" customHeight="1">
      <c r="A786" s="205">
        <v>43967.0</v>
      </c>
      <c r="B786" s="45" t="s">
        <v>2789</v>
      </c>
      <c r="C786" s="121" t="s">
        <v>3890</v>
      </c>
      <c r="D786" s="121">
        <f>+923458888400</f>
        <v>923458888400</v>
      </c>
      <c r="E786" s="121" t="s">
        <v>3891</v>
      </c>
      <c r="F786" s="121" t="s">
        <v>1664</v>
      </c>
      <c r="G786" s="118" t="s">
        <v>684</v>
      </c>
      <c r="H786" s="134"/>
    </row>
    <row r="787" ht="15.75" customHeight="1">
      <c r="A787" s="205">
        <v>43967.0</v>
      </c>
      <c r="B787" s="45" t="s">
        <v>2789</v>
      </c>
      <c r="C787" s="121" t="s">
        <v>3892</v>
      </c>
      <c r="D787" s="121">
        <f>+923132444761</f>
        <v>923132444761</v>
      </c>
      <c r="E787" s="121" t="s">
        <v>3893</v>
      </c>
      <c r="F787" s="121" t="s">
        <v>1661</v>
      </c>
      <c r="G787" s="118" t="s">
        <v>2671</v>
      </c>
      <c r="H787" s="134"/>
    </row>
    <row r="788" ht="15.75" customHeight="1">
      <c r="A788" s="205">
        <v>43967.0</v>
      </c>
      <c r="B788" s="45" t="s">
        <v>2789</v>
      </c>
      <c r="C788" s="121" t="s">
        <v>3894</v>
      </c>
      <c r="D788" s="121">
        <f>+9203312837741</f>
        <v>9203312837741</v>
      </c>
      <c r="E788" s="121" t="s">
        <v>3895</v>
      </c>
      <c r="F788" s="121" t="s">
        <v>742</v>
      </c>
      <c r="G788" s="118" t="s">
        <v>2671</v>
      </c>
      <c r="H788" s="134"/>
    </row>
    <row r="789" ht="15.75" customHeight="1">
      <c r="A789" s="205">
        <v>43967.0</v>
      </c>
      <c r="B789" s="45" t="s">
        <v>2789</v>
      </c>
      <c r="C789" s="121" t="s">
        <v>3896</v>
      </c>
      <c r="D789" s="121">
        <f>+923337542595</f>
        <v>923337542595</v>
      </c>
      <c r="E789" s="121" t="s">
        <v>3897</v>
      </c>
      <c r="F789" s="121" t="s">
        <v>1664</v>
      </c>
      <c r="G789" s="118" t="s">
        <v>2671</v>
      </c>
      <c r="H789" s="134"/>
    </row>
    <row r="790" ht="15.75" customHeight="1">
      <c r="A790" s="205">
        <v>43967.0</v>
      </c>
      <c r="B790" s="45" t="s">
        <v>2789</v>
      </c>
      <c r="C790" s="121" t="s">
        <v>3898</v>
      </c>
      <c r="D790" s="121">
        <f>+923008500135</f>
        <v>923008500135</v>
      </c>
      <c r="E790" s="121" t="s">
        <v>3899</v>
      </c>
      <c r="F790" s="121" t="s">
        <v>1664</v>
      </c>
      <c r="G790" s="118" t="s">
        <v>2671</v>
      </c>
      <c r="H790" s="134"/>
    </row>
    <row r="791" ht="15.75" customHeight="1">
      <c r="A791" s="205">
        <v>43967.0</v>
      </c>
      <c r="B791" s="45" t="s">
        <v>2789</v>
      </c>
      <c r="C791" s="121" t="s">
        <v>3900</v>
      </c>
      <c r="D791" s="121">
        <f>+923008241137</f>
        <v>923008241137</v>
      </c>
      <c r="E791" s="121" t="s">
        <v>3901</v>
      </c>
      <c r="F791" s="121" t="s">
        <v>1664</v>
      </c>
      <c r="G791" s="118" t="s">
        <v>3902</v>
      </c>
      <c r="H791" s="134"/>
    </row>
    <row r="792" ht="15.75" customHeight="1">
      <c r="A792" s="205">
        <v>43967.0</v>
      </c>
      <c r="B792" s="45" t="s">
        <v>2789</v>
      </c>
      <c r="C792" s="121" t="s">
        <v>3255</v>
      </c>
      <c r="D792" s="121">
        <f>+923018254909</f>
        <v>923018254909</v>
      </c>
      <c r="E792" s="121" t="s">
        <v>3256</v>
      </c>
      <c r="F792" s="121" t="s">
        <v>1664</v>
      </c>
      <c r="G792" s="118" t="s">
        <v>3903</v>
      </c>
      <c r="H792" s="134"/>
    </row>
    <row r="793" ht="15.75" customHeight="1">
      <c r="A793" s="205">
        <v>43967.0</v>
      </c>
      <c r="B793" s="45" t="s">
        <v>2789</v>
      </c>
      <c r="C793" s="121" t="s">
        <v>3904</v>
      </c>
      <c r="D793" s="121">
        <f>+923352165535</f>
        <v>923352165535</v>
      </c>
      <c r="E793" s="121" t="s">
        <v>3905</v>
      </c>
      <c r="F793" s="121" t="s">
        <v>742</v>
      </c>
      <c r="G793" s="118" t="s">
        <v>3903</v>
      </c>
      <c r="H793" s="134"/>
    </row>
    <row r="794" ht="15.75" customHeight="1">
      <c r="A794" s="205">
        <v>43967.0</v>
      </c>
      <c r="B794" s="45" t="s">
        <v>2789</v>
      </c>
      <c r="C794" s="121" t="s">
        <v>3906</v>
      </c>
      <c r="D794" s="121">
        <f>+923343494435</f>
        <v>923343494435</v>
      </c>
      <c r="E794" s="121" t="s">
        <v>3907</v>
      </c>
      <c r="F794" s="121" t="s">
        <v>1661</v>
      </c>
      <c r="G794" s="118" t="s">
        <v>3903</v>
      </c>
      <c r="H794" s="134"/>
    </row>
    <row r="795" ht="15.75" customHeight="1">
      <c r="A795" s="205">
        <v>43967.0</v>
      </c>
      <c r="B795" s="45" t="s">
        <v>2789</v>
      </c>
      <c r="C795" s="121" t="s">
        <v>3908</v>
      </c>
      <c r="D795" s="121">
        <f>+923072128609</f>
        <v>923072128609</v>
      </c>
      <c r="E795" s="121" t="s">
        <v>3909</v>
      </c>
      <c r="F795" s="121" t="s">
        <v>742</v>
      </c>
      <c r="G795" s="118" t="s">
        <v>3903</v>
      </c>
      <c r="H795" s="134"/>
    </row>
    <row r="796" ht="15.75" customHeight="1">
      <c r="A796" s="205">
        <v>43967.0</v>
      </c>
      <c r="B796" s="45" t="s">
        <v>2789</v>
      </c>
      <c r="C796" s="121" t="s">
        <v>3910</v>
      </c>
      <c r="D796" s="121">
        <f>+923212637710</f>
        <v>923212637710</v>
      </c>
      <c r="E796" s="121" t="s">
        <v>3911</v>
      </c>
      <c r="F796" s="121" t="s">
        <v>1664</v>
      </c>
      <c r="G796" s="118" t="s">
        <v>3903</v>
      </c>
      <c r="H796" s="134"/>
    </row>
    <row r="797" ht="15.75" customHeight="1">
      <c r="A797" s="205">
        <v>43967.0</v>
      </c>
      <c r="B797" s="45" t="s">
        <v>2789</v>
      </c>
      <c r="C797" s="121" t="s">
        <v>3912</v>
      </c>
      <c r="D797" s="121">
        <f>+923352240666</f>
        <v>923352240666</v>
      </c>
      <c r="E797" s="121" t="s">
        <v>3913</v>
      </c>
      <c r="F797" s="121" t="s">
        <v>1664</v>
      </c>
      <c r="G797" s="118" t="s">
        <v>3902</v>
      </c>
      <c r="H797" s="134"/>
    </row>
    <row r="798" ht="15.75" customHeight="1">
      <c r="A798" s="205">
        <v>43967.0</v>
      </c>
      <c r="B798" s="45" t="s">
        <v>2789</v>
      </c>
      <c r="C798" s="121" t="s">
        <v>3914</v>
      </c>
      <c r="D798" s="121">
        <f>+923008275547</f>
        <v>923008275547</v>
      </c>
      <c r="E798" s="121" t="s">
        <v>3915</v>
      </c>
      <c r="F798" s="121" t="s">
        <v>1664</v>
      </c>
      <c r="G798" s="118" t="s">
        <v>2671</v>
      </c>
      <c r="H798" s="134"/>
    </row>
    <row r="799" ht="15.75" customHeight="1">
      <c r="A799" s="205">
        <v>43967.0</v>
      </c>
      <c r="B799" s="45" t="s">
        <v>2789</v>
      </c>
      <c r="C799" s="121" t="s">
        <v>3542</v>
      </c>
      <c r="D799" s="121">
        <f>+9203212430106</f>
        <v>9203212430106</v>
      </c>
      <c r="E799" s="121" t="s">
        <v>3544</v>
      </c>
      <c r="F799" s="121" t="s">
        <v>742</v>
      </c>
      <c r="G799" s="118" t="s">
        <v>3902</v>
      </c>
      <c r="H799" s="134"/>
    </row>
    <row r="800" ht="15.75" customHeight="1">
      <c r="A800" s="205">
        <v>43967.0</v>
      </c>
      <c r="B800" s="45" t="s">
        <v>2789</v>
      </c>
      <c r="C800" s="121" t="s">
        <v>3916</v>
      </c>
      <c r="D800" s="121">
        <f>+923125701772</f>
        <v>923125701772</v>
      </c>
      <c r="E800" s="121" t="s">
        <v>3917</v>
      </c>
      <c r="F800" s="121" t="s">
        <v>742</v>
      </c>
      <c r="G800" s="118" t="s">
        <v>3902</v>
      </c>
      <c r="H800" s="134"/>
    </row>
    <row r="801" ht="15.75" customHeight="1">
      <c r="A801" s="205">
        <v>43967.0</v>
      </c>
      <c r="B801" s="45" t="s">
        <v>2789</v>
      </c>
      <c r="C801" s="121" t="s">
        <v>3918</v>
      </c>
      <c r="D801" s="121">
        <f>+923002105957</f>
        <v>923002105957</v>
      </c>
      <c r="E801" s="121" t="s">
        <v>3919</v>
      </c>
      <c r="F801" s="121" t="s">
        <v>1661</v>
      </c>
      <c r="G801" s="118" t="s">
        <v>3902</v>
      </c>
      <c r="H801" s="134"/>
    </row>
    <row r="802" ht="15.75" customHeight="1">
      <c r="A802" s="205">
        <v>43967.0</v>
      </c>
      <c r="B802" s="45" t="s">
        <v>2789</v>
      </c>
      <c r="C802" s="121" t="s">
        <v>3920</v>
      </c>
      <c r="D802" s="121">
        <f>+923009282897</f>
        <v>923009282897</v>
      </c>
      <c r="E802" s="121" t="s">
        <v>3921</v>
      </c>
      <c r="F802" s="121" t="s">
        <v>1661</v>
      </c>
      <c r="G802" s="118" t="s">
        <v>2623</v>
      </c>
      <c r="H802" s="134"/>
    </row>
    <row r="803" ht="15.75" customHeight="1">
      <c r="A803" s="205">
        <v>43967.0</v>
      </c>
      <c r="B803" s="45" t="s">
        <v>2789</v>
      </c>
      <c r="C803" s="121" t="s">
        <v>3922</v>
      </c>
      <c r="D803" s="121">
        <f>+923008298291</f>
        <v>923008298291</v>
      </c>
      <c r="E803" s="121" t="s">
        <v>3923</v>
      </c>
      <c r="F803" s="121" t="s">
        <v>1664</v>
      </c>
      <c r="G803" s="118" t="s">
        <v>2623</v>
      </c>
      <c r="H803" s="134"/>
    </row>
    <row r="804" ht="15.75" customHeight="1">
      <c r="A804" s="205">
        <v>43968.0</v>
      </c>
      <c r="B804" s="45" t="s">
        <v>2789</v>
      </c>
      <c r="C804" s="121" t="s">
        <v>3924</v>
      </c>
      <c r="D804" s="121">
        <f>+923340066752</f>
        <v>923340066752</v>
      </c>
      <c r="E804" s="121" t="s">
        <v>3925</v>
      </c>
      <c r="F804" s="121" t="s">
        <v>742</v>
      </c>
      <c r="G804" s="118"/>
      <c r="H804" s="134"/>
    </row>
    <row r="805" ht="15.75" customHeight="1">
      <c r="A805" s="205">
        <v>43968.0</v>
      </c>
      <c r="B805" s="45" t="s">
        <v>2789</v>
      </c>
      <c r="C805" s="121" t="s">
        <v>3926</v>
      </c>
      <c r="D805" s="121">
        <f>+923352181837</f>
        <v>923352181837</v>
      </c>
      <c r="E805" s="121" t="s">
        <v>3927</v>
      </c>
      <c r="F805" s="121" t="s">
        <v>2334</v>
      </c>
      <c r="G805" s="118"/>
      <c r="H805" s="134"/>
    </row>
    <row r="806" ht="15.75" customHeight="1">
      <c r="A806" s="205">
        <v>43968.0</v>
      </c>
      <c r="B806" s="45" t="s">
        <v>2789</v>
      </c>
      <c r="C806" s="121" t="s">
        <v>3928</v>
      </c>
      <c r="D806" s="121">
        <f>+923337234026</f>
        <v>923337234026</v>
      </c>
      <c r="E806" s="121" t="s">
        <v>3929</v>
      </c>
      <c r="F806" s="121" t="s">
        <v>1661</v>
      </c>
      <c r="G806" s="118"/>
      <c r="H806" s="134"/>
    </row>
    <row r="807" ht="15.75" customHeight="1">
      <c r="A807" s="205">
        <v>43968.0</v>
      </c>
      <c r="B807" s="45" t="s">
        <v>2789</v>
      </c>
      <c r="C807" s="121" t="s">
        <v>3930</v>
      </c>
      <c r="D807" s="121">
        <f>+923453169799</f>
        <v>923453169799</v>
      </c>
      <c r="E807" s="121" t="s">
        <v>3931</v>
      </c>
      <c r="F807" s="121" t="s">
        <v>1661</v>
      </c>
      <c r="G807" s="118"/>
      <c r="H807" s="134"/>
    </row>
    <row r="808" ht="15.75" customHeight="1">
      <c r="A808" s="205">
        <v>43968.0</v>
      </c>
      <c r="B808" s="45" t="s">
        <v>2789</v>
      </c>
      <c r="C808" s="121" t="s">
        <v>3932</v>
      </c>
      <c r="D808" s="121">
        <f>+923002375547</f>
        <v>923002375547</v>
      </c>
      <c r="E808" s="121" t="s">
        <v>3933</v>
      </c>
      <c r="F808" s="121" t="s">
        <v>1664</v>
      </c>
      <c r="G808" s="118"/>
      <c r="H808" s="134"/>
    </row>
    <row r="809" ht="15.75" customHeight="1">
      <c r="A809" s="205">
        <v>43969.0</v>
      </c>
      <c r="B809" s="45" t="s">
        <v>2789</v>
      </c>
      <c r="C809" s="121" t="s">
        <v>3934</v>
      </c>
      <c r="D809" s="121">
        <f>+923082225757</f>
        <v>923082225757</v>
      </c>
      <c r="E809" s="121" t="s">
        <v>3935</v>
      </c>
      <c r="F809" s="121" t="s">
        <v>742</v>
      </c>
      <c r="G809" s="118"/>
      <c r="H809" s="134"/>
    </row>
    <row r="810" ht="15.75" customHeight="1">
      <c r="A810" s="205">
        <v>43969.0</v>
      </c>
      <c r="B810" s="45" t="s">
        <v>2789</v>
      </c>
      <c r="C810" s="121" t="s">
        <v>3936</v>
      </c>
      <c r="D810" s="121">
        <f>+9203118307051</f>
        <v>9203118307051</v>
      </c>
      <c r="E810" s="121" t="s">
        <v>3937</v>
      </c>
      <c r="F810" s="121" t="s">
        <v>1661</v>
      </c>
      <c r="G810" s="118"/>
      <c r="H810" s="134"/>
    </row>
    <row r="811" ht="15.75" customHeight="1">
      <c r="A811" s="205">
        <v>43969.0</v>
      </c>
      <c r="B811" s="45" t="s">
        <v>2789</v>
      </c>
      <c r="C811" s="121" t="s">
        <v>3938</v>
      </c>
      <c r="D811" s="121">
        <f>+9203008222918</f>
        <v>9203008222918</v>
      </c>
      <c r="E811" s="121" t="s">
        <v>3939</v>
      </c>
      <c r="F811" s="121" t="s">
        <v>1664</v>
      </c>
      <c r="G811" s="118"/>
      <c r="H811" s="134"/>
    </row>
    <row r="812" ht="15.75" customHeight="1">
      <c r="A812" s="205">
        <v>43969.0</v>
      </c>
      <c r="B812" s="45" t="s">
        <v>2789</v>
      </c>
      <c r="C812" s="121" t="s">
        <v>3940</v>
      </c>
      <c r="D812" s="121">
        <f>+923082828331</f>
        <v>923082828331</v>
      </c>
      <c r="E812" s="121" t="s">
        <v>3941</v>
      </c>
      <c r="F812" s="121" t="s">
        <v>1661</v>
      </c>
      <c r="G812" s="118"/>
      <c r="H812" s="134"/>
    </row>
    <row r="813" ht="15.75" customHeight="1">
      <c r="A813" s="205">
        <v>43969.0</v>
      </c>
      <c r="B813" s="45" t="s">
        <v>2789</v>
      </c>
      <c r="C813" s="121" t="s">
        <v>3942</v>
      </c>
      <c r="D813" s="121">
        <f>+923218210050</f>
        <v>923218210050</v>
      </c>
      <c r="E813" s="121" t="s">
        <v>3943</v>
      </c>
      <c r="F813" s="121" t="s">
        <v>742</v>
      </c>
      <c r="G813" s="118"/>
      <c r="H813" s="134"/>
    </row>
    <row r="814" ht="15.75" customHeight="1">
      <c r="A814" s="205">
        <v>43971.0</v>
      </c>
      <c r="B814" s="45" t="s">
        <v>2789</v>
      </c>
      <c r="C814" s="121" t="s">
        <v>3944</v>
      </c>
      <c r="D814" s="121">
        <f>+923122835814</f>
        <v>923122835814</v>
      </c>
      <c r="E814" s="121" t="s">
        <v>3945</v>
      </c>
      <c r="F814" s="121" t="s">
        <v>2334</v>
      </c>
      <c r="G814" s="118" t="s">
        <v>684</v>
      </c>
      <c r="H814" s="134"/>
    </row>
    <row r="815" ht="15.75" customHeight="1">
      <c r="A815" s="205">
        <v>43971.0</v>
      </c>
      <c r="B815" s="45" t="s">
        <v>2789</v>
      </c>
      <c r="C815" s="121" t="s">
        <v>3946</v>
      </c>
      <c r="D815" s="121">
        <f>+923333600859</f>
        <v>923333600859</v>
      </c>
      <c r="E815" s="121" t="s">
        <v>3947</v>
      </c>
      <c r="F815" s="121" t="s">
        <v>1661</v>
      </c>
      <c r="G815" s="118" t="s">
        <v>684</v>
      </c>
      <c r="H815" s="134"/>
    </row>
    <row r="816" ht="15.75" customHeight="1">
      <c r="A816" s="205">
        <v>43971.0</v>
      </c>
      <c r="B816" s="45" t="s">
        <v>2789</v>
      </c>
      <c r="C816" s="121" t="s">
        <v>3948</v>
      </c>
      <c r="D816" s="121">
        <f>+923333298819</f>
        <v>923333298819</v>
      </c>
      <c r="E816" s="121" t="s">
        <v>3949</v>
      </c>
      <c r="F816" s="121" t="s">
        <v>1661</v>
      </c>
      <c r="G816" s="118" t="s">
        <v>3950</v>
      </c>
      <c r="H816" s="134"/>
    </row>
    <row r="817" ht="15.75" customHeight="1">
      <c r="A817" s="205">
        <v>43972.0</v>
      </c>
      <c r="B817" s="45" t="s">
        <v>2789</v>
      </c>
      <c r="C817" s="121" t="s">
        <v>3951</v>
      </c>
      <c r="D817" s="121">
        <f>+923333962515</f>
        <v>923333962515</v>
      </c>
      <c r="E817" s="121" t="s">
        <v>3952</v>
      </c>
      <c r="F817" s="121" t="s">
        <v>1664</v>
      </c>
      <c r="G817" s="118" t="s">
        <v>684</v>
      </c>
      <c r="H817" s="134"/>
    </row>
    <row r="818" ht="15.75" customHeight="1">
      <c r="A818" s="205">
        <v>43972.0</v>
      </c>
      <c r="B818" s="45" t="s">
        <v>2789</v>
      </c>
      <c r="C818" s="121" t="s">
        <v>3953</v>
      </c>
      <c r="D818" s="121">
        <f>+923323534697</f>
        <v>923323534697</v>
      </c>
      <c r="E818" s="121" t="s">
        <v>3954</v>
      </c>
      <c r="F818" s="121" t="s">
        <v>2334</v>
      </c>
      <c r="G818" s="118" t="s">
        <v>684</v>
      </c>
      <c r="H818" s="134"/>
    </row>
    <row r="819" ht="15.75" customHeight="1">
      <c r="A819" s="205">
        <v>43972.0</v>
      </c>
      <c r="B819" s="45" t="s">
        <v>2789</v>
      </c>
      <c r="C819" s="121" t="s">
        <v>3955</v>
      </c>
      <c r="D819" s="121">
        <f>+14377791874</f>
        <v>14377791874</v>
      </c>
      <c r="E819" s="121" t="s">
        <v>3956</v>
      </c>
      <c r="F819" s="121" t="s">
        <v>742</v>
      </c>
      <c r="G819" s="118" t="s">
        <v>684</v>
      </c>
      <c r="H819" s="134"/>
    </row>
    <row r="820" ht="15.75" customHeight="1">
      <c r="A820" s="205">
        <v>43972.0</v>
      </c>
      <c r="B820" s="45" t="s">
        <v>2789</v>
      </c>
      <c r="C820" s="121" t="s">
        <v>3957</v>
      </c>
      <c r="D820" s="121">
        <f>+9203132320072</f>
        <v>9203132320072</v>
      </c>
      <c r="E820" s="121" t="s">
        <v>3958</v>
      </c>
      <c r="F820" s="121" t="s">
        <v>2334</v>
      </c>
      <c r="G820" s="118" t="s">
        <v>684</v>
      </c>
      <c r="H820" s="134"/>
    </row>
    <row r="821" ht="15.75" customHeight="1">
      <c r="A821" s="205">
        <v>43972.0</v>
      </c>
      <c r="B821" s="45" t="s">
        <v>2789</v>
      </c>
      <c r="C821" s="121" t="s">
        <v>3959</v>
      </c>
      <c r="D821" s="121">
        <f>+923072448889</f>
        <v>923072448889</v>
      </c>
      <c r="E821" s="121" t="s">
        <v>3960</v>
      </c>
      <c r="F821" s="121" t="s">
        <v>2334</v>
      </c>
      <c r="G821" s="118" t="s">
        <v>2671</v>
      </c>
      <c r="H821" s="134"/>
    </row>
    <row r="822" ht="15.75" customHeight="1">
      <c r="A822" s="205">
        <v>43972.0</v>
      </c>
      <c r="B822" s="45" t="s">
        <v>2789</v>
      </c>
      <c r="C822" s="121" t="s">
        <v>3961</v>
      </c>
      <c r="D822" s="121">
        <f>+923339701262</f>
        <v>923339701262</v>
      </c>
      <c r="E822" s="121" t="s">
        <v>3962</v>
      </c>
      <c r="F822" s="121" t="s">
        <v>742</v>
      </c>
      <c r="G822" s="118" t="s">
        <v>2671</v>
      </c>
      <c r="H822" s="134"/>
    </row>
    <row r="823" ht="15.75" customHeight="1">
      <c r="A823" s="205">
        <v>43972.0</v>
      </c>
      <c r="B823" s="45" t="s">
        <v>2789</v>
      </c>
      <c r="C823" s="121" t="s">
        <v>3963</v>
      </c>
      <c r="D823" s="121">
        <f>+923002318814</f>
        <v>923002318814</v>
      </c>
      <c r="E823" s="121" t="s">
        <v>3964</v>
      </c>
      <c r="F823" s="121" t="s">
        <v>742</v>
      </c>
      <c r="G823" s="118" t="s">
        <v>2331</v>
      </c>
      <c r="H823" s="134"/>
    </row>
    <row r="824" ht="15.75" customHeight="1">
      <c r="A824" s="205">
        <v>43972.0</v>
      </c>
      <c r="B824" s="45" t="s">
        <v>2789</v>
      </c>
      <c r="C824" s="121" t="s">
        <v>3965</v>
      </c>
      <c r="D824" s="121">
        <f>+966508431829</f>
        <v>966508431829</v>
      </c>
      <c r="E824" s="121" t="s">
        <v>3966</v>
      </c>
      <c r="F824" s="121" t="s">
        <v>2334</v>
      </c>
      <c r="G824" s="118" t="s">
        <v>2331</v>
      </c>
      <c r="H824" s="134"/>
    </row>
    <row r="825" ht="15.75" customHeight="1">
      <c r="A825" s="205">
        <v>43972.0</v>
      </c>
      <c r="B825" s="45" t="s">
        <v>2789</v>
      </c>
      <c r="C825" s="121" t="s">
        <v>3967</v>
      </c>
      <c r="D825" s="121">
        <f>+923008296252</f>
        <v>923008296252</v>
      </c>
      <c r="E825" s="121" t="s">
        <v>3968</v>
      </c>
      <c r="F825" s="121" t="s">
        <v>2334</v>
      </c>
      <c r="G825" s="118" t="s">
        <v>3555</v>
      </c>
      <c r="H825" s="134"/>
    </row>
    <row r="826" ht="15.75" customHeight="1">
      <c r="A826" s="205">
        <v>43972.0</v>
      </c>
      <c r="B826" s="45" t="s">
        <v>2789</v>
      </c>
      <c r="C826" s="121" t="s">
        <v>3969</v>
      </c>
      <c r="D826" s="121">
        <f>+923452447629</f>
        <v>923452447629</v>
      </c>
      <c r="E826" s="121" t="s">
        <v>3970</v>
      </c>
      <c r="F826" s="121" t="s">
        <v>1661</v>
      </c>
      <c r="G826" s="118" t="s">
        <v>3555</v>
      </c>
      <c r="H826" s="134"/>
    </row>
    <row r="827" ht="15.75" customHeight="1">
      <c r="A827" s="205">
        <v>43972.0</v>
      </c>
      <c r="B827" s="45" t="s">
        <v>2789</v>
      </c>
      <c r="C827" s="121" t="s">
        <v>3971</v>
      </c>
      <c r="D827" s="121">
        <f>+923363744041</f>
        <v>923363744041</v>
      </c>
      <c r="E827" s="121" t="s">
        <v>3972</v>
      </c>
      <c r="F827" s="121" t="s">
        <v>1661</v>
      </c>
      <c r="G827" s="118" t="s">
        <v>2623</v>
      </c>
      <c r="H827" s="134"/>
    </row>
    <row r="828" ht="15.75" customHeight="1">
      <c r="A828" s="205">
        <v>43973.0</v>
      </c>
      <c r="B828" s="45" t="s">
        <v>2789</v>
      </c>
      <c r="C828" s="121" t="s">
        <v>3973</v>
      </c>
      <c r="D828" s="121">
        <f>+923086826944</f>
        <v>923086826944</v>
      </c>
      <c r="E828" s="121" t="s">
        <v>3974</v>
      </c>
      <c r="F828" s="121" t="s">
        <v>742</v>
      </c>
      <c r="G828" s="118" t="s">
        <v>684</v>
      </c>
      <c r="H828" s="134"/>
    </row>
    <row r="829" ht="15.75" customHeight="1">
      <c r="A829" s="205">
        <v>43973.0</v>
      </c>
      <c r="B829" s="45" t="s">
        <v>2789</v>
      </c>
      <c r="C829" s="121" t="s">
        <v>2562</v>
      </c>
      <c r="D829" s="121">
        <f>+923213807402</f>
        <v>923213807402</v>
      </c>
      <c r="E829" s="121" t="s">
        <v>3975</v>
      </c>
      <c r="F829" s="121" t="s">
        <v>1661</v>
      </c>
      <c r="G829" s="118" t="s">
        <v>684</v>
      </c>
      <c r="H829" s="134"/>
    </row>
    <row r="830" ht="15.75" customHeight="1">
      <c r="A830" s="205">
        <v>43973.0</v>
      </c>
      <c r="B830" s="45" t="s">
        <v>2789</v>
      </c>
      <c r="C830" s="121" t="s">
        <v>3976</v>
      </c>
      <c r="D830" s="121">
        <f>+923002446977</f>
        <v>923002446977</v>
      </c>
      <c r="E830" s="121" t="s">
        <v>3977</v>
      </c>
      <c r="F830" s="121" t="s">
        <v>1664</v>
      </c>
      <c r="G830" s="118" t="s">
        <v>2671</v>
      </c>
      <c r="H830" s="134"/>
    </row>
    <row r="831" ht="15.75" customHeight="1">
      <c r="A831" s="205">
        <v>43973.0</v>
      </c>
      <c r="B831" s="45" t="s">
        <v>2789</v>
      </c>
      <c r="C831" s="121" t="s">
        <v>3978</v>
      </c>
      <c r="D831" s="121">
        <f>+923082224422</f>
        <v>923082224422</v>
      </c>
      <c r="E831" s="121" t="s">
        <v>3979</v>
      </c>
      <c r="F831" s="121" t="s">
        <v>742</v>
      </c>
      <c r="G831" s="118" t="s">
        <v>2671</v>
      </c>
      <c r="H831" s="134"/>
    </row>
    <row r="832" ht="15.75" customHeight="1">
      <c r="A832" s="205">
        <v>43973.0</v>
      </c>
      <c r="B832" s="45" t="s">
        <v>2789</v>
      </c>
      <c r="C832" s="121" t="s">
        <v>3980</v>
      </c>
      <c r="D832" s="121">
        <f>+923333701067</f>
        <v>923333701067</v>
      </c>
      <c r="E832" s="121" t="s">
        <v>3981</v>
      </c>
      <c r="F832" s="121" t="s">
        <v>742</v>
      </c>
      <c r="G832" s="118" t="s">
        <v>3555</v>
      </c>
      <c r="H832" s="134"/>
    </row>
    <row r="833" ht="15.75" customHeight="1">
      <c r="A833" s="205">
        <v>43973.0</v>
      </c>
      <c r="B833" s="45" t="s">
        <v>2789</v>
      </c>
      <c r="C833" s="121" t="s">
        <v>3982</v>
      </c>
      <c r="D833" s="121">
        <f>+923122643383</f>
        <v>923122643383</v>
      </c>
      <c r="E833" s="121" t="s">
        <v>3983</v>
      </c>
      <c r="F833" s="121" t="s">
        <v>742</v>
      </c>
      <c r="G833" s="118" t="s">
        <v>3552</v>
      </c>
      <c r="H833" s="134"/>
    </row>
    <row r="834" ht="15.75" customHeight="1">
      <c r="A834" s="45"/>
      <c r="B834" s="45" t="s">
        <v>2789</v>
      </c>
      <c r="C834" s="121" t="s">
        <v>3984</v>
      </c>
      <c r="D834" s="121">
        <f>+923333622494</f>
        <v>923333622494</v>
      </c>
      <c r="E834" s="121" t="s">
        <v>3985</v>
      </c>
      <c r="F834" s="121" t="s">
        <v>1661</v>
      </c>
      <c r="G834" s="118" t="s">
        <v>2671</v>
      </c>
      <c r="H834" s="134"/>
    </row>
    <row r="835" ht="15.75" customHeight="1">
      <c r="A835" s="45"/>
      <c r="B835" s="45" t="s">
        <v>2789</v>
      </c>
      <c r="C835" s="121" t="s">
        <v>3986</v>
      </c>
      <c r="D835" s="121">
        <f>+923008288114</f>
        <v>923008288114</v>
      </c>
      <c r="E835" s="121" t="s">
        <v>3987</v>
      </c>
      <c r="F835" s="121" t="s">
        <v>1661</v>
      </c>
      <c r="G835" s="118" t="s">
        <v>2671</v>
      </c>
      <c r="H835" s="134"/>
    </row>
    <row r="836" ht="15.75" customHeight="1">
      <c r="A836" s="45"/>
      <c r="B836" s="45" t="s">
        <v>2789</v>
      </c>
      <c r="C836" s="121" t="s">
        <v>3988</v>
      </c>
      <c r="D836" s="121">
        <f>+923344112129</f>
        <v>923344112129</v>
      </c>
      <c r="E836" s="121" t="s">
        <v>3989</v>
      </c>
      <c r="F836" s="121" t="s">
        <v>742</v>
      </c>
      <c r="G836" s="118" t="s">
        <v>2671</v>
      </c>
      <c r="H836" s="134"/>
    </row>
    <row r="837" ht="15.75" customHeight="1">
      <c r="A837" s="45"/>
      <c r="B837" s="45" t="s">
        <v>2789</v>
      </c>
      <c r="C837" s="121" t="s">
        <v>3990</v>
      </c>
      <c r="D837" s="121">
        <f>+923009247294</f>
        <v>923009247294</v>
      </c>
      <c r="E837" s="121" t="s">
        <v>3991</v>
      </c>
      <c r="F837" s="121" t="s">
        <v>1664</v>
      </c>
      <c r="G837" s="118" t="s">
        <v>2671</v>
      </c>
      <c r="H837" s="134"/>
    </row>
    <row r="838" ht="15.75" customHeight="1">
      <c r="A838" s="45"/>
      <c r="B838" s="45" t="s">
        <v>2789</v>
      </c>
      <c r="C838" s="121" t="s">
        <v>3992</v>
      </c>
      <c r="D838" s="121">
        <f>+923212476599</f>
        <v>923212476599</v>
      </c>
      <c r="E838" s="121" t="s">
        <v>3993</v>
      </c>
      <c r="F838" s="121" t="s">
        <v>1661</v>
      </c>
      <c r="G838" s="118" t="s">
        <v>684</v>
      </c>
      <c r="H838" s="134"/>
    </row>
    <row r="839" ht="15.75" customHeight="1">
      <c r="A839" s="45"/>
      <c r="B839" s="45" t="s">
        <v>2789</v>
      </c>
      <c r="C839" s="121" t="s">
        <v>3994</v>
      </c>
      <c r="D839" s="121">
        <f>+923002200082</f>
        <v>923002200082</v>
      </c>
      <c r="E839" s="121" t="s">
        <v>3995</v>
      </c>
      <c r="F839" s="121" t="s">
        <v>1664</v>
      </c>
      <c r="G839" s="118" t="s">
        <v>684</v>
      </c>
      <c r="H839" s="134"/>
    </row>
    <row r="840" ht="15.75" customHeight="1">
      <c r="A840" s="45"/>
      <c r="B840" s="45" t="s">
        <v>2789</v>
      </c>
      <c r="C840" s="121" t="s">
        <v>3996</v>
      </c>
      <c r="D840" s="121">
        <f>+923342226860</f>
        <v>923342226860</v>
      </c>
      <c r="E840" s="121" t="s">
        <v>3997</v>
      </c>
      <c r="F840" s="121" t="s">
        <v>2334</v>
      </c>
      <c r="G840" s="118" t="s">
        <v>684</v>
      </c>
      <c r="H840" s="134"/>
    </row>
    <row r="841" ht="15.75" customHeight="1">
      <c r="A841" s="45"/>
      <c r="B841" s="45" t="s">
        <v>2789</v>
      </c>
      <c r="C841" s="121" t="s">
        <v>3998</v>
      </c>
      <c r="D841" s="121">
        <f>+923448643333</f>
        <v>923448643333</v>
      </c>
      <c r="E841" s="121" t="s">
        <v>3999</v>
      </c>
      <c r="F841" s="121" t="s">
        <v>1664</v>
      </c>
      <c r="G841" s="118" t="s">
        <v>684</v>
      </c>
      <c r="H841" s="134"/>
    </row>
    <row r="842" ht="15.75" customHeight="1">
      <c r="A842" s="45"/>
      <c r="B842" s="45" t="s">
        <v>2789</v>
      </c>
      <c r="C842" s="121" t="s">
        <v>4000</v>
      </c>
      <c r="D842" s="121">
        <f>+923018231105</f>
        <v>923018231105</v>
      </c>
      <c r="E842" s="121" t="s">
        <v>4001</v>
      </c>
      <c r="F842" s="121" t="s">
        <v>2334</v>
      </c>
      <c r="G842" s="118" t="s">
        <v>684</v>
      </c>
      <c r="H842" s="134"/>
    </row>
    <row r="843" ht="15.75" customHeight="1">
      <c r="A843" s="45"/>
      <c r="B843" s="45" t="s">
        <v>2789</v>
      </c>
      <c r="C843" s="121" t="s">
        <v>4002</v>
      </c>
      <c r="D843" s="121">
        <f>+923212567777</f>
        <v>923212567777</v>
      </c>
      <c r="E843" s="121" t="s">
        <v>4003</v>
      </c>
      <c r="F843" s="121" t="s">
        <v>1664</v>
      </c>
      <c r="G843" s="118" t="s">
        <v>684</v>
      </c>
      <c r="H843" s="134"/>
    </row>
    <row r="844" ht="15.75" customHeight="1">
      <c r="A844" s="45"/>
      <c r="B844" s="45" t="s">
        <v>2789</v>
      </c>
      <c r="C844" s="121" t="s">
        <v>4004</v>
      </c>
      <c r="D844" s="121">
        <f>+923002034418</f>
        <v>923002034418</v>
      </c>
      <c r="E844" s="121" t="s">
        <v>4005</v>
      </c>
      <c r="F844" s="121" t="s">
        <v>1664</v>
      </c>
      <c r="G844" s="118" t="s">
        <v>4006</v>
      </c>
      <c r="H844" s="134"/>
    </row>
    <row r="845" ht="15.75" customHeight="1">
      <c r="A845" s="45"/>
      <c r="B845" s="45" t="s">
        <v>2789</v>
      </c>
      <c r="C845" s="121" t="s">
        <v>4007</v>
      </c>
      <c r="D845" s="121">
        <f>+923063085881</f>
        <v>923063085881</v>
      </c>
      <c r="E845" s="121" t="s">
        <v>4008</v>
      </c>
      <c r="F845" s="121" t="s">
        <v>1664</v>
      </c>
      <c r="G845" s="118" t="s">
        <v>4006</v>
      </c>
      <c r="H845" s="134"/>
    </row>
    <row r="846" ht="15.75" customHeight="1">
      <c r="A846" s="45"/>
      <c r="B846" s="45" t="s">
        <v>2789</v>
      </c>
      <c r="C846" s="121" t="s">
        <v>4009</v>
      </c>
      <c r="D846" s="121">
        <f>+9203072498842</f>
        <v>9203072498842</v>
      </c>
      <c r="E846" s="121" t="s">
        <v>4010</v>
      </c>
      <c r="F846" s="121" t="s">
        <v>742</v>
      </c>
      <c r="G846" s="118" t="s">
        <v>4006</v>
      </c>
      <c r="H846" s="134"/>
    </row>
    <row r="847" ht="15.75" customHeight="1">
      <c r="A847" s="45"/>
      <c r="B847" s="45" t="s">
        <v>2789</v>
      </c>
      <c r="C847" s="121" t="s">
        <v>4011</v>
      </c>
      <c r="D847" s="121">
        <f>+923333987567</f>
        <v>923333987567</v>
      </c>
      <c r="E847" s="121" t="s">
        <v>4012</v>
      </c>
      <c r="F847" s="121" t="s">
        <v>2334</v>
      </c>
      <c r="G847" s="118" t="s">
        <v>4006</v>
      </c>
      <c r="H847" s="134"/>
    </row>
    <row r="848" ht="15.75" customHeight="1">
      <c r="A848" s="45"/>
      <c r="B848" s="45" t="s">
        <v>2789</v>
      </c>
      <c r="C848" s="121" t="s">
        <v>4013</v>
      </c>
      <c r="D848" s="121">
        <f>+923139999900</f>
        <v>923139999900</v>
      </c>
      <c r="E848" s="121" t="s">
        <v>2934</v>
      </c>
      <c r="F848" s="121" t="s">
        <v>742</v>
      </c>
      <c r="G848" s="118" t="s">
        <v>3902</v>
      </c>
      <c r="H848" s="134"/>
    </row>
    <row r="849" ht="15.75" customHeight="1">
      <c r="A849" s="45"/>
      <c r="B849" s="45" t="s">
        <v>2789</v>
      </c>
      <c r="C849" s="121" t="s">
        <v>4014</v>
      </c>
      <c r="D849" s="121">
        <f>+923000338612</f>
        <v>923000338612</v>
      </c>
      <c r="E849" s="121" t="s">
        <v>4015</v>
      </c>
      <c r="F849" s="121" t="s">
        <v>1661</v>
      </c>
      <c r="G849" s="118" t="s">
        <v>3902</v>
      </c>
      <c r="H849" s="134"/>
    </row>
    <row r="850" ht="15.75" customHeight="1">
      <c r="A850" s="45"/>
      <c r="B850" s="45" t="s">
        <v>2789</v>
      </c>
      <c r="C850" s="121" t="s">
        <v>2476</v>
      </c>
      <c r="D850" s="121">
        <f>+923009274271</f>
        <v>923009274271</v>
      </c>
      <c r="E850" s="121" t="s">
        <v>3576</v>
      </c>
      <c r="F850" s="121" t="s">
        <v>1664</v>
      </c>
      <c r="G850" s="118"/>
      <c r="H850" s="134"/>
    </row>
    <row r="851" ht="15.75" customHeight="1">
      <c r="A851" s="45"/>
      <c r="B851" s="45" t="s">
        <v>2789</v>
      </c>
      <c r="C851" s="121" t="s">
        <v>4016</v>
      </c>
      <c r="D851" s="121">
        <f>+923102356040</f>
        <v>923102356040</v>
      </c>
      <c r="E851" s="121" t="s">
        <v>4017</v>
      </c>
      <c r="F851" s="121" t="s">
        <v>742</v>
      </c>
      <c r="G851" s="118"/>
      <c r="H851" s="134"/>
    </row>
    <row r="852" ht="15.75" customHeight="1">
      <c r="A852" s="45"/>
      <c r="B852" s="45" t="s">
        <v>2789</v>
      </c>
      <c r="C852" s="121" t="s">
        <v>4018</v>
      </c>
      <c r="D852" s="121">
        <f>+923152197273</f>
        <v>923152197273</v>
      </c>
      <c r="E852" s="121" t="s">
        <v>4019</v>
      </c>
      <c r="F852" s="121" t="s">
        <v>1661</v>
      </c>
      <c r="G852" s="118"/>
      <c r="H852" s="134"/>
    </row>
    <row r="853" ht="15.75" customHeight="1">
      <c r="A853" s="45"/>
      <c r="B853" s="45" t="s">
        <v>2789</v>
      </c>
      <c r="C853" s="121" t="s">
        <v>4020</v>
      </c>
      <c r="D853" s="121">
        <f>+923111616167</f>
        <v>923111616167</v>
      </c>
      <c r="E853" s="121" t="s">
        <v>4021</v>
      </c>
      <c r="F853" s="121" t="s">
        <v>1664</v>
      </c>
      <c r="G853" s="118"/>
      <c r="H853" s="134"/>
    </row>
    <row r="854" ht="15.75" customHeight="1">
      <c r="A854" s="45"/>
      <c r="B854" s="45" t="s">
        <v>2789</v>
      </c>
      <c r="C854" s="121" t="s">
        <v>4022</v>
      </c>
      <c r="D854" s="121">
        <f>+923332138374</f>
        <v>923332138374</v>
      </c>
      <c r="E854" s="121" t="s">
        <v>4023</v>
      </c>
      <c r="F854" s="121" t="s">
        <v>1664</v>
      </c>
      <c r="G854" s="118"/>
      <c r="H854" s="134"/>
    </row>
    <row r="855" ht="15.75" customHeight="1">
      <c r="A855" s="45"/>
      <c r="B855" s="45" t="s">
        <v>2789</v>
      </c>
      <c r="C855" s="121" t="s">
        <v>4024</v>
      </c>
      <c r="D855" s="121">
        <f>+15612814969</f>
        <v>15612814969</v>
      </c>
      <c r="E855" s="121" t="s">
        <v>4025</v>
      </c>
      <c r="F855" s="121" t="s">
        <v>1661</v>
      </c>
      <c r="G855" s="118"/>
      <c r="H855" s="134"/>
    </row>
    <row r="856" ht="15.75" customHeight="1">
      <c r="A856" s="45"/>
      <c r="B856" s="45" t="s">
        <v>2789</v>
      </c>
      <c r="C856" s="121" t="s">
        <v>3255</v>
      </c>
      <c r="D856" s="121">
        <f>+923002543955</f>
        <v>923002543955</v>
      </c>
      <c r="E856" s="121" t="s">
        <v>4026</v>
      </c>
      <c r="F856" s="121" t="s">
        <v>742</v>
      </c>
      <c r="G856" s="118"/>
      <c r="H856" s="134"/>
    </row>
    <row r="857" ht="15.75" customHeight="1">
      <c r="A857" s="45"/>
      <c r="B857" s="45" t="s">
        <v>2789</v>
      </c>
      <c r="C857" s="121" t="s">
        <v>4027</v>
      </c>
      <c r="D857" s="121">
        <f>+923312266588</f>
        <v>923312266588</v>
      </c>
      <c r="E857" s="121" t="s">
        <v>4028</v>
      </c>
      <c r="F857" s="121" t="s">
        <v>2334</v>
      </c>
      <c r="G857" s="118"/>
      <c r="H857" s="134"/>
    </row>
    <row r="858" ht="15.75" customHeight="1">
      <c r="A858" s="45"/>
      <c r="B858" s="45" t="s">
        <v>2789</v>
      </c>
      <c r="C858" s="121" t="s">
        <v>4029</v>
      </c>
      <c r="D858" s="121">
        <f>+923332325644</f>
        <v>923332325644</v>
      </c>
      <c r="E858" s="121" t="s">
        <v>4030</v>
      </c>
      <c r="F858" s="121" t="s">
        <v>742</v>
      </c>
      <c r="G858" s="118"/>
      <c r="H858" s="134"/>
    </row>
    <row r="859" ht="15.75" customHeight="1">
      <c r="A859" s="45"/>
      <c r="B859" s="45" t="s">
        <v>2789</v>
      </c>
      <c r="C859" s="121" t="s">
        <v>4031</v>
      </c>
      <c r="D859" s="121">
        <f>+923002667871</f>
        <v>923002667871</v>
      </c>
      <c r="E859" s="121" t="s">
        <v>4032</v>
      </c>
      <c r="F859" s="121" t="s">
        <v>1661</v>
      </c>
      <c r="G859" s="118"/>
      <c r="H859" s="134"/>
    </row>
    <row r="860" ht="15.75" customHeight="1">
      <c r="A860" s="45"/>
      <c r="B860" s="45" t="s">
        <v>2789</v>
      </c>
      <c r="C860" s="121" t="s">
        <v>4033</v>
      </c>
      <c r="D860" s="121">
        <f>+923002391663</f>
        <v>923002391663</v>
      </c>
      <c r="E860" s="121" t="s">
        <v>4034</v>
      </c>
      <c r="F860" s="121" t="s">
        <v>2334</v>
      </c>
      <c r="G860" s="118"/>
      <c r="H860" s="134"/>
    </row>
    <row r="861" ht="15.75" customHeight="1">
      <c r="A861" s="45"/>
      <c r="B861" s="45" t="s">
        <v>2789</v>
      </c>
      <c r="C861" s="121" t="s">
        <v>4035</v>
      </c>
      <c r="D861" s="121">
        <f>+923008284488</f>
        <v>923008284488</v>
      </c>
      <c r="E861" s="121" t="s">
        <v>4036</v>
      </c>
      <c r="F861" s="121" t="s">
        <v>1661</v>
      </c>
      <c r="G861" s="118"/>
      <c r="H861" s="134"/>
    </row>
    <row r="862" ht="15.75" customHeight="1">
      <c r="A862" s="206">
        <v>43979.0</v>
      </c>
      <c r="B862" s="121" t="s">
        <v>2789</v>
      </c>
      <c r="C862" s="121" t="s">
        <v>4037</v>
      </c>
      <c r="D862" s="121">
        <f>+923242121187</f>
        <v>923242121187</v>
      </c>
      <c r="E862" s="121" t="s">
        <v>4038</v>
      </c>
      <c r="F862" s="121" t="s">
        <v>742</v>
      </c>
      <c r="G862" s="118" t="s">
        <v>684</v>
      </c>
      <c r="H862" s="134"/>
    </row>
    <row r="863" ht="15.75" customHeight="1">
      <c r="A863" s="206">
        <v>43979.0</v>
      </c>
      <c r="B863" s="121" t="s">
        <v>2789</v>
      </c>
      <c r="C863" s="121" t="s">
        <v>4039</v>
      </c>
      <c r="D863" s="121">
        <f>+447466594532</f>
        <v>447466594532</v>
      </c>
      <c r="E863" s="121" t="s">
        <v>4040</v>
      </c>
      <c r="F863" s="121" t="s">
        <v>1661</v>
      </c>
      <c r="G863" s="118" t="s">
        <v>684</v>
      </c>
      <c r="H863" s="134"/>
    </row>
    <row r="864" ht="15.75" customHeight="1">
      <c r="A864" s="206">
        <v>43979.0</v>
      </c>
      <c r="B864" s="121" t="s">
        <v>2789</v>
      </c>
      <c r="C864" s="121" t="s">
        <v>4041</v>
      </c>
      <c r="D864" s="121">
        <f>+923028224666</f>
        <v>923028224666</v>
      </c>
      <c r="E864" s="121" t="s">
        <v>4042</v>
      </c>
      <c r="F864" s="121" t="s">
        <v>1661</v>
      </c>
      <c r="G864" s="118" t="s">
        <v>684</v>
      </c>
      <c r="H864" s="134"/>
    </row>
    <row r="865" ht="15.75" customHeight="1">
      <c r="A865" s="206">
        <v>43979.0</v>
      </c>
      <c r="B865" s="121" t="s">
        <v>2789</v>
      </c>
      <c r="C865" s="121" t="s">
        <v>4043</v>
      </c>
      <c r="D865" s="121">
        <f>+923009276565</f>
        <v>923009276565</v>
      </c>
      <c r="E865" s="121" t="s">
        <v>4044</v>
      </c>
      <c r="F865" s="121" t="s">
        <v>2334</v>
      </c>
      <c r="G865" s="118" t="s">
        <v>3903</v>
      </c>
      <c r="H865" s="134"/>
    </row>
    <row r="866" ht="15.75" customHeight="1">
      <c r="A866" s="206">
        <v>43979.0</v>
      </c>
      <c r="B866" s="121" t="s">
        <v>2789</v>
      </c>
      <c r="C866" s="121" t="s">
        <v>4045</v>
      </c>
      <c r="D866" s="121">
        <f>+258843572888</f>
        <v>258843572888</v>
      </c>
      <c r="E866" s="121" t="s">
        <v>4046</v>
      </c>
      <c r="F866" s="121" t="s">
        <v>1661</v>
      </c>
      <c r="G866" s="118" t="s">
        <v>3903</v>
      </c>
      <c r="H866" s="134"/>
    </row>
    <row r="867" ht="15.75" customHeight="1">
      <c r="A867" s="206">
        <v>43979.0</v>
      </c>
      <c r="B867" s="121" t="s">
        <v>2789</v>
      </c>
      <c r="C867" s="121" t="s">
        <v>4047</v>
      </c>
      <c r="D867" s="121">
        <f>+923004850353</f>
        <v>923004850353</v>
      </c>
      <c r="E867" s="121" t="s">
        <v>4048</v>
      </c>
      <c r="F867" s="121" t="s">
        <v>2334</v>
      </c>
      <c r="G867" s="118" t="s">
        <v>3903</v>
      </c>
      <c r="H867" s="134"/>
    </row>
    <row r="868" ht="15.75" customHeight="1">
      <c r="A868" s="206">
        <v>43979.0</v>
      </c>
      <c r="B868" s="121" t="s">
        <v>2789</v>
      </c>
      <c r="C868" s="121" t="s">
        <v>4049</v>
      </c>
      <c r="D868" s="121">
        <f>+923333415962</f>
        <v>923333415962</v>
      </c>
      <c r="E868" s="121" t="s">
        <v>4050</v>
      </c>
      <c r="F868" s="121" t="s">
        <v>742</v>
      </c>
      <c r="G868" s="118" t="s">
        <v>2671</v>
      </c>
      <c r="H868" s="134"/>
    </row>
    <row r="869" ht="15.75" customHeight="1">
      <c r="A869" s="206">
        <v>43979.0</v>
      </c>
      <c r="B869" s="121" t="s">
        <v>2789</v>
      </c>
      <c r="C869" s="121" t="s">
        <v>4051</v>
      </c>
      <c r="D869" s="121">
        <f>+922132453750</f>
        <v>922132453750</v>
      </c>
      <c r="E869" s="121" t="s">
        <v>4052</v>
      </c>
      <c r="F869" s="121" t="s">
        <v>1661</v>
      </c>
      <c r="G869" s="118" t="s">
        <v>2671</v>
      </c>
      <c r="H869" s="134"/>
    </row>
    <row r="870" ht="15.75" customHeight="1">
      <c r="A870" s="206">
        <v>43979.0</v>
      </c>
      <c r="B870" s="121" t="s">
        <v>2789</v>
      </c>
      <c r="C870" s="121" t="s">
        <v>4053</v>
      </c>
      <c r="D870" s="121">
        <f>+923452362017</f>
        <v>923452362017</v>
      </c>
      <c r="E870" s="121" t="s">
        <v>4054</v>
      </c>
      <c r="F870" s="121" t="s">
        <v>1664</v>
      </c>
      <c r="G870" s="118" t="s">
        <v>2671</v>
      </c>
      <c r="H870" s="134"/>
    </row>
    <row r="871" ht="15.75" customHeight="1">
      <c r="A871" s="206">
        <v>43979.0</v>
      </c>
      <c r="B871" s="121" t="s">
        <v>2789</v>
      </c>
      <c r="C871" s="207" t="s">
        <v>4055</v>
      </c>
      <c r="D871" s="208">
        <f>+923008240020</f>
        <v>923008240020</v>
      </c>
      <c r="E871" s="209" t="s">
        <v>4056</v>
      </c>
      <c r="F871" s="121"/>
      <c r="G871" s="118" t="s">
        <v>3903</v>
      </c>
      <c r="H871" s="134"/>
    </row>
    <row r="872" ht="15.75" customHeight="1">
      <c r="A872" s="206">
        <v>43979.0</v>
      </c>
      <c r="B872" s="121" t="s">
        <v>2789</v>
      </c>
      <c r="C872" s="207" t="s">
        <v>4057</v>
      </c>
      <c r="D872" s="208">
        <f>+923333901539</f>
        <v>923333901539</v>
      </c>
      <c r="E872" s="209" t="s">
        <v>4058</v>
      </c>
      <c r="F872" s="121"/>
      <c r="G872" s="118" t="s">
        <v>684</v>
      </c>
      <c r="H872" s="134"/>
    </row>
    <row r="873" ht="15.75" customHeight="1">
      <c r="A873" s="206">
        <v>43979.0</v>
      </c>
      <c r="B873" s="121" t="s">
        <v>2789</v>
      </c>
      <c r="C873" s="207" t="s">
        <v>4059</v>
      </c>
      <c r="D873" s="208">
        <f>+923332243983</f>
        <v>923332243983</v>
      </c>
      <c r="E873" s="209" t="s">
        <v>4060</v>
      </c>
      <c r="F873" s="121"/>
      <c r="G873" s="118" t="s">
        <v>684</v>
      </c>
      <c r="H873" s="134"/>
    </row>
    <row r="874" ht="15.75" customHeight="1">
      <c r="A874" s="206">
        <v>43979.0</v>
      </c>
      <c r="B874" s="121" t="s">
        <v>2789</v>
      </c>
      <c r="C874" s="207" t="s">
        <v>4061</v>
      </c>
      <c r="D874" s="208">
        <f>+923316071982</f>
        <v>923316071982</v>
      </c>
      <c r="E874" s="209" t="s">
        <v>4062</v>
      </c>
      <c r="F874" s="121"/>
      <c r="G874" s="118" t="s">
        <v>2671</v>
      </c>
      <c r="H874" s="134"/>
    </row>
    <row r="875" ht="15.75" customHeight="1">
      <c r="A875" s="206">
        <v>43979.0</v>
      </c>
      <c r="B875" s="121" t="s">
        <v>2789</v>
      </c>
      <c r="C875" s="207" t="s">
        <v>4063</v>
      </c>
      <c r="D875" s="208">
        <f>+923332762285</f>
        <v>923332762285</v>
      </c>
      <c r="E875" s="209" t="s">
        <v>4064</v>
      </c>
      <c r="F875" s="121"/>
      <c r="G875" s="118" t="s">
        <v>2671</v>
      </c>
      <c r="H875" s="134"/>
    </row>
    <row r="876" ht="15.75" customHeight="1">
      <c r="A876" s="206">
        <v>43981.0</v>
      </c>
      <c r="B876" s="121" t="s">
        <v>2789</v>
      </c>
      <c r="C876" s="121" t="s">
        <v>4065</v>
      </c>
      <c r="D876" s="121">
        <f>+923002962467</f>
        <v>923002962467</v>
      </c>
      <c r="E876" s="121" t="s">
        <v>4066</v>
      </c>
      <c r="F876" s="121" t="s">
        <v>1661</v>
      </c>
      <c r="G876" s="118" t="s">
        <v>684</v>
      </c>
      <c r="H876" s="134"/>
    </row>
    <row r="877" ht="15.75" customHeight="1">
      <c r="A877" s="206">
        <v>43981.0</v>
      </c>
      <c r="B877" s="121" t="s">
        <v>2789</v>
      </c>
      <c r="C877" s="121" t="s">
        <v>4067</v>
      </c>
      <c r="D877" s="121">
        <f>+923454888117</f>
        <v>923454888117</v>
      </c>
      <c r="E877" s="121" t="s">
        <v>4068</v>
      </c>
      <c r="F877" s="121" t="s">
        <v>1661</v>
      </c>
      <c r="G877" s="118" t="s">
        <v>684</v>
      </c>
      <c r="H877" s="134"/>
    </row>
    <row r="878" ht="15.75" customHeight="1">
      <c r="A878" s="206">
        <v>43981.0</v>
      </c>
      <c r="B878" s="121" t="s">
        <v>2789</v>
      </c>
      <c r="C878" s="121" t="s">
        <v>4069</v>
      </c>
      <c r="D878" s="121">
        <f>+923002923270</f>
        <v>923002923270</v>
      </c>
      <c r="E878" s="121" t="s">
        <v>4070</v>
      </c>
      <c r="F878" s="121" t="s">
        <v>1664</v>
      </c>
      <c r="G878" s="118" t="s">
        <v>684</v>
      </c>
      <c r="H878" s="134"/>
    </row>
    <row r="879" ht="15.75" customHeight="1">
      <c r="A879" s="206">
        <v>43981.0</v>
      </c>
      <c r="B879" s="121" t="s">
        <v>2789</v>
      </c>
      <c r="C879" s="121" t="s">
        <v>4071</v>
      </c>
      <c r="D879" s="121">
        <f>+923333850655</f>
        <v>923333850655</v>
      </c>
      <c r="E879" s="121" t="s">
        <v>4072</v>
      </c>
      <c r="F879" s="121" t="s">
        <v>1664</v>
      </c>
      <c r="G879" s="118" t="s">
        <v>684</v>
      </c>
      <c r="H879" s="134"/>
    </row>
    <row r="880" ht="15.75" customHeight="1">
      <c r="A880" s="206">
        <v>43981.0</v>
      </c>
      <c r="B880" s="121" t="s">
        <v>2789</v>
      </c>
      <c r="C880" s="121" t="s">
        <v>4073</v>
      </c>
      <c r="D880" s="121">
        <f>+923322771038</f>
        <v>923322771038</v>
      </c>
      <c r="E880" s="121" t="s">
        <v>4074</v>
      </c>
      <c r="F880" s="121" t="s">
        <v>2334</v>
      </c>
      <c r="G880" s="118" t="s">
        <v>684</v>
      </c>
      <c r="H880" s="134"/>
    </row>
    <row r="881" ht="15.75" customHeight="1">
      <c r="A881" s="206">
        <v>43981.0</v>
      </c>
      <c r="B881" s="121" t="s">
        <v>2789</v>
      </c>
      <c r="C881" s="121" t="s">
        <v>4075</v>
      </c>
      <c r="D881" s="121">
        <f>+9710564131439</f>
        <v>9710564131439</v>
      </c>
      <c r="E881" s="121" t="s">
        <v>4076</v>
      </c>
      <c r="F881" s="121" t="s">
        <v>1661</v>
      </c>
      <c r="G881" s="118" t="s">
        <v>2671</v>
      </c>
      <c r="H881" s="134"/>
    </row>
    <row r="882" ht="15.75" customHeight="1">
      <c r="A882" s="206">
        <v>43981.0</v>
      </c>
      <c r="B882" s="121" t="s">
        <v>2789</v>
      </c>
      <c r="C882" s="121" t="s">
        <v>4077</v>
      </c>
      <c r="D882" s="121">
        <f>+923002528609</f>
        <v>923002528609</v>
      </c>
      <c r="E882" s="121" t="s">
        <v>4078</v>
      </c>
      <c r="F882" s="121" t="s">
        <v>1661</v>
      </c>
      <c r="G882" s="118" t="s">
        <v>2671</v>
      </c>
      <c r="H882" s="134"/>
    </row>
    <row r="883" ht="15.75" customHeight="1">
      <c r="A883" s="206">
        <v>43981.0</v>
      </c>
      <c r="B883" s="121" t="s">
        <v>2789</v>
      </c>
      <c r="C883" s="121" t="s">
        <v>4079</v>
      </c>
      <c r="D883" s="121">
        <f>+923008480797</f>
        <v>923008480797</v>
      </c>
      <c r="E883" s="121" t="s">
        <v>4080</v>
      </c>
      <c r="F883" s="121" t="s">
        <v>2334</v>
      </c>
      <c r="G883" s="118" t="s">
        <v>2671</v>
      </c>
      <c r="H883" s="134"/>
    </row>
    <row r="884" ht="15.75" customHeight="1">
      <c r="A884" s="206">
        <v>43981.0</v>
      </c>
      <c r="B884" s="121" t="s">
        <v>2789</v>
      </c>
      <c r="C884" s="121" t="s">
        <v>4081</v>
      </c>
      <c r="D884" s="121">
        <f>+923131204686</f>
        <v>923131204686</v>
      </c>
      <c r="E884" s="121" t="s">
        <v>4082</v>
      </c>
      <c r="F884" s="121" t="s">
        <v>1661</v>
      </c>
      <c r="G884" s="118" t="s">
        <v>2671</v>
      </c>
      <c r="H884" s="134"/>
    </row>
    <row r="885" ht="15.75" customHeight="1">
      <c r="A885" s="206">
        <v>43981.0</v>
      </c>
      <c r="B885" s="121" t="s">
        <v>2789</v>
      </c>
      <c r="C885" s="121" t="s">
        <v>4083</v>
      </c>
      <c r="D885" s="121">
        <f>+923132779010</f>
        <v>923132779010</v>
      </c>
      <c r="E885" s="121" t="s">
        <v>4084</v>
      </c>
      <c r="F885" s="121" t="s">
        <v>742</v>
      </c>
      <c r="G885" s="118" t="s">
        <v>2671</v>
      </c>
      <c r="H885" s="134"/>
    </row>
    <row r="886" ht="15.75" customHeight="1">
      <c r="A886" s="206">
        <v>43981.0</v>
      </c>
      <c r="B886" s="121" t="s">
        <v>2789</v>
      </c>
      <c r="C886" s="121" t="s">
        <v>4085</v>
      </c>
      <c r="D886" s="121">
        <f>+923003513013</f>
        <v>923003513013</v>
      </c>
      <c r="E886" s="121" t="s">
        <v>4086</v>
      </c>
      <c r="F886" s="121" t="s">
        <v>1664</v>
      </c>
      <c r="G886" s="118" t="s">
        <v>3903</v>
      </c>
      <c r="H886" s="134"/>
    </row>
    <row r="887" ht="15.75" customHeight="1">
      <c r="A887" s="206">
        <v>43981.0</v>
      </c>
      <c r="B887" s="121" t="s">
        <v>2789</v>
      </c>
      <c r="C887" s="121" t="s">
        <v>4087</v>
      </c>
      <c r="D887" s="121">
        <f>+923002228206</f>
        <v>923002228206</v>
      </c>
      <c r="E887" s="121" t="s">
        <v>4088</v>
      </c>
      <c r="F887" s="121" t="s">
        <v>1664</v>
      </c>
      <c r="G887" s="118" t="s">
        <v>3903</v>
      </c>
      <c r="H887" s="134"/>
    </row>
    <row r="888" ht="15.75" customHeight="1">
      <c r="A888" s="206">
        <v>43981.0</v>
      </c>
      <c r="B888" s="121" t="s">
        <v>2789</v>
      </c>
      <c r="C888" s="121" t="s">
        <v>4089</v>
      </c>
      <c r="D888" s="121">
        <f>+923313868297</f>
        <v>923313868297</v>
      </c>
      <c r="E888" s="121" t="s">
        <v>4090</v>
      </c>
      <c r="F888" s="121" t="s">
        <v>1661</v>
      </c>
      <c r="G888" s="118" t="s">
        <v>3903</v>
      </c>
      <c r="H888" s="134"/>
    </row>
    <row r="889" ht="15.75" customHeight="1">
      <c r="A889" s="206">
        <v>43981.0</v>
      </c>
      <c r="B889" s="121" t="s">
        <v>2789</v>
      </c>
      <c r="C889" s="121" t="s">
        <v>4091</v>
      </c>
      <c r="D889" s="121">
        <f>+923422218956</f>
        <v>923422218956</v>
      </c>
      <c r="E889" s="121" t="s">
        <v>4092</v>
      </c>
      <c r="F889" s="121" t="s">
        <v>1664</v>
      </c>
      <c r="G889" s="118" t="s">
        <v>3903</v>
      </c>
      <c r="H889" s="134"/>
    </row>
    <row r="890" ht="15.75" customHeight="1">
      <c r="A890" s="206">
        <v>43981.0</v>
      </c>
      <c r="B890" s="121" t="s">
        <v>2789</v>
      </c>
      <c r="C890" s="121" t="s">
        <v>4093</v>
      </c>
      <c r="D890" s="121">
        <f>+9203352730202</f>
        <v>9203352730202</v>
      </c>
      <c r="E890" s="121" t="s">
        <v>4094</v>
      </c>
      <c r="F890" s="121" t="s">
        <v>1664</v>
      </c>
      <c r="G890" s="118" t="s">
        <v>4095</v>
      </c>
      <c r="H890" s="134"/>
    </row>
    <row r="891" ht="15.75" customHeight="1">
      <c r="A891" s="206">
        <v>43981.0</v>
      </c>
      <c r="B891" s="121" t="s">
        <v>2789</v>
      </c>
      <c r="C891" s="121" t="s">
        <v>4096</v>
      </c>
      <c r="D891" s="121">
        <f>+923342552448</f>
        <v>923342552448</v>
      </c>
      <c r="E891" s="121" t="s">
        <v>4097</v>
      </c>
      <c r="F891" s="121" t="s">
        <v>2334</v>
      </c>
      <c r="G891" s="118" t="s">
        <v>4095</v>
      </c>
      <c r="H891" s="134"/>
    </row>
    <row r="892" ht="15.75" customHeight="1">
      <c r="A892" s="206">
        <v>43981.0</v>
      </c>
      <c r="B892" s="121" t="s">
        <v>2789</v>
      </c>
      <c r="C892" s="121" t="s">
        <v>4098</v>
      </c>
      <c r="D892" s="121">
        <f>+9203152097900</f>
        <v>9203152097900</v>
      </c>
      <c r="E892" s="121" t="s">
        <v>4099</v>
      </c>
      <c r="F892" s="121" t="s">
        <v>1664</v>
      </c>
      <c r="G892" s="118" t="s">
        <v>4095</v>
      </c>
      <c r="H892" s="134"/>
    </row>
    <row r="893" ht="15.75" customHeight="1">
      <c r="A893" s="45"/>
      <c r="B893" s="121" t="s">
        <v>2789</v>
      </c>
      <c r="C893" s="121" t="s">
        <v>4100</v>
      </c>
      <c r="D893" s="121">
        <f>+923222755994</f>
        <v>923222755994</v>
      </c>
      <c r="E893" s="121" t="s">
        <v>4101</v>
      </c>
      <c r="F893" s="121" t="s">
        <v>2334</v>
      </c>
      <c r="G893" s="118" t="s">
        <v>684</v>
      </c>
      <c r="H893" s="134"/>
    </row>
    <row r="894" ht="15.75" customHeight="1">
      <c r="A894" s="45"/>
      <c r="B894" s="121" t="s">
        <v>2789</v>
      </c>
      <c r="C894" s="121" t="s">
        <v>4102</v>
      </c>
      <c r="D894" s="121">
        <f>+923022796349</f>
        <v>923022796349</v>
      </c>
      <c r="E894" s="121" t="s">
        <v>4103</v>
      </c>
      <c r="F894" s="121" t="s">
        <v>742</v>
      </c>
      <c r="G894" s="118" t="s">
        <v>684</v>
      </c>
      <c r="H894" s="134"/>
    </row>
    <row r="895" ht="15.75" customHeight="1">
      <c r="A895" s="45"/>
      <c r="B895" s="121" t="s">
        <v>2789</v>
      </c>
      <c r="C895" s="121" t="s">
        <v>4104</v>
      </c>
      <c r="D895" s="121">
        <f>+923323902655</f>
        <v>923323902655</v>
      </c>
      <c r="E895" s="121" t="s">
        <v>4105</v>
      </c>
      <c r="F895" s="121" t="s">
        <v>2334</v>
      </c>
      <c r="G895" s="118" t="s">
        <v>2671</v>
      </c>
      <c r="H895" s="134"/>
    </row>
    <row r="896" ht="15.75" customHeight="1">
      <c r="A896" s="45"/>
      <c r="B896" s="121" t="s">
        <v>2789</v>
      </c>
      <c r="C896" s="121" t="s">
        <v>4106</v>
      </c>
      <c r="D896" s="121">
        <f>+923213444341</f>
        <v>923213444341</v>
      </c>
      <c r="E896" s="121" t="s">
        <v>4107</v>
      </c>
      <c r="F896" s="121" t="s">
        <v>2334</v>
      </c>
      <c r="G896" s="118" t="s">
        <v>2671</v>
      </c>
      <c r="H896" s="134"/>
    </row>
    <row r="897" ht="15.75" customHeight="1">
      <c r="A897" s="45"/>
      <c r="B897" s="121" t="s">
        <v>2789</v>
      </c>
      <c r="C897" s="121" t="s">
        <v>4108</v>
      </c>
      <c r="D897" s="121">
        <f>+923332312130</f>
        <v>923332312130</v>
      </c>
      <c r="E897" s="121" t="s">
        <v>4109</v>
      </c>
      <c r="F897" s="121" t="s">
        <v>1661</v>
      </c>
      <c r="G897" s="118" t="s">
        <v>4095</v>
      </c>
      <c r="H897" s="134"/>
    </row>
    <row r="898" ht="15.75" customHeight="1">
      <c r="A898" s="45"/>
      <c r="B898" s="121" t="s">
        <v>2789</v>
      </c>
      <c r="C898" s="121" t="s">
        <v>4110</v>
      </c>
      <c r="D898" s="121">
        <f>+61405099093</f>
        <v>61405099093</v>
      </c>
      <c r="E898" s="121" t="s">
        <v>4111</v>
      </c>
      <c r="F898" s="121" t="s">
        <v>742</v>
      </c>
      <c r="G898" s="118" t="s">
        <v>3903</v>
      </c>
      <c r="H898" s="134"/>
    </row>
    <row r="899" ht="15.75" customHeight="1">
      <c r="A899" s="45"/>
      <c r="B899" s="121" t="s">
        <v>2789</v>
      </c>
      <c r="C899" s="45" t="s">
        <v>4112</v>
      </c>
      <c r="D899" s="121">
        <f>+923332148056</f>
        <v>923332148056</v>
      </c>
      <c r="E899" s="121" t="s">
        <v>4113</v>
      </c>
      <c r="F899" s="121" t="s">
        <v>1664</v>
      </c>
      <c r="G899" s="134" t="s">
        <v>4114</v>
      </c>
      <c r="H899" s="134"/>
    </row>
    <row r="900" ht="15.75" customHeight="1">
      <c r="A900" s="45"/>
      <c r="B900" s="121" t="s">
        <v>2789</v>
      </c>
      <c r="C900" s="45" t="s">
        <v>4115</v>
      </c>
      <c r="D900" s="121">
        <f>+923002209549</f>
        <v>923002209549</v>
      </c>
      <c r="E900" s="121" t="s">
        <v>4116</v>
      </c>
      <c r="F900" s="121" t="s">
        <v>2334</v>
      </c>
      <c r="G900" s="118" t="s">
        <v>2671</v>
      </c>
      <c r="H900" s="134"/>
    </row>
    <row r="901" ht="15.75" customHeight="1">
      <c r="A901" s="45"/>
      <c r="B901" s="121" t="s">
        <v>2789</v>
      </c>
      <c r="C901" s="45" t="s">
        <v>4117</v>
      </c>
      <c r="D901" s="121">
        <f>+923208347731</f>
        <v>923208347731</v>
      </c>
      <c r="E901" s="121" t="s">
        <v>4118</v>
      </c>
      <c r="F901" s="121" t="s">
        <v>742</v>
      </c>
      <c r="G901" s="118" t="s">
        <v>2671</v>
      </c>
      <c r="H901" s="134"/>
    </row>
    <row r="902" ht="15.75" customHeight="1">
      <c r="A902" s="45"/>
      <c r="B902" s="121" t="s">
        <v>2789</v>
      </c>
      <c r="C902" s="45" t="s">
        <v>4119</v>
      </c>
      <c r="D902" s="121">
        <f>+923337338116</f>
        <v>923337338116</v>
      </c>
      <c r="E902" s="121" t="s">
        <v>4120</v>
      </c>
      <c r="F902" s="121" t="s">
        <v>742</v>
      </c>
      <c r="G902" s="118" t="s">
        <v>4114</v>
      </c>
      <c r="H902" s="134"/>
    </row>
    <row r="903" ht="15.75" customHeight="1">
      <c r="A903" s="45"/>
      <c r="B903" s="121" t="s">
        <v>2789</v>
      </c>
      <c r="C903" s="121" t="s">
        <v>4121</v>
      </c>
      <c r="D903" s="121">
        <f>+923232415720</f>
        <v>923232415720</v>
      </c>
      <c r="E903" s="121" t="s">
        <v>4122</v>
      </c>
      <c r="F903" s="121" t="s">
        <v>1661</v>
      </c>
      <c r="G903" s="118" t="s">
        <v>3903</v>
      </c>
      <c r="H903" s="134"/>
    </row>
    <row r="904" ht="15.75" customHeight="1">
      <c r="A904" s="45"/>
      <c r="B904" s="121" t="s">
        <v>2789</v>
      </c>
      <c r="C904" s="45" t="s">
        <v>4123</v>
      </c>
      <c r="D904" s="121">
        <f>+923002100624</f>
        <v>923002100624</v>
      </c>
      <c r="E904" s="121" t="s">
        <v>4124</v>
      </c>
      <c r="F904" s="121" t="s">
        <v>1664</v>
      </c>
      <c r="G904" s="118" t="s">
        <v>4125</v>
      </c>
      <c r="H904" s="134"/>
    </row>
    <row r="905" ht="15.75" customHeight="1">
      <c r="A905" s="210">
        <v>43991.0</v>
      </c>
      <c r="B905" s="121" t="s">
        <v>2789</v>
      </c>
      <c r="C905" s="121" t="s">
        <v>4126</v>
      </c>
      <c r="D905" s="121">
        <f>+923003005949</f>
        <v>923003005949</v>
      </c>
      <c r="E905" s="121" t="s">
        <v>4127</v>
      </c>
      <c r="F905" s="121" t="s">
        <v>742</v>
      </c>
      <c r="G905" s="118"/>
      <c r="H905" s="134"/>
    </row>
    <row r="906" ht="15.75" customHeight="1">
      <c r="A906" s="210">
        <v>43991.0</v>
      </c>
      <c r="B906" s="121" t="s">
        <v>2789</v>
      </c>
      <c r="C906" s="121" t="s">
        <v>4128</v>
      </c>
      <c r="D906" s="121">
        <f>+923002891611</f>
        <v>923002891611</v>
      </c>
      <c r="E906" s="121" t="s">
        <v>4129</v>
      </c>
      <c r="F906" s="121" t="s">
        <v>1664</v>
      </c>
      <c r="G906" s="118" t="s">
        <v>2671</v>
      </c>
      <c r="H906" s="134"/>
    </row>
    <row r="907" ht="15.75" customHeight="1">
      <c r="A907" s="210">
        <v>43991.0</v>
      </c>
      <c r="B907" s="121" t="s">
        <v>2789</v>
      </c>
      <c r="C907" s="121" t="s">
        <v>4130</v>
      </c>
      <c r="D907" s="121">
        <f>+61390849844</f>
        <v>61390849844</v>
      </c>
      <c r="E907" s="121" t="s">
        <v>4131</v>
      </c>
      <c r="F907" s="121" t="s">
        <v>1664</v>
      </c>
      <c r="G907" s="118" t="s">
        <v>2671</v>
      </c>
      <c r="H907" s="134"/>
    </row>
    <row r="908" ht="15.75" customHeight="1">
      <c r="A908" s="210">
        <v>43991.0</v>
      </c>
      <c r="B908" s="121" t="s">
        <v>2789</v>
      </c>
      <c r="C908" s="121" t="s">
        <v>4132</v>
      </c>
      <c r="D908" s="121">
        <f>+923222764629</f>
        <v>923222764629</v>
      </c>
      <c r="E908" s="121" t="s">
        <v>4133</v>
      </c>
      <c r="F908" s="121" t="s">
        <v>1661</v>
      </c>
      <c r="G908" s="118" t="s">
        <v>684</v>
      </c>
      <c r="H908" s="134"/>
    </row>
    <row r="909" ht="15.75" customHeight="1">
      <c r="A909" s="210">
        <v>43991.0</v>
      </c>
      <c r="B909" s="121" t="s">
        <v>2789</v>
      </c>
      <c r="C909" s="121" t="s">
        <v>4112</v>
      </c>
      <c r="D909" s="121">
        <f>+923332148056</f>
        <v>923332148056</v>
      </c>
      <c r="E909" s="121" t="s">
        <v>4113</v>
      </c>
      <c r="F909" s="121" t="s">
        <v>1664</v>
      </c>
      <c r="G909" s="118" t="s">
        <v>4095</v>
      </c>
      <c r="H909" s="134"/>
    </row>
    <row r="910" ht="15.75" customHeight="1">
      <c r="A910" s="210">
        <v>43991.0</v>
      </c>
      <c r="B910" s="121" t="s">
        <v>2789</v>
      </c>
      <c r="C910" s="121" t="s">
        <v>4115</v>
      </c>
      <c r="D910" s="121">
        <f>+923002209549</f>
        <v>923002209549</v>
      </c>
      <c r="E910" s="121" t="s">
        <v>4116</v>
      </c>
      <c r="F910" s="121" t="s">
        <v>2334</v>
      </c>
      <c r="G910" s="118" t="s">
        <v>4095</v>
      </c>
      <c r="H910" s="134"/>
    </row>
    <row r="911" ht="15.75" customHeight="1">
      <c r="A911" s="210">
        <v>43991.0</v>
      </c>
      <c r="B911" s="121" t="s">
        <v>2789</v>
      </c>
      <c r="C911" s="121" t="s">
        <v>4117</v>
      </c>
      <c r="D911" s="121">
        <f>+923208347731</f>
        <v>923208347731</v>
      </c>
      <c r="E911" s="121" t="s">
        <v>4118</v>
      </c>
      <c r="F911" s="121" t="s">
        <v>742</v>
      </c>
      <c r="G911" s="118" t="s">
        <v>3903</v>
      </c>
      <c r="H911" s="134"/>
    </row>
    <row r="912" ht="15.75" customHeight="1">
      <c r="A912" s="210">
        <v>43993.0</v>
      </c>
      <c r="B912" s="121" t="s">
        <v>2789</v>
      </c>
      <c r="C912" s="121" t="s">
        <v>4134</v>
      </c>
      <c r="D912" s="121">
        <f>+923142154730</f>
        <v>923142154730</v>
      </c>
      <c r="E912" s="121" t="s">
        <v>4135</v>
      </c>
      <c r="F912" s="121" t="s">
        <v>1661</v>
      </c>
      <c r="G912" s="118" t="s">
        <v>2671</v>
      </c>
      <c r="H912" s="134"/>
    </row>
    <row r="913" ht="15.75" customHeight="1">
      <c r="A913" s="210">
        <v>43993.0</v>
      </c>
      <c r="B913" s="121" t="s">
        <v>2789</v>
      </c>
      <c r="C913" s="121" t="s">
        <v>4136</v>
      </c>
      <c r="D913" s="121">
        <f>+923152849919</f>
        <v>923152849919</v>
      </c>
      <c r="E913" s="121" t="s">
        <v>4137</v>
      </c>
      <c r="F913" s="121" t="s">
        <v>2334</v>
      </c>
      <c r="G913" s="118" t="s">
        <v>684</v>
      </c>
      <c r="H913" s="134"/>
    </row>
    <row r="914" ht="15.75" customHeight="1">
      <c r="A914" s="210">
        <v>43993.0</v>
      </c>
      <c r="B914" s="121" t="s">
        <v>2789</v>
      </c>
      <c r="C914" s="121" t="s">
        <v>4138</v>
      </c>
      <c r="D914" s="121">
        <f>+9203318082911</f>
        <v>9203318082911</v>
      </c>
      <c r="E914" s="121" t="s">
        <v>4139</v>
      </c>
      <c r="F914" s="121" t="s">
        <v>1664</v>
      </c>
      <c r="G914" s="118" t="s">
        <v>3903</v>
      </c>
      <c r="H914" s="134"/>
    </row>
    <row r="915" ht="15.75" customHeight="1">
      <c r="A915" s="210">
        <v>43993.0</v>
      </c>
      <c r="B915" s="121" t="s">
        <v>2789</v>
      </c>
      <c r="C915" s="121" t="s">
        <v>4140</v>
      </c>
      <c r="D915" s="121">
        <f>+923048655488</f>
        <v>923048655488</v>
      </c>
      <c r="E915" s="121" t="s">
        <v>4141</v>
      </c>
      <c r="F915" s="121" t="s">
        <v>742</v>
      </c>
      <c r="G915" s="118" t="s">
        <v>4095</v>
      </c>
      <c r="H915" s="134"/>
    </row>
    <row r="916" ht="15.75" customHeight="1">
      <c r="A916" s="210">
        <v>43995.0</v>
      </c>
      <c r="B916" s="121" t="s">
        <v>2789</v>
      </c>
      <c r="C916" s="203" t="s">
        <v>4142</v>
      </c>
      <c r="D916" s="121">
        <f>+923233772039</f>
        <v>923233772039</v>
      </c>
      <c r="E916" s="121" t="s">
        <v>4143</v>
      </c>
      <c r="F916" s="121" t="s">
        <v>1664</v>
      </c>
      <c r="G916" s="118" t="s">
        <v>684</v>
      </c>
      <c r="H916" s="134"/>
    </row>
    <row r="917" ht="15.75" customHeight="1">
      <c r="A917" s="210">
        <v>43995.0</v>
      </c>
      <c r="B917" s="121" t="s">
        <v>2789</v>
      </c>
      <c r="C917" s="203" t="s">
        <v>4144</v>
      </c>
      <c r="D917" s="121">
        <f>+9203009296007</f>
        <v>9203009296007</v>
      </c>
      <c r="E917" s="121" t="s">
        <v>4145</v>
      </c>
      <c r="F917" s="121" t="s">
        <v>2334</v>
      </c>
      <c r="G917" s="118" t="s">
        <v>684</v>
      </c>
      <c r="H917" s="134"/>
    </row>
    <row r="918" ht="15.75" customHeight="1">
      <c r="A918" s="210">
        <v>43995.0</v>
      </c>
      <c r="B918" s="121" t="s">
        <v>2789</v>
      </c>
      <c r="C918" s="203" t="s">
        <v>4146</v>
      </c>
      <c r="D918" s="121">
        <f>+923077165378</f>
        <v>923077165378</v>
      </c>
      <c r="E918" s="121" t="s">
        <v>4147</v>
      </c>
      <c r="F918" s="121" t="s">
        <v>1661</v>
      </c>
      <c r="G918" s="118" t="s">
        <v>3903</v>
      </c>
      <c r="H918" s="134"/>
    </row>
    <row r="919" ht="15.75" customHeight="1">
      <c r="A919" s="210">
        <v>43995.0</v>
      </c>
      <c r="B919" s="121" t="s">
        <v>2789</v>
      </c>
      <c r="C919" s="203" t="s">
        <v>4148</v>
      </c>
      <c r="D919" s="121">
        <f>+923154008601</f>
        <v>923154008601</v>
      </c>
      <c r="E919" s="121" t="s">
        <v>4149</v>
      </c>
      <c r="F919" s="121" t="s">
        <v>1664</v>
      </c>
      <c r="G919" s="118" t="s">
        <v>2671</v>
      </c>
      <c r="H919" s="134"/>
    </row>
    <row r="920" ht="15.75" customHeight="1">
      <c r="A920" s="210">
        <v>43995.0</v>
      </c>
      <c r="B920" s="121" t="s">
        <v>2789</v>
      </c>
      <c r="C920" s="203" t="s">
        <v>4150</v>
      </c>
      <c r="D920" s="121">
        <f>+923002677317</f>
        <v>923002677317</v>
      </c>
      <c r="E920" s="121" t="s">
        <v>4151</v>
      </c>
      <c r="F920" s="121" t="s">
        <v>1664</v>
      </c>
      <c r="G920" s="118" t="s">
        <v>4095</v>
      </c>
      <c r="H920" s="134"/>
    </row>
    <row r="921" ht="15.75" customHeight="1">
      <c r="A921" s="211">
        <v>44002.0</v>
      </c>
      <c r="B921" s="212" t="s">
        <v>4152</v>
      </c>
      <c r="C921" s="23" t="s">
        <v>4153</v>
      </c>
      <c r="D921" s="213">
        <f>+923313183366</f>
        <v>923313183366</v>
      </c>
      <c r="E921" s="212" t="s">
        <v>4154</v>
      </c>
      <c r="F921" s="214" t="s">
        <v>2334</v>
      </c>
      <c r="G921" s="23" t="s">
        <v>684</v>
      </c>
      <c r="H921" s="82"/>
    </row>
    <row r="922" ht="15.75" customHeight="1">
      <c r="A922" s="211">
        <v>44002.0</v>
      </c>
      <c r="B922" s="212" t="s">
        <v>4152</v>
      </c>
      <c r="C922" s="23" t="s">
        <v>4155</v>
      </c>
      <c r="D922" s="213">
        <f>+923218906812</f>
        <v>923218906812</v>
      </c>
      <c r="E922" s="212" t="s">
        <v>4156</v>
      </c>
      <c r="F922" s="214" t="s">
        <v>1664</v>
      </c>
      <c r="G922" s="139" t="s">
        <v>2671</v>
      </c>
      <c r="H922" s="134"/>
    </row>
    <row r="923" ht="15.75" customHeight="1">
      <c r="A923" s="215">
        <v>44001.0</v>
      </c>
      <c r="B923" s="27" t="s">
        <v>4152</v>
      </c>
      <c r="C923" s="22" t="s">
        <v>4157</v>
      </c>
      <c r="D923" s="19">
        <f>+923002000550</f>
        <v>923002000550</v>
      </c>
      <c r="E923" s="27" t="s">
        <v>4158</v>
      </c>
      <c r="F923" s="216" t="s">
        <v>742</v>
      </c>
      <c r="G923" s="118"/>
      <c r="H923" s="134"/>
    </row>
    <row r="924" ht="15.75" customHeight="1">
      <c r="A924" s="215">
        <v>44000.0</v>
      </c>
      <c r="B924" s="27" t="s">
        <v>4152</v>
      </c>
      <c r="C924" s="22" t="s">
        <v>4159</v>
      </c>
      <c r="D924" s="19">
        <f>+923332242447</f>
        <v>923332242447</v>
      </c>
      <c r="E924" s="27" t="s">
        <v>4160</v>
      </c>
      <c r="F924" s="216" t="s">
        <v>2334</v>
      </c>
      <c r="G924" s="118"/>
      <c r="H924" s="134"/>
    </row>
    <row r="925" ht="15.75" customHeight="1">
      <c r="A925" s="215">
        <v>44000.0</v>
      </c>
      <c r="B925" s="27" t="s">
        <v>4152</v>
      </c>
      <c r="C925" s="22" t="s">
        <v>4161</v>
      </c>
      <c r="D925" s="19">
        <f>+923322595072</f>
        <v>923322595072</v>
      </c>
      <c r="E925" s="27" t="s">
        <v>4162</v>
      </c>
      <c r="F925" s="216" t="s">
        <v>2334</v>
      </c>
      <c r="G925" s="118"/>
      <c r="H925" s="134"/>
    </row>
    <row r="926" ht="15.75" customHeight="1">
      <c r="A926" s="215">
        <v>44000.0</v>
      </c>
      <c r="B926" s="27" t="s">
        <v>4152</v>
      </c>
      <c r="C926" s="22" t="s">
        <v>4163</v>
      </c>
      <c r="D926" s="19">
        <f>+923218217711</f>
        <v>923218217711</v>
      </c>
      <c r="E926" s="27" t="s">
        <v>4164</v>
      </c>
      <c r="F926" s="216" t="s">
        <v>1661</v>
      </c>
      <c r="G926" s="118"/>
      <c r="H926" s="134"/>
    </row>
    <row r="927" ht="15.75" customHeight="1">
      <c r="A927" s="215">
        <v>44000.0</v>
      </c>
      <c r="B927" s="27" t="s">
        <v>4152</v>
      </c>
      <c r="C927" s="22" t="s">
        <v>4165</v>
      </c>
      <c r="D927" s="19">
        <f>+923462444444</f>
        <v>923462444444</v>
      </c>
      <c r="E927" s="27" t="s">
        <v>4166</v>
      </c>
      <c r="F927" s="216" t="s">
        <v>742</v>
      </c>
      <c r="G927" s="118"/>
      <c r="H927" s="134"/>
    </row>
    <row r="928" ht="15.75" customHeight="1">
      <c r="A928" s="215">
        <v>44000.0</v>
      </c>
      <c r="B928" s="27" t="s">
        <v>4152</v>
      </c>
      <c r="C928" s="22" t="s">
        <v>4167</v>
      </c>
      <c r="D928" s="19">
        <f>+9203343422539</f>
        <v>9203343422539</v>
      </c>
      <c r="E928" s="27" t="s">
        <v>4168</v>
      </c>
      <c r="F928" s="216" t="s">
        <v>2334</v>
      </c>
      <c r="G928" s="118"/>
      <c r="H928" s="134"/>
    </row>
    <row r="929" ht="15.75" customHeight="1">
      <c r="A929" s="215">
        <v>44000.0</v>
      </c>
      <c r="B929" s="27" t="s">
        <v>4152</v>
      </c>
      <c r="C929" s="22" t="s">
        <v>4169</v>
      </c>
      <c r="D929" s="19">
        <f>+923130114324</f>
        <v>923130114324</v>
      </c>
      <c r="E929" s="27" t="s">
        <v>4170</v>
      </c>
      <c r="F929" s="216" t="s">
        <v>742</v>
      </c>
      <c r="G929" s="118"/>
      <c r="H929" s="134"/>
    </row>
    <row r="930" ht="15.75" customHeight="1">
      <c r="A930" s="215">
        <v>43999.0</v>
      </c>
      <c r="B930" s="27" t="s">
        <v>4152</v>
      </c>
      <c r="C930" s="22" t="s">
        <v>4171</v>
      </c>
      <c r="D930" s="19">
        <f>+923322649492</f>
        <v>923322649492</v>
      </c>
      <c r="E930" s="27" t="s">
        <v>4172</v>
      </c>
      <c r="F930" s="216" t="s">
        <v>2334</v>
      </c>
      <c r="G930" s="118"/>
      <c r="H930" s="134"/>
    </row>
    <row r="931" ht="15.75" customHeight="1">
      <c r="A931" s="215">
        <v>43999.0</v>
      </c>
      <c r="B931" s="27" t="s">
        <v>4152</v>
      </c>
      <c r="C931" s="22" t="s">
        <v>4173</v>
      </c>
      <c r="D931" s="19">
        <f>+923332534250</f>
        <v>923332534250</v>
      </c>
      <c r="E931" s="27" t="s">
        <v>4174</v>
      </c>
      <c r="F931" s="216" t="s">
        <v>742</v>
      </c>
      <c r="G931" s="118"/>
      <c r="H931" s="134"/>
    </row>
    <row r="932" ht="15.75" customHeight="1">
      <c r="A932" s="215">
        <v>43998.0</v>
      </c>
      <c r="B932" s="27" t="s">
        <v>4152</v>
      </c>
      <c r="C932" s="22" t="s">
        <v>4175</v>
      </c>
      <c r="D932" s="19">
        <f>+923212490354</f>
        <v>923212490354</v>
      </c>
      <c r="E932" s="27" t="s">
        <v>4176</v>
      </c>
      <c r="F932" s="216" t="s">
        <v>742</v>
      </c>
      <c r="G932" s="118"/>
      <c r="H932" s="134"/>
    </row>
    <row r="933" ht="15.75" customHeight="1">
      <c r="A933" s="215">
        <v>43998.0</v>
      </c>
      <c r="B933" s="27" t="s">
        <v>4152</v>
      </c>
      <c r="C933" s="22" t="s">
        <v>4177</v>
      </c>
      <c r="D933" s="19">
        <f>+923002125044</f>
        <v>923002125044</v>
      </c>
      <c r="E933" s="27" t="s">
        <v>4178</v>
      </c>
      <c r="F933" s="216" t="s">
        <v>742</v>
      </c>
      <c r="G933" s="118"/>
      <c r="H933" s="134"/>
    </row>
    <row r="934" ht="15.75" customHeight="1">
      <c r="A934" s="215">
        <v>43998.0</v>
      </c>
      <c r="B934" s="27" t="s">
        <v>4152</v>
      </c>
      <c r="C934" s="22" t="s">
        <v>4179</v>
      </c>
      <c r="D934" s="19">
        <f>+923009253119</f>
        <v>923009253119</v>
      </c>
      <c r="E934" s="27" t="s">
        <v>4180</v>
      </c>
      <c r="F934" s="216" t="s">
        <v>2334</v>
      </c>
      <c r="G934" s="118"/>
      <c r="H934" s="134"/>
    </row>
    <row r="935" ht="15.75" customHeight="1">
      <c r="A935" s="215">
        <v>43997.0</v>
      </c>
      <c r="B935" s="27" t="s">
        <v>4152</v>
      </c>
      <c r="C935" s="22" t="s">
        <v>4181</v>
      </c>
      <c r="D935" s="19">
        <f>+923003567997</f>
        <v>923003567997</v>
      </c>
      <c r="E935" s="27" t="s">
        <v>4182</v>
      </c>
      <c r="F935" s="216" t="s">
        <v>1661</v>
      </c>
      <c r="G935" s="118"/>
      <c r="H935" s="134"/>
    </row>
    <row r="936" ht="15.75" customHeight="1">
      <c r="A936" s="215">
        <v>43997.0</v>
      </c>
      <c r="B936" s="27" t="s">
        <v>4152</v>
      </c>
      <c r="C936" s="22" t="s">
        <v>4183</v>
      </c>
      <c r="D936" s="19">
        <f>+923322248886</f>
        <v>923322248886</v>
      </c>
      <c r="E936" s="27" t="s">
        <v>4184</v>
      </c>
      <c r="F936" s="216" t="s">
        <v>1664</v>
      </c>
      <c r="G936" s="118"/>
      <c r="H936" s="134"/>
    </row>
    <row r="937" ht="15.75" customHeight="1">
      <c r="A937" s="215">
        <v>43997.0</v>
      </c>
      <c r="B937" s="27" t="s">
        <v>4152</v>
      </c>
      <c r="C937" s="22" t="s">
        <v>4185</v>
      </c>
      <c r="D937" s="19">
        <f>+923350231521</f>
        <v>923350231521</v>
      </c>
      <c r="E937" s="27" t="s">
        <v>4186</v>
      </c>
      <c r="F937" s="216" t="s">
        <v>1661</v>
      </c>
      <c r="G937" s="118"/>
      <c r="H937" s="134"/>
    </row>
    <row r="938" ht="15.75" customHeight="1">
      <c r="A938" s="215">
        <v>43996.0</v>
      </c>
      <c r="B938" s="27" t="s">
        <v>4152</v>
      </c>
      <c r="C938" s="22" t="s">
        <v>4187</v>
      </c>
      <c r="D938" s="19">
        <f>+923072990512</f>
        <v>923072990512</v>
      </c>
      <c r="E938" s="27" t="s">
        <v>4188</v>
      </c>
      <c r="F938" s="216" t="s">
        <v>1664</v>
      </c>
      <c r="G938" s="118"/>
      <c r="H938" s="134"/>
    </row>
    <row r="939" ht="15.75" customHeight="1">
      <c r="A939" s="215">
        <v>43996.0</v>
      </c>
      <c r="B939" s="27" t="s">
        <v>4152</v>
      </c>
      <c r="C939" s="22" t="s">
        <v>4189</v>
      </c>
      <c r="D939" s="19">
        <f>+923239045093</f>
        <v>923239045093</v>
      </c>
      <c r="E939" s="27" t="s">
        <v>4190</v>
      </c>
      <c r="F939" s="216" t="s">
        <v>2334</v>
      </c>
      <c r="G939" s="118"/>
      <c r="H939" s="134"/>
    </row>
    <row r="940" ht="15.75" customHeight="1">
      <c r="A940" s="215">
        <v>43996.0</v>
      </c>
      <c r="B940" s="27" t="s">
        <v>4152</v>
      </c>
      <c r="C940" s="22" t="s">
        <v>4191</v>
      </c>
      <c r="D940" s="19">
        <f>+923334253800</f>
        <v>923334253800</v>
      </c>
      <c r="E940" s="27" t="s">
        <v>4192</v>
      </c>
      <c r="F940" s="216" t="s">
        <v>1661</v>
      </c>
      <c r="G940" s="118"/>
      <c r="H940" s="134"/>
    </row>
    <row r="941" ht="15.75" customHeight="1">
      <c r="A941" s="215">
        <v>43996.0</v>
      </c>
      <c r="B941" s="27" t="s">
        <v>4152</v>
      </c>
      <c r="C941" s="22" t="s">
        <v>4193</v>
      </c>
      <c r="D941" s="19">
        <f>+923411155000</f>
        <v>923411155000</v>
      </c>
      <c r="E941" s="27" t="s">
        <v>4194</v>
      </c>
      <c r="F941" s="216" t="s">
        <v>1661</v>
      </c>
      <c r="G941" s="118"/>
      <c r="H941" s="134"/>
    </row>
    <row r="942" ht="15.75" customHeight="1">
      <c r="A942" s="215">
        <v>43996.0</v>
      </c>
      <c r="B942" s="27" t="s">
        <v>4152</v>
      </c>
      <c r="C942" s="22" t="s">
        <v>4195</v>
      </c>
      <c r="D942" s="19">
        <f>+923452131367</f>
        <v>923452131367</v>
      </c>
      <c r="E942" s="27" t="s">
        <v>4196</v>
      </c>
      <c r="F942" s="216" t="s">
        <v>1664</v>
      </c>
      <c r="G942" s="118"/>
      <c r="H942" s="134"/>
    </row>
    <row r="943" ht="15.75" customHeight="1">
      <c r="A943" s="217">
        <v>44037.0</v>
      </c>
      <c r="B943" s="121" t="s">
        <v>2789</v>
      </c>
      <c r="C943" s="45" t="s">
        <v>4197</v>
      </c>
      <c r="D943" s="218">
        <f>+923473348966</f>
        <v>923473348966</v>
      </c>
      <c r="E943" s="219" t="s">
        <v>4198</v>
      </c>
      <c r="F943" s="219" t="s">
        <v>1664</v>
      </c>
      <c r="H943" s="134"/>
    </row>
    <row r="944" ht="15.75" customHeight="1">
      <c r="A944" s="220">
        <v>44037.0</v>
      </c>
      <c r="B944" s="121" t="s">
        <v>2789</v>
      </c>
      <c r="C944" s="45" t="s">
        <v>4199</v>
      </c>
      <c r="D944" s="218">
        <f>+923082849296</f>
        <v>923082849296</v>
      </c>
      <c r="E944" s="219" t="s">
        <v>4200</v>
      </c>
      <c r="F944" s="219" t="s">
        <v>1661</v>
      </c>
      <c r="H944" s="134"/>
    </row>
    <row r="945" ht="15.75" customHeight="1">
      <c r="A945" s="220">
        <v>44037.0</v>
      </c>
      <c r="B945" s="121" t="s">
        <v>2789</v>
      </c>
      <c r="C945" s="45" t="s">
        <v>4201</v>
      </c>
      <c r="D945" s="218">
        <f>+923343265125</f>
        <v>923343265125</v>
      </c>
      <c r="E945" s="219" t="s">
        <v>4202</v>
      </c>
      <c r="F945" s="219" t="s">
        <v>1664</v>
      </c>
      <c r="H945" s="134"/>
    </row>
    <row r="946" ht="15.75" customHeight="1">
      <c r="A946" s="220">
        <v>44036.0</v>
      </c>
      <c r="B946" s="121" t="s">
        <v>2789</v>
      </c>
      <c r="C946" s="45" t="s">
        <v>4203</v>
      </c>
      <c r="D946" s="218">
        <f>+923332104679</f>
        <v>923332104679</v>
      </c>
      <c r="E946" s="219" t="s">
        <v>4204</v>
      </c>
      <c r="F946" s="219" t="s">
        <v>742</v>
      </c>
      <c r="H946" s="134"/>
    </row>
    <row r="947" ht="15.75" customHeight="1">
      <c r="A947" s="220">
        <v>44036.0</v>
      </c>
      <c r="B947" s="121" t="s">
        <v>2789</v>
      </c>
      <c r="C947" s="45" t="s">
        <v>4205</v>
      </c>
      <c r="D947" s="218">
        <f>+923461115599</f>
        <v>923461115599</v>
      </c>
      <c r="E947" s="219" t="s">
        <v>3721</v>
      </c>
      <c r="F947" s="219" t="s">
        <v>2334</v>
      </c>
      <c r="H947" s="134"/>
    </row>
    <row r="948" ht="15.75" customHeight="1">
      <c r="A948" s="220">
        <v>44036.0</v>
      </c>
      <c r="B948" s="121" t="s">
        <v>2789</v>
      </c>
      <c r="C948" s="45" t="s">
        <v>4206</v>
      </c>
      <c r="D948" s="218">
        <f>+923136458846</f>
        <v>923136458846</v>
      </c>
      <c r="E948" s="219" t="s">
        <v>4207</v>
      </c>
      <c r="F948" s="219" t="s">
        <v>742</v>
      </c>
      <c r="H948" s="134"/>
    </row>
    <row r="949" ht="15.75" customHeight="1">
      <c r="A949" s="220">
        <v>44036.0</v>
      </c>
      <c r="B949" s="121" t="s">
        <v>2789</v>
      </c>
      <c r="C949" s="45" t="s">
        <v>4208</v>
      </c>
      <c r="D949" s="218">
        <f>+923008225854</f>
        <v>923008225854</v>
      </c>
      <c r="E949" s="219" t="s">
        <v>4209</v>
      </c>
      <c r="F949" s="219" t="s">
        <v>2334</v>
      </c>
      <c r="H949" s="134"/>
    </row>
    <row r="950" ht="15.75" customHeight="1">
      <c r="A950" s="220">
        <v>44036.0</v>
      </c>
      <c r="B950" s="121" t="s">
        <v>2789</v>
      </c>
      <c r="C950" s="45" t="s">
        <v>4210</v>
      </c>
      <c r="D950" s="218">
        <f>+923451222222</f>
        <v>923451222222</v>
      </c>
      <c r="E950" s="219" t="s">
        <v>4211</v>
      </c>
      <c r="F950" s="219" t="s">
        <v>1661</v>
      </c>
      <c r="H950" s="134"/>
    </row>
    <row r="951" ht="15.75" customHeight="1">
      <c r="A951" s="220">
        <v>44036.0</v>
      </c>
      <c r="B951" s="121" t="s">
        <v>2789</v>
      </c>
      <c r="C951" s="45" t="s">
        <v>4212</v>
      </c>
      <c r="D951" s="218">
        <f>+923332778535</f>
        <v>923332778535</v>
      </c>
      <c r="E951" s="219" t="s">
        <v>4213</v>
      </c>
      <c r="F951" s="219" t="s">
        <v>1661</v>
      </c>
      <c r="H951" s="134"/>
    </row>
    <row r="952" ht="15.75" customHeight="1">
      <c r="A952" s="220">
        <v>44036.0</v>
      </c>
      <c r="B952" s="121" t="s">
        <v>2789</v>
      </c>
      <c r="C952" s="45" t="s">
        <v>4214</v>
      </c>
      <c r="D952" s="218">
        <f>+9203323335797</f>
        <v>9203323335797</v>
      </c>
      <c r="E952" s="219" t="s">
        <v>4215</v>
      </c>
      <c r="F952" s="219" t="s">
        <v>742</v>
      </c>
      <c r="H952" s="134"/>
    </row>
    <row r="953" ht="15.75" customHeight="1">
      <c r="A953" s="220">
        <v>44036.0</v>
      </c>
      <c r="B953" s="121" t="s">
        <v>2789</v>
      </c>
      <c r="C953" s="45" t="s">
        <v>4216</v>
      </c>
      <c r="D953" s="218">
        <f>+923002737046</f>
        <v>923002737046</v>
      </c>
      <c r="E953" s="219" t="s">
        <v>4217</v>
      </c>
      <c r="F953" s="219" t="s">
        <v>742</v>
      </c>
      <c r="H953" s="134"/>
    </row>
    <row r="954" ht="15.75" customHeight="1">
      <c r="A954" s="220">
        <v>44036.0</v>
      </c>
      <c r="B954" s="121" t="s">
        <v>2789</v>
      </c>
      <c r="C954" s="45" t="s">
        <v>4218</v>
      </c>
      <c r="D954" s="218">
        <f>+923002079143</f>
        <v>923002079143</v>
      </c>
      <c r="E954" s="219" t="s">
        <v>2683</v>
      </c>
      <c r="F954" s="219" t="s">
        <v>2334</v>
      </c>
      <c r="H954" s="134"/>
    </row>
    <row r="955" ht="15.75" customHeight="1">
      <c r="A955" s="220">
        <v>44036.0</v>
      </c>
      <c r="B955" s="121" t="s">
        <v>2789</v>
      </c>
      <c r="C955" s="45" t="s">
        <v>4219</v>
      </c>
      <c r="D955" s="218">
        <f>+923142300005</f>
        <v>923142300005</v>
      </c>
      <c r="E955" s="219" t="s">
        <v>4220</v>
      </c>
      <c r="F955" s="219" t="s">
        <v>1664</v>
      </c>
      <c r="H955" s="134"/>
    </row>
    <row r="956" ht="15.75" customHeight="1">
      <c r="A956" s="220">
        <v>44036.0</v>
      </c>
      <c r="B956" s="121" t="s">
        <v>2789</v>
      </c>
      <c r="C956" s="45" t="s">
        <v>4221</v>
      </c>
      <c r="D956" s="218">
        <f>+923009750400</f>
        <v>923009750400</v>
      </c>
      <c r="E956" s="219" t="s">
        <v>4222</v>
      </c>
      <c r="F956" s="219" t="s">
        <v>1661</v>
      </c>
      <c r="H956" s="82"/>
    </row>
    <row r="957" ht="15.75" customHeight="1">
      <c r="A957" s="220">
        <v>44036.0</v>
      </c>
      <c r="B957" s="121" t="s">
        <v>2789</v>
      </c>
      <c r="C957" s="45" t="s">
        <v>4223</v>
      </c>
      <c r="D957" s="218">
        <f>+923365553282</f>
        <v>923365553282</v>
      </c>
      <c r="E957" s="219" t="s">
        <v>4224</v>
      </c>
      <c r="F957" s="219" t="s">
        <v>1661</v>
      </c>
      <c r="H957" s="82"/>
    </row>
    <row r="958" ht="15.75" customHeight="1">
      <c r="A958" s="220">
        <v>44036.0</v>
      </c>
      <c r="B958" s="121" t="s">
        <v>2789</v>
      </c>
      <c r="C958" s="45" t="s">
        <v>4225</v>
      </c>
      <c r="D958" s="218">
        <f>+9203009201018</f>
        <v>9203009201018</v>
      </c>
      <c r="E958" s="219" t="s">
        <v>4226</v>
      </c>
      <c r="F958" s="219" t="s">
        <v>1664</v>
      </c>
      <c r="H958" s="82"/>
    </row>
    <row r="959" ht="15.75" customHeight="1">
      <c r="A959" s="220">
        <v>44036.0</v>
      </c>
      <c r="B959" s="121" t="s">
        <v>2789</v>
      </c>
      <c r="C959" s="45" t="s">
        <v>4227</v>
      </c>
      <c r="D959" s="218">
        <f>+923002165155</f>
        <v>923002165155</v>
      </c>
      <c r="E959" s="219" t="s">
        <v>4228</v>
      </c>
      <c r="F959" s="219" t="s">
        <v>2334</v>
      </c>
      <c r="H959" s="82"/>
    </row>
    <row r="960" ht="15.75" customHeight="1">
      <c r="A960" s="220">
        <v>44036.0</v>
      </c>
      <c r="B960" s="121" t="s">
        <v>2789</v>
      </c>
      <c r="C960" s="45" t="s">
        <v>4229</v>
      </c>
      <c r="D960" s="218">
        <f>+923041520463</f>
        <v>923041520463</v>
      </c>
      <c r="E960" s="221" t="s">
        <v>4230</v>
      </c>
      <c r="F960" s="219" t="s">
        <v>2334</v>
      </c>
      <c r="H960" s="82"/>
    </row>
    <row r="961" ht="15.75" customHeight="1">
      <c r="A961" s="220">
        <v>44036.0</v>
      </c>
      <c r="B961" s="121" t="s">
        <v>2789</v>
      </c>
      <c r="C961" s="45" t="s">
        <v>4231</v>
      </c>
      <c r="D961" s="218">
        <f>+923023008699</f>
        <v>923023008699</v>
      </c>
      <c r="E961" s="219" t="s">
        <v>4232</v>
      </c>
      <c r="F961" s="219" t="s">
        <v>742</v>
      </c>
      <c r="H961" s="82"/>
    </row>
    <row r="962" ht="15.75" customHeight="1">
      <c r="A962" s="220">
        <v>44036.0</v>
      </c>
      <c r="B962" s="121" t="s">
        <v>2789</v>
      </c>
      <c r="C962" s="45" t="s">
        <v>4233</v>
      </c>
      <c r="D962" s="218">
        <f>+923332225747</f>
        <v>923332225747</v>
      </c>
      <c r="E962" s="219" t="s">
        <v>4234</v>
      </c>
      <c r="F962" s="219" t="s">
        <v>2334</v>
      </c>
      <c r="H962" s="82"/>
    </row>
    <row r="963" ht="15.75" customHeight="1">
      <c r="A963" s="220">
        <v>44036.0</v>
      </c>
      <c r="B963" s="121" t="s">
        <v>2789</v>
      </c>
      <c r="C963" s="45" t="s">
        <v>4235</v>
      </c>
      <c r="D963" s="218">
        <f>+923334292549</f>
        <v>923334292549</v>
      </c>
      <c r="E963" s="219" t="s">
        <v>4236</v>
      </c>
      <c r="F963" s="219" t="s">
        <v>742</v>
      </c>
      <c r="H963" s="82"/>
    </row>
    <row r="964" ht="15.75" customHeight="1">
      <c r="A964" s="220">
        <v>44036.0</v>
      </c>
      <c r="B964" s="121" t="s">
        <v>2789</v>
      </c>
      <c r="C964" s="45" t="s">
        <v>4237</v>
      </c>
      <c r="D964" s="218">
        <f>+923008564243</f>
        <v>923008564243</v>
      </c>
      <c r="E964" s="219" t="s">
        <v>4238</v>
      </c>
      <c r="F964" s="219" t="s">
        <v>1661</v>
      </c>
      <c r="H964" s="82"/>
    </row>
    <row r="965" ht="15.75" customHeight="1">
      <c r="A965" s="220">
        <v>44036.0</v>
      </c>
      <c r="B965" s="121" t="s">
        <v>2789</v>
      </c>
      <c r="C965" s="45" t="s">
        <v>4239</v>
      </c>
      <c r="D965" s="218">
        <f>+923008422668</f>
        <v>923008422668</v>
      </c>
      <c r="E965" s="219" t="s">
        <v>4240</v>
      </c>
      <c r="F965" s="219" t="s">
        <v>742</v>
      </c>
      <c r="H965" s="82"/>
    </row>
    <row r="966" ht="15.75" customHeight="1">
      <c r="A966" s="220">
        <v>44035.0</v>
      </c>
      <c r="B966" s="121" t="s">
        <v>2789</v>
      </c>
      <c r="C966" s="45" t="s">
        <v>4241</v>
      </c>
      <c r="D966" s="218">
        <f>+923008450273</f>
        <v>923008450273</v>
      </c>
      <c r="E966" s="219" t="s">
        <v>4242</v>
      </c>
      <c r="F966" s="219" t="s">
        <v>1664</v>
      </c>
      <c r="H966" s="82"/>
    </row>
    <row r="967" ht="15.75" customHeight="1">
      <c r="A967" s="220">
        <v>44035.0</v>
      </c>
      <c r="B967" s="121" t="s">
        <v>2789</v>
      </c>
      <c r="C967" s="45" t="s">
        <v>4243</v>
      </c>
      <c r="D967" s="218">
        <f>+923232505750</f>
        <v>923232505750</v>
      </c>
      <c r="E967" s="219" t="s">
        <v>4244</v>
      </c>
      <c r="F967" s="219" t="s">
        <v>1661</v>
      </c>
      <c r="H967" s="82"/>
    </row>
    <row r="968" ht="15.75" customHeight="1">
      <c r="A968" s="220">
        <v>44035.0</v>
      </c>
      <c r="B968" s="121" t="s">
        <v>2789</v>
      </c>
      <c r="C968" s="45" t="s">
        <v>4245</v>
      </c>
      <c r="D968" s="218">
        <f>+923313533425</f>
        <v>923313533425</v>
      </c>
      <c r="E968" s="219" t="s">
        <v>4246</v>
      </c>
      <c r="F968" s="219" t="s">
        <v>1661</v>
      </c>
      <c r="H968" s="82"/>
    </row>
    <row r="969" ht="15.75" customHeight="1">
      <c r="A969" s="220">
        <v>44035.0</v>
      </c>
      <c r="B969" s="121" t="s">
        <v>2789</v>
      </c>
      <c r="C969" s="45" t="s">
        <v>4247</v>
      </c>
      <c r="D969" s="218">
        <f>+923078813570</f>
        <v>923078813570</v>
      </c>
      <c r="E969" s="219" t="s">
        <v>4248</v>
      </c>
      <c r="F969" s="219" t="s">
        <v>1664</v>
      </c>
      <c r="H969" s="82"/>
    </row>
    <row r="970" ht="15.75" customHeight="1">
      <c r="A970" s="220">
        <v>44035.0</v>
      </c>
      <c r="B970" s="121" t="s">
        <v>2789</v>
      </c>
      <c r="C970" s="45" t="s">
        <v>4249</v>
      </c>
      <c r="D970" s="218">
        <f>+923018597476</f>
        <v>923018597476</v>
      </c>
      <c r="E970" s="219" t="s">
        <v>4250</v>
      </c>
      <c r="F970" s="219" t="s">
        <v>2334</v>
      </c>
      <c r="H970" s="82"/>
    </row>
    <row r="971" ht="15.75" customHeight="1">
      <c r="A971" s="220">
        <v>44035.0</v>
      </c>
      <c r="B971" s="121" t="s">
        <v>2789</v>
      </c>
      <c r="C971" s="45" t="s">
        <v>4251</v>
      </c>
      <c r="D971" s="218">
        <f>+923213812925</f>
        <v>923213812925</v>
      </c>
      <c r="E971" s="219" t="s">
        <v>4252</v>
      </c>
      <c r="F971" s="219" t="s">
        <v>2334</v>
      </c>
      <c r="H971" s="82"/>
    </row>
    <row r="972" ht="15.75" customHeight="1">
      <c r="A972" s="220">
        <v>44035.0</v>
      </c>
      <c r="B972" s="121" t="s">
        <v>2789</v>
      </c>
      <c r="C972" s="45" t="s">
        <v>4253</v>
      </c>
      <c r="D972" s="218">
        <f>+923332322875</f>
        <v>923332322875</v>
      </c>
      <c r="E972" s="219" t="s">
        <v>4254</v>
      </c>
      <c r="F972" s="219" t="s">
        <v>1664</v>
      </c>
      <c r="H972" s="82"/>
    </row>
    <row r="973" ht="15.75" customHeight="1">
      <c r="A973" s="220">
        <v>44035.0</v>
      </c>
      <c r="B973" s="121" t="s">
        <v>2789</v>
      </c>
      <c r="C973" s="45" t="s">
        <v>4255</v>
      </c>
      <c r="D973" s="218">
        <f>+923423300660</f>
        <v>923423300660</v>
      </c>
      <c r="E973" s="219" t="s">
        <v>4256</v>
      </c>
      <c r="F973" s="219" t="s">
        <v>1664</v>
      </c>
      <c r="H973" s="82"/>
    </row>
    <row r="974" ht="15.75" customHeight="1">
      <c r="A974" s="220">
        <v>44035.0</v>
      </c>
      <c r="B974" s="121" t="s">
        <v>2789</v>
      </c>
      <c r="C974" s="45" t="s">
        <v>4257</v>
      </c>
      <c r="D974" s="218">
        <f>+923363814429</f>
        <v>923363814429</v>
      </c>
      <c r="E974" s="219" t="s">
        <v>4258</v>
      </c>
      <c r="F974" s="219" t="s">
        <v>2334</v>
      </c>
      <c r="H974" s="82"/>
    </row>
    <row r="975" ht="15.75" customHeight="1">
      <c r="A975" s="220">
        <v>44035.0</v>
      </c>
      <c r="B975" s="121" t="s">
        <v>2789</v>
      </c>
      <c r="C975" s="45" t="s">
        <v>4259</v>
      </c>
      <c r="D975" s="218">
        <f>+923007950600</f>
        <v>923007950600</v>
      </c>
      <c r="E975" s="219" t="s">
        <v>4260</v>
      </c>
      <c r="F975" s="219" t="s">
        <v>742</v>
      </c>
      <c r="H975" s="82"/>
    </row>
    <row r="976" ht="15.75" customHeight="1">
      <c r="A976" s="220">
        <v>44035.0</v>
      </c>
      <c r="B976" s="121" t="s">
        <v>2789</v>
      </c>
      <c r="C976" s="45" t="s">
        <v>4261</v>
      </c>
      <c r="D976" s="218">
        <f>+14694303201</f>
        <v>14694303201</v>
      </c>
      <c r="E976" s="219" t="s">
        <v>4262</v>
      </c>
      <c r="F976" s="219" t="s">
        <v>2334</v>
      </c>
      <c r="H976" s="82"/>
    </row>
    <row r="977" ht="15.75" customHeight="1">
      <c r="A977" s="220">
        <v>44034.0</v>
      </c>
      <c r="B977" s="121" t="s">
        <v>2789</v>
      </c>
      <c r="C977" s="45" t="s">
        <v>4263</v>
      </c>
      <c r="D977" s="218">
        <f>+923314464911</f>
        <v>923314464911</v>
      </c>
      <c r="E977" s="219" t="s">
        <v>4264</v>
      </c>
      <c r="F977" s="219" t="s">
        <v>2334</v>
      </c>
      <c r="H977" s="82"/>
    </row>
    <row r="978" ht="15.75" customHeight="1">
      <c r="A978" s="220">
        <v>44034.0</v>
      </c>
      <c r="B978" s="121" t="s">
        <v>2789</v>
      </c>
      <c r="C978" s="45" t="s">
        <v>4265</v>
      </c>
      <c r="D978" s="218">
        <f>+923477090113</f>
        <v>923477090113</v>
      </c>
      <c r="E978" s="219" t="s">
        <v>4266</v>
      </c>
      <c r="F978" s="219" t="s">
        <v>2334</v>
      </c>
      <c r="H978" s="82"/>
    </row>
    <row r="979" ht="15.75" customHeight="1">
      <c r="A979" s="220">
        <v>44034.0</v>
      </c>
      <c r="B979" s="121" t="s">
        <v>2789</v>
      </c>
      <c r="C979" s="45" t="s">
        <v>4267</v>
      </c>
      <c r="D979" s="218">
        <f>+923002961031</f>
        <v>923002961031</v>
      </c>
      <c r="E979" s="219" t="s">
        <v>4268</v>
      </c>
      <c r="F979" s="219" t="s">
        <v>2334</v>
      </c>
      <c r="H979" s="82"/>
    </row>
    <row r="980" ht="15.75" customHeight="1">
      <c r="A980" s="220">
        <v>44034.0</v>
      </c>
      <c r="B980" s="121" t="s">
        <v>2789</v>
      </c>
      <c r="C980" s="45" t="s">
        <v>4269</v>
      </c>
      <c r="D980" s="218">
        <f>+923335112046</f>
        <v>923335112046</v>
      </c>
      <c r="E980" s="219" t="s">
        <v>4270</v>
      </c>
      <c r="F980" s="219" t="s">
        <v>1664</v>
      </c>
      <c r="H980" s="82"/>
    </row>
    <row r="981" ht="15.75" customHeight="1">
      <c r="A981" s="220">
        <v>44034.0</v>
      </c>
      <c r="B981" s="121" t="s">
        <v>2789</v>
      </c>
      <c r="C981" s="45" t="s">
        <v>4271</v>
      </c>
      <c r="D981" s="218">
        <f>+923232316561</f>
        <v>923232316561</v>
      </c>
      <c r="E981" s="219" t="s">
        <v>4272</v>
      </c>
      <c r="F981" s="219" t="s">
        <v>742</v>
      </c>
      <c r="H981" s="82"/>
    </row>
    <row r="982" ht="15.75" customHeight="1">
      <c r="A982" s="220">
        <v>44034.0</v>
      </c>
      <c r="B982" s="121" t="s">
        <v>2789</v>
      </c>
      <c r="C982" s="45" t="s">
        <v>4273</v>
      </c>
      <c r="D982" s="218">
        <f>+4915236646577</f>
        <v>4915236646577</v>
      </c>
      <c r="E982" s="219" t="s">
        <v>4274</v>
      </c>
      <c r="F982" s="219" t="s">
        <v>2334</v>
      </c>
      <c r="H982" s="82"/>
    </row>
    <row r="983" ht="15.75" customHeight="1">
      <c r="A983" s="220">
        <v>44034.0</v>
      </c>
      <c r="B983" s="121" t="s">
        <v>2789</v>
      </c>
      <c r="C983" s="45" t="s">
        <v>4275</v>
      </c>
      <c r="D983" s="218">
        <f>+923212598100</f>
        <v>923212598100</v>
      </c>
      <c r="E983" s="219" t="s">
        <v>4276</v>
      </c>
      <c r="F983" s="219" t="s">
        <v>1664</v>
      </c>
      <c r="H983" s="82"/>
    </row>
    <row r="984" ht="15.75" customHeight="1">
      <c r="A984" s="220">
        <v>44034.0</v>
      </c>
      <c r="B984" s="121" t="s">
        <v>2789</v>
      </c>
      <c r="C984" s="45" t="s">
        <v>4277</v>
      </c>
      <c r="D984" s="218">
        <f>+923130300933</f>
        <v>923130300933</v>
      </c>
      <c r="E984" s="219" t="s">
        <v>4278</v>
      </c>
      <c r="F984" s="219" t="s">
        <v>742</v>
      </c>
      <c r="H984" s="82"/>
    </row>
    <row r="985" ht="15.75" customHeight="1">
      <c r="A985" s="220">
        <v>44034.0</v>
      </c>
      <c r="B985" s="121" t="s">
        <v>2789</v>
      </c>
      <c r="C985" s="45" t="s">
        <v>4279</v>
      </c>
      <c r="D985" s="218">
        <f>+9203002123674</f>
        <v>9203002123674</v>
      </c>
      <c r="E985" s="219" t="s">
        <v>4280</v>
      </c>
      <c r="F985" s="219" t="s">
        <v>1664</v>
      </c>
      <c r="H985" s="82"/>
    </row>
    <row r="986" ht="15.75" customHeight="1">
      <c r="A986" s="220">
        <v>44034.0</v>
      </c>
      <c r="B986" s="121" t="s">
        <v>2789</v>
      </c>
      <c r="C986" s="45" t="s">
        <v>4281</v>
      </c>
      <c r="D986" s="218">
        <f>+923002981764</f>
        <v>923002981764</v>
      </c>
      <c r="E986" s="219" t="s">
        <v>4282</v>
      </c>
      <c r="F986" s="219" t="s">
        <v>742</v>
      </c>
      <c r="H986" s="82"/>
    </row>
    <row r="987" ht="15.75" customHeight="1">
      <c r="A987" s="220">
        <v>44034.0</v>
      </c>
      <c r="B987" s="121" t="s">
        <v>2789</v>
      </c>
      <c r="C987" s="45" t="s">
        <v>4283</v>
      </c>
      <c r="D987" s="218">
        <f>+923422990887</f>
        <v>923422990887</v>
      </c>
      <c r="E987" s="219" t="s">
        <v>4284</v>
      </c>
      <c r="F987" s="219" t="s">
        <v>1661</v>
      </c>
      <c r="H987" s="82"/>
    </row>
    <row r="988" ht="15.75" customHeight="1">
      <c r="A988" s="220">
        <v>44034.0</v>
      </c>
      <c r="B988" s="121" t="s">
        <v>2789</v>
      </c>
      <c r="C988" s="45" t="s">
        <v>4285</v>
      </c>
      <c r="D988" s="218">
        <f>+923342618811</f>
        <v>923342618811</v>
      </c>
      <c r="E988" s="219" t="s">
        <v>4286</v>
      </c>
      <c r="F988" s="219" t="s">
        <v>1661</v>
      </c>
      <c r="H988" s="82"/>
    </row>
    <row r="989" ht="15.75" customHeight="1">
      <c r="A989" s="220">
        <v>44034.0</v>
      </c>
      <c r="B989" s="121" t="s">
        <v>2789</v>
      </c>
      <c r="C989" s="45" t="s">
        <v>4287</v>
      </c>
      <c r="D989" s="218">
        <f>+923150002749</f>
        <v>923150002749</v>
      </c>
      <c r="E989" s="219" t="s">
        <v>4288</v>
      </c>
      <c r="F989" s="219" t="s">
        <v>2334</v>
      </c>
      <c r="H989" s="82"/>
    </row>
    <row r="990" ht="15.75" customHeight="1">
      <c r="A990" s="220">
        <v>44034.0</v>
      </c>
      <c r="B990" s="121" t="s">
        <v>2789</v>
      </c>
      <c r="C990" s="45" t="s">
        <v>4289</v>
      </c>
      <c r="D990" s="218">
        <f>+923142167216</f>
        <v>923142167216</v>
      </c>
      <c r="E990" s="219" t="s">
        <v>4290</v>
      </c>
      <c r="F990" s="219" t="s">
        <v>742</v>
      </c>
      <c r="H990" s="82"/>
    </row>
    <row r="991" ht="15.75" customHeight="1">
      <c r="A991" s="220">
        <v>44034.0</v>
      </c>
      <c r="B991" s="121" t="s">
        <v>2789</v>
      </c>
      <c r="C991" s="45" t="s">
        <v>4291</v>
      </c>
      <c r="D991" s="218">
        <f>+923217815055</f>
        <v>923217815055</v>
      </c>
      <c r="E991" s="219" t="s">
        <v>4292</v>
      </c>
      <c r="F991" s="219" t="s">
        <v>742</v>
      </c>
      <c r="H991" s="82"/>
    </row>
    <row r="992" ht="15.75" customHeight="1">
      <c r="A992" s="220">
        <v>44034.0</v>
      </c>
      <c r="B992" s="121" t="s">
        <v>2789</v>
      </c>
      <c r="C992" s="45" t="s">
        <v>4293</v>
      </c>
      <c r="D992" s="218">
        <f>+923000546446</f>
        <v>923000546446</v>
      </c>
      <c r="E992" s="219" t="s">
        <v>4294</v>
      </c>
      <c r="F992" s="219" t="s">
        <v>1664</v>
      </c>
      <c r="H992" s="82"/>
    </row>
    <row r="993" ht="15.75" customHeight="1">
      <c r="A993" s="220">
        <v>44034.0</v>
      </c>
      <c r="B993" s="121" t="s">
        <v>2789</v>
      </c>
      <c r="C993" s="45" t="s">
        <v>4295</v>
      </c>
      <c r="D993" s="218">
        <f>+923443429349</f>
        <v>923443429349</v>
      </c>
      <c r="E993" s="219" t="s">
        <v>4296</v>
      </c>
      <c r="F993" s="219" t="s">
        <v>1664</v>
      </c>
      <c r="H993" s="82"/>
    </row>
    <row r="994" ht="15.75" customHeight="1">
      <c r="A994" s="220">
        <v>44034.0</v>
      </c>
      <c r="B994" s="121" t="s">
        <v>2789</v>
      </c>
      <c r="C994" s="45" t="s">
        <v>4297</v>
      </c>
      <c r="D994" s="218">
        <f>+923032290682</f>
        <v>923032290682</v>
      </c>
      <c r="E994" s="219" t="s">
        <v>4298</v>
      </c>
      <c r="F994" s="219" t="s">
        <v>2334</v>
      </c>
      <c r="H994" s="82"/>
    </row>
    <row r="995" ht="15.75" customHeight="1">
      <c r="A995" s="220">
        <v>44034.0</v>
      </c>
      <c r="B995" s="121" t="s">
        <v>2789</v>
      </c>
      <c r="C995" s="45" t="s">
        <v>4299</v>
      </c>
      <c r="D995" s="218">
        <f>+923432517094</f>
        <v>923432517094</v>
      </c>
      <c r="E995" s="219" t="s">
        <v>4300</v>
      </c>
      <c r="F995" s="219" t="s">
        <v>742</v>
      </c>
      <c r="H995" s="82"/>
    </row>
    <row r="996" ht="15.75" customHeight="1">
      <c r="A996" s="220">
        <v>44033.0</v>
      </c>
      <c r="B996" s="121" t="s">
        <v>2789</v>
      </c>
      <c r="C996" s="45" t="s">
        <v>4301</v>
      </c>
      <c r="D996" s="218">
        <f>+923009279436</f>
        <v>923009279436</v>
      </c>
      <c r="E996" s="219" t="s">
        <v>4302</v>
      </c>
      <c r="F996" s="219" t="s">
        <v>2334</v>
      </c>
      <c r="H996" s="82"/>
    </row>
    <row r="997" ht="15.75" customHeight="1">
      <c r="A997" s="220">
        <v>44033.0</v>
      </c>
      <c r="B997" s="121" t="s">
        <v>2789</v>
      </c>
      <c r="C997" s="219" t="s">
        <v>4303</v>
      </c>
      <c r="D997" s="218">
        <f>+923332222305</f>
        <v>923332222305</v>
      </c>
      <c r="E997" s="219" t="s">
        <v>4304</v>
      </c>
      <c r="F997" s="219" t="s">
        <v>1664</v>
      </c>
      <c r="H997" s="82"/>
    </row>
    <row r="998" ht="15.75" customHeight="1">
      <c r="A998" s="220">
        <v>44033.0</v>
      </c>
      <c r="B998" s="121" t="s">
        <v>2789</v>
      </c>
      <c r="C998" s="45" t="s">
        <v>4175</v>
      </c>
      <c r="D998" s="218">
        <f>+923015020476</f>
        <v>923015020476</v>
      </c>
      <c r="E998" s="219" t="s">
        <v>4305</v>
      </c>
      <c r="F998" s="219" t="s">
        <v>742</v>
      </c>
      <c r="H998" s="82"/>
    </row>
    <row r="999" ht="15.75" customHeight="1">
      <c r="A999" s="220">
        <v>44033.0</v>
      </c>
      <c r="B999" s="121" t="s">
        <v>2789</v>
      </c>
      <c r="C999" s="45" t="s">
        <v>4306</v>
      </c>
      <c r="D999" s="218">
        <f>+923218242291</f>
        <v>923218242291</v>
      </c>
      <c r="E999" s="219" t="s">
        <v>4307</v>
      </c>
      <c r="F999" s="219" t="s">
        <v>1664</v>
      </c>
      <c r="H999" s="82"/>
    </row>
    <row r="1000" ht="15.75" customHeight="1">
      <c r="A1000" s="220">
        <v>44033.0</v>
      </c>
      <c r="B1000" s="121" t="s">
        <v>2789</v>
      </c>
      <c r="C1000" s="45" t="s">
        <v>4308</v>
      </c>
      <c r="D1000" s="218">
        <f>+923333456395</f>
        <v>923333456395</v>
      </c>
      <c r="E1000" s="219" t="s">
        <v>4309</v>
      </c>
      <c r="F1000" s="219" t="s">
        <v>1664</v>
      </c>
      <c r="H1000" s="82"/>
    </row>
    <row r="1001" ht="15.75" customHeight="1">
      <c r="A1001" s="220">
        <v>44033.0</v>
      </c>
      <c r="B1001" s="121" t="s">
        <v>2789</v>
      </c>
      <c r="C1001" s="45" t="s">
        <v>4310</v>
      </c>
      <c r="D1001" s="218">
        <f>+923003565041</f>
        <v>923003565041</v>
      </c>
      <c r="E1001" s="219" t="s">
        <v>4311</v>
      </c>
      <c r="F1001" s="219" t="s">
        <v>1664</v>
      </c>
      <c r="H1001" s="82"/>
    </row>
    <row r="1002" ht="15.75" customHeight="1">
      <c r="A1002" s="220">
        <v>44033.0</v>
      </c>
      <c r="B1002" s="121" t="s">
        <v>2789</v>
      </c>
      <c r="C1002" s="45" t="s">
        <v>4312</v>
      </c>
      <c r="D1002" s="218">
        <f>+923338221149</f>
        <v>923338221149</v>
      </c>
      <c r="E1002" s="219" t="s">
        <v>3028</v>
      </c>
      <c r="F1002" s="219" t="s">
        <v>1664</v>
      </c>
      <c r="H1002" s="82"/>
    </row>
    <row r="1003" ht="15.75" customHeight="1">
      <c r="A1003" s="220">
        <v>44032.0</v>
      </c>
      <c r="B1003" s="121" t="s">
        <v>2789</v>
      </c>
      <c r="C1003" s="45" t="s">
        <v>4313</v>
      </c>
      <c r="D1003" s="218">
        <f>+923218201477</f>
        <v>923218201477</v>
      </c>
      <c r="E1003" s="219" t="s">
        <v>4314</v>
      </c>
      <c r="F1003" s="219" t="s">
        <v>742</v>
      </c>
      <c r="H1003" s="82"/>
    </row>
    <row r="1004" ht="15.75" customHeight="1">
      <c r="A1004" s="220">
        <v>44031.0</v>
      </c>
      <c r="B1004" s="121" t="s">
        <v>2789</v>
      </c>
      <c r="C1004" s="45" t="s">
        <v>4315</v>
      </c>
      <c r="D1004" s="218">
        <f>+923320049090</f>
        <v>923320049090</v>
      </c>
      <c r="E1004" s="219" t="s">
        <v>4316</v>
      </c>
      <c r="F1004" s="219" t="s">
        <v>742</v>
      </c>
      <c r="H1004" s="82"/>
    </row>
    <row r="1005" ht="15.75" customHeight="1">
      <c r="A1005" s="220">
        <v>44031.0</v>
      </c>
      <c r="B1005" s="121" t="s">
        <v>2789</v>
      </c>
      <c r="C1005" s="45" t="s">
        <v>4317</v>
      </c>
      <c r="D1005" s="218">
        <f>+923365617933</f>
        <v>923365617933</v>
      </c>
      <c r="E1005" s="219" t="s">
        <v>4318</v>
      </c>
      <c r="F1005" s="219" t="s">
        <v>742</v>
      </c>
      <c r="H1005" s="82"/>
    </row>
    <row r="1006" ht="15.75" customHeight="1">
      <c r="A1006" s="220">
        <v>44031.0</v>
      </c>
      <c r="B1006" s="121" t="s">
        <v>2789</v>
      </c>
      <c r="C1006" s="45" t="s">
        <v>4319</v>
      </c>
      <c r="D1006" s="218">
        <f>+923159251520</f>
        <v>923159251520</v>
      </c>
      <c r="E1006" s="219" t="s">
        <v>4320</v>
      </c>
      <c r="F1006" s="219" t="s">
        <v>1661</v>
      </c>
      <c r="H1006" s="82"/>
    </row>
    <row r="1007" ht="15.75" customHeight="1">
      <c r="A1007" s="220">
        <v>44031.0</v>
      </c>
      <c r="B1007" s="121" t="s">
        <v>2789</v>
      </c>
      <c r="C1007" s="45" t="s">
        <v>4321</v>
      </c>
      <c r="D1007" s="218">
        <f>+923219467755</f>
        <v>923219467755</v>
      </c>
      <c r="E1007" s="219" t="s">
        <v>4322</v>
      </c>
      <c r="F1007" s="219" t="s">
        <v>742</v>
      </c>
      <c r="H1007" s="82"/>
    </row>
    <row r="1008" ht="15.75" customHeight="1">
      <c r="A1008" s="220">
        <v>44031.0</v>
      </c>
      <c r="B1008" s="121" t="s">
        <v>2789</v>
      </c>
      <c r="C1008" s="45" t="s">
        <v>4323</v>
      </c>
      <c r="D1008" s="218">
        <f>+923322040889</f>
        <v>923322040889</v>
      </c>
      <c r="E1008" s="219" t="s">
        <v>4324</v>
      </c>
      <c r="F1008" s="219" t="s">
        <v>742</v>
      </c>
      <c r="H1008" s="82"/>
    </row>
    <row r="1009" ht="15.75" customHeight="1">
      <c r="A1009" s="220">
        <v>44030.0</v>
      </c>
      <c r="B1009" s="121" t="s">
        <v>2789</v>
      </c>
      <c r="C1009" s="45" t="s">
        <v>4325</v>
      </c>
      <c r="D1009" s="218">
        <f>+923222999223</f>
        <v>923222999223</v>
      </c>
      <c r="E1009" s="219" t="s">
        <v>4326</v>
      </c>
      <c r="F1009" s="219" t="s">
        <v>1664</v>
      </c>
      <c r="H1009" s="82"/>
    </row>
    <row r="1010" ht="15.75" customHeight="1">
      <c r="A1010" s="220">
        <v>44030.0</v>
      </c>
      <c r="B1010" s="121" t="s">
        <v>2789</v>
      </c>
      <c r="C1010" s="45" t="s">
        <v>4327</v>
      </c>
      <c r="D1010" s="218">
        <f>+923153171327</f>
        <v>923153171327</v>
      </c>
      <c r="E1010" s="219" t="s">
        <v>4328</v>
      </c>
      <c r="F1010" s="219" t="s">
        <v>742</v>
      </c>
      <c r="H1010" s="82"/>
    </row>
    <row r="1011" ht="15.75" customHeight="1">
      <c r="A1011" s="220">
        <v>44030.0</v>
      </c>
      <c r="B1011" s="121" t="s">
        <v>2789</v>
      </c>
      <c r="C1011" s="45" t="s">
        <v>4329</v>
      </c>
      <c r="D1011" s="218">
        <f>+923452218476</f>
        <v>923452218476</v>
      </c>
      <c r="E1011" s="219" t="s">
        <v>3067</v>
      </c>
      <c r="F1011" s="219" t="s">
        <v>1661</v>
      </c>
      <c r="H1011" s="82"/>
    </row>
    <row r="1012" ht="15.75" customHeight="1">
      <c r="A1012" s="220">
        <v>44030.0</v>
      </c>
      <c r="B1012" s="121" t="s">
        <v>2789</v>
      </c>
      <c r="C1012" s="45" t="s">
        <v>4330</v>
      </c>
      <c r="D1012" s="218">
        <f>+9203008245983</f>
        <v>9203008245983</v>
      </c>
      <c r="E1012" s="219" t="s">
        <v>4331</v>
      </c>
      <c r="F1012" s="219" t="s">
        <v>1664</v>
      </c>
      <c r="H1012" s="82"/>
    </row>
    <row r="1013" ht="15.75" customHeight="1">
      <c r="A1013" s="220">
        <v>44030.0</v>
      </c>
      <c r="B1013" s="121" t="s">
        <v>2789</v>
      </c>
      <c r="C1013" s="45" t="s">
        <v>4332</v>
      </c>
      <c r="D1013" s="218">
        <f>+9203212874469</f>
        <v>9203212874469</v>
      </c>
      <c r="E1013" s="219" t="s">
        <v>4333</v>
      </c>
      <c r="F1013" s="219" t="s">
        <v>2334</v>
      </c>
      <c r="H1013" s="82"/>
    </row>
    <row r="1014" ht="15.75" customHeight="1">
      <c r="A1014" s="220">
        <v>44030.0</v>
      </c>
      <c r="B1014" s="121" t="s">
        <v>2789</v>
      </c>
      <c r="C1014" s="45" t="s">
        <v>4334</v>
      </c>
      <c r="D1014" s="218">
        <f>+923317506084</f>
        <v>923317506084</v>
      </c>
      <c r="E1014" s="219" t="s">
        <v>4335</v>
      </c>
      <c r="F1014" s="219" t="s">
        <v>2334</v>
      </c>
      <c r="H1014" s="82"/>
    </row>
  </sheetData>
  <hyperlinks>
    <hyperlink r:id="rId1" ref="C734"/>
    <hyperlink r:id="rId2" ref="E734"/>
    <hyperlink r:id="rId3" ref="C871"/>
    <hyperlink r:id="rId4" ref="E871"/>
    <hyperlink r:id="rId5" ref="C872"/>
    <hyperlink r:id="rId6" ref="E872"/>
    <hyperlink r:id="rId7" ref="C873"/>
    <hyperlink r:id="rId8" ref="E873"/>
    <hyperlink r:id="rId9" ref="C874"/>
    <hyperlink r:id="rId10" ref="E874"/>
    <hyperlink r:id="rId11" ref="C875"/>
    <hyperlink r:id="rId12" ref="E875"/>
  </hyperlinks>
  <drawing r:id="rId13"/>
</worksheet>
</file>